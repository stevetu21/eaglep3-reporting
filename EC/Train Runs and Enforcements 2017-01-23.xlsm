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Trips'!$A$2:$J$134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0" i="1" l="1"/>
  <c r="B33" i="9" l="1"/>
  <c r="C33" i="9"/>
  <c r="B34" i="9"/>
  <c r="C35" i="9" s="1"/>
  <c r="C34" i="9"/>
  <c r="B35" i="9"/>
  <c r="B36" i="9"/>
  <c r="C37" i="9" s="1"/>
  <c r="C36" i="9"/>
  <c r="B37" i="9"/>
  <c r="B38" i="9"/>
  <c r="C39" i="9" s="1"/>
  <c r="C38" i="9"/>
  <c r="B39" i="9"/>
  <c r="B40" i="9"/>
  <c r="C41" i="9" s="1"/>
  <c r="C40" i="9"/>
  <c r="B41" i="9"/>
  <c r="B42" i="9"/>
  <c r="C43" i="9" s="1"/>
  <c r="C42" i="9"/>
  <c r="B43" i="9"/>
  <c r="B44" i="9"/>
  <c r="C45" i="9" s="1"/>
  <c r="C44" i="9"/>
  <c r="B45" i="9"/>
  <c r="B46" i="9"/>
  <c r="C47" i="9" s="1"/>
  <c r="C46" i="9"/>
  <c r="B47" i="9"/>
  <c r="B48" i="9"/>
  <c r="C49" i="9" s="1"/>
  <c r="C48" i="9"/>
  <c r="B49" i="9"/>
  <c r="B50" i="9"/>
  <c r="C51" i="9" s="1"/>
  <c r="C50" i="9"/>
  <c r="B51" i="9"/>
  <c r="B52" i="9"/>
  <c r="C53" i="9" s="1"/>
  <c r="C52" i="9"/>
  <c r="B53" i="9"/>
  <c r="B54" i="9"/>
  <c r="C55" i="9" s="1"/>
  <c r="C54" i="9"/>
  <c r="B55" i="9"/>
  <c r="B56" i="9"/>
  <c r="C57" i="9" s="1"/>
  <c r="C56" i="9"/>
  <c r="B57" i="9"/>
  <c r="B58" i="9"/>
  <c r="C58" i="9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X16" i="1"/>
  <c r="Y16" i="1"/>
  <c r="AA16" i="1" s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A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/>
  <c r="T20" i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X24" i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G29" i="1"/>
  <c r="AH29" i="1"/>
  <c r="AM29" i="1"/>
  <c r="AN29" i="1"/>
  <c r="K30" i="1"/>
  <c r="L30" i="1"/>
  <c r="M30" i="1"/>
  <c r="N30" i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/>
  <c r="V32" i="1"/>
  <c r="Y32" i="1"/>
  <c r="AA32" i="1" s="1"/>
  <c r="Z32" i="1"/>
  <c r="AB32" i="1"/>
  <c r="AC32" i="1"/>
  <c r="AD32" i="1"/>
  <c r="AG32" i="1" s="1"/>
  <c r="AE32" i="1"/>
  <c r="AF32" i="1"/>
  <c r="AH32" i="1"/>
  <c r="AI32" i="1"/>
  <c r="AM32" i="1"/>
  <c r="AN32" i="1"/>
  <c r="K33" i="1"/>
  <c r="L33" i="1"/>
  <c r="M33" i="1"/>
  <c r="N33" i="1" s="1"/>
  <c r="V33" i="1"/>
  <c r="X33" i="1"/>
  <c r="Y33" i="1"/>
  <c r="Z33" i="1"/>
  <c r="AB33" i="1"/>
  <c r="AC33" i="1"/>
  <c r="AD33" i="1"/>
  <c r="T33" i="1" s="1"/>
  <c r="AE33" i="1"/>
  <c r="AF33" i="1"/>
  <c r="AG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T36" i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/>
  <c r="V39" i="1"/>
  <c r="Y39" i="1"/>
  <c r="Z39" i="1"/>
  <c r="AA39" i="1" s="1"/>
  <c r="W39" i="1" s="1"/>
  <c r="AB39" i="1"/>
  <c r="AC39" i="1"/>
  <c r="AD39" i="1"/>
  <c r="AG39" i="1" s="1"/>
  <c r="AI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AE45" i="1"/>
  <c r="AF45" i="1"/>
  <c r="AG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X48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W49" i="1" s="1"/>
  <c r="Z49" i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X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T59" i="1"/>
  <c r="V59" i="1"/>
  <c r="X59" i="1"/>
  <c r="Y59" i="1"/>
  <c r="Z59" i="1"/>
  <c r="AB59" i="1"/>
  <c r="AC59" i="1"/>
  <c r="AD59" i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/>
  <c r="V62" i="1"/>
  <c r="Y62" i="1"/>
  <c r="Z62" i="1"/>
  <c r="AA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T63" i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W66" i="1" s="1"/>
  <c r="AB66" i="1"/>
  <c r="AC66" i="1"/>
  <c r="AD66" i="1"/>
  <c r="AG66" i="1" s="1"/>
  <c r="AE66" i="1"/>
  <c r="AF66" i="1"/>
  <c r="AH66" i="1"/>
  <c r="AI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T70" i="1"/>
  <c r="V70" i="1"/>
  <c r="Y70" i="1"/>
  <c r="AA70" i="1" s="1"/>
  <c r="Z70" i="1"/>
  <c r="AB70" i="1"/>
  <c r="AC70" i="1"/>
  <c r="AD70" i="1"/>
  <c r="AG70" i="1" s="1"/>
  <c r="AE70" i="1"/>
  <c r="AF70" i="1"/>
  <c r="AH70" i="1"/>
  <c r="AI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I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T78" i="1"/>
  <c r="V78" i="1"/>
  <c r="X78" i="1"/>
  <c r="Y78" i="1"/>
  <c r="Z78" i="1"/>
  <c r="AA78" i="1" s="1"/>
  <c r="W78" i="1" s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W79" i="1" s="1"/>
  <c r="AB79" i="1"/>
  <c r="AC79" i="1"/>
  <c r="AD79" i="1"/>
  <c r="AG79" i="1" s="1"/>
  <c r="AE79" i="1"/>
  <c r="AF79" i="1"/>
  <c r="AH79" i="1"/>
  <c r="AI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G85" i="1"/>
  <c r="AH85" i="1"/>
  <c r="AM85" i="1"/>
  <c r="AN85" i="1"/>
  <c r="K86" i="1"/>
  <c r="L86" i="1"/>
  <c r="M86" i="1"/>
  <c r="N86" i="1" s="1"/>
  <c r="V86" i="1"/>
  <c r="Y86" i="1"/>
  <c r="AA86" i="1" s="1"/>
  <c r="W86" i="1" s="1"/>
  <c r="Z86" i="1"/>
  <c r="AB86" i="1"/>
  <c r="AC86" i="1"/>
  <c r="AD86" i="1"/>
  <c r="AG86" i="1" s="1"/>
  <c r="AE86" i="1"/>
  <c r="AF86" i="1"/>
  <c r="AH86" i="1"/>
  <c r="AI86" i="1"/>
  <c r="AM86" i="1"/>
  <c r="AN86" i="1"/>
  <c r="K87" i="1"/>
  <c r="L87" i="1"/>
  <c r="M87" i="1"/>
  <c r="N87" i="1" s="1"/>
  <c r="V87" i="1"/>
  <c r="Y87" i="1"/>
  <c r="AA87" i="1" s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I93" i="1"/>
  <c r="AM93" i="1"/>
  <c r="AN93" i="1"/>
  <c r="K94" i="1"/>
  <c r="L94" i="1"/>
  <c r="M94" i="1"/>
  <c r="N94" i="1" s="1"/>
  <c r="V94" i="1"/>
  <c r="Y94" i="1"/>
  <c r="AA94" i="1" s="1"/>
  <c r="W94" i="1" s="1"/>
  <c r="Z94" i="1"/>
  <c r="AB94" i="1"/>
  <c r="AC94" i="1"/>
  <c r="AD94" i="1"/>
  <c r="AG94" i="1" s="1"/>
  <c r="AE94" i="1"/>
  <c r="AF94" i="1"/>
  <c r="AH94" i="1"/>
  <c r="AI94" i="1"/>
  <c r="AM94" i="1"/>
  <c r="AN94" i="1"/>
  <c r="K95" i="1"/>
  <c r="L95" i="1"/>
  <c r="M95" i="1"/>
  <c r="N95" i="1" s="1"/>
  <c r="T95" i="1"/>
  <c r="V95" i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T100" i="1"/>
  <c r="V100" i="1"/>
  <c r="Y100" i="1"/>
  <c r="Z100" i="1"/>
  <c r="AB100" i="1"/>
  <c r="AC100" i="1"/>
  <c r="AD100" i="1"/>
  <c r="AE100" i="1"/>
  <c r="AF100" i="1"/>
  <c r="AG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Y103" i="1"/>
  <c r="Z103" i="1"/>
  <c r="AA103" i="1" s="1"/>
  <c r="W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T109" i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/>
  <c r="V115" i="1"/>
  <c r="Y115" i="1"/>
  <c r="Z115" i="1"/>
  <c r="AA115" i="1" s="1"/>
  <c r="W115" i="1" s="1"/>
  <c r="AB115" i="1"/>
  <c r="AC115" i="1"/>
  <c r="AD115" i="1"/>
  <c r="AG115" i="1" s="1"/>
  <c r="AE115" i="1"/>
  <c r="R8" i="3" s="1"/>
  <c r="AF115" i="1"/>
  <c r="AH115" i="1"/>
  <c r="AI115" i="1"/>
  <c r="AM115" i="1"/>
  <c r="AN115" i="1"/>
  <c r="K116" i="1"/>
  <c r="L116" i="1"/>
  <c r="M116" i="1"/>
  <c r="N116" i="1" s="1"/>
  <c r="V116" i="1"/>
  <c r="S9" i="3" s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R18" i="3" s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W122" i="1" s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X124" i="1"/>
  <c r="Y124" i="1"/>
  <c r="Z124" i="1"/>
  <c r="AA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/>
  <c r="V131" i="1"/>
  <c r="Y131" i="1"/>
  <c r="Z131" i="1"/>
  <c r="AA131" i="1"/>
  <c r="W131" i="1" s="1"/>
  <c r="AB131" i="1"/>
  <c r="AC131" i="1"/>
  <c r="AD131" i="1"/>
  <c r="AG131" i="1" s="1"/>
  <c r="AE131" i="1"/>
  <c r="AF131" i="1"/>
  <c r="AH131" i="1"/>
  <c r="AI131" i="1"/>
  <c r="AM131" i="1"/>
  <c r="AN131" i="1"/>
  <c r="K132" i="1"/>
  <c r="L132" i="1"/>
  <c r="M132" i="1"/>
  <c r="N132" i="1" s="1"/>
  <c r="T132" i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W135" i="1" s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/>
  <c r="AB138" i="1"/>
  <c r="AC138" i="1"/>
  <c r="AD138" i="1"/>
  <c r="AG138" i="1" s="1"/>
  <c r="AI138" i="1" s="1"/>
  <c r="AE138" i="1"/>
  <c r="AF138" i="1"/>
  <c r="AH138" i="1"/>
  <c r="AM138" i="1"/>
  <c r="AN138" i="1"/>
  <c r="K139" i="1"/>
  <c r="L139" i="1"/>
  <c r="M139" i="1"/>
  <c r="N139" i="1" s="1"/>
  <c r="V139" i="1"/>
  <c r="X139" i="1"/>
  <c r="Y139" i="1"/>
  <c r="Z139" i="1"/>
  <c r="AA139" i="1"/>
  <c r="W139" i="1" s="1"/>
  <c r="AB139" i="1"/>
  <c r="AC139" i="1"/>
  <c r="AD139" i="1"/>
  <c r="AG139" i="1" s="1"/>
  <c r="AE139" i="1"/>
  <c r="AF139" i="1"/>
  <c r="AH139" i="1"/>
  <c r="AI139" i="1"/>
  <c r="AM139" i="1"/>
  <c r="AN139" i="1"/>
  <c r="K140" i="1"/>
  <c r="L140" i="1"/>
  <c r="M140" i="1"/>
  <c r="V140" i="1"/>
  <c r="Y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/>
  <c r="T143" i="1"/>
  <c r="V143" i="1"/>
  <c r="Y143" i="1"/>
  <c r="Z143" i="1"/>
  <c r="AA143" i="1" s="1"/>
  <c r="W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T145" i="1"/>
  <c r="V145" i="1"/>
  <c r="Y145" i="1"/>
  <c r="Z145" i="1"/>
  <c r="AI145" i="1" s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I149" i="1" s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T150" i="1"/>
  <c r="V150" i="1"/>
  <c r="Y150" i="1"/>
  <c r="Z150" i="1"/>
  <c r="AB150" i="1"/>
  <c r="AC150" i="1"/>
  <c r="AD150" i="1"/>
  <c r="AE150" i="1"/>
  <c r="AF150" i="1"/>
  <c r="AG150" i="1"/>
  <c r="AH150" i="1"/>
  <c r="AM150" i="1"/>
  <c r="AN150" i="1"/>
  <c r="K151" i="1"/>
  <c r="L151" i="1"/>
  <c r="M151" i="1"/>
  <c r="N151" i="1"/>
  <c r="V151" i="1"/>
  <c r="Y151" i="1"/>
  <c r="Z151" i="1"/>
  <c r="AA151" i="1" s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S15" i="3" s="1"/>
  <c r="Y152" i="1"/>
  <c r="Z152" i="1"/>
  <c r="AA152" i="1" s="1"/>
  <c r="AB152" i="1"/>
  <c r="AC152" i="1"/>
  <c r="AD152" i="1"/>
  <c r="AG152" i="1" s="1"/>
  <c r="AI152" i="1" s="1"/>
  <c r="AE152" i="1"/>
  <c r="R15" i="3" s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W153" i="1" s="1"/>
  <c r="AB153" i="1"/>
  <c r="AC153" i="1"/>
  <c r="AD153" i="1"/>
  <c r="AG153" i="1" s="1"/>
  <c r="AE153" i="1"/>
  <c r="AF153" i="1"/>
  <c r="AH153" i="1"/>
  <c r="AI153" i="1"/>
  <c r="AM153" i="1"/>
  <c r="AN153" i="1"/>
  <c r="K154" i="1"/>
  <c r="L154" i="1"/>
  <c r="M154" i="1"/>
  <c r="N154" i="1" s="1"/>
  <c r="V154" i="1"/>
  <c r="X154" i="1"/>
  <c r="Y154" i="1"/>
  <c r="AA154" i="1" s="1"/>
  <c r="Z154" i="1"/>
  <c r="AB154" i="1"/>
  <c r="AC154" i="1"/>
  <c r="AD154" i="1"/>
  <c r="T154" i="1" s="1"/>
  <c r="AE154" i="1"/>
  <c r="AF154" i="1"/>
  <c r="AG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AA207" i="1" s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W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X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AG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171" i="1"/>
  <c r="AM171" i="1"/>
  <c r="AN171" i="1"/>
  <c r="K225" i="1"/>
  <c r="L225" i="1"/>
  <c r="M225" i="1"/>
  <c r="N225" i="1"/>
  <c r="V225" i="1"/>
  <c r="Y225" i="1"/>
  <c r="Z225" i="1"/>
  <c r="AB225" i="1"/>
  <c r="AC225" i="1"/>
  <c r="AD225" i="1"/>
  <c r="AE225" i="1"/>
  <c r="AF225" i="1"/>
  <c r="AH172" i="1"/>
  <c r="AM172" i="1"/>
  <c r="AN172" i="1"/>
  <c r="K226" i="1"/>
  <c r="L226" i="1"/>
  <c r="M226" i="1"/>
  <c r="N226" i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/>
  <c r="V228" i="1"/>
  <c r="X228" i="1"/>
  <c r="Y228" i="1"/>
  <c r="Z228" i="1"/>
  <c r="AA228" i="1" s="1"/>
  <c r="AB228" i="1"/>
  <c r="AC228" i="1"/>
  <c r="AD228" i="1"/>
  <c r="T228" i="1" s="1"/>
  <c r="AE228" i="1"/>
  <c r="AF228" i="1"/>
  <c r="AG228" i="1"/>
  <c r="AH175" i="1"/>
  <c r="AM175" i="1"/>
  <c r="AN175" i="1"/>
  <c r="K229" i="1"/>
  <c r="L229" i="1"/>
  <c r="M229" i="1"/>
  <c r="N229" i="1"/>
  <c r="V229" i="1"/>
  <c r="Y229" i="1"/>
  <c r="Z229" i="1"/>
  <c r="AB229" i="1"/>
  <c r="AC229" i="1"/>
  <c r="AD229" i="1"/>
  <c r="AE229" i="1"/>
  <c r="AF229" i="1"/>
  <c r="AG229" i="1"/>
  <c r="AH176" i="1"/>
  <c r="AM176" i="1"/>
  <c r="AN176" i="1"/>
  <c r="K230" i="1"/>
  <c r="L230" i="1"/>
  <c r="M230" i="1"/>
  <c r="N230" i="1"/>
  <c r="V230" i="1"/>
  <c r="Y230" i="1"/>
  <c r="Z230" i="1"/>
  <c r="AA230" i="1" s="1"/>
  <c r="W230" i="1" s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A233" i="1" s="1"/>
  <c r="W233" i="1" s="1"/>
  <c r="AB233" i="1"/>
  <c r="AC233" i="1"/>
  <c r="AD233" i="1"/>
  <c r="AG233" i="1" s="1"/>
  <c r="AE233" i="1"/>
  <c r="AF233" i="1"/>
  <c r="AH180" i="1"/>
  <c r="AM180" i="1"/>
  <c r="AN180" i="1"/>
  <c r="K157" i="1"/>
  <c r="L157" i="1"/>
  <c r="M157" i="1"/>
  <c r="N157" i="1"/>
  <c r="V157" i="1"/>
  <c r="Y157" i="1"/>
  <c r="Z157" i="1"/>
  <c r="AA157" i="1" s="1"/>
  <c r="W157" i="1" s="1"/>
  <c r="AB157" i="1"/>
  <c r="AC157" i="1"/>
  <c r="AD157" i="1"/>
  <c r="AG157" i="1" s="1"/>
  <c r="AE157" i="1"/>
  <c r="AF157" i="1"/>
  <c r="AH181" i="1"/>
  <c r="AM181" i="1"/>
  <c r="AN181" i="1"/>
  <c r="K158" i="1"/>
  <c r="L158" i="1"/>
  <c r="M158" i="1"/>
  <c r="N158" i="1" s="1"/>
  <c r="T158" i="1"/>
  <c r="V158" i="1"/>
  <c r="Y158" i="1"/>
  <c r="Z158" i="1"/>
  <c r="AA158" i="1"/>
  <c r="AB158" i="1"/>
  <c r="AC158" i="1"/>
  <c r="AD158" i="1"/>
  <c r="AG158" i="1" s="1"/>
  <c r="AE158" i="1"/>
  <c r="R27" i="3" s="1"/>
  <c r="AF158" i="1"/>
  <c r="AH182" i="1"/>
  <c r="AM182" i="1"/>
  <c r="AN182" i="1"/>
  <c r="K159" i="1"/>
  <c r="L159" i="1"/>
  <c r="M159" i="1"/>
  <c r="N159" i="1"/>
  <c r="V159" i="1"/>
  <c r="X159" i="1"/>
  <c r="Y159" i="1"/>
  <c r="Z159" i="1"/>
  <c r="AA159" i="1" s="1"/>
  <c r="AB159" i="1"/>
  <c r="AC159" i="1"/>
  <c r="AD159" i="1"/>
  <c r="T159" i="1" s="1"/>
  <c r="AE159" i="1"/>
  <c r="AF159" i="1"/>
  <c r="AG159" i="1"/>
  <c r="AH183" i="1"/>
  <c r="AM183" i="1"/>
  <c r="AN18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4" i="1"/>
  <c r="AM184" i="1"/>
  <c r="AN184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5" i="1"/>
  <c r="AM185" i="1"/>
  <c r="AN185" i="1"/>
  <c r="K162" i="1"/>
  <c r="L162" i="1"/>
  <c r="M162" i="1"/>
  <c r="N162" i="1" s="1"/>
  <c r="V162" i="1"/>
  <c r="S28" i="3" s="1"/>
  <c r="Y162" i="1"/>
  <c r="Z162" i="1"/>
  <c r="AB162" i="1"/>
  <c r="AC162" i="1"/>
  <c r="AD162" i="1"/>
  <c r="AG162" i="1" s="1"/>
  <c r="AE162" i="1"/>
  <c r="AF162" i="1"/>
  <c r="AH186" i="1"/>
  <c r="AM186" i="1"/>
  <c r="AN186" i="1"/>
  <c r="K163" i="1"/>
  <c r="L163" i="1"/>
  <c r="M163" i="1"/>
  <c r="N163" i="1" s="1"/>
  <c r="V163" i="1"/>
  <c r="S21" i="3" s="1"/>
  <c r="Y163" i="1"/>
  <c r="Z163" i="1"/>
  <c r="AB163" i="1"/>
  <c r="AC163" i="1"/>
  <c r="AD163" i="1"/>
  <c r="AE163" i="1"/>
  <c r="AF163" i="1"/>
  <c r="AH187" i="1"/>
  <c r="AM187" i="1"/>
  <c r="AN187" i="1"/>
  <c r="K164" i="1"/>
  <c r="L164" i="1"/>
  <c r="M164" i="1"/>
  <c r="N164" i="1"/>
  <c r="V164" i="1"/>
  <c r="Y164" i="1"/>
  <c r="Z164" i="1"/>
  <c r="AA164" i="1" s="1"/>
  <c r="AB164" i="1"/>
  <c r="AC164" i="1"/>
  <c r="AD164" i="1"/>
  <c r="T164" i="1" s="1"/>
  <c r="AE164" i="1"/>
  <c r="AF164" i="1"/>
  <c r="AH188" i="1"/>
  <c r="AM188" i="1"/>
  <c r="AN188" i="1"/>
  <c r="K165" i="1"/>
  <c r="L165" i="1"/>
  <c r="M165" i="1"/>
  <c r="N165" i="1" s="1"/>
  <c r="V165" i="1"/>
  <c r="Y165" i="1"/>
  <c r="AA165" i="1" s="1"/>
  <c r="Z165" i="1"/>
  <c r="AB165" i="1"/>
  <c r="AC165" i="1"/>
  <c r="AD165" i="1"/>
  <c r="T165" i="1" s="1"/>
  <c r="AE165" i="1"/>
  <c r="AF165" i="1"/>
  <c r="AG165" i="1"/>
  <c r="AI165" i="1" s="1"/>
  <c r="AH189" i="1"/>
  <c r="AM189" i="1"/>
  <c r="AN189" i="1"/>
  <c r="K166" i="1"/>
  <c r="L166" i="1"/>
  <c r="M166" i="1"/>
  <c r="N166" i="1" s="1"/>
  <c r="V166" i="1"/>
  <c r="S29" i="3" s="1"/>
  <c r="Y166" i="1"/>
  <c r="Z166" i="1"/>
  <c r="AB166" i="1"/>
  <c r="AC166" i="1"/>
  <c r="AD166" i="1"/>
  <c r="AG166" i="1" s="1"/>
  <c r="AI166" i="1" s="1"/>
  <c r="AE166" i="1"/>
  <c r="R30" i="3" s="1"/>
  <c r="AF166" i="1"/>
  <c r="AH190" i="1"/>
  <c r="AM190" i="1"/>
  <c r="AN190" i="1"/>
  <c r="K167" i="1"/>
  <c r="L167" i="1"/>
  <c r="M167" i="1"/>
  <c r="N167" i="1" s="1"/>
  <c r="V167" i="1"/>
  <c r="S24" i="3" s="1"/>
  <c r="Y167" i="1"/>
  <c r="Z167" i="1"/>
  <c r="AB167" i="1"/>
  <c r="AC167" i="1"/>
  <c r="AD167" i="1"/>
  <c r="T167" i="1" s="1"/>
  <c r="AE167" i="1"/>
  <c r="R19" i="3" s="1"/>
  <c r="AF167" i="1"/>
  <c r="AH191" i="1"/>
  <c r="AM191" i="1"/>
  <c r="AN191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A170" i="1"/>
  <c r="W170" i="1" s="1"/>
  <c r="AB170" i="1"/>
  <c r="AC170" i="1"/>
  <c r="AD170" i="1"/>
  <c r="AG170" i="1" s="1"/>
  <c r="AI170" i="1" s="1"/>
  <c r="AE170" i="1"/>
  <c r="AF170" i="1"/>
  <c r="AH194" i="1"/>
  <c r="AM194" i="1"/>
  <c r="AN194" i="1"/>
  <c r="K171" i="1"/>
  <c r="L171" i="1"/>
  <c r="M171" i="1"/>
  <c r="N171" i="1" s="1"/>
  <c r="T171" i="1"/>
  <c r="V171" i="1"/>
  <c r="Y171" i="1"/>
  <c r="Z171" i="1"/>
  <c r="AB171" i="1"/>
  <c r="AC171" i="1"/>
  <c r="AD171" i="1"/>
  <c r="AE171" i="1"/>
  <c r="AF171" i="1"/>
  <c r="AH195" i="1"/>
  <c r="AM195" i="1"/>
  <c r="AN195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96" i="1"/>
  <c r="AM196" i="1"/>
  <c r="AN196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8" i="1"/>
  <c r="AM198" i="1"/>
  <c r="AN19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A178" i="1"/>
  <c r="W178" i="1" s="1"/>
  <c r="AB178" i="1"/>
  <c r="AC178" i="1"/>
  <c r="AD178" i="1"/>
  <c r="AG178" i="1" s="1"/>
  <c r="AE178" i="1"/>
  <c r="AF178" i="1"/>
  <c r="AH202" i="1"/>
  <c r="AM202" i="1"/>
  <c r="AN202" i="1"/>
  <c r="K179" i="1"/>
  <c r="L179" i="1"/>
  <c r="M179" i="1"/>
  <c r="N179" i="1" s="1"/>
  <c r="T179" i="1"/>
  <c r="V179" i="1"/>
  <c r="Y179" i="1"/>
  <c r="Z179" i="1"/>
  <c r="AB179" i="1"/>
  <c r="AC179" i="1"/>
  <c r="AD179" i="1"/>
  <c r="AE179" i="1"/>
  <c r="AF179" i="1"/>
  <c r="AH203" i="1"/>
  <c r="AM203" i="1"/>
  <c r="AN203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N181" i="1" s="1"/>
  <c r="V181" i="1"/>
  <c r="S25" i="3" s="1"/>
  <c r="Y181" i="1"/>
  <c r="Z181" i="1"/>
  <c r="AA181" i="1" s="1"/>
  <c r="AB181" i="1"/>
  <c r="AC181" i="1"/>
  <c r="AD181" i="1"/>
  <c r="T181" i="1" s="1"/>
  <c r="AE181" i="1"/>
  <c r="R20" i="3" s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AG182" i="1" s="1"/>
  <c r="AI182" i="1" s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7" i="1"/>
  <c r="AM207" i="1"/>
  <c r="AN207" i="1"/>
  <c r="K184" i="1"/>
  <c r="L184" i="1"/>
  <c r="M184" i="1"/>
  <c r="N184" i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A186" i="1"/>
  <c r="W186" i="1" s="1"/>
  <c r="AB186" i="1"/>
  <c r="AC186" i="1"/>
  <c r="AD186" i="1"/>
  <c r="AG186" i="1" s="1"/>
  <c r="AE186" i="1"/>
  <c r="AF186" i="1"/>
  <c r="AH210" i="1"/>
  <c r="AM210" i="1"/>
  <c r="AN210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AF187" i="1"/>
  <c r="AH211" i="1"/>
  <c r="AM211" i="1"/>
  <c r="AN211" i="1"/>
  <c r="K188" i="1"/>
  <c r="L188" i="1"/>
  <c r="M188" i="1"/>
  <c r="N188" i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 s="1"/>
  <c r="V189" i="1"/>
  <c r="S22" i="3" s="1"/>
  <c r="Y189" i="1"/>
  <c r="Z189" i="1"/>
  <c r="AA189" i="1" s="1"/>
  <c r="AB189" i="1"/>
  <c r="AC189" i="1"/>
  <c r="AD189" i="1"/>
  <c r="T189" i="1" s="1"/>
  <c r="AE189" i="1"/>
  <c r="R22" i="3" s="1"/>
  <c r="AF189" i="1"/>
  <c r="AH213" i="1"/>
  <c r="AM213" i="1"/>
  <c r="AN213" i="1"/>
  <c r="K190" i="1"/>
  <c r="L190" i="1"/>
  <c r="M190" i="1"/>
  <c r="N190" i="1"/>
  <c r="V190" i="1"/>
  <c r="Y190" i="1"/>
  <c r="Z190" i="1"/>
  <c r="AB190" i="1"/>
  <c r="AC190" i="1"/>
  <c r="AD190" i="1"/>
  <c r="AG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A194" i="1"/>
  <c r="W194" i="1" s="1"/>
  <c r="AB194" i="1"/>
  <c r="AC194" i="1"/>
  <c r="AD194" i="1"/>
  <c r="AG194" i="1" s="1"/>
  <c r="AE194" i="1"/>
  <c r="AF194" i="1"/>
  <c r="AH218" i="1"/>
  <c r="AM218" i="1"/>
  <c r="AN218" i="1"/>
  <c r="K195" i="1"/>
  <c r="L195" i="1"/>
  <c r="M195" i="1"/>
  <c r="N195" i="1" s="1"/>
  <c r="T195" i="1"/>
  <c r="V195" i="1"/>
  <c r="Y195" i="1"/>
  <c r="Z195" i="1"/>
  <c r="AB195" i="1"/>
  <c r="AC195" i="1"/>
  <c r="AD195" i="1"/>
  <c r="AE195" i="1"/>
  <c r="R26" i="3" s="1"/>
  <c r="AF195" i="1"/>
  <c r="AH219" i="1"/>
  <c r="AM219" i="1"/>
  <c r="AN219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N197" i="1"/>
  <c r="V197" i="1"/>
  <c r="Y197" i="1"/>
  <c r="AA197" i="1" s="1"/>
  <c r="Z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/>
  <c r="V198" i="1"/>
  <c r="Y198" i="1"/>
  <c r="Z198" i="1"/>
  <c r="AB198" i="1"/>
  <c r="AC198" i="1"/>
  <c r="AD198" i="1"/>
  <c r="AG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A202" i="1"/>
  <c r="W202" i="1" s="1"/>
  <c r="AB202" i="1"/>
  <c r="AC202" i="1"/>
  <c r="AD202" i="1"/>
  <c r="AG202" i="1" s="1"/>
  <c r="AE202" i="1"/>
  <c r="AF202" i="1"/>
  <c r="AH226" i="1"/>
  <c r="AM226" i="1"/>
  <c r="AN226" i="1"/>
  <c r="K203" i="1"/>
  <c r="L203" i="1"/>
  <c r="M203" i="1"/>
  <c r="N203" i="1" s="1"/>
  <c r="T203" i="1"/>
  <c r="V203" i="1"/>
  <c r="Y203" i="1"/>
  <c r="Z203" i="1"/>
  <c r="AB203" i="1"/>
  <c r="AC203" i="1"/>
  <c r="AD203" i="1"/>
  <c r="AE203" i="1"/>
  <c r="AF203" i="1"/>
  <c r="AH227" i="1"/>
  <c r="AM227" i="1"/>
  <c r="AN227" i="1"/>
  <c r="K218" i="1"/>
  <c r="L218" i="1"/>
  <c r="M218" i="1"/>
  <c r="N218" i="1"/>
  <c r="V218" i="1"/>
  <c r="S35" i="3" s="1"/>
  <c r="Y218" i="1"/>
  <c r="Z218" i="1"/>
  <c r="AA218" i="1" s="1"/>
  <c r="AB218" i="1"/>
  <c r="AC218" i="1"/>
  <c r="AD218" i="1"/>
  <c r="T218" i="1" s="1"/>
  <c r="AE218" i="1"/>
  <c r="AF218" i="1"/>
  <c r="AH228" i="1"/>
  <c r="AM228" i="1"/>
  <c r="AN228" i="1"/>
  <c r="K219" i="1"/>
  <c r="L219" i="1"/>
  <c r="M219" i="1"/>
  <c r="N219" i="1"/>
  <c r="V219" i="1"/>
  <c r="Y219" i="1"/>
  <c r="AA219" i="1" s="1"/>
  <c r="Z219" i="1"/>
  <c r="AB219" i="1"/>
  <c r="AC219" i="1"/>
  <c r="AD219" i="1"/>
  <c r="T219" i="1" s="1"/>
  <c r="AE219" i="1"/>
  <c r="AF219" i="1"/>
  <c r="AH229" i="1"/>
  <c r="AM229" i="1"/>
  <c r="AN229" i="1"/>
  <c r="K220" i="1"/>
  <c r="L220" i="1"/>
  <c r="M220" i="1"/>
  <c r="N220" i="1"/>
  <c r="V220" i="1"/>
  <c r="Y220" i="1"/>
  <c r="Z220" i="1"/>
  <c r="AB220" i="1"/>
  <c r="AC220" i="1"/>
  <c r="AD220" i="1"/>
  <c r="AG220" i="1" s="1"/>
  <c r="AE220" i="1"/>
  <c r="AF220" i="1"/>
  <c r="AH230" i="1"/>
  <c r="AM230" i="1"/>
  <c r="AN23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1" i="1"/>
  <c r="AM231" i="1"/>
  <c r="AN23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32" i="1"/>
  <c r="AM232" i="1"/>
  <c r="AN232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3" i="1"/>
  <c r="AM233" i="1"/>
  <c r="AN233" i="1"/>
  <c r="M35" i="3"/>
  <c r="R35" i="3"/>
  <c r="U35" i="3"/>
  <c r="T35" i="3" s="1"/>
  <c r="V35" i="3"/>
  <c r="W35" i="3"/>
  <c r="Y35" i="3" s="1"/>
  <c r="X35" i="3"/>
  <c r="AC35" i="3"/>
  <c r="M11" i="3"/>
  <c r="R11" i="3"/>
  <c r="S11" i="3"/>
  <c r="U11" i="3"/>
  <c r="V11" i="3"/>
  <c r="W11" i="3"/>
  <c r="X11" i="3"/>
  <c r="M27" i="3"/>
  <c r="S27" i="3"/>
  <c r="U27" i="3"/>
  <c r="AC27" i="3" s="1"/>
  <c r="V27" i="3"/>
  <c r="W27" i="3"/>
  <c r="X27" i="3"/>
  <c r="M23" i="3"/>
  <c r="R23" i="3"/>
  <c r="S23" i="3"/>
  <c r="U23" i="3"/>
  <c r="AC23" i="3" s="1"/>
  <c r="V23" i="3"/>
  <c r="W23" i="3"/>
  <c r="X23" i="3"/>
  <c r="AD23" i="3"/>
  <c r="M28" i="3"/>
  <c r="R28" i="3"/>
  <c r="U28" i="3"/>
  <c r="T28" i="3" s="1"/>
  <c r="V28" i="3"/>
  <c r="W28" i="3"/>
  <c r="Y28" i="3" s="1"/>
  <c r="X28" i="3"/>
  <c r="AC28" i="3"/>
  <c r="M21" i="3"/>
  <c r="R21" i="3"/>
  <c r="U21" i="3"/>
  <c r="V21" i="3"/>
  <c r="W21" i="3"/>
  <c r="X21" i="3"/>
  <c r="M10" i="3"/>
  <c r="R10" i="3"/>
  <c r="S10" i="3"/>
  <c r="U10" i="3"/>
  <c r="AC10" i="3" s="1"/>
  <c r="V10" i="3"/>
  <c r="W10" i="3"/>
  <c r="X10" i="3"/>
  <c r="M29" i="3"/>
  <c r="R29" i="3"/>
  <c r="U29" i="3"/>
  <c r="AC29" i="3" s="1"/>
  <c r="V29" i="3"/>
  <c r="W29" i="3"/>
  <c r="X29" i="3"/>
  <c r="M30" i="3"/>
  <c r="S30" i="3"/>
  <c r="U30" i="3"/>
  <c r="T30" i="3" s="1"/>
  <c r="V30" i="3"/>
  <c r="W30" i="3"/>
  <c r="X30" i="3"/>
  <c r="AC30" i="3"/>
  <c r="M19" i="3"/>
  <c r="S19" i="3"/>
  <c r="U19" i="3"/>
  <c r="V19" i="3"/>
  <c r="W19" i="3"/>
  <c r="Y19" i="3" s="1"/>
  <c r="X19" i="3"/>
  <c r="M24" i="3"/>
  <c r="R24" i="3"/>
  <c r="U24" i="3"/>
  <c r="AC24" i="3" s="1"/>
  <c r="V24" i="3"/>
  <c r="W24" i="3"/>
  <c r="X24" i="3"/>
  <c r="M34" i="3"/>
  <c r="R34" i="3"/>
  <c r="S34" i="3"/>
  <c r="U34" i="3"/>
  <c r="AC34" i="3" s="1"/>
  <c r="V34" i="3"/>
  <c r="W34" i="3"/>
  <c r="X34" i="3"/>
  <c r="AD34" i="3"/>
  <c r="M33" i="3"/>
  <c r="R33" i="3"/>
  <c r="S33" i="3"/>
  <c r="U33" i="3"/>
  <c r="T33" i="3" s="1"/>
  <c r="V33" i="3"/>
  <c r="W33" i="3"/>
  <c r="X33" i="3"/>
  <c r="AC33" i="3"/>
  <c r="M32" i="3"/>
  <c r="R32" i="3"/>
  <c r="S32" i="3"/>
  <c r="U32" i="3"/>
  <c r="AD32" i="3" s="1"/>
  <c r="V32" i="3"/>
  <c r="W32" i="3"/>
  <c r="X32" i="3"/>
  <c r="Y32" i="3"/>
  <c r="M14" i="3"/>
  <c r="R14" i="3"/>
  <c r="S14" i="3"/>
  <c r="U14" i="3"/>
  <c r="AC14" i="3" s="1"/>
  <c r="V14" i="3"/>
  <c r="W14" i="3"/>
  <c r="X14" i="3"/>
  <c r="M20" i="3"/>
  <c r="U20" i="3"/>
  <c r="AC20" i="3" s="1"/>
  <c r="V20" i="3"/>
  <c r="W20" i="3"/>
  <c r="X20" i="3"/>
  <c r="AD20" i="3"/>
  <c r="M25" i="3"/>
  <c r="U25" i="3"/>
  <c r="T25" i="3" s="1"/>
  <c r="V25" i="3"/>
  <c r="AE25" i="3" s="1"/>
  <c r="W25" i="3"/>
  <c r="X25" i="3"/>
  <c r="AC25" i="3"/>
  <c r="AD25" i="3"/>
  <c r="M12" i="3"/>
  <c r="R12" i="3"/>
  <c r="S12" i="3"/>
  <c r="U12" i="3"/>
  <c r="AC12" i="3" s="1"/>
  <c r="V12" i="3"/>
  <c r="W12" i="3"/>
  <c r="X12" i="3"/>
  <c r="M8" i="3"/>
  <c r="S8" i="3"/>
  <c r="U8" i="3"/>
  <c r="AC8" i="3" s="1"/>
  <c r="V8" i="3"/>
  <c r="W8" i="3"/>
  <c r="X8" i="3"/>
  <c r="M22" i="3"/>
  <c r="U22" i="3"/>
  <c r="AC22" i="3" s="1"/>
  <c r="V22" i="3"/>
  <c r="W22" i="3"/>
  <c r="X22" i="3"/>
  <c r="AD22" i="3"/>
  <c r="AE22" i="3"/>
  <c r="M18" i="3"/>
  <c r="S18" i="3"/>
  <c r="U18" i="3"/>
  <c r="T18" i="3" s="1"/>
  <c r="V18" i="3"/>
  <c r="W18" i="3"/>
  <c r="X18" i="3"/>
  <c r="AC18" i="3"/>
  <c r="M9" i="3"/>
  <c r="R9" i="3"/>
  <c r="U9" i="3"/>
  <c r="AD9" i="3" s="1"/>
  <c r="V9" i="3"/>
  <c r="W9" i="3"/>
  <c r="X9" i="3"/>
  <c r="M31" i="3"/>
  <c r="R31" i="3"/>
  <c r="S31" i="3"/>
  <c r="U31" i="3"/>
  <c r="AC31" i="3" s="1"/>
  <c r="V31" i="3"/>
  <c r="W31" i="3"/>
  <c r="X31" i="3"/>
  <c r="Y31" i="3"/>
  <c r="M26" i="3"/>
  <c r="S26" i="3"/>
  <c r="U26" i="3"/>
  <c r="AC26" i="3" s="1"/>
  <c r="V26" i="3"/>
  <c r="W26" i="3"/>
  <c r="X26" i="3"/>
  <c r="AD26" i="3"/>
  <c r="M7" i="3"/>
  <c r="R7" i="3"/>
  <c r="S7" i="3"/>
  <c r="U7" i="3"/>
  <c r="T7" i="3" s="1"/>
  <c r="V7" i="3"/>
  <c r="W7" i="3"/>
  <c r="X7" i="3"/>
  <c r="AC7" i="3"/>
  <c r="M16" i="3"/>
  <c r="R16" i="3"/>
  <c r="S16" i="3"/>
  <c r="U16" i="3"/>
  <c r="AD16" i="3" s="1"/>
  <c r="V16" i="3"/>
  <c r="W16" i="3"/>
  <c r="X16" i="3"/>
  <c r="M13" i="3"/>
  <c r="R13" i="3"/>
  <c r="S13" i="3"/>
  <c r="U13" i="3"/>
  <c r="AC13" i="3" s="1"/>
  <c r="V13" i="3"/>
  <c r="W13" i="3"/>
  <c r="X13" i="3"/>
  <c r="M15" i="3"/>
  <c r="U15" i="3"/>
  <c r="AC15" i="3" s="1"/>
  <c r="V15" i="3"/>
  <c r="W15" i="3"/>
  <c r="X15" i="3"/>
  <c r="AD15" i="3"/>
  <c r="Y27" i="3" l="1"/>
  <c r="Y24" i="3"/>
  <c r="Y21" i="3"/>
  <c r="Y11" i="3"/>
  <c r="AE15" i="3"/>
  <c r="Y13" i="3"/>
  <c r="Y12" i="3"/>
  <c r="Y14" i="3"/>
  <c r="AD7" i="3"/>
  <c r="AE7" i="3"/>
  <c r="X163" i="1"/>
  <c r="AA145" i="1"/>
  <c r="W145" i="1" s="1"/>
  <c r="AA140" i="1"/>
  <c r="AI122" i="1"/>
  <c r="T96" i="1"/>
  <c r="W70" i="1"/>
  <c r="AA56" i="1"/>
  <c r="AA48" i="1"/>
  <c r="W48" i="1" s="1"/>
  <c r="AA44" i="1"/>
  <c r="W44" i="1" s="1"/>
  <c r="AA34" i="1"/>
  <c r="X28" i="1"/>
  <c r="AA221" i="1"/>
  <c r="X203" i="1"/>
  <c r="AA199" i="1"/>
  <c r="AA196" i="1"/>
  <c r="X195" i="1"/>
  <c r="AA191" i="1"/>
  <c r="AA188" i="1"/>
  <c r="X187" i="1"/>
  <c r="AA183" i="1"/>
  <c r="AA180" i="1"/>
  <c r="X179" i="1"/>
  <c r="AA175" i="1"/>
  <c r="AA172" i="1"/>
  <c r="X171" i="1"/>
  <c r="AA167" i="1"/>
  <c r="T162" i="1"/>
  <c r="U158" i="1"/>
  <c r="S158" i="1" s="1"/>
  <c r="AI157" i="1"/>
  <c r="AA231" i="1"/>
  <c r="AA227" i="1"/>
  <c r="AA225" i="1"/>
  <c r="X217" i="1"/>
  <c r="T213" i="1"/>
  <c r="AA212" i="1"/>
  <c r="W212" i="1" s="1"/>
  <c r="AA211" i="1"/>
  <c r="T209" i="1"/>
  <c r="T208" i="1"/>
  <c r="AA204" i="1"/>
  <c r="W204" i="1" s="1"/>
  <c r="AA150" i="1"/>
  <c r="W150" i="1" s="1"/>
  <c r="AA142" i="1"/>
  <c r="AA136" i="1"/>
  <c r="AA130" i="1"/>
  <c r="AA125" i="1"/>
  <c r="AI123" i="1"/>
  <c r="T115" i="1"/>
  <c r="AG113" i="1"/>
  <c r="X113" i="1"/>
  <c r="AA110" i="1"/>
  <c r="T103" i="1"/>
  <c r="AA100" i="1"/>
  <c r="X99" i="1"/>
  <c r="AA93" i="1"/>
  <c r="W93" i="1" s="1"/>
  <c r="AG91" i="1"/>
  <c r="AA90" i="1"/>
  <c r="AA81" i="1"/>
  <c r="AA73" i="1"/>
  <c r="AG71" i="1"/>
  <c r="X71" i="1"/>
  <c r="AA67" i="1"/>
  <c r="AA60" i="1"/>
  <c r="AA58" i="1"/>
  <c r="AA220" i="1"/>
  <c r="W220" i="1" s="1"/>
  <c r="X202" i="1"/>
  <c r="AA198" i="1"/>
  <c r="W198" i="1" s="1"/>
  <c r="X194" i="1"/>
  <c r="AA190" i="1"/>
  <c r="W190" i="1" s="1"/>
  <c r="X186" i="1"/>
  <c r="AA182" i="1"/>
  <c r="W182" i="1" s="1"/>
  <c r="X178" i="1"/>
  <c r="AA174" i="1"/>
  <c r="W174" i="1" s="1"/>
  <c r="X170" i="1"/>
  <c r="T163" i="1"/>
  <c r="AA162" i="1"/>
  <c r="W162" i="1" s="1"/>
  <c r="T230" i="1"/>
  <c r="AA216" i="1"/>
  <c r="W216" i="1" s="1"/>
  <c r="U213" i="1"/>
  <c r="S213" i="1" s="1"/>
  <c r="AA155" i="1"/>
  <c r="W154" i="1"/>
  <c r="U150" i="1"/>
  <c r="S150" i="1" s="1"/>
  <c r="AA137" i="1"/>
  <c r="AA134" i="1"/>
  <c r="AA126" i="1"/>
  <c r="AA26" i="1"/>
  <c r="AA23" i="1"/>
  <c r="AA169" i="1"/>
  <c r="W165" i="1"/>
  <c r="AG120" i="1"/>
  <c r="W120" i="1" s="1"/>
  <c r="AA119" i="1"/>
  <c r="AA116" i="1"/>
  <c r="AA113" i="1"/>
  <c r="AA109" i="1"/>
  <c r="AA99" i="1"/>
  <c r="W99" i="1" s="1"/>
  <c r="T99" i="1"/>
  <c r="X94" i="1"/>
  <c r="AA92" i="1"/>
  <c r="AA91" i="1"/>
  <c r="AI77" i="1"/>
  <c r="AA75" i="1"/>
  <c r="W75" i="1" s="1"/>
  <c r="X74" i="1"/>
  <c r="U71" i="1"/>
  <c r="AA61" i="1"/>
  <c r="T41" i="1"/>
  <c r="AA40" i="1"/>
  <c r="AA36" i="1"/>
  <c r="W36" i="1" s="1"/>
  <c r="X36" i="1"/>
  <c r="AA28" i="1"/>
  <c r="W28" i="1" s="1"/>
  <c r="T17" i="1"/>
  <c r="AI124" i="1"/>
  <c r="AI108" i="1"/>
  <c r="W215" i="1"/>
  <c r="T220" i="1"/>
  <c r="T198" i="1"/>
  <c r="T190" i="1"/>
  <c r="T182" i="1"/>
  <c r="U182" i="1" s="1"/>
  <c r="S182" i="1" s="1"/>
  <c r="W158" i="1"/>
  <c r="T140" i="1"/>
  <c r="W108" i="1"/>
  <c r="AI104" i="1"/>
  <c r="U104" i="1"/>
  <c r="U91" i="1"/>
  <c r="AI91" i="1"/>
  <c r="W77" i="1"/>
  <c r="T67" i="1"/>
  <c r="U67" i="1" s="1"/>
  <c r="S67" i="1" s="1"/>
  <c r="X67" i="1"/>
  <c r="AG67" i="1"/>
  <c r="W67" i="1" s="1"/>
  <c r="T38" i="1"/>
  <c r="X38" i="1"/>
  <c r="AG38" i="1"/>
  <c r="U33" i="1"/>
  <c r="AI33" i="1"/>
  <c r="T21" i="1"/>
  <c r="X21" i="1"/>
  <c r="AG21" i="1"/>
  <c r="AG167" i="1"/>
  <c r="X167" i="1"/>
  <c r="X166" i="1"/>
  <c r="X232" i="1"/>
  <c r="AG231" i="1"/>
  <c r="W231" i="1" s="1"/>
  <c r="X231" i="1"/>
  <c r="AG227" i="1"/>
  <c r="U227" i="1" s="1"/>
  <c r="W217" i="1"/>
  <c r="AG214" i="1"/>
  <c r="X214" i="1"/>
  <c r="W213" i="1"/>
  <c r="AA209" i="1"/>
  <c r="AG206" i="1"/>
  <c r="U206" i="1" s="1"/>
  <c r="S206" i="1" s="1"/>
  <c r="X206" i="1"/>
  <c r="AA205" i="1"/>
  <c r="T153" i="1"/>
  <c r="X149" i="1"/>
  <c r="AA144" i="1"/>
  <c r="W144" i="1" s="1"/>
  <c r="AG142" i="1"/>
  <c r="X142" i="1"/>
  <c r="AG140" i="1"/>
  <c r="AI140" i="1" s="1"/>
  <c r="W138" i="1"/>
  <c r="AG136" i="1"/>
  <c r="AA132" i="1"/>
  <c r="AG129" i="1"/>
  <c r="X129" i="1"/>
  <c r="AA128" i="1"/>
  <c r="W124" i="1"/>
  <c r="AG121" i="1"/>
  <c r="U121" i="1" s="1"/>
  <c r="X121" i="1"/>
  <c r="AG119" i="1"/>
  <c r="AI119" i="1" s="1"/>
  <c r="X119" i="1"/>
  <c r="T108" i="1"/>
  <c r="U108" i="1" s="1"/>
  <c r="S108" i="1" s="1"/>
  <c r="T106" i="1"/>
  <c r="U106" i="1" s="1"/>
  <c r="S106" i="1" s="1"/>
  <c r="AG106" i="1"/>
  <c r="AA106" i="1"/>
  <c r="AG102" i="1"/>
  <c r="AI102" i="1" s="1"/>
  <c r="S91" i="1"/>
  <c r="AG87" i="1"/>
  <c r="W87" i="1" s="1"/>
  <c r="X87" i="1"/>
  <c r="T86" i="1"/>
  <c r="T79" i="1"/>
  <c r="U79" i="1" s="1"/>
  <c r="S79" i="1" s="1"/>
  <c r="AG76" i="1"/>
  <c r="U76" i="1" s="1"/>
  <c r="S76" i="1" s="1"/>
  <c r="X76" i="1"/>
  <c r="T174" i="1"/>
  <c r="T216" i="1"/>
  <c r="U216" i="1" s="1"/>
  <c r="S216" i="1" s="1"/>
  <c r="U154" i="1"/>
  <c r="S154" i="1" s="1"/>
  <c r="W130" i="1"/>
  <c r="U120" i="1"/>
  <c r="S120" i="1" s="1"/>
  <c r="AG221" i="1"/>
  <c r="AI231" i="1" s="1"/>
  <c r="X221" i="1"/>
  <c r="X199" i="1"/>
  <c r="X190" i="1"/>
  <c r="T186" i="1"/>
  <c r="X174" i="1"/>
  <c r="T170" i="1"/>
  <c r="W159" i="1"/>
  <c r="X224" i="1"/>
  <c r="T217" i="1"/>
  <c r="U217" i="1" s="1"/>
  <c r="S217" i="1" s="1"/>
  <c r="X216" i="1"/>
  <c r="AG209" i="1"/>
  <c r="AG205" i="1"/>
  <c r="AI154" i="1"/>
  <c r="AG151" i="1"/>
  <c r="W151" i="1" s="1"/>
  <c r="X151" i="1"/>
  <c r="AI150" i="1"/>
  <c r="AA146" i="1"/>
  <c r="T139" i="1"/>
  <c r="AI135" i="1"/>
  <c r="AG132" i="1"/>
  <c r="AG128" i="1"/>
  <c r="T124" i="1"/>
  <c r="U124" i="1" s="1"/>
  <c r="S124" i="1" s="1"/>
  <c r="X123" i="1"/>
  <c r="AI120" i="1"/>
  <c r="AG112" i="1"/>
  <c r="U112" i="1" s="1"/>
  <c r="AA96" i="1"/>
  <c r="X95" i="1"/>
  <c r="T94" i="1"/>
  <c r="W91" i="1"/>
  <c r="X80" i="1"/>
  <c r="T51" i="1"/>
  <c r="X51" i="1"/>
  <c r="AG51" i="1"/>
  <c r="AG20" i="1"/>
  <c r="W20" i="1" s="1"/>
  <c r="X20" i="1"/>
  <c r="W207" i="1"/>
  <c r="W152" i="1"/>
  <c r="W142" i="1"/>
  <c r="T123" i="1"/>
  <c r="AG199" i="1"/>
  <c r="AG191" i="1"/>
  <c r="AI215" i="1" s="1"/>
  <c r="X191" i="1"/>
  <c r="AG183" i="1"/>
  <c r="W183" i="1" s="1"/>
  <c r="X183" i="1"/>
  <c r="AG175" i="1"/>
  <c r="W175" i="1" s="1"/>
  <c r="X175" i="1"/>
  <c r="S20" i="3"/>
  <c r="X220" i="1"/>
  <c r="AA203" i="1"/>
  <c r="T202" i="1"/>
  <c r="X198" i="1"/>
  <c r="AA195" i="1"/>
  <c r="T194" i="1"/>
  <c r="AA187" i="1"/>
  <c r="X182" i="1"/>
  <c r="AA179" i="1"/>
  <c r="T178" i="1"/>
  <c r="AA171" i="1"/>
  <c r="AA163" i="1"/>
  <c r="AG161" i="1"/>
  <c r="AI161" i="1" s="1"/>
  <c r="AA222" i="1"/>
  <c r="AG203" i="1"/>
  <c r="AA200" i="1"/>
  <c r="AG195" i="1"/>
  <c r="AA192" i="1"/>
  <c r="AG187" i="1"/>
  <c r="AA184" i="1"/>
  <c r="AG179" i="1"/>
  <c r="AA176" i="1"/>
  <c r="AG171" i="1"/>
  <c r="AA168" i="1"/>
  <c r="AA166" i="1"/>
  <c r="W166" i="1" s="1"/>
  <c r="T166" i="1"/>
  <c r="AG163" i="1"/>
  <c r="U163" i="1" s="1"/>
  <c r="X162" i="1"/>
  <c r="AA160" i="1"/>
  <c r="U159" i="1"/>
  <c r="X157" i="1"/>
  <c r="AA229" i="1"/>
  <c r="W229" i="1" s="1"/>
  <c r="AA226" i="1"/>
  <c r="W226" i="1" s="1"/>
  <c r="AA214" i="1"/>
  <c r="AA206" i="1"/>
  <c r="AA156" i="1"/>
  <c r="X153" i="1"/>
  <c r="AA149" i="1"/>
  <c r="W149" i="1" s="1"/>
  <c r="AA148" i="1"/>
  <c r="W148" i="1" s="1"/>
  <c r="AG146" i="1"/>
  <c r="AA141" i="1"/>
  <c r="AG137" i="1"/>
  <c r="W137" i="1" s="1"/>
  <c r="X137" i="1"/>
  <c r="X135" i="1"/>
  <c r="AA129" i="1"/>
  <c r="AA127" i="1"/>
  <c r="AA121" i="1"/>
  <c r="W121" i="1" s="1"/>
  <c r="AA118" i="1"/>
  <c r="AG116" i="1"/>
  <c r="U116" i="1" s="1"/>
  <c r="S116" i="1" s="1"/>
  <c r="X116" i="1"/>
  <c r="AA104" i="1"/>
  <c r="W104" i="1" s="1"/>
  <c r="X103" i="1"/>
  <c r="AA102" i="1"/>
  <c r="W102" i="1" s="1"/>
  <c r="T98" i="1"/>
  <c r="AG98" i="1"/>
  <c r="T92" i="1"/>
  <c r="X92" i="1"/>
  <c r="AG92" i="1"/>
  <c r="W92" i="1" s="1"/>
  <c r="AG90" i="1"/>
  <c r="AI90" i="1" s="1"/>
  <c r="X90" i="1"/>
  <c r="AA85" i="1"/>
  <c r="W85" i="1" s="1"/>
  <c r="AG84" i="1"/>
  <c r="X84" i="1"/>
  <c r="AG83" i="1"/>
  <c r="X79" i="1"/>
  <c r="AI78" i="1"/>
  <c r="T75" i="1"/>
  <c r="U75" i="1" s="1"/>
  <c r="S75" i="1" s="1"/>
  <c r="AA74" i="1"/>
  <c r="W74" i="1" s="1"/>
  <c r="AI74" i="1"/>
  <c r="X63" i="1"/>
  <c r="AG63" i="1"/>
  <c r="U63" i="1" s="1"/>
  <c r="X54" i="1"/>
  <c r="AA15" i="1"/>
  <c r="AA71" i="1"/>
  <c r="U66" i="1"/>
  <c r="S66" i="1" s="1"/>
  <c r="T66" i="1"/>
  <c r="T62" i="1"/>
  <c r="AA55" i="1"/>
  <c r="T55" i="1"/>
  <c r="AA43" i="1"/>
  <c r="W43" i="1" s="1"/>
  <c r="T37" i="1"/>
  <c r="T32" i="1"/>
  <c r="AA25" i="1"/>
  <c r="T25" i="1"/>
  <c r="AA14" i="1"/>
  <c r="AG55" i="1"/>
  <c r="T54" i="1"/>
  <c r="U49" i="1"/>
  <c r="S49" i="1" s="1"/>
  <c r="AG37" i="1"/>
  <c r="W37" i="1" s="1"/>
  <c r="AG25" i="1"/>
  <c r="U25" i="1" s="1"/>
  <c r="T24" i="1"/>
  <c r="AA17" i="1"/>
  <c r="T16" i="1"/>
  <c r="AA114" i="1"/>
  <c r="W114" i="1" s="1"/>
  <c r="AA111" i="1"/>
  <c r="X109" i="1"/>
  <c r="AA105" i="1"/>
  <c r="W105" i="1" s="1"/>
  <c r="AA101" i="1"/>
  <c r="AA84" i="1"/>
  <c r="AA82" i="1"/>
  <c r="AA76" i="1"/>
  <c r="W76" i="1" s="1"/>
  <c r="AA69" i="1"/>
  <c r="AA68" i="1"/>
  <c r="X66" i="1"/>
  <c r="AA64" i="1"/>
  <c r="X62" i="1"/>
  <c r="AA59" i="1"/>
  <c r="T58" i="1"/>
  <c r="AA52" i="1"/>
  <c r="AA50" i="1"/>
  <c r="AA47" i="1"/>
  <c r="AA45" i="1"/>
  <c r="W45" i="1" s="1"/>
  <c r="AA38" i="1"/>
  <c r="W38" i="1" s="1"/>
  <c r="AI36" i="1"/>
  <c r="AA33" i="1"/>
  <c r="W33" i="1" s="1"/>
  <c r="X32" i="1"/>
  <c r="T28" i="1"/>
  <c r="AA22" i="1"/>
  <c r="AG17" i="1"/>
  <c r="U17" i="1" s="1"/>
  <c r="U220" i="1"/>
  <c r="S220" i="1" s="1"/>
  <c r="AI230" i="1"/>
  <c r="U198" i="1"/>
  <c r="S198" i="1" s="1"/>
  <c r="U190" i="1"/>
  <c r="S190" i="1" s="1"/>
  <c r="AI206" i="1"/>
  <c r="U174" i="1"/>
  <c r="S174" i="1" s="1"/>
  <c r="AI198" i="1"/>
  <c r="U166" i="1"/>
  <c r="S166" i="1" s="1"/>
  <c r="AI190" i="1"/>
  <c r="U165" i="1"/>
  <c r="S165" i="1" s="1"/>
  <c r="U228" i="1"/>
  <c r="AI148" i="1"/>
  <c r="U202" i="1"/>
  <c r="S202" i="1" s="1"/>
  <c r="AI226" i="1"/>
  <c r="U194" i="1"/>
  <c r="S194" i="1" s="1"/>
  <c r="U186" i="1"/>
  <c r="S186" i="1" s="1"/>
  <c r="U178" i="1"/>
  <c r="S178" i="1" s="1"/>
  <c r="AI202" i="1"/>
  <c r="U170" i="1"/>
  <c r="S170" i="1" s="1"/>
  <c r="AI194" i="1"/>
  <c r="U162" i="1"/>
  <c r="S162" i="1" s="1"/>
  <c r="AI186" i="1"/>
  <c r="U187" i="1"/>
  <c r="S187" i="1" s="1"/>
  <c r="T232" i="1"/>
  <c r="T211" i="1"/>
  <c r="X211" i="1"/>
  <c r="AI128" i="1"/>
  <c r="AG127" i="1"/>
  <c r="X127" i="1"/>
  <c r="T127" i="1"/>
  <c r="X128" i="1"/>
  <c r="AI96" i="1"/>
  <c r="U96" i="1"/>
  <c r="S96" i="1" s="1"/>
  <c r="AG180" i="1"/>
  <c r="W180" i="1" s="1"/>
  <c r="AG176" i="1"/>
  <c r="AI176" i="1" s="1"/>
  <c r="AG172" i="1"/>
  <c r="AG168" i="1"/>
  <c r="AG164" i="1"/>
  <c r="W164" i="1" s="1"/>
  <c r="AG160" i="1"/>
  <c r="AI160" i="1" s="1"/>
  <c r="AG232" i="1"/>
  <c r="U230" i="1"/>
  <c r="X227" i="1"/>
  <c r="T226" i="1"/>
  <c r="T215" i="1"/>
  <c r="X215" i="1"/>
  <c r="U215" i="1"/>
  <c r="S215" i="1" s="1"/>
  <c r="AG211" i="1"/>
  <c r="W211" i="1" s="1"/>
  <c r="AG210" i="1"/>
  <c r="AI210" i="1" s="1"/>
  <c r="X210" i="1"/>
  <c r="U209" i="1"/>
  <c r="S209" i="1" s="1"/>
  <c r="U208" i="1"/>
  <c r="X205" i="1"/>
  <c r="T204" i="1"/>
  <c r="T152" i="1"/>
  <c r="U152" i="1" s="1"/>
  <c r="S152" i="1" s="1"/>
  <c r="X152" i="1"/>
  <c r="AG147" i="1"/>
  <c r="X147" i="1"/>
  <c r="U146" i="1"/>
  <c r="S146" i="1" s="1"/>
  <c r="U145" i="1"/>
  <c r="AI143" i="1"/>
  <c r="U143" i="1"/>
  <c r="S143" i="1" s="1"/>
  <c r="U128" i="1"/>
  <c r="S128" i="1" s="1"/>
  <c r="AI114" i="1"/>
  <c r="U58" i="1"/>
  <c r="S58" i="1" s="1"/>
  <c r="AI58" i="1"/>
  <c r="S42" i="1"/>
  <c r="AI42" i="1"/>
  <c r="U42" i="1"/>
  <c r="AA41" i="1"/>
  <c r="W41" i="1" s="1"/>
  <c r="U41" i="1"/>
  <c r="S41" i="1" s="1"/>
  <c r="T233" i="1"/>
  <c r="U233" i="1" s="1"/>
  <c r="S233" i="1" s="1"/>
  <c r="X233" i="1"/>
  <c r="U204" i="1"/>
  <c r="S204" i="1" s="1"/>
  <c r="T118" i="1"/>
  <c r="X118" i="1"/>
  <c r="AG118" i="1"/>
  <c r="X117" i="1"/>
  <c r="AG117" i="1"/>
  <c r="AG189" i="1"/>
  <c r="AI189" i="1" s="1"/>
  <c r="AG181" i="1"/>
  <c r="AI181" i="1" s="1"/>
  <c r="X164" i="1"/>
  <c r="AI187" i="1"/>
  <c r="S163" i="1"/>
  <c r="X160" i="1"/>
  <c r="S159" i="1"/>
  <c r="AI183" i="1"/>
  <c r="W228" i="1"/>
  <c r="AI174" i="1"/>
  <c r="S227" i="1"/>
  <c r="X226" i="1"/>
  <c r="T225" i="1"/>
  <c r="X225" i="1"/>
  <c r="T224" i="1"/>
  <c r="AI167" i="1"/>
  <c r="AI158" i="1"/>
  <c r="X204" i="1"/>
  <c r="T156" i="1"/>
  <c r="X156" i="1"/>
  <c r="T155" i="1"/>
  <c r="AI151" i="1"/>
  <c r="AI144" i="1"/>
  <c r="X143" i="1"/>
  <c r="U140" i="1"/>
  <c r="S140" i="1" s="1"/>
  <c r="U137" i="1"/>
  <c r="T134" i="1"/>
  <c r="X134" i="1"/>
  <c r="AG134" i="1"/>
  <c r="W134" i="1" s="1"/>
  <c r="X133" i="1"/>
  <c r="AG133" i="1"/>
  <c r="AI130" i="1"/>
  <c r="T117" i="1"/>
  <c r="AI113" i="1"/>
  <c r="U113" i="1"/>
  <c r="S113" i="1" s="1"/>
  <c r="AG107" i="1"/>
  <c r="X108" i="1"/>
  <c r="T107" i="1"/>
  <c r="X107" i="1"/>
  <c r="AI100" i="1"/>
  <c r="U100" i="1"/>
  <c r="S100" i="1" s="1"/>
  <c r="AI84" i="1"/>
  <c r="U84" i="1"/>
  <c r="S84" i="1" s="1"/>
  <c r="AA83" i="1"/>
  <c r="W83" i="1" s="1"/>
  <c r="U83" i="1"/>
  <c r="S83" i="1" s="1"/>
  <c r="T69" i="1"/>
  <c r="X69" i="1"/>
  <c r="AG69" i="1"/>
  <c r="X70" i="1"/>
  <c r="U203" i="1"/>
  <c r="S203" i="1" s="1"/>
  <c r="U199" i="1"/>
  <c r="S199" i="1" s="1"/>
  <c r="U191" i="1"/>
  <c r="S191" i="1" s="1"/>
  <c r="U183" i="1"/>
  <c r="S183" i="1" s="1"/>
  <c r="U179" i="1"/>
  <c r="S179" i="1" s="1"/>
  <c r="U175" i="1"/>
  <c r="S175" i="1" s="1"/>
  <c r="U171" i="1"/>
  <c r="S171" i="1" s="1"/>
  <c r="S228" i="1"/>
  <c r="AI175" i="1"/>
  <c r="U226" i="1"/>
  <c r="S226" i="1" s="1"/>
  <c r="AI159" i="1"/>
  <c r="T148" i="1"/>
  <c r="U148" i="1" s="1"/>
  <c r="S148" i="1" s="1"/>
  <c r="X148" i="1"/>
  <c r="AG222" i="1"/>
  <c r="W222" i="1" s="1"/>
  <c r="AG218" i="1"/>
  <c r="AI218" i="1" s="1"/>
  <c r="AG200" i="1"/>
  <c r="W200" i="1" s="1"/>
  <c r="AG196" i="1"/>
  <c r="W196" i="1" s="1"/>
  <c r="AG192" i="1"/>
  <c r="AG188" i="1"/>
  <c r="AG184" i="1"/>
  <c r="R25" i="3"/>
  <c r="AG223" i="1"/>
  <c r="X222" i="1"/>
  <c r="AG219" i="1"/>
  <c r="X218" i="1"/>
  <c r="AI227" i="1"/>
  <c r="AG201" i="1"/>
  <c r="X200" i="1"/>
  <c r="AG197" i="1"/>
  <c r="W197" i="1" s="1"/>
  <c r="X196" i="1"/>
  <c r="AI219" i="1"/>
  <c r="AG193" i="1"/>
  <c r="X192" i="1"/>
  <c r="X188" i="1"/>
  <c r="AI211" i="1"/>
  <c r="AG185" i="1"/>
  <c r="AI185" i="1" s="1"/>
  <c r="X184" i="1"/>
  <c r="AI207" i="1"/>
  <c r="X180" i="1"/>
  <c r="AI203" i="1"/>
  <c r="AG177" i="1"/>
  <c r="X176" i="1"/>
  <c r="AG173" i="1"/>
  <c r="AI173" i="1" s="1"/>
  <c r="X172" i="1"/>
  <c r="AG169" i="1"/>
  <c r="AI169" i="1" s="1"/>
  <c r="X168" i="1"/>
  <c r="X223" i="1"/>
  <c r="X219" i="1"/>
  <c r="X201" i="1"/>
  <c r="X197" i="1"/>
  <c r="X193" i="1"/>
  <c r="X189" i="1"/>
  <c r="X185" i="1"/>
  <c r="X181" i="1"/>
  <c r="X177" i="1"/>
  <c r="X173" i="1"/>
  <c r="X169" i="1"/>
  <c r="X165" i="1"/>
  <c r="X161" i="1"/>
  <c r="X158" i="1"/>
  <c r="T157" i="1"/>
  <c r="U157" i="1" s="1"/>
  <c r="S157" i="1" s="1"/>
  <c r="AA232" i="1"/>
  <c r="AI178" i="1"/>
  <c r="X230" i="1"/>
  <c r="S230" i="1"/>
  <c r="T229" i="1"/>
  <c r="U229" i="1" s="1"/>
  <c r="S229" i="1" s="1"/>
  <c r="X229" i="1"/>
  <c r="AG225" i="1"/>
  <c r="W225" i="1" s="1"/>
  <c r="AG224" i="1"/>
  <c r="X213" i="1"/>
  <c r="T212" i="1"/>
  <c r="U212" i="1" s="1"/>
  <c r="S212" i="1" s="1"/>
  <c r="AA210" i="1"/>
  <c r="W210" i="1" s="1"/>
  <c r="AI162" i="1"/>
  <c r="X208" i="1"/>
  <c r="S208" i="1"/>
  <c r="T207" i="1"/>
  <c r="U207" i="1" s="1"/>
  <c r="S207" i="1" s="1"/>
  <c r="X207" i="1"/>
  <c r="AG156" i="1"/>
  <c r="AG155" i="1"/>
  <c r="U153" i="1"/>
  <c r="S153" i="1" s="1"/>
  <c r="X150" i="1"/>
  <c r="T149" i="1"/>
  <c r="U149" i="1" s="1"/>
  <c r="S149" i="1" s="1"/>
  <c r="AA147" i="1"/>
  <c r="W147" i="1" s="1"/>
  <c r="AI146" i="1"/>
  <c r="X145" i="1"/>
  <c r="S145" i="1"/>
  <c r="T144" i="1"/>
  <c r="U144" i="1" s="1"/>
  <c r="S144" i="1" s="1"/>
  <c r="X144" i="1"/>
  <c r="AI142" i="1"/>
  <c r="U142" i="1"/>
  <c r="S142" i="1" s="1"/>
  <c r="AI129" i="1"/>
  <c r="U129" i="1"/>
  <c r="S129" i="1" s="1"/>
  <c r="W127" i="1"/>
  <c r="W118" i="1"/>
  <c r="S112" i="1"/>
  <c r="AI112" i="1"/>
  <c r="AG111" i="1"/>
  <c r="W111" i="1" s="1"/>
  <c r="X111" i="1"/>
  <c r="T111" i="1"/>
  <c r="X112" i="1"/>
  <c r="AI106" i="1"/>
  <c r="AI85" i="1"/>
  <c r="T138" i="1"/>
  <c r="U138" i="1" s="1"/>
  <c r="S138" i="1" s="1"/>
  <c r="X138" i="1"/>
  <c r="T122" i="1"/>
  <c r="U122" i="1" s="1"/>
  <c r="S122" i="1" s="1"/>
  <c r="X122" i="1"/>
  <c r="U115" i="1"/>
  <c r="S115" i="1" s="1"/>
  <c r="AI105" i="1"/>
  <c r="U105" i="1"/>
  <c r="S105" i="1" s="1"/>
  <c r="AI83" i="1"/>
  <c r="AG82" i="1"/>
  <c r="W82" i="1" s="1"/>
  <c r="X82" i="1"/>
  <c r="T82" i="1"/>
  <c r="X83" i="1"/>
  <c r="T73" i="1"/>
  <c r="X73" i="1"/>
  <c r="AG73" i="1"/>
  <c r="W73" i="1" s="1"/>
  <c r="T72" i="1"/>
  <c r="X72" i="1"/>
  <c r="AG72" i="1"/>
  <c r="S59" i="1"/>
  <c r="AI59" i="1"/>
  <c r="U59" i="1"/>
  <c r="T141" i="1"/>
  <c r="S137" i="1"/>
  <c r="AI137" i="1"/>
  <c r="T131" i="1"/>
  <c r="U131" i="1" s="1"/>
  <c r="S131" i="1" s="1"/>
  <c r="W129" i="1"/>
  <c r="T126" i="1"/>
  <c r="X126" i="1"/>
  <c r="T125" i="1"/>
  <c r="S121" i="1"/>
  <c r="AI121" i="1"/>
  <c r="W113" i="1"/>
  <c r="T110" i="1"/>
  <c r="X110" i="1"/>
  <c r="X105" i="1"/>
  <c r="S104" i="1"/>
  <c r="AI68" i="1"/>
  <c r="AI51" i="1"/>
  <c r="AG141" i="1"/>
  <c r="U139" i="1"/>
  <c r="S139" i="1" s="1"/>
  <c r="X136" i="1"/>
  <c r="T135" i="1"/>
  <c r="U135" i="1" s="1"/>
  <c r="S135" i="1" s="1"/>
  <c r="AA133" i="1"/>
  <c r="W133" i="1" s="1"/>
  <c r="X131" i="1"/>
  <c r="T130" i="1"/>
  <c r="U130" i="1" s="1"/>
  <c r="S130" i="1" s="1"/>
  <c r="X130" i="1"/>
  <c r="AG126" i="1"/>
  <c r="AG125" i="1"/>
  <c r="W125" i="1" s="1"/>
  <c r="U123" i="1"/>
  <c r="S123" i="1" s="1"/>
  <c r="X120" i="1"/>
  <c r="T119" i="1"/>
  <c r="AA117" i="1"/>
  <c r="W117" i="1" s="1"/>
  <c r="AI116" i="1"/>
  <c r="X115" i="1"/>
  <c r="T114" i="1"/>
  <c r="U114" i="1" s="1"/>
  <c r="S114" i="1" s="1"/>
  <c r="X114" i="1"/>
  <c r="AG110" i="1"/>
  <c r="AG109" i="1"/>
  <c r="W107" i="1"/>
  <c r="U103" i="1"/>
  <c r="S103" i="1" s="1"/>
  <c r="AI103" i="1"/>
  <c r="U102" i="1"/>
  <c r="S102" i="1" s="1"/>
  <c r="T101" i="1"/>
  <c r="X101" i="1"/>
  <c r="AG101" i="1"/>
  <c r="W100" i="1"/>
  <c r="U99" i="1"/>
  <c r="S99" i="1" s="1"/>
  <c r="AI99" i="1"/>
  <c r="U98" i="1"/>
  <c r="S98" i="1" s="1"/>
  <c r="T97" i="1"/>
  <c r="X97" i="1"/>
  <c r="AG97" i="1"/>
  <c r="W97" i="1" s="1"/>
  <c r="W96" i="1"/>
  <c r="U95" i="1"/>
  <c r="S95" i="1" s="1"/>
  <c r="AI95" i="1"/>
  <c r="T89" i="1"/>
  <c r="X89" i="1"/>
  <c r="AG89" i="1"/>
  <c r="W89" i="1" s="1"/>
  <c r="X88" i="1"/>
  <c r="AG88" i="1"/>
  <c r="W69" i="1"/>
  <c r="X104" i="1"/>
  <c r="X100" i="1"/>
  <c r="X96" i="1"/>
  <c r="T93" i="1"/>
  <c r="U93" i="1" s="1"/>
  <c r="S93" i="1" s="1"/>
  <c r="X93" i="1"/>
  <c r="U87" i="1"/>
  <c r="S87" i="1" s="1"/>
  <c r="U86" i="1"/>
  <c r="S86" i="1" s="1"/>
  <c r="AA80" i="1"/>
  <c r="T77" i="1"/>
  <c r="U77" i="1" s="1"/>
  <c r="S77" i="1" s="1"/>
  <c r="X77" i="1"/>
  <c r="W71" i="1"/>
  <c r="AI67" i="1"/>
  <c r="T64" i="1"/>
  <c r="X64" i="1"/>
  <c r="AG64" i="1"/>
  <c r="W64" i="1" s="1"/>
  <c r="W63" i="1"/>
  <c r="W62" i="1"/>
  <c r="T56" i="1"/>
  <c r="X56" i="1"/>
  <c r="AG56" i="1"/>
  <c r="W55" i="1"/>
  <c r="W54" i="1"/>
  <c r="AI41" i="1"/>
  <c r="AG40" i="1"/>
  <c r="W40" i="1" s="1"/>
  <c r="X40" i="1"/>
  <c r="T40" i="1"/>
  <c r="X41" i="1"/>
  <c r="AI92" i="1"/>
  <c r="W84" i="1"/>
  <c r="T81" i="1"/>
  <c r="X81" i="1"/>
  <c r="T80" i="1"/>
  <c r="AI76" i="1"/>
  <c r="S71" i="1"/>
  <c r="AI71" i="1"/>
  <c r="W68" i="1"/>
  <c r="S63" i="1"/>
  <c r="AI63" i="1"/>
  <c r="U62" i="1"/>
  <c r="S62" i="1" s="1"/>
  <c r="AI62" i="1"/>
  <c r="AI55" i="1"/>
  <c r="U54" i="1"/>
  <c r="S54" i="1" s="1"/>
  <c r="AI54" i="1"/>
  <c r="T30" i="1"/>
  <c r="X30" i="1"/>
  <c r="AG30" i="1"/>
  <c r="AA29" i="1"/>
  <c r="W29" i="1" s="1"/>
  <c r="U29" i="1"/>
  <c r="S29" i="1" s="1"/>
  <c r="T22" i="1"/>
  <c r="X22" i="1"/>
  <c r="AG22" i="1"/>
  <c r="W22" i="1" s="1"/>
  <c r="AA21" i="1"/>
  <c r="W21" i="1" s="1"/>
  <c r="U21" i="1"/>
  <c r="S21" i="1" s="1"/>
  <c r="X106" i="1"/>
  <c r="X102" i="1"/>
  <c r="X98" i="1"/>
  <c r="U94" i="1"/>
  <c r="S94" i="1" s="1"/>
  <c r="X91" i="1"/>
  <c r="T90" i="1"/>
  <c r="U90" i="1" s="1"/>
  <c r="S90" i="1" s="1"/>
  <c r="AA88" i="1"/>
  <c r="W88" i="1" s="1"/>
  <c r="AI87" i="1"/>
  <c r="X86" i="1"/>
  <c r="T85" i="1"/>
  <c r="U85" i="1" s="1"/>
  <c r="S85" i="1" s="1"/>
  <c r="X85" i="1"/>
  <c r="AG81" i="1"/>
  <c r="AG80" i="1"/>
  <c r="U78" i="1"/>
  <c r="S78" i="1" s="1"/>
  <c r="X75" i="1"/>
  <c r="T74" i="1"/>
  <c r="U74" i="1" s="1"/>
  <c r="S74" i="1" s="1"/>
  <c r="AA72" i="1"/>
  <c r="W72" i="1" s="1"/>
  <c r="U70" i="1"/>
  <c r="S70" i="1" s="1"/>
  <c r="T68" i="1"/>
  <c r="U68" i="1" s="1"/>
  <c r="S68" i="1" s="1"/>
  <c r="X68" i="1"/>
  <c r="T60" i="1"/>
  <c r="X60" i="1"/>
  <c r="AG60" i="1"/>
  <c r="W60" i="1" s="1"/>
  <c r="W59" i="1"/>
  <c r="W58" i="1"/>
  <c r="T52" i="1"/>
  <c r="X52" i="1"/>
  <c r="AG52" i="1"/>
  <c r="T47" i="1"/>
  <c r="X47" i="1"/>
  <c r="AG47" i="1"/>
  <c r="X46" i="1"/>
  <c r="AG46" i="1"/>
  <c r="AI43" i="1"/>
  <c r="T50" i="1"/>
  <c r="U45" i="1"/>
  <c r="S45" i="1" s="1"/>
  <c r="T35" i="1"/>
  <c r="X35" i="1"/>
  <c r="T34" i="1"/>
  <c r="AI29" i="1"/>
  <c r="U28" i="1"/>
  <c r="S28" i="1" s="1"/>
  <c r="AI28" i="1"/>
  <c r="AI21" i="1"/>
  <c r="U20" i="1"/>
  <c r="S20" i="1" s="1"/>
  <c r="AI20" i="1"/>
  <c r="W18" i="1"/>
  <c r="AG65" i="1"/>
  <c r="AG61" i="1"/>
  <c r="W61" i="1" s="1"/>
  <c r="AG57" i="1"/>
  <c r="AG53" i="1"/>
  <c r="W53" i="1" s="1"/>
  <c r="AG50" i="1"/>
  <c r="X45" i="1"/>
  <c r="T44" i="1"/>
  <c r="U44" i="1" s="1"/>
  <c r="S44" i="1" s="1"/>
  <c r="AA42" i="1"/>
  <c r="W42" i="1" s="1"/>
  <c r="T39" i="1"/>
  <c r="U39" i="1" s="1"/>
  <c r="S39" i="1" s="1"/>
  <c r="X39" i="1"/>
  <c r="AG35" i="1"/>
  <c r="W35" i="1" s="1"/>
  <c r="AG34" i="1"/>
  <c r="S33" i="1"/>
  <c r="W32" i="1"/>
  <c r="T26" i="1"/>
  <c r="X26" i="1"/>
  <c r="AG26" i="1"/>
  <c r="W26" i="1" s="1"/>
  <c r="W25" i="1"/>
  <c r="W24" i="1"/>
  <c r="T18" i="1"/>
  <c r="X18" i="1"/>
  <c r="AG18" i="1"/>
  <c r="W17" i="1"/>
  <c r="W16" i="1"/>
  <c r="T14" i="1"/>
  <c r="AG14" i="1"/>
  <c r="X65" i="1"/>
  <c r="X61" i="1"/>
  <c r="X57" i="1"/>
  <c r="X53" i="1"/>
  <c r="X49" i="1"/>
  <c r="T48" i="1"/>
  <c r="U48" i="1" s="1"/>
  <c r="S48" i="1" s="1"/>
  <c r="AA46" i="1"/>
  <c r="AI45" i="1"/>
  <c r="X44" i="1"/>
  <c r="T43" i="1"/>
  <c r="U43" i="1" s="1"/>
  <c r="S43" i="1" s="1"/>
  <c r="X43" i="1"/>
  <c r="AI38" i="1"/>
  <c r="U36" i="1"/>
  <c r="S36" i="1" s="1"/>
  <c r="U32" i="1"/>
  <c r="S32" i="1" s="1"/>
  <c r="W30" i="1"/>
  <c r="S25" i="1"/>
  <c r="AI25" i="1"/>
  <c r="U24" i="1"/>
  <c r="S24" i="1" s="1"/>
  <c r="AI24" i="1"/>
  <c r="S17" i="1"/>
  <c r="AI17" i="1"/>
  <c r="U16" i="1"/>
  <c r="S16" i="1" s="1"/>
  <c r="AI16" i="1"/>
  <c r="AG31" i="1"/>
  <c r="AG27" i="1"/>
  <c r="W27" i="1" s="1"/>
  <c r="AG23" i="1"/>
  <c r="AG19" i="1"/>
  <c r="AG15" i="1"/>
  <c r="X31" i="1"/>
  <c r="X27" i="1"/>
  <c r="X23" i="1"/>
  <c r="X19" i="1"/>
  <c r="X15" i="1"/>
  <c r="AC16" i="3"/>
  <c r="T22" i="3"/>
  <c r="AD29" i="3"/>
  <c r="T15" i="3"/>
  <c r="Y26" i="3"/>
  <c r="Y22" i="3"/>
  <c r="Y30" i="3"/>
  <c r="AD21" i="3"/>
  <c r="Y23" i="3"/>
  <c r="AD11" i="3"/>
  <c r="Y16" i="3"/>
  <c r="Y15" i="3"/>
  <c r="Y9" i="3"/>
  <c r="Y8" i="3"/>
  <c r="AD12" i="3"/>
  <c r="Y25" i="3"/>
  <c r="Y33" i="3"/>
  <c r="Y10" i="3"/>
  <c r="AD35" i="3"/>
  <c r="Y20" i="3"/>
  <c r="T26" i="3"/>
  <c r="AD18" i="3"/>
  <c r="AE18" i="3"/>
  <c r="AE20" i="3"/>
  <c r="AC32" i="3"/>
  <c r="AE34" i="3"/>
  <c r="AC19" i="3"/>
  <c r="AE29" i="3"/>
  <c r="AC21" i="3"/>
  <c r="AE23" i="3"/>
  <c r="AC11" i="3"/>
  <c r="Y7" i="3"/>
  <c r="AE26" i="3"/>
  <c r="AC9" i="3"/>
  <c r="T20" i="3"/>
  <c r="AD33" i="3"/>
  <c r="T34" i="3"/>
  <c r="AD30" i="3"/>
  <c r="T29" i="3"/>
  <c r="AD28" i="3"/>
  <c r="T23" i="3"/>
  <c r="Y18" i="3"/>
  <c r="Y34" i="3"/>
  <c r="Y29" i="3"/>
  <c r="AE14" i="3"/>
  <c r="T14" i="3"/>
  <c r="AE10" i="3"/>
  <c r="T10" i="3"/>
  <c r="AE27" i="3"/>
  <c r="T27" i="3"/>
  <c r="AE31" i="3"/>
  <c r="T31" i="3"/>
  <c r="AE8" i="3"/>
  <c r="T8" i="3"/>
  <c r="AE24" i="3"/>
  <c r="T24" i="3"/>
  <c r="AD13" i="3"/>
  <c r="AE16" i="3"/>
  <c r="T16" i="3"/>
  <c r="AD31" i="3"/>
  <c r="AE9" i="3"/>
  <c r="T9" i="3"/>
  <c r="AD8" i="3"/>
  <c r="AE12" i="3"/>
  <c r="T12" i="3"/>
  <c r="AD14" i="3"/>
  <c r="AE32" i="3"/>
  <c r="T32" i="3"/>
  <c r="AD24" i="3"/>
  <c r="T19" i="3"/>
  <c r="AD10" i="3"/>
  <c r="AE21" i="3"/>
  <c r="T21" i="3"/>
  <c r="AD27" i="3"/>
  <c r="AE11" i="3"/>
  <c r="T11" i="3"/>
  <c r="AE13" i="3"/>
  <c r="T13" i="3"/>
  <c r="AE33" i="3"/>
  <c r="AE30" i="3"/>
  <c r="AE28" i="3"/>
  <c r="AE35" i="3"/>
  <c r="U55" i="1" l="1"/>
  <c r="S55" i="1" s="1"/>
  <c r="W203" i="1"/>
  <c r="AI223" i="1"/>
  <c r="W90" i="1"/>
  <c r="U151" i="1"/>
  <c r="S151" i="1" s="1"/>
  <c r="AI191" i="1"/>
  <c r="U38" i="1"/>
  <c r="S38" i="1" s="1"/>
  <c r="W163" i="1"/>
  <c r="W191" i="1"/>
  <c r="W128" i="1"/>
  <c r="W140" i="1"/>
  <c r="W160" i="1"/>
  <c r="W179" i="1"/>
  <c r="W195" i="1"/>
  <c r="W199" i="1"/>
  <c r="U119" i="1"/>
  <c r="S119" i="1" s="1"/>
  <c r="U221" i="1"/>
  <c r="S221" i="1" s="1"/>
  <c r="W206" i="1"/>
  <c r="U231" i="1"/>
  <c r="S231" i="1" s="1"/>
  <c r="W168" i="1"/>
  <c r="AI168" i="1"/>
  <c r="U205" i="1"/>
  <c r="S205" i="1" s="1"/>
  <c r="U161" i="1"/>
  <c r="S161" i="1" s="1"/>
  <c r="W189" i="1"/>
  <c r="AI98" i="1"/>
  <c r="W98" i="1"/>
  <c r="AI195" i="1"/>
  <c r="W171" i="1"/>
  <c r="W187" i="1"/>
  <c r="W161" i="1"/>
  <c r="W106" i="1"/>
  <c r="W112" i="1"/>
  <c r="W205" i="1"/>
  <c r="AI132" i="1"/>
  <c r="U51" i="1"/>
  <c r="S51" i="1" s="1"/>
  <c r="U195" i="1"/>
  <c r="S195" i="1" s="1"/>
  <c r="U167" i="1"/>
  <c r="S167" i="1" s="1"/>
  <c r="W176" i="1"/>
  <c r="AI214" i="1"/>
  <c r="W214" i="1"/>
  <c r="AI199" i="1"/>
  <c r="W167" i="1"/>
  <c r="W116" i="1"/>
  <c r="W146" i="1"/>
  <c r="W132" i="1"/>
  <c r="W177" i="1"/>
  <c r="AI177" i="1"/>
  <c r="U37" i="1"/>
  <c r="S37" i="1" s="1"/>
  <c r="AI37" i="1"/>
  <c r="U136" i="1"/>
  <c r="S136" i="1" s="1"/>
  <c r="AI136" i="1"/>
  <c r="U214" i="1"/>
  <c r="S214" i="1" s="1"/>
  <c r="W221" i="1"/>
  <c r="W51" i="1"/>
  <c r="U132" i="1"/>
  <c r="S132" i="1" s="1"/>
  <c r="AI180" i="1"/>
  <c r="AI222" i="1"/>
  <c r="U92" i="1"/>
  <c r="S92" i="1" s="1"/>
  <c r="W119" i="1"/>
  <c r="W209" i="1"/>
  <c r="W227" i="1"/>
  <c r="W136" i="1"/>
  <c r="U15" i="1"/>
  <c r="S15" i="1" s="1"/>
  <c r="AI15" i="1"/>
  <c r="U185" i="1"/>
  <c r="S185" i="1" s="1"/>
  <c r="AI209" i="1"/>
  <c r="AI208" i="1"/>
  <c r="U184" i="1"/>
  <c r="S184" i="1" s="1"/>
  <c r="AI147" i="1"/>
  <c r="U147" i="1"/>
  <c r="S147" i="1" s="1"/>
  <c r="AI179" i="1"/>
  <c r="U232" i="1"/>
  <c r="S232" i="1" s="1"/>
  <c r="AI52" i="1"/>
  <c r="U52" i="1"/>
  <c r="S52" i="1" s="1"/>
  <c r="AI56" i="1"/>
  <c r="U56" i="1"/>
  <c r="S56" i="1" s="1"/>
  <c r="U126" i="1"/>
  <c r="S126" i="1" s="1"/>
  <c r="AI126" i="1"/>
  <c r="W126" i="1"/>
  <c r="W56" i="1"/>
  <c r="AI73" i="1"/>
  <c r="U73" i="1"/>
  <c r="S73" i="1" s="1"/>
  <c r="U156" i="1"/>
  <c r="S156" i="1" s="1"/>
  <c r="AI156" i="1"/>
  <c r="U173" i="1"/>
  <c r="S173" i="1" s="1"/>
  <c r="AI197" i="1"/>
  <c r="U201" i="1"/>
  <c r="S201" i="1" s="1"/>
  <c r="AI225" i="1"/>
  <c r="AI212" i="1"/>
  <c r="U188" i="1"/>
  <c r="S188" i="1" s="1"/>
  <c r="AI228" i="1"/>
  <c r="U218" i="1"/>
  <c r="S218" i="1" s="1"/>
  <c r="AI133" i="1"/>
  <c r="U133" i="1"/>
  <c r="S133" i="1" s="1"/>
  <c r="AI118" i="1"/>
  <c r="U118" i="1"/>
  <c r="S118" i="1" s="1"/>
  <c r="AI184" i="1"/>
  <c r="U160" i="1"/>
  <c r="S160" i="1" s="1"/>
  <c r="AI200" i="1"/>
  <c r="U176" i="1"/>
  <c r="S176" i="1" s="1"/>
  <c r="W173" i="1"/>
  <c r="W156" i="1"/>
  <c r="U31" i="1"/>
  <c r="S31" i="1"/>
  <c r="AI31" i="1"/>
  <c r="W31" i="1"/>
  <c r="AI224" i="1"/>
  <c r="U200" i="1"/>
  <c r="S200" i="1" s="1"/>
  <c r="AI196" i="1"/>
  <c r="U172" i="1"/>
  <c r="S172" i="1" s="1"/>
  <c r="AI34" i="1"/>
  <c r="U34" i="1"/>
  <c r="S34" i="1" s="1"/>
  <c r="AI97" i="1"/>
  <c r="U97" i="1"/>
  <c r="S97" i="1" s="1"/>
  <c r="AI109" i="1"/>
  <c r="U109" i="1"/>
  <c r="S109" i="1" s="1"/>
  <c r="AI14" i="1"/>
  <c r="U14" i="1"/>
  <c r="S14" i="1" s="1"/>
  <c r="U35" i="1"/>
  <c r="S35" i="1" s="1"/>
  <c r="AI35" i="1"/>
  <c r="AI50" i="1"/>
  <c r="U50" i="1"/>
  <c r="S50" i="1" s="1"/>
  <c r="U65" i="1"/>
  <c r="S65" i="1" s="1"/>
  <c r="AI65" i="1"/>
  <c r="U111" i="1"/>
  <c r="S111" i="1" s="1"/>
  <c r="AI111" i="1"/>
  <c r="W232" i="1"/>
  <c r="U223" i="1"/>
  <c r="AI233" i="1"/>
  <c r="S223" i="1"/>
  <c r="AI216" i="1"/>
  <c r="U192" i="1"/>
  <c r="S192" i="1" s="1"/>
  <c r="AI232" i="1"/>
  <c r="U222" i="1"/>
  <c r="S222" i="1" s="1"/>
  <c r="U69" i="1"/>
  <c r="S69" i="1" s="1"/>
  <c r="AI69" i="1"/>
  <c r="AI205" i="1"/>
  <c r="U181" i="1"/>
  <c r="S181" i="1" s="1"/>
  <c r="AI163" i="1"/>
  <c r="U210" i="1"/>
  <c r="S210" i="1" s="1"/>
  <c r="AI188" i="1"/>
  <c r="U164" i="1"/>
  <c r="S164" i="1" s="1"/>
  <c r="AI204" i="1"/>
  <c r="U180" i="1"/>
  <c r="S180" i="1" s="1"/>
  <c r="W192" i="1"/>
  <c r="W201" i="1"/>
  <c r="W181" i="1"/>
  <c r="W223" i="1"/>
  <c r="AI26" i="1"/>
  <c r="U26" i="1"/>
  <c r="S26" i="1" s="1"/>
  <c r="U57" i="1"/>
  <c r="S57" i="1" s="1"/>
  <c r="AI57" i="1"/>
  <c r="AI47" i="1"/>
  <c r="U47" i="1"/>
  <c r="S47" i="1" s="1"/>
  <c r="AI88" i="1"/>
  <c r="U88" i="1"/>
  <c r="S88" i="1" s="1"/>
  <c r="AI125" i="1"/>
  <c r="U125" i="1"/>
  <c r="S125" i="1" s="1"/>
  <c r="U82" i="1"/>
  <c r="S82" i="1" s="1"/>
  <c r="AI82" i="1"/>
  <c r="AI155" i="1"/>
  <c r="U155" i="1"/>
  <c r="S155" i="1" s="1"/>
  <c r="U225" i="1"/>
  <c r="S225" i="1" s="1"/>
  <c r="AI172" i="1"/>
  <c r="U193" i="1"/>
  <c r="S193" i="1" s="1"/>
  <c r="AI217" i="1"/>
  <c r="AI229" i="1"/>
  <c r="U219" i="1"/>
  <c r="S219" i="1" s="1"/>
  <c r="U107" i="1"/>
  <c r="S107" i="1" s="1"/>
  <c r="AI107" i="1"/>
  <c r="W155" i="1"/>
  <c r="W172" i="1"/>
  <c r="W185" i="1"/>
  <c r="U19" i="1"/>
  <c r="AI19" i="1"/>
  <c r="S19" i="1"/>
  <c r="U61" i="1"/>
  <c r="S61" i="1" s="1"/>
  <c r="AI61" i="1"/>
  <c r="AI80" i="1"/>
  <c r="U80" i="1"/>
  <c r="S80" i="1" s="1"/>
  <c r="AI101" i="1"/>
  <c r="U101" i="1"/>
  <c r="S101" i="1" s="1"/>
  <c r="U23" i="1"/>
  <c r="S23" i="1"/>
  <c r="AI23" i="1"/>
  <c r="W23" i="1"/>
  <c r="W34" i="1"/>
  <c r="AI46" i="1"/>
  <c r="U46" i="1"/>
  <c r="S46" i="1" s="1"/>
  <c r="AI60" i="1"/>
  <c r="U60" i="1"/>
  <c r="S60" i="1" s="1"/>
  <c r="U81" i="1"/>
  <c r="S81" i="1" s="1"/>
  <c r="AI81" i="1"/>
  <c r="W81" i="1"/>
  <c r="AI22" i="1"/>
  <c r="U22" i="1"/>
  <c r="S22" i="1" s="1"/>
  <c r="W47" i="1"/>
  <c r="AI64" i="1"/>
  <c r="U64" i="1"/>
  <c r="S64" i="1" s="1"/>
  <c r="AI89" i="1"/>
  <c r="U89" i="1"/>
  <c r="S89" i="1" s="1"/>
  <c r="U110" i="1"/>
  <c r="S110" i="1" s="1"/>
  <c r="AI110" i="1"/>
  <c r="W110" i="1"/>
  <c r="W101" i="1"/>
  <c r="W57" i="1"/>
  <c r="AI72" i="1"/>
  <c r="U72" i="1"/>
  <c r="S72" i="1" s="1"/>
  <c r="U27" i="1"/>
  <c r="S27" i="1" s="1"/>
  <c r="AI27" i="1"/>
  <c r="W46" i="1"/>
  <c r="AI18" i="1"/>
  <c r="U18" i="1"/>
  <c r="S18" i="1" s="1"/>
  <c r="U53" i="1"/>
  <c r="S53" i="1" s="1"/>
  <c r="AI53" i="1"/>
  <c r="W14" i="1"/>
  <c r="W50" i="1"/>
  <c r="W15" i="1"/>
  <c r="AI30" i="1"/>
  <c r="U30" i="1"/>
  <c r="S30" i="1" s="1"/>
  <c r="W52" i="1"/>
  <c r="U40" i="1"/>
  <c r="S40" i="1"/>
  <c r="AI40" i="1"/>
  <c r="W80" i="1"/>
  <c r="U141" i="1"/>
  <c r="S141" i="1" s="1"/>
  <c r="AI141" i="1"/>
  <c r="W109" i="1"/>
  <c r="W141" i="1"/>
  <c r="AI171" i="1"/>
  <c r="U224" i="1"/>
  <c r="S224" i="1" s="1"/>
  <c r="U169" i="1"/>
  <c r="S169" i="1" s="1"/>
  <c r="AI193" i="1"/>
  <c r="U177" i="1"/>
  <c r="S177" i="1" s="1"/>
  <c r="AI201" i="1"/>
  <c r="U197" i="1"/>
  <c r="S197" i="1" s="1"/>
  <c r="AI221" i="1"/>
  <c r="AI220" i="1"/>
  <c r="U196" i="1"/>
  <c r="S196" i="1" s="1"/>
  <c r="AI134" i="1"/>
  <c r="U134" i="1"/>
  <c r="S134" i="1" s="1"/>
  <c r="U189" i="1"/>
  <c r="S189" i="1" s="1"/>
  <c r="AI213" i="1"/>
  <c r="AI117" i="1"/>
  <c r="U117" i="1"/>
  <c r="S117" i="1" s="1"/>
  <c r="W65" i="1"/>
  <c r="AI164" i="1"/>
  <c r="U211" i="1"/>
  <c r="S211" i="1" s="1"/>
  <c r="W224" i="1"/>
  <c r="AI192" i="1"/>
  <c r="U168" i="1"/>
  <c r="S168" i="1" s="1"/>
  <c r="W19" i="1"/>
  <c r="U127" i="1"/>
  <c r="S127" i="1"/>
  <c r="AI127" i="1"/>
  <c r="W188" i="1"/>
  <c r="W219" i="1"/>
  <c r="W184" i="1"/>
  <c r="W193" i="1"/>
  <c r="W218" i="1"/>
  <c r="W169" i="1"/>
  <c r="M17" i="3"/>
  <c r="R17" i="3"/>
  <c r="S17" i="3"/>
  <c r="U17" i="3"/>
  <c r="V17" i="3"/>
  <c r="W17" i="3"/>
  <c r="X17" i="3"/>
  <c r="AC17" i="3"/>
  <c r="T17" i="3" l="1"/>
  <c r="AD19" i="3"/>
  <c r="AE19" i="3"/>
  <c r="Y17" i="3"/>
  <c r="AD17" i="3"/>
  <c r="AE17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M28" i="5" l="1"/>
  <c r="B31" i="9" l="1"/>
  <c r="B32" i="9"/>
  <c r="C32" i="9" l="1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35" i="3" s="1"/>
  <c r="G26" i="4"/>
  <c r="G27" i="4"/>
  <c r="N11" i="3" s="1"/>
  <c r="G28" i="4"/>
  <c r="G29" i="4"/>
  <c r="G30" i="4"/>
  <c r="G31" i="4"/>
  <c r="G32" i="4"/>
  <c r="G33" i="4"/>
  <c r="G34" i="4"/>
  <c r="G35" i="4"/>
  <c r="G36" i="4"/>
  <c r="G37" i="4"/>
  <c r="N27" i="3" s="1"/>
  <c r="G38" i="4"/>
  <c r="G39" i="4"/>
  <c r="G40" i="4"/>
  <c r="G41" i="4"/>
  <c r="G42" i="4"/>
  <c r="N23" i="3" s="1"/>
  <c r="G43" i="4"/>
  <c r="G44" i="4"/>
  <c r="G45" i="4"/>
  <c r="G46" i="4"/>
  <c r="G47" i="4"/>
  <c r="G48" i="4"/>
  <c r="G49" i="4"/>
  <c r="G50" i="4"/>
  <c r="N28" i="3" s="1"/>
  <c r="G51" i="4"/>
  <c r="G52" i="4"/>
  <c r="G53" i="4"/>
  <c r="G54" i="4"/>
  <c r="N21" i="3" s="1"/>
  <c r="G55" i="4"/>
  <c r="G56" i="4"/>
  <c r="G57" i="4"/>
  <c r="G58" i="4"/>
  <c r="G59" i="4"/>
  <c r="G60" i="4"/>
  <c r="G61" i="4"/>
  <c r="N10" i="3" s="1"/>
  <c r="G62" i="4"/>
  <c r="G63" i="4"/>
  <c r="G64" i="4"/>
  <c r="G65" i="4"/>
  <c r="G66" i="4"/>
  <c r="G67" i="4"/>
  <c r="G68" i="4"/>
  <c r="G69" i="4"/>
  <c r="G70" i="4"/>
  <c r="G71" i="4"/>
  <c r="N17" i="3" s="1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34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4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N12" i="3" s="1"/>
  <c r="G152" i="4"/>
  <c r="G153" i="4"/>
  <c r="G154" i="4"/>
  <c r="G155" i="4"/>
  <c r="G156" i="4"/>
  <c r="G157" i="4"/>
  <c r="G158" i="4"/>
  <c r="G159" i="4"/>
  <c r="G160" i="4"/>
  <c r="N8" i="3" s="1"/>
  <c r="G161" i="4"/>
  <c r="G162" i="4"/>
  <c r="G163" i="4"/>
  <c r="G164" i="4"/>
  <c r="G165" i="4"/>
  <c r="G166" i="4"/>
  <c r="G167" i="4"/>
  <c r="N18" i="3" s="1"/>
  <c r="G168" i="4"/>
  <c r="N22" i="3" s="1"/>
  <c r="G169" i="4"/>
  <c r="G170" i="4"/>
  <c r="G171" i="4"/>
  <c r="G172" i="4"/>
  <c r="G173" i="4"/>
  <c r="N9" i="3" s="1"/>
  <c r="G174" i="4"/>
  <c r="G175" i="4"/>
  <c r="G176" i="4"/>
  <c r="G177" i="4"/>
  <c r="G178" i="4"/>
  <c r="G179" i="4"/>
  <c r="G180" i="4"/>
  <c r="G181" i="4"/>
  <c r="G182" i="4"/>
  <c r="N31" i="3" s="1"/>
  <c r="G183" i="4"/>
  <c r="G184" i="4"/>
  <c r="G185" i="4"/>
  <c r="G186" i="4"/>
  <c r="G187" i="4"/>
  <c r="G188" i="4"/>
  <c r="G189" i="4"/>
  <c r="G190" i="4"/>
  <c r="G191" i="4"/>
  <c r="N26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7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16" i="3" s="1"/>
  <c r="G227" i="4"/>
  <c r="G228" i="4"/>
  <c r="G229" i="4"/>
  <c r="N15" i="3" s="1"/>
  <c r="G230" i="4"/>
  <c r="G231" i="4"/>
  <c r="G232" i="4"/>
  <c r="N13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33" i="3"/>
  <c r="N20" i="3"/>
  <c r="N25" i="3"/>
  <c r="N19" i="3"/>
  <c r="N24" i="3"/>
  <c r="N29" i="3"/>
  <c r="N30" i="3"/>
  <c r="H3" i="6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AH13" i="1" l="1"/>
  <c r="G13" i="6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<sst xmlns="http://schemas.openxmlformats.org/spreadsheetml/2006/main" count="2546" uniqueCount="903">
  <si>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</si>
  <si>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</si>
  <si>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</si>
  <si>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</si>
  <si>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</si>
  <si>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</si>
  <si>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</si>
  <si>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</si>
  <si>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</si>
  <si>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</si>
  <si>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</si>
  <si>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</si>
  <si>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</si>
  <si>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</si>
  <si>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</si>
  <si>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</si>
  <si>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</si>
  <si>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</si>
  <si>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</si>
  <si>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</si>
  <si>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</si>
  <si>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</si>
  <si>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</si>
  <si>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</si>
  <si>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</si>
  <si>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</si>
  <si>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</si>
  <si>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</si>
  <si>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</si>
  <si>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</si>
  <si>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</si>
  <si>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</si>
  <si>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</si>
  <si>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</si>
  <si>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</si>
  <si>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</si>
  <si>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</si>
  <si>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</si>
  <si>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</si>
  <si>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</si>
  <si>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</si>
  <si>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</si>
  <si>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</si>
  <si>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</si>
  <si>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</si>
  <si>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</si>
  <si>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</si>
  <si>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</si>
  <si>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</si>
  <si>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</si>
  <si>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</si>
  <si>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</si>
  <si>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</si>
  <si>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</si>
  <si>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</si>
  <si>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</si>
  <si>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</si>
  <si>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</si>
  <si>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</si>
  <si>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</si>
  <si>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</si>
  <si>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</si>
  <si>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</si>
  <si>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</si>
  <si>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</si>
  <si>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</si>
  <si>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</si>
  <si>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</si>
  <si>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</si>
  <si>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</si>
  <si>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</si>
  <si>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</si>
  <si>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</si>
  <si>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</si>
  <si>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</si>
  <si>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</si>
  <si>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</si>
  <si>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</si>
  <si>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</si>
  <si>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</si>
  <si>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</si>
  <si>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</si>
  <si>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</si>
  <si>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</si>
  <si>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</si>
  <si>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</si>
  <si>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</si>
  <si>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</si>
  <si>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</si>
  <si>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</si>
  <si>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</si>
  <si>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</si>
  <si>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</si>
  <si>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</si>
  <si>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</si>
  <si>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</si>
  <si>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</si>
  <si>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</si>
  <si>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</si>
  <si>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</si>
  <si>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</si>
  <si>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</si>
  <si>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</si>
  <si>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</si>
  <si>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</si>
  <si>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</si>
  <si>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</si>
  <si>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</si>
  <si>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</si>
  <si>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</si>
  <si>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</si>
  <si>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</si>
  <si>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</si>
  <si>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</si>
  <si>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</si>
  <si>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</si>
  <si>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</si>
  <si>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</si>
  <si>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</si>
  <si>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</si>
  <si>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</si>
  <si>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</si>
  <si>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</si>
  <si>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</si>
  <si>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</si>
  <si>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</si>
  <si>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</si>
  <si>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</si>
  <si>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</si>
  <si>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</si>
  <si>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</si>
  <si>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</si>
  <si>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</si>
  <si>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</si>
  <si>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</si>
  <si>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</si>
  <si>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</si>
  <si>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</si>
  <si>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</si>
  <si>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</si>
  <si>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</si>
  <si>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</si>
  <si>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</si>
  <si>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</si>
  <si>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</si>
  <si>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</si>
  <si>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</si>
  <si>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</si>
  <si>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</si>
  <si>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</si>
  <si>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</si>
  <si>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</si>
  <si>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</si>
  <si>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</si>
  <si>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</si>
  <si>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</si>
  <si>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</si>
  <si>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</si>
  <si>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</si>
  <si>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</si>
  <si>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</si>
  <si>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</si>
  <si>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</si>
  <si>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</si>
  <si>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</si>
  <si>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</si>
  <si>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</si>
  <si>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</si>
  <si>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</si>
  <si>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</si>
  <si>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</si>
  <si>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</si>
  <si>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</si>
  <si>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</si>
  <si>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</si>
  <si>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</si>
  <si>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</si>
  <si>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</si>
  <si>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</si>
  <si>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</si>
  <si>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</si>
  <si>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</si>
  <si>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</si>
  <si>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</si>
  <si>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</si>
  <si>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</si>
  <si>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</si>
  <si>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</si>
  <si>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</si>
  <si>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</si>
  <si>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</si>
  <si>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</si>
  <si>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</si>
  <si>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</si>
  <si>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</si>
  <si>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</si>
  <si>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</si>
  <si>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</si>
  <si>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</si>
  <si>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</si>
  <si>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</si>
  <si>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</si>
  <si>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</si>
  <si>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</si>
  <si>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</si>
  <si>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</si>
  <si>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</si>
  <si>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</si>
  <si>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</si>
  <si>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</si>
  <si>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</si>
  <si>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</si>
  <si>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</si>
  <si>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</si>
  <si>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</si>
  <si>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</si>
  <si>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</si>
  <si>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</si>
  <si>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</si>
  <si>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</si>
  <si>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</si>
  <si>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</si>
  <si>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</si>
  <si>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</si>
  <si>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</si>
  <si>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</si>
  <si>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</si>
  <si>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</si>
  <si>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</si>
  <si>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204:446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</si>
  <si>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</si>
  <si>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</si>
  <si>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</si>
  <si>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</si>
  <si>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</si>
  <si>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</si>
  <si>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</si>
  <si>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</si>
  <si>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</si>
  <si>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</si>
  <si>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</si>
  <si>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</si>
  <si>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</si>
  <si>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</si>
  <si>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</si>
  <si>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</si>
  <si>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</si>
  <si>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</si>
  <si>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</si>
  <si>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</si>
  <si>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</si>
  <si>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</si>
  <si>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</si>
  <si>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</si>
  <si>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</si>
  <si>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</si>
  <si>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</si>
  <si>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</si>
  <si>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</si>
  <si>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</si>
  <si>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204:233302</t>
  </si>
  <si>
    <t>204:440</t>
  </si>
  <si>
    <t>204:233311</t>
  </si>
  <si>
    <t>rtdc.l.rtdc.4015:itc</t>
  </si>
  <si>
    <t>DAVIS</t>
  </si>
  <si>
    <t>rtdc.l.rtdc.4016:itc</t>
  </si>
  <si>
    <t>rtdc.l.rtdc.4029:itc</t>
  </si>
  <si>
    <t>204:232978</t>
  </si>
  <si>
    <t>204:426</t>
  </si>
  <si>
    <t>204:451</t>
  </si>
  <si>
    <t>204:457</t>
  </si>
  <si>
    <t>300:23346</t>
  </si>
  <si>
    <t>STORY</t>
  </si>
  <si>
    <t>SAMANTHA</t>
  </si>
  <si>
    <t>204:460</t>
  </si>
  <si>
    <t>204:232996</t>
  </si>
  <si>
    <t>204:165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</si>
  <si>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</si>
  <si>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</si>
  <si>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</si>
  <si>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</si>
  <si>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</si>
  <si>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</si>
  <si>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</si>
  <si>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300:23302</t>
  </si>
  <si>
    <t>300:58617</t>
  </si>
  <si>
    <t>rtdc.l.rtdc.4025:itc</t>
  </si>
  <si>
    <t>LEVERE</t>
  </si>
  <si>
    <t>CRAIG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</si>
  <si>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</si>
  <si>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</si>
  <si>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</si>
  <si>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</si>
  <si>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</si>
  <si>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</si>
  <si>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</si>
  <si>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</si>
  <si>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</si>
  <si>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</si>
  <si>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</si>
  <si>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</si>
  <si>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</si>
  <si>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</si>
  <si>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</si>
  <si>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204:233327</t>
  </si>
  <si>
    <t>204:141</t>
  </si>
  <si>
    <t>204:464</t>
  </si>
  <si>
    <t>204:232979</t>
  </si>
  <si>
    <t>204:167</t>
  </si>
  <si>
    <t>204:233019</t>
  </si>
  <si>
    <t>204:233310</t>
  </si>
  <si>
    <t>204:435</t>
  </si>
  <si>
    <t>204:685</t>
  </si>
  <si>
    <t>230-20</t>
  </si>
  <si>
    <t>237-20</t>
  </si>
  <si>
    <t>WENDY</t>
  </si>
  <si>
    <t>ROBINSON</t>
  </si>
  <si>
    <t>KADDIBA</t>
  </si>
  <si>
    <t>rtdc.l.rtdc.4043:itc</t>
  </si>
  <si>
    <t>rtdc.l.rtdc.4044:itc</t>
  </si>
  <si>
    <t>rtdc.l.rtdc.4002:itc</t>
  </si>
  <si>
    <t>STEWART</t>
  </si>
  <si>
    <t>ROMERO</t>
  </si>
  <si>
    <t>CHAD</t>
  </si>
  <si>
    <t>KILLION</t>
  </si>
  <si>
    <t>SMITH</t>
  </si>
  <si>
    <t>STAMBAUGH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</si>
  <si>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</si>
  <si>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</si>
  <si>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</si>
  <si>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</si>
  <si>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</si>
  <si>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</si>
  <si>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</si>
  <si>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</si>
  <si>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</si>
  <si>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</si>
  <si>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</si>
  <si>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</si>
  <si>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</si>
  <si>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</si>
  <si>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</si>
  <si>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</si>
  <si>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</si>
  <si>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</si>
  <si>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</si>
  <si>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</si>
  <si>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</si>
  <si>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partly-cloudy-night</t>
  </si>
  <si>
    <t>Mostly Cloudy</t>
  </si>
  <si>
    <t>partly-cloudy-day</t>
  </si>
  <si>
    <t>Partly Cloudy</t>
  </si>
  <si>
    <t>204:741</t>
  </si>
  <si>
    <t>204:232988</t>
  </si>
  <si>
    <t>204:232973</t>
  </si>
  <si>
    <t>204:453</t>
  </si>
  <si>
    <t>204:232965</t>
  </si>
  <si>
    <t>204:233329</t>
  </si>
  <si>
    <t>204:475</t>
  </si>
  <si>
    <t>204:473</t>
  </si>
  <si>
    <t>204:233291</t>
  </si>
  <si>
    <t>204:174</t>
  </si>
  <si>
    <t>204:233340</t>
  </si>
  <si>
    <t>204:233006</t>
  </si>
  <si>
    <t>204:233349</t>
  </si>
  <si>
    <t>204:130</t>
  </si>
  <si>
    <t>204:471</t>
  </si>
  <si>
    <t>300:58647</t>
  </si>
  <si>
    <t>rtdc.l.rtdc.4003:itc</t>
  </si>
  <si>
    <t>OUN</t>
  </si>
  <si>
    <t>ZACK</t>
  </si>
  <si>
    <t>MAELZER</t>
  </si>
  <si>
    <t>KURT</t>
  </si>
  <si>
    <t>YORK</t>
  </si>
  <si>
    <t>EDGAR</t>
  </si>
  <si>
    <t>rtdc.l.rtdc.4004:itc</t>
  </si>
  <si>
    <t>LEVIN</t>
  </si>
  <si>
    <t>SCOTT</t>
  </si>
  <si>
    <t>CRAYTON</t>
  </si>
  <si>
    <t>QUNTRELL</t>
  </si>
  <si>
    <t>CHANDLER</t>
  </si>
  <si>
    <t>KELVIN</t>
  </si>
  <si>
    <t>311-22</t>
  </si>
  <si>
    <t>244-22</t>
  </si>
  <si>
    <t>313-22</t>
  </si>
  <si>
    <t>315-22</t>
  </si>
  <si>
    <t>204:233316</t>
  </si>
  <si>
    <t>204:233321</t>
  </si>
  <si>
    <t>204:233351</t>
  </si>
  <si>
    <t>204:233315</t>
  </si>
  <si>
    <t>204:232985</t>
  </si>
  <si>
    <t>204:232981</t>
  </si>
  <si>
    <t>204:233013</t>
  </si>
  <si>
    <t>204:480</t>
  </si>
  <si>
    <t>204:233286</t>
  </si>
  <si>
    <t>204:233027</t>
  </si>
  <si>
    <t>204:233305</t>
  </si>
  <si>
    <t>204:233002</t>
  </si>
  <si>
    <t>204:431</t>
  </si>
  <si>
    <t>204:495</t>
  </si>
  <si>
    <t>204:233004</t>
  </si>
  <si>
    <t>204:232980</t>
  </si>
  <si>
    <t>204:232989</t>
  </si>
  <si>
    <t>204:232971</t>
  </si>
  <si>
    <t>204:233344</t>
  </si>
  <si>
    <t>300:58931</t>
  </si>
  <si>
    <t>300:58613</t>
  </si>
  <si>
    <t>204:766</t>
  </si>
  <si>
    <t>204:1021</t>
  </si>
  <si>
    <t>204:755</t>
  </si>
  <si>
    <t>204:497</t>
  </si>
  <si>
    <t>204:233287</t>
  </si>
  <si>
    <t>300:58928</t>
  </si>
  <si>
    <t>300:58638</t>
  </si>
  <si>
    <t>204:962</t>
  </si>
  <si>
    <t>204:701</t>
  </si>
  <si>
    <t>204:233278</t>
  </si>
  <si>
    <t>204:233312</t>
  </si>
  <si>
    <t>204:233289</t>
  </si>
  <si>
    <t>204:170</t>
  </si>
  <si>
    <t>204:233021</t>
  </si>
  <si>
    <t>300:23306</t>
  </si>
  <si>
    <t>204:502</t>
  </si>
  <si>
    <t>300:21960</t>
  </si>
  <si>
    <t>Form C</t>
  </si>
  <si>
    <t>Early arrival</t>
  </si>
  <si>
    <t>Banner w/o braking</t>
  </si>
  <si>
    <t>105-23</t>
  </si>
  <si>
    <t>901-23</t>
  </si>
  <si>
    <t>106-23</t>
  </si>
  <si>
    <t>801-23</t>
  </si>
  <si>
    <t>802-23</t>
  </si>
  <si>
    <t>805-23</t>
  </si>
  <si>
    <t>806-23</t>
  </si>
  <si>
    <t>133-23</t>
  </si>
  <si>
    <t>809-23</t>
  </si>
  <si>
    <t>810-23</t>
  </si>
  <si>
    <t>52-23</t>
  </si>
  <si>
    <t>53-23</t>
  </si>
  <si>
    <t>TEMPORARY SPEED RESTRICTION</t>
  </si>
  <si>
    <t>164-23</t>
  </si>
  <si>
    <t>rtdc.l.rtdc.4001:itc</t>
  </si>
  <si>
    <t>824-23</t>
  </si>
  <si>
    <t>190-23</t>
  </si>
  <si>
    <t>203-23</t>
  </si>
  <si>
    <t>832-23</t>
  </si>
  <si>
    <t>207-23</t>
  </si>
  <si>
    <t>204-23</t>
  </si>
  <si>
    <t>rtdc.l.rtdc.4041:itc</t>
  </si>
  <si>
    <t>58-23</t>
  </si>
  <si>
    <t>838-23</t>
  </si>
  <si>
    <t>225-23</t>
  </si>
  <si>
    <t>236-23</t>
  </si>
  <si>
    <t>242-23</t>
  </si>
  <si>
    <t>240-23</t>
  </si>
  <si>
    <t>rtdc.l.rtdc.4010:itc</t>
  </si>
  <si>
    <t>302-23</t>
  </si>
  <si>
    <t>101-23</t>
  </si>
  <si>
    <t>304-23</t>
  </si>
  <si>
    <t>103-23</t>
  </si>
  <si>
    <t>306-23</t>
  </si>
  <si>
    <t>STARKS</t>
  </si>
  <si>
    <t>ANGELINA</t>
  </si>
  <si>
    <t>102-23</t>
  </si>
  <si>
    <t>308-23</t>
  </si>
  <si>
    <t>BONDS</t>
  </si>
  <si>
    <t>REYNALDO</t>
  </si>
  <si>
    <t>310-23</t>
  </si>
  <si>
    <t>SWANSON</t>
  </si>
  <si>
    <t>BRYCE</t>
  </si>
  <si>
    <t>107-23</t>
  </si>
  <si>
    <t>104-23</t>
  </si>
  <si>
    <t>109-23</t>
  </si>
  <si>
    <t>111-23</t>
  </si>
  <si>
    <t>rtdc.l.rtdc.4009:itc</t>
  </si>
  <si>
    <t>113-23</t>
  </si>
  <si>
    <t>800-23</t>
  </si>
  <si>
    <t>108-23</t>
  </si>
  <si>
    <t>117-23</t>
  </si>
  <si>
    <t>115-23</t>
  </si>
  <si>
    <t>110-23</t>
  </si>
  <si>
    <t>112-23</t>
  </si>
  <si>
    <t>902-23</t>
  </si>
  <si>
    <t>MOSES</t>
  </si>
  <si>
    <t>BRADLEY</t>
  </si>
  <si>
    <t>119-23</t>
  </si>
  <si>
    <t>114-23</t>
  </si>
  <si>
    <t>121-23</t>
  </si>
  <si>
    <t>803-23</t>
  </si>
  <si>
    <t>116-23</t>
  </si>
  <si>
    <t>123-23</t>
  </si>
  <si>
    <t>125-23</t>
  </si>
  <si>
    <t>118-23</t>
  </si>
  <si>
    <t>804-23</t>
  </si>
  <si>
    <t>120-23</t>
  </si>
  <si>
    <t>127-23</t>
  </si>
  <si>
    <t>122-23</t>
  </si>
  <si>
    <t>129-23</t>
  </si>
  <si>
    <t>124-23</t>
  </si>
  <si>
    <t>807-23</t>
  </si>
  <si>
    <t>126-23</t>
  </si>
  <si>
    <t>131-23</t>
  </si>
  <si>
    <t>808-23</t>
  </si>
  <si>
    <t>128-23</t>
  </si>
  <si>
    <t>135-23</t>
  </si>
  <si>
    <t>130-23</t>
  </si>
  <si>
    <t>137-23</t>
  </si>
  <si>
    <t>132-23</t>
  </si>
  <si>
    <t>811-23</t>
  </si>
  <si>
    <t>139-23</t>
  </si>
  <si>
    <t>903-23</t>
  </si>
  <si>
    <t>134-23</t>
  </si>
  <si>
    <t>141-23</t>
  </si>
  <si>
    <t>812-23</t>
  </si>
  <si>
    <t>136-23</t>
  </si>
  <si>
    <t>143-23</t>
  </si>
  <si>
    <t>138-23</t>
  </si>
  <si>
    <t>813-23</t>
  </si>
  <si>
    <t>140-23</t>
  </si>
  <si>
    <t>145-23</t>
  </si>
  <si>
    <t>147-23</t>
  </si>
  <si>
    <t>142-23</t>
  </si>
  <si>
    <t>814-23</t>
  </si>
  <si>
    <t>149-23</t>
  </si>
  <si>
    <t>YANAI</t>
  </si>
  <si>
    <t>IAN</t>
  </si>
  <si>
    <t>144-23</t>
  </si>
  <si>
    <t>151-23</t>
  </si>
  <si>
    <t>146-23</t>
  </si>
  <si>
    <t>153-23</t>
  </si>
  <si>
    <t>815-23</t>
  </si>
  <si>
    <t>148-23</t>
  </si>
  <si>
    <t>155-23</t>
  </si>
  <si>
    <t>150-23</t>
  </si>
  <si>
    <t>816-23</t>
  </si>
  <si>
    <t>152-23</t>
  </si>
  <si>
    <t>157-23</t>
  </si>
  <si>
    <t>154-23</t>
  </si>
  <si>
    <t>159-23</t>
  </si>
  <si>
    <t>50-23</t>
  </si>
  <si>
    <t>LALONDE</t>
  </si>
  <si>
    <t>GREGORY</t>
  </si>
  <si>
    <t>161-23</t>
  </si>
  <si>
    <t>BERLING</t>
  </si>
  <si>
    <t>GARY</t>
  </si>
  <si>
    <t>817-23</t>
  </si>
  <si>
    <t>163-23</t>
  </si>
  <si>
    <t>CLARK</t>
  </si>
  <si>
    <t>KATHLEEN</t>
  </si>
  <si>
    <t>156-23</t>
  </si>
  <si>
    <t>158-23</t>
  </si>
  <si>
    <t>818-23</t>
  </si>
  <si>
    <t>165-23</t>
  </si>
  <si>
    <t>160-23</t>
  </si>
  <si>
    <t>167-23</t>
  </si>
  <si>
    <t>162-23</t>
  </si>
  <si>
    <t>rtdc.l.rtdc.4042:itc</t>
  </si>
  <si>
    <t>51-23</t>
  </si>
  <si>
    <t>169-23</t>
  </si>
  <si>
    <t>819-23</t>
  </si>
  <si>
    <t>166-23</t>
  </si>
  <si>
    <t>171-23</t>
  </si>
  <si>
    <t>820-23</t>
  </si>
  <si>
    <t>173-23</t>
  </si>
  <si>
    <t>168-23</t>
  </si>
  <si>
    <t>175-23</t>
  </si>
  <si>
    <t>170-23</t>
  </si>
  <si>
    <t>821-23</t>
  </si>
  <si>
    <t>177-23</t>
  </si>
  <si>
    <t>172-23</t>
  </si>
  <si>
    <t>179-23</t>
  </si>
  <si>
    <t>822-23</t>
  </si>
  <si>
    <t>174-23</t>
  </si>
  <si>
    <t>181-23</t>
  </si>
  <si>
    <t>183-23</t>
  </si>
  <si>
    <t>176-23</t>
  </si>
  <si>
    <t>178-23</t>
  </si>
  <si>
    <t>185-23</t>
  </si>
  <si>
    <t>180-23</t>
  </si>
  <si>
    <t>823-23</t>
  </si>
  <si>
    <t>187-23</t>
  </si>
  <si>
    <t>182-23</t>
  </si>
  <si>
    <t>189-23</t>
  </si>
  <si>
    <t>184-23</t>
  </si>
  <si>
    <t>191-23</t>
  </si>
  <si>
    <t>186-23</t>
  </si>
  <si>
    <t>193-23</t>
  </si>
  <si>
    <t>904-23</t>
  </si>
  <si>
    <t>825-23</t>
  </si>
  <si>
    <t>188-23</t>
  </si>
  <si>
    <t>195-23</t>
  </si>
  <si>
    <t>827-23</t>
  </si>
  <si>
    <t>826-23</t>
  </si>
  <si>
    <t>197-23</t>
  </si>
  <si>
    <t>192-23</t>
  </si>
  <si>
    <t>194-23</t>
  </si>
  <si>
    <t>199-23</t>
  </si>
  <si>
    <t>201-23</t>
  </si>
  <si>
    <t>BRANDNER</t>
  </si>
  <si>
    <t>MELINDA</t>
  </si>
  <si>
    <t>828-23</t>
  </si>
  <si>
    <t>196-23</t>
  </si>
  <si>
    <t>829-23</t>
  </si>
  <si>
    <t>198-23</t>
  </si>
  <si>
    <t>830-23</t>
  </si>
  <si>
    <t>831-23</t>
  </si>
  <si>
    <t>54-23</t>
  </si>
  <si>
    <t>205-23</t>
  </si>
  <si>
    <t>200-23</t>
  </si>
  <si>
    <t>202-23</t>
  </si>
  <si>
    <t>833-23</t>
  </si>
  <si>
    <t>67-23</t>
  </si>
  <si>
    <t>209-23</t>
  </si>
  <si>
    <t>835-23</t>
  </si>
  <si>
    <t>211-23</t>
  </si>
  <si>
    <t>206-23</t>
  </si>
  <si>
    <t>834-23</t>
  </si>
  <si>
    <t>55-23</t>
  </si>
  <si>
    <t>208-23</t>
  </si>
  <si>
    <t>213-23</t>
  </si>
  <si>
    <t>215-23</t>
  </si>
  <si>
    <t>836-23</t>
  </si>
  <si>
    <t>210-23</t>
  </si>
  <si>
    <t>837-23</t>
  </si>
  <si>
    <t>217-23</t>
  </si>
  <si>
    <t>60-23</t>
  </si>
  <si>
    <t>YANG</t>
  </si>
  <si>
    <t>JAN</t>
  </si>
  <si>
    <t>212-23</t>
  </si>
  <si>
    <t>214-23</t>
  </si>
  <si>
    <t>219-23</t>
  </si>
  <si>
    <t>57-23</t>
  </si>
  <si>
    <t>303-23</t>
  </si>
  <si>
    <t>839-23</t>
  </si>
  <si>
    <t>216-23</t>
  </si>
  <si>
    <t>221-23</t>
  </si>
  <si>
    <t>906-23</t>
  </si>
  <si>
    <t>218-23</t>
  </si>
  <si>
    <t>305-23</t>
  </si>
  <si>
    <t>841-23</t>
  </si>
  <si>
    <t>220-23</t>
  </si>
  <si>
    <t>223-23</t>
  </si>
  <si>
    <t>840-23</t>
  </si>
  <si>
    <t>307-23</t>
  </si>
  <si>
    <t>222-23</t>
  </si>
  <si>
    <t>843-23</t>
  </si>
  <si>
    <t>224-23</t>
  </si>
  <si>
    <t>227-23</t>
  </si>
  <si>
    <t>842-23</t>
  </si>
  <si>
    <t>226-23</t>
  </si>
  <si>
    <t>229-23</t>
  </si>
  <si>
    <t>845-23</t>
  </si>
  <si>
    <t>228-23</t>
  </si>
  <si>
    <t>231-23</t>
  </si>
  <si>
    <t>844-23</t>
  </si>
  <si>
    <t>233-23</t>
  </si>
  <si>
    <t>230-23</t>
  </si>
  <si>
    <t>847-23</t>
  </si>
  <si>
    <t>232-23</t>
  </si>
  <si>
    <t>235-23</t>
  </si>
  <si>
    <t>908-23</t>
  </si>
  <si>
    <t>234-23</t>
  </si>
  <si>
    <t>237-23</t>
  </si>
  <si>
    <t>239-23</t>
  </si>
  <si>
    <t>241-23</t>
  </si>
  <si>
    <t>238-23</t>
  </si>
  <si>
    <t>243-23</t>
  </si>
  <si>
    <t>309-23</t>
  </si>
  <si>
    <t>311-23</t>
  </si>
  <si>
    <t>244-23</t>
  </si>
  <si>
    <t>313-23</t>
  </si>
  <si>
    <t>315-23</t>
  </si>
  <si>
    <t>precipType</t>
  </si>
  <si>
    <t>rain</t>
  </si>
  <si>
    <t>204:232715</t>
  </si>
  <si>
    <t>204:136</t>
  </si>
  <si>
    <t>204:697</t>
  </si>
  <si>
    <t>204:232694</t>
  </si>
  <si>
    <t>204:775</t>
  </si>
  <si>
    <t>204:232662</t>
  </si>
  <si>
    <t>204:232982</t>
  </si>
  <si>
    <t>204:178</t>
  </si>
  <si>
    <t>204:232963</t>
  </si>
  <si>
    <t>204:427</t>
  </si>
  <si>
    <t>204:233342</t>
  </si>
  <si>
    <t>204:233028</t>
  </si>
  <si>
    <t>204:129</t>
  </si>
  <si>
    <t>204:737</t>
  </si>
  <si>
    <t>204:232983</t>
  </si>
  <si>
    <t>204:477</t>
  </si>
  <si>
    <t>204:232961</t>
  </si>
  <si>
    <t>204:233309</t>
  </si>
  <si>
    <t>204:127</t>
  </si>
  <si>
    <t>204:233303</t>
  </si>
  <si>
    <t>204:438</t>
  </si>
  <si>
    <t>204:233306</t>
  </si>
  <si>
    <t>204:232975</t>
  </si>
  <si>
    <t>204:169</t>
  </si>
  <si>
    <t>204:233001</t>
  </si>
  <si>
    <t>204:1171</t>
  </si>
  <si>
    <t>204:420</t>
  </si>
  <si>
    <t>204:233301</t>
  </si>
  <si>
    <t>204:233338</t>
  </si>
  <si>
    <t>204:232969</t>
  </si>
  <si>
    <t>204:198</t>
  </si>
  <si>
    <t>204:233010</t>
  </si>
  <si>
    <t>204:232994</t>
  </si>
  <si>
    <t>204:233317</t>
  </si>
  <si>
    <t>204:233336</t>
  </si>
  <si>
    <t>204:232974</t>
  </si>
  <si>
    <t>204:233307</t>
  </si>
  <si>
    <t>204:233280</t>
  </si>
  <si>
    <t>204:233263</t>
  </si>
  <si>
    <t>204:437</t>
  </si>
  <si>
    <t>204:233325</t>
  </si>
  <si>
    <t>204:1486</t>
  </si>
  <si>
    <t>204:467</t>
  </si>
  <si>
    <t>204:232964</t>
  </si>
  <si>
    <t>204:233274</t>
  </si>
  <si>
    <t>204:232972</t>
  </si>
  <si>
    <t>204:478</t>
  </si>
  <si>
    <t>204:233328</t>
  </si>
  <si>
    <t>204:233005</t>
  </si>
  <si>
    <t>204:116</t>
  </si>
  <si>
    <t>204:486</t>
  </si>
  <si>
    <t>204:233272</t>
  </si>
  <si>
    <t>204:180</t>
  </si>
  <si>
    <t>204:1165</t>
  </si>
  <si>
    <t>204:233026</t>
  </si>
  <si>
    <t>204:1237</t>
  </si>
  <si>
    <t>204:233284</t>
  </si>
  <si>
    <t>204:232967</t>
  </si>
  <si>
    <t>204:181</t>
  </si>
  <si>
    <t>204:233320</t>
  </si>
  <si>
    <t>204:176</t>
  </si>
  <si>
    <t>300:23105</t>
  </si>
  <si>
    <t>300:23310</t>
  </si>
  <si>
    <t>300:19556</t>
  </si>
  <si>
    <t>300:23299</t>
  </si>
  <si>
    <t>300:25124</t>
  </si>
  <si>
    <t>300:21896</t>
  </si>
  <si>
    <t>300:23297</t>
  </si>
  <si>
    <t>300:23160</t>
  </si>
  <si>
    <t>300:22765</t>
  </si>
  <si>
    <t>204:153</t>
  </si>
  <si>
    <t>204:450</t>
  </si>
  <si>
    <t>300:24078</t>
  </si>
  <si>
    <t>300:21564</t>
  </si>
  <si>
    <t>204:895</t>
  </si>
  <si>
    <t>204:1209</t>
  </si>
  <si>
    <t>300:25594</t>
  </si>
  <si>
    <t>204:345</t>
  </si>
  <si>
    <t>300:22846</t>
  </si>
  <si>
    <t>204:330</t>
  </si>
  <si>
    <t>300:23228</t>
  </si>
  <si>
    <t>300:21835</t>
  </si>
  <si>
    <t>204:1005</t>
  </si>
  <si>
    <t>204:1475</t>
  </si>
  <si>
    <t>300:23320</t>
  </si>
  <si>
    <t>300:58705</t>
  </si>
  <si>
    <t>204:649</t>
  </si>
  <si>
    <t>204:936</t>
  </si>
  <si>
    <t>300:58999</t>
  </si>
  <si>
    <t>300:58702</t>
  </si>
  <si>
    <t>204:642</t>
  </si>
  <si>
    <t>204:999</t>
  </si>
  <si>
    <t>300:58961</t>
  </si>
  <si>
    <t>300:58651</t>
  </si>
  <si>
    <t>204:934</t>
  </si>
  <si>
    <t>300:58995</t>
  </si>
  <si>
    <t>300:58707</t>
  </si>
  <si>
    <t>204:629</t>
  </si>
  <si>
    <t>204:986</t>
  </si>
  <si>
    <t>300:58958</t>
  </si>
  <si>
    <t>300:58643</t>
  </si>
  <si>
    <t>204:736</t>
  </si>
  <si>
    <t>204:937</t>
  </si>
  <si>
    <t>300:59007</t>
  </si>
  <si>
    <t>300:58692</t>
  </si>
  <si>
    <t>204:668</t>
  </si>
  <si>
    <t>204:1011</t>
  </si>
  <si>
    <t>300:58954</t>
  </si>
  <si>
    <t>204:713</t>
  </si>
  <si>
    <t>204:1002</t>
  </si>
  <si>
    <t>300:58956</t>
  </si>
  <si>
    <t>204:677</t>
  </si>
  <si>
    <t>204:971</t>
  </si>
  <si>
    <t>300:58969</t>
  </si>
  <si>
    <t>300:58649</t>
  </si>
  <si>
    <t>204:731</t>
  </si>
  <si>
    <t>204:1018</t>
  </si>
  <si>
    <t>204:726</t>
  </si>
  <si>
    <t>204:1020</t>
  </si>
  <si>
    <t>300:58615</t>
  </si>
  <si>
    <t>204:654</t>
  </si>
  <si>
    <t>204:950</t>
  </si>
  <si>
    <t>300:58619</t>
  </si>
  <si>
    <t>204:670</t>
  </si>
  <si>
    <t>204:957</t>
  </si>
  <si>
    <t>300:58926</t>
  </si>
  <si>
    <t>204:650</t>
  </si>
  <si>
    <t>204:958</t>
  </si>
  <si>
    <t>300:58598</t>
  </si>
  <si>
    <t>204:659</t>
  </si>
  <si>
    <t>300:58937</t>
  </si>
  <si>
    <t>204:953</t>
  </si>
  <si>
    <t>300:58609</t>
  </si>
  <si>
    <t>204:663</t>
  </si>
  <si>
    <t>204:944</t>
  </si>
  <si>
    <t>300:58621</t>
  </si>
  <si>
    <t>204:643</t>
  </si>
  <si>
    <t>204:951</t>
  </si>
  <si>
    <t>300:58933</t>
  </si>
  <si>
    <t>300:58924</t>
  </si>
  <si>
    <t>204:983</t>
  </si>
  <si>
    <t>300:58611</t>
  </si>
  <si>
    <t>204:948</t>
  </si>
  <si>
    <t>300:58916</t>
  </si>
  <si>
    <t>300:58600</t>
  </si>
  <si>
    <t>204:664</t>
  </si>
  <si>
    <t>300:30265</t>
  </si>
  <si>
    <t>300:59001</t>
  </si>
  <si>
    <t>300:23415</t>
  </si>
  <si>
    <t>204:699</t>
  </si>
  <si>
    <t>300:25455</t>
  </si>
  <si>
    <t>300:23161</t>
  </si>
  <si>
    <t>300:58606</t>
  </si>
  <si>
    <t>300:28751</t>
  </si>
  <si>
    <t>300:28044</t>
  </si>
  <si>
    <t>start /low /b %USERPROFILE%\Documents\GitHub\eaglep3\Utilities\DownloadLogsFromS3.py --loco 4029 --day 2017-01-24</t>
  </si>
  <si>
    <t>start /low /b %USERPROFILE%\Documents\GitHub\eaglep3\Utilities\DownloadLogsFromS3.py --loco 4029 --day 2017-01-23</t>
  </si>
  <si>
    <t>start /low /b %USERPROFILE%\Documents\GitHub\eaglep3\Utilities\DownloadLogsFromS3.py --loco 4030 --day 2017-01-24</t>
  </si>
  <si>
    <t>start /low /b %USERPROFILE%\Documents\GitHub\eaglep3\Utilities\DownloadLogsFromS3.py --loco 4015 --day 2017-01-23</t>
  </si>
  <si>
    <t>start /low /b %USERPROFILE%\Documents\GitHub\eaglep3\Utilities\DownloadLogsFromS3.py --loco 4030 --day 2017-01-23</t>
  </si>
  <si>
    <t>start /low /b %USERPROFILE%\Documents\GitHub\eaglep3\Utilities\DownloadLogsFromS3.py --loco 4021 --day 2017-01-23</t>
  </si>
  <si>
    <t>start /low /b %USERPROFILE%\Documents\GitHub\eaglep3\Utilities\DownloadLogsFromS3.py --loco 4012 --day 2017-01-24</t>
  </si>
  <si>
    <t>start /low /b %USERPROFILE%\Documents\GitHub\eaglep3\Utilities\DownloadLogsFromS3.py --loco 4028 --day 2017-01-24</t>
  </si>
  <si>
    <t>start /low /b %USERPROFILE%\Documents\GitHub\eaglep3\Utilities\DownloadLogsFromS3.py --loco 4046 --day 2017-01-24</t>
  </si>
  <si>
    <t>start /low /b %USERPROFILE%\Documents\GitHub\eaglep3\Utilities\DownloadLogsFromS3.py --loco 4039 --day 2017-01-23</t>
  </si>
  <si>
    <t>start /low /b %USERPROFILE%\Documents\GitHub\eaglep3\Utilities\DownloadLogsFromS3.py --loco 4001 --day 2017-01-23</t>
  </si>
  <si>
    <t>start /low /b %USERPROFILE%\Documents\GitHub\eaglep3\Utilities\DownloadLogsFromS3.py --loco 4039 --day 2017-01-24</t>
  </si>
  <si>
    <t>start /low /b %USERPROFILE%\Documents\GitHub\eaglep3\Utilities\DownloadLogsFromS3.py --loco 4001 --day 2017-01-24</t>
  </si>
  <si>
    <t>start /low /b %USERPROFILE%\Documents\GitHub\eaglep3\Utilities\DownloadLogsFromS3.py --loco 4040 --day 2017-01-23</t>
  </si>
  <si>
    <t>DUS 28S STOP, cleared 2 seconds after enforcement</t>
  </si>
  <si>
    <t>SYS :2017/01/23 11:52:33.031:ENFORCEMENT:Predictive Enforcement Action:  Target Number: 00001002  Target Speed:   0.0  Current Speed:   4.3</t>
  </si>
  <si>
    <t>SYS :2017/01/23 11:52:33.787:ENFORCEMENT:Predictive Enforcement Action:  Target Number: 00001002  Target Speed:   0.0  Current Speed:   4.3</t>
  </si>
  <si>
    <t>SYS :2017/01/23 11:52:33.824:ENFORCEMENT:Predictive Enforcement Action:  Target Number: 00001002  Target Speed:   0.0  Current Speed:   4.2</t>
  </si>
  <si>
    <t>SYS :2017/01/23 12:10:47.342:ENFORCEMENT:Reactive Enforcement Action:  Target Number: 0000100B  Target Speed:   0.0  Current Speed:   1.1</t>
  </si>
  <si>
    <t>SYS :2017/01/23 12:10:47.360:ENFORCEMENT:Reactive Enforcement Action:  Target Number: 00001009  Target Speed:   0.0  Current Speed:   1.1</t>
  </si>
  <si>
    <t>SYS :2017/01/23 12:10:47.746:ENFORCEMENT:Reactive Enforcement Action:  Target Number: 00001004  Target Speed:   0.0  Current Speed:   1.1</t>
  </si>
  <si>
    <t>SYS :2017/01/23 12:43:12.008:ENFORCEMENT:Predictive Enforcement Action:  Target Number: 000100FE  Target Speed:  30.0  Current Speed:  39.0</t>
  </si>
  <si>
    <t>SYS :2017/01/23 12:43:12.029:ENFORCEMENT:Predictive Enforcement Action:  Target Number: 000100FE  Target Speed:  30.0  Current Speed:  39.0</t>
  </si>
  <si>
    <t>SYS :2017/01/23 13:07:21.340:ENFORCEMENT:Reactive Enforcement Action:  Target Number: 0000100D  Target Speed:   0.0  Current Speed:   1.0</t>
  </si>
  <si>
    <t>SYS :2017/01/23 13:07:21.748:ENFORCEMENT:Reactive Enforcement Action:  Target Number: 00001006  Target Speed:   0.0  Current Speed:   1.0</t>
  </si>
  <si>
    <t>SYS :2017/01/23 13:07:22.362:ENFORCEMENT:Reactive Enforcement Action:  Target Number: 0000100B  Target Speed:   0.0  Current Speed:   1.0</t>
  </si>
  <si>
    <t>SYS :2017/01/23 13:26:46.431:ENFORCEMENT:Predictive Enforcement Action:  Target Number: 0000100E  Target Speed:   0.0  Current Speed:   2.8</t>
  </si>
  <si>
    <t>SYS :2017/01/23 13:26:47.433:ENFORCEMENT:Predictive Enforcement Action:  Target Number: 0000100E  Target Speed:   0.0  Current Speed:   2.8</t>
  </si>
  <si>
    <t>SYS :2017/01/23 13:26:48.375:ENFORCEMENT:Predictive Enforcement Action:  Target Number: 0000100E  Target Speed:   0.0  Current Speed:   2.8</t>
  </si>
  <si>
    <t>SYS :2017/01/23 14:06:56.749:ENFORCEMENT:Reactive Enforcement Action:  Target Number: 00001008  Target Speed:   0.0  Current Speed:   0.4</t>
  </si>
  <si>
    <t>SYS :2017/01/23 14:06:57.348:ENFORCEMENT:Reactive Enforcement Action:  Target Number: 0000100F  Target Speed:   0.0  Current Speed:   0.6</t>
  </si>
  <si>
    <t>SYS :2017/01/23 14:06:57.368:ENFORCEMENT:Reactive Enforcement Action:  Target Number: 0000100D  Target Speed:   0.0  Current Speed:   0.4</t>
  </si>
  <si>
    <t>SYS :2017/01/23 14:16:35.392:ENFORCEMENT:Reactive Enforcement Action:  Target Number: 0001009A  Target Speed:  40.0  Current Speed:  45.7</t>
  </si>
  <si>
    <t>SYS :2017/01/23 14:16:35.461:ENFORCEMENT:Reactive Enforcement Action:  Target Number: 0001009A  Target Speed:  40.0  Current Speed:  45.7</t>
  </si>
  <si>
    <t>SYS :2017/01/23 14:27:13.435:ENFORCEMENT:Predictive Enforcement Action:  Target Number: 00001013  Target Speed:   0.0  Current Speed:   2.4</t>
  </si>
  <si>
    <t>SYS :2017/01/23 14:48:41.813:ENFORCEMENT:Predictive Enforcement Action:  Target Number: 00010050  Target Speed:  40.0  Current Speed:  57.8</t>
  </si>
  <si>
    <t>SYS :2017/01/23 14:48:41.856:ENFORCEMENT:Predictive Enforcement Action:  Target Number: 00010050  Target Speed:  40.0  Current Speed:  57.8</t>
  </si>
  <si>
    <t>SYS :2017/01/23 15:05:37.343:ENFORCEMENT:Predictive Enforcement Action:  Target Number: 00001012  Target Speed:   0.0  Current Speed:   5.4</t>
  </si>
  <si>
    <t>SYS :2017/01/23 15:05:37.364:ENFORCEMENT:Predictive Enforcement Action:  Target Number: 00001010  Target Speed:   0.0  Current Speed:   5.4</t>
  </si>
  <si>
    <t>SYS :2017/01/23 15:05:37.752:ENFORCEMENT:Predictive Enforcement Action:  Target Number: 0000100B  Target Speed:   0.0  Current Speed:   5.4</t>
  </si>
  <si>
    <t>SYS :2017/01/23 15:06:35.340:ENFORCEMENT:Predictive Enforcement Action:  Target Number: 00001012  Target Speed:   0.0  Current Speed:   1.8</t>
  </si>
  <si>
    <t>SYS :2017/01/23 15:06:35.364:ENFORCEMENT:Predictive Enforcement Action:  Target Number: 00001010  Target Speed:   0.0  Current Speed:   1.8</t>
  </si>
  <si>
    <t>SYS :2017/01/23 15:06:35.747:ENFORCEMENT:Predictive Enforcement Action:  Target Number: 0000100B  Target Speed:   0.0  Current Speed:   1.8</t>
  </si>
  <si>
    <t>SYS :2017/01/23 15:21:23.447:ENFORCEMENT:Predictive Enforcement Action:  Target Number: 0001700C  Target Speed:   9.0  Current Speed:  14.2</t>
  </si>
  <si>
    <t>SYS :2017/01/23 15:26:57.440:ENFORCEMENT:Predictive Enforcement Action:  Target Number: 00001016  Target Speed:   0.0  Current Speed:   2.8</t>
  </si>
  <si>
    <t>SYS :2017/01/23 15:26:58.381:ENFORCEMENT:Predictive Enforcement Action:  Target Number: 00001016  Target Speed:   0.0  Current Speed:   2.8</t>
  </si>
  <si>
    <t>SYS :2017/01/23 20:08:43.450:ENFORCEMENT:Predictive Enforcement Action:  Target Number: 00001021  Target Speed:   0.0  Current Speed:   7.2</t>
  </si>
  <si>
    <t>SYS :2017/01/23 21:50:38.907:ENFORCEMENT:Predictive Enforcement Action:  Target Number: 00017014  Target Speed:   9.0  Current Speed:  17.2</t>
  </si>
  <si>
    <t>SYS :2017/01/23 21:50:39.495:ENFORCEMENT:Predictive Enforcement Action:  Target Number: 00017014  Target Speed:   9.0  Current Speed:  16.7</t>
  </si>
  <si>
    <t>SYS :2017/01/23 21:55:20.490:ENFORCEMENT:Predictive Enforcement Action:  Target Number: 0000101D  Target Speed:   0.0  Current Speed:   5.2</t>
  </si>
  <si>
    <t>SYS :2017/01/23 21:55:28.580:ENFORCEMENT:Predictive Enforcement Action:  Target Number: 0000101D  Target Speed:   0.0  Current Speed:   3.4</t>
  </si>
  <si>
    <t>SYS :2017/01/23 21:55:28.897:ENFORCEMENT:Predictive Enforcement Action:  Target Number: 0000101D  Target Speed:   0.0  Current Speed:   3.4</t>
  </si>
  <si>
    <t>SYS :2017/01/23 22:47:39.751:ENFORCEMENT:Reactive Enforcement Action:  Target Number: 000100C1  Target Speed:  60.0  Current Speed:  65.1</t>
  </si>
  <si>
    <t>SYS :2017/01/23 22:47:40.728:ENFORCEMENT:Reactive Enforcement Action:  Target Number: 000100C1  Target Speed:  60.0  Current Speed:  65.1</t>
  </si>
  <si>
    <t>SYS :2017/01/23 22:47:40.729:ENFORCEMENT:Reactive Enforcement Action:  Target Number: 000100C1  Target Speed:  60.0  Current Speed:  65.1</t>
  </si>
  <si>
    <t>SYS :2017/01/23 23:39:57.792:ENFORCEMENT:Predictive Enforcement Action:  Target Number: 0000E001  Target Speed:   0.0  Current Speed:   4.9</t>
  </si>
  <si>
    <t>SYS :2017/01/23 23:39:57.839:ENFORCEMENT:Predictive Enforcement Action:  Target Number: 0000E001  Target Speed:   0.0  Current Speed:   4.7</t>
  </si>
  <si>
    <t>SYS :2017/01/23 23:43:58.796:ENFORCEMENT:Predictive Enforcement Action:  Target Number: 0000E002  Target Speed:   0.0  Current Speed:   3.8</t>
  </si>
  <si>
    <t>SYS :2017/01/24 00:22:48.442:ENFORCEMENT:Predictive Enforcement Action:  Target Number: 00006112  Target Speed:   0.0  Current Speed:  14.6</t>
  </si>
  <si>
    <t>SYS :2017/01/24 00:37:19.809:ENFORCEMENT:Predictive Enforcement Action:  Target Number: 00001013  Target Speed:   0.0  Current Speed:  15.6</t>
  </si>
  <si>
    <t>SYS :2017/01/24 00:37:20.467:ENFORCEMENT:Predictive Enforcement Action:  Target Number: 00001013  Target Speed:   0.0  Current Speed:  15.5</t>
  </si>
  <si>
    <t>SYS :2017/01/24 00:57:36.485:ENFORCEMENT:Predictive Enforcement Action:  Target Number: 00001029  Target Speed:   0.0  Current Speed:   4.4</t>
  </si>
  <si>
    <t>SYS :2017/01/24 01:02:39.724:ENFORCEMENT:Predictive Enforcement Action:  Target Number: 0000E002  Target Speed:   0.0  Current Speed:   8.1</t>
  </si>
  <si>
    <t>SYS :2017/01/24 01:02:40.712:ENFORCEMENT:Predictive Enforcement Action:  Target Number: 0000E002  Target Speed:   0.0  Current Speed:   8.3</t>
  </si>
  <si>
    <t>SYS :2017/01/24 01:02:40.716:ENFORCEMENT:Predictive Enforcement Action:  Target Number: 0000E002  Target Speed:   0.0  Current Speed:   8.3</t>
  </si>
  <si>
    <t>SYS :2017/01/24 01:58:23.897:ENFORCEMENT:Predictive Enforcement Action:  Target Number: 00001031  Target Speed:   0.0  Current Speed:   4.2</t>
  </si>
  <si>
    <t>SYS :2017/01/24 01:58:24.484:ENFORCEMENT:Predictive Enforcement Action:  Target Number: 00001031  Target Speed:   0.0  Current Speed:   4.2</t>
  </si>
  <si>
    <t>SYS :2017/01/24 01:58:24.578:ENFORCEMENT:Predictive Enforcement Action:  Target Number: 00001031  Target Speed:   0.0  Current Speed:   4.2</t>
  </si>
  <si>
    <t>SYS :2017/01/24 03:06:22.791:ENFORCEMENT:Predictive Enforcement Action:  Target Number: 0000E00E  Target Speed:   0.0  Current Speed:  22.8</t>
  </si>
  <si>
    <t>SYS :2017/01/24 03:06:22.833:ENFORCEMENT:Predictive Enforcement Action:  Target Number: 0000E00F  Target Speed:   0.0  Current Speed:  22.8</t>
  </si>
  <si>
    <t>SYS :2017/01/24 08:08:58.034:ENFORCEMENT:Predictive Enforcement Action:  Target Number: 00001019  Target Speed:   0.0  Current Speed:   5.4</t>
  </si>
  <si>
    <t>SYS :2017/01/24 08:08:58.040:ENFORCEMENT:Predictive Enforcement Action:  Target Number: 00001019  Target Speed:   0.0  Current Speed:   5.4</t>
  </si>
  <si>
    <t>SYS :2017/01/24 08:08:58.300:ENFORCEMENT:Predictive Enforcement Action:  Target Number: 0000101A  Target Speed:   0.0  Current Speed:   5.4</t>
  </si>
  <si>
    <t>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</si>
</sst>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abSelected="1" workbookViewId="0">
      <selection activeCell="V116" sqref="V116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71093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42758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42758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COUNTIFS($N$13:$N$9372,"&gt;0",$AG$13:$AG$9372,I1)</f>
        <v>143</v>
      </c>
      <c r="K5" s="41"/>
      <c r="L5" s="41"/>
      <c r="M5" s="42">
        <f>AVERAGEIFS($N$13:$N$9372,$AG$13:$AG$9372,I1)</f>
        <v>39.627505827294598</v>
      </c>
      <c r="N5" s="40">
        <f t="array" ref="N5">MIN(IF($AG$13:$AG$9372=I1,IF(ISNUMBER($N$13:$N$9372),IF($N$13:$N$9372&gt;0,$N$13:$N$9372))))</f>
        <v>34.533333338331431</v>
      </c>
      <c r="O5" s="3">
        <f t="array" ref="O5">MAX(IF($AG$13:$AG$9372=I1,IF(ISNUMBER($N$13:$N$9372),IF($N$13:$N$9372&gt;0,$N$13:$N$9372))))</f>
        <v>50.049999996554106</v>
      </c>
      <c r="P5" s="2"/>
      <c r="R5" s="76" t="s">
        <v>17</v>
      </c>
      <c r="S5" s="52">
        <f>COUNTIFS($N$13:$N$9372,"&gt;0",$AG$13:$AG$9372,R1)</f>
        <v>47</v>
      </c>
      <c r="T5" s="41"/>
      <c r="U5" s="161"/>
      <c r="V5" s="42">
        <f>AVERAGEIFS($N$13:$N$9372,$AG$13:$AG$9372,R1)</f>
        <v>15.472695034794866</v>
      </c>
      <c r="W5" s="40">
        <f t="array" ref="W5">MIN(IF($AG$13:$AG$9372=R1,IF(ISNUMBER($N$13:$N$9372),IF($N$13:$N$9372&gt;0,$N$13:$N$9372))))</f>
        <v>13.150000004097819</v>
      </c>
      <c r="X5" s="166">
        <f t="array" ref="X5">MAX(IF($AG$13:$AG$9372=R1,IF(ISNUMBER($N$13:$N$9372),IF($N$13:$N$9372&gt;0,$N$13:$N$9372))))</f>
        <v>19.68333333497867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COUNT($O$13:$O$125)</f>
        <v>0</v>
      </c>
      <c r="K6" s="41"/>
      <c r="L6" s="41"/>
      <c r="M6" s="42">
        <f>IFERROR(AVERAGE($O$13:$O$125),0)</f>
        <v>0</v>
      </c>
      <c r="N6" s="40">
        <f>MIN($O$13:$O$125)</f>
        <v>0</v>
      </c>
      <c r="O6" s="3">
        <f>MAX($O$13:$O$125)</f>
        <v>0</v>
      </c>
      <c r="P6" s="2"/>
      <c r="R6" s="77" t="s">
        <v>43</v>
      </c>
      <c r="S6" s="52">
        <f>COUNT($O$13:$O$125)</f>
        <v>0</v>
      </c>
      <c r="T6" s="41"/>
      <c r="U6" s="161"/>
      <c r="V6" s="42">
        <f>IFERROR(AVERAGE($O$13:$O$125),0)</f>
        <v>0</v>
      </c>
      <c r="W6" s="40">
        <f>MIN($O$13:$O$125)</f>
        <v>0</v>
      </c>
      <c r="X6" s="166">
        <f>MAX($O$13:$O$125)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COUNTIFS($P$13:$P$9372,"&gt;0",$AG$13:$AG$9372,I1)</f>
        <v>1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COUNTIFS($P$13:$P$9372,"&gt;0",$AG$13:$AG$9372,R1)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143</v>
      </c>
      <c r="K8" s="41"/>
      <c r="L8" s="41"/>
      <c r="M8" s="42">
        <f>M5</f>
        <v>39.627505827294598</v>
      </c>
      <c r="N8" s="40">
        <f>N5</f>
        <v>34.533333338331431</v>
      </c>
      <c r="O8" s="3">
        <f>O5</f>
        <v>50.049999996554106</v>
      </c>
      <c r="P8" s="2"/>
      <c r="R8" s="76" t="s">
        <v>16</v>
      </c>
      <c r="S8" s="52">
        <f>S5</f>
        <v>47</v>
      </c>
      <c r="T8" s="41"/>
      <c r="U8" s="161"/>
      <c r="V8" s="42">
        <f>V5</f>
        <v>15.472695034794866</v>
      </c>
      <c r="W8" s="40">
        <f>W5</f>
        <v>13.150000004097819</v>
      </c>
      <c r="X8" s="166">
        <f>X5</f>
        <v>19.68333333497867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0.99305555555555558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- 2017-01-23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AVERAGE(S13:S88)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457</v>
      </c>
      <c r="B13" s="7">
        <v>4051</v>
      </c>
      <c r="C13" s="22" t="s">
        <v>196</v>
      </c>
      <c r="D13" s="22" t="s">
        <v>409</v>
      </c>
      <c r="E13" s="13">
        <v>42758.128136574072</v>
      </c>
      <c r="F13" s="13">
        <v>42758.135625000003</v>
      </c>
      <c r="G13" s="7">
        <v>0</v>
      </c>
      <c r="H13" s="22" t="s">
        <v>362</v>
      </c>
      <c r="I13" s="13">
        <v>42758.161180555559</v>
      </c>
      <c r="J13" s="7">
        <v>0</v>
      </c>
      <c r="K13" s="105" t="str">
        <f t="shared" ref="K13:K76" si="0">IF(ISEVEN(B13),(B13-1)&amp;"/"&amp;B13,B13&amp;"/"&amp;(B13+1))</f>
        <v>4051/4052</v>
      </c>
      <c r="L13" s="22" t="str">
        <f>VLOOKUP(A13,'Trips&amp;Operators'!$C$1:$G$99999,5,FALSE)</f>
        <v>OUN ZACK</v>
      </c>
      <c r="M13" s="6">
        <f t="shared" ref="M13:M76" si="1">I13-F13</f>
        <v>2.5555555555911269E-2</v>
      </c>
      <c r="N13" s="7">
        <f t="shared" ref="N13:N76" si="2">24*60*SUM($M13:$M13)</f>
        <v>36.800000000512227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-23T02:04:31-0700',mode:absolute,to:'2017-01-23T04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49" t="str">
        <f t="shared" ref="W13:W76" si="6">IF(AA13&lt;IF(AG13="EC",23,5.65),"Y","N")</f>
        <v>N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7.5499999999999998E-2</v>
      </c>
      <c r="Z13" s="64">
        <f t="shared" ref="Z13:Z76" si="9">RIGHT(H13,LEN(H13)-4)/10000</f>
        <v>23.334</v>
      </c>
      <c r="AA13" s="64">
        <f t="shared" ref="AA13:AA76" si="10">ABS(Z13-Y13)</f>
        <v>23.258499999999998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0101-23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/stypes="app*4051*20170123*"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4051 --swversion DE.1.0.8.0 --startMP 204:755 --initTime 2017-01-23T03:04:31 --startdatetime 2017-01-23T03:15:18 --delay 0 --endMP 204:233340 --enddatetime 2017-01-23T03:52:06 --enforcementcount 0 &gt;&gt;C:\Users\stu\Documents\GitHub\eaglep3-reporting\EC\2017-01-23-refined-times.txt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{"issue":{"subject":"","project_id":79,"tracker_id":40,"status_id":1,"priority_id":2,"assigned_to_id":23,"start_date":"2017-01-23","description":"","custom_fields":[{"id":1,"name":"Subdivision","value":"EC"},{"id":4,"name":"Milepost","value":"23.334"},{"id":17,"name":"Train ID","value":"101-23"},{"id":16,"name":"Locomotive ID","value":"4051"},{"id":130,"name":"Impact","value":""},{"id":150,"name":"Time of Event (Mountain Time)","value":"03:52:06"},{"id":151,"name":"Denver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4051 --day 2017-01-23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463</v>
      </c>
      <c r="B14" s="7">
        <v>4010</v>
      </c>
      <c r="C14" s="22" t="s">
        <v>196</v>
      </c>
      <c r="D14" s="22" t="s">
        <v>674</v>
      </c>
      <c r="E14" s="13">
        <v>42758.169421296298</v>
      </c>
      <c r="F14" s="13">
        <v>42758.174479166664</v>
      </c>
      <c r="G14" s="7">
        <v>1</v>
      </c>
      <c r="H14" s="22" t="s">
        <v>675</v>
      </c>
      <c r="I14" s="13">
        <v>42758.202604166669</v>
      </c>
      <c r="J14" s="7">
        <v>0</v>
      </c>
      <c r="K14" s="105" t="str">
        <f t="shared" si="0"/>
        <v>4009/4010</v>
      </c>
      <c r="L14" s="22" t="str">
        <f>VLOOKUP(A14,'Trips&amp;Operators'!$C$1:$G$99999,5,FALSE)</f>
        <v>OUN ZACK</v>
      </c>
      <c r="M14" s="6">
        <f t="shared" si="1"/>
        <v>2.8125000004365575E-2</v>
      </c>
      <c r="N14" s="7">
        <f t="shared" si="2"/>
        <v>40.500000006286427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-23T03:03:58-0700',mode:absolute,to:'2017-01-23T05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23.2715</v>
      </c>
      <c r="Z14" s="64">
        <f t="shared" si="9"/>
        <v>1.3599999999999999E-2</v>
      </c>
      <c r="AA14" s="64">
        <f t="shared" si="10"/>
        <v>23.257899999999999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0102-23</v>
      </c>
      <c r="AE14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4" s="84" t="str">
        <f t="shared" si="13"/>
        <v>"C:\Program Files (x86)\AstroGrep\AstroGrep.exe" /spath="%USERPROFILE%\AppData\Local\Temp\OnboardLogs" /stypes="app*4010*20170123*"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4010 --swversion DE.1.0.8.0 --startMP 204:232715 --initTime 2017-01-23T04:03:58 --startdatetime 2017-01-23T04:11:15 --delay 1 --endMP 204:136 --enddatetime 2017-01-23T04:51:45 --enforcementcount 0 &gt;&gt;C:\Users\stu\Documents\GitHub\eaglep3-reporting\EC\2017-01-23-refined-times.txt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{"issue":{"subject":"","project_id":79,"tracker_id":40,"status_id":1,"priority_id":2,"assigned_to_id":23,"start_date":"2017-01-23","description":"","custom_fields":[{"id":1,"name":"Subdivision","value":"EC"},{"id":4,"name":"Milepost","value":"0.0136"},{"id":17,"name":"Train ID","value":"102-23"},{"id":16,"name":"Locomotive ID","value":"4010"},{"id":130,"name":"Impact","value":""},{"id":150,"name":"Time of Event (Mountain Time)","value":"04:51:45"},{"id":151,"name":"Denver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4010 --day 2017-01-23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459</v>
      </c>
      <c r="B15" s="7">
        <v>4011</v>
      </c>
      <c r="C15" s="22" t="s">
        <v>196</v>
      </c>
      <c r="D15" s="22" t="s">
        <v>676</v>
      </c>
      <c r="E15" s="13">
        <v>42758.154178240744</v>
      </c>
      <c r="F15" s="13">
        <v>42758.157222222224</v>
      </c>
      <c r="G15" s="7">
        <v>2</v>
      </c>
      <c r="H15" s="22" t="s">
        <v>304</v>
      </c>
      <c r="I15" s="13">
        <v>42758.182071759256</v>
      </c>
      <c r="J15" s="7">
        <v>0</v>
      </c>
      <c r="K15" s="105" t="str">
        <f t="shared" si="0"/>
        <v>4011/4012</v>
      </c>
      <c r="L15" s="22" t="str">
        <f>VLOOKUP(A15,'Trips&amp;Operators'!$C$1:$G$99999,5,FALSE)</f>
        <v>MAELZER KURT</v>
      </c>
      <c r="M15" s="6">
        <f t="shared" si="1"/>
        <v>2.4849537032423541E-2</v>
      </c>
      <c r="N15" s="7">
        <f t="shared" si="2"/>
        <v>35.783333326689899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-23T02:42:01-0700',mode:absolute,to:'2017-01-23T05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6.9699999999999998E-2</v>
      </c>
      <c r="Z15" s="64">
        <f t="shared" si="9"/>
        <v>23.332699999999999</v>
      </c>
      <c r="AA15" s="64">
        <f t="shared" si="10"/>
        <v>23.262999999999998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0103-23</v>
      </c>
      <c r="AE15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5" s="84" t="str">
        <f t="shared" si="13"/>
        <v>"C:\Program Files (x86)\AstroGrep\AstroGrep.exe" /spath="%USERPROFILE%\AppData\Local\Temp\OnboardLogs" /stypes="app*4011*20170123*"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103-23 --locoid 4011 --swversion DE.1.0.8.0 --startMP 204:697 --initTime 2017-01-23T03:42:01 --startdatetime 2017-01-23T03:46:24 --delay 2 --endMP 204:233327 --enddatetime 2017-01-23T04:22:11 --enforcementcount 0 &gt;&gt;C:\Users\stu\Documents\GitHub\eaglep3-reporting\EC\2017-01-23-refined-times.txt</v>
      </c>
      <c r="AI1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{"issue":{"subject":"","project_id":79,"tracker_id":40,"status_id":1,"priority_id":2,"assigned_to_id":23,"start_date":"2017-01-23","description":"","custom_fields":[{"id":1,"name":"Subdivision","value":"EC"},{"id":4,"name":"Milepost","value":"23.3327"},{"id":17,"name":"Train ID","value":"103-23"},{"id":16,"name":"Locomotive ID","value":"4011"},{"id":130,"name":"Impact","value":""},{"id":150,"name":"Time of Event (Mountain Time)","value":"04:22:11"},{"id":151,"name":"Denver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4011 --day 2017-01-23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471</v>
      </c>
      <c r="B16" s="7">
        <v>4026</v>
      </c>
      <c r="C16" s="22" t="s">
        <v>196</v>
      </c>
      <c r="D16" s="22" t="s">
        <v>677</v>
      </c>
      <c r="E16" s="13">
        <v>42758.190266203703</v>
      </c>
      <c r="F16" s="13">
        <v>42758.195555555554</v>
      </c>
      <c r="G16" s="7">
        <v>1</v>
      </c>
      <c r="H16" s="22" t="s">
        <v>238</v>
      </c>
      <c r="I16" s="13">
        <v>42758.222349537034</v>
      </c>
      <c r="J16" s="7">
        <v>0</v>
      </c>
      <c r="K16" s="105" t="str">
        <f t="shared" si="0"/>
        <v>4025/4026</v>
      </c>
      <c r="L16" s="22" t="str">
        <f>VLOOKUP(A16,'Trips&amp;Operators'!$C$1:$G$99999,5,FALSE)</f>
        <v>MAELZER KURT</v>
      </c>
      <c r="M16" s="6">
        <f t="shared" si="1"/>
        <v>2.679398148029577E-2</v>
      </c>
      <c r="N16" s="7">
        <f t="shared" si="2"/>
        <v>38.583333331625909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-23T03:33:59-0700',mode:absolute,to:'2017-01-23T06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23.269400000000001</v>
      </c>
      <c r="Z16" s="64">
        <f t="shared" si="9"/>
        <v>1.38E-2</v>
      </c>
      <c r="AA16" s="64">
        <f t="shared" si="10"/>
        <v>23.255600000000001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0104-23</v>
      </c>
      <c r="AE16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16" s="84" t="str">
        <f t="shared" si="13"/>
        <v>"C:\Program Files (x86)\AstroGrep\AstroGrep.exe" /spath="%USERPROFILE%\AppData\Local\Temp\OnboardLogs" /stypes="app*4026*20170123*"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104-23 --locoid 4026 --swversion DE.1.0.8.0 --startMP 204:232694 --initTime 2017-01-23T04:33:59 --startdatetime 2017-01-23T04:41:36 --delay 1 --endMP 204:138 --enddatetime 2017-01-23T05:20:11 --enforcementcount 0 &gt;&gt;C:\Users\stu\Documents\GitHub\eaglep3-reporting\EC\2017-01-23-refined-times.txt</v>
      </c>
      <c r="AI1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ID","value":"104-23"},{"id":16,"name":"Locomotive ID","value":"4026"},{"id":130,"name":"Impact","value":""},{"id":150,"name":"Time of Event (Mountain Time)","value":"05:20:11"},{"id":151,"name":"Denver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4026 --day 2017-01-23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427</v>
      </c>
      <c r="B17" s="7">
        <v>4029</v>
      </c>
      <c r="C17" s="22" t="s">
        <v>196</v>
      </c>
      <c r="D17" s="22" t="s">
        <v>678</v>
      </c>
      <c r="E17" s="13">
        <v>42758.172349537039</v>
      </c>
      <c r="F17" s="13">
        <v>42758.177395833336</v>
      </c>
      <c r="G17" s="7">
        <v>1</v>
      </c>
      <c r="H17" s="22" t="s">
        <v>260</v>
      </c>
      <c r="I17" s="13">
        <v>42758.203217592592</v>
      </c>
      <c r="J17" s="7">
        <v>0</v>
      </c>
      <c r="K17" s="105" t="str">
        <f t="shared" si="0"/>
        <v>4029/4030</v>
      </c>
      <c r="L17" s="22" t="str">
        <f>VLOOKUP(A17,'Trips&amp;Operators'!$C$1:$G$99999,5,FALSE)</f>
        <v>STARKS ANGELINA</v>
      </c>
      <c r="M17" s="6">
        <f t="shared" si="1"/>
        <v>2.5821759256359655E-2</v>
      </c>
      <c r="N17" s="7">
        <f t="shared" si="2"/>
        <v>37.183333329157904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-23T03:08:11-0700',mode:absolute,to:'2017-01-23T05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7.7499999999999999E-2</v>
      </c>
      <c r="Z17" s="64">
        <f t="shared" si="9"/>
        <v>23.330200000000001</v>
      </c>
      <c r="AA17" s="64">
        <f t="shared" si="10"/>
        <v>23.252700000000001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0105-23</v>
      </c>
      <c r="AE17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7" s="84" t="str">
        <f t="shared" si="13"/>
        <v>"C:\Program Files (x86)\AstroGrep\AstroGrep.exe" /spath="%USERPROFILE%\AppData\Local\Temp\OnboardLogs" /stypes="app*4029*20170123*"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105-23 --locoid 4029 --swversion DE.1.0.8.0 --startMP 204:775 --initTime 2017-01-23T04:08:11 --startdatetime 2017-01-23T04:15:27 --delay 1 --endMP 204:233302 --enddatetime 2017-01-23T04:52:38 --enforcementcount 0 &gt;&gt;C:\Users\stu\Documents\GitHub\eaglep3-reporting\EC\2017-01-23-refined-times.txt</v>
      </c>
      <c r="AI1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ID","value":"105-23"},{"id":16,"name":"Locomotive ID","value":"4029"},{"id":130,"name":"Impact","value":""},{"id":150,"name":"Time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4029 --day 2017-01-23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429</v>
      </c>
      <c r="B18" s="7">
        <v>4015</v>
      </c>
      <c r="C18" s="22" t="s">
        <v>196</v>
      </c>
      <c r="D18" s="22" t="s">
        <v>679</v>
      </c>
      <c r="E18" s="13">
        <v>42758.214699074073</v>
      </c>
      <c r="F18" s="13">
        <v>42758.216168981482</v>
      </c>
      <c r="G18" s="7">
        <v>1</v>
      </c>
      <c r="H18" s="22" t="s">
        <v>186</v>
      </c>
      <c r="I18" s="13">
        <v>42758.24391203704</v>
      </c>
      <c r="J18" s="7">
        <v>0</v>
      </c>
      <c r="K18" s="105" t="str">
        <f t="shared" si="0"/>
        <v>4015/4016</v>
      </c>
      <c r="L18" s="22" t="str">
        <f>VLOOKUP(A18,'Trips&amp;Operators'!$C$1:$G$99999,5,FALSE)</f>
        <v>STARKS ANGELINA</v>
      </c>
      <c r="M18" s="6">
        <f t="shared" si="1"/>
        <v>2.7743055557948537E-2</v>
      </c>
      <c r="N18" s="7">
        <f t="shared" si="2"/>
        <v>39.950000003445894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-23T04:09:10-0700',mode:absolute,to:'2017-01-23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23.266200000000001</v>
      </c>
      <c r="Z18" s="64">
        <f t="shared" si="9"/>
        <v>1.49E-2</v>
      </c>
      <c r="AA18" s="64">
        <f t="shared" si="10"/>
        <v>23.251300000000001</v>
      </c>
      <c r="AB18" s="61" t="str">
        <f>VLOOKUP(A18,Enforcements!$C$7:$K$16,8,0)</f>
        <v>Speed (6)</v>
      </c>
      <c r="AC18" s="57" t="str">
        <f>VLOOKUP(A18,Enforcements!$C$7:$E$16,3,0)</f>
        <v>PERMANENT SPEED RESTRICTION</v>
      </c>
      <c r="AD18" s="58" t="str">
        <f t="shared" si="11"/>
        <v>0106-23</v>
      </c>
      <c r="AE18" s="87" t="str">
        <f t="shared" si="12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8" s="84" t="str">
        <f t="shared" si="13"/>
        <v>"C:\Program Files (x86)\AstroGrep\AstroGrep.exe" /spath="%USERPROFILE%\AppData\Local\Temp\OnboardLogs" /stypes="app*4015*20170123*"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106-23 --locoid 4015 --swversion DE.1.0.8.0 --startMP 204:232662 --initTime 2017-01-23T05:09:10 --startdatetime 2017-01-23T05:11:17 --delay 1 --endMP 204:149 --enddatetime 2017-01-23T05:51:14 --enforcementcount 0 &gt;&gt;C:\Users\stu\Documents\GitHub\eaglep3-reporting\EC\2017-01-23-refined-times.txt</v>
      </c>
      <c r="AI1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ID","value":"106-23"},{"id":16,"name":"Locomotive ID","value":"4015"},{"id":130,"name":"Impact","value":""},{"id":150,"name":"Time of Event (Mountain Time)","value":"05:51:14"},{"id":151,"name":"Denver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4015 --day 2017-01-23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470</v>
      </c>
      <c r="B19" s="7">
        <v>4022</v>
      </c>
      <c r="C19" s="22" t="s">
        <v>196</v>
      </c>
      <c r="D19" s="22" t="s">
        <v>306</v>
      </c>
      <c r="E19" s="13">
        <v>42758.18482638889</v>
      </c>
      <c r="F19" s="13">
        <v>42758.187754629631</v>
      </c>
      <c r="G19" s="7">
        <v>1</v>
      </c>
      <c r="H19" s="22" t="s">
        <v>236</v>
      </c>
      <c r="I19" s="13">
        <v>42758.213912037034</v>
      </c>
      <c r="J19" s="7">
        <v>0</v>
      </c>
      <c r="K19" s="105" t="str">
        <f t="shared" si="0"/>
        <v>4021/4022</v>
      </c>
      <c r="L19" s="22" t="str">
        <f>VLOOKUP(A19,'Trips&amp;Operators'!$C$1:$G$99999,5,FALSE)</f>
        <v>BONDS REYNALDO</v>
      </c>
      <c r="M19" s="6">
        <f t="shared" si="1"/>
        <v>2.6157407402934041E-2</v>
      </c>
      <c r="N19" s="7">
        <f t="shared" si="2"/>
        <v>37.666666660225019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-23T03:26:09-0700',mode:absolute,to:'2017-01-23T06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4.6399999999999997E-2</v>
      </c>
      <c r="Z19" s="64">
        <f t="shared" si="9"/>
        <v>23.3293</v>
      </c>
      <c r="AA19" s="64">
        <f t="shared" si="10"/>
        <v>23.282900000000001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0107-23</v>
      </c>
      <c r="AE19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9" s="84" t="str">
        <f t="shared" si="13"/>
        <v>"C:\Program Files (x86)\AstroGrep\AstroGrep.exe" /spath="%USERPROFILE%\AppData\Local\Temp\OnboardLogs" /stypes="app*4022*20170123*"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107-23 --locoid 4022 --swversion DE.1.0.8.0 --startMP 204:464 --initTime 2017-01-23T04:26:09 --startdatetime 2017-01-23T04:30:22 --delay 1 --endMP 204:233293 --enddatetime 2017-01-23T05:08:02 --enforcementcount 0 &gt;&gt;C:\Users\stu\Documents\GitHub\eaglep3-reporting\EC\2017-01-23-refined-times.txt</v>
      </c>
      <c r="AI1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ID","value":"107-23"},{"id":16,"name":"Locomotive ID","value":"4022"},{"id":130,"name":"Impact","value":""},{"id":150,"name":"Time of Event (Mountain Time)","value":"05:08:02"},{"id":151,"name":"Denver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4022 --day 2017-01-23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477</v>
      </c>
      <c r="B20" s="7">
        <v>4021</v>
      </c>
      <c r="C20" s="22" t="s">
        <v>196</v>
      </c>
      <c r="D20" s="22" t="s">
        <v>680</v>
      </c>
      <c r="E20" s="13">
        <v>42758.223217592589</v>
      </c>
      <c r="F20" s="13">
        <v>42758.2265625</v>
      </c>
      <c r="G20" s="7">
        <v>1</v>
      </c>
      <c r="H20" s="22" t="s">
        <v>681</v>
      </c>
      <c r="I20" s="13">
        <v>42758.254293981481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BONDS REYNALDO</v>
      </c>
      <c r="M20" s="6">
        <f t="shared" si="1"/>
        <v>2.7731481481168885E-2</v>
      </c>
      <c r="N20" s="7">
        <f t="shared" si="2"/>
        <v>39.933333332883194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-23T04:21:26-0700',mode:absolute,to:'2017-01-23T07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23.298200000000001</v>
      </c>
      <c r="Z20" s="64">
        <f t="shared" si="9"/>
        <v>1.78E-2</v>
      </c>
      <c r="AA20" s="64">
        <f t="shared" si="10"/>
        <v>23.2804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0108-23</v>
      </c>
      <c r="AE20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20" s="84" t="str">
        <f t="shared" si="13"/>
        <v>"C:\Program Files (x86)\AstroGrep\AstroGrep.exe" /spath="%USERPROFILE%\AppData\Local\Temp\OnboardLogs" /stypes="app*4021*20170123*"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108-23 --locoid 4021 --swversion DE.1.0.8.0 --startMP 204:232982 --initTime 2017-01-23T05:21:26 --startdatetime 2017-01-23T05:26:15 --delay 1 --endMP 204:178 --enddatetime 2017-01-23T06:06:11 --enforcementcount 0 &gt;&gt;C:\Users\stu\Documents\GitHub\eaglep3-reporting\EC\2017-01-23-refined-times.txt</v>
      </c>
      <c r="AI2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{"issue":{"subject":"","project_id":79,"tracker_id":40,"status_id":1,"priority_id":2,"assigned_to_id":23,"start_date":"2017-01-23","description":"","custom_fields":[{"id":1,"name":"Subdivision","value":"EC"},{"id":4,"name":"Milepost","value":"0.0178"},{"id":17,"name":"Train ID","value":"108-23"},{"id":16,"name":"Locomotive ID","value":"4021"},{"id":130,"name":"Impact","value":""},{"id":150,"name":"Time of Event (Mountain Time)","value":"06:06:11"},{"id":151,"name":"Denver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4021 --day 2017-01-23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472</v>
      </c>
      <c r="B21" s="7">
        <v>4046</v>
      </c>
      <c r="C21" s="22" t="s">
        <v>196</v>
      </c>
      <c r="D21" s="22" t="s">
        <v>393</v>
      </c>
      <c r="E21" s="13">
        <v>42758.192743055559</v>
      </c>
      <c r="F21" s="13">
        <v>42758.198125000003</v>
      </c>
      <c r="G21" s="7">
        <v>1</v>
      </c>
      <c r="H21" s="22" t="s">
        <v>357</v>
      </c>
      <c r="I21" s="13">
        <v>42758.224895833337</v>
      </c>
      <c r="J21" s="7">
        <v>0</v>
      </c>
      <c r="K21" s="105" t="str">
        <f t="shared" si="0"/>
        <v>4045/4046</v>
      </c>
      <c r="L21" s="22" t="str">
        <f>VLOOKUP(A21,'Trips&amp;Operators'!$C$1:$G$99999,5,FALSE)</f>
        <v>SWANSON BRYCE</v>
      </c>
      <c r="M21" s="6">
        <f t="shared" si="1"/>
        <v>2.6770833334012423E-2</v>
      </c>
      <c r="N21" s="7">
        <f t="shared" si="2"/>
        <v>38.550000000977889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-23T03:37:33-0700',mode:absolute,to:'2017-01-23T06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4.8000000000000001E-2</v>
      </c>
      <c r="Z21" s="64">
        <f t="shared" si="9"/>
        <v>23.332899999999999</v>
      </c>
      <c r="AA21" s="64">
        <f t="shared" si="10"/>
        <v>23.2849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0109-23</v>
      </c>
      <c r="AE21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21" s="84" t="str">
        <f t="shared" si="13"/>
        <v>"C:\Program Files (x86)\AstroGrep\AstroGrep.exe" /spath="%USERPROFILE%\AppData\Local\Temp\OnboardLogs" /stypes="app*4046*20170123*"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109-23 --locoid 4046 --swversion DE.1.0.8.0 --startMP 204:480 --initTime 2017-01-23T04:37:33 --startdatetime 2017-01-23T04:45:18 --delay 1 --endMP 204:233329 --enddatetime 2017-01-23T05:23:51 --enforcementcount 0 &gt;&gt;C:\Users\stu\Documents\GitHub\eaglep3-reporting\EC\2017-01-23-refined-times.txt</v>
      </c>
      <c r="AI2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{"issue":{"subject":"","project_id":79,"tracker_id":40,"status_id":1,"priority_id":2,"assigned_to_id":23,"start_date":"2017-01-23","description":"","custom_fields":[{"id":1,"name":"Subdivision","value":"EC"},{"id":4,"name":"Milepost","value":"23.3329"},{"id":17,"name":"Train ID","value":"109-23"},{"id":16,"name":"Locomotive ID","value":"4046"},{"id":130,"name":"Impact","value":""},{"id":150,"name":"Time of Event (Mountain Time)","value":"05:23:51"},{"id":151,"name":"Denver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4046 --day 2017-01-23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480</v>
      </c>
      <c r="B22" s="7">
        <v>4045</v>
      </c>
      <c r="C22" s="22" t="s">
        <v>196</v>
      </c>
      <c r="D22" s="22" t="s">
        <v>402</v>
      </c>
      <c r="E22" s="13">
        <v>42758.227314814816</v>
      </c>
      <c r="F22" s="13">
        <v>42758.236979166664</v>
      </c>
      <c r="G22" s="7">
        <v>1</v>
      </c>
      <c r="H22" s="22" t="s">
        <v>278</v>
      </c>
      <c r="I22" s="13">
        <v>42758.26494212963</v>
      </c>
      <c r="J22" s="7">
        <v>0</v>
      </c>
      <c r="K22" s="105" t="str">
        <f t="shared" si="0"/>
        <v>4045/4046</v>
      </c>
      <c r="L22" s="22" t="str">
        <f>VLOOKUP(A22,'Trips&amp;Operators'!$C$1:$G$99999,5,FALSE)</f>
        <v>SWANSON BRYCE</v>
      </c>
      <c r="M22" s="6">
        <f t="shared" si="1"/>
        <v>2.7962962965830229E-2</v>
      </c>
      <c r="N22" s="7">
        <f t="shared" si="2"/>
        <v>40.26666667079553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-23T04:27:20-0700',mode:absolute,to:'2017-01-23T07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23.2989</v>
      </c>
      <c r="Z22" s="64">
        <f t="shared" si="9"/>
        <v>1.61E-2</v>
      </c>
      <c r="AA22" s="64">
        <f t="shared" si="10"/>
        <v>23.282799999999998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0110-23</v>
      </c>
      <c r="AE22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22" s="84" t="str">
        <f t="shared" si="13"/>
        <v>"C:\Program Files (x86)\AstroGrep\AstroGrep.exe" /spath="%USERPROFILE%\AppData\Local\Temp\OnboardLogs" /stypes="app*4045*20170123*"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110-23 --locoid 4045 --swversion DE.1.0.8.0 --startMP 204:232989 --initTime 2017-01-23T05:27:20 --startdatetime 2017-01-23T05:41:15 --delay 1 --endMP 204:161 --enddatetime 2017-01-23T06:21:31 --enforcementcount 0 &gt;&gt;C:\Users\stu\Documents\GitHub\eaglep3-reporting\EC\2017-01-23-refined-times.txt</v>
      </c>
      <c r="AI2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{"issue":{"subject":"","project_id":79,"tracker_id":40,"status_id":1,"priority_id":2,"assigned_to_id":23,"start_date":"2017-01-23","description":"","custom_fields":[{"id":1,"name":"Subdivision","value":"EC"},{"id":4,"name":"Milepost","value":"0.0161"},{"id":17,"name":"Train ID","value":"110-23"},{"id":16,"name":"Locomotive ID","value":"4045"},{"id":130,"name":"Impact","value":""},{"id":150,"name":"Time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4045 --day 2017-01-23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473</v>
      </c>
      <c r="B23" s="7">
        <v>4051</v>
      </c>
      <c r="C23" s="22" t="s">
        <v>196</v>
      </c>
      <c r="D23" s="22" t="s">
        <v>407</v>
      </c>
      <c r="E23" s="13">
        <v>42758.205057870371</v>
      </c>
      <c r="F23" s="13">
        <v>42758.208506944444</v>
      </c>
      <c r="G23" s="7">
        <v>1</v>
      </c>
      <c r="H23" s="22" t="s">
        <v>235</v>
      </c>
      <c r="I23" s="13">
        <v>42758.232662037037</v>
      </c>
      <c r="J23" s="7">
        <v>0</v>
      </c>
      <c r="K23" s="105" t="str">
        <f t="shared" si="0"/>
        <v>4051/4052</v>
      </c>
      <c r="L23" s="22" t="str">
        <f>VLOOKUP(A23,'Trips&amp;Operators'!$C$1:$G$99999,5,FALSE)</f>
        <v>YORK EDGAR</v>
      </c>
      <c r="M23" s="6">
        <f t="shared" si="1"/>
        <v>2.4155092592991423E-2</v>
      </c>
      <c r="N23" s="7">
        <f t="shared" si="2"/>
        <v>34.783333333907649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-23T03:55:17-0700',mode:absolute,to:'2017-01-23T06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7.6600000000000001E-2</v>
      </c>
      <c r="Z23" s="64">
        <f t="shared" si="9"/>
        <v>23.329899999999999</v>
      </c>
      <c r="AA23" s="64">
        <f t="shared" si="10"/>
        <v>23.253299999999999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0111-23</v>
      </c>
      <c r="AE23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23" s="84" t="str">
        <f t="shared" si="13"/>
        <v>"C:\Program Files (x86)\AstroGrep\AstroGrep.exe" /spath="%USERPROFILE%\AppData\Local\Temp\OnboardLogs" /stypes="app*4051*20170123*"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111-23 --locoid 4051 --swversion DE.1.0.8.0 --startMP 204:766 --initTime 2017-01-23T04:55:17 --startdatetime 2017-01-23T05:00:15 --delay 1 --endMP 204:233299 --enddatetime 2017-01-23T05:35:02 --enforcementcount 0 &gt;&gt;C:\Users\stu\Documents\GitHub\eaglep3-reporting\EC\2017-01-23-refined-times.txt</v>
      </c>
      <c r="AI2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ID","value":"111-23"},{"id":16,"name":"Locomotive ID","value":"4051"},{"id":130,"name":"Impact","value":""},{"id":150,"name":"Time of Event (Mountain Time)","value":"05:35:02"},{"id":151,"name":"Denver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4051 --day 2017-01-23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481</v>
      </c>
      <c r="B24" s="7">
        <v>4052</v>
      </c>
      <c r="C24" s="22" t="s">
        <v>196</v>
      </c>
      <c r="D24" s="22" t="s">
        <v>682</v>
      </c>
      <c r="E24" s="13">
        <v>42758.233761574076</v>
      </c>
      <c r="F24" s="13">
        <v>42758.247430555559</v>
      </c>
      <c r="G24" s="7">
        <v>1</v>
      </c>
      <c r="H24" s="22" t="s">
        <v>276</v>
      </c>
      <c r="I24" s="13">
        <v>42758.272974537038</v>
      </c>
      <c r="J24" s="7">
        <v>0</v>
      </c>
      <c r="K24" s="105" t="str">
        <f t="shared" si="0"/>
        <v>4051/4052</v>
      </c>
      <c r="L24" s="22" t="str">
        <f>VLOOKUP(A24,'Trips&amp;Operators'!$C$1:$G$99999,5,FALSE)</f>
        <v>YORK EDGAR</v>
      </c>
      <c r="M24" s="6">
        <f t="shared" si="1"/>
        <v>2.5543981479131617E-2</v>
      </c>
      <c r="N24" s="7">
        <f t="shared" si="2"/>
        <v>36.783333329949528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-23T04:36:37-0700',mode:absolute,to:'2017-01-23T07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23.296299999999999</v>
      </c>
      <c r="Z24" s="64">
        <f t="shared" si="9"/>
        <v>1.6500000000000001E-2</v>
      </c>
      <c r="AA24" s="64">
        <f t="shared" si="10"/>
        <v>23.279799999999998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0112-23</v>
      </c>
      <c r="AE24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24" s="84" t="str">
        <f t="shared" si="13"/>
        <v>"C:\Program Files (x86)\AstroGrep\AstroGrep.exe" /spath="%USERPROFILE%\AppData\Local\Temp\OnboardLogs" /stypes="app*4052*20170123*"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112-23 --locoid 4052 --swversion DE.1.0.8.0 --startMP 204:232963 --initTime 2017-01-23T05:36:37 --startdatetime 2017-01-23T05:56:18 --delay 1 --endMP 204:165 --enddatetime 2017-01-23T06:33:05 --enforcementcount 0 &gt;&gt;C:\Users\stu\Documents\GitHub\eaglep3-reporting\EC\2017-01-23-refined-times.txt</v>
      </c>
      <c r="AI2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ID","value":"112-23"},{"id":16,"name":"Locomotive ID","value":"4052"},{"id":130,"name":"Impact","value":""},{"id":150,"name":"Time of Event (Mountain Time)","value":"06:33:05"},{"id":151,"name":"Denver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4052 --day 2017-01-23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475</v>
      </c>
      <c r="B25" s="7">
        <v>4009</v>
      </c>
      <c r="C25" s="22" t="s">
        <v>196</v>
      </c>
      <c r="D25" s="22" t="s">
        <v>683</v>
      </c>
      <c r="E25" s="13">
        <v>42758.21671296296</v>
      </c>
      <c r="F25" s="13">
        <v>42758.218935185185</v>
      </c>
      <c r="G25" s="7">
        <v>1</v>
      </c>
      <c r="H25" s="22" t="s">
        <v>684</v>
      </c>
      <c r="I25" s="13">
        <v>42758.245243055557</v>
      </c>
      <c r="J25" s="7">
        <v>0</v>
      </c>
      <c r="K25" s="105" t="str">
        <f t="shared" si="0"/>
        <v>4009/4010</v>
      </c>
      <c r="L25" s="22" t="str">
        <f>VLOOKUP(A25,'Trips&amp;Operators'!$C$1:$G$99999,5,FALSE)</f>
        <v>OUN ZACK</v>
      </c>
      <c r="M25" s="6">
        <f t="shared" si="1"/>
        <v>2.6307870371965691E-2</v>
      </c>
      <c r="N25" s="7">
        <f t="shared" si="2"/>
        <v>37.883333335630596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-23T04:12:04-0700',mode:absolute,to:'2017-01-23T06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4.2700000000000002E-2</v>
      </c>
      <c r="Z25" s="64">
        <f t="shared" si="9"/>
        <v>23.334199999999999</v>
      </c>
      <c r="AA25" s="64">
        <f t="shared" si="10"/>
        <v>23.291499999999999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0113-23</v>
      </c>
      <c r="AE25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25" s="84" t="str">
        <f t="shared" si="13"/>
        <v>"C:\Program Files (x86)\AstroGrep\AstroGrep.exe" /spath="%USERPROFILE%\AppData\Local\Temp\OnboardLogs" /stypes="app*4009*20170123*"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113-23 --locoid 4009 --swversion DE.1.0.8.0 --startMP 204:427 --initTime 2017-01-23T05:12:04 --startdatetime 2017-01-23T05:15:16 --delay 1 --endMP 204:233342 --enddatetime 2017-01-23T05:53:09 --enforcementcount 0 &gt;&gt;C:\Users\stu\Documents\GitHub\eaglep3-reporting\EC\2017-01-23-refined-times.txt</v>
      </c>
      <c r="AI2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{"issue":{"subject":"","project_id":79,"tracker_id":40,"status_id":1,"priority_id":2,"assigned_to_id":23,"start_date":"2017-01-23","description":"","custom_fields":[{"id":1,"name":"Subdivision","value":"EC"},{"id":4,"name":"Milepost","value":"23.3342"},{"id":17,"name":"Train ID","value":"113-23"},{"id":16,"name":"Locomotive ID","value":"4009"},{"id":130,"name":"Impact","value":""},{"id":150,"name":"Time of Event (Mountain Time)","value":"05:53:09"},{"id":151,"name":"Denver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4009 --day 2017-01-23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486</v>
      </c>
      <c r="B26" s="7">
        <v>4010</v>
      </c>
      <c r="C26" s="22" t="s">
        <v>196</v>
      </c>
      <c r="D26" s="22" t="s">
        <v>685</v>
      </c>
      <c r="E26" s="13">
        <v>42758.253564814811</v>
      </c>
      <c r="F26" s="13">
        <v>42758.2578125</v>
      </c>
      <c r="G26" s="7">
        <v>1</v>
      </c>
      <c r="H26" s="22" t="s">
        <v>686</v>
      </c>
      <c r="I26" s="13">
        <v>42758.284375000003</v>
      </c>
      <c r="J26" s="7">
        <v>0</v>
      </c>
      <c r="K26" s="105" t="str">
        <f t="shared" si="0"/>
        <v>4009/4010</v>
      </c>
      <c r="L26" s="22" t="str">
        <f>VLOOKUP(A26,'Trips&amp;Operators'!$C$1:$G$99999,5,FALSE)</f>
        <v>OUN ZACK</v>
      </c>
      <c r="M26" s="6">
        <f t="shared" si="1"/>
        <v>2.6562500002910383E-2</v>
      </c>
      <c r="N26" s="7">
        <f t="shared" si="2"/>
        <v>38.250000004190952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-23T05:05:08-0700',mode:absolute,to:'2017-01-23T07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23.302800000000001</v>
      </c>
      <c r="Z26" s="64">
        <f t="shared" si="9"/>
        <v>1.29E-2</v>
      </c>
      <c r="AA26" s="64">
        <f t="shared" si="10"/>
        <v>23.289900000000003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0114-23</v>
      </c>
      <c r="AE26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26" s="84" t="str">
        <f t="shared" si="13"/>
        <v>"C:\Program Files (x86)\AstroGrep\AstroGrep.exe" /spath="%USERPROFILE%\AppData\Local\Temp\OnboardLogs" /stypes="app*4010*20170123*"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114-23 --locoid 4010 --swversion DE.1.0.8.0 --startMP 204:233028 --initTime 2017-01-23T06:05:08 --startdatetime 2017-01-23T06:11:15 --delay 1 --endMP 204:129 --enddatetime 2017-01-23T06:49:30 --enforcementcount 0 &gt;&gt;C:\Users\stu\Documents\GitHub\eaglep3-reporting\EC\2017-01-23-refined-times.txt</v>
      </c>
      <c r="AI2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ID","value":"114-23"},{"id":16,"name":"Locomotive ID","value":"4010"},{"id":130,"name":"Impact","value":""},{"id":150,"name":"Time of Event (Mountain Time)","value":"06:49:30"},{"id":151,"name":"Denver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4010 --day 2017-01-23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479</v>
      </c>
      <c r="B27" s="7">
        <v>4011</v>
      </c>
      <c r="C27" s="22" t="s">
        <v>196</v>
      </c>
      <c r="D27" s="22" t="s">
        <v>407</v>
      </c>
      <c r="E27" s="13">
        <v>42758.225011574075</v>
      </c>
      <c r="F27" s="13">
        <v>42758.229328703703</v>
      </c>
      <c r="G27" s="7">
        <v>2</v>
      </c>
      <c r="H27" s="22" t="s">
        <v>242</v>
      </c>
      <c r="I27" s="13">
        <v>42758.253923611112</v>
      </c>
      <c r="J27" s="7">
        <v>0</v>
      </c>
      <c r="K27" s="105" t="str">
        <f t="shared" si="0"/>
        <v>4011/4012</v>
      </c>
      <c r="L27" s="22" t="str">
        <f>VLOOKUP(A27,'Trips&amp;Operators'!$C$1:$G$99999,5,FALSE)</f>
        <v>ROBINSON KADDIBA</v>
      </c>
      <c r="M27" s="6">
        <f t="shared" si="1"/>
        <v>2.4594907408754807E-2</v>
      </c>
      <c r="N27" s="7">
        <f t="shared" si="2"/>
        <v>35.416666668606922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-23T04:24:01-0700',mode:absolute,to:'2017-01-23T07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7.6600000000000001E-2</v>
      </c>
      <c r="Z27" s="64">
        <f t="shared" si="9"/>
        <v>23.329699999999999</v>
      </c>
      <c r="AA27" s="64">
        <f t="shared" si="10"/>
        <v>23.2531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0115-23</v>
      </c>
      <c r="AE27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27" s="84" t="str">
        <f t="shared" si="13"/>
        <v>"C:\Program Files (x86)\AstroGrep\AstroGrep.exe" /spath="%USERPROFILE%\AppData\Local\Temp\OnboardLogs" /stypes="app*4011*20170123*"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115-23 --locoid 4011 --swversion DE.1.0.8.0 --startMP 204:766 --initTime 2017-01-23T05:24:01 --startdatetime 2017-01-23T05:30:14 --delay 2 --endMP 204:233297 --enddatetime 2017-01-23T06:05:39 --enforcementcount 0 &gt;&gt;C:\Users\stu\Documents\GitHub\eaglep3-reporting\EC\2017-01-23-refined-times.txt</v>
      </c>
      <c r="AI2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ID","value":"115-23"},{"id":16,"name":"Locomotive ID","value":"4011"},{"id":130,"name":"Impact","value":""},{"id":150,"name":"Time of Event (Mountain Time)","value":"06:05:39"},{"id":151,"name":"Denver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4011 --day 2017-01-23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489</v>
      </c>
      <c r="B28" s="7">
        <v>4012</v>
      </c>
      <c r="C28" s="22" t="s">
        <v>196</v>
      </c>
      <c r="D28" s="22" t="s">
        <v>356</v>
      </c>
      <c r="E28" s="13">
        <v>42758.262280092589</v>
      </c>
      <c r="F28" s="13">
        <v>42758.268217592595</v>
      </c>
      <c r="G28" s="7">
        <v>1</v>
      </c>
      <c r="H28" s="22" t="s">
        <v>305</v>
      </c>
      <c r="I28" s="13">
        <v>42758.295347222222</v>
      </c>
      <c r="J28" s="7">
        <v>0</v>
      </c>
      <c r="K28" s="105" t="str">
        <f t="shared" si="0"/>
        <v>4011/4012</v>
      </c>
      <c r="L28" s="22" t="str">
        <f>VLOOKUP(A28,'Trips&amp;Operators'!$C$1:$G$99999,5,FALSE)</f>
        <v>ROBINSON KADDIBA</v>
      </c>
      <c r="M28" s="6">
        <f t="shared" si="1"/>
        <v>2.7129629626870155E-2</v>
      </c>
      <c r="N28" s="7">
        <f t="shared" si="2"/>
        <v>39.066666662693024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-23T05:17:41-0700',mode:absolute,to:'2017-01-23T08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23.296500000000002</v>
      </c>
      <c r="Z28" s="64">
        <f t="shared" si="9"/>
        <v>1.41E-2</v>
      </c>
      <c r="AA28" s="64">
        <f t="shared" si="10"/>
        <v>23.282400000000003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0116-23</v>
      </c>
      <c r="AE28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28" s="84" t="str">
        <f t="shared" si="13"/>
        <v>"C:\Program Files (x86)\AstroGrep\AstroGrep.exe" /spath="%USERPROFILE%\AppData\Local\Temp\OnboardLogs" /stypes="app*4012*20170123*"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116-23 --locoid 4012 --swversion DE.1.0.8.0 --startMP 204:232965 --initTime 2017-01-23T06:17:41 --startdatetime 2017-01-23T06:26:14 --delay 1 --endMP 204:141 --enddatetime 2017-01-23T07:05:18 --enforcementcount 0 &gt;&gt;C:\Users\stu\Documents\GitHub\eaglep3-reporting\EC\2017-01-23-refined-times.txt</v>
      </c>
      <c r="AI2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{"issue":{"subject":"","project_id":79,"tracker_id":40,"status_id":1,"priority_id":2,"assigned_to_id":23,"start_date":"2017-01-23","description":"","custom_fields":[{"id":1,"name":"Subdivision","value":"EC"},{"id":4,"name":"Milepost","value":"0.0141"},{"id":17,"name":"Train ID","value":"116-23"},{"id":16,"name":"Locomotive ID","value":"4012"},{"id":130,"name":"Impact","value":""},{"id":150,"name":"Time of Event (Mountain Time)","value":"07:05:18"},{"id":151,"name":"Denver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4012 --day 2017-01-23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478</v>
      </c>
      <c r="B29" s="7">
        <v>4025</v>
      </c>
      <c r="C29" s="22" t="s">
        <v>196</v>
      </c>
      <c r="D29" s="22" t="s">
        <v>187</v>
      </c>
      <c r="E29" s="13">
        <v>42758.225671296299</v>
      </c>
      <c r="F29" s="13">
        <v>42758.239837962959</v>
      </c>
      <c r="G29" s="7">
        <v>1</v>
      </c>
      <c r="H29" s="22" t="s">
        <v>389</v>
      </c>
      <c r="I29" s="13">
        <v>42758.266192129631</v>
      </c>
      <c r="J29" s="7">
        <v>0</v>
      </c>
      <c r="K29" s="105" t="str">
        <f t="shared" si="0"/>
        <v>4025/4026</v>
      </c>
      <c r="L29" s="22" t="str">
        <f>VLOOKUP(A29,'Trips&amp;Operators'!$C$1:$G$99999,5,FALSE)</f>
        <v>MAELZER KURT</v>
      </c>
      <c r="M29" s="6">
        <f t="shared" si="1"/>
        <v>2.6354166671808343E-2</v>
      </c>
      <c r="N29" s="7">
        <f t="shared" si="2"/>
        <v>37.950000007404014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-23T04:24:58-0700',mode:absolute,to:'2017-01-23T07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4.4699999999999997E-2</v>
      </c>
      <c r="Z29" s="64">
        <f t="shared" si="9"/>
        <v>23.331499999999998</v>
      </c>
      <c r="AA29" s="64">
        <f t="shared" si="10"/>
        <v>23.286799999999999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0117-23</v>
      </c>
      <c r="AE29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29" s="84" t="str">
        <f t="shared" si="13"/>
        <v>"C:\Program Files (x86)\AstroGrep\AstroGrep.exe" /spath="%USERPROFILE%\AppData\Local\Temp\OnboardLogs" /stypes="app*4025*20170123*"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117-23 --locoid 4025 --swversion DE.1.0.8.0 --startMP 204:447 --initTime 2017-01-23T05:24:58 --startdatetime 2017-01-23T05:45:22 --delay 1 --endMP 204:233315 --enddatetime 2017-01-23T06:23:19 --enforcementcount 0 &gt;&gt;C:\Users\stu\Documents\GitHub\eaglep3-reporting\EC\2017-01-23-refined-times.txt</v>
      </c>
      <c r="AI2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ID","value":"117-23"},{"id":16,"name":"Locomotive ID","value":"4025"},{"id":130,"name":"Impact","value":""},{"id":150,"name":"Time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4025 --day 2017-01-23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492</v>
      </c>
      <c r="B30" s="7">
        <v>4026</v>
      </c>
      <c r="C30" s="22" t="s">
        <v>196</v>
      </c>
      <c r="D30" s="22" t="s">
        <v>397</v>
      </c>
      <c r="E30" s="13">
        <v>42758.274699074071</v>
      </c>
      <c r="F30" s="13">
        <v>42758.278726851851</v>
      </c>
      <c r="G30" s="7">
        <v>1</v>
      </c>
      <c r="H30" s="22" t="s">
        <v>223</v>
      </c>
      <c r="I30" s="13">
        <v>42758.305567129632</v>
      </c>
      <c r="J30" s="7">
        <v>0</v>
      </c>
      <c r="K30" s="105" t="str">
        <f t="shared" si="0"/>
        <v>4025/4026</v>
      </c>
      <c r="L30" s="22" t="str">
        <f>VLOOKUP(A30,'Trips&amp;Operators'!$C$1:$G$99999,5,FALSE)</f>
        <v>MAELZER KURT</v>
      </c>
      <c r="M30" s="6">
        <f t="shared" si="1"/>
        <v>2.6840277780138422E-2</v>
      </c>
      <c r="N30" s="7">
        <f t="shared" si="2"/>
        <v>38.650000003399327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-23T05:35:34-0700',mode:absolute,to:'2017-01-23T08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23.3002</v>
      </c>
      <c r="Z30" s="64">
        <f t="shared" si="9"/>
        <v>1.5599999999999999E-2</v>
      </c>
      <c r="AA30" s="64">
        <f t="shared" si="10"/>
        <v>23.284600000000001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0118-23</v>
      </c>
      <c r="AE30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30" s="84" t="str">
        <f t="shared" si="13"/>
        <v>"C:\Program Files (x86)\AstroGrep\AstroGrep.exe" /spath="%USERPROFILE%\AppData\Local\Temp\OnboardLogs" /stypes="app*4026*20170123*"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118-23 --locoid 4026 --swversion DE.1.0.8.0 --startMP 204:233002 --initTime 2017-01-23T06:35:34 --startdatetime 2017-01-23T06:41:22 --delay 1 --endMP 204:156 --enddatetime 2017-01-23T07:20:01 --enforcementcount 0 &gt;&gt;C:\Users\stu\Documents\GitHub\eaglep3-reporting\EC\2017-01-23-refined-times.txt</v>
      </c>
      <c r="AI3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{"issue":{"subject":"","project_id":79,"tracker_id":40,"status_id":1,"priority_id":2,"assigned_to_id":23,"start_date":"2017-01-23","description":"","custom_fields":[{"id":1,"name":"Subdivision","value":"EC"},{"id":4,"name":"Milepost","value":"0.0156"},{"id":17,"name":"Train ID","value":"118-23"},{"id":16,"name":"Locomotive ID","value":"4026"},{"id":130,"name":"Impact","value":""},{"id":150,"name":"Time of Event (Mountain Time)","value":"07:20:01"},{"id":151,"name":"Denver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4026 --day 2017-01-23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485</v>
      </c>
      <c r="B31" s="7">
        <v>4029</v>
      </c>
      <c r="C31" s="22" t="s">
        <v>196</v>
      </c>
      <c r="D31" s="22" t="s">
        <v>687</v>
      </c>
      <c r="E31" s="13">
        <v>42758.247245370374</v>
      </c>
      <c r="F31" s="13">
        <v>42758.250185185185</v>
      </c>
      <c r="G31" s="7">
        <v>0</v>
      </c>
      <c r="H31" s="22" t="s">
        <v>242</v>
      </c>
      <c r="I31" s="13">
        <v>42758.275173611109</v>
      </c>
      <c r="J31" s="7">
        <v>0</v>
      </c>
      <c r="K31" s="105" t="str">
        <f t="shared" si="0"/>
        <v>4029/4030</v>
      </c>
      <c r="L31" s="22" t="str">
        <f>VLOOKUP(A31,'Trips&amp;Operators'!$C$1:$G$99999,5,FALSE)</f>
        <v>STARKS ANGELINA</v>
      </c>
      <c r="M31" s="6">
        <f t="shared" si="1"/>
        <v>2.4988425924675539E-2</v>
      </c>
      <c r="N31" s="7">
        <f t="shared" si="2"/>
        <v>35.983333331532776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-23T04:56:02-0700',mode:absolute,to:'2017-01-23T07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7.3700000000000002E-2</v>
      </c>
      <c r="Z31" s="64">
        <f t="shared" si="9"/>
        <v>23.329699999999999</v>
      </c>
      <c r="AA31" s="64">
        <f t="shared" si="10"/>
        <v>23.256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0119-23</v>
      </c>
      <c r="AE31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31" s="84" t="str">
        <f t="shared" si="13"/>
        <v>"C:\Program Files (x86)\AstroGrep\AstroGrep.exe" /spath="%USERPROFILE%\AppData\Local\Temp\OnboardLogs" /stypes="app*4029*20170123*"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119-23 --locoid 4029 --swversion DE.1.0.8.0 --startMP 204:737 --initTime 2017-01-23T05:56:02 --startdatetime 2017-01-23T06:00:16 --delay 0 --endMP 204:233297 --enddatetime 2017-01-23T06:36:15 --enforcementcount 0 &gt;&gt;C:\Users\stu\Documents\GitHub\eaglep3-reporting\EC\2017-01-23-refined-times.txt</v>
      </c>
      <c r="AI3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ID","value":"119-23"},{"id":16,"name":"Locomotive ID","value":"4029"},{"id":130,"name":"Impact","value":""},{"id":150,"name":"Time of Event (Mountain Time)","value":"06:36:15"},{"id":151,"name":"Denver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4029 --day 2017-01-23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494</v>
      </c>
      <c r="B32" s="7">
        <v>4030</v>
      </c>
      <c r="C32" s="22" t="s">
        <v>196</v>
      </c>
      <c r="D32" s="22" t="s">
        <v>354</v>
      </c>
      <c r="E32" s="13">
        <v>42758.284097222226</v>
      </c>
      <c r="F32" s="13">
        <v>42758.289039351854</v>
      </c>
      <c r="G32" s="7">
        <v>1</v>
      </c>
      <c r="H32" s="22" t="s">
        <v>257</v>
      </c>
      <c r="I32" s="13">
        <v>42758.315636574072</v>
      </c>
      <c r="J32" s="7">
        <v>0</v>
      </c>
      <c r="K32" s="105" t="str">
        <f t="shared" si="0"/>
        <v>4029/4030</v>
      </c>
      <c r="L32" s="22" t="str">
        <f>VLOOKUP(A32,'Trips&amp;Operators'!$C$1:$G$99999,5,FALSE)</f>
        <v>STARKS ANGELINA</v>
      </c>
      <c r="M32" s="6">
        <f t="shared" si="1"/>
        <v>2.6597222218697425E-2</v>
      </c>
      <c r="N32" s="7">
        <f t="shared" si="2"/>
        <v>38.299999994924292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-23T05:49:06-0700',mode:absolute,to:'2017-01-23T08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23.2973</v>
      </c>
      <c r="Z32" s="64">
        <f t="shared" si="9"/>
        <v>1.43E-2</v>
      </c>
      <c r="AA32" s="64">
        <f t="shared" si="10"/>
        <v>23.283000000000001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0120-23</v>
      </c>
      <c r="AE32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32" s="84" t="str">
        <f t="shared" si="13"/>
        <v>"C:\Program Files (x86)\AstroGrep\AstroGrep.exe" /spath="%USERPROFILE%\AppData\Local\Temp\OnboardLogs" /stypes="app*4030*20170123*"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120-23 --locoid 4030 --swversion DE.1.0.8.0 --startMP 204:232973 --initTime 2017-01-23T06:49:06 --startdatetime 2017-01-23T06:56:13 --delay 1 --endMP 204:143 --enddatetime 2017-01-23T07:34:31 --enforcementcount 0 &gt;&gt;C:\Users\stu\Documents\GitHub\eaglep3-reporting\EC\2017-01-23-refined-times.txt</v>
      </c>
      <c r="AI3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ID","value":"120-23"},{"id":16,"name":"Locomotive ID","value":"4030"},{"id":130,"name":"Impact","value":""},{"id":150,"name":"Time of Event (Mountain Time)","value":"07:34:31"},{"id":151,"name":"Denver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4030 --day 2017-01-23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487</v>
      </c>
      <c r="B33" s="7">
        <v>4022</v>
      </c>
      <c r="C33" s="22" t="s">
        <v>196</v>
      </c>
      <c r="D33" s="22" t="s">
        <v>358</v>
      </c>
      <c r="E33" s="13">
        <v>42758.256481481483</v>
      </c>
      <c r="F33" s="13">
        <v>42758.260613425926</v>
      </c>
      <c r="G33" s="7">
        <v>1</v>
      </c>
      <c r="H33" s="22" t="s">
        <v>411</v>
      </c>
      <c r="I33" s="13">
        <v>42758.286793981482</v>
      </c>
      <c r="J33" s="7">
        <v>0</v>
      </c>
      <c r="K33" s="105" t="str">
        <f t="shared" si="0"/>
        <v>4021/4022</v>
      </c>
      <c r="L33" s="22" t="str">
        <f>VLOOKUP(A33,'Trips&amp;Operators'!$C$1:$G$99999,5,FALSE)</f>
        <v>BONDS REYNALDO</v>
      </c>
      <c r="M33" s="6">
        <f t="shared" si="1"/>
        <v>2.6180555556493346E-2</v>
      </c>
      <c r="N33" s="7">
        <f t="shared" si="2"/>
        <v>37.700000001350418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-23T05:09:20-0700',mode:absolute,to:'2017-01-23T07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4.7500000000000001E-2</v>
      </c>
      <c r="Z33" s="64">
        <f t="shared" si="9"/>
        <v>23.328700000000001</v>
      </c>
      <c r="AA33" s="64">
        <f t="shared" si="10"/>
        <v>23.281200000000002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0121-23</v>
      </c>
      <c r="AE33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33" s="84" t="str">
        <f t="shared" si="13"/>
        <v>"C:\Program Files (x86)\AstroGrep\AstroGrep.exe" /spath="%USERPROFILE%\AppData\Local\Temp\OnboardLogs" /stypes="app*4022*20170123*"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121-23 --locoid 4022 --swversion DE.1.0.8.0 --startMP 204:475 --initTime 2017-01-23T06:09:20 --startdatetime 2017-01-23T06:15:17 --delay 1 --endMP 204:233287 --enddatetime 2017-01-23T06:52:59 --enforcementcount 0 &gt;&gt;C:\Users\stu\Documents\GitHub\eaglep3-reporting\EC\2017-01-23-refined-times.txt</v>
      </c>
      <c r="AI3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{"issue":{"subject":"","project_id":79,"tracker_id":40,"status_id":1,"priority_id":2,"assigned_to_id":23,"start_date":"2017-01-23","description":"","custom_fields":[{"id":1,"name":"Subdivision","value":"EC"},{"id":4,"name":"Milepost","value":"23.3287"},{"id":17,"name":"Train ID","value":"121-23"},{"id":16,"name":"Locomotive ID","value":"4022"},{"id":130,"name":"Impact","value":""},{"id":150,"name":"Time of Event (Mountain Time)","value":"06:52:59"},{"id":151,"name":"Denver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4022 --day 2017-01-23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496</v>
      </c>
      <c r="B34" s="7">
        <v>4021</v>
      </c>
      <c r="C34" s="22" t="s">
        <v>196</v>
      </c>
      <c r="D34" s="22" t="s">
        <v>688</v>
      </c>
      <c r="E34" s="13">
        <v>42758.297418981485</v>
      </c>
      <c r="F34" s="13">
        <v>42758.299537037034</v>
      </c>
      <c r="G34" s="7">
        <v>0</v>
      </c>
      <c r="H34" s="22" t="s">
        <v>212</v>
      </c>
      <c r="I34" s="13">
        <v>42758.326956018522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BONDS REYNALDO</v>
      </c>
      <c r="M34" s="6">
        <f t="shared" si="1"/>
        <v>2.7418981488153804E-2</v>
      </c>
      <c r="N34" s="7">
        <f t="shared" si="2"/>
        <v>39.483333342941478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-23T06:08:17-0700',mode:absolute,to:'2017-01-23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23.298300000000001</v>
      </c>
      <c r="Z34" s="64">
        <f t="shared" si="9"/>
        <v>1.47E-2</v>
      </c>
      <c r="AA34" s="64">
        <f t="shared" si="10"/>
        <v>23.2836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0122-23</v>
      </c>
      <c r="AE34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34" s="84" t="str">
        <f t="shared" si="13"/>
        <v>"C:\Program Files (x86)\AstroGrep\AstroGrep.exe" /spath="%USERPROFILE%\AppData\Local\Temp\OnboardLogs" /stypes="app*4021*20170123*"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122-23 --locoid 4021 --swversion DE.1.0.8.0 --startMP 204:232983 --initTime 2017-01-23T07:08:17 --startdatetime 2017-01-23T07:11:20 --delay 0 --endMP 204:147 --enddatetime 2017-01-23T07:50:49 --enforcementcount 0 &gt;&gt;C:\Users\stu\Documents\GitHub\eaglep3-reporting\EC\2017-01-23-refined-times.txt</v>
      </c>
      <c r="AI3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ID","value":"122-23"},{"id":16,"name":"Locomotive ID","value":"4021"},{"id":130,"name":"Impact","value":""},{"id":150,"name":"Time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4021 --day 2017-01-23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490</v>
      </c>
      <c r="B35" s="7">
        <v>4046</v>
      </c>
      <c r="C35" s="22" t="s">
        <v>196</v>
      </c>
      <c r="D35" s="22" t="s">
        <v>689</v>
      </c>
      <c r="E35" s="13">
        <v>42758.26699074074</v>
      </c>
      <c r="F35" s="13">
        <v>42758.27103009259</v>
      </c>
      <c r="G35" s="7">
        <v>1</v>
      </c>
      <c r="H35" s="22" t="s">
        <v>394</v>
      </c>
      <c r="I35" s="13">
        <v>42758.296342592592</v>
      </c>
      <c r="J35" s="7">
        <v>0</v>
      </c>
      <c r="K35" s="105" t="str">
        <f t="shared" si="0"/>
        <v>4045/4046</v>
      </c>
      <c r="L35" s="22" t="str">
        <f>VLOOKUP(A35,'Trips&amp;Operators'!$C$1:$G$99999,5,FALSE)</f>
        <v>SWANSON BRYCE</v>
      </c>
      <c r="M35" s="6">
        <f t="shared" si="1"/>
        <v>2.531250000174623E-2</v>
      </c>
      <c r="N35" s="7">
        <f t="shared" si="2"/>
        <v>36.450000002514571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-23T05:24:28-0700',mode:absolute,to:'2017-01-23T08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4.7699999999999999E-2</v>
      </c>
      <c r="Z35" s="64">
        <f t="shared" si="9"/>
        <v>23.328600000000002</v>
      </c>
      <c r="AA35" s="64">
        <f t="shared" si="10"/>
        <v>23.280900000000003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0123-23</v>
      </c>
      <c r="AE35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35" s="84" t="str">
        <f t="shared" si="13"/>
        <v>"C:\Program Files (x86)\AstroGrep\AstroGrep.exe" /spath="%USERPROFILE%\AppData\Local\Temp\OnboardLogs" /stypes="app*4046*20170123*"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123-23 --locoid 4046 --swversion DE.1.0.8.0 --startMP 204:477 --initTime 2017-01-23T06:24:28 --startdatetime 2017-01-23T06:30:17 --delay 1 --endMP 204:233286 --enddatetime 2017-01-23T07:06:44 --enforcementcount 0 &gt;&gt;C:\Users\stu\Documents\GitHub\eaglep3-reporting\EC\2017-01-23-refined-times.txt</v>
      </c>
      <c r="AI3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{"issue":{"subject":"","project_id":79,"tracker_id":40,"status_id":1,"priority_id":2,"assigned_to_id":23,"start_date":"2017-01-23","description":"","custom_fields":[{"id":1,"name":"Subdivision","value":"EC"},{"id":4,"name":"Milepost","value":"23.3286"},{"id":17,"name":"Train ID","value":"123-23"},{"id":16,"name":"Locomotive ID","value":"4046"},{"id":130,"name":"Impact","value":""},{"id":150,"name":"Time of Event (Mountain Time)","value":"07:06:44"},{"id":151,"name":"Denver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4046 --day 2017-01-23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498</v>
      </c>
      <c r="B36" s="7">
        <v>4045</v>
      </c>
      <c r="C36" s="22" t="s">
        <v>196</v>
      </c>
      <c r="D36" s="22" t="s">
        <v>690</v>
      </c>
      <c r="E36" s="13">
        <v>42758.298738425925</v>
      </c>
      <c r="F36" s="13">
        <v>42758.309872685182</v>
      </c>
      <c r="G36" s="7">
        <v>1</v>
      </c>
      <c r="H36" s="22" t="s">
        <v>216</v>
      </c>
      <c r="I36" s="13">
        <v>42758.337858796294</v>
      </c>
      <c r="J36" s="7">
        <v>0</v>
      </c>
      <c r="K36" s="105" t="str">
        <f t="shared" si="0"/>
        <v>4045/4046</v>
      </c>
      <c r="L36" s="22" t="str">
        <f>VLOOKUP(A36,'Trips&amp;Operators'!$C$1:$G$99999,5,FALSE)</f>
        <v>SWANSON BRYCE</v>
      </c>
      <c r="M36" s="6">
        <f t="shared" si="1"/>
        <v>2.7986111112113576E-2</v>
      </c>
      <c r="N36" s="7">
        <f t="shared" si="2"/>
        <v>40.30000000144355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-23T06:10:11-0700',mode:absolute,to:'2017-01-23T09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23.296099999999999</v>
      </c>
      <c r="Z36" s="64">
        <f t="shared" si="9"/>
        <v>1.6E-2</v>
      </c>
      <c r="AA36" s="64">
        <f t="shared" si="10"/>
        <v>23.280100000000001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0124-23</v>
      </c>
      <c r="AE36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36" s="84" t="str">
        <f t="shared" si="13"/>
        <v>"C:\Program Files (x86)\AstroGrep\AstroGrep.exe" /spath="%USERPROFILE%\AppData\Local\Temp\OnboardLogs" /stypes="app*4045*20170123*"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124-23 --locoid 4045 --swversion DE.1.0.8.0 --startMP 204:232961 --initTime 2017-01-23T07:10:11 --startdatetime 2017-01-23T07:26:13 --delay 1 --endMP 204:160 --enddatetime 2017-01-23T08:06:31 --enforcementcount 0 &gt;&gt;C:\Users\stu\Documents\GitHub\eaglep3-reporting\EC\2017-01-23-refined-times.txt</v>
      </c>
      <c r="AI3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ID","value":"124-23"},{"id":16,"name":"Locomotive ID","value":"4045"},{"id":130,"name":"Impact","value":""},{"id":150,"name":"Time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4045 --day 2017-01-23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491</v>
      </c>
      <c r="B37" s="7">
        <v>4051</v>
      </c>
      <c r="C37" s="22" t="s">
        <v>196</v>
      </c>
      <c r="D37" s="22" t="s">
        <v>205</v>
      </c>
      <c r="E37" s="13">
        <v>42758.273900462962</v>
      </c>
      <c r="F37" s="13">
        <v>42758.28162037037</v>
      </c>
      <c r="G37" s="7">
        <v>1</v>
      </c>
      <c r="H37" s="22" t="s">
        <v>259</v>
      </c>
      <c r="I37" s="13">
        <v>42758.306041666663</v>
      </c>
      <c r="J37" s="7">
        <v>0</v>
      </c>
      <c r="K37" s="105" t="str">
        <f t="shared" si="0"/>
        <v>4051/4052</v>
      </c>
      <c r="L37" s="22" t="str">
        <f>VLOOKUP(A37,'Trips&amp;Operators'!$C$1:$G$99999,5,FALSE)</f>
        <v>YORK EDGAR</v>
      </c>
      <c r="M37" s="6">
        <f t="shared" si="1"/>
        <v>2.4421296293439809E-2</v>
      </c>
      <c r="N37" s="7">
        <f t="shared" si="2"/>
        <v>35.166666662553325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-23T05:34:25-0700',mode:absolute,to:'2017-01-23T08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4.5499999999999999E-2</v>
      </c>
      <c r="Z37" s="64">
        <f t="shared" si="9"/>
        <v>23.329499999999999</v>
      </c>
      <c r="AA37" s="64">
        <f t="shared" si="10"/>
        <v>23.283999999999999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0125-23</v>
      </c>
      <c r="AE37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37" s="84" t="str">
        <f t="shared" si="13"/>
        <v>"C:\Program Files (x86)\AstroGrep\AstroGrep.exe" /spath="%USERPROFILE%\AppData\Local\Temp\OnboardLogs" /stypes="app*4051*20170123*"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125-23 --locoid 4051 --swversion DE.1.0.8.0 --startMP 204:455 --initTime 2017-01-23T06:34:25 --startdatetime 2017-01-23T06:45:32 --delay 1 --endMP 204:233295 --enddatetime 2017-01-23T07:20:42 --enforcementcount 0 &gt;&gt;C:\Users\stu\Documents\GitHub\eaglep3-reporting\EC\2017-01-23-refined-times.txt</v>
      </c>
      <c r="AI3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ID","value":"125-23"},{"id":16,"name":"Locomotive ID","value":"4051"},{"id":130,"name":"Impact","value":""},{"id":150,"name":"Time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4051 --day 2017-01-23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500</v>
      </c>
      <c r="B38" s="7">
        <v>4052</v>
      </c>
      <c r="C38" s="22" t="s">
        <v>196</v>
      </c>
      <c r="D38" s="22" t="s">
        <v>390</v>
      </c>
      <c r="E38" s="13">
        <v>42758.306909722225</v>
      </c>
      <c r="F38" s="13">
        <v>42758.320486111108</v>
      </c>
      <c r="G38" s="7">
        <v>1</v>
      </c>
      <c r="H38" s="22" t="s">
        <v>212</v>
      </c>
      <c r="I38" s="13">
        <v>42758.345891203702</v>
      </c>
      <c r="J38" s="7">
        <v>0</v>
      </c>
      <c r="K38" s="105" t="str">
        <f t="shared" si="0"/>
        <v>4051/4052</v>
      </c>
      <c r="L38" s="22" t="str">
        <f>VLOOKUP(A38,'Trips&amp;Operators'!$C$1:$G$99999,5,FALSE)</f>
        <v>YORK EDGAR</v>
      </c>
      <c r="M38" s="6">
        <f t="shared" si="1"/>
        <v>2.5405092594155576E-2</v>
      </c>
      <c r="N38" s="7">
        <f t="shared" si="2"/>
        <v>36.58333333558403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-23T06:21:57-0700',mode:absolute,to:'2017-01-23T09:18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23.298500000000001</v>
      </c>
      <c r="Z38" s="64">
        <f t="shared" si="9"/>
        <v>1.47E-2</v>
      </c>
      <c r="AA38" s="64">
        <f t="shared" si="10"/>
        <v>23.283799999999999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0126-23</v>
      </c>
      <c r="AE38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38" s="84" t="str">
        <f t="shared" si="13"/>
        <v>"C:\Program Files (x86)\AstroGrep\AstroGrep.exe" /spath="%USERPROFILE%\AppData\Local\Temp\OnboardLogs" /stypes="app*4052*20170123*"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126-23 --locoid 4052 --swversion DE.1.0.8.0 --startMP 204:232985 --initTime 2017-01-23T07:21:57 --startdatetime 2017-01-23T07:41:30 --delay 1 --endMP 204:147 --enddatetime 2017-01-23T08:18:05 --enforcementcount 0 &gt;&gt;C:\Users\stu\Documents\GitHub\eaglep3-reporting\EC\2017-01-23-refined-times.txt</v>
      </c>
      <c r="AI3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ID","value":"126-23"},{"id":16,"name":"Locomotive ID","value":"4052"},{"id":130,"name":"Impact","value":""},{"id":150,"name":"Time of Event (Mountain Time)","value":"08:18:05"},{"id":151,"name":"Denver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4052 --day 2017-01-23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495</v>
      </c>
      <c r="B39" s="7">
        <v>4009</v>
      </c>
      <c r="C39" s="22" t="s">
        <v>196</v>
      </c>
      <c r="D39" s="22" t="s">
        <v>311</v>
      </c>
      <c r="E39" s="13">
        <v>42758.286493055559</v>
      </c>
      <c r="F39" s="13">
        <v>42758.29184027778</v>
      </c>
      <c r="G39" s="7">
        <v>1</v>
      </c>
      <c r="H39" s="22" t="s">
        <v>691</v>
      </c>
      <c r="I39" s="13">
        <v>42758.316712962966</v>
      </c>
      <c r="J39" s="7">
        <v>0</v>
      </c>
      <c r="K39" s="105" t="str">
        <f t="shared" si="0"/>
        <v>4009/4010</v>
      </c>
      <c r="L39" s="22" t="str">
        <f>VLOOKUP(A39,'Trips&amp;Operators'!$C$1:$G$99999,5,FALSE)</f>
        <v>OUN ZACK</v>
      </c>
      <c r="M39" s="6">
        <f t="shared" si="1"/>
        <v>2.4872685185982846E-2</v>
      </c>
      <c r="N39" s="7">
        <f t="shared" si="2"/>
        <v>35.816666667815298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-23T05:52:33-0700',mode:absolute,to:'2017-01-23T08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4.3499999999999997E-2</v>
      </c>
      <c r="Z39" s="64">
        <f t="shared" si="9"/>
        <v>23.3309</v>
      </c>
      <c r="AA39" s="64">
        <f t="shared" si="10"/>
        <v>23.287399999999998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0127-23</v>
      </c>
      <c r="AE39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39" s="84" t="str">
        <f t="shared" si="13"/>
        <v>"C:\Program Files (x86)\AstroGrep\AstroGrep.exe" /spath="%USERPROFILE%\AppData\Local\Temp\OnboardLogs" /stypes="app*4009*20170123*"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127-23 --locoid 4009 --swversion DE.1.0.8.0 --startMP 204:435 --initTime 2017-01-23T06:52:33 --startdatetime 2017-01-23T07:00:15 --delay 1 --endMP 204:233309 --enddatetime 2017-01-23T07:36:04 --enforcementcount 0 &gt;&gt;C:\Users\stu\Documents\GitHub\eaglep3-reporting\EC\2017-01-23-refined-times.txt</v>
      </c>
      <c r="AI3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{"issue":{"subject":"","project_id":79,"tracker_id":40,"status_id":1,"priority_id":2,"assigned_to_id":23,"start_date":"2017-01-23","description":"","custom_fields":[{"id":1,"name":"Subdivision","value":"EC"},{"id":4,"name":"Milepost","value":"23.3309"},{"id":17,"name":"Train ID","value":"127-23"},{"id":16,"name":"Locomotive ID","value":"4009"},{"id":130,"name":"Impact","value":""},{"id":150,"name":"Time of Event (Mountain Time)","value":"07:36:04"},{"id":151,"name":"Denver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4009 --day 2017-01-23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503</v>
      </c>
      <c r="B40" s="7">
        <v>4010</v>
      </c>
      <c r="C40" s="22" t="s">
        <v>196</v>
      </c>
      <c r="D40" s="22" t="s">
        <v>420</v>
      </c>
      <c r="E40" s="13">
        <v>42758.324687499997</v>
      </c>
      <c r="F40" s="13">
        <v>42758.330717592595</v>
      </c>
      <c r="G40" s="7">
        <v>1</v>
      </c>
      <c r="H40" s="22" t="s">
        <v>365</v>
      </c>
      <c r="I40" s="13">
        <v>42758.357430555552</v>
      </c>
      <c r="J40" s="7">
        <v>0</v>
      </c>
      <c r="K40" s="105" t="str">
        <f t="shared" si="0"/>
        <v>4009/4010</v>
      </c>
      <c r="L40" s="22" t="str">
        <f>VLOOKUP(A40,'Trips&amp;Operators'!$C$1:$G$99999,5,FALSE)</f>
        <v>OUN ZACK</v>
      </c>
      <c r="M40" s="6">
        <f t="shared" si="1"/>
        <v>2.6712962957390118E-2</v>
      </c>
      <c r="N40" s="7">
        <f t="shared" si="2"/>
        <v>38.46666665864177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-23T06:47:33-0700',mode:absolute,to:'2017-01-23T09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23.302099999999999</v>
      </c>
      <c r="Z40" s="64">
        <f t="shared" si="9"/>
        <v>1.2999999999999999E-2</v>
      </c>
      <c r="AA40" s="64">
        <f t="shared" si="10"/>
        <v>23.289099999999998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0128-23</v>
      </c>
      <c r="AE40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40" s="84" t="str">
        <f t="shared" si="13"/>
        <v>"C:\Program Files (x86)\AstroGrep\AstroGrep.exe" /spath="%USERPROFILE%\AppData\Local\Temp\OnboardLogs" /stypes="app*4010*20170123*"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128-23 --locoid 4010 --swversion DE.1.0.8.0 --startMP 204:233021 --initTime 2017-01-23T07:47:33 --startdatetime 2017-01-23T07:56:14 --delay 1 --endMP 204:130 --enddatetime 2017-01-23T08:34:42 --enforcementcount 0 &gt;&gt;C:\Users\stu\Documents\GitHub\eaglep3-reporting\EC\2017-01-23-refined-times.txt</v>
      </c>
      <c r="AI4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{"issue":{"subject":"","project_id":79,"tracker_id":40,"status_id":1,"priority_id":2,"assigned_to_id":23,"start_date":"2017-01-23","description":"","custom_fields":[{"id":1,"name":"Subdivision","value":"EC"},{"id":4,"name":"Milepost","value":"0.013"},{"id":17,"name":"Train ID","value":"128-23"},{"id":16,"name":"Locomotive ID","value":"4010"},{"id":130,"name":"Impact","value":""},{"id":150,"name":"Time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4010 --day 2017-01-23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497</v>
      </c>
      <c r="B41" s="7">
        <v>4011</v>
      </c>
      <c r="C41" s="22" t="s">
        <v>196</v>
      </c>
      <c r="D41" s="22" t="s">
        <v>233</v>
      </c>
      <c r="E41" s="13">
        <v>42758.297881944447</v>
      </c>
      <c r="F41" s="13">
        <v>42758.302349537036</v>
      </c>
      <c r="G41" s="7">
        <v>1</v>
      </c>
      <c r="H41" s="22" t="s">
        <v>417</v>
      </c>
      <c r="I41" s="13">
        <v>42758.327557870369</v>
      </c>
      <c r="J41" s="7">
        <v>0</v>
      </c>
      <c r="K41" s="105" t="str">
        <f t="shared" si="0"/>
        <v>4011/4012</v>
      </c>
      <c r="L41" s="22" t="str">
        <f>VLOOKUP(A41,'Trips&amp;Operators'!$C$1:$G$99999,5,FALSE)</f>
        <v>ROBINSON KADDIBA</v>
      </c>
      <c r="M41" s="6">
        <f t="shared" si="1"/>
        <v>2.5208333332557231E-2</v>
      </c>
      <c r="N41" s="7">
        <f t="shared" si="2"/>
        <v>36.299999998882413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-23T06:08:57-0700',mode:absolute,to:'2017-01-23T08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4.6899999999999997E-2</v>
      </c>
      <c r="Z41" s="64">
        <f t="shared" si="9"/>
        <v>23.331199999999999</v>
      </c>
      <c r="AA41" s="64">
        <f t="shared" si="10"/>
        <v>23.284299999999998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0129-23</v>
      </c>
      <c r="AE41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41" s="84" t="str">
        <f t="shared" si="13"/>
        <v>"C:\Program Files (x86)\AstroGrep\AstroGrep.exe" /spath="%USERPROFILE%\AppData\Local\Temp\OnboardLogs" /stypes="app*4011*20170123*"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129-23 --locoid 4011 --swversion DE.1.0.8.0 --startMP 204:469 --initTime 2017-01-23T07:08:57 --startdatetime 2017-01-23T07:15:23 --delay 1 --endMP 204:233312 --enddatetime 2017-01-23T07:51:41 --enforcementcount 0 &gt;&gt;C:\Users\stu\Documents\GitHub\eaglep3-reporting\EC\2017-01-23-refined-times.txt</v>
      </c>
      <c r="AI4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{"issue":{"subject":"","project_id":79,"tracker_id":40,"status_id":1,"priority_id":2,"assigned_to_id":23,"start_date":"2017-01-23","description":"","custom_fields":[{"id":1,"name":"Subdivision","value":"EC"},{"id":4,"name":"Milepost","value":"23.3312"},{"id":17,"name":"Train ID","value":"129-23"},{"id":16,"name":"Locomotive ID","value":"4011"},{"id":130,"name":"Impact","value":""},{"id":150,"name":"Time of Event (Mountain Time)","value":"07:51:41"},{"id":151,"name":"Denver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4011 --day 2017-01-23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505</v>
      </c>
      <c r="B42" s="7">
        <v>4012</v>
      </c>
      <c r="C42" s="22" t="s">
        <v>196</v>
      </c>
      <c r="D42" s="22" t="s">
        <v>309</v>
      </c>
      <c r="E42" s="13">
        <v>42758.335115740738</v>
      </c>
      <c r="F42" s="13">
        <v>42758.341157407405</v>
      </c>
      <c r="G42" s="7">
        <v>1</v>
      </c>
      <c r="H42" s="22" t="s">
        <v>241</v>
      </c>
      <c r="I42" s="13">
        <v>42758.367858796293</v>
      </c>
      <c r="J42" s="7">
        <v>0</v>
      </c>
      <c r="K42" s="105" t="str">
        <f t="shared" si="0"/>
        <v>4011/4012</v>
      </c>
      <c r="L42" s="22" t="str">
        <f>VLOOKUP(A42,'Trips&amp;Operators'!$C$1:$G$99999,5,FALSE)</f>
        <v>ROBINSON KADDIBA</v>
      </c>
      <c r="M42" s="6">
        <f t="shared" si="1"/>
        <v>2.6701388887886424E-2</v>
      </c>
      <c r="N42" s="7">
        <f t="shared" si="2"/>
        <v>38.44999999855645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-23T07:02:34-0700',mode:absolute,to:'2017-01-23T09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23.3019</v>
      </c>
      <c r="Z42" s="64">
        <f t="shared" si="9"/>
        <v>1.54E-2</v>
      </c>
      <c r="AA42" s="64">
        <f t="shared" si="10"/>
        <v>23.2865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0130-23</v>
      </c>
      <c r="AE42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42" s="84" t="str">
        <f t="shared" si="13"/>
        <v>"C:\Program Files (x86)\AstroGrep\AstroGrep.exe" /spath="%USERPROFILE%\AppData\Local\Temp\OnboardLogs" /stypes="app*4012*20170123*"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130-23 --locoid 4012 --swversion DE.1.0.8.0 --startMP 204:233019 --initTime 2017-01-23T08:02:34 --startdatetime 2017-01-23T08:11:16 --delay 1 --endMP 204:154 --enddatetime 2017-01-23T08:49:43 --enforcementcount 0 &gt;&gt;C:\Users\stu\Documents\GitHub\eaglep3-reporting\EC\2017-01-23-refined-times.txt</v>
      </c>
      <c r="AI4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ID","value":"130-23"},{"id":16,"name":"Locomotive ID","value":"4012"},{"id":130,"name":"Impact","value":""},{"id":150,"name":"Time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4012 --day 2017-01-23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501</v>
      </c>
      <c r="B43" s="7">
        <v>4025</v>
      </c>
      <c r="C43" s="22" t="s">
        <v>196</v>
      </c>
      <c r="D43" s="22" t="s">
        <v>233</v>
      </c>
      <c r="E43" s="13">
        <v>42758.307662037034</v>
      </c>
      <c r="F43" s="13">
        <v>42758.312835648147</v>
      </c>
      <c r="G43" s="7">
        <v>1</v>
      </c>
      <c r="H43" s="22" t="s">
        <v>386</v>
      </c>
      <c r="I43" s="13">
        <v>42758.337384259263</v>
      </c>
      <c r="J43" s="7">
        <v>0</v>
      </c>
      <c r="K43" s="105" t="str">
        <f t="shared" si="0"/>
        <v>4025/4026</v>
      </c>
      <c r="L43" s="22" t="str">
        <f>VLOOKUP(A43,'Trips&amp;Operators'!$C$1:$G$99999,5,FALSE)</f>
        <v>MAELZER KURT</v>
      </c>
      <c r="M43" s="6">
        <f t="shared" si="1"/>
        <v>2.4548611116188113E-2</v>
      </c>
      <c r="N43" s="7">
        <f t="shared" si="2"/>
        <v>35.350000007310882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-23T06:23:02-0700',mode:absolute,to:'2017-01-23T09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4.6899999999999997E-2</v>
      </c>
      <c r="Z43" s="64">
        <f t="shared" si="9"/>
        <v>23.331600000000002</v>
      </c>
      <c r="AA43" s="64">
        <f t="shared" si="10"/>
        <v>23.284700000000001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0131-23</v>
      </c>
      <c r="AE43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43" s="84" t="str">
        <f t="shared" si="13"/>
        <v>"C:\Program Files (x86)\AstroGrep\AstroGrep.exe" /spath="%USERPROFILE%\AppData\Local\Temp\OnboardLogs" /stypes="app*4025*20170123*"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131-23 --locoid 4025 --swversion DE.1.0.8.0 --startMP 204:469 --initTime 2017-01-23T07:23:02 --startdatetime 2017-01-23T07:30:29 --delay 1 --endMP 204:233316 --enddatetime 2017-01-23T08:05:50 --enforcementcount 0 &gt;&gt;C:\Users\stu\Documents\GitHub\eaglep3-reporting\EC\2017-01-23-refined-times.txt</v>
      </c>
      <c r="AI4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{"issue":{"subject":"","project_id":79,"tracker_id":40,"status_id":1,"priority_id":2,"assigned_to_id":23,"start_date":"2017-01-23","description":"","custom_fields":[{"id":1,"name":"Subdivision","value":"EC"},{"id":4,"name":"Milepost","value":"23.3316"},{"id":17,"name":"Train ID","value":"131-23"},{"id":16,"name":"Locomotive ID","value":"4025"},{"id":130,"name":"Impact","value":""},{"id":150,"name":"Time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4025 --day 2017-01-23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507</v>
      </c>
      <c r="B44" s="7">
        <v>4026</v>
      </c>
      <c r="C44" s="22" t="s">
        <v>196</v>
      </c>
      <c r="D44" s="22" t="s">
        <v>275</v>
      </c>
      <c r="E44" s="13">
        <v>42758.342187499999</v>
      </c>
      <c r="F44" s="13">
        <v>42758.351701388892</v>
      </c>
      <c r="G44" s="7">
        <v>1</v>
      </c>
      <c r="H44" s="22" t="s">
        <v>692</v>
      </c>
      <c r="I44" s="13">
        <v>42758.378217592595</v>
      </c>
      <c r="J44" s="7">
        <v>0</v>
      </c>
      <c r="K44" s="105" t="str">
        <f t="shared" si="0"/>
        <v>4025/4026</v>
      </c>
      <c r="L44" s="22" t="str">
        <f>VLOOKUP(A44,'Trips&amp;Operators'!$C$1:$G$99999,5,FALSE)</f>
        <v>MAELZER KURT</v>
      </c>
      <c r="M44" s="6">
        <f t="shared" si="1"/>
        <v>2.6516203703067731E-2</v>
      </c>
      <c r="N44" s="7">
        <f t="shared" si="2"/>
        <v>38.183333332417533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-23T07:12:45-0700',mode:absolute,to:'2017-01-23T10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23.299600000000002</v>
      </c>
      <c r="Z44" s="64">
        <f t="shared" si="9"/>
        <v>1.2699999999999999E-2</v>
      </c>
      <c r="AA44" s="64">
        <f t="shared" si="10"/>
        <v>23.286900000000003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0132-23</v>
      </c>
      <c r="AE44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44" s="84" t="str">
        <f t="shared" si="13"/>
        <v>"C:\Program Files (x86)\AstroGrep\AstroGrep.exe" /spath="%USERPROFILE%\AppData\Local\Temp\OnboardLogs" /stypes="app*4026*20170123*"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132-23 --locoid 4026 --swversion DE.1.0.8.0 --startMP 204:232996 --initTime 2017-01-23T08:12:45 --startdatetime 2017-01-23T08:26:27 --delay 1 --endMP 204:127 --enddatetime 2017-01-23T09:04:38 --enforcementcount 0 &gt;&gt;C:\Users\stu\Documents\GitHub\eaglep3-reporting\EC\2017-01-23-refined-times.txt</v>
      </c>
      <c r="AI4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{"issue":{"subject":"","project_id":79,"tracker_id":40,"status_id":1,"priority_id":2,"assigned_to_id":23,"start_date":"2017-01-23","description":"","custom_fields":[{"id":1,"name":"Subdivision","value":"EC"},{"id":4,"name":"Milepost","value":"0.0127"},{"id":17,"name":"Train ID","value":"132-23"},{"id":16,"name":"Locomotive ID","value":"4026"},{"id":130,"name":"Impact","value":""},{"id":150,"name":"Time of Event (Mountain Time)","value":"09:04:38"},{"id":151,"name":"Denver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4026 --day 2017-01-23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434</v>
      </c>
      <c r="B45" s="7">
        <v>4029</v>
      </c>
      <c r="C45" s="22" t="s">
        <v>196</v>
      </c>
      <c r="D45" s="22" t="s">
        <v>261</v>
      </c>
      <c r="E45" s="13">
        <v>42758.318124999998</v>
      </c>
      <c r="F45" s="13">
        <v>42758.323298611111</v>
      </c>
      <c r="G45" s="7">
        <v>1</v>
      </c>
      <c r="H45" s="22" t="s">
        <v>239</v>
      </c>
      <c r="I45" s="13">
        <v>42758.348599537036</v>
      </c>
      <c r="J45" s="7">
        <v>0</v>
      </c>
      <c r="K45" s="105" t="str">
        <f t="shared" si="0"/>
        <v>4029/4030</v>
      </c>
      <c r="L45" s="22" t="str">
        <f>VLOOKUP(A45,'Trips&amp;Operators'!$C$1:$G$99999,5,FALSE)</f>
        <v>STARKS ANGELINA</v>
      </c>
      <c r="M45" s="6">
        <f t="shared" si="1"/>
        <v>2.5300925924966577E-2</v>
      </c>
      <c r="N45" s="7">
        <f t="shared" si="2"/>
        <v>36.433333331951872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-23T06:38:06-0700',mode:absolute,to:'2017-01-23T09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4.3999999999999997E-2</v>
      </c>
      <c r="Z45" s="64">
        <f t="shared" si="9"/>
        <v>23.330400000000001</v>
      </c>
      <c r="AA45" s="64">
        <f t="shared" si="10"/>
        <v>23.2864</v>
      </c>
      <c r="AB45" s="61" t="str">
        <f>VLOOKUP(A45,Enforcements!$C$7:$K$16,8,0)</f>
        <v>Speed (6)</v>
      </c>
      <c r="AC45" s="57" t="str">
        <f>VLOOKUP(A45,Enforcements!$C$7:$E$16,3,0)</f>
        <v>PERMANENT SPEED RESTRICTION</v>
      </c>
      <c r="AD45" s="58" t="str">
        <f t="shared" si="11"/>
        <v>0133-23</v>
      </c>
      <c r="AE45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45" s="84" t="str">
        <f t="shared" si="13"/>
        <v>"C:\Program Files (x86)\AstroGrep\AstroGrep.exe" /spath="%USERPROFILE%\AppData\Local\Temp\OnboardLogs" /stypes="app*4029*20170123*"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133-23 --locoid 4029 --swversion DE.1.0.8.0 --startMP 204:440 --initTime 2017-01-23T07:38:06 --startdatetime 2017-01-23T07:45:33 --delay 1 --endMP 204:233304 --enddatetime 2017-01-23T08:21:59 --enforcementcount 0 &gt;&gt;C:\Users\stu\Documents\GitHub\eaglep3-reporting\EC\2017-01-23-refined-times.txt</v>
      </c>
      <c r="AI4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{"issue":{"subject":"","project_id":79,"tracker_id":40,"status_id":1,"priority_id":2,"assigned_to_id":23,"start_date":"2017-01-23","description":"","custom_fields":[{"id":1,"name":"Subdivision","value":"EC"},{"id":4,"name":"Milepost","value":"23.3304"},{"id":17,"name":"Train ID","value":"133-23"},{"id":16,"name":"Locomotive ID","value":"4029"},{"id":130,"name":"Impact","value":""},{"id":150,"name":"Time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4029 --day 2017-01-23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511</v>
      </c>
      <c r="B46" s="7">
        <v>4030</v>
      </c>
      <c r="C46" s="22" t="s">
        <v>196</v>
      </c>
      <c r="D46" s="22" t="s">
        <v>390</v>
      </c>
      <c r="E46" s="13">
        <v>42758.359027777777</v>
      </c>
      <c r="F46" s="13">
        <v>42758.361967592595</v>
      </c>
      <c r="G46" s="7">
        <v>1</v>
      </c>
      <c r="H46" s="22" t="s">
        <v>221</v>
      </c>
      <c r="I46" s="13">
        <v>42758.389930555553</v>
      </c>
      <c r="J46" s="7">
        <v>0</v>
      </c>
      <c r="K46" s="105" t="str">
        <f t="shared" si="0"/>
        <v>4029/4030</v>
      </c>
      <c r="L46" s="22" t="str">
        <f>VLOOKUP(A46,'Trips&amp;Operators'!$C$1:$G$99999,5,FALSE)</f>
        <v>STARKS ANGELINA</v>
      </c>
      <c r="M46" s="6">
        <f t="shared" si="1"/>
        <v>2.7962962958554272E-2</v>
      </c>
      <c r="N46" s="7">
        <f t="shared" si="2"/>
        <v>40.266666660318151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-23T07:37:00-0700',mode:absolute,to:'2017-01-23T10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23.298500000000001</v>
      </c>
      <c r="Z46" s="64">
        <f t="shared" si="9"/>
        <v>1.52E-2</v>
      </c>
      <c r="AA46" s="64">
        <f t="shared" si="10"/>
        <v>23.283300000000001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0134-23</v>
      </c>
      <c r="AE46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46" s="84" t="str">
        <f t="shared" si="13"/>
        <v>"C:\Program Files (x86)\AstroGrep\AstroGrep.exe" /spath="%USERPROFILE%\AppData\Local\Temp\OnboardLogs" /stypes="app*4030*20170123*"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134-23 --locoid 4030 --swversion DE.1.0.8.0 --startMP 204:232985 --initTime 2017-01-23T08:37:00 --startdatetime 2017-01-23T08:41:14 --delay 1 --endMP 204:152 --enddatetime 2017-01-23T09:21:30 --enforcementcount 0 &gt;&gt;C:\Users\stu\Documents\GitHub\eaglep3-reporting\EC\2017-01-23-refined-times.txt</v>
      </c>
      <c r="AI4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ID","value":"134-23"},{"id":16,"name":"Locomotive ID","value":"4030"},{"id":130,"name":"Impact","value":""},{"id":150,"name":"Time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4030 --day 2017-01-23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504</v>
      </c>
      <c r="B47" s="7">
        <v>4022</v>
      </c>
      <c r="C47" s="22" t="s">
        <v>196</v>
      </c>
      <c r="D47" s="22" t="s">
        <v>205</v>
      </c>
      <c r="E47" s="13">
        <v>42758.328969907408</v>
      </c>
      <c r="F47" s="13">
        <v>42758.333668981482</v>
      </c>
      <c r="G47" s="7">
        <v>1</v>
      </c>
      <c r="H47" s="22" t="s">
        <v>693</v>
      </c>
      <c r="I47" s="13">
        <v>42758.359282407408</v>
      </c>
      <c r="J47" s="7">
        <v>0</v>
      </c>
      <c r="K47" s="105" t="str">
        <f t="shared" si="0"/>
        <v>4021/4022</v>
      </c>
      <c r="L47" s="22" t="str">
        <f>VLOOKUP(A47,'Trips&amp;Operators'!$C$1:$G$99999,5,FALSE)</f>
        <v>BONDS REYNALDO</v>
      </c>
      <c r="M47" s="6">
        <f t="shared" si="1"/>
        <v>2.5613425925257616E-2</v>
      </c>
      <c r="N47" s="7">
        <f t="shared" si="2"/>
        <v>36.883333332370967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-23T06:53:43-0700',mode:absolute,to:'2017-01-23T09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4.5499999999999999E-2</v>
      </c>
      <c r="Z47" s="64">
        <f t="shared" si="9"/>
        <v>23.330300000000001</v>
      </c>
      <c r="AA47" s="64">
        <f t="shared" si="10"/>
        <v>23.284800000000001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0135-23</v>
      </c>
      <c r="AE47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47" s="84" t="str">
        <f t="shared" si="13"/>
        <v>"C:\Program Files (x86)\AstroGrep\AstroGrep.exe" /spath="%USERPROFILE%\AppData\Local\Temp\OnboardLogs" /stypes="app*4022*20170123*"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135-23 --locoid 4022 --swversion DE.1.0.8.0 --startMP 204:455 --initTime 2017-01-23T07:53:43 --startdatetime 2017-01-23T08:00:29 --delay 1 --endMP 204:233303 --enddatetime 2017-01-23T08:37:22 --enforcementcount 0 &gt;&gt;C:\Users\stu\Documents\GitHub\eaglep3-reporting\EC\2017-01-23-refined-times.txt</v>
      </c>
      <c r="AI4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ID","value":"135-23"},{"id":16,"name":"Locomotive ID","value":"4022"},{"id":130,"name":"Impact","value":""},{"id":150,"name":"Time of Event (Mountain Time)","value":"08:37:22"},{"id":151,"name":"Denver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4022 --day 2017-01-23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514</v>
      </c>
      <c r="B48" s="7">
        <v>4021</v>
      </c>
      <c r="C48" s="22" t="s">
        <v>196</v>
      </c>
      <c r="D48" s="22" t="s">
        <v>275</v>
      </c>
      <c r="E48" s="13">
        <v>42758.368807870371</v>
      </c>
      <c r="F48" s="13">
        <v>42758.372418981482</v>
      </c>
      <c r="G48" s="7">
        <v>1</v>
      </c>
      <c r="H48" s="22" t="s">
        <v>257</v>
      </c>
      <c r="I48" s="13">
        <v>42758.400057870371</v>
      </c>
      <c r="J48" s="7">
        <v>0</v>
      </c>
      <c r="K48" s="105" t="str">
        <f t="shared" si="0"/>
        <v>4021/4022</v>
      </c>
      <c r="L48" s="22" t="str">
        <f>VLOOKUP(A48,'Trips&amp;Operators'!$C$1:$G$99999,5,FALSE)</f>
        <v>BONDS REYNALDO</v>
      </c>
      <c r="M48" s="6">
        <f t="shared" si="1"/>
        <v>2.7638888888759539E-2</v>
      </c>
      <c r="N48" s="7">
        <f t="shared" si="2"/>
        <v>39.799999999813735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-23T07:51:05-0700',mode:absolute,to:'2017-01-23T10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23.299600000000002</v>
      </c>
      <c r="Z48" s="64">
        <f t="shared" si="9"/>
        <v>1.43E-2</v>
      </c>
      <c r="AA48" s="64">
        <f t="shared" si="10"/>
        <v>23.285300000000003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0136-23</v>
      </c>
      <c r="AE48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48" s="84" t="str">
        <f t="shared" si="13"/>
        <v>"C:\Program Files (x86)\AstroGrep\AstroGrep.exe" /spath="%USERPROFILE%\AppData\Local\Temp\OnboardLogs" /stypes="app*4021*20170123*"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136-23 --locoid 4021 --swversion DE.1.0.8.0 --startMP 204:232996 --initTime 2017-01-23T08:51:05 --startdatetime 2017-01-23T08:56:17 --delay 1 --endMP 204:143 --enddatetime 2017-01-23T09:36:05 --enforcementcount 0 &gt;&gt;C:\Users\stu\Documents\GitHub\eaglep3-reporting\EC\2017-01-23-refined-times.txt</v>
      </c>
      <c r="AI4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ID","value":"136-23"},{"id":16,"name":"Locomotive ID","value":"4021"},{"id":130,"name":"Impact","value":""},{"id":150,"name":"Time of Event (Mountain Time)","value":"09:36:05"},{"id":151,"name":"Denver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4021 --day 2017-01-23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506</v>
      </c>
      <c r="B49" s="7">
        <v>4046</v>
      </c>
      <c r="C49" s="22" t="s">
        <v>196</v>
      </c>
      <c r="D49" s="22" t="s">
        <v>244</v>
      </c>
      <c r="E49" s="13">
        <v>42758.339525462965</v>
      </c>
      <c r="F49" s="13">
        <v>42758.343981481485</v>
      </c>
      <c r="G49" s="7">
        <v>1</v>
      </c>
      <c r="H49" s="22" t="s">
        <v>389</v>
      </c>
      <c r="I49" s="13">
        <v>42758.369756944441</v>
      </c>
      <c r="J49" s="7">
        <v>0</v>
      </c>
      <c r="K49" s="105" t="str">
        <f t="shared" si="0"/>
        <v>4045/4046</v>
      </c>
      <c r="L49" s="22" t="str">
        <f>VLOOKUP(A49,'Trips&amp;Operators'!$C$1:$G$99999,5,FALSE)</f>
        <v>SWANSON BRYCE</v>
      </c>
      <c r="M49" s="6">
        <f t="shared" si="1"/>
        <v>2.5775462956517003E-2</v>
      </c>
      <c r="N49" s="7">
        <f t="shared" si="2"/>
        <v>37.116666657384485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-23T07:08:55-0700',mode:absolute,to:'2017-01-23T09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9" s="49" t="str">
        <f t="shared" si="6"/>
        <v>N</v>
      </c>
      <c r="X49" s="170">
        <f t="shared" si="7"/>
        <v>1</v>
      </c>
      <c r="Y49" s="64">
        <f t="shared" si="8"/>
        <v>4.58E-2</v>
      </c>
      <c r="Z49" s="64">
        <f t="shared" si="9"/>
        <v>23.331499999999998</v>
      </c>
      <c r="AA49" s="64">
        <f t="shared" si="10"/>
        <v>23.285699999999999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0137-23</v>
      </c>
      <c r="AE49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49" s="84" t="str">
        <f t="shared" si="13"/>
        <v>"C:\Program Files (x86)\AstroGrep\AstroGrep.exe" /spath="%USERPROFILE%\AppData\Local\Temp\OnboardLogs" /stypes="app*4046*20170123*"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137-23 --locoid 4046 --swversion DE.1.0.8.0 --startMP 204:458 --initTime 2017-01-23T08:08:55 --startdatetime 2017-01-23T08:15:20 --delay 1 --endMP 204:233315 --enddatetime 2017-01-23T08:52:27 --enforcementcount 0 &gt;&gt;C:\Users\stu\Documents\GitHub\eaglep3-reporting\EC\2017-01-23-refined-times.txt</v>
      </c>
      <c r="AI4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ID","value":"137-23"},{"id":16,"name":"Locomotive ID","value":"4046"},{"id":130,"name":"Impact","value":""},{"id":150,"name":"Time of Event (Mountain Time)","value":"08:52:27"},{"id":151,"name":"Denver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4046 --day 2017-01-23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516</v>
      </c>
      <c r="B50" s="7">
        <v>4045</v>
      </c>
      <c r="C50" s="22" t="s">
        <v>196</v>
      </c>
      <c r="D50" s="22" t="s">
        <v>275</v>
      </c>
      <c r="E50" s="13">
        <v>42758.372534722221</v>
      </c>
      <c r="F50" s="13">
        <v>42758.382847222223</v>
      </c>
      <c r="G50" s="7">
        <v>1</v>
      </c>
      <c r="H50" s="22" t="s">
        <v>213</v>
      </c>
      <c r="I50" s="13">
        <v>42758.410196759258</v>
      </c>
      <c r="J50" s="7">
        <v>0</v>
      </c>
      <c r="K50" s="105" t="str">
        <f t="shared" si="0"/>
        <v>4045/4046</v>
      </c>
      <c r="L50" s="22" t="str">
        <f>VLOOKUP(A50,'Trips&amp;Operators'!$C$1:$G$99999,5,FALSE)</f>
        <v>SWANSON BRYCE</v>
      </c>
      <c r="M50" s="6">
        <f t="shared" si="1"/>
        <v>2.7349537034751847E-2</v>
      </c>
      <c r="N50" s="7">
        <f t="shared" si="2"/>
        <v>39.38333333004266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-23T07:56:27-0700',mode:absolute,to:'2017-01-23T10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23.299600000000002</v>
      </c>
      <c r="Z50" s="64">
        <f t="shared" si="9"/>
        <v>1.3899999999999999E-2</v>
      </c>
      <c r="AA50" s="64">
        <f t="shared" si="10"/>
        <v>23.285700000000002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0138-23</v>
      </c>
      <c r="AE50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50" s="84" t="str">
        <f t="shared" si="13"/>
        <v>"C:\Program Files (x86)\AstroGrep\AstroGrep.exe" /spath="%USERPROFILE%\AppData\Local\Temp\OnboardLogs" /stypes="app*4045*20170123*"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138-23 --locoid 4045 --swversion DE.1.0.8.0 --startMP 204:232996 --initTime 2017-01-23T08:56:27 --startdatetime 2017-01-23T09:11:18 --delay 1 --endMP 204:139 --enddatetime 2017-01-23T09:50:41 --enforcementcount 0 &gt;&gt;C:\Users\stu\Documents\GitHub\eaglep3-reporting\EC\2017-01-23-refined-times.txt</v>
      </c>
      <c r="AI5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{"issue":{"subject":"","project_id":79,"tracker_id":40,"status_id":1,"priority_id":2,"assigned_to_id":23,"start_date":"2017-01-23","description":"","custom_fields":[{"id":1,"name":"Subdivision","value":"EC"},{"id":4,"name":"Milepost","value":"0.0139"},{"id":17,"name":"Train ID","value":"138-23"},{"id":16,"name":"Locomotive ID","value":"4045"},{"id":130,"name":"Impact","value":""},{"id":150,"name":"Time of Event (Mountain Time)","value":"09:50:41"},{"id":151,"name":"Denver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4045 --day 2017-01-23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509</v>
      </c>
      <c r="B51" s="7">
        <v>4051</v>
      </c>
      <c r="C51" s="22" t="s">
        <v>196</v>
      </c>
      <c r="D51" s="22" t="s">
        <v>274</v>
      </c>
      <c r="E51" s="13">
        <v>42758.347199074073</v>
      </c>
      <c r="F51" s="13">
        <v>42758.354641203703</v>
      </c>
      <c r="G51" s="7">
        <v>1</v>
      </c>
      <c r="H51" s="22" t="s">
        <v>236</v>
      </c>
      <c r="I51" s="13">
        <v>42758.378622685188</v>
      </c>
      <c r="J51" s="7">
        <v>0</v>
      </c>
      <c r="K51" s="105" t="str">
        <f t="shared" si="0"/>
        <v>4051/4052</v>
      </c>
      <c r="L51" s="22" t="str">
        <f>VLOOKUP(A51,'Trips&amp;Operators'!$C$1:$G$99999,5,FALSE)</f>
        <v>YORK EDGAR</v>
      </c>
      <c r="M51" s="6">
        <f t="shared" si="1"/>
        <v>2.3981481484952383E-2</v>
      </c>
      <c r="N51" s="7">
        <f t="shared" si="2"/>
        <v>34.533333338331431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-23T07:19:58-0700',mode:absolute,to:'2017-01-23T10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4.5999999999999999E-2</v>
      </c>
      <c r="Z51" s="64">
        <f t="shared" si="9"/>
        <v>23.3293</v>
      </c>
      <c r="AA51" s="64">
        <f t="shared" si="10"/>
        <v>23.283300000000001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0139-23</v>
      </c>
      <c r="AE51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51" s="84" t="str">
        <f t="shared" si="13"/>
        <v>"C:\Program Files (x86)\AstroGrep\AstroGrep.exe" /spath="%USERPROFILE%\AppData\Local\Temp\OnboardLogs" /stypes="app*4051*20170123*"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139-23 --locoid 4051 --swversion DE.1.0.8.0 --startMP 204:460 --initTime 2017-01-23T08:19:58 --startdatetime 2017-01-23T08:30:41 --delay 1 --endMP 204:233293 --enddatetime 2017-01-23T09:05:13 --enforcementcount 0 &gt;&gt;C:\Users\stu\Documents\GitHub\eaglep3-reporting\EC\2017-01-23-refined-times.txt</v>
      </c>
      <c r="AI5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ID","value":"139-23"},{"id":16,"name":"Locomotive ID","value":"4051"},{"id":130,"name":"Impact","value":""},{"id":150,"name":"Time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4051 --day 2017-01-23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518</v>
      </c>
      <c r="B52" s="7">
        <v>4052</v>
      </c>
      <c r="C52" s="22" t="s">
        <v>196</v>
      </c>
      <c r="D52" s="22" t="s">
        <v>354</v>
      </c>
      <c r="E52" s="13">
        <v>42758.379629629628</v>
      </c>
      <c r="F52" s="13">
        <v>42758.393750000003</v>
      </c>
      <c r="G52" s="7">
        <v>0</v>
      </c>
      <c r="H52" s="22" t="s">
        <v>221</v>
      </c>
      <c r="I52" s="13">
        <v>42758.418981481482</v>
      </c>
      <c r="J52" s="7">
        <v>0</v>
      </c>
      <c r="K52" s="105" t="str">
        <f t="shared" si="0"/>
        <v>4051/4052</v>
      </c>
      <c r="L52" s="22" t="str">
        <f>VLOOKUP(A52,'Trips&amp;Operators'!$C$1:$G$99999,5,FALSE)</f>
        <v>YORK EDGAR</v>
      </c>
      <c r="M52" s="6">
        <f t="shared" si="1"/>
        <v>2.5231481478840578E-2</v>
      </c>
      <c r="N52" s="7">
        <f t="shared" si="2"/>
        <v>36.333333329530433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-23T08:06:40-0700',mode:absolute,to:'2017-01-23T11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49" t="str">
        <f t="shared" si="6"/>
        <v>N</v>
      </c>
      <c r="X52" s="170">
        <f t="shared" si="7"/>
        <v>1</v>
      </c>
      <c r="Y52" s="64">
        <f t="shared" si="8"/>
        <v>23.2973</v>
      </c>
      <c r="Z52" s="64">
        <f t="shared" si="9"/>
        <v>1.52E-2</v>
      </c>
      <c r="AA52" s="64">
        <f t="shared" si="10"/>
        <v>23.2821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0140-23</v>
      </c>
      <c r="AE52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52" s="84" t="str">
        <f t="shared" si="13"/>
        <v>"C:\Program Files (x86)\AstroGrep\AstroGrep.exe" /spath="%USERPROFILE%\AppData\Local\Temp\OnboardLogs" /stypes="app*4052*20170123*"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140-23 --locoid 4052 --swversion DE.1.0.8.0 --startMP 204:232973 --initTime 2017-01-23T09:06:40 --startdatetime 2017-01-23T09:27:00 --delay 0 --endMP 204:152 --enddatetime 2017-01-23T10:03:20 --enforcementcount 0 &gt;&gt;C:\Users\stu\Documents\GitHub\eaglep3-reporting\EC\2017-01-23-refined-times.txt</v>
      </c>
      <c r="AI5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ID","value":"140-23"},{"id":16,"name":"Locomotive ID","value":"4052"},{"id":130,"name":"Impact","value":""},{"id":150,"name":"Time of Event (Mountain Time)","value":"10:03:20"},{"id":151,"name":"Denver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4052 --day 2017-01-23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512</v>
      </c>
      <c r="B53" s="7">
        <v>4009</v>
      </c>
      <c r="C53" s="22" t="s">
        <v>196</v>
      </c>
      <c r="D53" s="22" t="s">
        <v>694</v>
      </c>
      <c r="E53" s="13">
        <v>42758.359363425923</v>
      </c>
      <c r="F53" s="13">
        <v>42758.364768518521</v>
      </c>
      <c r="G53" s="7">
        <v>1</v>
      </c>
      <c r="H53" s="22" t="s">
        <v>404</v>
      </c>
      <c r="I53" s="13">
        <v>42758.389791666668</v>
      </c>
      <c r="J53" s="7">
        <v>0</v>
      </c>
      <c r="K53" s="105" t="str">
        <f t="shared" si="0"/>
        <v>4009/4010</v>
      </c>
      <c r="L53" s="22" t="str">
        <f>VLOOKUP(A53,'Trips&amp;Operators'!$C$1:$G$99999,5,FALSE)</f>
        <v>OUN ZACK</v>
      </c>
      <c r="M53" s="6">
        <f t="shared" si="1"/>
        <v>2.5023148147738539E-2</v>
      </c>
      <c r="N53" s="7">
        <f t="shared" si="2"/>
        <v>36.033333332743496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-23T07:37:29-0700',mode:absolute,to:'2017-01-23T10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49" t="str">
        <f t="shared" si="6"/>
        <v>N</v>
      </c>
      <c r="X53" s="170">
        <f t="shared" si="7"/>
        <v>1</v>
      </c>
      <c r="Y53" s="64">
        <f t="shared" si="8"/>
        <v>4.3799999999999999E-2</v>
      </c>
      <c r="Z53" s="64">
        <f t="shared" si="9"/>
        <v>23.334399999999999</v>
      </c>
      <c r="AA53" s="64">
        <f t="shared" si="10"/>
        <v>23.290599999999998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0141-23</v>
      </c>
      <c r="AE53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53" s="84" t="str">
        <f t="shared" si="13"/>
        <v>"C:\Program Files (x86)\AstroGrep\AstroGrep.exe" /spath="%USERPROFILE%\AppData\Local\Temp\OnboardLogs" /stypes="app*4009*20170123*"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141-23 --locoid 4009 --swversion DE.1.0.8.0 --startMP 204:438 --initTime 2017-01-23T08:37:29 --startdatetime 2017-01-23T08:45:16 --delay 1 --endMP 204:233344 --enddatetime 2017-01-23T09:21:18 --enforcementcount 0 &gt;&gt;C:\Users\stu\Documents\GitHub\eaglep3-reporting\EC\2017-01-23-refined-times.txt</v>
      </c>
      <c r="AI5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{"issue":{"subject":"","project_id":79,"tracker_id":40,"status_id":1,"priority_id":2,"assigned_to_id":23,"start_date":"2017-01-23","description":"","custom_fields":[{"id":1,"name":"Subdivision","value":"EC"},{"id":4,"name":"Milepost","value":"23.3344"},{"id":17,"name":"Train ID","value":"141-23"},{"id":16,"name":"Locomotive ID","value":"4009"},{"id":130,"name":"Impact","value":""},{"id":150,"name":"Time of Event (Mountain Time)","value":"09:21:18"},{"id":151,"name":"Denver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4009 --day 2017-01-23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521</v>
      </c>
      <c r="B54" s="7">
        <v>4010</v>
      </c>
      <c r="C54" s="22" t="s">
        <v>196</v>
      </c>
      <c r="D54" s="22" t="s">
        <v>392</v>
      </c>
      <c r="E54" s="13">
        <v>42758.398206018515</v>
      </c>
      <c r="F54" s="13">
        <v>42758.403703703705</v>
      </c>
      <c r="G54" s="7">
        <v>2</v>
      </c>
      <c r="H54" s="22" t="s">
        <v>238</v>
      </c>
      <c r="I54" s="13">
        <v>42758.430578703701</v>
      </c>
      <c r="J54" s="7">
        <v>0</v>
      </c>
      <c r="K54" s="105" t="str">
        <f t="shared" si="0"/>
        <v>4009/4010</v>
      </c>
      <c r="L54" s="22" t="str">
        <f>VLOOKUP(A54,'Trips&amp;Operators'!$C$1:$G$99999,5,FALSE)</f>
        <v>OUN ZACK</v>
      </c>
      <c r="M54" s="6">
        <f t="shared" si="1"/>
        <v>2.6874999995925464E-2</v>
      </c>
      <c r="N54" s="7">
        <f t="shared" si="2"/>
        <v>38.699999994132668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-23T08:33:25-0700',mode:absolute,to:'2017-01-23T11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23.301300000000001</v>
      </c>
      <c r="Z54" s="64">
        <f t="shared" si="9"/>
        <v>1.38E-2</v>
      </c>
      <c r="AA54" s="64">
        <f t="shared" si="10"/>
        <v>23.287500000000001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0142-23</v>
      </c>
      <c r="AE54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54" s="84" t="str">
        <f t="shared" si="13"/>
        <v>"C:\Program Files (x86)\AstroGrep\AstroGrep.exe" /spath="%USERPROFILE%\AppData\Local\Temp\OnboardLogs" /stypes="app*4010*20170123*"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142-23 --locoid 4010 --swversion DE.1.0.8.0 --startMP 204:233013 --initTime 2017-01-23T09:33:25 --startdatetime 2017-01-23T09:41:20 --delay 2 --endMP 204:138 --enddatetime 2017-01-23T10:20:02 --enforcementcount 0 &gt;&gt;C:\Users\stu\Documents\GitHub\eaglep3-reporting\EC\2017-01-23-refined-times.txt</v>
      </c>
      <c r="AI5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ID","value":"142-23"},{"id":16,"name":"Locomotive ID","value":"4010"},{"id":130,"name":"Impact","value":""},{"id":150,"name":"Time of Event (Mountain Time)","value":"10:20:02"},{"id":151,"name":"Denver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4010 --day 2017-01-23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515</v>
      </c>
      <c r="B55" s="7">
        <v>4011</v>
      </c>
      <c r="C55" s="22" t="s">
        <v>196</v>
      </c>
      <c r="D55" s="22" t="s">
        <v>270</v>
      </c>
      <c r="E55" s="13">
        <v>42758.371145833335</v>
      </c>
      <c r="F55" s="13">
        <v>42758.375150462962</v>
      </c>
      <c r="G55" s="7">
        <v>1</v>
      </c>
      <c r="H55" s="22" t="s">
        <v>416</v>
      </c>
      <c r="I55" s="13">
        <v>42758.399965277778</v>
      </c>
      <c r="J55" s="7">
        <v>0</v>
      </c>
      <c r="K55" s="105" t="str">
        <f t="shared" si="0"/>
        <v>4011/4012</v>
      </c>
      <c r="L55" s="22" t="str">
        <f>VLOOKUP(A55,'Trips&amp;Operators'!$C$1:$G$99999,5,FALSE)</f>
        <v>ROBINSON KADDIBA</v>
      </c>
      <c r="M55" s="6">
        <f t="shared" si="1"/>
        <v>2.4814814816636499E-2</v>
      </c>
      <c r="N55" s="7">
        <f t="shared" si="2"/>
        <v>35.733333335956559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-23T07:54:27-0700',mode:absolute,to:'2017-01-23T10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4.5699999999999998E-2</v>
      </c>
      <c r="Z55" s="64">
        <f t="shared" si="9"/>
        <v>23.3278</v>
      </c>
      <c r="AA55" s="64">
        <f t="shared" si="10"/>
        <v>23.2821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0143-23</v>
      </c>
      <c r="AE55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55" s="84" t="str">
        <f t="shared" si="13"/>
        <v>"C:\Program Files (x86)\AstroGrep\AstroGrep.exe" /spath="%USERPROFILE%\AppData\Local\Temp\OnboardLogs" /stypes="app*4011*20170123*"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143-23 --locoid 4011 --swversion DE.1.0.8.0 --startMP 204:457 --initTime 2017-01-23T08:54:27 --startdatetime 2017-01-23T09:00:13 --delay 1 --endMP 204:233278 --enddatetime 2017-01-23T09:35:57 --enforcementcount 0 &gt;&gt;C:\Users\stu\Documents\GitHub\eaglep3-reporting\EC\2017-01-23-refined-times.txt</v>
      </c>
      <c r="AI5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{"issue":{"subject":"","project_id":79,"tracker_id":40,"status_id":1,"priority_id":2,"assigned_to_id":23,"start_date":"2017-01-23","description":"","custom_fields":[{"id":1,"name":"Subdivision","value":"EC"},{"id":4,"name":"Milepost","value":"23.3278"},{"id":17,"name":"Train ID","value":"143-23"},{"id":16,"name":"Locomotive ID","value":"4011"},{"id":130,"name":"Impact","value":""},{"id":150,"name":"Time of Event (Mountain Time)","value":"09:35:57"},{"id":151,"name":"Denver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4011 --day 2017-01-23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526</v>
      </c>
      <c r="B56" s="7">
        <v>4012</v>
      </c>
      <c r="C56" s="22" t="s">
        <v>196</v>
      </c>
      <c r="D56" s="22" t="s">
        <v>682</v>
      </c>
      <c r="E56" s="13">
        <v>42758.410173611112</v>
      </c>
      <c r="F56" s="13">
        <v>42758.414050925923</v>
      </c>
      <c r="G56" s="7">
        <v>1</v>
      </c>
      <c r="H56" s="22" t="s">
        <v>240</v>
      </c>
      <c r="I56" s="13">
        <v>42758.443402777775</v>
      </c>
      <c r="J56" s="7">
        <v>0</v>
      </c>
      <c r="K56" s="105" t="str">
        <f t="shared" si="0"/>
        <v>4011/4012</v>
      </c>
      <c r="L56" s="22" t="str">
        <f>VLOOKUP(A56,'Trips&amp;Operators'!$C$1:$G$99999,5,FALSE)</f>
        <v>ROBINSON KADDIBA</v>
      </c>
      <c r="M56" s="6">
        <f t="shared" si="1"/>
        <v>2.9351851851970423E-2</v>
      </c>
      <c r="N56" s="7">
        <f t="shared" si="2"/>
        <v>42.266666666837409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-23T08:50:39-0700',mode:absolute,to:'2017-01-23T11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23.296299999999999</v>
      </c>
      <c r="Z56" s="64">
        <f t="shared" si="9"/>
        <v>1.6299999999999999E-2</v>
      </c>
      <c r="AA56" s="64">
        <f t="shared" si="10"/>
        <v>23.279999999999998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0144-23</v>
      </c>
      <c r="AE56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56" s="84" t="str">
        <f t="shared" si="13"/>
        <v>"C:\Program Files (x86)\AstroGrep\AstroGrep.exe" /spath="%USERPROFILE%\AppData\Local\Temp\OnboardLogs" /stypes="app*4012*20170123*"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144-23 --locoid 4012 --swversion DE.1.0.8.0 --startMP 204:232963 --initTime 2017-01-23T09:50:39 --startdatetime 2017-01-23T09:56:14 --delay 1 --endMP 204:163 --enddatetime 2017-01-23T10:38:30 --enforcementcount 0 &gt;&gt;C:\Users\stu\Documents\GitHub\eaglep3-reporting\EC\2017-01-23-refined-times.txt</v>
      </c>
      <c r="AI5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{"issue":{"subject":"","project_id":79,"tracker_id":40,"status_id":1,"priority_id":2,"assigned_to_id":23,"start_date":"2017-01-23","description":"","custom_fields":[{"id":1,"name":"Subdivision","value":"EC"},{"id":4,"name":"Milepost","value":"0.0163"},{"id":17,"name":"Train ID","value":"144-23"},{"id":16,"name":"Locomotive ID","value":"4012"},{"id":130,"name":"Impact","value":""},{"id":150,"name":"Time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4012 --day 2017-01-23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519</v>
      </c>
      <c r="B57" s="7">
        <v>4025</v>
      </c>
      <c r="C57" s="22" t="s">
        <v>196</v>
      </c>
      <c r="D57" s="22" t="s">
        <v>398</v>
      </c>
      <c r="E57" s="13">
        <v>42758.38181712963</v>
      </c>
      <c r="F57" s="13">
        <v>42758.385717592595</v>
      </c>
      <c r="G57" s="7">
        <v>1</v>
      </c>
      <c r="H57" s="22" t="s">
        <v>695</v>
      </c>
      <c r="I57" s="13">
        <v>42758.410671296297</v>
      </c>
      <c r="J57" s="7">
        <v>0</v>
      </c>
      <c r="K57" s="105" t="str">
        <f t="shared" si="0"/>
        <v>4025/4026</v>
      </c>
      <c r="L57" s="22" t="str">
        <f>VLOOKUP(A57,'Trips&amp;Operators'!$C$1:$G$99999,5,FALSE)</f>
        <v>MAELZER KURT</v>
      </c>
      <c r="M57" s="6">
        <f t="shared" si="1"/>
        <v>2.495370370161254E-2</v>
      </c>
      <c r="N57" s="7">
        <f t="shared" si="2"/>
        <v>35.933333330322057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-23T08:09:49-0700',mode:absolute,to:'2017-01-23T10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4.3099999999999999E-2</v>
      </c>
      <c r="Z57" s="64">
        <f t="shared" si="9"/>
        <v>23.3306</v>
      </c>
      <c r="AA57" s="64">
        <f t="shared" si="10"/>
        <v>23.287500000000001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0145-23</v>
      </c>
      <c r="AE57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57" s="84" t="str">
        <f t="shared" si="13"/>
        <v>"C:\Program Files (x86)\AstroGrep\AstroGrep.exe" /spath="%USERPROFILE%\AppData\Local\Temp\OnboardLogs" /stypes="app*4025*20170123*"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145-23 --locoid 4025 --swversion DE.1.0.8.0 --startMP 204:431 --initTime 2017-01-23T09:09:49 --startdatetime 2017-01-23T09:15:26 --delay 1 --endMP 204:233306 --enddatetime 2017-01-23T09:51:22 --enforcementcount 0 &gt;&gt;C:\Users\stu\Documents\GitHub\eaglep3-reporting\EC\2017-01-23-refined-times.txt</v>
      </c>
      <c r="AI5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{"issue":{"subject":"","project_id":79,"tracker_id":40,"status_id":1,"priority_id":2,"assigned_to_id":23,"start_date":"2017-01-23","description":"","custom_fields":[{"id":1,"name":"Subdivision","value":"EC"},{"id":4,"name":"Milepost","value":"23.3306"},{"id":17,"name":"Train ID","value":"145-23"},{"id":16,"name":"Locomotive ID","value":"4025"},{"id":130,"name":"Impact","value":""},{"id":150,"name":"Time of Event (Mountain Time)","value":"09:51:22"},{"id":151,"name":"Denver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4025 --day 2017-01-23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528</v>
      </c>
      <c r="B58" s="7">
        <v>4026</v>
      </c>
      <c r="C58" s="22" t="s">
        <v>196</v>
      </c>
      <c r="D58" s="22" t="s">
        <v>234</v>
      </c>
      <c r="E58" s="13">
        <v>42758.416909722226</v>
      </c>
      <c r="F58" s="13">
        <v>42758.42459490741</v>
      </c>
      <c r="G58" s="7">
        <v>0</v>
      </c>
      <c r="H58" s="22" t="s">
        <v>238</v>
      </c>
      <c r="I58" s="13">
        <v>42758.450949074075</v>
      </c>
      <c r="J58" s="7">
        <v>0</v>
      </c>
      <c r="K58" s="105" t="str">
        <f t="shared" si="0"/>
        <v>4025/4026</v>
      </c>
      <c r="L58" s="22" t="str">
        <f>VLOOKUP(A58,'Trips&amp;Operators'!$C$1:$G$99999,5,FALSE)</f>
        <v>MAELZER KURT</v>
      </c>
      <c r="M58" s="6">
        <f t="shared" si="1"/>
        <v>2.6354166664532386E-2</v>
      </c>
      <c r="N58" s="7">
        <f t="shared" si="2"/>
        <v>37.949999996926636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-23T09:00:21-0700',mode:absolute,to:'2017-01-23T11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23.2987</v>
      </c>
      <c r="Z58" s="64">
        <f t="shared" si="9"/>
        <v>1.38E-2</v>
      </c>
      <c r="AA58" s="64">
        <f t="shared" si="10"/>
        <v>23.2849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0146-23</v>
      </c>
      <c r="AE58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58" s="84" t="str">
        <f t="shared" si="13"/>
        <v>"C:\Program Files (x86)\AstroGrep\AstroGrep.exe" /spath="%USERPROFILE%\AppData\Local\Temp\OnboardLogs" /stypes="app*4026*20170123*"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146-23 --locoid 4026 --swversion DE.1.0.8.0 --startMP 204:232987 --initTime 2017-01-23T10:00:21 --startdatetime 2017-01-23T10:11:25 --delay 0 --endMP 204:138 --enddatetime 2017-01-23T10:49:22 --enforcementcount 0 &gt;&gt;C:\Users\stu\Documents\GitHub\eaglep3-reporting\EC\2017-01-23-refined-times.txt</v>
      </c>
      <c r="AI5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ID","value":"146-23"},{"id":16,"name":"Locomotive ID","value":"4026"},{"id":130,"name":"Impact","value":""},{"id":150,"name":"Time of Event (Mountain Time)","value":"10:49:22"},{"id":151,"name":"Denver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4026 --day 2017-01-23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520</v>
      </c>
      <c r="B59" s="7">
        <v>4029</v>
      </c>
      <c r="C59" s="22" t="s">
        <v>196</v>
      </c>
      <c r="D59" s="22" t="s">
        <v>274</v>
      </c>
      <c r="E59" s="13">
        <v>42758.393750000003</v>
      </c>
      <c r="F59" s="13">
        <v>42758.396261574075</v>
      </c>
      <c r="G59" s="7">
        <v>1</v>
      </c>
      <c r="H59" s="22" t="s">
        <v>693</v>
      </c>
      <c r="I59" s="13">
        <v>42758.421516203707</v>
      </c>
      <c r="J59" s="7">
        <v>0</v>
      </c>
      <c r="K59" s="105" t="str">
        <f t="shared" si="0"/>
        <v>4029/4030</v>
      </c>
      <c r="L59" s="22" t="str">
        <f>VLOOKUP(A59,'Trips&amp;Operators'!$C$1:$G$99999,5,FALSE)</f>
        <v>STARKS ANGELINA</v>
      </c>
      <c r="M59" s="6">
        <f t="shared" si="1"/>
        <v>2.5254629632399883E-2</v>
      </c>
      <c r="N59" s="7">
        <f t="shared" si="2"/>
        <v>36.366666670655832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-23T08:27:00-0700',mode:absolute,to:'2017-01-23T11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4.5999999999999999E-2</v>
      </c>
      <c r="Z59" s="64">
        <f t="shared" si="9"/>
        <v>23.330300000000001</v>
      </c>
      <c r="AA59" s="64">
        <f t="shared" si="10"/>
        <v>23.284300000000002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0147-23</v>
      </c>
      <c r="AE59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59" s="84" t="str">
        <f t="shared" si="13"/>
        <v>"C:\Program Files (x86)\AstroGrep\AstroGrep.exe" /spath="%USERPROFILE%\AppData\Local\Temp\OnboardLogs" /stypes="app*4029*20170123*"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147-23 --locoid 4029 --swversion DE.1.0.8.0 --startMP 204:460 --initTime 2017-01-23T09:27:00 --startdatetime 2017-01-23T09:30:37 --delay 1 --endMP 204:233303 --enddatetime 2017-01-23T10:06:59 --enforcementcount 0 &gt;&gt;C:\Users\stu\Documents\GitHub\eaglep3-reporting\EC\2017-01-23-refined-times.txt</v>
      </c>
      <c r="AI5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ID","value":"147-23"},{"id":16,"name":"Locomotive ID","value":"4029"},{"id":130,"name":"Impact","value":""},{"id":150,"name":"Time of Event (Mountain Time)","value":"10:06:59"},{"id":151,"name":"Denver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4029 --day 2017-01-23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531</v>
      </c>
      <c r="B60" s="7">
        <v>4030</v>
      </c>
      <c r="C60" s="22" t="s">
        <v>196</v>
      </c>
      <c r="D60" s="22" t="s">
        <v>696</v>
      </c>
      <c r="E60" s="13">
        <v>42758.43340277778</v>
      </c>
      <c r="F60" s="13">
        <v>42758.435243055559</v>
      </c>
      <c r="G60" s="7">
        <v>1</v>
      </c>
      <c r="H60" s="22" t="s">
        <v>697</v>
      </c>
      <c r="I60" s="13">
        <v>42758.462291666663</v>
      </c>
      <c r="J60" s="7">
        <v>0</v>
      </c>
      <c r="K60" s="105" t="str">
        <f t="shared" si="0"/>
        <v>4029/4030</v>
      </c>
      <c r="L60" s="22" t="str">
        <f>VLOOKUP(A60,'Trips&amp;Operators'!$C$1:$G$99999,5,FALSE)</f>
        <v>STARKS ANGELINA</v>
      </c>
      <c r="M60" s="6">
        <f t="shared" si="1"/>
        <v>2.7048611103964504E-2</v>
      </c>
      <c r="N60" s="7">
        <f t="shared" si="2"/>
        <v>38.949999989708886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-23T09:24:06-0700',mode:absolute,to:'2017-01-23T12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23.297499999999999</v>
      </c>
      <c r="Z60" s="64">
        <f t="shared" si="9"/>
        <v>1.6899999999999998E-2</v>
      </c>
      <c r="AA60" s="64">
        <f t="shared" si="10"/>
        <v>23.2806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0148-23</v>
      </c>
      <c r="AE60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60" s="84" t="str">
        <f t="shared" si="13"/>
        <v>"C:\Program Files (x86)\AstroGrep\AstroGrep.exe" /spath="%USERPROFILE%\AppData\Local\Temp\OnboardLogs" /stypes="app*4030*20170123*"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148-23 --locoid 4030 --swversion DE.1.0.8.0 --startMP 204:232975 --initTime 2017-01-23T10:24:06 --startdatetime 2017-01-23T10:26:45 --delay 1 --endMP 204:169 --enddatetime 2017-01-23T11:05:42 --enforcementcount 0 &gt;&gt;C:\Users\stu\Documents\GitHub\eaglep3-reporting\EC\2017-01-23-refined-times.txt</v>
      </c>
      <c r="AI6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ID","value":"148-23"},{"id":16,"name":"Locomotive ID","value":"4030"},{"id":130,"name":"Impact","value":""},{"id":150,"name":"Time of Event (Mountain Time)","value":"11:05:42"},{"id":151,"name":"Denver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4030 --day 2017-01-23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523</v>
      </c>
      <c r="B61" s="7">
        <v>4022</v>
      </c>
      <c r="C61" s="22" t="s">
        <v>196</v>
      </c>
      <c r="D61" s="22" t="s">
        <v>243</v>
      </c>
      <c r="E61" s="13">
        <v>42758.402256944442</v>
      </c>
      <c r="F61" s="13">
        <v>42758.406446759262</v>
      </c>
      <c r="G61" s="7">
        <v>1</v>
      </c>
      <c r="H61" s="22" t="s">
        <v>259</v>
      </c>
      <c r="I61" s="13">
        <v>42758.432638888888</v>
      </c>
      <c r="J61" s="7">
        <v>0</v>
      </c>
      <c r="K61" s="105" t="str">
        <f t="shared" si="0"/>
        <v>4021/4022</v>
      </c>
      <c r="L61" s="22" t="str">
        <f>VLOOKUP(A61,'Trips&amp;Operators'!$C$1:$G$99999,5,FALSE)</f>
        <v>YANAI IAN</v>
      </c>
      <c r="M61" s="6">
        <f t="shared" si="1"/>
        <v>2.619212962599704E-2</v>
      </c>
      <c r="N61" s="7">
        <f t="shared" si="2"/>
        <v>37.716666661435738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-23T08:39:15-0700',mode:absolute,to:'2017-01-23T11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4.4200000000000003E-2</v>
      </c>
      <c r="Z61" s="64">
        <f t="shared" si="9"/>
        <v>23.329499999999999</v>
      </c>
      <c r="AA61" s="64">
        <f t="shared" si="10"/>
        <v>23.285299999999999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1"/>
        <v>0149-23</v>
      </c>
      <c r="AE61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61" s="84" t="str">
        <f t="shared" si="13"/>
        <v>"C:\Program Files (x86)\AstroGrep\AstroGrep.exe" /spath="%USERPROFILE%\AppData\Local\Temp\OnboardLogs" /stypes="app*4022*20170123*"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149-23 --locoid 4022 --swversion DE.1.0.8.0 --startMP 204:442 --initTime 2017-01-23T09:39:15 --startdatetime 2017-01-23T09:45:17 --delay 1 --endMP 204:233295 --enddatetime 2017-01-23T10:23:00 --enforcementcount 0 &gt;&gt;C:\Users\stu\Documents\GitHub\eaglep3-reporting\EC\2017-01-23-refined-times.txt</v>
      </c>
      <c r="AI6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ID","value":"149-23"},{"id":16,"name":"Locomotive ID","value":"4022"},{"id":130,"name":"Impact","value":""},{"id":150,"name":"Time of Event (Mountain Time)","value":"10:23:00"},{"id":151,"name":"Denver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4022 --day 2017-01-23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533</v>
      </c>
      <c r="B62" s="7">
        <v>4021</v>
      </c>
      <c r="C62" s="22" t="s">
        <v>196</v>
      </c>
      <c r="D62" s="22" t="s">
        <v>390</v>
      </c>
      <c r="E62" s="13">
        <v>42758.435324074075</v>
      </c>
      <c r="F62" s="13">
        <v>42758.445370370369</v>
      </c>
      <c r="G62" s="7">
        <v>1</v>
      </c>
      <c r="H62" s="22" t="s">
        <v>257</v>
      </c>
      <c r="I62" s="13">
        <v>42758.47148148148</v>
      </c>
      <c r="J62" s="7">
        <v>0</v>
      </c>
      <c r="K62" s="105" t="str">
        <f t="shared" si="0"/>
        <v>4021/4022</v>
      </c>
      <c r="L62" s="22" t="str">
        <f>VLOOKUP(A62,'Trips&amp;Operators'!$C$1:$G$99999,5,FALSE)</f>
        <v>YANAI IAN</v>
      </c>
      <c r="M62" s="6">
        <f t="shared" si="1"/>
        <v>2.6111111110367347E-2</v>
      </c>
      <c r="N62" s="7">
        <f t="shared" si="2"/>
        <v>37.599999998928979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-23T09:26:52-0700',mode:absolute,to:'2017-01-23T12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23.298500000000001</v>
      </c>
      <c r="Z62" s="64">
        <f t="shared" si="9"/>
        <v>1.43E-2</v>
      </c>
      <c r="AA62" s="64">
        <f t="shared" si="10"/>
        <v>23.284200000000002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0150-23</v>
      </c>
      <c r="AE62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62" s="84" t="str">
        <f t="shared" si="13"/>
        <v>"C:\Program Files (x86)\AstroGrep\AstroGrep.exe" /spath="%USERPROFILE%\AppData\Local\Temp\OnboardLogs" /stypes="app*4021*20170123*"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150-23 --locoid 4021 --swversion DE.1.0.8.0 --startMP 204:232985 --initTime 2017-01-23T10:26:52 --startdatetime 2017-01-23T10:41:20 --delay 1 --endMP 204:143 --enddatetime 2017-01-23T11:18:56 --enforcementcount 0 &gt;&gt;C:\Users\stu\Documents\GitHub\eaglep3-reporting\EC\2017-01-23-refined-times.txt</v>
      </c>
      <c r="AI6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ID","value":"150-23"},{"id":16,"name":"Locomotive ID","value":"4021"},{"id":130,"name":"Impact","value":""},{"id":150,"name":"Time of Event (Mountain Time)","value":"11:18:56"},{"id":151,"name":"Denver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4021 --day 2017-01-23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527</v>
      </c>
      <c r="B63" s="7">
        <v>4046</v>
      </c>
      <c r="C63" s="22" t="s">
        <v>196</v>
      </c>
      <c r="D63" s="22" t="s">
        <v>270</v>
      </c>
      <c r="E63" s="13">
        <v>42758.41333333333</v>
      </c>
      <c r="F63" s="13">
        <v>42758.41684027778</v>
      </c>
      <c r="G63" s="7">
        <v>1</v>
      </c>
      <c r="H63" s="22" t="s">
        <v>262</v>
      </c>
      <c r="I63" s="13">
        <v>42758.441793981481</v>
      </c>
      <c r="J63" s="7">
        <v>0</v>
      </c>
      <c r="K63" s="105" t="str">
        <f t="shared" si="0"/>
        <v>4045/4046</v>
      </c>
      <c r="L63" s="22" t="str">
        <f>VLOOKUP(A63,'Trips&amp;Operators'!$C$1:$G$99999,5,FALSE)</f>
        <v>SWANSON BRYCE</v>
      </c>
      <c r="M63" s="6">
        <f t="shared" si="1"/>
        <v>2.495370370161254E-2</v>
      </c>
      <c r="N63" s="7">
        <f t="shared" si="2"/>
        <v>35.933333330322057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-23T08:55:12-0700',mode:absolute,to:'2017-01-23T11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4.5699999999999998E-2</v>
      </c>
      <c r="Z63" s="64">
        <f t="shared" si="9"/>
        <v>23.331099999999999</v>
      </c>
      <c r="AA63" s="64">
        <f t="shared" si="10"/>
        <v>23.285399999999999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0151-23</v>
      </c>
      <c r="AE63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63" s="84" t="str">
        <f t="shared" si="13"/>
        <v>"C:\Program Files (x86)\AstroGrep\AstroGrep.exe" /spath="%USERPROFILE%\AppData\Local\Temp\OnboardLogs" /stypes="app*4046*20170123*"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151-23 --locoid 4046 --swversion DE.1.0.8.0 --startMP 204:457 --initTime 2017-01-23T09:55:12 --startdatetime 2017-01-23T10:00:15 --delay 1 --endMP 204:233311 --enddatetime 2017-01-23T10:36:11 --enforcementcount 0 &gt;&gt;C:\Users\stu\Documents\GitHub\eaglep3-reporting\EC\2017-01-23-refined-times.txt</v>
      </c>
      <c r="AI6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{"issue":{"subject":"","project_id":79,"tracker_id":40,"status_id":1,"priority_id":2,"assigned_to_id":23,"start_date":"2017-01-23","description":"","custom_fields":[{"id":1,"name":"Subdivision","value":"EC"},{"id":4,"name":"Milepost","value":"23.3311"},{"id":17,"name":"Train ID","value":"151-23"},{"id":16,"name":"Locomotive ID","value":"4046"},{"id":130,"name":"Impact","value":""},{"id":150,"name":"Time of Event (Mountain Time)","value":"10:36:11"},{"id":151,"name":"Denver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4046 --day 2017-01-23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535</v>
      </c>
      <c r="B64" s="7">
        <v>4045</v>
      </c>
      <c r="C64" s="22" t="s">
        <v>196</v>
      </c>
      <c r="D64" s="22" t="s">
        <v>698</v>
      </c>
      <c r="E64" s="13">
        <v>42758.445613425924</v>
      </c>
      <c r="F64" s="13">
        <v>42758.455717592595</v>
      </c>
      <c r="G64" s="7">
        <v>1</v>
      </c>
      <c r="H64" s="22" t="s">
        <v>257</v>
      </c>
      <c r="I64" s="13">
        <v>42758.485115740739</v>
      </c>
      <c r="J64" s="7">
        <v>0</v>
      </c>
      <c r="K64" s="105" t="str">
        <f t="shared" si="0"/>
        <v>4045/4046</v>
      </c>
      <c r="L64" s="22" t="str">
        <f>VLOOKUP(A64,'Trips&amp;Operators'!$C$1:$G$99999,5,FALSE)</f>
        <v>SWANSON BRYCE</v>
      </c>
      <c r="M64" s="6">
        <f t="shared" si="1"/>
        <v>2.9398148144537117E-2</v>
      </c>
      <c r="N64" s="7">
        <f t="shared" si="2"/>
        <v>42.333333328133449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-23T09:41:41-0700',mode:absolute,to:'2017-01-23T12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4" s="49" t="str">
        <f t="shared" si="6"/>
        <v>N</v>
      </c>
      <c r="X64" s="170">
        <f t="shared" si="7"/>
        <v>1</v>
      </c>
      <c r="Y64" s="64">
        <f t="shared" si="8"/>
        <v>23.3001</v>
      </c>
      <c r="Z64" s="64">
        <f t="shared" si="9"/>
        <v>1.43E-2</v>
      </c>
      <c r="AA64" s="64">
        <f t="shared" si="10"/>
        <v>23.285800000000002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0152-23</v>
      </c>
      <c r="AE64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64" s="84" t="str">
        <f t="shared" si="13"/>
        <v>"C:\Program Files (x86)\AstroGrep\AstroGrep.exe" /spath="%USERPROFILE%\AppData\Local\Temp\OnboardLogs" /stypes="app*4045*20170123*"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152-23 --locoid 4045 --swversion DE.1.0.8.0 --startMP 204:233001 --initTime 2017-01-23T10:41:41 --startdatetime 2017-01-23T10:56:14 --delay 1 --endMP 204:143 --enddatetime 2017-01-23T11:38:34 --enforcementcount 0 &gt;&gt;C:\Users\stu\Documents\GitHub\eaglep3-reporting\EC\2017-01-23-refined-times.txt</v>
      </c>
      <c r="AI6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ID","value":"152-23"},{"id":16,"name":"Locomotive ID","value":"4045"},{"id":130,"name":"Impact","value":""},{"id":150,"name":"Time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4045 --day 2017-01-23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529</v>
      </c>
      <c r="B65" s="7">
        <v>4051</v>
      </c>
      <c r="C65" s="22" t="s">
        <v>196</v>
      </c>
      <c r="D65" s="22" t="s">
        <v>269</v>
      </c>
      <c r="E65" s="13">
        <v>42758.426527777781</v>
      </c>
      <c r="F65" s="13">
        <v>42758.42769675926</v>
      </c>
      <c r="G65" s="7">
        <v>1</v>
      </c>
      <c r="H65" s="22" t="s">
        <v>418</v>
      </c>
      <c r="I65" s="13">
        <v>42758.451828703706</v>
      </c>
      <c r="J65" s="7">
        <v>0</v>
      </c>
      <c r="K65" s="105" t="str">
        <f t="shared" si="0"/>
        <v>4051/4052</v>
      </c>
      <c r="L65" s="22" t="str">
        <f>VLOOKUP(A65,'Trips&amp;Operators'!$C$1:$G$99999,5,FALSE)</f>
        <v>YORK EDGAR</v>
      </c>
      <c r="M65" s="6">
        <f t="shared" si="1"/>
        <v>2.4131944446708076E-2</v>
      </c>
      <c r="N65" s="7">
        <f t="shared" si="2"/>
        <v>34.750000003259629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-23T09:14:12-0700',mode:absolute,to:'2017-01-23T11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4.5100000000000001E-2</v>
      </c>
      <c r="Z65" s="64">
        <f t="shared" si="9"/>
        <v>23.328900000000001</v>
      </c>
      <c r="AA65" s="64">
        <f t="shared" si="10"/>
        <v>23.283799999999999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0153-23</v>
      </c>
      <c r="AE65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65" s="84" t="str">
        <f t="shared" si="13"/>
        <v>"C:\Program Files (x86)\AstroGrep\AstroGrep.exe" /spath="%USERPROFILE%\AppData\Local\Temp\OnboardLogs" /stypes="app*4051*20170123*"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153-23 --locoid 4051 --swversion DE.1.0.8.0 --startMP 204:451 --initTime 2017-01-23T10:14:12 --startdatetime 2017-01-23T10:15:53 --delay 1 --endMP 204:233289 --enddatetime 2017-01-23T10:50:38 --enforcementcount 0 &gt;&gt;C:\Users\stu\Documents\GitHub\eaglep3-reporting\EC\2017-01-23-refined-times.txt</v>
      </c>
      <c r="AI6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{"issue":{"subject":"","project_id":79,"tracker_id":40,"status_id":1,"priority_id":2,"assigned_to_id":23,"start_date":"2017-01-23","description":"","custom_fields":[{"id":1,"name":"Subdivision","value":"EC"},{"id":4,"name":"Milepost","value":"23.3289"},{"id":17,"name":"Train ID","value":"153-23"},{"id":16,"name":"Locomotive ID","value":"4051"},{"id":130,"name":"Impact","value":""},{"id":150,"name":"Time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4051 --day 2017-01-23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537</v>
      </c>
      <c r="B66" s="7">
        <v>4052</v>
      </c>
      <c r="C66" s="22" t="s">
        <v>196</v>
      </c>
      <c r="D66" s="22" t="s">
        <v>307</v>
      </c>
      <c r="E66" s="13">
        <v>42758.452650462961</v>
      </c>
      <c r="F66" s="13">
        <v>42758.466516203705</v>
      </c>
      <c r="G66" s="7">
        <v>0</v>
      </c>
      <c r="H66" s="22" t="s">
        <v>699</v>
      </c>
      <c r="I66" s="13">
        <v>42758.500127314815</v>
      </c>
      <c r="J66" s="7">
        <v>0</v>
      </c>
      <c r="K66" s="105" t="str">
        <f t="shared" si="0"/>
        <v>4051/4052</v>
      </c>
      <c r="L66" s="22" t="str">
        <f>VLOOKUP(A66,'Trips&amp;Operators'!$C$1:$G$99999,5,FALSE)</f>
        <v>YORK EDGAR</v>
      </c>
      <c r="M66" s="6">
        <f t="shared" si="1"/>
        <v>3.3611111110076308E-2</v>
      </c>
      <c r="N66" s="7">
        <f t="shared" si="2"/>
        <v>48.399999998509884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-23T09:51:49-0700',mode:absolute,to:'2017-01-23T13:00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23.297899999999998</v>
      </c>
      <c r="Z66" s="64">
        <f t="shared" si="9"/>
        <v>0.1171</v>
      </c>
      <c r="AA66" s="64">
        <f t="shared" si="10"/>
        <v>23.180799999999998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0154-23</v>
      </c>
      <c r="AE66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66" s="84" t="str">
        <f t="shared" si="13"/>
        <v>"C:\Program Files (x86)\AstroGrep\AstroGrep.exe" /spath="%USERPROFILE%\AppData\Local\Temp\OnboardLogs" /stypes="app*4052*20170123*" /stext=" 19:.+((SYSTEM_STATE.+slice.+state.+changed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154-23 --locoid 4052 --swversion DE.1.0.8.0 --startMP 204:232979 --initTime 2017-01-23T10:51:49 --startdatetime 2017-01-23T11:11:47 --delay 0 --endMP 204:1171 --enddatetime 2017-01-23T12:00:11 --enforcementcount 0 &gt;&gt;C:\Users\stu\Documents\GitHub\eaglep3-reporting\EC\2017-01-23-refined-times.txt</v>
      </c>
      <c r="AI6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{"issue":{"subject":"","project_id":79,"tracker_id":40,"status_id":1,"priority_id":2,"assigned_to_id":23,"start_date":"2017-01-23","description":"","custom_fields":[{"id":1,"name":"Subdivision","value":"EC"},{"id":4,"name":"Milepost","value":"0.1171"},{"id":17,"name":"Train ID","value":"154-23"},{"id":16,"name":"Locomotive ID","value":"4052"},{"id":130,"name":"Impact","value":""},{"id":150,"name":"Time of Event (Mountain Time)","value":"12:00:11"},{"id":151,"name":"Denver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4052 --day 2017-01-23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532</v>
      </c>
      <c r="B67" s="7">
        <v>4009</v>
      </c>
      <c r="C67" s="22" t="s">
        <v>196</v>
      </c>
      <c r="D67" s="22" t="s">
        <v>700</v>
      </c>
      <c r="E67" s="13">
        <v>42758.433738425927</v>
      </c>
      <c r="F67" s="13">
        <v>42758.437685185185</v>
      </c>
      <c r="G67" s="7">
        <v>2</v>
      </c>
      <c r="H67" s="22" t="s">
        <v>701</v>
      </c>
      <c r="I67" s="13">
        <v>42758.462777777779</v>
      </c>
      <c r="J67" s="7">
        <v>0</v>
      </c>
      <c r="K67" s="105" t="str">
        <f t="shared" si="0"/>
        <v>4009/4010</v>
      </c>
      <c r="L67" s="22" t="str">
        <f>VLOOKUP(A67,'Trips&amp;Operators'!$C$1:$G$99999,5,FALSE)</f>
        <v>DAVIS WENDY</v>
      </c>
      <c r="M67" s="6">
        <f t="shared" si="1"/>
        <v>2.5092592593864538E-2</v>
      </c>
      <c r="N67" s="7">
        <f t="shared" si="2"/>
        <v>36.133333335164934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-23T09:24:35-0700',mode:absolute,to:'2017-01-23T12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4.2000000000000003E-2</v>
      </c>
      <c r="Z67" s="64">
        <f t="shared" si="9"/>
        <v>23.330100000000002</v>
      </c>
      <c r="AA67" s="64">
        <f t="shared" si="10"/>
        <v>23.2881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0155-23</v>
      </c>
      <c r="AE67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67" s="84" t="str">
        <f t="shared" si="13"/>
        <v>"C:\Program Files (x86)\AstroGrep\AstroGrep.exe" /spath="%USERPROFILE%\AppData\Local\Temp\OnboardLogs" /stypes="app*4009*20170123*"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155-23 --locoid 4009 --swversion DE.1.0.8.0 --startMP 204:420 --initTime 2017-01-23T10:24:35 --startdatetime 2017-01-23T10:30:16 --delay 2 --endMP 204:233301 --enddatetime 2017-01-23T11:06:24 --enforcementcount 0 &gt;&gt;C:\Users\stu\Documents\GitHub\eaglep3-reporting\EC\2017-01-23-refined-times.txt</v>
      </c>
      <c r="AI6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ID","value":"155-23"},{"id":16,"name":"Locomotive ID","value":"4009"},{"id":130,"name":"Impact","value":""},{"id":150,"name":"Time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4009 --day 2017-01-23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549</v>
      </c>
      <c r="B68" s="7">
        <v>4010</v>
      </c>
      <c r="C68" s="22" t="s">
        <v>196</v>
      </c>
      <c r="D68" s="22" t="s">
        <v>403</v>
      </c>
      <c r="E68" s="13">
        <v>42758.474699074075</v>
      </c>
      <c r="F68" s="13">
        <v>42758.476898148147</v>
      </c>
      <c r="G68" s="7">
        <v>1</v>
      </c>
      <c r="H68" s="22" t="s">
        <v>222</v>
      </c>
      <c r="I68" s="13">
        <v>42758.508333333331</v>
      </c>
      <c r="J68" s="7">
        <v>0</v>
      </c>
      <c r="K68" s="105" t="str">
        <f t="shared" si="0"/>
        <v>4009/4010</v>
      </c>
      <c r="L68" s="22" t="str">
        <f>VLOOKUP(A68,'Trips&amp;Operators'!$C$1:$G$99999,5,FALSE)</f>
        <v>DAVIS WENDY</v>
      </c>
      <c r="M68" s="6">
        <f t="shared" si="1"/>
        <v>3.1435185184818693E-2</v>
      </c>
      <c r="N68" s="7">
        <f t="shared" si="2"/>
        <v>45.266666666138917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-23T10:23:34-0700',mode:absolute,to:'2017-01-23T13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23.2971</v>
      </c>
      <c r="Z68" s="64">
        <f t="shared" si="9"/>
        <v>1.5800000000000002E-2</v>
      </c>
      <c r="AA68" s="64">
        <f t="shared" si="10"/>
        <v>23.281300000000002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0156-23</v>
      </c>
      <c r="AE68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68" s="84" t="str">
        <f t="shared" si="13"/>
        <v>"C:\Program Files (x86)\AstroGrep\AstroGrep.exe" /spath="%USERPROFILE%\AppData\Local\Temp\OnboardLogs" /stypes="app*4010*20170123*"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156-23 --locoid 4010 --swversion DE.1.0.8.0 --startMP 204:232971 --initTime 2017-01-23T11:23:34 --startdatetime 2017-01-23T11:26:44 --delay 1 --endMP 204:158 --enddatetime 2017-01-23T12:12:00 --enforcementcount 0 &gt;&gt;C:\Users\stu\Documents\GitHub\eaglep3-reporting\EC\2017-01-23-refined-times.txt</v>
      </c>
      <c r="AI6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ID","value":"156-23"},{"id":16,"name":"Locomotive ID","value":"4010"},{"id":130,"name":"Impact","value":""},{"id":150,"name":"Time of Event (Mountain Time)","value":"12:12:00"},{"id":151,"name":"Denver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4010 --day 2017-01-23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536</v>
      </c>
      <c r="B69" s="7">
        <v>4011</v>
      </c>
      <c r="C69" s="22" t="s">
        <v>196</v>
      </c>
      <c r="D69" s="22" t="s">
        <v>268</v>
      </c>
      <c r="E69" s="13">
        <v>42758.445717592593</v>
      </c>
      <c r="F69" s="13">
        <v>42758.44809027778</v>
      </c>
      <c r="G69" s="7">
        <v>1</v>
      </c>
      <c r="H69" s="22" t="s">
        <v>389</v>
      </c>
      <c r="I69" s="13">
        <v>42758.473414351851</v>
      </c>
      <c r="J69" s="7">
        <v>0</v>
      </c>
      <c r="K69" s="105" t="str">
        <f t="shared" si="0"/>
        <v>4011/4012</v>
      </c>
      <c r="L69" s="22" t="str">
        <f>VLOOKUP(A69,'Trips&amp;Operators'!$C$1:$G$99999,5,FALSE)</f>
        <v>ROBINSON KADDIBA</v>
      </c>
      <c r="M69" s="6">
        <f t="shared" si="1"/>
        <v>2.5324074071249925E-2</v>
      </c>
      <c r="N69" s="7">
        <f t="shared" si="2"/>
        <v>36.466666662599891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-23T09:41:50-0700',mode:absolute,to:'2017-01-23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4.2599999999999999E-2</v>
      </c>
      <c r="Z69" s="64">
        <f t="shared" si="9"/>
        <v>23.331499999999998</v>
      </c>
      <c r="AA69" s="64">
        <f t="shared" si="10"/>
        <v>23.288899999999998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0157-23</v>
      </c>
      <c r="AE69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69" s="84" t="str">
        <f t="shared" si="13"/>
        <v>"C:\Program Files (x86)\AstroGrep\AstroGrep.exe" /spath="%USERPROFILE%\AppData\Local\Temp\OnboardLogs" /stypes="app*4011*20170123*"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157-23 --locoid 4011 --swversion DE.1.0.8.0 --startMP 204:426 --initTime 2017-01-23T10:41:50 --startdatetime 2017-01-23T10:45:15 --delay 1 --endMP 204:233315 --enddatetime 2017-01-23T11:21:43 --enforcementcount 0 &gt;&gt;C:\Users\stu\Documents\GitHub\eaglep3-reporting\EC\2017-01-23-refined-times.txt</v>
      </c>
      <c r="AI6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ID","value":"157-23"},{"id":16,"name":"Locomotive ID","value":"4011"},{"id":130,"name":"Impact","value":""},{"id":150,"name":"Time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4011 --day 2017-01-23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550</v>
      </c>
      <c r="B70" s="7">
        <v>4012</v>
      </c>
      <c r="C70" s="22" t="s">
        <v>196</v>
      </c>
      <c r="D70" s="22" t="s">
        <v>363</v>
      </c>
      <c r="E70" s="13">
        <v>42758.482303240744</v>
      </c>
      <c r="F70" s="13">
        <v>42758.486956018518</v>
      </c>
      <c r="G70" s="7">
        <v>1</v>
      </c>
      <c r="H70" s="22" t="s">
        <v>206</v>
      </c>
      <c r="I70" s="13">
        <v>42758.518067129633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ROBINSON KADDIBA</v>
      </c>
      <c r="M70" s="6">
        <f t="shared" si="1"/>
        <v>3.1111111115023959E-2</v>
      </c>
      <c r="N70" s="7">
        <f t="shared" si="2"/>
        <v>44.800000005634502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-23T10:34:31-0700',mode:absolute,to:'2017-01-23T13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23.300599999999999</v>
      </c>
      <c r="Z70" s="64">
        <f t="shared" si="9"/>
        <v>1.4500000000000001E-2</v>
      </c>
      <c r="AA70" s="64">
        <f t="shared" si="10"/>
        <v>23.286099999999998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0158-23</v>
      </c>
      <c r="AE70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70" s="84" t="str">
        <f t="shared" si="13"/>
        <v>"C:\Program Files (x86)\AstroGrep\AstroGrep.exe" /spath="%USERPROFILE%\AppData\Local\Temp\OnboardLogs" /stypes="app*4012*20170123*"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158-23 --locoid 4012 --swversion DE.1.0.8.0 --startMP 204:233006 --initTime 2017-01-23T11:34:31 --startdatetime 2017-01-23T11:41:13 --delay 1 --endMP 204:145 --enddatetime 2017-01-23T12:26:01 --enforcementcount 0 &gt;&gt;C:\Users\stu\Documents\GitHub\eaglep3-reporting\EC\2017-01-23-refined-times.txt</v>
      </c>
      <c r="AI7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{"issue":{"subject":"","project_id":79,"tracker_id":40,"status_id":1,"priority_id":2,"assigned_to_id":23,"start_date":"2017-01-23","description":"","custom_fields":[{"id":1,"name":"Subdivision","value":"EC"},{"id":4,"name":"Milepost","value":"0.0145"},{"id":17,"name":"Train ID","value":"158-23"},{"id":16,"name":"Locomotive ID","value":"4012"},{"id":130,"name":"Impact","value":""},{"id":150,"name":"Time of Event (Mountain Time)","value":"12:26:01"},{"id":151,"name":"Denver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4012 --day 2017-01-23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538</v>
      </c>
      <c r="B71" s="7">
        <v>4025</v>
      </c>
      <c r="C71" s="22" t="s">
        <v>196</v>
      </c>
      <c r="D71" s="22" t="s">
        <v>283</v>
      </c>
      <c r="E71" s="13">
        <v>42758.452916666669</v>
      </c>
      <c r="F71" s="13">
        <v>42758.458564814813</v>
      </c>
      <c r="G71" s="7">
        <v>1</v>
      </c>
      <c r="H71" s="22" t="s">
        <v>235</v>
      </c>
      <c r="I71" s="13">
        <v>42758.483969907407</v>
      </c>
      <c r="J71" s="7">
        <v>0</v>
      </c>
      <c r="K71" s="105" t="str">
        <f t="shared" si="0"/>
        <v>4025/4026</v>
      </c>
      <c r="L71" s="22" t="str">
        <f>VLOOKUP(A71,'Trips&amp;Operators'!$C$1:$G$99999,5,FALSE)</f>
        <v>STEWART MICHAEL</v>
      </c>
      <c r="M71" s="6">
        <f t="shared" si="1"/>
        <v>2.5405092594155576E-2</v>
      </c>
      <c r="N71" s="7">
        <f t="shared" si="2"/>
        <v>36.58333333558403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-23T09:52:12-0700',mode:absolute,to:'2017-01-23T12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4.4400000000000002E-2</v>
      </c>
      <c r="Z71" s="64">
        <f t="shared" si="9"/>
        <v>23.329899999999999</v>
      </c>
      <c r="AA71" s="64">
        <f t="shared" si="10"/>
        <v>23.285499999999999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0159-23</v>
      </c>
      <c r="AE71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71" s="84" t="str">
        <f t="shared" si="13"/>
        <v>"C:\Program Files (x86)\AstroGrep\AstroGrep.exe" /spath="%USERPROFILE%\AppData\Local\Temp\OnboardLogs" /stypes="app*4025*20170123*"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159-23 --locoid 4025 --swversion DE.1.0.8.0 --startMP 204:444 --initTime 2017-01-23T10:52:12 --startdatetime 2017-01-23T11:00:20 --delay 1 --endMP 204:233299 --enddatetime 2017-01-23T11:36:55 --enforcementcount 0 &gt;&gt;C:\Users\stu\Documents\GitHub\eaglep3-reporting\EC\2017-01-23-refined-times.txt</v>
      </c>
      <c r="AI7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ID","value":"159-23"},{"id":16,"name":"Locomotive ID","value":"4025"},{"id":130,"name":"Impact","value":""},{"id":150,"name":"Time of Event (Mountain Time)","value":"11:36:55"},{"id":151,"name":"Denver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4025 --day 2017-01-23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553</v>
      </c>
      <c r="B72" s="7">
        <v>4026</v>
      </c>
      <c r="C72" s="22" t="s">
        <v>196</v>
      </c>
      <c r="D72" s="22" t="s">
        <v>353</v>
      </c>
      <c r="E72" s="13">
        <v>42758.493298611109</v>
      </c>
      <c r="F72" s="13">
        <v>42758.497384259259</v>
      </c>
      <c r="G72" s="7">
        <v>2</v>
      </c>
      <c r="H72" s="22" t="s">
        <v>216</v>
      </c>
      <c r="I72" s="13">
        <v>42758.529328703706</v>
      </c>
      <c r="J72" s="7">
        <v>0</v>
      </c>
      <c r="K72" s="105" t="str">
        <f t="shared" si="0"/>
        <v>4025/4026</v>
      </c>
      <c r="L72" s="22" t="str">
        <f>VLOOKUP(A72,'Trips&amp;Operators'!$C$1:$G$99999,5,FALSE)</f>
        <v>STEWART MICHAEL</v>
      </c>
      <c r="M72" s="6">
        <f t="shared" si="1"/>
        <v>3.1944444446708076E-2</v>
      </c>
      <c r="N72" s="7">
        <f t="shared" si="2"/>
        <v>46.000000003259629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-23T10:50:21-0700',mode:absolute,to:'2017-01-23T13:42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23.2988</v>
      </c>
      <c r="Z72" s="64">
        <f t="shared" si="9"/>
        <v>1.6E-2</v>
      </c>
      <c r="AA72" s="64">
        <f t="shared" si="10"/>
        <v>23.282800000000002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0160-23</v>
      </c>
      <c r="AE72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72" s="84" t="str">
        <f t="shared" si="13"/>
        <v>"C:\Program Files (x86)\AstroGrep\AstroGrep.exe" /spath="%USERPROFILE%\AppData\Local\Temp\OnboardLogs" /stypes="app*4026*20170123*"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160-23 --locoid 4026 --swversion DE.1.0.8.0 --startMP 204:232988 --initTime 2017-01-23T11:50:21 --startdatetime 2017-01-23T11:56:14 --delay 2 --endMP 204:160 --enddatetime 2017-01-23T12:42:14 --enforcementcount 0 &gt;&gt;C:\Users\stu\Documents\GitHub\eaglep3-reporting\EC\2017-01-23-refined-times.txt</v>
      </c>
      <c r="AI7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ID","value":"160-23"},{"id":16,"name":"Locomotive ID","value":"4026"},{"id":130,"name":"Impact","value":""},{"id":150,"name":"Time of Event (Mountain Time)","value":"12:42:14"},{"id":151,"name":"Denver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4026 --day 2017-01-23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542</v>
      </c>
      <c r="B73" s="7">
        <v>4029</v>
      </c>
      <c r="C73" s="22" t="s">
        <v>196</v>
      </c>
      <c r="D73" s="22" t="s">
        <v>274</v>
      </c>
      <c r="E73" s="13">
        <v>42758.465567129628</v>
      </c>
      <c r="F73" s="13">
        <v>42758.468958333331</v>
      </c>
      <c r="G73" s="7">
        <v>2</v>
      </c>
      <c r="H73" s="22" t="s">
        <v>702</v>
      </c>
      <c r="I73" s="13">
        <v>42758.494259259256</v>
      </c>
      <c r="J73" s="7">
        <v>0</v>
      </c>
      <c r="K73" s="105" t="str">
        <f t="shared" si="0"/>
        <v>4029/4030</v>
      </c>
      <c r="L73" s="22" t="str">
        <f>VLOOKUP(A73,'Trips&amp;Operators'!$C$1:$G$99999,5,FALSE)</f>
        <v>BERLING GARY</v>
      </c>
      <c r="M73" s="6">
        <f t="shared" si="1"/>
        <v>2.5300925924966577E-2</v>
      </c>
      <c r="N73" s="7">
        <f t="shared" si="2"/>
        <v>36.433333331951872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-23T10:10:25-0700',mode:absolute,to:'2017-01-23T12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4.5999999999999999E-2</v>
      </c>
      <c r="Z73" s="64">
        <f t="shared" si="9"/>
        <v>23.3338</v>
      </c>
      <c r="AA73" s="64">
        <f t="shared" si="10"/>
        <v>23.287800000000001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0161-23</v>
      </c>
      <c r="AE73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73" s="84" t="str">
        <f t="shared" si="13"/>
        <v>"C:\Program Files (x86)\AstroGrep\AstroGrep.exe" /spath="%USERPROFILE%\AppData\Local\Temp\OnboardLogs" /stypes="app*4029*20170123*"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161-23 --locoid 4029 --swversion DE.1.0.8.0 --startMP 204:460 --initTime 2017-01-23T11:10:25 --startdatetime 2017-01-23T11:15:18 --delay 2 --endMP 204:233338 --enddatetime 2017-01-23T11:51:44 --enforcementcount 0 &gt;&gt;C:\Users\stu\Documents\GitHub\eaglep3-reporting\EC\2017-01-23-refined-times.txt</v>
      </c>
      <c r="AI7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{"issue":{"subject":"","project_id":79,"tracker_id":40,"status_id":1,"priority_id":2,"assigned_to_id":23,"start_date":"2017-01-23","description":"","custom_fields":[{"id":1,"name":"Subdivision","value":"EC"},{"id":4,"name":"Milepost","value":"23.3338"},{"id":17,"name":"Train ID","value":"161-23"},{"id":16,"name":"Locomotive ID","value":"4029"},{"id":130,"name":"Impact","value":""},{"id":150,"name":"Time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4029 --day 2017-01-23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555</v>
      </c>
      <c r="B74" s="7">
        <v>4030</v>
      </c>
      <c r="C74" s="22" t="s">
        <v>196</v>
      </c>
      <c r="D74" s="22" t="s">
        <v>395</v>
      </c>
      <c r="E74" s="13">
        <v>42758.499745370369</v>
      </c>
      <c r="F74" s="13">
        <v>42758.508009259262</v>
      </c>
      <c r="G74" s="7">
        <v>1</v>
      </c>
      <c r="H74" s="22" t="s">
        <v>686</v>
      </c>
      <c r="I74" s="13">
        <v>42758.535624999997</v>
      </c>
      <c r="J74" s="7">
        <v>0</v>
      </c>
      <c r="K74" s="105" t="str">
        <f t="shared" si="0"/>
        <v>4029/4030</v>
      </c>
      <c r="L74" s="22" t="str">
        <f>VLOOKUP(A74,'Trips&amp;Operators'!$C$1:$G$99999,5,FALSE)</f>
        <v>BERLING GARY</v>
      </c>
      <c r="M74" s="6">
        <f t="shared" si="1"/>
        <v>2.7615740735200234E-2</v>
      </c>
      <c r="N74" s="7">
        <f t="shared" si="2"/>
        <v>39.766666658688337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-23T10:59:38-0700',mode:absolute,to:'2017-01-23T13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23.302700000000002</v>
      </c>
      <c r="Z74" s="64">
        <f t="shared" si="9"/>
        <v>1.29E-2</v>
      </c>
      <c r="AA74" s="64">
        <f t="shared" si="10"/>
        <v>23.289800000000003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0162-23</v>
      </c>
      <c r="AE74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74" s="84" t="str">
        <f t="shared" si="13"/>
        <v>"C:\Program Files (x86)\AstroGrep\AstroGrep.exe" /spath="%USERPROFILE%\AppData\Local\Temp\OnboardLogs" /stypes="app*4030*20170123*"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162-23 --locoid 4030 --swversion DE.1.0.8.0 --startMP 204:233027 --initTime 2017-01-23T11:59:38 --startdatetime 2017-01-23T12:11:32 --delay 1 --endMP 204:129 --enddatetime 2017-01-23T12:51:18 --enforcementcount 0 &gt;&gt;C:\Users\stu\Documents\GitHub\eaglep3-reporting\EC\2017-01-23-refined-times.txt</v>
      </c>
      <c r="AI7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ID","value":"162-23"},{"id":16,"name":"Locomotive ID","value":"4030"},{"id":130,"name":"Impact","value":""},{"id":150,"name":"Time of Event (Mountain Time)","value":"12:51:18"},{"id":151,"name":"Denver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4030 --day 2017-01-23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546</v>
      </c>
      <c r="B75" s="7">
        <v>4022</v>
      </c>
      <c r="C75" s="22" t="s">
        <v>196</v>
      </c>
      <c r="D75" s="22" t="s">
        <v>261</v>
      </c>
      <c r="E75" s="13">
        <v>42758.47383101852</v>
      </c>
      <c r="F75" s="13">
        <v>42758.479351851849</v>
      </c>
      <c r="G75" s="7">
        <v>1</v>
      </c>
      <c r="H75" s="22" t="s">
        <v>259</v>
      </c>
      <c r="I75" s="13">
        <v>42758.510266203702</v>
      </c>
      <c r="J75" s="7">
        <v>0</v>
      </c>
      <c r="K75" s="105" t="str">
        <f t="shared" si="0"/>
        <v>4021/4022</v>
      </c>
      <c r="L75" s="22" t="str">
        <f>VLOOKUP(A75,'Trips&amp;Operators'!$C$1:$G$99999,5,FALSE)</f>
        <v>CLARK KATHLEEN</v>
      </c>
      <c r="M75" s="6">
        <f t="shared" si="1"/>
        <v>3.0914351853425615E-2</v>
      </c>
      <c r="N75" s="7">
        <f t="shared" si="2"/>
        <v>44.516666668932885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-23T10:22:19-0700',mode:absolute,to:'2017-01-23T13:14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4.3999999999999997E-2</v>
      </c>
      <c r="Z75" s="64">
        <f t="shared" si="9"/>
        <v>23.329499999999999</v>
      </c>
      <c r="AA75" s="64">
        <f t="shared" si="10"/>
        <v>23.285499999999999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0163-23</v>
      </c>
      <c r="AE75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75" s="84" t="str">
        <f t="shared" si="13"/>
        <v>"C:\Program Files (x86)\AstroGrep\AstroGrep.exe" /spath="%USERPROFILE%\AppData\Local\Temp\OnboardLogs" /stypes="app*4022*20170123*"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163-23 --locoid 4022 --swversion DE.1.0.8.0 --startMP 204:440 --initTime 2017-01-23T11:22:19 --startdatetime 2017-01-23T11:30:16 --delay 1 --endMP 204:233295 --enddatetime 2017-01-23T12:14:47 --enforcementcount 0 &gt;&gt;C:\Users\stu\Documents\GitHub\eaglep3-reporting\EC\2017-01-23-refined-times.txt</v>
      </c>
      <c r="AI7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ID","value":"163-23"},{"id":16,"name":"Locomotive ID","value":"4022"},{"id":130,"name":"Impact","value":""},{"id":150,"name":"Time of Event (Mountain Time)","value":"12:14:47"},{"id":151,"name":"Denver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4022 --day 2017-01-23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440</v>
      </c>
      <c r="B76" s="7">
        <v>4021</v>
      </c>
      <c r="C76" s="22" t="s">
        <v>196</v>
      </c>
      <c r="D76" s="22" t="s">
        <v>703</v>
      </c>
      <c r="E76" s="13">
        <v>42758.514699074076</v>
      </c>
      <c r="F76" s="13">
        <v>42758.518229166664</v>
      </c>
      <c r="G76" s="7">
        <v>1</v>
      </c>
      <c r="H76" s="22" t="s">
        <v>704</v>
      </c>
      <c r="I76" s="13">
        <v>42758.547824074078</v>
      </c>
      <c r="J76" s="7">
        <v>0</v>
      </c>
      <c r="K76" s="105" t="str">
        <f t="shared" si="0"/>
        <v>4021/4022</v>
      </c>
      <c r="L76" s="22" t="str">
        <f>VLOOKUP(A76,'Trips&amp;Operators'!$C$1:$G$99999,5,FALSE)</f>
        <v>CLARK KATHLEEN</v>
      </c>
      <c r="M76" s="6">
        <f t="shared" si="1"/>
        <v>2.959490741341142E-2</v>
      </c>
      <c r="N76" s="7">
        <f t="shared" si="2"/>
        <v>42.616666675312445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-23T11:21:10-0700',mode:absolute,to:'2017-01-23T14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23.296900000000001</v>
      </c>
      <c r="Z76" s="64">
        <f t="shared" si="9"/>
        <v>1.9800000000000002E-2</v>
      </c>
      <c r="AA76" s="64">
        <f t="shared" si="10"/>
        <v>23.277100000000001</v>
      </c>
      <c r="AB76" s="61" t="str">
        <f>VLOOKUP(A76,Enforcements!$C$7:$K$16,8,0)</f>
        <v>Form based authority (4)</v>
      </c>
      <c r="AC76" s="57" t="str">
        <f>VLOOKUP(A76,Enforcements!$C$7:$E$16,3,0)</f>
        <v>TRACK WARRANT AUTHORITY</v>
      </c>
      <c r="AD76" s="58" t="str">
        <f t="shared" si="11"/>
        <v>0164-23</v>
      </c>
      <c r="AE76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76" s="84" t="str">
        <f t="shared" si="13"/>
        <v>"C:\Program Files (x86)\AstroGrep\AstroGrep.exe" /spath="%USERPROFILE%\AppData\Local\Temp\OnboardLogs" /stypes="app*4021*20170123*"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164-23 --locoid 4021 --swversion DE.1.0.8.0 --startMP 204:232969 --initTime 2017-01-23T12:21:10 --startdatetime 2017-01-23T12:26:15 --delay 1 --endMP 204:198 --enddatetime 2017-01-23T13:08:52 --enforcementcount 0 &gt;&gt;C:\Users\stu\Documents\GitHub\eaglep3-reporting\EC\2017-01-23-refined-times.txt</v>
      </c>
      <c r="AI7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{"issue":{"subject":"","project_id":79,"tracker_id":40,"status_id":1,"priority_id":2,"assigned_to_id":23,"start_date":"2017-01-23","description":"","custom_fields":[{"id":1,"name":"Subdivision","value":"EC"},{"id":4,"name":"Milepost","value":"0.0198"},{"id":17,"name":"Train ID","value":"164-23"},{"id":16,"name":"Locomotive ID","value":"4021"},{"id":130,"name":"Impact","value":""},{"id":150,"name":"Time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4021 --day 2017-01-23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552</v>
      </c>
      <c r="B77" s="7">
        <v>4046</v>
      </c>
      <c r="C77" s="22" t="s">
        <v>196</v>
      </c>
      <c r="D77" s="22" t="s">
        <v>261</v>
      </c>
      <c r="E77" s="13">
        <v>42758.487685185188</v>
      </c>
      <c r="F77" s="13">
        <v>42758.489745370367</v>
      </c>
      <c r="G77" s="7">
        <v>1</v>
      </c>
      <c r="H77" s="22" t="s">
        <v>387</v>
      </c>
      <c r="I77" s="13">
        <v>42758.516770833332</v>
      </c>
      <c r="J77" s="7">
        <v>0</v>
      </c>
      <c r="K77" s="105" t="str">
        <f t="shared" ref="K77:K140" si="21">IF(ISEVEN(B77),(B77-1)&amp;"/"&amp;B77,B77&amp;"/"&amp;(B77+1))</f>
        <v>4045/4046</v>
      </c>
      <c r="L77" s="22" t="str">
        <f>VLOOKUP(A77,'Trips&amp;Operators'!$C$1:$G$99999,5,FALSE)</f>
        <v>ROMERO CHAD</v>
      </c>
      <c r="M77" s="6">
        <f t="shared" ref="M77:M140" si="22">I77-F77</f>
        <v>2.7025462964957114E-2</v>
      </c>
      <c r="N77" s="7">
        <f t="shared" ref="N77:P140" si="23">24*60*SUM($M77:$M77)</f>
        <v>38.916666669538245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-23T10:42:16-0700',mode:absolute,to:'2017-01-23T13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7" s="49" t="str">
        <f t="shared" ref="W77:W140" si="27">IF(AA77&lt;IF(AG77="EC",23,5.65),"Y","N")</f>
        <v>N</v>
      </c>
      <c r="X77" s="170">
        <f t="shared" ref="X77:X140" si="28">VALUE(LEFT(AD77,4))-VALUE(LEFT(AD76,4))</f>
        <v>1</v>
      </c>
      <c r="Y77" s="64">
        <f t="shared" ref="Y77:Y140" si="29">RIGHT(D77,LEN(D77)-4)/10000</f>
        <v>4.3999999999999997E-2</v>
      </c>
      <c r="Z77" s="64">
        <f t="shared" ref="Z77:Z140" si="30">RIGHT(H77,LEN(H77)-4)/10000</f>
        <v>23.332100000000001</v>
      </c>
      <c r="AA77" s="64">
        <f t="shared" ref="AA77:AA140" si="31">ABS(Z77-Y77)</f>
        <v>23.2881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2">IF(LEN(A77)=6,"0"&amp;A77,A77)</f>
        <v>0165-23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/stypes="app*4046*20170123*"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165-23 --locoid 4046 --swversion DE.1.0.8.0 --startMP 204:440 --initTime 2017-01-23T11:42:16 --startdatetime 2017-01-23T11:45:14 --delay 1 --endMP 204:233321 --enddatetime 2017-01-23T12:24:09 --enforcementcount 0 &gt;&gt;C:\Users\stu\Documents\GitHub\eaglep3-reporting\EC\2017-01-23-refined-times.txt</v>
      </c>
      <c r="AI7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{"issue":{"subject":"","project_id":79,"tracker_id":40,"status_id":1,"priority_id":2,"assigned_to_id":23,"start_date":"2017-01-23","description":"","custom_fields":[{"id":1,"name":"Subdivision","value":"EC"},{"id":4,"name":"Milepost","value":"23.3321"},{"id":17,"name":"Train ID","value":"165-23"},{"id":16,"name":"Locomotive ID","value":"4046"},{"id":130,"name":"Impact","value":""},{"id":150,"name":"Time of Event (Mountain Time)","value":"12:24:09"},{"id":151,"name":"Denver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4046 --day 2017-01-23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560</v>
      </c>
      <c r="B78" s="7">
        <v>4045</v>
      </c>
      <c r="C78" s="22" t="s">
        <v>196</v>
      </c>
      <c r="D78" s="22" t="s">
        <v>705</v>
      </c>
      <c r="E78" s="13">
        <v>42758.518541666665</v>
      </c>
      <c r="F78" s="13">
        <v>42758.528622685182</v>
      </c>
      <c r="G78" s="7">
        <v>2</v>
      </c>
      <c r="H78" s="22" t="s">
        <v>186</v>
      </c>
      <c r="I78" s="13">
        <v>42758.554502314815</v>
      </c>
      <c r="J78" s="7">
        <v>0</v>
      </c>
      <c r="K78" s="105" t="str">
        <f t="shared" si="21"/>
        <v>4045/4046</v>
      </c>
      <c r="L78" s="22" t="str">
        <f>VLOOKUP(A78,'Trips&amp;Operators'!$C$1:$G$99999,5,FALSE)</f>
        <v>ROMERO CHAD</v>
      </c>
      <c r="M78" s="6">
        <f t="shared" si="22"/>
        <v>2.587962963298196E-2</v>
      </c>
      <c r="N78" s="7">
        <f t="shared" si="23"/>
        <v>37.266666671494022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-23T11:26:42-0700',mode:absolute,to:'2017-01-23T14:18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23.300999999999998</v>
      </c>
      <c r="Z78" s="64">
        <f t="shared" si="30"/>
        <v>1.49E-2</v>
      </c>
      <c r="AA78" s="64">
        <f t="shared" si="31"/>
        <v>23.286099999999998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2"/>
        <v>0166-23</v>
      </c>
      <c r="AE78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78" s="84" t="str">
        <f t="shared" si="34"/>
        <v>"C:\Program Files (x86)\AstroGrep\AstroGrep.exe" /spath="%USERPROFILE%\AppData\Local\Temp\OnboardLogs" /stypes="app*4045*20170123*"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4045 --swversion DE.1.0.8.0 --startMP 204:233010 --initTime 2017-01-23T12:26:42 --startdatetime 2017-01-23T12:41:13 --delay 2 --endMP 204:149 --enddatetime 2017-01-23T13:18:29 --enforcementcount 0 &gt;&gt;C:\Users\stu\Documents\GitHub\eaglep3-reporting\EC\2017-01-23-refined-times.txt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ID","value":"166-23"},{"id":16,"name":"Locomotive ID","value":"4045"},{"id":130,"name":"Impact","value":""},{"id":150,"name":"Time of Event (Mountain Time)","value":"13:18:29"},{"id":151,"name":"Denver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8">"start /low /b "&amp;dls3logs&amp;" --loco "&amp;B78&amp;" --day "&amp;TEXT(F78,"YYYY-MM-DD")</f>
        <v>start /low /b %USERPROFILE%\Documents\GitHub\eaglep3\Utilities\DownloadLogsFromS3.py --loco 4045 --day 2017-01-23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554</v>
      </c>
      <c r="B79" s="7">
        <v>4016</v>
      </c>
      <c r="C79" s="22" t="s">
        <v>196</v>
      </c>
      <c r="D79" s="22" t="s">
        <v>205</v>
      </c>
      <c r="E79" s="13">
        <v>42758.499016203707</v>
      </c>
      <c r="F79" s="13">
        <v>42758.500393518516</v>
      </c>
      <c r="G79" s="7">
        <v>1</v>
      </c>
      <c r="H79" s="22" t="s">
        <v>396</v>
      </c>
      <c r="I79" s="13">
        <v>42758.527280092596</v>
      </c>
      <c r="J79" s="7">
        <v>0</v>
      </c>
      <c r="K79" s="105" t="str">
        <f t="shared" si="21"/>
        <v>4015/4016</v>
      </c>
      <c r="L79" s="22" t="str">
        <f>VLOOKUP(A79,'Trips&amp;Operators'!$C$1:$G$99999,5,FALSE)</f>
        <v>CRAYTON QUNTRELL</v>
      </c>
      <c r="M79" s="6">
        <f t="shared" si="22"/>
        <v>2.6886574079981074E-2</v>
      </c>
      <c r="N79" s="7">
        <f t="shared" si="23"/>
        <v>38.716666675172746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-23T10:58:35-0700',mode:absolute,to:'2017-01-23T13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4.5499999999999999E-2</v>
      </c>
      <c r="Z79" s="64">
        <f t="shared" si="30"/>
        <v>23.330500000000001</v>
      </c>
      <c r="AA79" s="64">
        <f t="shared" si="31"/>
        <v>23.285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32"/>
        <v>0167-23</v>
      </c>
      <c r="AE79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79" s="84" t="str">
        <f t="shared" si="34"/>
        <v>"C:\Program Files (x86)\AstroGrep\AstroGrep.exe" /spath="%USERPROFILE%\AppData\Local\Temp\OnboardLogs" /stypes="app*4016*20170123*"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167-23 --locoid 4016 --swversion DE.1.0.8.0 --startMP 204:455 --initTime 2017-01-23T11:58:35 --startdatetime 2017-01-23T12:00:34 --delay 1 --endMP 204:233305 --enddatetime 2017-01-23T12:39:17 --enforcementcount 0 &gt;&gt;C:\Users\stu\Documents\GitHub\eaglep3-reporting\EC\2017-01-23-refined-times.txt</v>
      </c>
      <c r="AI7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{"issue":{"subject":"","project_id":79,"tracker_id":40,"status_id":1,"priority_id":2,"assigned_to_id":23,"start_date":"2017-01-23","description":"","custom_fields":[{"id":1,"name":"Subdivision","value":"EC"},{"id":4,"name":"Milepost","value":"23.3305"},{"id":17,"name":"Train ID","value":"167-23"},{"id":16,"name":"Locomotive ID","value":"4016"},{"id":130,"name":"Impact","value":""},{"id":150,"name":"Time of Event (Mountain Time)","value":"12:39:17"},{"id":151,"name":"Denver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4016 --day 2017-01-23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564</v>
      </c>
      <c r="B80" s="7">
        <v>4015</v>
      </c>
      <c r="C80" s="22" t="s">
        <v>196</v>
      </c>
      <c r="D80" s="22" t="s">
        <v>706</v>
      </c>
      <c r="E80" s="13">
        <v>42758.534583333334</v>
      </c>
      <c r="F80" s="13">
        <v>42758.539363425924</v>
      </c>
      <c r="G80" s="7">
        <v>1</v>
      </c>
      <c r="H80" s="22" t="s">
        <v>308</v>
      </c>
      <c r="I80" s="13">
        <v>42758.565694444442</v>
      </c>
      <c r="J80" s="7">
        <v>0</v>
      </c>
      <c r="K80" s="105" t="str">
        <f t="shared" si="21"/>
        <v>4015/4016</v>
      </c>
      <c r="L80" s="22" t="str">
        <f>VLOOKUP(A80,'Trips&amp;Operators'!$C$1:$G$99999,5,FALSE)</f>
        <v>CRAYTON QUNTRELL</v>
      </c>
      <c r="M80" s="6">
        <f t="shared" si="22"/>
        <v>2.6331018518249039E-2</v>
      </c>
      <c r="N80" s="7">
        <f t="shared" si="23"/>
        <v>37.916666666278616</v>
      </c>
      <c r="O80" s="7"/>
      <c r="P80" s="7"/>
      <c r="Q80" s="23"/>
      <c r="R80" s="23"/>
      <c r="S80" s="32">
        <f t="shared" si="24"/>
        <v>1</v>
      </c>
      <c r="T80" s="47" t="str">
        <f t="shared" si="2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-23T11:49:48-0700',mode:absolute,to:'2017-01-23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23.299399999999999</v>
      </c>
      <c r="Z80" s="64">
        <f t="shared" si="30"/>
        <v>1.67E-2</v>
      </c>
      <c r="AA80" s="64">
        <f t="shared" si="31"/>
        <v>23.282699999999998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2"/>
        <v>0168-23</v>
      </c>
      <c r="AE80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80" s="84" t="str">
        <f t="shared" si="34"/>
        <v>"C:\Program Files (x86)\AstroGrep\AstroGrep.exe" /spath="%USERPROFILE%\AppData\Local\Temp\OnboardLogs" /stypes="app*4015*20170123*"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168-23 --locoid 4015 --swversion DE.1.0.8.0 --startMP 204:232994 --initTime 2017-01-23T12:49:48 --startdatetime 2017-01-23T12:56:41 --delay 1 --endMP 204:167 --enddatetime 2017-01-23T13:34:36 --enforcementcount 0 &gt;&gt;C:\Users\stu\Documents\GitHub\eaglep3-reporting\EC\2017-01-23-refined-times.txt</v>
      </c>
      <c r="AI8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ID","value":"168-23"},{"id":16,"name":"Locomotive ID","value":"4015"},{"id":130,"name":"Impact","value":""},{"id":150,"name":"Time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4015 --day 2017-01-23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558</v>
      </c>
      <c r="B81" s="7">
        <v>4009</v>
      </c>
      <c r="C81" s="22" t="s">
        <v>196</v>
      </c>
      <c r="D81" s="22" t="s">
        <v>258</v>
      </c>
      <c r="E81" s="13">
        <v>42758.509953703702</v>
      </c>
      <c r="F81" s="13">
        <v>42758.511782407404</v>
      </c>
      <c r="G81" s="7">
        <v>1</v>
      </c>
      <c r="H81" s="22" t="s">
        <v>707</v>
      </c>
      <c r="I81" s="13">
        <v>42758.537268518521</v>
      </c>
      <c r="J81" s="7">
        <v>0</v>
      </c>
      <c r="K81" s="105" t="str">
        <f t="shared" si="21"/>
        <v>4009/4010</v>
      </c>
      <c r="L81" s="22" t="str">
        <f>VLOOKUP(A81,'Trips&amp;Operators'!$C$1:$G$99999,5,FALSE)</f>
        <v>LEVERE CRAIG</v>
      </c>
      <c r="M81" s="6">
        <f t="shared" si="22"/>
        <v>2.5486111117061228E-2</v>
      </c>
      <c r="N81" s="7">
        <f t="shared" si="23"/>
        <v>36.700000008568168</v>
      </c>
      <c r="O81" s="7"/>
      <c r="P81" s="7"/>
      <c r="Q81" s="23"/>
      <c r="R81" s="23"/>
      <c r="S81" s="32">
        <f t="shared" si="24"/>
        <v>1</v>
      </c>
      <c r="T81" s="47" t="str">
        <f t="shared" si="2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-23T11:14:20-0700',mode:absolute,to:'2017-01-23T13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49" t="str">
        <f t="shared" si="27"/>
        <v>N</v>
      </c>
      <c r="X81" s="170">
        <f t="shared" si="28"/>
        <v>1</v>
      </c>
      <c r="Y81" s="64">
        <f t="shared" si="29"/>
        <v>4.6600000000000003E-2</v>
      </c>
      <c r="Z81" s="64">
        <f t="shared" si="30"/>
        <v>23.331700000000001</v>
      </c>
      <c r="AA81" s="64">
        <f t="shared" si="31"/>
        <v>23.2851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2"/>
        <v>0169-23</v>
      </c>
      <c r="AE81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81" s="84" t="str">
        <f t="shared" si="34"/>
        <v>"C:\Program Files (x86)\AstroGrep\AstroGrep.exe" /spath="%USERPROFILE%\AppData\Local\Temp\OnboardLogs" /stypes="app*4009*20170123*"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169-23 --locoid 4009 --swversion DE.1.0.8.0 --startMP 204:466 --initTime 2017-01-23T12:14:20 --startdatetime 2017-01-23T12:16:58 --delay 1 --endMP 204:233317 --enddatetime 2017-01-23T12:53:40 --enforcementcount 0 &gt;&gt;C:\Users\stu\Documents\GitHub\eaglep3-reporting\EC\2017-01-23-refined-times.txt</v>
      </c>
      <c r="AI8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{"issue":{"subject":"","project_id":79,"tracker_id":40,"status_id":1,"priority_id":2,"assigned_to_id":23,"start_date":"2017-01-23","description":"","custom_fields":[{"id":1,"name":"Subdivision","value":"EC"},{"id":4,"name":"Milepost","value":"23.3317"},{"id":17,"name":"Train ID","value":"169-23"},{"id":16,"name":"Locomotive ID","value":"4009"},{"id":130,"name":"Impact","value":""},{"id":150,"name":"Time of Event (Mountain Time)","value":"12:53:40"},{"id":151,"name":"Denver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4009 --day 2017-01-23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566</v>
      </c>
      <c r="B82" s="7">
        <v>4010</v>
      </c>
      <c r="C82" s="22" t="s">
        <v>196</v>
      </c>
      <c r="D82" s="22" t="s">
        <v>706</v>
      </c>
      <c r="E82" s="13">
        <v>42758.543356481481</v>
      </c>
      <c r="F82" s="13">
        <v>42758.549490740741</v>
      </c>
      <c r="G82" s="7">
        <v>1</v>
      </c>
      <c r="H82" s="22" t="s">
        <v>222</v>
      </c>
      <c r="I82" s="13">
        <v>42758.576956018522</v>
      </c>
      <c r="J82" s="7">
        <v>0</v>
      </c>
      <c r="K82" s="105" t="str">
        <f t="shared" si="21"/>
        <v>4009/4010</v>
      </c>
      <c r="L82" s="22" t="str">
        <f>VLOOKUP(A82,'Trips&amp;Operators'!$C$1:$G$99999,5,FALSE)</f>
        <v>LEVERE CRAIG</v>
      </c>
      <c r="M82" s="6">
        <f t="shared" si="22"/>
        <v>2.7465277780720498E-2</v>
      </c>
      <c r="N82" s="7">
        <f t="shared" si="23"/>
        <v>39.550000004237518</v>
      </c>
      <c r="O82" s="7"/>
      <c r="P82" s="7"/>
      <c r="Q82" s="23"/>
      <c r="R82" s="23"/>
      <c r="S82" s="32">
        <f t="shared" si="24"/>
        <v>1</v>
      </c>
      <c r="T82" s="47" t="str">
        <f t="shared" si="25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-23T12:02:26-0700',mode:absolute,to:'2017-01-23T14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49" t="str">
        <f t="shared" si="27"/>
        <v>N</v>
      </c>
      <c r="X82" s="170">
        <f t="shared" si="28"/>
        <v>1</v>
      </c>
      <c r="Y82" s="64">
        <f t="shared" si="29"/>
        <v>23.299399999999999</v>
      </c>
      <c r="Z82" s="64">
        <f t="shared" si="30"/>
        <v>1.5800000000000002E-2</v>
      </c>
      <c r="AA82" s="64">
        <f t="shared" si="31"/>
        <v>23.2836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2"/>
        <v>0170-23</v>
      </c>
      <c r="AE82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82" s="84" t="str">
        <f t="shared" si="34"/>
        <v>"C:\Program Files (x86)\AstroGrep\AstroGrep.exe" /spath="%USERPROFILE%\AppData\Local\Temp\OnboardLogs" /stypes="app*4010*20170123*"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170-23 --locoid 4010 --swversion DE.1.0.8.0 --startMP 204:232994 --initTime 2017-01-23T13:02:26 --startdatetime 2017-01-23T13:11:16 --delay 1 --endMP 204:158 --enddatetime 2017-01-23T13:50:49 --enforcementcount 0 &gt;&gt;C:\Users\stu\Documents\GitHub\eaglep3-reporting\EC\2017-01-23-refined-times.txt</v>
      </c>
      <c r="AI8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ID","value":"170-23"},{"id":16,"name":"Locomotive ID","value":"4010"},{"id":130,"name":"Impact","value":""},{"id":150,"name":"Time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4010 --day 2017-01-23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561</v>
      </c>
      <c r="B83" s="7">
        <v>4011</v>
      </c>
      <c r="C83" s="22" t="s">
        <v>196</v>
      </c>
      <c r="D83" s="22" t="s">
        <v>217</v>
      </c>
      <c r="E83" s="13">
        <v>42758.519756944443</v>
      </c>
      <c r="F83" s="13">
        <v>42758.521319444444</v>
      </c>
      <c r="G83" s="7">
        <v>1</v>
      </c>
      <c r="H83" s="22" t="s">
        <v>242</v>
      </c>
      <c r="I83" s="13">
        <v>42758.546053240738</v>
      </c>
      <c r="J83" s="7">
        <v>0</v>
      </c>
      <c r="K83" s="105" t="str">
        <f t="shared" si="21"/>
        <v>4011/4012</v>
      </c>
      <c r="L83" s="22" t="str">
        <f>VLOOKUP(A83,'Trips&amp;Operators'!$C$1:$G$99999,5,FALSE)</f>
        <v>KILLION DAVID</v>
      </c>
      <c r="M83" s="6">
        <f t="shared" si="22"/>
        <v>2.4733796293730848E-2</v>
      </c>
      <c r="N83" s="7">
        <f t="shared" si="23"/>
        <v>35.61666666297242</v>
      </c>
      <c r="O83" s="7"/>
      <c r="P83" s="7"/>
      <c r="Q83" s="23"/>
      <c r="R83" s="23"/>
      <c r="S83" s="32">
        <f t="shared" si="24"/>
        <v>1</v>
      </c>
      <c r="T83" s="47" t="str">
        <f t="shared" si="25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-23T11:28:27-0700',mode:absolute,to:'2017-01-23T14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4.6199999999999998E-2</v>
      </c>
      <c r="Z83" s="64">
        <f t="shared" si="30"/>
        <v>23.329699999999999</v>
      </c>
      <c r="AA83" s="64">
        <f t="shared" si="31"/>
        <v>23.2835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2"/>
        <v>0171-23</v>
      </c>
      <c r="AE83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83" s="84" t="str">
        <f t="shared" si="34"/>
        <v>"C:\Program Files (x86)\AstroGrep\AstroGrep.exe" /spath="%USERPROFILE%\AppData\Local\Temp\OnboardLogs" /stypes="app*4011*20170123*"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171-23 --locoid 4011 --swversion DE.1.0.8.0 --startMP 204:462 --initTime 2017-01-23T12:28:27 --startdatetime 2017-01-23T12:30:42 --delay 1 --endMP 204:233297 --enddatetime 2017-01-23T13:06:19 --enforcementcount 0 &gt;&gt;C:\Users\stu\Documents\GitHub\eaglep3-reporting\EC\2017-01-23-refined-times.txt</v>
      </c>
      <c r="AI8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ID","value":"171-23"},{"id":16,"name":"Locomotive ID","value":"4011"},{"id":130,"name":"Impact","value":""},{"id":150,"name":"Time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4011 --day 2017-01-23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569</v>
      </c>
      <c r="B84" s="7">
        <v>4012</v>
      </c>
      <c r="C84" s="22" t="s">
        <v>196</v>
      </c>
      <c r="D84" s="22" t="s">
        <v>218</v>
      </c>
      <c r="E84" s="13">
        <v>42758.554652777777</v>
      </c>
      <c r="F84" s="13">
        <v>42758.559895833336</v>
      </c>
      <c r="G84" s="7">
        <v>1</v>
      </c>
      <c r="H84" s="22" t="s">
        <v>212</v>
      </c>
      <c r="I84" s="13">
        <v>42758.587361111109</v>
      </c>
      <c r="J84" s="7">
        <v>0</v>
      </c>
      <c r="K84" s="105" t="str">
        <f t="shared" si="21"/>
        <v>4011/4012</v>
      </c>
      <c r="L84" s="22" t="str">
        <f>VLOOKUP(A84,'Trips&amp;Operators'!$C$1:$G$99999,5,FALSE)</f>
        <v>KILLION DAVID</v>
      </c>
      <c r="M84" s="6">
        <f t="shared" si="22"/>
        <v>2.7465277773444541E-2</v>
      </c>
      <c r="N84" s="7">
        <f t="shared" si="23"/>
        <v>39.549999993760139</v>
      </c>
      <c r="O84" s="7"/>
      <c r="P84" s="7"/>
      <c r="Q84" s="23"/>
      <c r="R84" s="23"/>
      <c r="S84" s="32">
        <f t="shared" si="24"/>
        <v>1</v>
      </c>
      <c r="T84" s="47" t="str">
        <f t="shared" si="25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-23T12:18:42-0700',mode:absolute,to:'2017-01-23T15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23.2986</v>
      </c>
      <c r="Z84" s="64">
        <f t="shared" si="30"/>
        <v>1.47E-2</v>
      </c>
      <c r="AA84" s="64">
        <f t="shared" si="31"/>
        <v>23.283899999999999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2"/>
        <v>0172-23</v>
      </c>
      <c r="AE84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84" s="84" t="str">
        <f t="shared" si="34"/>
        <v>"C:\Program Files (x86)\AstroGrep\AstroGrep.exe" /spath="%USERPROFILE%\AppData\Local\Temp\OnboardLogs" /stypes="app*4012*20170123*"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172-23 --locoid 4012 --swversion DE.1.0.8.0 --startMP 204:232986 --initTime 2017-01-23T13:18:42 --startdatetime 2017-01-23T13:26:15 --delay 1 --endMP 204:147 --enddatetime 2017-01-23T14:05:48 --enforcementcount 0 &gt;&gt;C:\Users\stu\Documents\GitHub\eaglep3-reporting\EC\2017-01-23-refined-times.txt</v>
      </c>
      <c r="AI8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ID","value":"172-23"},{"id":16,"name":"Locomotive ID","value":"4012"},{"id":130,"name":"Impact","value":""},{"id":150,"name":"Time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4012 --day 2017-01-23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4" t="s">
        <v>563</v>
      </c>
      <c r="B85" s="7">
        <v>4025</v>
      </c>
      <c r="C85" s="22" t="s">
        <v>196</v>
      </c>
      <c r="D85" s="22" t="s">
        <v>689</v>
      </c>
      <c r="E85" s="13">
        <v>42758.530555555553</v>
      </c>
      <c r="F85" s="13">
        <v>42758.531898148147</v>
      </c>
      <c r="G85" s="7">
        <v>1</v>
      </c>
      <c r="H85" s="22" t="s">
        <v>708</v>
      </c>
      <c r="I85" s="13">
        <v>42758.556655092594</v>
      </c>
      <c r="J85" s="7">
        <v>0</v>
      </c>
      <c r="K85" s="105" t="str">
        <f t="shared" si="21"/>
        <v>4025/4026</v>
      </c>
      <c r="L85" s="22" t="str">
        <f>VLOOKUP(A85,'Trips&amp;Operators'!$C$1:$G$99999,5,FALSE)</f>
        <v>STEWART MICHAEL</v>
      </c>
      <c r="M85" s="6">
        <f t="shared" si="22"/>
        <v>2.4756944447290152E-2</v>
      </c>
      <c r="N85" s="7">
        <f t="shared" si="23"/>
        <v>35.650000004097819</v>
      </c>
      <c r="O85" s="7"/>
      <c r="P85" s="7"/>
      <c r="Q85" s="23"/>
      <c r="R85" s="23"/>
      <c r="S85" s="32">
        <f t="shared" si="24"/>
        <v>1</v>
      </c>
      <c r="T85" s="47" t="str">
        <f t="shared" si="25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-23T11:44:00-0700',mode:absolute,to:'2017-01-23T14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4.7699999999999999E-2</v>
      </c>
      <c r="Z85" s="64">
        <f t="shared" si="30"/>
        <v>23.333600000000001</v>
      </c>
      <c r="AA85" s="64">
        <f t="shared" si="31"/>
        <v>23.285900000000002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2"/>
        <v>0173-23</v>
      </c>
      <c r="AE85" s="87" t="str">
        <f t="shared" si="33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85" s="84" t="str">
        <f t="shared" si="34"/>
        <v>"C:\Program Files (x86)\AstroGrep\AstroGrep.exe" /spath="%USERPROFILE%\AppData\Local\Temp\OnboardLogs" /stypes="app*4025*20170123*"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173-23 --locoid 4025 --swversion DE.1.0.8.0 --startMP 204:477 --initTime 2017-01-23T12:44:00 --startdatetime 2017-01-23T12:45:56 --delay 1 --endMP 204:233336 --enddatetime 2017-01-23T13:21:35 --enforcementcount 0 &gt;&gt;C:\Users\stu\Documents\GitHub\eaglep3-reporting\EC\2017-01-23-refined-times.txt</v>
      </c>
      <c r="AI8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{"issue":{"subject":"","project_id":79,"tracker_id":40,"status_id":1,"priority_id":2,"assigned_to_id":23,"start_date":"2017-01-23","description":"","custom_fields":[{"id":1,"name":"Subdivision","value":"EC"},{"id":4,"name":"Milepost","value":"23.3336"},{"id":17,"name":"Train ID","value":"173-23"},{"id":16,"name":"Locomotive ID","value":"4025"},{"id":130,"name":"Impact","value":""},{"id":150,"name":"Time of Event (Mountain Time)","value":"13:21:35"},{"id":151,"name":"Denver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4025 --day 2017-01-23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</row>
    <row r="86" spans="1:91" x14ac:dyDescent="0.25">
      <c r="A86" s="34" t="s">
        <v>572</v>
      </c>
      <c r="B86" s="7">
        <v>4026</v>
      </c>
      <c r="C86" s="22" t="s">
        <v>196</v>
      </c>
      <c r="D86" s="22" t="s">
        <v>709</v>
      </c>
      <c r="E86" s="13">
        <v>42758.566851851851</v>
      </c>
      <c r="F86" s="13">
        <v>42758.570497685185</v>
      </c>
      <c r="G86" s="7">
        <v>1</v>
      </c>
      <c r="H86" s="22" t="s">
        <v>216</v>
      </c>
      <c r="I86" s="13">
        <v>42758.597118055557</v>
      </c>
      <c r="J86" s="7">
        <v>0</v>
      </c>
      <c r="K86" s="105" t="str">
        <f t="shared" si="21"/>
        <v>4025/4026</v>
      </c>
      <c r="L86" s="22" t="str">
        <f>VLOOKUP(A86,'Trips&amp;Operators'!$C$1:$G$99999,5,FALSE)</f>
        <v>STEWART MICHAEL</v>
      </c>
      <c r="M86" s="6">
        <f t="shared" si="22"/>
        <v>2.662037037225673E-2</v>
      </c>
      <c r="N86" s="7">
        <f t="shared" si="23"/>
        <v>38.333333336049691</v>
      </c>
      <c r="O86" s="7"/>
      <c r="P86" s="7"/>
      <c r="Q86" s="23"/>
      <c r="R86" s="23"/>
      <c r="S86" s="32">
        <f t="shared" si="24"/>
        <v>1</v>
      </c>
      <c r="T86" s="47" t="str">
        <f t="shared" si="25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-23T12:36:16-0700',mode:absolute,to:'2017-01-23T15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23.2974</v>
      </c>
      <c r="Z86" s="64">
        <f t="shared" si="30"/>
        <v>1.6E-2</v>
      </c>
      <c r="AA86" s="64">
        <f t="shared" si="31"/>
        <v>23.281400000000001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2"/>
        <v>0174-23</v>
      </c>
      <c r="AE86" s="87" t="str">
        <f t="shared" si="33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86" s="84" t="str">
        <f t="shared" si="34"/>
        <v>"C:\Program Files (x86)\AstroGrep\AstroGrep.exe" /spath="%USERPROFILE%\AppData\Local\Temp\OnboardLogs" /stypes="app*4026*20170123*"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174-23 --locoid 4026 --swversion DE.1.0.8.0 --startMP 204:232974 --initTime 2017-01-23T13:36:16 --startdatetime 2017-01-23T13:41:31 --delay 1 --endMP 204:160 --enddatetime 2017-01-23T14:19:51 --enforcementcount 0 &gt;&gt;C:\Users\stu\Documents\GitHub\eaglep3-reporting\EC\2017-01-23-refined-times.txt</v>
      </c>
      <c r="AI8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ID","value":"174-23"},{"id":16,"name":"Locomotive ID","value":"4026"},{"id":130,"name":"Impact","value":""},{"id":150,"name":"Time of Event (Mountain Time)","value":"14:19:51"},{"id":151,"name":"Denver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4026 --day 2017-01-23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</row>
    <row r="87" spans="1:91" s="21" customFormat="1" x14ac:dyDescent="0.25">
      <c r="A87" s="34" t="s">
        <v>565</v>
      </c>
      <c r="B87" s="7">
        <v>4029</v>
      </c>
      <c r="C87" s="22" t="s">
        <v>196</v>
      </c>
      <c r="D87" s="22" t="s">
        <v>270</v>
      </c>
      <c r="E87" s="13">
        <v>42758.538055555553</v>
      </c>
      <c r="F87" s="13">
        <v>42758.541990740741</v>
      </c>
      <c r="G87" s="7">
        <v>3</v>
      </c>
      <c r="H87" s="22" t="s">
        <v>242</v>
      </c>
      <c r="I87" s="13">
        <v>42758.567847222221</v>
      </c>
      <c r="J87" s="7">
        <v>0</v>
      </c>
      <c r="K87" s="105" t="str">
        <f t="shared" si="21"/>
        <v>4029/4030</v>
      </c>
      <c r="L87" s="22" t="str">
        <f>VLOOKUP(A87,'Trips&amp;Operators'!$C$1:$G$99999,5,FALSE)</f>
        <v>DAVIS MICHAEL</v>
      </c>
      <c r="M87" s="6">
        <f t="shared" si="22"/>
        <v>2.5856481479422655E-2</v>
      </c>
      <c r="N87" s="7">
        <f t="shared" si="23"/>
        <v>37.233333330368623</v>
      </c>
      <c r="O87" s="7"/>
      <c r="P87" s="7"/>
      <c r="Q87" s="23"/>
      <c r="R87" s="23"/>
      <c r="S87" s="32">
        <f t="shared" si="24"/>
        <v>1</v>
      </c>
      <c r="T87" s="47" t="str">
        <f t="shared" si="25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-23T11:54:48-0700',mode:absolute,to:'2017-01-23T14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4.5699999999999998E-2</v>
      </c>
      <c r="Z87" s="64">
        <f t="shared" si="30"/>
        <v>23.329699999999999</v>
      </c>
      <c r="AA87" s="64">
        <f t="shared" si="31"/>
        <v>23.283999999999999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2"/>
        <v>0175-23</v>
      </c>
      <c r="AE87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87" s="84" t="str">
        <f t="shared" si="34"/>
        <v>"C:\Program Files (x86)\AstroGrep\AstroGrep.exe" /spath="%USERPROFILE%\AppData\Local\Temp\OnboardLogs" /stypes="app*4029*20170123*"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175-23 --locoid 4029 --swversion DE.1.0.8.0 --startMP 204:457 --initTime 2017-01-23T12:54:48 --startdatetime 2017-01-23T13:00:28 --delay 3 --endMP 204:233297 --enddatetime 2017-01-23T13:37:42 --enforcementcount 0 &gt;&gt;C:\Users\stu\Documents\GitHub\eaglep3-reporting\EC\2017-01-23-refined-times.txt</v>
      </c>
      <c r="AI8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ID","value":"175-23"},{"id":16,"name":"Locomotive ID","value":"4029"},{"id":130,"name":"Impact","value":""},{"id":150,"name":"Time of Event (Mountain Time)","value":"13:37:42"},{"id":151,"name":"Denver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4029 --day 2017-01-23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575</v>
      </c>
      <c r="B88" s="7">
        <v>4030</v>
      </c>
      <c r="C88" s="22" t="s">
        <v>196</v>
      </c>
      <c r="D88" s="22" t="s">
        <v>354</v>
      </c>
      <c r="E88" s="13">
        <v>42758.577928240738</v>
      </c>
      <c r="F88" s="13">
        <v>42758.580937500003</v>
      </c>
      <c r="G88" s="7">
        <v>2</v>
      </c>
      <c r="H88" s="22" t="s">
        <v>257</v>
      </c>
      <c r="I88" s="13">
        <v>42758.608749999999</v>
      </c>
      <c r="J88" s="7">
        <v>0</v>
      </c>
      <c r="K88" s="105" t="str">
        <f t="shared" si="21"/>
        <v>4029/4030</v>
      </c>
      <c r="L88" s="22" t="str">
        <f>VLOOKUP(A88,'Trips&amp;Operators'!$C$1:$G$99999,5,FALSE)</f>
        <v>DAVIS MICHAEL</v>
      </c>
      <c r="M88" s="6">
        <f t="shared" si="22"/>
        <v>2.7812499996798579E-2</v>
      </c>
      <c r="N88" s="7">
        <f t="shared" si="23"/>
        <v>40.049999995389953</v>
      </c>
      <c r="O88" s="7"/>
      <c r="P88" s="7"/>
      <c r="Q88" s="23"/>
      <c r="R88" s="23"/>
      <c r="S88" s="32">
        <f t="shared" si="24"/>
        <v>1</v>
      </c>
      <c r="T88" s="47" t="str">
        <f t="shared" si="25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-23T12:52:13-0700',mode:absolute,to:'2017-01-23T15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23.2973</v>
      </c>
      <c r="Z88" s="64">
        <f t="shared" si="30"/>
        <v>1.43E-2</v>
      </c>
      <c r="AA88" s="64">
        <f t="shared" si="31"/>
        <v>23.283000000000001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2"/>
        <v>0176-23</v>
      </c>
      <c r="AE88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88" s="84" t="str">
        <f t="shared" si="34"/>
        <v>"C:\Program Files (x86)\AstroGrep\AstroGrep.exe" /spath="%USERPROFILE%\AppData\Local\Temp\OnboardLogs" /stypes="app*4030*20170123*"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176-23 --locoid 4030 --swversion DE.1.0.8.0 --startMP 204:232973 --initTime 2017-01-23T13:52:13 --startdatetime 2017-01-23T13:56:33 --delay 2 --endMP 204:143 --enddatetime 2017-01-23T14:36:36 --enforcementcount 0 &gt;&gt;C:\Users\stu\Documents\GitHub\eaglep3-reporting\EC\2017-01-23-refined-times.txt</v>
      </c>
      <c r="AI8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ID","value":"176-23"},{"id":16,"name":"Locomotive ID","value":"4030"},{"id":130,"name":"Impact","value":""},{"id":150,"name":"Time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4030 --day 2017-01-23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568</v>
      </c>
      <c r="B89" s="7">
        <v>4022</v>
      </c>
      <c r="C89" s="22" t="s">
        <v>196</v>
      </c>
      <c r="D89" s="22" t="s">
        <v>410</v>
      </c>
      <c r="E89" s="13">
        <v>42758.548958333333</v>
      </c>
      <c r="F89" s="13">
        <v>42758.552245370367</v>
      </c>
      <c r="G89" s="7">
        <v>1</v>
      </c>
      <c r="H89" s="22" t="s">
        <v>417</v>
      </c>
      <c r="I89" s="13">
        <v>42758.578564814816</v>
      </c>
      <c r="J89" s="7">
        <v>0</v>
      </c>
      <c r="K89" s="105" t="str">
        <f t="shared" si="21"/>
        <v>4021/4022</v>
      </c>
      <c r="L89" s="22" t="str">
        <f>VLOOKUP(A89,'Trips&amp;Operators'!$C$1:$G$99999,5,FALSE)</f>
        <v>CLARK KATHLEEN</v>
      </c>
      <c r="M89" s="6">
        <f t="shared" si="22"/>
        <v>2.6319444448745344E-2</v>
      </c>
      <c r="N89" s="7">
        <f t="shared" si="23"/>
        <v>37.900000006193295</v>
      </c>
      <c r="O89" s="7"/>
      <c r="P89" s="7"/>
      <c r="Q89" s="23"/>
      <c r="R89" s="23"/>
      <c r="S89" s="32">
        <f t="shared" si="24"/>
        <v>1</v>
      </c>
      <c r="T89" s="47" t="str">
        <f t="shared" si="25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-23T12:10:30-0700',mode:absolute,to:'2017-01-23T14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49" t="str">
        <f t="shared" si="27"/>
        <v>N</v>
      </c>
      <c r="X89" s="170">
        <f t="shared" si="28"/>
        <v>1</v>
      </c>
      <c r="Y89" s="64">
        <f t="shared" si="29"/>
        <v>4.9700000000000001E-2</v>
      </c>
      <c r="Z89" s="64">
        <f t="shared" si="30"/>
        <v>23.331199999999999</v>
      </c>
      <c r="AA89" s="64">
        <f t="shared" si="31"/>
        <v>23.281499999999998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2"/>
        <v>0177-23</v>
      </c>
      <c r="AE89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89" s="84" t="str">
        <f t="shared" si="34"/>
        <v>"C:\Program Files (x86)\AstroGrep\AstroGrep.exe" /spath="%USERPROFILE%\AppData\Local\Temp\OnboardLogs" /stypes="app*4022*20170123*"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177-23 --locoid 4022 --swversion DE.1.0.8.0 --startMP 204:497 --initTime 2017-01-23T13:10:30 --startdatetime 2017-01-23T13:15:14 --delay 1 --endMP 204:233312 --enddatetime 2017-01-23T13:53:08 --enforcementcount 0 &gt;&gt;C:\Users\stu\Documents\GitHub\eaglep3-reporting\EC\2017-01-23-refined-times.txt</v>
      </c>
      <c r="AI8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{"issue":{"subject":"","project_id":79,"tracker_id":40,"status_id":1,"priority_id":2,"assigned_to_id":23,"start_date":"2017-01-23","description":"","custom_fields":[{"id":1,"name":"Subdivision","value":"EC"},{"id":4,"name":"Milepost","value":"23.3312"},{"id":17,"name":"Train ID","value":"177-23"},{"id":16,"name":"Locomotive ID","value":"4022"},{"id":130,"name":"Impact","value":""},{"id":150,"name":"Time of Event (Mountain Time)","value":"13:53:08"},{"id":151,"name":"Denver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4022 --day 2017-01-23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576</v>
      </c>
      <c r="B90" s="7">
        <v>4021</v>
      </c>
      <c r="C90" s="22" t="s">
        <v>196</v>
      </c>
      <c r="D90" s="22" t="s">
        <v>402</v>
      </c>
      <c r="E90" s="13">
        <v>42758.586365740739</v>
      </c>
      <c r="F90" s="13">
        <v>42758.591157407405</v>
      </c>
      <c r="G90" s="7">
        <v>1</v>
      </c>
      <c r="H90" s="22" t="s">
        <v>419</v>
      </c>
      <c r="I90" s="13">
        <v>42758.619004629632</v>
      </c>
      <c r="J90" s="7">
        <v>0</v>
      </c>
      <c r="K90" s="105" t="str">
        <f t="shared" si="21"/>
        <v>4021/4022</v>
      </c>
      <c r="L90" s="22" t="str">
        <f>VLOOKUP(A90,'Trips&amp;Operators'!$C$1:$G$99999,5,FALSE)</f>
        <v>CLARK KATHLEEN</v>
      </c>
      <c r="M90" s="6">
        <f t="shared" si="22"/>
        <v>2.7847222227137536E-2</v>
      </c>
      <c r="N90" s="7">
        <f t="shared" si="23"/>
        <v>40.100000007078052</v>
      </c>
      <c r="O90" s="7"/>
      <c r="P90" s="7"/>
      <c r="Q90" s="23"/>
      <c r="R90" s="23"/>
      <c r="S90" s="32">
        <f t="shared" si="24"/>
        <v>1</v>
      </c>
      <c r="T90" s="47" t="str">
        <f t="shared" si="25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-23T13:04:22-0700',mode:absolute,to:'2017-01-23T15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23.2989</v>
      </c>
      <c r="Z90" s="64">
        <f t="shared" si="30"/>
        <v>1.7000000000000001E-2</v>
      </c>
      <c r="AA90" s="64">
        <f t="shared" si="31"/>
        <v>23.2819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2"/>
        <v>0178-23</v>
      </c>
      <c r="AE90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90" s="84" t="str">
        <f t="shared" si="34"/>
        <v>"C:\Program Files (x86)\AstroGrep\AstroGrep.exe" /spath="%USERPROFILE%\AppData\Local\Temp\OnboardLogs" /stypes="app*4021*20170123*"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178-23 --locoid 4021 --swversion DE.1.0.8.0 --startMP 204:232989 --initTime 2017-01-23T14:04:22 --startdatetime 2017-01-23T14:11:16 --delay 1 --endMP 204:170 --enddatetime 2017-01-23T14:51:22 --enforcementcount 0 &gt;&gt;C:\Users\stu\Documents\GitHub\eaglep3-reporting\EC\2017-01-23-refined-times.txt</v>
      </c>
      <c r="AI9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{"issue":{"subject":"","project_id":79,"tracker_id":40,"status_id":1,"priority_id":2,"assigned_to_id":23,"start_date":"2017-01-23","description":"","custom_fields":[{"id":1,"name":"Subdivision","value":"EC"},{"id":4,"name":"Milepost","value":"0.017"},{"id":17,"name":"Train ID","value":"178-23"},{"id":16,"name":"Locomotive ID","value":"4021"},{"id":130,"name":"Impact","value":""},{"id":150,"name":"Time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4021 --day 2017-01-23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570</v>
      </c>
      <c r="B91" s="7">
        <v>4046</v>
      </c>
      <c r="C91" s="22" t="s">
        <v>196</v>
      </c>
      <c r="D91" s="22" t="s">
        <v>270</v>
      </c>
      <c r="E91" s="13">
        <v>42758.55605324074</v>
      </c>
      <c r="F91" s="13">
        <v>42758.562662037039</v>
      </c>
      <c r="G91" s="7">
        <v>0</v>
      </c>
      <c r="H91" s="22" t="s">
        <v>701</v>
      </c>
      <c r="I91" s="13">
        <v>42758.586828703701</v>
      </c>
      <c r="J91" s="7">
        <v>0</v>
      </c>
      <c r="K91" s="105" t="str">
        <f t="shared" si="21"/>
        <v>4045/4046</v>
      </c>
      <c r="L91" s="22" t="str">
        <f>VLOOKUP(A91,'Trips&amp;Operators'!$C$1:$G$99999,5,FALSE)</f>
        <v>ROMERO CHAD</v>
      </c>
      <c r="M91" s="6">
        <f t="shared" si="22"/>
        <v>2.4166666662495118E-2</v>
      </c>
      <c r="N91" s="7">
        <f t="shared" si="23"/>
        <v>34.799999993992969</v>
      </c>
      <c r="O91" s="7"/>
      <c r="P91" s="7"/>
      <c r="Q91" s="23"/>
      <c r="R91" s="23"/>
      <c r="S91" s="32">
        <f t="shared" si="24"/>
        <v>1</v>
      </c>
      <c r="T91" s="47" t="str">
        <f t="shared" si="25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-23T12:20:43-0700',mode:absolute,to:'2017-01-23T15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4.5699999999999998E-2</v>
      </c>
      <c r="Z91" s="64">
        <f t="shared" si="30"/>
        <v>23.330100000000002</v>
      </c>
      <c r="AA91" s="64">
        <f t="shared" si="31"/>
        <v>23.284400000000002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2"/>
        <v>0179-23</v>
      </c>
      <c r="AE91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91" s="84" t="str">
        <f t="shared" si="34"/>
        <v>"C:\Program Files (x86)\AstroGrep\AstroGrep.exe" /spath="%USERPROFILE%\AppData\Local\Temp\OnboardLogs" /stypes="app*4046*20170123*"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179-23 --locoid 4046 --swversion DE.1.0.8.0 --startMP 204:457 --initTime 2017-01-23T13:20:43 --startdatetime 2017-01-23T13:30:14 --delay 0 --endMP 204:233301 --enddatetime 2017-01-23T14:05:02 --enforcementcount 0 &gt;&gt;C:\Users\stu\Documents\GitHub\eaglep3-reporting\EC\2017-01-23-refined-times.txt</v>
      </c>
      <c r="AI9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ID","value":"179-23"},{"id":16,"name":"Locomotive ID","value":"4046"},{"id":130,"name":"Impact","value":""},{"id":150,"name":"Time of Event (Mountain Time)","value":"14:05:02"},{"id":151,"name":"Denver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4046 --day 2017-01-23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578</v>
      </c>
      <c r="B92" s="7">
        <v>4045</v>
      </c>
      <c r="C92" s="22" t="s">
        <v>196</v>
      </c>
      <c r="D92" s="22" t="s">
        <v>215</v>
      </c>
      <c r="E92" s="13">
        <v>42758.589606481481</v>
      </c>
      <c r="F92" s="13">
        <v>42758.601678240739</v>
      </c>
      <c r="G92" s="7">
        <v>1</v>
      </c>
      <c r="H92" s="22" t="s">
        <v>212</v>
      </c>
      <c r="I92" s="13">
        <v>42758.627604166664</v>
      </c>
      <c r="J92" s="7">
        <v>0</v>
      </c>
      <c r="K92" s="105" t="str">
        <f t="shared" si="21"/>
        <v>4045/4046</v>
      </c>
      <c r="L92" s="22" t="str">
        <f>VLOOKUP(A92,'Trips&amp;Operators'!$C$1:$G$99999,5,FALSE)</f>
        <v>ROMERO CHAD</v>
      </c>
      <c r="M92" s="6">
        <f t="shared" si="22"/>
        <v>2.5925925925548654E-2</v>
      </c>
      <c r="N92" s="7">
        <f t="shared" si="23"/>
        <v>37.333333332790062</v>
      </c>
      <c r="O92" s="7"/>
      <c r="P92" s="7"/>
      <c r="Q92" s="23"/>
      <c r="R92" s="23"/>
      <c r="S92" s="32">
        <f t="shared" si="24"/>
        <v>1</v>
      </c>
      <c r="T92" s="47" t="str">
        <f t="shared" si="25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-23T13:09:02-0700',mode:absolute,to:'2017-01-23T16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49" t="str">
        <f t="shared" si="27"/>
        <v>N</v>
      </c>
      <c r="X92" s="170">
        <f t="shared" si="28"/>
        <v>1</v>
      </c>
      <c r="Y92" s="64">
        <f t="shared" si="29"/>
        <v>23.297699999999999</v>
      </c>
      <c r="Z92" s="64">
        <f t="shared" si="30"/>
        <v>1.47E-2</v>
      </c>
      <c r="AA92" s="64">
        <f t="shared" si="31"/>
        <v>23.282999999999998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32"/>
        <v>0180-23</v>
      </c>
      <c r="AE92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92" s="84" t="str">
        <f t="shared" si="34"/>
        <v>"C:\Program Files (x86)\AstroGrep\AstroGrep.exe" /spath="%USERPROFILE%\AppData\Local\Temp\OnboardLogs" /stypes="app*4045*20170123*"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180-23 --locoid 4045 --swversion DE.1.0.8.0 --startMP 204:232977 --initTime 2017-01-23T14:09:02 --startdatetime 2017-01-23T14:26:25 --delay 1 --endMP 204:147 --enddatetime 2017-01-23T15:03:45 --enforcementcount 0 &gt;&gt;C:\Users\stu\Documents\GitHub\eaglep3-reporting\EC\2017-01-23-refined-times.txt</v>
      </c>
      <c r="AI9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ID","value":"180-23"},{"id":16,"name":"Locomotive ID","value":"4045"},{"id":130,"name":"Impact","value":""},{"id":150,"name":"Time of Event (Mountain Time)","value":"15:03:45"},{"id":151,"name":"Denver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4045 --day 2017-01-23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</row>
    <row r="93" spans="1:91" s="21" customFormat="1" x14ac:dyDescent="0.25">
      <c r="A93" s="34" t="s">
        <v>573</v>
      </c>
      <c r="B93" s="7">
        <v>4016</v>
      </c>
      <c r="C93" s="22" t="s">
        <v>196</v>
      </c>
      <c r="D93" s="22" t="s">
        <v>366</v>
      </c>
      <c r="E93" s="13">
        <v>42758.567835648151</v>
      </c>
      <c r="F93" s="13">
        <v>42758.573067129626</v>
      </c>
      <c r="G93" s="7">
        <v>1</v>
      </c>
      <c r="H93" s="22" t="s">
        <v>259</v>
      </c>
      <c r="I93" s="13">
        <v>42758.598530092589</v>
      </c>
      <c r="J93" s="7">
        <v>0</v>
      </c>
      <c r="K93" s="105" t="str">
        <f t="shared" si="21"/>
        <v>4015/4016</v>
      </c>
      <c r="L93" s="22" t="str">
        <f>VLOOKUP(A93,'Trips&amp;Operators'!$C$1:$G$99999,5,FALSE)</f>
        <v>CRAYTON QUNTRELL</v>
      </c>
      <c r="M93" s="6">
        <f t="shared" si="22"/>
        <v>2.5462962963501923E-2</v>
      </c>
      <c r="N93" s="7">
        <f t="shared" si="23"/>
        <v>36.666666667442769</v>
      </c>
      <c r="O93" s="7"/>
      <c r="P93" s="7"/>
      <c r="Q93" s="23"/>
      <c r="R93" s="23"/>
      <c r="S93" s="32">
        <f t="shared" si="24"/>
        <v>1</v>
      </c>
      <c r="T93" s="47" t="str">
        <f t="shared" si="25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-23T12:37:41-0700',mode:absolute,to:'2017-01-23T15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4.7100000000000003E-2</v>
      </c>
      <c r="Z93" s="64">
        <f t="shared" si="30"/>
        <v>23.329499999999999</v>
      </c>
      <c r="AA93" s="64">
        <f t="shared" si="31"/>
        <v>23.282399999999999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2"/>
        <v>0181-23</v>
      </c>
      <c r="AE93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93" s="84" t="str">
        <f t="shared" si="34"/>
        <v>"C:\Program Files (x86)\AstroGrep\AstroGrep.exe" /spath="%USERPROFILE%\AppData\Local\Temp\OnboardLogs" /stypes="app*4016*20170123*"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181-23 --locoid 4016 --swversion DE.1.0.8.0 --startMP 204:471 --initTime 2017-01-23T13:37:41 --startdatetime 2017-01-23T13:45:13 --delay 1 --endMP 204:233295 --enddatetime 2017-01-23T14:21:53 --enforcementcount 0 &gt;&gt;C:\Users\stu\Documents\GitHub\eaglep3-reporting\EC\2017-01-23-refined-times.txt</v>
      </c>
      <c r="AI9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ID","value":"181-23"},{"id":16,"name":"Locomotive ID","value":"4016"},{"id":130,"name":"Impact","value":""},{"id":150,"name":"Time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4016 --day 2017-01-23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581</v>
      </c>
      <c r="B94" s="7">
        <v>4015</v>
      </c>
      <c r="C94" s="22" t="s">
        <v>196</v>
      </c>
      <c r="D94" s="22" t="s">
        <v>391</v>
      </c>
      <c r="E94" s="13">
        <v>42758.608703703707</v>
      </c>
      <c r="F94" s="13">
        <v>42758.611967592595</v>
      </c>
      <c r="G94" s="7">
        <v>0</v>
      </c>
      <c r="H94" s="22" t="s">
        <v>308</v>
      </c>
      <c r="I94" s="13">
        <v>42758.63858796296</v>
      </c>
      <c r="J94" s="7">
        <v>0</v>
      </c>
      <c r="K94" s="105" t="str">
        <f t="shared" si="21"/>
        <v>4015/4016</v>
      </c>
      <c r="L94" s="22" t="str">
        <f>VLOOKUP(A94,'Trips&amp;Operators'!$C$1:$G$99999,5,FALSE)</f>
        <v>CRAYTON QUNTRELL</v>
      </c>
      <c r="M94" s="6">
        <f t="shared" si="22"/>
        <v>2.6620370364980772E-2</v>
      </c>
      <c r="N94" s="7">
        <f t="shared" si="23"/>
        <v>38.333333325572312</v>
      </c>
      <c r="O94" s="7"/>
      <c r="P94" s="7"/>
      <c r="Q94" s="23"/>
      <c r="R94" s="23"/>
      <c r="S94" s="32">
        <f t="shared" si="24"/>
        <v>1</v>
      </c>
      <c r="T94" s="47" t="str">
        <f t="shared" si="25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-23T13:36:32-0700',mode:absolute,to:'2017-01-23T16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23.298100000000002</v>
      </c>
      <c r="Z94" s="64">
        <f t="shared" si="30"/>
        <v>1.67E-2</v>
      </c>
      <c r="AA94" s="64">
        <f t="shared" si="31"/>
        <v>23.281400000000001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2"/>
        <v>0182-23</v>
      </c>
      <c r="AE94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94" s="84" t="str">
        <f t="shared" si="34"/>
        <v>"C:\Program Files (x86)\AstroGrep\AstroGrep.exe" /spath="%USERPROFILE%\AppData\Local\Temp\OnboardLogs" /stypes="app*4015*20170123*"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182-23 --locoid 4015 --swversion DE.1.0.8.0 --startMP 204:232981 --initTime 2017-01-23T14:36:32 --startdatetime 2017-01-23T14:41:14 --delay 0 --endMP 204:167 --enddatetime 2017-01-23T15:19:34 --enforcementcount 0 &gt;&gt;C:\Users\stu\Documents\GitHub\eaglep3-reporting\EC\2017-01-23-refined-times.txt</v>
      </c>
      <c r="AI9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ID","value":"182-23"},{"id":16,"name":"Locomotive ID","value":"4015"},{"id":130,"name":"Impact","value":""},{"id":150,"name":"Time of Event (Mountain Time)","value":"15:19:34"},{"id":151,"name":"Denver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4015 --day 2017-01-23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574</v>
      </c>
      <c r="B95" s="7">
        <v>4009</v>
      </c>
      <c r="C95" s="22" t="s">
        <v>196</v>
      </c>
      <c r="D95" s="22" t="s">
        <v>270</v>
      </c>
      <c r="E95" s="13">
        <v>42758.578379629631</v>
      </c>
      <c r="F95" s="13">
        <v>42758.583865740744</v>
      </c>
      <c r="G95" s="7">
        <v>1</v>
      </c>
      <c r="H95" s="22" t="s">
        <v>235</v>
      </c>
      <c r="I95" s="13">
        <v>42758.608680555553</v>
      </c>
      <c r="J95" s="7">
        <v>0</v>
      </c>
      <c r="K95" s="105" t="str">
        <f t="shared" si="21"/>
        <v>4009/4010</v>
      </c>
      <c r="L95" s="22" t="str">
        <f>VLOOKUP(A95,'Trips&amp;Operators'!$C$1:$G$99999,5,FALSE)</f>
        <v>LEVERE CRAIG</v>
      </c>
      <c r="M95" s="6">
        <f t="shared" si="22"/>
        <v>2.4814814809360541E-2</v>
      </c>
      <c r="N95" s="7">
        <f t="shared" si="23"/>
        <v>35.73333332547918</v>
      </c>
      <c r="O95" s="7"/>
      <c r="P95" s="7"/>
      <c r="Q95" s="23"/>
      <c r="R95" s="23"/>
      <c r="S95" s="32">
        <f t="shared" si="24"/>
        <v>1</v>
      </c>
      <c r="T95" s="47" t="str">
        <f t="shared" si="25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-23T12:52:52-0700',mode:absolute,to:'2017-01-23T15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4.5699999999999998E-2</v>
      </c>
      <c r="Z95" s="64">
        <f t="shared" si="30"/>
        <v>23.329899999999999</v>
      </c>
      <c r="AA95" s="64">
        <f t="shared" si="31"/>
        <v>23.284199999999998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2"/>
        <v>0183-23</v>
      </c>
      <c r="AE95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95" s="84" t="str">
        <f t="shared" si="34"/>
        <v>"C:\Program Files (x86)\AstroGrep\AstroGrep.exe" /spath="%USERPROFILE%\AppData\Local\Temp\OnboardLogs" /stypes="app*4009*20170123*"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183-23 --locoid 4009 --swversion DE.1.0.8.0 --startMP 204:457 --initTime 2017-01-23T13:52:52 --startdatetime 2017-01-23T14:00:46 --delay 1 --endMP 204:233299 --enddatetime 2017-01-23T14:36:30 --enforcementcount 0 &gt;&gt;C:\Users\stu\Documents\GitHub\eaglep3-reporting\EC\2017-01-23-refined-times.txt</v>
      </c>
      <c r="AI9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ID","value":"183-23"},{"id":16,"name":"Locomotive ID","value":"4009"},{"id":130,"name":"Impact","value":""},{"id":150,"name":"Time of Event (Mountain Time)","value":"14:36:30"},{"id":151,"name":"Denver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4009 --day 2017-01-23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583</v>
      </c>
      <c r="B96" s="7">
        <v>4010</v>
      </c>
      <c r="C96" s="22" t="s">
        <v>196</v>
      </c>
      <c r="D96" s="22" t="s">
        <v>696</v>
      </c>
      <c r="E96" s="13">
        <v>42758.613587962966</v>
      </c>
      <c r="F96" s="13">
        <v>42758.622488425928</v>
      </c>
      <c r="G96" s="7">
        <v>1</v>
      </c>
      <c r="H96" s="22" t="s">
        <v>200</v>
      </c>
      <c r="I96" s="13">
        <v>42758.650185185186</v>
      </c>
      <c r="J96" s="7">
        <v>0</v>
      </c>
      <c r="K96" s="105" t="str">
        <f t="shared" si="21"/>
        <v>4009/4010</v>
      </c>
      <c r="L96" s="22" t="str">
        <f>VLOOKUP(A96,'Trips&amp;Operators'!$C$1:$G$99999,5,FALSE)</f>
        <v>LEVERE CRAIG</v>
      </c>
      <c r="M96" s="6">
        <f t="shared" si="22"/>
        <v>2.7696759258105885E-2</v>
      </c>
      <c r="N96" s="7">
        <f t="shared" si="23"/>
        <v>39.883333331672475</v>
      </c>
      <c r="O96" s="7"/>
      <c r="P96" s="7"/>
      <c r="Q96" s="23"/>
      <c r="R96" s="23"/>
      <c r="S96" s="32">
        <f t="shared" si="24"/>
        <v>1</v>
      </c>
      <c r="T96" s="47" t="str">
        <f t="shared" si="25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-23T13:43:34-0700',mode:absolute,to:'2017-01-23T16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23.297499999999999</v>
      </c>
      <c r="Z96" s="64">
        <f t="shared" si="30"/>
        <v>1.4999999999999999E-2</v>
      </c>
      <c r="AA96" s="64">
        <f t="shared" si="31"/>
        <v>23.282499999999999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2"/>
        <v>0184-23</v>
      </c>
      <c r="AE96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96" s="84" t="str">
        <f t="shared" si="34"/>
        <v>"C:\Program Files (x86)\AstroGrep\AstroGrep.exe" /spath="%USERPROFILE%\AppData\Local\Temp\OnboardLogs" /stypes="app*4010*20170123*"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184-23 --locoid 4010 --swversion DE.1.0.8.0 --startMP 204:232975 --initTime 2017-01-23T14:43:34 --startdatetime 2017-01-23T14:56:23 --delay 1 --endMP 204:150 --enddatetime 2017-01-23T15:36:16 --enforcementcount 0 &gt;&gt;C:\Users\stu\Documents\GitHub\eaglep3-reporting\EC\2017-01-23-refined-times.txt</v>
      </c>
      <c r="AI9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ID","value":"184-23"},{"id":16,"name":"Locomotive ID","value":"4010"},{"id":130,"name":"Impact","value":""},{"id":150,"name":"Time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4010 --day 2017-01-23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577</v>
      </c>
      <c r="B97" s="7">
        <v>4011</v>
      </c>
      <c r="C97" s="22" t="s">
        <v>196</v>
      </c>
      <c r="D97" s="22" t="s">
        <v>205</v>
      </c>
      <c r="E97" s="13">
        <v>42758.588877314818</v>
      </c>
      <c r="F97" s="13">
        <v>42758.594050925924</v>
      </c>
      <c r="G97" s="7">
        <v>1</v>
      </c>
      <c r="H97" s="22" t="s">
        <v>260</v>
      </c>
      <c r="I97" s="13">
        <v>42758.619085648148</v>
      </c>
      <c r="J97" s="7">
        <v>0</v>
      </c>
      <c r="K97" s="105" t="str">
        <f t="shared" si="21"/>
        <v>4011/4012</v>
      </c>
      <c r="L97" s="22" t="str">
        <f>VLOOKUP(A97,'Trips&amp;Operators'!$C$1:$G$99999,5,FALSE)</f>
        <v>KILLION DAVID</v>
      </c>
      <c r="M97" s="6">
        <f t="shared" si="22"/>
        <v>2.5034722224518191E-2</v>
      </c>
      <c r="N97" s="7">
        <f t="shared" si="23"/>
        <v>36.050000003306195</v>
      </c>
      <c r="O97" s="7"/>
      <c r="P97" s="7"/>
      <c r="Q97" s="23"/>
      <c r="R97" s="23"/>
      <c r="S97" s="32">
        <f t="shared" si="24"/>
        <v>1</v>
      </c>
      <c r="T97" s="47" t="str">
        <f t="shared" si="25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-23T13:07:59-0700',mode:absolute,to:'2017-01-23T15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4.5499999999999999E-2</v>
      </c>
      <c r="Z97" s="64">
        <f t="shared" si="30"/>
        <v>23.330200000000001</v>
      </c>
      <c r="AA97" s="64">
        <f t="shared" si="31"/>
        <v>23.284700000000001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2"/>
        <v>0185-23</v>
      </c>
      <c r="AE97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97" s="84" t="str">
        <f t="shared" si="34"/>
        <v>"C:\Program Files (x86)\AstroGrep\AstroGrep.exe" /spath="%USERPROFILE%\AppData\Local\Temp\OnboardLogs" /stypes="app*4011*20170123*"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185-23 --locoid 4011 --swversion DE.1.0.8.0 --startMP 204:455 --initTime 2017-01-23T14:07:59 --startdatetime 2017-01-23T14:15:26 --delay 1 --endMP 204:233302 --enddatetime 2017-01-23T14:51:29 --enforcementcount 0 &gt;&gt;C:\Users\stu\Documents\GitHub\eaglep3-reporting\EC\2017-01-23-refined-times.txt</v>
      </c>
      <c r="AI9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ID","value":"185-23"},{"id":16,"name":"Locomotive ID","value":"4011"},{"id":130,"name":"Impact","value":""},{"id":150,"name":"Time of Event (Mountain Time)","value":"14:51:29"},{"id":151,"name":"Denver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4011 --day 2017-01-23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585</v>
      </c>
      <c r="B98" s="7">
        <v>4012</v>
      </c>
      <c r="C98" s="22" t="s">
        <v>196</v>
      </c>
      <c r="D98" s="22" t="s">
        <v>688</v>
      </c>
      <c r="E98" s="13">
        <v>42758.624745370369</v>
      </c>
      <c r="F98" s="13">
        <v>42758.6328125</v>
      </c>
      <c r="G98" s="7">
        <v>0</v>
      </c>
      <c r="H98" s="22" t="s">
        <v>212</v>
      </c>
      <c r="I98" s="13">
        <v>42758.659699074073</v>
      </c>
      <c r="J98" s="7">
        <v>0</v>
      </c>
      <c r="K98" s="105" t="str">
        <f t="shared" si="21"/>
        <v>4011/4012</v>
      </c>
      <c r="L98" s="22" t="str">
        <f>VLOOKUP(A98,'Trips&amp;Operators'!$C$1:$G$99999,5,FALSE)</f>
        <v>KILLION DAVID</v>
      </c>
      <c r="M98" s="6">
        <f t="shared" si="22"/>
        <v>2.6886574072705116E-2</v>
      </c>
      <c r="N98" s="7">
        <f t="shared" si="23"/>
        <v>38.716666664695367</v>
      </c>
      <c r="O98" s="7"/>
      <c r="P98" s="7"/>
      <c r="Q98" s="23"/>
      <c r="R98" s="23"/>
      <c r="S98" s="32">
        <f t="shared" si="24"/>
        <v>1</v>
      </c>
      <c r="T98" s="47" t="str">
        <f t="shared" si="25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-23T13:59:38-0700',mode:absolute,to:'2017-01-23T16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23.298300000000001</v>
      </c>
      <c r="Z98" s="64">
        <f t="shared" si="30"/>
        <v>1.47E-2</v>
      </c>
      <c r="AA98" s="64">
        <f t="shared" si="31"/>
        <v>23.2836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2"/>
        <v>0186-23</v>
      </c>
      <c r="AE98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98" s="84" t="str">
        <f t="shared" si="34"/>
        <v>"C:\Program Files (x86)\AstroGrep\AstroGrep.exe" /spath="%USERPROFILE%\AppData\Local\Temp\OnboardLogs" /stypes="app*4012*20170123*"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186-23 --locoid 4012 --swversion DE.1.0.8.0 --startMP 204:232983 --initTime 2017-01-23T14:59:38 --startdatetime 2017-01-23T15:11:15 --delay 0 --endMP 204:147 --enddatetime 2017-01-23T15:49:58 --enforcementcount 0 &gt;&gt;C:\Users\stu\Documents\GitHub\eaglep3-reporting\EC\2017-01-23-refined-times.txt</v>
      </c>
      <c r="AI9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ID","value":"186-23"},{"id":16,"name":"Locomotive ID","value":"4012"},{"id":130,"name":"Impact","value":""},{"id":150,"name":"Time of Event (Mountain Time)","value":"15:49:58"},{"id":151,"name":"Denver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4012 --day 2017-01-23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580</v>
      </c>
      <c r="B99" s="7">
        <v>4025</v>
      </c>
      <c r="C99" s="22" t="s">
        <v>196</v>
      </c>
      <c r="D99" s="22" t="s">
        <v>270</v>
      </c>
      <c r="E99" s="13">
        <v>42758.599120370367</v>
      </c>
      <c r="F99" s="13">
        <v>42758.604375000003</v>
      </c>
      <c r="G99" s="7">
        <v>1</v>
      </c>
      <c r="H99" s="22" t="s">
        <v>710</v>
      </c>
      <c r="I99" s="13">
        <v>42758.628530092596</v>
      </c>
      <c r="J99" s="7">
        <v>0</v>
      </c>
      <c r="K99" s="105" t="str">
        <f t="shared" si="21"/>
        <v>4025/4026</v>
      </c>
      <c r="L99" s="22" t="str">
        <f>VLOOKUP(A99,'Trips&amp;Operators'!$C$1:$G$99999,5,FALSE)</f>
        <v>STEWART MICHAEL</v>
      </c>
      <c r="M99" s="6">
        <f t="shared" si="22"/>
        <v>2.4155092592991423E-2</v>
      </c>
      <c r="N99" s="7">
        <f t="shared" si="23"/>
        <v>34.783333333907649</v>
      </c>
      <c r="O99" s="7"/>
      <c r="P99" s="7"/>
      <c r="Q99" s="23"/>
      <c r="R99" s="23"/>
      <c r="S99" s="32">
        <f t="shared" si="24"/>
        <v>1</v>
      </c>
      <c r="T99" s="47" t="str">
        <f t="shared" si="25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-23T13:22:44-0700',mode:absolute,to:'2017-01-23T16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4.5699999999999998E-2</v>
      </c>
      <c r="Z99" s="64">
        <f t="shared" si="30"/>
        <v>23.3307</v>
      </c>
      <c r="AA99" s="64">
        <f t="shared" si="31"/>
        <v>23.285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2"/>
        <v>0187-23</v>
      </c>
      <c r="AE99" s="87" t="str">
        <f t="shared" si="33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99" s="84" t="str">
        <f t="shared" si="34"/>
        <v>"C:\Program Files (x86)\AstroGrep\AstroGrep.exe" /spath="%USERPROFILE%\AppData\Local\Temp\OnboardLogs" /stypes="app*4025*20170123*"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187-23 --locoid 4025 --swversion DE.1.0.8.0 --startMP 204:457 --initTime 2017-01-23T14:22:44 --startdatetime 2017-01-23T14:30:18 --delay 1 --endMP 204:233307 --enddatetime 2017-01-23T15:05:05 --enforcementcount 0 &gt;&gt;C:\Users\stu\Documents\GitHub\eaglep3-reporting\EC\2017-01-23-refined-times.txt</v>
      </c>
      <c r="AI9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{"issue":{"subject":"","project_id":79,"tracker_id":40,"status_id":1,"priority_id":2,"assigned_to_id":23,"start_date":"2017-01-23","description":"","custom_fields":[{"id":1,"name":"Subdivision","value":"EC"},{"id":4,"name":"Milepost","value":"23.3307"},{"id":17,"name":"Train ID","value":"187-23"},{"id":16,"name":"Locomotive ID","value":"4025"},{"id":130,"name":"Impact","value":""},{"id":150,"name":"Time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4025 --day 2017-01-23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589</v>
      </c>
      <c r="B100" s="7">
        <v>4026</v>
      </c>
      <c r="C100" s="22" t="s">
        <v>196</v>
      </c>
      <c r="D100" s="22" t="s">
        <v>696</v>
      </c>
      <c r="E100" s="13">
        <v>42758.638043981482</v>
      </c>
      <c r="F100" s="13">
        <v>42758.643333333333</v>
      </c>
      <c r="G100" s="7">
        <v>1</v>
      </c>
      <c r="H100" s="22" t="s">
        <v>216</v>
      </c>
      <c r="I100" s="13">
        <v>42758.6715625</v>
      </c>
      <c r="J100" s="7">
        <v>0</v>
      </c>
      <c r="K100" s="105" t="str">
        <f t="shared" si="21"/>
        <v>4025/4026</v>
      </c>
      <c r="L100" s="22" t="str">
        <f>VLOOKUP(A100,'Trips&amp;Operators'!$C$1:$G$99999,5,FALSE)</f>
        <v>STEWART MICHAEL</v>
      </c>
      <c r="M100" s="6">
        <f t="shared" si="22"/>
        <v>2.8229166666278616E-2</v>
      </c>
      <c r="N100" s="7">
        <f t="shared" si="23"/>
        <v>40.649999999441206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-23T14:18:47-0700',mode:absolute,to:'2017-01-23T17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23.297499999999999</v>
      </c>
      <c r="Z100" s="64">
        <f t="shared" si="30"/>
        <v>1.6E-2</v>
      </c>
      <c r="AA100" s="64">
        <f t="shared" si="31"/>
        <v>23.281500000000001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32"/>
        <v>0188-23</v>
      </c>
      <c r="AE100" s="87" t="str">
        <f t="shared" si="33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100" s="84" t="str">
        <f t="shared" si="34"/>
        <v>"C:\Program Files (x86)\AstroGrep\AstroGrep.exe" /spath="%USERPROFILE%\AppData\Local\Temp\OnboardLogs" /stypes="app*4026*20170123*"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188-23 --locoid 4026 --swversion DE.1.0.8.0 --startMP 204:232975 --initTime 2017-01-23T15:18:47 --startdatetime 2017-01-23T15:26:24 --delay 1 --endMP 204:160 --enddatetime 2017-01-23T16:07:03 --enforcementcount 0 &gt;&gt;C:\Users\stu\Documents\GitHub\eaglep3-reporting\EC\2017-01-23-refined-times.txt</v>
      </c>
      <c r="AI10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ID","value":"188-23"},{"id":16,"name":"Locomotive ID","value":"4026"},{"id":130,"name":"Impact","value":""},{"id":150,"name":"Time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4026 --day 2017-01-23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582</v>
      </c>
      <c r="B101" s="7">
        <v>4029</v>
      </c>
      <c r="C101" s="22" t="s">
        <v>196</v>
      </c>
      <c r="D101" s="22" t="s">
        <v>355</v>
      </c>
      <c r="E101" s="13">
        <v>42758.61042824074</v>
      </c>
      <c r="F101" s="13">
        <v>42758.614953703705</v>
      </c>
      <c r="G101" s="7">
        <v>1</v>
      </c>
      <c r="H101" s="22" t="s">
        <v>711</v>
      </c>
      <c r="I101" s="13">
        <v>42758.641053240739</v>
      </c>
      <c r="J101" s="7">
        <v>0</v>
      </c>
      <c r="K101" s="105" t="str">
        <f t="shared" si="21"/>
        <v>4029/4030</v>
      </c>
      <c r="L101" s="22" t="str">
        <f>VLOOKUP(A101,'Trips&amp;Operators'!$C$1:$G$99999,5,FALSE)</f>
        <v>DAVIS MICHAEL</v>
      </c>
      <c r="M101" s="6">
        <f t="shared" si="22"/>
        <v>2.6099537033587694E-2</v>
      </c>
      <c r="N101" s="7">
        <f t="shared" si="23"/>
        <v>37.58333332836628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-23T13:39:01-0700',mode:absolute,to:'2017-01-23T16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4.53E-2</v>
      </c>
      <c r="Z101" s="64">
        <f t="shared" si="30"/>
        <v>23.327999999999999</v>
      </c>
      <c r="AA101" s="64">
        <f t="shared" si="31"/>
        <v>23.282699999999998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2"/>
        <v>0189-23</v>
      </c>
      <c r="AE101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01" s="84" t="str">
        <f t="shared" si="34"/>
        <v>"C:\Program Files (x86)\AstroGrep\AstroGrep.exe" /spath="%USERPROFILE%\AppData\Local\Temp\OnboardLogs" /stypes="app*4029*20170123*"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189-23 --locoid 4029 --swversion DE.1.0.8.0 --startMP 204:453 --initTime 2017-01-23T14:39:01 --startdatetime 2017-01-23T14:45:32 --delay 1 --endMP 204:233280 --enddatetime 2017-01-23T15:23:07 --enforcementcount 0 &gt;&gt;C:\Users\stu\Documents\GitHub\eaglep3-reporting\EC\2017-01-23-refined-times.txt</v>
      </c>
      <c r="AI10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{"issue":{"subject":"","project_id":79,"tracker_id":40,"status_id":1,"priority_id":2,"assigned_to_id":23,"start_date":"2017-01-23","description":"","custom_fields":[{"id":1,"name":"Subdivision","value":"EC"},{"id":4,"name":"Milepost","value":"23.328"},{"id":17,"name":"Train ID","value":"189-23"},{"id":16,"name":"Locomotive ID","value":"4029"},{"id":130,"name":"Impact","value":""},{"id":150,"name":"Time of Event (Mountain Time)","value":"15:23:07"},{"id":151,"name":"Denver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4029 --day 2017-01-23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443</v>
      </c>
      <c r="B102" s="7">
        <v>4030</v>
      </c>
      <c r="C102" s="22" t="s">
        <v>196</v>
      </c>
      <c r="D102" s="22" t="s">
        <v>709</v>
      </c>
      <c r="E102" s="13">
        <v>42758.65116898148</v>
      </c>
      <c r="F102" s="13">
        <v>42758.653796296298</v>
      </c>
      <c r="G102" s="7">
        <v>1</v>
      </c>
      <c r="H102" s="22" t="s">
        <v>222</v>
      </c>
      <c r="I102" s="13">
        <v>42758.682175925926</v>
      </c>
      <c r="J102" s="7">
        <v>0</v>
      </c>
      <c r="K102" s="105" t="str">
        <f t="shared" si="21"/>
        <v>4029/4030</v>
      </c>
      <c r="L102" s="22" t="str">
        <f>VLOOKUP(A102,'Trips&amp;Operators'!$C$1:$G$99999,5,FALSE)</f>
        <v>DAVIS MICHAEL</v>
      </c>
      <c r="M102" s="6">
        <f t="shared" si="22"/>
        <v>2.8379629628034309E-2</v>
      </c>
      <c r="N102" s="7">
        <f t="shared" si="23"/>
        <v>40.866666664369404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-23T14:37:41-0700',mode:absolute,to:'2017-01-23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23.2974</v>
      </c>
      <c r="Z102" s="64">
        <f t="shared" si="30"/>
        <v>1.5800000000000002E-2</v>
      </c>
      <c r="AA102" s="64">
        <f t="shared" si="31"/>
        <v>23.281600000000001</v>
      </c>
      <c r="AB102" s="61" t="str">
        <f>VLOOKUP(A102,Enforcements!$C$7:$K$16,8,0)</f>
        <v>Speed (6)</v>
      </c>
      <c r="AC102" s="57" t="str">
        <f>VLOOKUP(A102,Enforcements!$C$7:$E$16,3,0)</f>
        <v>PERMANENT SPEED RESTRICTION</v>
      </c>
      <c r="AD102" s="58" t="str">
        <f t="shared" si="32"/>
        <v>0190-23</v>
      </c>
      <c r="AE102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02" s="84" t="str">
        <f t="shared" si="34"/>
        <v>"C:\Program Files (x86)\AstroGrep\AstroGrep.exe" /spath="%USERPROFILE%\AppData\Local\Temp\OnboardLogs" /stypes="app*4030*20170123*"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190-23 --locoid 4030 --swversion DE.1.0.8.0 --startMP 204:232974 --initTime 2017-01-23T15:37:41 --startdatetime 2017-01-23T15:41:28 --delay 1 --endMP 204:158 --enddatetime 2017-01-23T16:22:20 --enforcementcount 0 &gt;&gt;C:\Users\stu\Documents\GitHub\eaglep3-reporting\EC\2017-01-23-refined-times.txt</v>
      </c>
      <c r="AI10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ID","value":"190-23"},{"id":16,"name":"Locomotive ID","value":"4030"},{"id":130,"name":"Impact","value":""},{"id":150,"name":"Time of Event (Mountain Time)","value":"16:22:20"},{"id":151,"name":"Denver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4030 --day 2017-01-23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584</v>
      </c>
      <c r="B103" s="7">
        <v>4022</v>
      </c>
      <c r="C103" s="22" t="s">
        <v>196</v>
      </c>
      <c r="D103" s="22" t="s">
        <v>359</v>
      </c>
      <c r="E103" s="13">
        <v>42758.620925925927</v>
      </c>
      <c r="F103" s="13">
        <v>42758.625162037039</v>
      </c>
      <c r="G103" s="7">
        <v>1</v>
      </c>
      <c r="H103" s="22" t="s">
        <v>712</v>
      </c>
      <c r="I103" s="13">
        <v>42758.651180555556</v>
      </c>
      <c r="J103" s="7">
        <v>0</v>
      </c>
      <c r="K103" s="105" t="str">
        <f t="shared" si="21"/>
        <v>4021/4022</v>
      </c>
      <c r="L103" s="22" t="str">
        <f>VLOOKUP(A103,'Trips&amp;Operators'!$C$1:$G$99999,5,FALSE)</f>
        <v>CLARK KATHLEEN</v>
      </c>
      <c r="M103" s="6">
        <f t="shared" si="22"/>
        <v>2.6018518517958E-2</v>
      </c>
      <c r="N103" s="7">
        <f t="shared" si="23"/>
        <v>37.46666666585952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-23T13:54:08-0700',mode:absolute,to:'2017-01-23T16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4.7300000000000002E-2</v>
      </c>
      <c r="Z103" s="64">
        <f t="shared" si="30"/>
        <v>23.3263</v>
      </c>
      <c r="AA103" s="64">
        <f t="shared" si="31"/>
        <v>23.279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2"/>
        <v>0191-23</v>
      </c>
      <c r="AE103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03" s="84" t="str">
        <f t="shared" si="34"/>
        <v>"C:\Program Files (x86)\AstroGrep\AstroGrep.exe" /spath="%USERPROFILE%\AppData\Local\Temp\OnboardLogs" /stypes="app*4022*20170123*"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191-23 --locoid 4022 --swversion DE.1.0.8.0 --startMP 204:473 --initTime 2017-01-23T14:54:08 --startdatetime 2017-01-23T15:00:14 --delay 1 --endMP 204:233263 --enddatetime 2017-01-23T15:37:42 --enforcementcount 0 &gt;&gt;C:\Users\stu\Documents\GitHub\eaglep3-reporting\EC\2017-01-23-refined-times.txt</v>
      </c>
      <c r="AI10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{"issue":{"subject":"","project_id":79,"tracker_id":40,"status_id":1,"priority_id":2,"assigned_to_id":23,"start_date":"2017-01-23","description":"","custom_fields":[{"id":1,"name":"Subdivision","value":"EC"},{"id":4,"name":"Milepost","value":"23.3263"},{"id":17,"name":"Train ID","value":"191-23"},{"id":16,"name":"Locomotive ID","value":"4022"},{"id":130,"name":"Impact","value":""},{"id":150,"name":"Time of Event (Mountain Time)","value":"15:37:42"},{"id":151,"name":"Denver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4022 --day 2017-01-23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594</v>
      </c>
      <c r="B104" s="7">
        <v>4021</v>
      </c>
      <c r="C104" s="22" t="s">
        <v>196</v>
      </c>
      <c r="D104" s="22" t="s">
        <v>356</v>
      </c>
      <c r="E104" s="13">
        <v>42758.660752314812</v>
      </c>
      <c r="F104" s="13">
        <v>42758.6640625</v>
      </c>
      <c r="G104" s="7">
        <v>1</v>
      </c>
      <c r="H104" s="22" t="s">
        <v>221</v>
      </c>
      <c r="I104" s="13">
        <v>42758.696469907409</v>
      </c>
      <c r="J104" s="7">
        <v>0</v>
      </c>
      <c r="K104" s="105" t="str">
        <f t="shared" si="21"/>
        <v>4021/4022</v>
      </c>
      <c r="L104" s="22" t="str">
        <f>VLOOKUP(A104,'Trips&amp;Operators'!$C$1:$G$99999,5,FALSE)</f>
        <v>CLARK KATHLEEN</v>
      </c>
      <c r="M104" s="6">
        <f t="shared" si="22"/>
        <v>3.2407407408754807E-2</v>
      </c>
      <c r="N104" s="7">
        <f t="shared" si="23"/>
        <v>46.666666668606922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-23T14:51:29-0700',mode:absolute,to:'2017-01-23T17:42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23.296500000000002</v>
      </c>
      <c r="Z104" s="64">
        <f t="shared" si="30"/>
        <v>1.52E-2</v>
      </c>
      <c r="AA104" s="64">
        <f t="shared" si="31"/>
        <v>23.281300000000002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2"/>
        <v>0192-23</v>
      </c>
      <c r="AE104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04" s="84" t="str">
        <f t="shared" si="34"/>
        <v>"C:\Program Files (x86)\AstroGrep\AstroGrep.exe" /spath="%USERPROFILE%\AppData\Local\Temp\OnboardLogs" /stypes="app*4021*20170123*"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192-23 --locoid 4021 --swversion DE.1.0.8.0 --startMP 204:232965 --initTime 2017-01-23T15:51:29 --startdatetime 2017-01-23T15:56:15 --delay 1 --endMP 204:152 --enddatetime 2017-01-23T16:42:55 --enforcementcount 0 &gt;&gt;C:\Users\stu\Documents\GitHub\eaglep3-reporting\EC\2017-01-23-refined-times.txt</v>
      </c>
      <c r="AI10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ID","value":"192-23"},{"id":16,"name":"Locomotive ID","value":"4021"},{"id":130,"name":"Impact","value":""},{"id":150,"name":"Time of Event (Mountain Time)","value":"16:42:55"},{"id":151,"name":"Denver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4021 --day 2017-01-23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</row>
    <row r="105" spans="1:91" s="21" customFormat="1" x14ac:dyDescent="0.25">
      <c r="A105" s="34" t="s">
        <v>586</v>
      </c>
      <c r="B105" s="7">
        <v>4046</v>
      </c>
      <c r="C105" s="22" t="s">
        <v>196</v>
      </c>
      <c r="D105" s="22" t="s">
        <v>244</v>
      </c>
      <c r="E105" s="13">
        <v>42758.629421296297</v>
      </c>
      <c r="F105" s="13">
        <v>42758.635601851849</v>
      </c>
      <c r="G105" s="7">
        <v>3</v>
      </c>
      <c r="H105" s="22" t="s">
        <v>310</v>
      </c>
      <c r="I105" s="13">
        <v>42758.660150462965</v>
      </c>
      <c r="J105" s="7">
        <v>0</v>
      </c>
      <c r="K105" s="105" t="str">
        <f t="shared" si="21"/>
        <v>4045/4046</v>
      </c>
      <c r="L105" s="22" t="str">
        <f>VLOOKUP(A105,'Trips&amp;Operators'!$C$1:$G$99999,5,FALSE)</f>
        <v>ROMERO CHAD</v>
      </c>
      <c r="M105" s="6">
        <f t="shared" si="22"/>
        <v>2.4548611116188113E-2</v>
      </c>
      <c r="N105" s="7">
        <f t="shared" si="23"/>
        <v>35.350000007310882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-23T14:06:22-0700',mode:absolute,to:'2017-01-23T16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4.58E-2</v>
      </c>
      <c r="Z105" s="64">
        <f t="shared" si="30"/>
        <v>23.331</v>
      </c>
      <c r="AA105" s="64">
        <f t="shared" si="31"/>
        <v>23.2852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2"/>
        <v>0193-23</v>
      </c>
      <c r="AE105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105" s="84" t="str">
        <f t="shared" si="34"/>
        <v>"C:\Program Files (x86)\AstroGrep\AstroGrep.exe" /spath="%USERPROFILE%\AppData\Local\Temp\OnboardLogs" /stypes="app*4046*20170123*"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193-23 --locoid 4046 --swversion DE.1.0.8.0 --startMP 204:458 --initTime 2017-01-23T15:06:22 --startdatetime 2017-01-23T15:15:16 --delay 3 --endMP 204:233310 --enddatetime 2017-01-23T15:50:37 --enforcementcount 0 &gt;&gt;C:\Users\stu\Documents\GitHub\eaglep3-reporting\EC\2017-01-23-refined-times.txt</v>
      </c>
      <c r="AI10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{"issue":{"subject":"","project_id":79,"tracker_id":40,"status_id":1,"priority_id":2,"assigned_to_id":23,"start_date":"2017-01-23","description":"","custom_fields":[{"id":1,"name":"Subdivision","value":"EC"},{"id":4,"name":"Milepost","value":"23.331"},{"id":17,"name":"Train ID","value":"193-23"},{"id":16,"name":"Locomotive ID","value":"4046"},{"id":130,"name":"Impact","value":""},{"id":150,"name":"Time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4046 --day 2017-01-23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595</v>
      </c>
      <c r="B106" s="7">
        <v>4045</v>
      </c>
      <c r="C106" s="22" t="s">
        <v>196</v>
      </c>
      <c r="D106" s="22" t="s">
        <v>277</v>
      </c>
      <c r="E106" s="13">
        <v>42758.662175925929</v>
      </c>
      <c r="F106" s="13">
        <v>42758.674456018518</v>
      </c>
      <c r="G106" s="7">
        <v>1</v>
      </c>
      <c r="H106" s="22" t="s">
        <v>200</v>
      </c>
      <c r="I106" s="13">
        <v>42758.702962962961</v>
      </c>
      <c r="J106" s="7">
        <v>0</v>
      </c>
      <c r="K106" s="105" t="str">
        <f t="shared" si="21"/>
        <v>4045/4046</v>
      </c>
      <c r="L106" s="22" t="str">
        <f>VLOOKUP(A106,'Trips&amp;Operators'!$C$1:$G$99999,5,FALSE)</f>
        <v>ROMERO CHAD</v>
      </c>
      <c r="M106" s="6">
        <f t="shared" si="22"/>
        <v>2.8506944443506654E-2</v>
      </c>
      <c r="N106" s="7">
        <f t="shared" si="23"/>
        <v>41.049999998649582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-23T14:53:32-0700',mode:absolute,to:'2017-01-23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23.299299999999999</v>
      </c>
      <c r="Z106" s="64">
        <f t="shared" si="30"/>
        <v>1.4999999999999999E-2</v>
      </c>
      <c r="AA106" s="64">
        <f t="shared" si="31"/>
        <v>23.284299999999998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2"/>
        <v>0194-23</v>
      </c>
      <c r="AE106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106" s="84" t="str">
        <f t="shared" si="34"/>
        <v>"C:\Program Files (x86)\AstroGrep\AstroGrep.exe" /spath="%USERPROFILE%\AppData\Local\Temp\OnboardLogs" /stypes="app*4045*20170123*"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194-23 --locoid 4045 --swversion DE.1.0.8.0 --startMP 204:232993 --initTime 2017-01-23T15:53:32 --startdatetime 2017-01-23T16:11:13 --delay 1 --endMP 204:150 --enddatetime 2017-01-23T16:52:16 --enforcementcount 0 &gt;&gt;C:\Users\stu\Documents\GitHub\eaglep3-reporting\EC\2017-01-23-refined-times.txt</v>
      </c>
      <c r="AI10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ID","value":"194-23"},{"id":16,"name":"Locomotive ID","value":"4045"},{"id":130,"name":"Impact","value":""},{"id":150,"name":"Time of Event (Mountain Time)","value":"16:52:16"},{"id":151,"name":"Denver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4045 --day 2017-01-23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590</v>
      </c>
      <c r="B107" s="7">
        <v>4016</v>
      </c>
      <c r="C107" s="22" t="s">
        <v>196</v>
      </c>
      <c r="D107" s="22" t="s">
        <v>220</v>
      </c>
      <c r="E107" s="13">
        <v>42758.640428240738</v>
      </c>
      <c r="F107" s="13">
        <v>42758.645972222221</v>
      </c>
      <c r="G107" s="7">
        <v>1</v>
      </c>
      <c r="H107" s="22" t="s">
        <v>259</v>
      </c>
      <c r="I107" s="13">
        <v>42758.67083333333</v>
      </c>
      <c r="J107" s="7">
        <v>0</v>
      </c>
      <c r="K107" s="105" t="str">
        <f t="shared" si="21"/>
        <v>4015/4016</v>
      </c>
      <c r="L107" s="22" t="str">
        <f>VLOOKUP(A107,'Trips&amp;Operators'!$C$1:$G$99999,5,FALSE)</f>
        <v>CRAYTON QUNTRELL</v>
      </c>
      <c r="M107" s="6">
        <f t="shared" si="22"/>
        <v>2.4861111109203193E-2</v>
      </c>
      <c r="N107" s="7">
        <f t="shared" si="23"/>
        <v>35.799999997252598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-23T14:22:13-0700',mode:absolute,to:'2017-01-23T17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4.4900000000000002E-2</v>
      </c>
      <c r="Z107" s="64">
        <f t="shared" si="30"/>
        <v>23.329499999999999</v>
      </c>
      <c r="AA107" s="64">
        <f t="shared" si="31"/>
        <v>23.284600000000001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2"/>
        <v>0195-23</v>
      </c>
      <c r="AE107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07" s="84" t="str">
        <f t="shared" si="34"/>
        <v>"C:\Program Files (x86)\AstroGrep\AstroGrep.exe" /spath="%USERPROFILE%\AppData\Local\Temp\OnboardLogs" /stypes="app*4016*20170123*"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195-23 --locoid 4016 --swversion DE.1.0.8.0 --startMP 204:449 --initTime 2017-01-23T15:22:13 --startdatetime 2017-01-23T15:30:12 --delay 1 --endMP 204:233295 --enddatetime 2017-01-23T16:06:00 --enforcementcount 0 &gt;&gt;C:\Users\stu\Documents\GitHub\eaglep3-reporting\EC\2017-01-23-refined-times.txt</v>
      </c>
      <c r="AI10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ID","value":"195-23"},{"id":16,"name":"Locomotive ID","value":"4016"},{"id":130,"name":"Impact","value":""},{"id":150,"name":"Time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4016 --day 2017-01-23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601</v>
      </c>
      <c r="B108" s="7">
        <v>4015</v>
      </c>
      <c r="C108" s="22" t="s">
        <v>196</v>
      </c>
      <c r="D108" s="22" t="s">
        <v>401</v>
      </c>
      <c r="E108" s="13">
        <v>42758.678032407406</v>
      </c>
      <c r="F108" s="13">
        <v>42758.684895833336</v>
      </c>
      <c r="G108" s="7">
        <v>2</v>
      </c>
      <c r="H108" s="22" t="s">
        <v>308</v>
      </c>
      <c r="I108" s="13">
        <v>42758.716284722221</v>
      </c>
      <c r="J108" s="7">
        <v>0</v>
      </c>
      <c r="K108" s="105" t="str">
        <f t="shared" si="21"/>
        <v>4015/4016</v>
      </c>
      <c r="L108" s="22" t="str">
        <f>VLOOKUP(A108,'Trips&amp;Operators'!$C$1:$G$99999,5,FALSE)</f>
        <v>CRAYTON QUNTRELL</v>
      </c>
      <c r="M108" s="6">
        <f t="shared" si="22"/>
        <v>3.1388888884976041E-2</v>
      </c>
      <c r="N108" s="7">
        <f t="shared" si="23"/>
        <v>45.199999994365498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-23T15:16:22-0700',mode:absolute,to:'2017-01-23T18:11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23.297999999999998</v>
      </c>
      <c r="Z108" s="64">
        <f t="shared" si="30"/>
        <v>1.67E-2</v>
      </c>
      <c r="AA108" s="64">
        <f t="shared" si="31"/>
        <v>23.281299999999998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2"/>
        <v>0196-23</v>
      </c>
      <c r="AE108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08" s="84" t="str">
        <f t="shared" si="34"/>
        <v>"C:\Program Files (x86)\AstroGrep\AstroGrep.exe" /spath="%USERPROFILE%\AppData\Local\Temp\OnboardLogs" /stypes="app*4015*20170124*"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196-23 --locoid 4015 --swversion DE.1.0.8.0 --startMP 204:232980 --initTime 2017-01-23T16:16:22 --startdatetime 2017-01-23T16:26:15 --delay 2 --endMP 204:167 --enddatetime 2017-01-23T17:11:27 --enforcementcount 0 &gt;&gt;C:\Users\stu\Documents\GitHub\eaglep3-reporting\EC\2017-01-23-refined-times.txt</v>
      </c>
      <c r="AI10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ID","value":"196-23"},{"id":16,"name":"Locomotive ID","value":"4015"},{"id":130,"name":"Impact","value":""},{"id":150,"name":"Time of Event (Mountain Time)","value":"17:11:27"},{"id":151,"name":"Denver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4015 --day 2017-01-23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593</v>
      </c>
      <c r="B109" s="7">
        <v>4009</v>
      </c>
      <c r="C109" s="22" t="s">
        <v>196</v>
      </c>
      <c r="D109" s="22" t="s">
        <v>713</v>
      </c>
      <c r="E109" s="13">
        <v>42758.651631944442</v>
      </c>
      <c r="F109" s="13">
        <v>42758.656643518516</v>
      </c>
      <c r="G109" s="7">
        <v>1</v>
      </c>
      <c r="H109" s="22" t="s">
        <v>714</v>
      </c>
      <c r="I109" s="13">
        <v>42758.682326388887</v>
      </c>
      <c r="J109" s="7">
        <v>0</v>
      </c>
      <c r="K109" s="105" t="str">
        <f t="shared" si="21"/>
        <v>4009/4010</v>
      </c>
      <c r="L109" s="22" t="str">
        <f>VLOOKUP(A109,'Trips&amp;Operators'!$C$1:$G$99999,5,FALSE)</f>
        <v>LEVERE CRAIG</v>
      </c>
      <c r="M109" s="6">
        <f t="shared" si="22"/>
        <v>2.5682870371383615E-2</v>
      </c>
      <c r="N109" s="7">
        <f t="shared" si="23"/>
        <v>36.983333334792405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-23T14:38:21-0700',mode:absolute,to:'2017-01-23T17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4.3700000000000003E-2</v>
      </c>
      <c r="Z109" s="64">
        <f t="shared" si="30"/>
        <v>23.3325</v>
      </c>
      <c r="AA109" s="64">
        <f t="shared" si="31"/>
        <v>23.288799999999998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2"/>
        <v>0197-23</v>
      </c>
      <c r="AE109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109" s="84" t="str">
        <f t="shared" si="34"/>
        <v>"C:\Program Files (x86)\AstroGrep\AstroGrep.exe" /spath="%USERPROFILE%\AppData\Local\Temp\OnboardLogs" /stypes="app*4009*20170123*"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197-23 --locoid 4009 --swversion DE.1.0.8.0 --startMP 204:437 --initTime 2017-01-23T15:38:21 --startdatetime 2017-01-23T15:45:34 --delay 1 --endMP 204:233325 --enddatetime 2017-01-23T16:22:33 --enforcementcount 0 &gt;&gt;C:\Users\stu\Documents\GitHub\eaglep3-reporting\EC\2017-01-23-refined-times.txt</v>
      </c>
      <c r="AI10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{"issue":{"subject":"","project_id":79,"tracker_id":40,"status_id":1,"priority_id":2,"assigned_to_id":23,"start_date":"2017-01-23","description":"","custom_fields":[{"id":1,"name":"Subdivision","value":"EC"},{"id":4,"name":"Milepost","value":"23.3325"},{"id":17,"name":"Train ID","value":"197-23"},{"id":16,"name":"Locomotive ID","value":"4009"},{"id":130,"name":"Impact","value":""},{"id":150,"name":"Time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4009 --day 2017-01-23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603</v>
      </c>
      <c r="B110" s="7">
        <v>4010</v>
      </c>
      <c r="C110" s="22" t="s">
        <v>196</v>
      </c>
      <c r="D110" s="22" t="s">
        <v>400</v>
      </c>
      <c r="E110" s="13">
        <v>42758.689120370371</v>
      </c>
      <c r="F110" s="13">
        <v>42758.695416666669</v>
      </c>
      <c r="G110" s="7">
        <v>1</v>
      </c>
      <c r="H110" s="22" t="s">
        <v>241</v>
      </c>
      <c r="I110" s="13">
        <v>42758.729872685188</v>
      </c>
      <c r="J110" s="7">
        <v>0</v>
      </c>
      <c r="K110" s="105" t="str">
        <f t="shared" si="21"/>
        <v>4009/4010</v>
      </c>
      <c r="L110" s="22" t="str">
        <f>VLOOKUP(A110,'Trips&amp;Operators'!$C$1:$G$99999,5,FALSE)</f>
        <v>LEVERE CRAIG</v>
      </c>
      <c r="M110" s="6">
        <f t="shared" si="22"/>
        <v>3.4456018518540077E-2</v>
      </c>
      <c r="N110" s="7">
        <f t="shared" si="23"/>
        <v>49.616666666697711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-23T15:32:20-0700',mode:absolute,to:'2017-01-23T18:31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23.3004</v>
      </c>
      <c r="Z110" s="64">
        <f t="shared" si="30"/>
        <v>1.54E-2</v>
      </c>
      <c r="AA110" s="64">
        <f t="shared" si="31"/>
        <v>23.285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2"/>
        <v>0198-23</v>
      </c>
      <c r="AE110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10" s="84" t="str">
        <f t="shared" si="34"/>
        <v>"C:\Program Files (x86)\AstroGrep\AstroGrep.exe" /spath="%USERPROFILE%\AppData\Local\Temp\OnboardLogs" /stypes="app*4010*20170124*"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198-23 --locoid 4010 --swversion DE.1.0.8.0 --startMP 204:233004 --initTime 2017-01-23T16:32:20 --startdatetime 2017-01-23T16:41:24 --delay 1 --endMP 204:154 --enddatetime 2017-01-23T17:31:01 --enforcementcount 0 &gt;&gt;C:\Users\stu\Documents\GitHub\eaglep3-reporting\EC\2017-01-23-refined-times.txt</v>
      </c>
      <c r="AI11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ID","value":"198-23"},{"id":16,"name":"Locomotive ID","value":"4010"},{"id":130,"name":"Impact","value":""},{"id":150,"name":"Time of Event (Mountain Time)","value":"17:31:01"},{"id":151,"name":"Denver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4010 --day 2017-01-23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596</v>
      </c>
      <c r="B111" s="7">
        <v>4011</v>
      </c>
      <c r="C111" s="22" t="s">
        <v>196</v>
      </c>
      <c r="D111" s="22" t="s">
        <v>366</v>
      </c>
      <c r="E111" s="13">
        <v>42758.663437499999</v>
      </c>
      <c r="F111" s="13">
        <v>42758.666851851849</v>
      </c>
      <c r="G111" s="7">
        <v>1</v>
      </c>
      <c r="H111" s="22" t="s">
        <v>711</v>
      </c>
      <c r="I111" s="13">
        <v>42758.691851851851</v>
      </c>
      <c r="J111" s="7">
        <v>0</v>
      </c>
      <c r="K111" s="105" t="str">
        <f t="shared" si="21"/>
        <v>4011/4012</v>
      </c>
      <c r="L111" s="22" t="str">
        <f>VLOOKUP(A111,'Trips&amp;Operators'!$C$1:$G$99999,5,FALSE)</f>
        <v>KILLION DAVID</v>
      </c>
      <c r="M111" s="6">
        <f t="shared" si="22"/>
        <v>2.5000000001455192E-2</v>
      </c>
      <c r="N111" s="7">
        <f t="shared" si="23"/>
        <v>36.000000002095476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-23T14:55:21-0700',mode:absolute,to:'2017-01-23T17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4.7100000000000003E-2</v>
      </c>
      <c r="Z111" s="64">
        <f t="shared" si="30"/>
        <v>23.327999999999999</v>
      </c>
      <c r="AA111" s="64">
        <f t="shared" si="31"/>
        <v>23.280899999999999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32"/>
        <v>0199-23</v>
      </c>
      <c r="AE111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11" s="84" t="str">
        <f t="shared" si="34"/>
        <v>"C:\Program Files (x86)\AstroGrep\AstroGrep.exe" /spath="%USERPROFILE%\AppData\Local\Temp\OnboardLogs" /stypes="app*4011*20170123*"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199-23 --locoid 4011 --swversion DE.1.0.8.0 --startMP 204:471 --initTime 2017-01-23T15:55:21 --startdatetime 2017-01-23T16:00:16 --delay 1 --endMP 204:233280 --enddatetime 2017-01-23T16:36:16 --enforcementcount 0 &gt;&gt;C:\Users\stu\Documents\GitHub\eaglep3-reporting\EC\2017-01-23-refined-times.txt</v>
      </c>
      <c r="AI11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{"issue":{"subject":"","project_id":79,"tracker_id":40,"status_id":1,"priority_id":2,"assigned_to_id":23,"start_date":"2017-01-23","description":"","custom_fields":[{"id":1,"name":"Subdivision","value":"EC"},{"id":4,"name":"Milepost","value":"23.328"},{"id":17,"name":"Train ID","value":"199-23"},{"id":16,"name":"Locomotive ID","value":"4011"},{"id":130,"name":"Impact","value":""},{"id":150,"name":"Time of Event (Mountain Time)","value":"16:36:16"},{"id":151,"name":"Denver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4011 --day 2017-01-23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608</v>
      </c>
      <c r="B112" s="7">
        <v>4012</v>
      </c>
      <c r="C112" s="22" t="s">
        <v>196</v>
      </c>
      <c r="D112" s="22" t="s">
        <v>356</v>
      </c>
      <c r="E112" s="13">
        <v>42758.697881944441</v>
      </c>
      <c r="F112" s="13">
        <v>42758.705729166664</v>
      </c>
      <c r="G112" s="7">
        <v>1</v>
      </c>
      <c r="H112" s="22" t="s">
        <v>200</v>
      </c>
      <c r="I112" s="13">
        <v>42758.736666666664</v>
      </c>
      <c r="J112" s="7">
        <v>0</v>
      </c>
      <c r="K112" s="105" t="str">
        <f t="shared" si="21"/>
        <v>4011/4012</v>
      </c>
      <c r="L112" s="22" t="str">
        <f>VLOOKUP(A112,'Trips&amp;Operators'!$C$1:$G$99999,5,FALSE)</f>
        <v>KILLION DAVID</v>
      </c>
      <c r="M112" s="6">
        <f t="shared" si="22"/>
        <v>3.0937499999708962E-2</v>
      </c>
      <c r="N112" s="7">
        <f t="shared" si="23"/>
        <v>44.549999999580905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-23T15:44:57-0700',mode:absolute,to:'2017-01-23T18:40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23.296500000000002</v>
      </c>
      <c r="Z112" s="64">
        <f t="shared" si="30"/>
        <v>1.4999999999999999E-2</v>
      </c>
      <c r="AA112" s="64">
        <f t="shared" si="31"/>
        <v>23.281500000000001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2"/>
        <v>0200-23</v>
      </c>
      <c r="AE112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12" s="84" t="str">
        <f t="shared" si="34"/>
        <v>"C:\Program Files (x86)\AstroGrep\AstroGrep.exe" /spath="%USERPROFILE%\AppData\Local\Temp\OnboardLogs" /stypes="app*4012*20170124*"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200-23 --locoid 4012 --swversion DE.1.0.8.0 --startMP 204:232965 --initTime 2017-01-23T16:44:57 --startdatetime 2017-01-23T16:56:15 --delay 1 --endMP 204:150 --enddatetime 2017-01-23T17:40:48 --enforcementcount 0 &gt;&gt;C:\Users\stu\Documents\GitHub\eaglep3-reporting\EC\2017-01-23-refined-times.txt</v>
      </c>
      <c r="AI11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ID","value":"200-23"},{"id":16,"name":"Locomotive ID","value":"4012"},{"id":130,"name":"Impact","value":""},{"id":150,"name":"Time of Event (Mountain Time)","value":"17:40:48"},{"id":151,"name":"Denver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4012 --day 2017-01-23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597</v>
      </c>
      <c r="B113" s="7">
        <v>4051</v>
      </c>
      <c r="C113" s="22" t="s">
        <v>196</v>
      </c>
      <c r="D113" s="22" t="s">
        <v>715</v>
      </c>
      <c r="E113" s="13">
        <v>42758.669409722221</v>
      </c>
      <c r="F113" s="13">
        <v>42758.677534722221</v>
      </c>
      <c r="G113" s="7">
        <v>1</v>
      </c>
      <c r="H113" s="22" t="s">
        <v>239</v>
      </c>
      <c r="I113" s="13">
        <v>42758.709641203706</v>
      </c>
      <c r="J113" s="7">
        <v>0</v>
      </c>
      <c r="K113" s="105" t="str">
        <f t="shared" si="21"/>
        <v>4051/4052</v>
      </c>
      <c r="L113" s="22" t="str">
        <f>VLOOKUP(A113,'Trips&amp;Operators'!$C$1:$G$99999,5,FALSE)</f>
        <v>BRANDNER MELINDA</v>
      </c>
      <c r="M113" s="6">
        <f t="shared" si="22"/>
        <v>3.2106481485243421E-2</v>
      </c>
      <c r="N113" s="7">
        <f t="shared" si="23"/>
        <v>46.233333338750526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-23T15:03:57-0700',mode:absolute,to:'2017-01-23T18:01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0.14860000000000001</v>
      </c>
      <c r="Z113" s="64">
        <f t="shared" si="30"/>
        <v>23.330400000000001</v>
      </c>
      <c r="AA113" s="64">
        <f t="shared" si="31"/>
        <v>23.181800000000003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2"/>
        <v>0201-23</v>
      </c>
      <c r="AE113" s="87" t="str">
        <f t="shared" si="33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13" s="84" t="str">
        <f t="shared" si="34"/>
        <v>"C:\Program Files (x86)\AstroGrep\AstroGrep.exe" /spath="%USERPROFILE%\AppData\Local\Temp\OnboardLogs" /stypes="app*4051*20170124*"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201-23 --locoid 4051 --swversion DE.1.0.8.0 --startMP 204:1486 --initTime 2017-01-23T16:03:57 --startdatetime 2017-01-23T16:15:39 --delay 1 --endMP 204:233304 --enddatetime 2017-01-23T17:01:53 --enforcementcount 0 &gt;&gt;C:\Users\stu\Documents\GitHub\eaglep3-reporting\EC\2017-01-23-refined-times.txt</v>
      </c>
      <c r="AI11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{"issue":{"subject":"","project_id":79,"tracker_id":40,"status_id":1,"priority_id":2,"assigned_to_id":23,"start_date":"2017-01-23","description":"","custom_fields":[{"id":1,"name":"Subdivision","value":"EC"},{"id":4,"name":"Milepost","value":"23.3304"},{"id":17,"name":"Train ID","value":"201-23"},{"id":16,"name":"Locomotive ID","value":"4051"},{"id":130,"name":"Impact","value":""},{"id":150,"name":"Time of Event (Mountain Time)","value":"17:01:53"},{"id":151,"name":"Denver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4051 --day 2017-01-23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609</v>
      </c>
      <c r="B114" s="7">
        <v>4052</v>
      </c>
      <c r="C114" s="22" t="s">
        <v>196</v>
      </c>
      <c r="D114" s="22" t="s">
        <v>390</v>
      </c>
      <c r="E114" s="13">
        <v>42758.713009259256</v>
      </c>
      <c r="F114" s="13">
        <v>42758.716168981482</v>
      </c>
      <c r="G114" s="7">
        <v>1</v>
      </c>
      <c r="H114" s="22" t="s">
        <v>241</v>
      </c>
      <c r="I114" s="13">
        <v>42758.746238425927</v>
      </c>
      <c r="J114" s="7">
        <v>0</v>
      </c>
      <c r="K114" s="105" t="str">
        <f t="shared" si="21"/>
        <v>4051/4052</v>
      </c>
      <c r="L114" s="22" t="str">
        <f>VLOOKUP(A114,'Trips&amp;Operators'!$C$1:$G$99999,5,FALSE)</f>
        <v>BRANDNER MELINDA</v>
      </c>
      <c r="M114" s="6">
        <f t="shared" si="22"/>
        <v>3.0069444444961846E-2</v>
      </c>
      <c r="N114" s="7">
        <f t="shared" si="23"/>
        <v>43.300000000745058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-23T16:06:44-0700',mode:absolute,to:'2017-01-23T18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23.298500000000001</v>
      </c>
      <c r="Z114" s="64">
        <f t="shared" si="30"/>
        <v>1.54E-2</v>
      </c>
      <c r="AA114" s="64">
        <f t="shared" si="31"/>
        <v>23.283100000000001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2"/>
        <v>0202-23</v>
      </c>
      <c r="AE114" s="87" t="str">
        <f t="shared" si="33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114" s="84" t="str">
        <f t="shared" si="34"/>
        <v>"C:\Program Files (x86)\AstroGrep\AstroGrep.exe" /spath="%USERPROFILE%\AppData\Local\Temp\OnboardLogs" /stypes="app*4052*20170124*"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202-23 --locoid 4052 --swversion DE.1.0.8.0 --startMP 204:232985 --initTime 2017-01-23T17:06:44 --startdatetime 2017-01-23T17:11:17 --delay 1 --endMP 204:154 --enddatetime 2017-01-23T17:54:35 --enforcementcount 0 &gt;&gt;C:\Users\stu\Documents\GitHub\eaglep3-reporting\EC\2017-01-23-refined-times.txt</v>
      </c>
      <c r="AI11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ID","value":"202-23"},{"id":16,"name":"Locomotive ID","value":"4052"},{"id":130,"name":"Impact","value":""},{"id":150,"name":"Time of Event (Mountain Time)","value":"17:54:35"},{"id":151,"name":"Denver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4052 --day 2017-01-23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444</v>
      </c>
      <c r="B115" s="7">
        <v>4029</v>
      </c>
      <c r="C115" s="22" t="s">
        <v>196</v>
      </c>
      <c r="D115" s="22" t="s">
        <v>716</v>
      </c>
      <c r="E115" s="13">
        <v>42758.684259259258</v>
      </c>
      <c r="F115" s="13">
        <v>42758.687916666669</v>
      </c>
      <c r="G115" s="7">
        <v>2</v>
      </c>
      <c r="H115" s="22" t="s">
        <v>388</v>
      </c>
      <c r="I115" s="13">
        <v>42758.720185185186</v>
      </c>
      <c r="J115" s="7">
        <v>0</v>
      </c>
      <c r="K115" s="105" t="str">
        <f t="shared" si="21"/>
        <v>4029/4030</v>
      </c>
      <c r="L115" s="22" t="str">
        <f>VLOOKUP(A115,'Trips&amp;Operators'!$C$1:$G$99999,5,FALSE)</f>
        <v>DAVIS MICHAEL</v>
      </c>
      <c r="M115" s="6">
        <f t="shared" si="22"/>
        <v>3.2268518516502809E-2</v>
      </c>
      <c r="N115" s="7">
        <f t="shared" si="23"/>
        <v>46.466666663764045</v>
      </c>
      <c r="O115" s="7"/>
      <c r="P115" s="7"/>
      <c r="Q115" s="23"/>
      <c r="R115" s="23"/>
      <c r="S115" s="32">
        <f t="shared" si="24"/>
        <v>1</v>
      </c>
      <c r="T115" s="47" t="str">
        <f t="shared" si="25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-23T15:25:20-0700',mode:absolute,to:'2017-01-23T18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4.6699999999999998E-2</v>
      </c>
      <c r="Z115" s="64">
        <f t="shared" si="30"/>
        <v>23.335100000000001</v>
      </c>
      <c r="AA115" s="64">
        <f t="shared" si="31"/>
        <v>23.288399999999999</v>
      </c>
      <c r="AB115" s="61" t="str">
        <f>VLOOKUP(A115,Enforcements!$C$7:$K$16,8,0)</f>
        <v>Bulletin (2)</v>
      </c>
      <c r="AC115" s="57" t="str">
        <f>VLOOKUP(A115,Enforcements!$C$7:$E$16,3,0)</f>
        <v>GRADE CROSSING</v>
      </c>
      <c r="AD115" s="58" t="str">
        <f t="shared" si="32"/>
        <v>0203-23</v>
      </c>
      <c r="AE115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15" s="84" t="str">
        <f t="shared" si="34"/>
        <v>"C:\Program Files (x86)\AstroGrep\AstroGrep.exe" /spath="%USERPROFILE%\AppData\Local\Temp\OnboardLogs" /stypes="app*4029*20170124*"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203-23 --locoid 4029 --swversion DE.1.0.8.0 --startMP 204:467 --initTime 2017-01-23T16:25:20 --startdatetime 2017-01-23T16:30:36 --delay 2 --endMP 204:233351 --enddatetime 2017-01-23T17:17:04 --enforcementcount 0 &gt;&gt;C:\Users\stu\Documents\GitHub\eaglep3-reporting\EC\2017-01-23-refined-times.txt</v>
      </c>
      <c r="AI11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{"issue":{"subject":"","project_id":79,"tracker_id":40,"status_id":1,"priority_id":2,"assigned_to_id":23,"start_date":"2017-01-23","description":"","custom_fields":[{"id":1,"name":"Subdivision","value":"EC"},{"id":4,"name":"Milepost","value":"23.3351"},{"id":17,"name":"Train ID","value":"203-23"},{"id":16,"name":"Locomotive ID","value":"4029"},{"id":130,"name":"Impact","value":""},{"id":150,"name":"Time of Event (Mountain Time)","value":"17:17:04"},{"id":151,"name":"Denver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4029 --day 2017-01-23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447</v>
      </c>
      <c r="B116" s="7">
        <v>4030</v>
      </c>
      <c r="C116" s="22" t="s">
        <v>196</v>
      </c>
      <c r="D116" s="22" t="s">
        <v>267</v>
      </c>
      <c r="E116" s="13">
        <v>42758.725324074076</v>
      </c>
      <c r="F116" s="13">
        <v>42758.726701388892</v>
      </c>
      <c r="G116" s="7">
        <v>1</v>
      </c>
      <c r="H116" s="22" t="s">
        <v>212</v>
      </c>
      <c r="I116" s="13">
        <v>42758.761458333334</v>
      </c>
      <c r="J116" s="7">
        <v>0</v>
      </c>
      <c r="K116" s="105" t="str">
        <f t="shared" si="21"/>
        <v>4029/4030</v>
      </c>
      <c r="L116" s="22" t="str">
        <f>VLOOKUP(A116,'Trips&amp;Operators'!$C$1:$G$99999,5,FALSE)</f>
        <v>DAVIS MICHAEL</v>
      </c>
      <c r="M116" s="6">
        <f t="shared" si="22"/>
        <v>3.4756944442051463E-2</v>
      </c>
      <c r="N116" s="7">
        <f t="shared" si="23"/>
        <v>50.049999996554106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-23T16:24:28-0700',mode:absolute,to:'2017-01-23T19:16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23.297799999999999</v>
      </c>
      <c r="Z116" s="64">
        <f t="shared" si="30"/>
        <v>1.47E-2</v>
      </c>
      <c r="AA116" s="64">
        <f t="shared" si="31"/>
        <v>23.283099999999997</v>
      </c>
      <c r="AB116" s="61" t="str">
        <f>VLOOKUP(A116,Enforcements!$C$7:$K$16,8,0)</f>
        <v>Bulletin (2)</v>
      </c>
      <c r="AC116" s="57" t="str">
        <f>VLOOKUP(A116,Enforcements!$C$7:$E$16,3,0)</f>
        <v>GRADE CROSSING</v>
      </c>
      <c r="AD116" s="58" t="str">
        <f t="shared" si="32"/>
        <v>0204-23</v>
      </c>
      <c r="AE116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16" s="84" t="str">
        <f t="shared" si="34"/>
        <v>"C:\Program Files (x86)\AstroGrep\AstroGrep.exe" /spath="%USERPROFILE%\AppData\Local\Temp\OnboardLogs" /stypes="app*4030*20170124*"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204-23 --locoid 4030 --swversion DE.1.0.8.0 --startMP 204:232978 --initTime 2017-01-23T17:24:28 --startdatetime 2017-01-23T17:26:27 --delay 1 --endMP 204:147 --enddatetime 2017-01-23T18:16:30 --enforcementcount 0 &gt;&gt;C:\Users\stu\Documents\GitHub\eaglep3-reporting\EC\2017-01-23-refined-times.txt</v>
      </c>
      <c r="AI11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ID","value":"204-23"},{"id":16,"name":"Locomotive ID","value":"4030"},{"id":130,"name":"Impact","value":""},{"id":150,"name":"Time of Event (Mountain Time)","value":"18:16:30"},{"id":151,"name":"Denver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4030 --day 2017-01-23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607</v>
      </c>
      <c r="B117" s="7">
        <v>4022</v>
      </c>
      <c r="C117" s="22" t="s">
        <v>196</v>
      </c>
      <c r="D117" s="22" t="s">
        <v>366</v>
      </c>
      <c r="E117" s="13">
        <v>42758.69771990741</v>
      </c>
      <c r="F117" s="13">
        <v>42758.700057870374</v>
      </c>
      <c r="G117" s="7">
        <v>1</v>
      </c>
      <c r="H117" s="22" t="s">
        <v>236</v>
      </c>
      <c r="I117" s="13">
        <v>42758.730682870373</v>
      </c>
      <c r="J117" s="7">
        <v>0</v>
      </c>
      <c r="K117" s="105" t="str">
        <f t="shared" si="21"/>
        <v>4021/4022</v>
      </c>
      <c r="L117" s="22" t="str">
        <f>VLOOKUP(A117,'Trips&amp;Operators'!$C$1:$G$99999,5,FALSE)</f>
        <v>CLARK KATHLEEN</v>
      </c>
      <c r="M117" s="6">
        <f t="shared" si="22"/>
        <v>3.0624999999417923E-2</v>
      </c>
      <c r="N117" s="7">
        <f t="shared" si="23"/>
        <v>44.09999999916181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-23T15:44:43-0700',mode:absolute,to:'2017-01-23T18:32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4.7100000000000003E-2</v>
      </c>
      <c r="Z117" s="64">
        <f t="shared" si="30"/>
        <v>23.3293</v>
      </c>
      <c r="AA117" s="64">
        <f t="shared" si="31"/>
        <v>23.2822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2"/>
        <v>0205-23</v>
      </c>
      <c r="AE117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17" s="84" t="str">
        <f t="shared" si="34"/>
        <v>"C:\Program Files (x86)\AstroGrep\AstroGrep.exe" /spath="%USERPROFILE%\AppData\Local\Temp\OnboardLogs" /stypes="app*4022*20170124*"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205-23 --locoid 4022 --swversion DE.1.0.8.0 --startMP 204:471 --initTime 2017-01-23T16:44:43 --startdatetime 2017-01-23T16:48:05 --delay 1 --endMP 204:233293 --enddatetime 2017-01-23T17:32:11 --enforcementcount 0 &gt;&gt;C:\Users\stu\Documents\GitHub\eaglep3-reporting\EC\2017-01-23-refined-times.txt</v>
      </c>
      <c r="AI11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ID","value":"205-23"},{"id":16,"name":"Locomotive ID","value":"4022"},{"id":130,"name":"Impact","value":""},{"id":150,"name":"Time of Event (Mountain Time)","value":"17:32:11"},{"id":151,"name":"Denver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4022 --day 2017-01-23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615</v>
      </c>
      <c r="B118" s="7">
        <v>4021</v>
      </c>
      <c r="C118" s="22" t="s">
        <v>196</v>
      </c>
      <c r="D118" s="22" t="s">
        <v>717</v>
      </c>
      <c r="E118" s="13">
        <v>42758.733831018515</v>
      </c>
      <c r="F118" s="13">
        <v>42758.736990740741</v>
      </c>
      <c r="G118" s="7">
        <v>1</v>
      </c>
      <c r="H118" s="22" t="s">
        <v>221</v>
      </c>
      <c r="I118" s="13">
        <v>42758.770729166667</v>
      </c>
      <c r="J118" s="7">
        <v>0</v>
      </c>
      <c r="K118" s="105" t="str">
        <f t="shared" si="21"/>
        <v>4021/4022</v>
      </c>
      <c r="L118" s="22" t="str">
        <f>VLOOKUP(A118,'Trips&amp;Operators'!$C$1:$G$99999,5,FALSE)</f>
        <v>CLARK KATHLEEN</v>
      </c>
      <c r="M118" s="6">
        <f t="shared" si="22"/>
        <v>3.3738425925548654E-2</v>
      </c>
      <c r="N118" s="7">
        <f t="shared" si="23"/>
        <v>48.583333332790062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-23T16:36:43-0700',mode:absolute,to:'2017-01-23T19:29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23.296399999999998</v>
      </c>
      <c r="Z118" s="64">
        <f t="shared" si="30"/>
        <v>1.52E-2</v>
      </c>
      <c r="AA118" s="64">
        <f t="shared" si="31"/>
        <v>23.281199999999998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2"/>
        <v>0206-23</v>
      </c>
      <c r="AE118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18" s="84" t="str">
        <f t="shared" si="34"/>
        <v>"C:\Program Files (x86)\AstroGrep\AstroGrep.exe" /spath="%USERPROFILE%\AppData\Local\Temp\OnboardLogs" /stypes="app*4021*20170124*"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206-23 --locoid 4021 --swversion DE.1.0.8.0 --startMP 204:232964 --initTime 2017-01-23T17:36:43 --startdatetime 2017-01-23T17:41:16 --delay 1 --endMP 204:152 --enddatetime 2017-01-23T18:29:51 --enforcementcount 0 &gt;&gt;C:\Users\stu\Documents\GitHub\eaglep3-reporting\EC\2017-01-23-refined-times.txt</v>
      </c>
      <c r="AI11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ID","value":"206-23"},{"id":16,"name":"Locomotive ID","value":"4021"},{"id":130,"name":"Impact","value":""},{"id":150,"name":"Time of Event (Mountain Time)","value":"18:29:51"},{"id":151,"name":"Denver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4021 --day 2017-01-23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446</v>
      </c>
      <c r="B119" s="7">
        <v>4046</v>
      </c>
      <c r="C119" s="22" t="s">
        <v>196</v>
      </c>
      <c r="D119" s="22" t="s">
        <v>306</v>
      </c>
      <c r="E119" s="13">
        <v>42758.70449074074</v>
      </c>
      <c r="F119" s="13">
        <v>42758.708506944444</v>
      </c>
      <c r="G119" s="7">
        <v>1</v>
      </c>
      <c r="H119" s="22" t="s">
        <v>718</v>
      </c>
      <c r="I119" s="13">
        <v>42758.734363425923</v>
      </c>
      <c r="J119" s="7">
        <v>0</v>
      </c>
      <c r="K119" s="105" t="str">
        <f t="shared" si="21"/>
        <v>4045/4046</v>
      </c>
      <c r="L119" s="22" t="str">
        <f>VLOOKUP(A119,'Trips&amp;Operators'!$C$1:$G$99999,5,FALSE)</f>
        <v>ROMERO CHAD</v>
      </c>
      <c r="M119" s="6">
        <f t="shared" si="22"/>
        <v>2.5856481479422655E-2</v>
      </c>
      <c r="N119" s="7">
        <f t="shared" si="23"/>
        <v>37.233333330368623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-23T15:54:28-0700',mode:absolute,to:'2017-01-23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4.6399999999999997E-2</v>
      </c>
      <c r="Z119" s="64">
        <f t="shared" si="30"/>
        <v>23.327400000000001</v>
      </c>
      <c r="AA119" s="64">
        <f t="shared" si="31"/>
        <v>23.281000000000002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2"/>
        <v>0207-23</v>
      </c>
      <c r="AE119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119" s="84" t="str">
        <f t="shared" si="34"/>
        <v>"C:\Program Files (x86)\AstroGrep\AstroGrep.exe" /spath="%USERPROFILE%\AppData\Local\Temp\OnboardLogs" /stypes="app*4046*20170124*"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207-23 --locoid 4046 --swversion DE.1.0.8.0 --startMP 204:464 --initTime 2017-01-23T16:54:28 --startdatetime 2017-01-23T17:00:15 --delay 1 --endMP 204:233274 --enddatetime 2017-01-23T17:37:29 --enforcementcount 0 &gt;&gt;C:\Users\stu\Documents\GitHub\eaglep3-reporting\EC\2017-01-23-refined-times.txt</v>
      </c>
      <c r="AI11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{"issue":{"subject":"","project_id":79,"tracker_id":40,"status_id":1,"priority_id":2,"assigned_to_id":23,"start_date":"2017-01-23","description":"","custom_fields":[{"id":1,"name":"Subdivision","value":"EC"},{"id":4,"name":"Milepost","value":"23.3274"},{"id":17,"name":"Train ID","value":"207-23"},{"id":16,"name":"Locomotive ID","value":"4046"},{"id":130,"name":"Impact","value":""},{"id":150,"name":"Time of Event (Mountain Time)","value":"17:37:29"},{"id":151,"name":"Denver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4046 --day 2017-01-23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"%USERPROFILE%\AppData\Local\Temp\OnboardLogs"\RTDC4046\*4046*20170124* | grep -SE "(Enforcement Action)|(\[TIMEOUT)|(CHR.+\|PRM\|1\|D.+(SWITCH|SIGNAL).+UNKNOWN)" - &gt;&gt; 2017-01-23-UncaughtWiMAX.txt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618</v>
      </c>
      <c r="B120" s="7">
        <v>4045</v>
      </c>
      <c r="C120" s="22" t="s">
        <v>196</v>
      </c>
      <c r="D120" s="22" t="s">
        <v>690</v>
      </c>
      <c r="E120" s="13">
        <v>42758.737754629627</v>
      </c>
      <c r="F120" s="13">
        <v>42758.747372685182</v>
      </c>
      <c r="G120" s="7">
        <v>1</v>
      </c>
      <c r="H120" s="22" t="s">
        <v>686</v>
      </c>
      <c r="I120" s="13">
        <v>42758.774976851855</v>
      </c>
      <c r="J120" s="7">
        <v>0</v>
      </c>
      <c r="K120" s="105" t="str">
        <f t="shared" si="21"/>
        <v>4045/4046</v>
      </c>
      <c r="L120" s="22" t="str">
        <f>VLOOKUP(A120,'Trips&amp;Operators'!$C$1:$G$99999,5,FALSE)</f>
        <v>ROMERO CHAD</v>
      </c>
      <c r="M120" s="6">
        <f t="shared" si="22"/>
        <v>2.7604166672972497E-2</v>
      </c>
      <c r="N120" s="7">
        <f t="shared" si="23"/>
        <v>39.750000009080395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-23T16:42:22-0700',mode:absolute,to:'2017-01-23T19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23.296099999999999</v>
      </c>
      <c r="Z120" s="64">
        <f t="shared" si="30"/>
        <v>1.29E-2</v>
      </c>
      <c r="AA120" s="64">
        <f t="shared" si="31"/>
        <v>23.283200000000001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2"/>
        <v>0208-23</v>
      </c>
      <c r="AE120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120" s="84" t="str">
        <f t="shared" si="34"/>
        <v>"C:\Program Files (x86)\AstroGrep\AstroGrep.exe" /spath="%USERPROFILE%\AppData\Local\Temp\OnboardLogs" /stypes="app*4045*20170124*"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208-23 --locoid 4045 --swversion DE.1.0.8.0 --startMP 204:232961 --initTime 2017-01-23T17:42:22 --startdatetime 2017-01-23T17:56:13 --delay 1 --endMP 204:129 --enddatetime 2017-01-23T18:35:58 --enforcementcount 0 &gt;&gt;C:\Users\stu\Documents\GitHub\eaglep3-reporting\EC\2017-01-23-refined-times.txt</v>
      </c>
      <c r="AI12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ID","value":"208-23"},{"id":16,"name":"Locomotive ID","value":"4045"},{"id":130,"name":"Impact","value":""},{"id":150,"name":"Time of Event (Mountain Time)","value":"18:35:58"},{"id":151,"name":"Denver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4045 --day 2017-01-23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"%USERPROFILE%\AppData\Local\Temp\OnboardLogs"\RTDC4045\*4045*20170124* | grep -SE "(Enforcement Action)|(\[TIMEOUT)|(CHR.+\|PRM\|1\|D.+(SWITCH|SIGNAL).+UNKNOWN)" - &gt;&gt; 2017-01-23-UncaughtWiMAX.txt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612</v>
      </c>
      <c r="B121" s="7">
        <v>4016</v>
      </c>
      <c r="C121" s="22" t="s">
        <v>196</v>
      </c>
      <c r="D121" s="22" t="s">
        <v>306</v>
      </c>
      <c r="E121" s="13">
        <v>42758.719502314816</v>
      </c>
      <c r="F121" s="13">
        <v>42758.720914351848</v>
      </c>
      <c r="G121" s="7">
        <v>1</v>
      </c>
      <c r="H121" s="22" t="s">
        <v>360</v>
      </c>
      <c r="I121" s="13">
        <v>42758.747245370374</v>
      </c>
      <c r="J121" s="7">
        <v>0</v>
      </c>
      <c r="K121" s="105" t="str">
        <f t="shared" si="21"/>
        <v>4015/4016</v>
      </c>
      <c r="L121" s="22" t="str">
        <f>VLOOKUP(A121,'Trips&amp;Operators'!$C$1:$G$99999,5,FALSE)</f>
        <v>CHANDLER KELVIN</v>
      </c>
      <c r="M121" s="6">
        <f t="shared" si="22"/>
        <v>2.6331018525524996E-2</v>
      </c>
      <c r="N121" s="7">
        <f t="shared" si="23"/>
        <v>37.916666676755995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-23T16:16:05-0700',mode:absolute,to:'2017-01-23T18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4.6399999999999997E-2</v>
      </c>
      <c r="Z121" s="64">
        <f t="shared" si="30"/>
        <v>23.3291</v>
      </c>
      <c r="AA121" s="64">
        <f t="shared" si="31"/>
        <v>23.282700000000002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2"/>
        <v>0209-23</v>
      </c>
      <c r="AE121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21" s="84" t="str">
        <f t="shared" si="34"/>
        <v>"C:\Program Files (x86)\AstroGrep\AstroGrep.exe" /spath="%USERPROFILE%\AppData\Local\Temp\OnboardLogs" /stypes="app*4016*20170124*"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209-23 --locoid 4016 --swversion DE.1.0.8.0 --startMP 204:464 --initTime 2017-01-23T17:16:05 --startdatetime 2017-01-23T17:18:07 --delay 1 --endMP 204:233291 --enddatetime 2017-01-23T17:56:02 --enforcementcount 0 &gt;&gt;C:\Users\stu\Documents\GitHub\eaglep3-reporting\EC\2017-01-23-refined-times.txt</v>
      </c>
      <c r="AI12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{"issue":{"subject":"","project_id":79,"tracker_id":40,"status_id":1,"priority_id":2,"assigned_to_id":23,"start_date":"2017-01-23","description":"","custom_fields":[{"id":1,"name":"Subdivision","value":"EC"},{"id":4,"name":"Milepost","value":"23.3291"},{"id":17,"name":"Train ID","value":"209-23"},{"id":16,"name":"Locomotive ID","value":"4016"},{"id":130,"name":"Impact","value":""},{"id":150,"name":"Time of Event (Mountain Time)","value":"17:56:02"},{"id":151,"name":"Denver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4016 --day 2017-01-23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622</v>
      </c>
      <c r="B122" s="7">
        <v>4015</v>
      </c>
      <c r="C122" s="22" t="s">
        <v>196</v>
      </c>
      <c r="D122" s="22" t="s">
        <v>719</v>
      </c>
      <c r="E122" s="13">
        <v>42758.754212962966</v>
      </c>
      <c r="F122" s="13">
        <v>42758.757905092592</v>
      </c>
      <c r="G122" s="7">
        <v>1</v>
      </c>
      <c r="H122" s="22" t="s">
        <v>276</v>
      </c>
      <c r="I122" s="13">
        <v>42758.787291666667</v>
      </c>
      <c r="J122" s="7">
        <v>0</v>
      </c>
      <c r="K122" s="105" t="str">
        <f t="shared" si="21"/>
        <v>4015/4016</v>
      </c>
      <c r="L122" s="22" t="str">
        <f>VLOOKUP(A122,'Trips&amp;Operators'!$C$1:$G$99999,5,FALSE)</f>
        <v>CHANDLER KELVIN</v>
      </c>
      <c r="M122" s="6">
        <f t="shared" si="22"/>
        <v>2.9386574075033423E-2</v>
      </c>
      <c r="N122" s="7">
        <f t="shared" si="23"/>
        <v>42.316666668048128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-23T17:06:04-0700',mode:absolute,to:'2017-01-23T19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23.2972</v>
      </c>
      <c r="Z122" s="64">
        <f t="shared" si="30"/>
        <v>1.6500000000000001E-2</v>
      </c>
      <c r="AA122" s="64">
        <f t="shared" si="31"/>
        <v>23.2807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2"/>
        <v>0210-23</v>
      </c>
      <c r="AE122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22" s="84" t="str">
        <f t="shared" si="34"/>
        <v>"C:\Program Files (x86)\AstroGrep\AstroGrep.exe" /spath="%USERPROFILE%\AppData\Local\Temp\OnboardLogs" /stypes="app*4015*20170124*"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210-23 --locoid 4015 --swversion DE.1.0.8.0 --startMP 204:232972 --initTime 2017-01-23T18:06:04 --startdatetime 2017-01-23T18:11:23 --delay 1 --endMP 204:165 --enddatetime 2017-01-23T18:53:42 --enforcementcount 0 &gt;&gt;C:\Users\stu\Documents\GitHub\eaglep3-reporting\EC\2017-01-23-refined-times.txt</v>
      </c>
      <c r="AI12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ID","value":"210-23"},{"id":16,"name":"Locomotive ID","value":"4015"},{"id":130,"name":"Impact","value":""},{"id":150,"name":"Time of Event (Mountain Time)","value":"18:53:42"},{"id":151,"name":"Denver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4015 --day 2017-01-23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</row>
    <row r="123" spans="1:91" s="21" customFormat="1" x14ac:dyDescent="0.25">
      <c r="A123" s="34" t="s">
        <v>614</v>
      </c>
      <c r="B123" s="7">
        <v>4009</v>
      </c>
      <c r="C123" s="22" t="s">
        <v>196</v>
      </c>
      <c r="D123" s="22" t="s">
        <v>306</v>
      </c>
      <c r="E123" s="13">
        <v>42758.731400462966</v>
      </c>
      <c r="F123" s="13">
        <v>42758.733229166668</v>
      </c>
      <c r="G123" s="7">
        <v>1</v>
      </c>
      <c r="H123" s="22" t="s">
        <v>259</v>
      </c>
      <c r="I123" s="13">
        <v>42758.760497685187</v>
      </c>
      <c r="J123" s="7">
        <v>0</v>
      </c>
      <c r="K123" s="105" t="str">
        <f t="shared" si="21"/>
        <v>4009/4010</v>
      </c>
      <c r="L123" s="22" t="str">
        <f>VLOOKUP(A123,'Trips&amp;Operators'!$C$1:$G$99999,5,FALSE)</f>
        <v>CRAYTON QUNTRELL</v>
      </c>
      <c r="M123" s="6">
        <f t="shared" si="22"/>
        <v>2.7268518519122154E-2</v>
      </c>
      <c r="N123" s="7">
        <f t="shared" si="23"/>
        <v>39.266666667535901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-23T16:33:13-0700',mode:absolute,to:'2017-01-23T19:15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4.6399999999999997E-2</v>
      </c>
      <c r="Z123" s="64">
        <f t="shared" si="30"/>
        <v>23.329499999999999</v>
      </c>
      <c r="AA123" s="64">
        <f t="shared" si="31"/>
        <v>23.283100000000001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2"/>
        <v>0211-23</v>
      </c>
      <c r="AE123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123" s="84" t="str">
        <f t="shared" si="34"/>
        <v>"C:\Program Files (x86)\AstroGrep\AstroGrep.exe" /spath="%USERPROFILE%\AppData\Local\Temp\OnboardLogs" /stypes="app*4009*20170124*"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211-23 --locoid 4009 --swversion DE.1.0.8.0 --startMP 204:464 --initTime 2017-01-23T17:33:13 --startdatetime 2017-01-23T17:35:51 --delay 1 --endMP 204:233295 --enddatetime 2017-01-23T18:15:07 --enforcementcount 0 &gt;&gt;C:\Users\stu\Documents\GitHub\eaglep3-reporting\EC\2017-01-23-refined-times.txt</v>
      </c>
      <c r="AI12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ID","value":"211-23"},{"id":16,"name":"Locomotive ID","value":"4009"},{"id":130,"name":"Impact","value":""},{"id":150,"name":"Time of Event (Mountain Time)","value":"18:15:07"},{"id":151,"name":"Denver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4009 --day 2017-01-23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4" t="s">
        <v>628</v>
      </c>
      <c r="B124" s="7">
        <v>4010</v>
      </c>
      <c r="C124" s="22" t="s">
        <v>196</v>
      </c>
      <c r="D124" s="22" t="s">
        <v>696</v>
      </c>
      <c r="E124" s="13">
        <v>42758.765497685185</v>
      </c>
      <c r="F124" s="13">
        <v>42758.768599537034</v>
      </c>
      <c r="G124" s="7">
        <v>2</v>
      </c>
      <c r="H124" s="22" t="s">
        <v>697</v>
      </c>
      <c r="I124" s="13">
        <v>42758.797233796293</v>
      </c>
      <c r="J124" s="7">
        <v>0</v>
      </c>
      <c r="K124" s="105" t="str">
        <f t="shared" si="21"/>
        <v>4009/4010</v>
      </c>
      <c r="L124" s="22" t="str">
        <f>VLOOKUP(A124,'Trips&amp;Operators'!$C$1:$G$99999,5,FALSE)</f>
        <v>CRAYTON QUNTRELL</v>
      </c>
      <c r="M124" s="6">
        <f t="shared" si="22"/>
        <v>2.8634259258979E-2</v>
      </c>
      <c r="N124" s="7">
        <f t="shared" si="23"/>
        <v>41.23333333292976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-23T17:22:19-0700',mode:absolute,to:'2017-01-23T20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23.297499999999999</v>
      </c>
      <c r="Z124" s="64">
        <f t="shared" si="30"/>
        <v>1.6899999999999998E-2</v>
      </c>
      <c r="AA124" s="64">
        <f t="shared" si="31"/>
        <v>23.2806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2"/>
        <v>0212-23</v>
      </c>
      <c r="AE124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24" s="84" t="str">
        <f t="shared" si="34"/>
        <v>"C:\Program Files (x86)\AstroGrep\AstroGrep.exe" /spath="%USERPROFILE%\AppData\Local\Temp\OnboardLogs" /stypes="app*4010*20170124*"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212-23 --locoid 4010 --swversion DE.1.0.8.0 --startMP 204:232975 --initTime 2017-01-23T18:22:19 --startdatetime 2017-01-23T18:26:47 --delay 2 --endMP 204:169 --enddatetime 2017-01-23T19:08:01 --enforcementcount 0 &gt;&gt;C:\Users\stu\Documents\GitHub\eaglep3-reporting\EC\2017-01-23-refined-times.txt</v>
      </c>
      <c r="AI12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ID","value":"212-23"},{"id":16,"name":"Locomotive ID","value":"4010"},{"id":130,"name":"Impact","value":""},{"id":150,"name":"Time of Event (Mountain Time)","value":"19:08:01"},{"id":151,"name":"Denver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4010 --day 2017-01-23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2017-01-23-UncaughtWiMAX.txt</v>
      </c>
    </row>
    <row r="125" spans="1:91" s="21" customFormat="1" x14ac:dyDescent="0.25">
      <c r="A125" s="34" t="s">
        <v>619</v>
      </c>
      <c r="B125" s="7">
        <v>4011</v>
      </c>
      <c r="C125" s="22" t="s">
        <v>196</v>
      </c>
      <c r="D125" s="22" t="s">
        <v>306</v>
      </c>
      <c r="E125" s="13">
        <v>42758.74015046296</v>
      </c>
      <c r="F125" s="13">
        <v>42758.741759259261</v>
      </c>
      <c r="G125" s="7">
        <v>1</v>
      </c>
      <c r="H125" s="22" t="s">
        <v>418</v>
      </c>
      <c r="I125" s="13">
        <v>42758.772430555553</v>
      </c>
      <c r="J125" s="7">
        <v>0</v>
      </c>
      <c r="K125" s="105" t="str">
        <f t="shared" si="21"/>
        <v>4011/4012</v>
      </c>
      <c r="L125" s="22" t="str">
        <f>VLOOKUP(A125,'Trips&amp;Operators'!$C$1:$G$99999,5,FALSE)</f>
        <v>SMITH MICHAEL</v>
      </c>
      <c r="M125" s="6">
        <f t="shared" si="22"/>
        <v>3.0671296291984618E-2</v>
      </c>
      <c r="N125" s="7">
        <f t="shared" si="23"/>
        <v>44.16666666045785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-23T16:45:49-0700',mode:absolute,to:'2017-01-23T19:32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4.6399999999999997E-2</v>
      </c>
      <c r="Z125" s="64">
        <f t="shared" si="30"/>
        <v>23.328900000000001</v>
      </c>
      <c r="AA125" s="64">
        <f t="shared" si="31"/>
        <v>23.282500000000002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2"/>
        <v>0213-23</v>
      </c>
      <c r="AE125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25" s="84" t="str">
        <f t="shared" si="34"/>
        <v>"C:\Program Files (x86)\AstroGrep\AstroGrep.exe" /spath="%USERPROFILE%\AppData\Local\Temp\OnboardLogs" /stypes="app*4011*20170124*"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213-23 --locoid 4011 --swversion DE.1.0.8.0 --startMP 204:464 --initTime 2017-01-23T17:45:49 --startdatetime 2017-01-23T17:48:08 --delay 1 --endMP 204:233289 --enddatetime 2017-01-23T18:32:18 --enforcementcount 0 &gt;&gt;C:\Users\stu\Documents\GitHub\eaglep3-reporting\EC\2017-01-23-refined-times.txt</v>
      </c>
      <c r="AI12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{"issue":{"subject":"","project_id":79,"tracker_id":40,"status_id":1,"priority_id":2,"assigned_to_id":23,"start_date":"2017-01-23","description":"","custom_fields":[{"id":1,"name":"Subdivision","value":"EC"},{"id":4,"name":"Milepost","value":"23.3289"},{"id":17,"name":"Train ID","value":"213-23"},{"id":16,"name":"Locomotive ID","value":"4011"},{"id":130,"name":"Impact","value":""},{"id":150,"name":"Time of Event (Mountain Time)","value":"18:32:18"},{"id":151,"name":"Denver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4011 --day 2017-01-23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629</v>
      </c>
      <c r="B126" s="7">
        <v>4012</v>
      </c>
      <c r="C126" s="22" t="s">
        <v>196</v>
      </c>
      <c r="D126" s="22" t="s">
        <v>709</v>
      </c>
      <c r="E126" s="13">
        <v>42758.773645833331</v>
      </c>
      <c r="F126" s="13">
        <v>42758.778877314813</v>
      </c>
      <c r="G126" s="7">
        <v>1</v>
      </c>
      <c r="H126" s="22" t="s">
        <v>308</v>
      </c>
      <c r="I126" s="13">
        <v>42758.808067129627</v>
      </c>
      <c r="J126" s="7">
        <v>0</v>
      </c>
      <c r="K126" s="105" t="str">
        <f t="shared" si="21"/>
        <v>4011/4012</v>
      </c>
      <c r="L126" s="22" t="str">
        <f>VLOOKUP(A126,'Trips&amp;Operators'!$C$1:$G$99999,5,FALSE)</f>
        <v>SMITH MICHAEL</v>
      </c>
      <c r="M126" s="6">
        <f t="shared" si="22"/>
        <v>2.9189814813435078E-2</v>
      </c>
      <c r="N126" s="7">
        <f t="shared" si="23"/>
        <v>42.033333331346512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-23T17:34:03-0700',mode:absolute,to:'2017-01-23T20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23.2974</v>
      </c>
      <c r="Z126" s="64">
        <f t="shared" si="30"/>
        <v>1.67E-2</v>
      </c>
      <c r="AA126" s="64">
        <f t="shared" si="31"/>
        <v>23.2807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2"/>
        <v>0214-23</v>
      </c>
      <c r="AE126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26" s="84" t="str">
        <f t="shared" si="34"/>
        <v>"C:\Program Files (x86)\AstroGrep\AstroGrep.exe" /spath="%USERPROFILE%\AppData\Local\Temp\OnboardLogs" /stypes="app*4012*20170124*"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214-23 --locoid 4012 --swversion DE.1.0.8.0 --startMP 204:232974 --initTime 2017-01-23T18:34:03 --startdatetime 2017-01-23T18:41:35 --delay 1 --endMP 204:167 --enddatetime 2017-01-23T19:23:37 --enforcementcount 0 &gt;&gt;C:\Users\stu\Documents\GitHub\eaglep3-reporting\EC\2017-01-23-refined-times.txt</v>
      </c>
      <c r="AI12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ID","value":"214-23"},{"id":16,"name":"Locomotive ID","value":"4012"},{"id":130,"name":"Impact","value":""},{"id":150,"name":"Time of Event (Mountain Time)","value":"19:23:37"},{"id":151,"name":"Denver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4012 --day 2017-01-23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620</v>
      </c>
      <c r="B127" s="7">
        <v>4051</v>
      </c>
      <c r="C127" s="22" t="s">
        <v>196</v>
      </c>
      <c r="D127" s="22" t="s">
        <v>366</v>
      </c>
      <c r="E127" s="13">
        <v>42758.747442129628</v>
      </c>
      <c r="F127" s="13">
        <v>42758.750231481485</v>
      </c>
      <c r="G127" s="7">
        <v>1</v>
      </c>
      <c r="H127" s="22" t="s">
        <v>416</v>
      </c>
      <c r="I127" s="13">
        <v>42758.777326388888</v>
      </c>
      <c r="J127" s="7">
        <v>0</v>
      </c>
      <c r="K127" s="105" t="str">
        <f t="shared" si="21"/>
        <v>4051/4052</v>
      </c>
      <c r="L127" s="22" t="str">
        <f>VLOOKUP(A127,'Trips&amp;Operators'!$C$1:$G$99999,5,FALSE)</f>
        <v>KILLION DAVID</v>
      </c>
      <c r="M127" s="6">
        <f t="shared" si="22"/>
        <v>2.7094907403807156E-2</v>
      </c>
      <c r="N127" s="7">
        <f t="shared" si="23"/>
        <v>39.016666661482304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-23T16:56:19-0700',mode:absolute,to:'2017-01-23T19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4.7100000000000003E-2</v>
      </c>
      <c r="Z127" s="64">
        <f t="shared" si="30"/>
        <v>23.3278</v>
      </c>
      <c r="AA127" s="64">
        <f t="shared" si="31"/>
        <v>23.2807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2"/>
        <v>0215-23</v>
      </c>
      <c r="AE127" s="87" t="str">
        <f t="shared" si="33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27" s="84" t="str">
        <f t="shared" si="34"/>
        <v>"C:\Program Files (x86)\AstroGrep\AstroGrep.exe" /spath="%USERPROFILE%\AppData\Local\Temp\OnboardLogs" /stypes="app*4051*20170124*"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215-23 --locoid 4051 --swversion DE.1.0.8.0 --startMP 204:471 --initTime 2017-01-23T17:56:19 --startdatetime 2017-01-23T18:00:20 --delay 1 --endMP 204:233278 --enddatetime 2017-01-23T18:39:21 --enforcementcount 0 &gt;&gt;C:\Users\stu\Documents\GitHub\eaglep3-reporting\EC\2017-01-23-refined-times.txt</v>
      </c>
      <c r="AI12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{"issue":{"subject":"","project_id":79,"tracker_id":40,"status_id":1,"priority_id":2,"assigned_to_id":23,"start_date":"2017-01-23","description":"","custom_fields":[{"id":1,"name":"Subdivision","value":"EC"},{"id":4,"name":"Milepost","value":"23.3278"},{"id":17,"name":"Train ID","value":"215-23"},{"id":16,"name":"Locomotive ID","value":"4051"},{"id":130,"name":"Impact","value":""},{"id":150,"name":"Time of Event (Mountain Time)","value":"18:39:21"},{"id":151,"name":"Denver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4051 --day 2017-01-23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634</v>
      </c>
      <c r="B128" s="7">
        <v>4052</v>
      </c>
      <c r="C128" s="22" t="s">
        <v>196</v>
      </c>
      <c r="D128" s="22" t="s">
        <v>696</v>
      </c>
      <c r="E128" s="13">
        <v>42758.785613425927</v>
      </c>
      <c r="F128" s="13">
        <v>42758.789363425924</v>
      </c>
      <c r="G128" s="7">
        <v>2</v>
      </c>
      <c r="H128" s="22" t="s">
        <v>186</v>
      </c>
      <c r="I128" s="13">
        <v>42758.81894675926</v>
      </c>
      <c r="J128" s="7">
        <v>0</v>
      </c>
      <c r="K128" s="105" t="str">
        <f t="shared" si="21"/>
        <v>4051/4052</v>
      </c>
      <c r="L128" s="22" t="str">
        <f>VLOOKUP(A128,'Trips&amp;Operators'!$C$1:$G$99999,5,FALSE)</f>
        <v>KILLION DAVID</v>
      </c>
      <c r="M128" s="6">
        <f t="shared" si="22"/>
        <v>2.9583333336631767E-2</v>
      </c>
      <c r="N128" s="7">
        <f t="shared" si="23"/>
        <v>42.600000004749745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-23T17:51:17-0700',mode:absolute,to:'2017-01-23T20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23.297499999999999</v>
      </c>
      <c r="Z128" s="64">
        <f t="shared" si="30"/>
        <v>1.49E-2</v>
      </c>
      <c r="AA128" s="64">
        <f t="shared" si="31"/>
        <v>23.282599999999999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2"/>
        <v>0216-23</v>
      </c>
      <c r="AE128" s="87" t="str">
        <f t="shared" si="33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128" s="84" t="str">
        <f t="shared" si="34"/>
        <v>"C:\Program Files (x86)\AstroGrep\AstroGrep.exe" /spath="%USERPROFILE%\AppData\Local\Temp\OnboardLogs" /stypes="app*4052*20170124*"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216-23 --locoid 4052 --swversion DE.1.0.8.0 --startMP 204:232975 --initTime 2017-01-23T18:51:17 --startdatetime 2017-01-23T18:56:41 --delay 2 --endMP 204:149 --enddatetime 2017-01-23T19:39:17 --enforcementcount 0 &gt;&gt;C:\Users\stu\Documents\GitHub\eaglep3-reporting\EC\2017-01-23-refined-times.txt</v>
      </c>
      <c r="AI12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ID","value":"216-23"},{"id":16,"name":"Locomotive ID","value":"4052"},{"id":130,"name":"Impact","value":""},{"id":150,"name":"Time of Event (Mountain Time)","value":"19:39:17"},{"id":151,"name":"Denver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4052 --day 2017-01-23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624</v>
      </c>
      <c r="B129" s="7">
        <v>4029</v>
      </c>
      <c r="C129" s="22" t="s">
        <v>196</v>
      </c>
      <c r="D129" s="22" t="s">
        <v>270</v>
      </c>
      <c r="E129" s="13">
        <v>42758.763877314814</v>
      </c>
      <c r="F129" s="13">
        <v>42758.765601851854</v>
      </c>
      <c r="G129" s="7">
        <v>1</v>
      </c>
      <c r="H129" s="22" t="s">
        <v>360</v>
      </c>
      <c r="I129" s="13">
        <v>42758.793611111112</v>
      </c>
      <c r="J129" s="7">
        <v>0</v>
      </c>
      <c r="K129" s="105" t="str">
        <f t="shared" si="21"/>
        <v>4029/4030</v>
      </c>
      <c r="L129" s="22" t="str">
        <f>VLOOKUP(A129,'Trips&amp;Operators'!$C$1:$G$99999,5,FALSE)</f>
        <v>STAMBAUGH JAMES</v>
      </c>
      <c r="M129" s="6">
        <f t="shared" si="22"/>
        <v>2.8009259258396924E-2</v>
      </c>
      <c r="N129" s="7">
        <f t="shared" si="23"/>
        <v>40.33333333209157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-23T17:19:59-0700',mode:absolute,to:'2017-01-23T20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4.5699999999999998E-2</v>
      </c>
      <c r="Z129" s="64">
        <f t="shared" si="30"/>
        <v>23.3291</v>
      </c>
      <c r="AA129" s="64">
        <f t="shared" si="31"/>
        <v>23.2834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2"/>
        <v>0217-23</v>
      </c>
      <c r="AE129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29" s="84" t="str">
        <f t="shared" si="34"/>
        <v>"C:\Program Files (x86)\AstroGrep\AstroGrep.exe" /spath="%USERPROFILE%\AppData\Local\Temp\OnboardLogs" /stypes="app*4029*20170124*"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217-23 --locoid 4029 --swversion DE.1.0.8.0 --startMP 204:457 --initTime 2017-01-23T18:19:59 --startdatetime 2017-01-23T18:22:28 --delay 1 --endMP 204:233291 --enddatetime 2017-01-23T19:02:48 --enforcementcount 0 &gt;&gt;C:\Users\stu\Documents\GitHub\eaglep3-reporting\EC\2017-01-23-refined-times.txt</v>
      </c>
      <c r="AI12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{"issue":{"subject":"","project_id":79,"tracker_id":40,"status_id":1,"priority_id":2,"assigned_to_id":23,"start_date":"2017-01-23","description":"","custom_fields":[{"id":1,"name":"Subdivision","value":"EC"},{"id":4,"name":"Milepost","value":"23.3291"},{"id":17,"name":"Train ID","value":"217-23"},{"id":16,"name":"Locomotive ID","value":"4029"},{"id":130,"name":"Impact","value":""},{"id":150,"name":"Time of Event (Mountain Time)","value":"19:02:48"},{"id":151,"name":"Denver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4029 --day 2017-01-23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637</v>
      </c>
      <c r="B130" s="7">
        <v>4030</v>
      </c>
      <c r="C130" s="22" t="s">
        <v>196</v>
      </c>
      <c r="D130" s="22" t="s">
        <v>234</v>
      </c>
      <c r="E130" s="13">
        <v>42758.796168981484</v>
      </c>
      <c r="F130" s="13">
        <v>42758.800497685188</v>
      </c>
      <c r="G130" s="7">
        <v>3</v>
      </c>
      <c r="H130" s="22" t="s">
        <v>675</v>
      </c>
      <c r="I130" s="13">
        <v>42758.827766203707</v>
      </c>
      <c r="J130" s="7">
        <v>0</v>
      </c>
      <c r="K130" s="105" t="str">
        <f t="shared" si="21"/>
        <v>4029/4030</v>
      </c>
      <c r="L130" s="22" t="str">
        <f>VLOOKUP(A130,'Trips&amp;Operators'!$C$1:$G$99999,5,FALSE)</f>
        <v>STAMBAUGH JAMES</v>
      </c>
      <c r="M130" s="6">
        <f t="shared" si="22"/>
        <v>2.7268518519122154E-2</v>
      </c>
      <c r="N130" s="7">
        <f t="shared" si="23"/>
        <v>39.266666667535901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-23T18:06:29-0700',mode:absolute,to:'2017-01-23T20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23.2987</v>
      </c>
      <c r="Z130" s="64">
        <f t="shared" si="30"/>
        <v>1.3599999999999999E-2</v>
      </c>
      <c r="AA130" s="64">
        <f t="shared" si="31"/>
        <v>23.2851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2"/>
        <v>0218-23</v>
      </c>
      <c r="AE130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30" s="84" t="str">
        <f t="shared" si="34"/>
        <v>"C:\Program Files (x86)\AstroGrep\AstroGrep.exe" /spath="%USERPROFILE%\AppData\Local\Temp\OnboardLogs" /stypes="app*4030*20170124*"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218-23 --locoid 4030 --swversion DE.1.0.8.0 --startMP 204:232987 --initTime 2017-01-23T19:06:29 --startdatetime 2017-01-23T19:12:43 --delay 3 --endMP 204:136 --enddatetime 2017-01-23T19:51:59 --enforcementcount 0 &gt;&gt;C:\Users\stu\Documents\GitHub\eaglep3-reporting\EC\2017-01-23-refined-times.txt</v>
      </c>
      <c r="AI13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{"issue":{"subject":"","project_id":79,"tracker_id":40,"status_id":1,"priority_id":2,"assigned_to_id":23,"start_date":"2017-01-23","description":"","custom_fields":[{"id":1,"name":"Subdivision","value":"EC"},{"id":4,"name":"Milepost","value":"0.0136"},{"id":17,"name":"Train ID","value":"218-23"},{"id":16,"name":"Locomotive ID","value":"4030"},{"id":130,"name":"Impact","value":""},{"id":150,"name":"Time of Event (Mountain Time)","value":"19:51:59"},{"id":151,"name":"Denver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4030 --day 2017-01-23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630</v>
      </c>
      <c r="B131" s="7">
        <v>4022</v>
      </c>
      <c r="C131" s="22" t="s">
        <v>196</v>
      </c>
      <c r="D131" s="22" t="s">
        <v>720</v>
      </c>
      <c r="E131" s="13">
        <v>42758.773888888885</v>
      </c>
      <c r="F131" s="13">
        <v>42758.775578703702</v>
      </c>
      <c r="G131" s="7">
        <v>1</v>
      </c>
      <c r="H131" s="22" t="s">
        <v>721</v>
      </c>
      <c r="I131" s="13">
        <v>42758.803020833337</v>
      </c>
      <c r="J131" s="7">
        <v>0</v>
      </c>
      <c r="K131" s="105" t="str">
        <f t="shared" si="21"/>
        <v>4021/4022</v>
      </c>
      <c r="L131" s="22" t="str">
        <f>VLOOKUP(A131,'Trips&amp;Operators'!$C$1:$G$99999,5,FALSE)</f>
        <v>STORY SAMANTHA</v>
      </c>
      <c r="M131" s="6">
        <f t="shared" si="22"/>
        <v>2.7442129634437151E-2</v>
      </c>
      <c r="N131" s="7">
        <f t="shared" si="23"/>
        <v>39.516666673589498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-23T17:34:24-0700',mode:absolute,to:'2017-01-23T20:16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4.7800000000000002E-2</v>
      </c>
      <c r="Z131" s="64">
        <f t="shared" si="30"/>
        <v>23.332799999999999</v>
      </c>
      <c r="AA131" s="64">
        <f t="shared" si="31"/>
        <v>23.285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2"/>
        <v>0219-23</v>
      </c>
      <c r="AE131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31" s="84" t="str">
        <f t="shared" si="34"/>
        <v>"C:\Program Files (x86)\AstroGrep\AstroGrep.exe" /spath="%USERPROFILE%\AppData\Local\Temp\OnboardLogs" /stypes="app*4022*20170124*"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219-23 --locoid 4022 --swversion DE.1.0.8.0 --startMP 204:478 --initTime 2017-01-23T18:34:24 --startdatetime 2017-01-23T18:36:50 --delay 1 --endMP 204:233328 --enddatetime 2017-01-23T19:16:21 --enforcementcount 0 &gt;&gt;C:\Users\stu\Documents\GitHub\eaglep3-reporting\EC\2017-01-23-refined-times.txt</v>
      </c>
      <c r="AI13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{"issue":{"subject":"","project_id":79,"tracker_id":40,"status_id":1,"priority_id":2,"assigned_to_id":23,"start_date":"2017-01-23","description":"","custom_fields":[{"id":1,"name":"Subdivision","value":"EC"},{"id":4,"name":"Milepost","value":"23.3328"},{"id":17,"name":"Train ID","value":"219-23"},{"id":16,"name":"Locomotive ID","value":"4022"},{"id":130,"name":"Impact","value":""},{"id":150,"name":"Time of Event (Mountain Time)","value":"19:16:21"},{"id":151,"name":"Denver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4022 --day 2017-01-23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640</v>
      </c>
      <c r="B132" s="7">
        <v>4021</v>
      </c>
      <c r="C132" s="22" t="s">
        <v>196</v>
      </c>
      <c r="D132" s="22" t="s">
        <v>722</v>
      </c>
      <c r="E132" s="13">
        <v>42758.806967592594</v>
      </c>
      <c r="F132" s="13">
        <v>42758.810740740744</v>
      </c>
      <c r="G132" s="7">
        <v>1</v>
      </c>
      <c r="H132" s="22" t="s">
        <v>723</v>
      </c>
      <c r="I132" s="13">
        <v>42758.839814814812</v>
      </c>
      <c r="J132" s="7">
        <v>0</v>
      </c>
      <c r="K132" s="105" t="str">
        <f t="shared" si="21"/>
        <v>4021/4022</v>
      </c>
      <c r="L132" s="22" t="str">
        <f>VLOOKUP(A132,'Trips&amp;Operators'!$C$1:$G$99999,5,FALSE)</f>
        <v>STORY SAMANTHA</v>
      </c>
      <c r="M132" s="6">
        <f t="shared" si="22"/>
        <v>2.9074074067466427E-2</v>
      </c>
      <c r="N132" s="7">
        <f t="shared" si="23"/>
        <v>41.866666657151654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-23T18:22:02-0700',mode:absolute,to:'2017-01-23T21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23.3005</v>
      </c>
      <c r="Z132" s="64">
        <f t="shared" si="30"/>
        <v>1.1599999999999999E-2</v>
      </c>
      <c r="AA132" s="64">
        <f t="shared" si="31"/>
        <v>23.288899999999998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2"/>
        <v>0220-23</v>
      </c>
      <c r="AE132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32" s="84" t="str">
        <f t="shared" si="34"/>
        <v>"C:\Program Files (x86)\AstroGrep\AstroGrep.exe" /spath="%USERPROFILE%\AppData\Local\Temp\OnboardLogs" /stypes="app*4021*20170124*"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220-23 --locoid 4021 --swversion DE.1.0.8.0 --startMP 204:233005 --initTime 2017-01-23T19:22:02 --startdatetime 2017-01-23T19:27:28 --delay 1 --endMP 204:116 --enddatetime 2017-01-23T20:09:20 --enforcementcount 0 &gt;&gt;C:\Users\stu\Documents\GitHub\eaglep3-reporting\EC\2017-01-23-refined-times.txt</v>
      </c>
      <c r="AI13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{"issue":{"subject":"","project_id":79,"tracker_id":40,"status_id":1,"priority_id":2,"assigned_to_id":23,"start_date":"2017-01-23","description":"","custom_fields":[{"id":1,"name":"Subdivision","value":"EC"},{"id":4,"name":"Milepost","value":"0.0116"},{"id":17,"name":"Train ID","value":"220-23"},{"id":16,"name":"Locomotive ID","value":"4021"},{"id":130,"name":"Impact","value":""},{"id":150,"name":"Time of Event (Mountain Time)","value":"20:09:20"},{"id":151,"name":"Denver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4021 --day 2017-01-23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635</v>
      </c>
      <c r="B133" s="7">
        <v>4016</v>
      </c>
      <c r="C133" s="22" t="s">
        <v>196</v>
      </c>
      <c r="D133" s="22" t="s">
        <v>724</v>
      </c>
      <c r="E133" s="13">
        <v>42758.789421296293</v>
      </c>
      <c r="F133" s="13">
        <v>42758.791921296295</v>
      </c>
      <c r="G133" s="7">
        <v>1</v>
      </c>
      <c r="H133" s="22" t="s">
        <v>725</v>
      </c>
      <c r="I133" s="13">
        <v>42758.818171296298</v>
      </c>
      <c r="J133" s="7">
        <v>0</v>
      </c>
      <c r="K133" s="105" t="str">
        <f t="shared" si="21"/>
        <v>4015/4016</v>
      </c>
      <c r="L133" s="22" t="str">
        <f>VLOOKUP(A133,'Trips&amp;Operators'!$C$1:$G$99999,5,FALSE)</f>
        <v>CHANDLER KELVIN</v>
      </c>
      <c r="M133" s="6">
        <f t="shared" si="22"/>
        <v>2.6250000002619345E-2</v>
      </c>
      <c r="N133" s="7">
        <f t="shared" si="23"/>
        <v>37.800000003771856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-23T17:56:46-0700',mode:absolute,to:'2017-01-23T20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4.8599999999999997E-2</v>
      </c>
      <c r="Z133" s="64">
        <f t="shared" si="30"/>
        <v>23.327200000000001</v>
      </c>
      <c r="AA133" s="64">
        <f t="shared" si="31"/>
        <v>23.278600000000001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2"/>
        <v>0221-23</v>
      </c>
      <c r="AE133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33" s="84" t="str">
        <f t="shared" si="34"/>
        <v>"C:\Program Files (x86)\AstroGrep\AstroGrep.exe" /spath="%USERPROFILE%\AppData\Local\Temp\OnboardLogs" /stypes="app*4016*20170124*"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221-23 --locoid 4016 --swversion DE.1.0.8.0 --startMP 204:486 --initTime 2017-01-23T18:56:46 --startdatetime 2017-01-23T19:00:22 --delay 1 --endMP 204:233272 --enddatetime 2017-01-23T19:38:10 --enforcementcount 0 &gt;&gt;C:\Users\stu\Documents\GitHub\eaglep3-reporting\EC\2017-01-23-refined-times.txt</v>
      </c>
      <c r="AI13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{"issue":{"subject":"","project_id":79,"tracker_id":40,"status_id":1,"priority_id":2,"assigned_to_id":23,"start_date":"2017-01-23","description":"","custom_fields":[{"id":1,"name":"Subdivision","value":"EC"},{"id":4,"name":"Milepost","value":"23.3272"},{"id":17,"name":"Train ID","value":"221-23"},{"id":16,"name":"Locomotive ID","value":"4016"},{"id":130,"name":"Impact","value":""},{"id":150,"name":"Time of Event (Mountain Time)","value":"19:38:10"},{"id":151,"name":"Denver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4016 --day 2017-01-23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644</v>
      </c>
      <c r="B134" s="7">
        <v>4015</v>
      </c>
      <c r="C134" s="22" t="s">
        <v>196</v>
      </c>
      <c r="D134" s="22" t="s">
        <v>688</v>
      </c>
      <c r="E134" s="13">
        <v>42758.826226851852</v>
      </c>
      <c r="F134" s="13">
        <v>42758.83085648148</v>
      </c>
      <c r="G134" s="7">
        <v>0</v>
      </c>
      <c r="H134" s="22" t="s">
        <v>697</v>
      </c>
      <c r="I134" s="13">
        <v>42758.860127314816</v>
      </c>
      <c r="J134" s="7">
        <v>0</v>
      </c>
      <c r="K134" s="105" t="str">
        <f t="shared" si="21"/>
        <v>4015/4016</v>
      </c>
      <c r="L134" s="22" t="str">
        <f>VLOOKUP(A134,'Trips&amp;Operators'!$C$1:$G$99999,5,FALSE)</f>
        <v>CHANDLER KELVIN</v>
      </c>
      <c r="M134" s="6">
        <f t="shared" si="22"/>
        <v>2.9270833336340729E-2</v>
      </c>
      <c r="N134" s="7">
        <f t="shared" si="23"/>
        <v>42.15000000433065</v>
      </c>
      <c r="O134" s="7"/>
      <c r="P134" s="7"/>
      <c r="Q134" s="23"/>
      <c r="R134" s="23"/>
      <c r="S134" s="32">
        <f t="shared" si="24"/>
        <v>1</v>
      </c>
      <c r="T134" s="47" t="str">
        <f t="shared" si="25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-23T18:49:46-0700',mode:absolute,to:'2017-01-23T21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49" t="str">
        <f t="shared" si="27"/>
        <v>N</v>
      </c>
      <c r="X134" s="170">
        <f t="shared" si="28"/>
        <v>1</v>
      </c>
      <c r="Y134" s="64">
        <f t="shared" si="29"/>
        <v>23.298300000000001</v>
      </c>
      <c r="Z134" s="64">
        <f t="shared" si="30"/>
        <v>1.6899999999999998E-2</v>
      </c>
      <c r="AA134" s="64">
        <f t="shared" si="31"/>
        <v>23.281400000000001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2"/>
        <v>0222-23</v>
      </c>
      <c r="AE134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34" s="84" t="str">
        <f t="shared" si="34"/>
        <v>"C:\Program Files (x86)\AstroGrep\AstroGrep.exe" /spath="%USERPROFILE%\AppData\Local\Temp\OnboardLogs" /stypes="app*4015*20170124*"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222-23 --locoid 4015 --swversion DE.1.0.8.0 --startMP 204:232983 --initTime 2017-01-23T19:49:46 --startdatetime 2017-01-23T19:56:26 --delay 0 --endMP 204:169 --enddatetime 2017-01-23T20:38:35 --enforcementcount 0 &gt;&gt;C:\Users\stu\Documents\GitHub\eaglep3-reporting\EC\2017-01-23-refined-times.txt</v>
      </c>
      <c r="AI13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ID","value":"222-23"},{"id":16,"name":"Locomotive ID","value":"4015"},{"id":130,"name":"Impact","value":""},{"id":150,"name":"Time of Event (Mountain Time)","value":"20:38:35"},{"id":151,"name":"Denver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4015 --day 2017-01-23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641</v>
      </c>
      <c r="B135" s="7">
        <v>4011</v>
      </c>
      <c r="C135" s="22" t="s">
        <v>196</v>
      </c>
      <c r="D135" s="22" t="s">
        <v>274</v>
      </c>
      <c r="E135" s="13">
        <v>42758.809583333335</v>
      </c>
      <c r="F135" s="13">
        <v>42758.812824074077</v>
      </c>
      <c r="G135" s="7">
        <v>3</v>
      </c>
      <c r="H135" s="22" t="s">
        <v>693</v>
      </c>
      <c r="I135" s="13">
        <v>42758.844780092593</v>
      </c>
      <c r="J135" s="7">
        <v>0</v>
      </c>
      <c r="K135" s="105" t="str">
        <f t="shared" si="21"/>
        <v>4011/4012</v>
      </c>
      <c r="L135" s="22" t="str">
        <f>VLOOKUP(A135,'Trips&amp;Operators'!$C$1:$G$99999,5,FALSE)</f>
        <v>SMITH MICHAEL</v>
      </c>
      <c r="M135" s="6">
        <f t="shared" si="22"/>
        <v>3.195601851621177E-2</v>
      </c>
      <c r="N135" s="7">
        <f t="shared" si="23"/>
        <v>46.016666663344949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-23T18:25:48-0700',mode:absolute,to:'2017-01-23T21:16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4.5999999999999999E-2</v>
      </c>
      <c r="Z135" s="64">
        <f t="shared" si="30"/>
        <v>23.330300000000001</v>
      </c>
      <c r="AA135" s="64">
        <f t="shared" si="31"/>
        <v>23.284300000000002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2"/>
        <v>0223-23</v>
      </c>
      <c r="AE135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35" s="84" t="str">
        <f t="shared" si="34"/>
        <v>"C:\Program Files (x86)\AstroGrep\AstroGrep.exe" /spath="%USERPROFILE%\AppData\Local\Temp\OnboardLogs" /stypes="app*4011*20170124*"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223-23 --locoid 4011 --swversion DE.1.0.8.0 --startMP 204:460 --initTime 2017-01-23T19:25:48 --startdatetime 2017-01-23T19:30:28 --delay 3 --endMP 204:233303 --enddatetime 2017-01-23T20:16:29 --enforcementcount 0 &gt;&gt;C:\Users\stu\Documents\GitHub\eaglep3-reporting\EC\2017-01-23-refined-times.txt</v>
      </c>
      <c r="AI13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ID","value":"223-23"},{"id":16,"name":"Locomotive ID","value":"4011"},{"id":130,"name":"Impact","value":""},{"id":150,"name":"Time of Event (Mountain Time)","value":"20:16:29"},{"id":151,"name":"Denver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4011 --day 2017-01-23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646</v>
      </c>
      <c r="B136" s="7">
        <v>4012</v>
      </c>
      <c r="C136" s="22" t="s">
        <v>196</v>
      </c>
      <c r="D136" s="22" t="s">
        <v>703</v>
      </c>
      <c r="E136" s="13">
        <v>42758.846724537034</v>
      </c>
      <c r="F136" s="13">
        <v>42758.851747685185</v>
      </c>
      <c r="G136" s="7">
        <v>1</v>
      </c>
      <c r="H136" s="22" t="s">
        <v>257</v>
      </c>
      <c r="I136" s="13">
        <v>42758.882696759261</v>
      </c>
      <c r="J136" s="7">
        <v>0</v>
      </c>
      <c r="K136" s="105" t="str">
        <f t="shared" si="21"/>
        <v>4011/4012</v>
      </c>
      <c r="L136" s="22" t="str">
        <f>VLOOKUP(A136,'Trips&amp;Operators'!$C$1:$G$99999,5,FALSE)</f>
        <v>SMITH MICHAEL</v>
      </c>
      <c r="M136" s="6">
        <f t="shared" si="22"/>
        <v>3.0949074076488614E-2</v>
      </c>
      <c r="N136" s="7">
        <f t="shared" si="23"/>
        <v>44.566666670143604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-23T19:19:17-0700',mode:absolute,to:'2017-01-23T22:11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23.296900000000001</v>
      </c>
      <c r="Z136" s="64">
        <f t="shared" si="30"/>
        <v>1.43E-2</v>
      </c>
      <c r="AA136" s="64">
        <f t="shared" si="31"/>
        <v>23.282600000000002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2"/>
        <v>0224-23</v>
      </c>
      <c r="AE136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36" s="84" t="str">
        <f t="shared" si="34"/>
        <v>"C:\Program Files (x86)\AstroGrep\AstroGrep.exe" /spath="%USERPROFILE%\AppData\Local\Temp\OnboardLogs" /stypes="app*4012*20170124*"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224-23 --locoid 4012 --swversion DE.1.0.8.0 --startMP 204:232969 --initTime 2017-01-23T20:19:17 --startdatetime 2017-01-23T20:26:31 --delay 1 --endMP 204:143 --enddatetime 2017-01-23T21:11:05 --enforcementcount 0 &gt;&gt;C:\Users\stu\Documents\GitHub\eaglep3-reporting\EC\2017-01-23-refined-times.txt</v>
      </c>
      <c r="AI13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ID","value":"224-23"},{"id":16,"name":"Locomotive ID","value":"4012"},{"id":130,"name":"Impact","value":""},{"id":150,"name":"Time of Event (Mountain Time)","value":"21:11:05"},{"id":151,"name":"Denver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4012 --day 2017-01-23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451</v>
      </c>
      <c r="B137" s="7">
        <v>4029</v>
      </c>
      <c r="C137" s="22" t="s">
        <v>196</v>
      </c>
      <c r="D137" s="22" t="s">
        <v>355</v>
      </c>
      <c r="E137" s="13">
        <v>42758.830625000002</v>
      </c>
      <c r="F137" s="13">
        <v>42758.833807870367</v>
      </c>
      <c r="G137" s="7">
        <v>2</v>
      </c>
      <c r="H137" s="22" t="s">
        <v>721</v>
      </c>
      <c r="I137" s="13">
        <v>42758.859583333331</v>
      </c>
      <c r="J137" s="7">
        <v>0</v>
      </c>
      <c r="K137" s="105" t="str">
        <f t="shared" si="21"/>
        <v>4029/4030</v>
      </c>
      <c r="L137" s="22" t="str">
        <f>VLOOKUP(A137,'Trips&amp;Operators'!$C$1:$G$99999,5,FALSE)</f>
        <v>STAMBAUGH JAMES</v>
      </c>
      <c r="M137" s="6">
        <f t="shared" si="22"/>
        <v>2.5775462963792961E-2</v>
      </c>
      <c r="N137" s="7">
        <f t="shared" si="23"/>
        <v>37.116666667861864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-23T18:56:06-0700',mode:absolute,to:'2017-01-23T21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4.53E-2</v>
      </c>
      <c r="Z137" s="64">
        <f t="shared" si="30"/>
        <v>23.332799999999999</v>
      </c>
      <c r="AA137" s="64">
        <f t="shared" si="31"/>
        <v>23.287499999999998</v>
      </c>
      <c r="AB137" s="61" t="str">
        <f>VLOOKUP(A137,Enforcements!$C$7:$K$16,8,0)</f>
        <v>Bulletin (2)</v>
      </c>
      <c r="AC137" s="57" t="str">
        <f>VLOOKUP(A137,Enforcements!$C$7:$E$16,3,0)</f>
        <v>GRADE CROSSING</v>
      </c>
      <c r="AD137" s="58" t="str">
        <f t="shared" si="32"/>
        <v>0225-23</v>
      </c>
      <c r="AE137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37" s="84" t="str">
        <f t="shared" si="34"/>
        <v>"C:\Program Files (x86)\AstroGrep\AstroGrep.exe" /spath="%USERPROFILE%\AppData\Local\Temp\OnboardLogs" /stypes="app*4029*20170124*"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225-23 --locoid 4029 --swversion DE.1.0.8.0 --startMP 204:453 --initTime 2017-01-23T19:56:06 --startdatetime 2017-01-23T20:00:41 --delay 2 --endMP 204:233328 --enddatetime 2017-01-23T20:37:48 --enforcementcount 0 &gt;&gt;C:\Users\stu\Documents\GitHub\eaglep3-reporting\EC\2017-01-23-refined-times.txt</v>
      </c>
      <c r="AI13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{"issue":{"subject":"","project_id":79,"tracker_id":40,"status_id":1,"priority_id":2,"assigned_to_id":23,"start_date":"2017-01-23","description":"","custom_fields":[{"id":1,"name":"Subdivision","value":"EC"},{"id":4,"name":"Milepost","value":"23.3328"},{"id":17,"name":"Train ID","value":"225-23"},{"id":16,"name":"Locomotive ID","value":"4029"},{"id":130,"name":"Impact","value":""},{"id":150,"name":"Time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4029 --day 2017-01-23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649</v>
      </c>
      <c r="B138" s="7">
        <v>4030</v>
      </c>
      <c r="C138" s="22" t="s">
        <v>196</v>
      </c>
      <c r="D138" s="22" t="s">
        <v>392</v>
      </c>
      <c r="E138" s="13">
        <v>42758.861516203702</v>
      </c>
      <c r="F138" s="13">
        <v>42758.873217592591</v>
      </c>
      <c r="G138" s="7">
        <v>2</v>
      </c>
      <c r="H138" s="22" t="s">
        <v>276</v>
      </c>
      <c r="I138" s="13">
        <v>42758.90252314815</v>
      </c>
      <c r="J138" s="7">
        <v>0</v>
      </c>
      <c r="K138" s="105" t="str">
        <f t="shared" si="21"/>
        <v>4029/4030</v>
      </c>
      <c r="L138" s="22" t="str">
        <f>VLOOKUP(A138,'Trips&amp;Operators'!$C$1:$G$99999,5,FALSE)</f>
        <v>STAMBAUGH JAMES</v>
      </c>
      <c r="M138" s="6">
        <f t="shared" si="22"/>
        <v>2.9305555559403729E-2</v>
      </c>
      <c r="N138" s="7">
        <f t="shared" si="23"/>
        <v>42.200000005541369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-23T19:40:35-0700',mode:absolute,to:'2017-01-23T22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23.301300000000001</v>
      </c>
      <c r="Z138" s="64">
        <f t="shared" si="30"/>
        <v>1.6500000000000001E-2</v>
      </c>
      <c r="AA138" s="64">
        <f t="shared" si="31"/>
        <v>23.284800000000001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2"/>
        <v>0226-23</v>
      </c>
      <c r="AE138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38" s="84" t="str">
        <f t="shared" si="34"/>
        <v>"C:\Program Files (x86)\AstroGrep\AstroGrep.exe" /spath="%USERPROFILE%\AppData\Local\Temp\OnboardLogs" /stypes="app*4030*20170124*"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226-23 --locoid 4030 --swversion DE.1.0.8.0 --startMP 204:233013 --initTime 2017-01-23T20:40:35 --startdatetime 2017-01-23T20:57:26 --delay 2 --endMP 204:165 --enddatetime 2017-01-23T21:39:38 --enforcementcount 0 &gt;&gt;C:\Users\stu\Documents\GitHub\eaglep3-reporting\EC\2017-01-23-refined-times.txt</v>
      </c>
      <c r="AI13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ID","value":"226-23"},{"id":16,"name":"Locomotive ID","value":"4030"},{"id":130,"name":"Impact","value":""},{"id":150,"name":"Time of Event (Mountain Time)","value":"21:39:38"},{"id":151,"name":"Denver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4030 --day 2017-01-23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647</v>
      </c>
      <c r="B139" s="7">
        <v>4022</v>
      </c>
      <c r="C139" s="22" t="s">
        <v>196</v>
      </c>
      <c r="D139" s="22" t="s">
        <v>311</v>
      </c>
      <c r="E139" s="13">
        <v>42758.85224537037</v>
      </c>
      <c r="F139" s="13">
        <v>42758.854375000003</v>
      </c>
      <c r="G139" s="7">
        <v>1</v>
      </c>
      <c r="H139" s="22" t="s">
        <v>235</v>
      </c>
      <c r="I139" s="13">
        <v>42758.883101851854</v>
      </c>
      <c r="J139" s="7">
        <v>0</v>
      </c>
      <c r="K139" s="105" t="str">
        <f t="shared" si="21"/>
        <v>4021/4022</v>
      </c>
      <c r="L139" s="22" t="str">
        <f>VLOOKUP(A139,'Trips&amp;Operators'!$C$1:$G$99999,5,FALSE)</f>
        <v>STORY SAMANTHA</v>
      </c>
      <c r="M139" s="6">
        <f t="shared" si="22"/>
        <v>2.8726851851388346E-2</v>
      </c>
      <c r="N139" s="7">
        <f t="shared" si="23"/>
        <v>41.366666665999219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-23T19:27:14-0700',mode:absolute,to:'2017-01-23T22:11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4.3499999999999997E-2</v>
      </c>
      <c r="Z139" s="64">
        <f t="shared" si="30"/>
        <v>23.329899999999999</v>
      </c>
      <c r="AA139" s="64">
        <f t="shared" si="31"/>
        <v>23.286399999999997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2"/>
        <v>0227-23</v>
      </c>
      <c r="AE139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39" s="84" t="str">
        <f t="shared" si="34"/>
        <v>"C:\Program Files (x86)\AstroGrep\AstroGrep.exe" /spath="%USERPROFILE%\AppData\Local\Temp\OnboardLogs" /stypes="app*4022*20170124*"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227-23 --locoid 4022 --swversion DE.1.0.8.0 --startMP 204:435 --initTime 2017-01-23T20:27:14 --startdatetime 2017-01-23T20:30:18 --delay 1 --endMP 204:233299 --enddatetime 2017-01-23T21:11:40 --enforcementcount 0 &gt;&gt;C:\Users\stu\Documents\GitHub\eaglep3-reporting\EC\2017-01-23-refined-times.txt</v>
      </c>
      <c r="AI13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ID","value":"227-23"},{"id":16,"name":"Locomotive ID","value":"4022"},{"id":130,"name":"Impact","value":""},{"id":150,"name":"Time of Event (Mountain Time)","value":"21:11:40"},{"id":151,"name":"Denver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4022 --day 2017-01-23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652</v>
      </c>
      <c r="B140" s="7">
        <v>4021</v>
      </c>
      <c r="C140" s="22" t="s">
        <v>196</v>
      </c>
      <c r="D140" s="22" t="s">
        <v>218</v>
      </c>
      <c r="E140" s="13">
        <v>42758.885740740741</v>
      </c>
      <c r="F140" s="13">
        <v>42758.893518518518</v>
      </c>
      <c r="G140" s="7">
        <v>1</v>
      </c>
      <c r="H140" s="22" t="s">
        <v>206</v>
      </c>
      <c r="I140" s="13">
        <v>42758.915706018517</v>
      </c>
      <c r="J140" s="7">
        <v>0</v>
      </c>
      <c r="K140" s="105" t="str">
        <f t="shared" si="21"/>
        <v>4021/4022</v>
      </c>
      <c r="L140" s="22" t="str">
        <f>VLOOKUP(A140,'Trips&amp;Operators'!$C$1:$G$99999,5,FALSE)</f>
        <v>STORY SAMANTHA</v>
      </c>
      <c r="M140" s="6">
        <f t="shared" si="22"/>
        <v>2.2187499998835847E-2</v>
      </c>
      <c r="N140" s="7"/>
      <c r="O140" s="7"/>
      <c r="P140" s="7">
        <f t="shared" si="23"/>
        <v>31.949999998323619</v>
      </c>
      <c r="Q140" s="23"/>
      <c r="R140" s="23" t="s">
        <v>902</v>
      </c>
      <c r="S140" s="32">
        <f t="shared" si="24"/>
        <v>0.75</v>
      </c>
      <c r="T140" s="47" t="str">
        <f t="shared" si="25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9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-23T20:15:28-0700',mode:absolute,to:'2017-01-23T22:58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49" t="str">
        <f t="shared" si="27"/>
        <v>Y</v>
      </c>
      <c r="X140" s="170">
        <f t="shared" si="28"/>
        <v>1</v>
      </c>
      <c r="Y140" s="64">
        <f t="shared" si="29"/>
        <v>23.2986</v>
      </c>
      <c r="Z140" s="64">
        <v>3.32</v>
      </c>
      <c r="AA140" s="64">
        <f t="shared" si="31"/>
        <v>19.9786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2"/>
        <v>0228-23</v>
      </c>
      <c r="AE140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40" s="84" t="str">
        <f t="shared" si="34"/>
        <v>"C:\Program Files (x86)\AstroGrep\AstroGrep.exe" /spath="%USERPROFILE%\AppData\Local\Temp\OnboardLogs" /stypes="app*4021*20170124*"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228-23 --locoid 4021 --swversion DE.1.0.8.0 --startMP 204:232986 --initTime 2017-01-23T21:15:28 --startdatetime 2017-01-23T21:26:40 --delay 1 --endMP 204:145 --enddatetime 2017-01-23T21:58:37 --enforcementcount 0 &gt;&gt;C:\Users\stu\Documents\GitHub\eaglep3-reporting\EC\2017-01-23-refined-times.txt</v>
      </c>
      <c r="AI140" s="115" t="str">
        <f t="shared" si="37"/>
        <v>echo {"issue":{"subject":"Onboard in-route failure","project_id":79,"tracker_id":40,"status_id":1,"priority_id":2,"assigned_to_id":23,"start_date":"2017-01-23","description":"","custom_fields":[{"id":1,"name":"Subdivision","value":"EC"},{"id":4,"name":"Milepost","value":"3.32"},{"id":17,"name":"Train ID","value":"228-23"},{"id":16,"name":"Locomotive ID","value":"4021"},{"id":130,"name":"Impact","value":""},{"id":150,"name":"Time of Event (Mountain Time)","value":"21:58:37"},{"id":151,"name":"Denver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4021 --day 2017-01-23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650</v>
      </c>
      <c r="B141" s="7">
        <v>4016</v>
      </c>
      <c r="C141" s="22" t="s">
        <v>196</v>
      </c>
      <c r="D141" s="22" t="s">
        <v>720</v>
      </c>
      <c r="E141" s="13">
        <v>42758.873645833337</v>
      </c>
      <c r="F141" s="13">
        <v>42758.875196759262</v>
      </c>
      <c r="G141" s="7">
        <v>1</v>
      </c>
      <c r="H141" s="22" t="s">
        <v>701</v>
      </c>
      <c r="I141" s="13">
        <v>42758.903263888889</v>
      </c>
      <c r="J141" s="7">
        <v>0</v>
      </c>
      <c r="K141" s="105" t="str">
        <f t="shared" ref="K141:K204" si="39">IF(ISEVEN(B141),(B141-1)&amp;"/"&amp;B141,B141&amp;"/"&amp;(B141+1))</f>
        <v>4015/4016</v>
      </c>
      <c r="L141" s="22" t="str">
        <f>VLOOKUP(A141,'Trips&amp;Operators'!$C$1:$G$99999,5,FALSE)</f>
        <v>CHANDLER KELVIN</v>
      </c>
      <c r="M141" s="6">
        <f t="shared" ref="M141:M204" si="40">I141-F141</f>
        <v>2.806712962774327E-2</v>
      </c>
      <c r="N141" s="7">
        <f t="shared" ref="N141:N204" si="41">24*60*SUM($M141:$M141)</f>
        <v>40.416666663950309</v>
      </c>
      <c r="O141" s="7"/>
      <c r="P141" s="7"/>
      <c r="Q141" s="23"/>
      <c r="R141" s="23"/>
      <c r="S141" s="32">
        <f t="shared" ref="S141:S204" si="42">SUM(U141:U141)/IF(AG141="EC",12,1)</f>
        <v>1</v>
      </c>
      <c r="T141" s="47" t="str">
        <f t="shared" ref="T141:T204" si="43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-23T19:58:03-0700',mode:absolute,to:'2017-01-23T22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49" t="str">
        <f t="shared" ref="W141:W204" si="45">IF(AA141&lt;IF(AG141="EC",23,5.65),"Y","N")</f>
        <v>N</v>
      </c>
      <c r="X141" s="170">
        <f t="shared" ref="X141:X204" si="46">VALUE(LEFT(AD141,4))-VALUE(LEFT(AD140,4))</f>
        <v>1</v>
      </c>
      <c r="Y141" s="64">
        <f t="shared" ref="Y141:Y204" si="47">RIGHT(D141,LEN(D141)-4)/10000</f>
        <v>4.7800000000000002E-2</v>
      </c>
      <c r="Z141" s="64">
        <f t="shared" ref="Z141:Z204" si="48">RIGHT(H141,LEN(H141)-4)/10000</f>
        <v>23.330100000000002</v>
      </c>
      <c r="AA141" s="64">
        <f t="shared" ref="AA141:AA204" si="49">ABS(Z141-Y141)</f>
        <v>23.282300000000003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50">IF(LEN(A141)=6,"0"&amp;A141,A141)</f>
        <v>0229-23</v>
      </c>
      <c r="AE141" s="87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41" s="84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/stypes="app*4016*20170124*" /stext=" 04:.+((SYSTEM_STATE.+slice.+state.+changed )|(ment ac)|(multiple cpu faults)|(system.+state.+changed )|(\[timeout)|(PRM\|1\|D)|(kpr)|(kdp)|(\|lc)|(penalty))"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229-23 --locoid 4016 --swversion DE.1.0.8.0 --startMP 204:478 --initTime 2017-01-23T20:58:03 --startdatetime 2017-01-23T21:00:17 --delay 1 --endMP 204:233301 --enddatetime 2017-01-23T21:40:42 --enforcementcount 0 &gt;&gt;C:\Users\stu\Documents\GitHub\eaglep3-reporting\EC\2017-01-23-refined-times.txt</v>
      </c>
      <c r="AI14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ID","value":"229-23"},{"id":16,"name":"Locomotive ID","value":"4016"},{"id":130,"name":"Impact","value":""},{"id":150,"name":"Time of Event (Mountain Time)","value":"21:40:42"},{"id":151,"name":"Denver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8"/>
        <v>start /low /b %USERPROFILE%\Documents\GitHub\eaglep3\Utilities\DownloadLogsFromS3.py --loco 4016 --day 2017-01-23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656</v>
      </c>
      <c r="B142" s="7">
        <v>4015</v>
      </c>
      <c r="C142" s="22" t="s">
        <v>196</v>
      </c>
      <c r="D142" s="22" t="s">
        <v>215</v>
      </c>
      <c r="E142" s="13">
        <v>42758.91201388889</v>
      </c>
      <c r="F142" s="13">
        <v>42758.914120370369</v>
      </c>
      <c r="G142" s="7">
        <v>1</v>
      </c>
      <c r="H142" s="22" t="s">
        <v>361</v>
      </c>
      <c r="I142" s="13">
        <v>42758.94332175926</v>
      </c>
      <c r="J142" s="7">
        <v>0</v>
      </c>
      <c r="K142" s="105" t="str">
        <f t="shared" si="39"/>
        <v>4015/4016</v>
      </c>
      <c r="L142" s="22" t="str">
        <f>VLOOKUP(A142,'Trips&amp;Operators'!$C$1:$G$99999,5,FALSE)</f>
        <v>CHANDLER KELVIN</v>
      </c>
      <c r="M142" s="6">
        <f t="shared" si="40"/>
        <v>2.920138889021473E-2</v>
      </c>
      <c r="N142" s="7">
        <f t="shared" si="41"/>
        <v>42.050000001909211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-23T20:53:18-0700',mode:absolute,to:'2017-01-23T23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49" t="str">
        <f t="shared" si="45"/>
        <v>N</v>
      </c>
      <c r="X142" s="170">
        <f t="shared" si="46"/>
        <v>1</v>
      </c>
      <c r="Y142" s="64">
        <f t="shared" si="47"/>
        <v>23.297699999999999</v>
      </c>
      <c r="Z142" s="64">
        <f t="shared" si="48"/>
        <v>1.7399999999999999E-2</v>
      </c>
      <c r="AA142" s="64">
        <f t="shared" si="49"/>
        <v>23.2803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50"/>
        <v>0230-23</v>
      </c>
      <c r="AE142" s="87" t="str">
        <f t="shared" si="51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42" s="84" t="str">
        <f t="shared" si="52"/>
        <v>"C:\Program Files (x86)\AstroGrep\AstroGrep.exe" /spath="%USERPROFILE%\AppData\Local\Temp\OnboardLogs" /stypes="app*4015*20170124*" /stext=" 05:.+((SYSTEM_STATE.+slice.+state.+changed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230-23 --locoid 4015 --swversion DE.1.0.8.0 --startMP 204:232977 --initTime 2017-01-23T21:53:18 --startdatetime 2017-01-23T21:56:20 --delay 1 --endMP 204:174 --enddatetime 2017-01-23T22:38:23 --enforcementcount 0 &gt;&gt;C:\Users\stu\Documents\GitHub\eaglep3-reporting\EC\2017-01-23-refined-times.txt</v>
      </c>
      <c r="AI142" s="115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{"issue":{"subject":"","project_id":79,"tracker_id":40,"status_id":1,"priority_id":2,"assigned_to_id":23,"start_date":"2017-01-23","description":"","custom_fields":[{"id":1,"name":"Subdivision","value":"EC"},{"id":4,"name":"Milepost","value":"0.0174"},{"id":17,"name":"Train ID","value":"230-23"},{"id":16,"name":"Locomotive ID","value":"4015"},{"id":130,"name":"Impact","value":""},{"id":150,"name":"Time of Event (Mountain Time)","value":"22:38:23"},{"id":151,"name":"Denver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5" si="56">"start /low /b "&amp;dls3logs&amp;" --loco "&amp;B142&amp;" --day "&amp;TEXT(F142,"YYYY-MM-DD")</f>
        <v>start /low /b %USERPROFILE%\Documents\GitHub\eaglep3\Utilities\DownloadLogsFromS3.py --loco 4015 --day 2017-01-23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653</v>
      </c>
      <c r="B143" s="7">
        <v>4011</v>
      </c>
      <c r="C143" s="22" t="s">
        <v>196</v>
      </c>
      <c r="D143" s="22" t="s">
        <v>187</v>
      </c>
      <c r="E143" s="13">
        <v>42758.889490740738</v>
      </c>
      <c r="F143" s="13">
        <v>42758.896041666667</v>
      </c>
      <c r="G143" s="7">
        <v>1</v>
      </c>
      <c r="H143" s="22" t="s">
        <v>396</v>
      </c>
      <c r="I143" s="13">
        <v>42758.927499999998</v>
      </c>
      <c r="J143" s="7">
        <v>0</v>
      </c>
      <c r="K143" s="105" t="str">
        <f t="shared" si="39"/>
        <v>4011/4012</v>
      </c>
      <c r="L143" s="22" t="str">
        <f>VLOOKUP(A143,'Trips&amp;Operators'!$C$1:$G$99999,5,FALSE)</f>
        <v>SMITH MICHAEL</v>
      </c>
      <c r="M143" s="6">
        <f t="shared" si="40"/>
        <v>3.145833333110204E-2</v>
      </c>
      <c r="N143" s="7">
        <f t="shared" si="41"/>
        <v>45.299999996786937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-23T20:20:52-0700',mode:absolute,to:'2017-01-23T23:15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49" t="str">
        <f t="shared" si="45"/>
        <v>N</v>
      </c>
      <c r="X143" s="170">
        <f t="shared" si="46"/>
        <v>1</v>
      </c>
      <c r="Y143" s="64">
        <f t="shared" si="47"/>
        <v>4.4699999999999997E-2</v>
      </c>
      <c r="Z143" s="64">
        <f t="shared" si="48"/>
        <v>23.330500000000001</v>
      </c>
      <c r="AA143" s="64">
        <f t="shared" si="49"/>
        <v>23.285800000000002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0"/>
        <v>0231-23</v>
      </c>
      <c r="AE143" s="87" t="str">
        <f t="shared" si="51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43" s="84" t="str">
        <f t="shared" si="52"/>
        <v>"C:\Program Files (x86)\AstroGrep\AstroGrep.exe" /spath="%USERPROFILE%\AppData\Local\Temp\OnboardLogs" /stypes="app*4011*20170124*"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231-23 --locoid 4011 --swversion DE.1.0.8.0 --startMP 204:447 --initTime 2017-01-23T21:20:52 --startdatetime 2017-01-23T21:30:18 --delay 1 --endMP 204:233305 --enddatetime 2017-01-23T22:15:36 --enforcementcount 0 &gt;&gt;C:\Users\stu\Documents\GitHub\eaglep3-reporting\EC\2017-01-23-refined-times.txt</v>
      </c>
      <c r="AI143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{"issue":{"subject":"","project_id":79,"tracker_id":40,"status_id":1,"priority_id":2,"assigned_to_id":23,"start_date":"2017-01-23","description":"","custom_fields":[{"id":1,"name":"Subdivision","value":"EC"},{"id":4,"name":"Milepost","value":"23.3305"},{"id":17,"name":"Train ID","value":"231-23"},{"id":16,"name":"Locomotive ID","value":"4011"},{"id":130,"name":"Impact","value":""},{"id":150,"name":"Time of Event (Mountain Time)","value":"22:15:36"},{"id":151,"name":"Denver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6"/>
        <v>start /low /b %USERPROFILE%\Documents\GitHub\eaglep3\Utilities\DownloadLogsFromS3.py --loco 4011 --day 2017-01-23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658</v>
      </c>
      <c r="B144" s="7">
        <v>4012</v>
      </c>
      <c r="C144" s="22" t="s">
        <v>196</v>
      </c>
      <c r="D144" s="22" t="s">
        <v>703</v>
      </c>
      <c r="E144" s="13">
        <v>42758.931145833332</v>
      </c>
      <c r="F144" s="13">
        <v>42758.934930555559</v>
      </c>
      <c r="G144" s="7">
        <v>1</v>
      </c>
      <c r="H144" s="22" t="s">
        <v>276</v>
      </c>
      <c r="I144" s="13">
        <v>42758.964907407404</v>
      </c>
      <c r="J144" s="7">
        <v>0</v>
      </c>
      <c r="K144" s="105" t="str">
        <f t="shared" si="39"/>
        <v>4011/4012</v>
      </c>
      <c r="L144" s="22" t="str">
        <f>VLOOKUP(A144,'Trips&amp;Operators'!$C$1:$G$99999,5,FALSE)</f>
        <v>SMITH MICHAEL</v>
      </c>
      <c r="M144" s="6">
        <f t="shared" si="40"/>
        <v>2.9976851845276542E-2</v>
      </c>
      <c r="N144" s="7">
        <f t="shared" si="41"/>
        <v>43.16666665719822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-23T21:20:51-0700',mode:absolute,to:'2017-01-24T00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49" t="str">
        <f t="shared" si="45"/>
        <v>N</v>
      </c>
      <c r="X144" s="170">
        <f t="shared" si="46"/>
        <v>1</v>
      </c>
      <c r="Y144" s="64">
        <f t="shared" si="47"/>
        <v>23.296900000000001</v>
      </c>
      <c r="Z144" s="64">
        <f t="shared" si="48"/>
        <v>1.6500000000000001E-2</v>
      </c>
      <c r="AA144" s="64">
        <f t="shared" si="49"/>
        <v>23.2804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0"/>
        <v>0232-23</v>
      </c>
      <c r="AE144" s="87" t="str">
        <f t="shared" si="51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44" s="84" t="str">
        <f t="shared" si="52"/>
        <v>"C:\Program Files (x86)\AstroGrep\AstroGrep.exe" /spath="%USERPROFILE%\AppData\Local\Temp\OnboardLogs" /stypes="app*4012*20170124*" /stext=" 06:.+((SYSTEM_STATE.+slice.+state.+changed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232-23 --locoid 4012 --swversion DE.1.0.8.0 --startMP 204:232969 --initTime 2017-01-23T22:20:51 --startdatetime 2017-01-23T22:26:18 --delay 1 --endMP 204:165 --enddatetime 2017-01-23T23:09:28 --enforcementcount 0 &gt;&gt;C:\Users\stu\Documents\GitHub\eaglep3-reporting\EC\2017-01-23-refined-times.txt</v>
      </c>
      <c r="AI144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ID","value":"232-23"},{"id":16,"name":"Locomotive ID","value":"4012"},{"id":130,"name":"Impact","value":""},{"id":150,"name":"Time of Event (Mountain Time)","value":"23:09:28"},{"id":151,"name":"Denver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6"/>
        <v>start /low /b %USERPROFILE%\Documents\GitHub\eaglep3\Utilities\DownloadLogsFromS3.py --loco 4012 --day 2017-01-23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655</v>
      </c>
      <c r="B145" s="7">
        <v>4029</v>
      </c>
      <c r="C145" s="22" t="s">
        <v>196</v>
      </c>
      <c r="D145" s="22" t="s">
        <v>716</v>
      </c>
      <c r="E145" s="13">
        <v>42758.904652777775</v>
      </c>
      <c r="F145" s="13">
        <v>42758.917395833334</v>
      </c>
      <c r="G145" s="7">
        <v>1</v>
      </c>
      <c r="H145" s="22" t="s">
        <v>262</v>
      </c>
      <c r="I145" s="13">
        <v>42758.947835648149</v>
      </c>
      <c r="J145" s="7">
        <v>0</v>
      </c>
      <c r="K145" s="105" t="str">
        <f t="shared" si="39"/>
        <v>4029/4030</v>
      </c>
      <c r="L145" s="22" t="str">
        <f>VLOOKUP(A145,'Trips&amp;Operators'!$C$1:$G$99999,5,FALSE)</f>
        <v>STAMBAUGH JAMES</v>
      </c>
      <c r="M145" s="6">
        <f t="shared" si="40"/>
        <v>3.0439814814599231E-2</v>
      </c>
      <c r="N145" s="7">
        <f t="shared" si="41"/>
        <v>43.833333333022892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-23T20:42:42-0700',mode:absolute,to:'2017-01-23T23:44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49" t="str">
        <f t="shared" si="45"/>
        <v>N</v>
      </c>
      <c r="X145" s="170">
        <f t="shared" si="46"/>
        <v>1</v>
      </c>
      <c r="Y145" s="64">
        <f t="shared" si="47"/>
        <v>4.6699999999999998E-2</v>
      </c>
      <c r="Z145" s="64">
        <f t="shared" si="48"/>
        <v>23.331099999999999</v>
      </c>
      <c r="AA145" s="64">
        <f t="shared" si="49"/>
        <v>23.284399999999998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0"/>
        <v>0233-23</v>
      </c>
      <c r="AE145" s="87" t="str">
        <f t="shared" si="51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45" s="84" t="str">
        <f t="shared" si="52"/>
        <v>"C:\Program Files (x86)\AstroGrep\AstroGrep.exe" /spath="%USERPROFILE%\AppData\Local\Temp\OnboardLogs" /stypes="app*4029*20170124*" /stext=" 05:.+((SYSTEM_STATE.+slice.+state.+changed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233-23 --locoid 4029 --swversion DE.1.0.8.0 --startMP 204:467 --initTime 2017-01-23T21:42:42 --startdatetime 2017-01-23T22:01:03 --delay 1 --endMP 204:233311 --enddatetime 2017-01-23T22:44:53 --enforcementcount 0 &gt;&gt;C:\Users\stu\Documents\GitHub\eaglep3-reporting\EC\2017-01-23-refined-times.txt</v>
      </c>
      <c r="AI145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{"issue":{"subject":"","project_id":79,"tracker_id":40,"status_id":1,"priority_id":2,"assigned_to_id":23,"start_date":"2017-01-23","description":"","custom_fields":[{"id":1,"name":"Subdivision","value":"EC"},{"id":4,"name":"Milepost","value":"23.3311"},{"id":17,"name":"Train ID","value":"233-23"},{"id":16,"name":"Locomotive ID","value":"4029"},{"id":130,"name":"Impact","value":""},{"id":150,"name":"Time of Event (Mountain Time)","value":"22:44:53"},{"id":151,"name":"Denver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6"/>
        <v>start /low /b %USERPROFILE%\Documents\GitHub\eaglep3\Utilities\DownloadLogsFromS3.py --loco 4029 --day 2017-01-23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661</v>
      </c>
      <c r="B146" s="7">
        <v>4030</v>
      </c>
      <c r="C146" s="22" t="s">
        <v>196</v>
      </c>
      <c r="D146" s="22" t="s">
        <v>275</v>
      </c>
      <c r="E146" s="13">
        <v>42758.954421296294</v>
      </c>
      <c r="F146" s="13">
        <v>42758.955740740741</v>
      </c>
      <c r="G146" s="7">
        <v>0</v>
      </c>
      <c r="H146" s="22" t="s">
        <v>726</v>
      </c>
      <c r="I146" s="13">
        <v>42758.983240740738</v>
      </c>
      <c r="J146" s="7">
        <v>0</v>
      </c>
      <c r="K146" s="105" t="str">
        <f t="shared" si="39"/>
        <v>4029/4030</v>
      </c>
      <c r="L146" s="22" t="str">
        <f>VLOOKUP(A146,'Trips&amp;Operators'!$C$1:$G$99999,5,FALSE)</f>
        <v>STAMBAUGH JAMES</v>
      </c>
      <c r="M146" s="6">
        <f t="shared" si="40"/>
        <v>2.749999999650754E-2</v>
      </c>
      <c r="N146" s="7">
        <f t="shared" si="41"/>
        <v>39.599999994970858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-23T21:54:22-0700',mode:absolute,to:'2017-01-24T00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49" t="str">
        <f t="shared" si="45"/>
        <v>N</v>
      </c>
      <c r="X146" s="170">
        <f t="shared" si="46"/>
        <v>1</v>
      </c>
      <c r="Y146" s="64">
        <f t="shared" si="47"/>
        <v>23.299600000000002</v>
      </c>
      <c r="Z146" s="64">
        <f t="shared" si="48"/>
        <v>1.7999999999999999E-2</v>
      </c>
      <c r="AA146" s="64">
        <f t="shared" si="49"/>
        <v>23.281600000000001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0"/>
        <v>0234-23</v>
      </c>
      <c r="AE146" s="87" t="str">
        <f t="shared" si="51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46" s="84" t="str">
        <f t="shared" si="52"/>
        <v>"C:\Program Files (x86)\AstroGrep\AstroGrep.exe" /spath="%USERPROFILE%\AppData\Local\Temp\OnboardLogs" /stypes="app*4030*20170124*" /stext=" 06:.+((SYSTEM_STATE.+slice.+state.+changed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234-23 --locoid 4030 --swversion DE.1.0.8.0 --startMP 204:232996 --initTime 2017-01-23T22:54:22 --startdatetime 2017-01-23T22:56:16 --delay 0 --endMP 204:180 --enddatetime 2017-01-23T23:35:52 --enforcementcount 0 &gt;&gt;C:\Users\stu\Documents\GitHub\eaglep3-reporting\EC\2017-01-23-refined-times.txt</v>
      </c>
      <c r="AI146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{"issue":{"subject":"","project_id":79,"tracker_id":40,"status_id":1,"priority_id":2,"assigned_to_id":23,"start_date":"2017-01-23","description":"","custom_fields":[{"id":1,"name":"Subdivision","value":"EC"},{"id":4,"name":"Milepost","value":"0.018"},{"id":17,"name":"Train ID","value":"234-23"},{"id":16,"name":"Locomotive ID","value":"4030"},{"id":130,"name":"Impact","value":""},{"id":150,"name":"Time of Event (Mountain Time)","value":"23:35:52"},{"id":151,"name":"Denver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6"/>
        <v>start /low /b %USERPROFILE%\Documents\GitHub\eaglep3\Utilities\DownloadLogsFromS3.py --loco 4030 --day 2017-01-23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659</v>
      </c>
      <c r="B147" s="7">
        <v>4027</v>
      </c>
      <c r="C147" s="22" t="s">
        <v>196</v>
      </c>
      <c r="D147" s="22" t="s">
        <v>727</v>
      </c>
      <c r="E147" s="13">
        <v>42758.931921296295</v>
      </c>
      <c r="F147" s="13">
        <v>42758.938298611109</v>
      </c>
      <c r="G147" s="7">
        <v>2</v>
      </c>
      <c r="H147" s="22" t="s">
        <v>364</v>
      </c>
      <c r="I147" s="13">
        <v>42758.968460648146</v>
      </c>
      <c r="J147" s="7">
        <v>0</v>
      </c>
      <c r="K147" s="105" t="str">
        <f t="shared" si="39"/>
        <v>4027/4028</v>
      </c>
      <c r="L147" s="22" t="str">
        <f>VLOOKUP(A147,'Trips&amp;Operators'!$C$1:$G$99999,5,FALSE)</f>
        <v>STORY SAMANTHA</v>
      </c>
      <c r="M147" s="6">
        <f t="shared" si="40"/>
        <v>3.0162037037371192E-2</v>
      </c>
      <c r="N147" s="7">
        <f t="shared" si="41"/>
        <v>43.433333333814517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-23T21:21:58-0700',mode:absolute,to:'2017-01-24T00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49" t="str">
        <f t="shared" si="45"/>
        <v>N</v>
      </c>
      <c r="X147" s="170">
        <f t="shared" si="46"/>
        <v>1</v>
      </c>
      <c r="Y147" s="64">
        <f t="shared" si="47"/>
        <v>0.11650000000000001</v>
      </c>
      <c r="Z147" s="64">
        <f t="shared" si="48"/>
        <v>23.334900000000001</v>
      </c>
      <c r="AA147" s="64">
        <f t="shared" si="49"/>
        <v>23.218400000000003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0"/>
        <v>0235-23</v>
      </c>
      <c r="AE147" s="87" t="str">
        <f t="shared" si="51"/>
        <v>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 &amp; 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</v>
      </c>
      <c r="AF147" s="84" t="str">
        <f t="shared" si="52"/>
        <v>"C:\Program Files (x86)\AstroGrep\AstroGrep.exe" /spath="%USERPROFILE%\AppData\Local\Temp\OnboardLogs" /stypes="app*4027*20170124*"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235-23 --locoid 4027 --swversion DE.1.0.8.0 --startMP 204:1165 --initTime 2017-01-23T22:21:58 --startdatetime 2017-01-23T22:31:09 --delay 2 --endMP 204:233349 --enddatetime 2017-01-23T23:14:35 --enforcementcount 0 &gt;&gt;C:\Users\stu\Documents\GitHub\eaglep3-reporting\EC\2017-01-23-refined-times.txt</v>
      </c>
      <c r="AI147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{"issue":{"subject":"","project_id":79,"tracker_id":40,"status_id":1,"priority_id":2,"assigned_to_id":23,"start_date":"2017-01-23","description":"","custom_fields":[{"id":1,"name":"Subdivision","value":"EC"},{"id":4,"name":"Milepost","value":"23.3349"},{"id":17,"name":"Train ID","value":"235-23"},{"id":16,"name":"Locomotive ID","value":"4027"},{"id":130,"name":"Impact","value":""},{"id":150,"name":"Time of Event (Mountain Time)","value":"23:14:35"},{"id":151,"name":"Denver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6"/>
        <v>start /low /b %USERPROFILE%\Documents\GitHub\eaglep3\Utilities\DownloadLogsFromS3.py --loco 4027 --day 2017-01-23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452</v>
      </c>
      <c r="B148" s="7">
        <v>4028</v>
      </c>
      <c r="C148" s="22" t="s">
        <v>196</v>
      </c>
      <c r="D148" s="22" t="s">
        <v>728</v>
      </c>
      <c r="E148" s="13">
        <v>42758.973344907405</v>
      </c>
      <c r="F148" s="13">
        <v>42758.976631944446</v>
      </c>
      <c r="G148" s="7">
        <v>1</v>
      </c>
      <c r="H148" s="22" t="s">
        <v>729</v>
      </c>
      <c r="I148" s="13">
        <v>42759.005277777775</v>
      </c>
      <c r="J148" s="7">
        <v>0</v>
      </c>
      <c r="K148" s="105" t="str">
        <f t="shared" si="39"/>
        <v>4027/4028</v>
      </c>
      <c r="L148" s="22" t="str">
        <f>VLOOKUP(A148,'Trips&amp;Operators'!$C$1:$G$99999,5,FALSE)</f>
        <v>STORY SAMANTHA</v>
      </c>
      <c r="M148" s="6">
        <f t="shared" si="40"/>
        <v>2.8645833328482695E-2</v>
      </c>
      <c r="N148" s="7">
        <f t="shared" si="41"/>
        <v>41.249999993015081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-23T22:21:37-0700',mode:absolute,to:'2017-01-24T01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49" t="str">
        <f t="shared" si="45"/>
        <v>N</v>
      </c>
      <c r="X148" s="170">
        <f t="shared" si="46"/>
        <v>1</v>
      </c>
      <c r="Y148" s="64">
        <f t="shared" si="47"/>
        <v>23.302600000000002</v>
      </c>
      <c r="Z148" s="64">
        <f t="shared" si="48"/>
        <v>0.1237</v>
      </c>
      <c r="AA148" s="64">
        <f t="shared" si="49"/>
        <v>23.178900000000002</v>
      </c>
      <c r="AB148" s="61" t="str">
        <f>VLOOKUP(A148,Enforcements!$C$7:$K$16,8,0)</f>
        <v>Form based authority (4)</v>
      </c>
      <c r="AC148" s="57" t="str">
        <f>VLOOKUP(A148,Enforcements!$C$7:$E$16,3,0)</f>
        <v>TRACK WARRANT AUTHORITY</v>
      </c>
      <c r="AD148" s="58" t="str">
        <f t="shared" si="50"/>
        <v>0236-23</v>
      </c>
      <c r="AE148" s="87" t="str">
        <f t="shared" si="51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148" s="84" t="str">
        <f t="shared" si="52"/>
        <v>"C:\Program Files (x86)\AstroGrep\AstroGrep.exe" /spath="%USERPROFILE%\AppData\Local\Temp\OnboardLogs" /stypes="app*4028*20170124*" /stext=" 07:.+((SYSTEM_STATE.+slice.+state.+changed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236-23 --locoid 4028 --swversion DE.1.0.8.0 --startMP 204:233026 --initTime 2017-01-23T23:21:37 --startdatetime 2017-01-23T23:26:21 --delay 1 --endMP 204:1237 --enddatetime 2017-01-24T00:07:36 --enforcementcount 0 &gt;&gt;C:\Users\stu\Documents\GitHub\eaglep3-reporting\EC\2017-01-23-refined-times.txt</v>
      </c>
      <c r="AI148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{"issue":{"subject":"","project_id":79,"tracker_id":40,"status_id":1,"priority_id":2,"assigned_to_id":23,"start_date":"2017-01-24","description":"","custom_fields":[{"id":1,"name":"Subdivision","value":"EC"},{"id":4,"name":"Milepost","value":"0.1237"},{"id":17,"name":"Train ID","value":"236-23"},{"id":16,"name":"Locomotive ID","value":"4028"},{"id":130,"name":"Impact","value":""},{"id":150,"name":"Time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6"/>
        <v>start /low /b %USERPROFILE%\Documents\GitHub\eaglep3\Utilities\DownloadLogsFromS3.py --loco 4028 --day 2017-01-23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2017-01-23-UncaughtWiMAX.txt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662</v>
      </c>
      <c r="B149" s="7">
        <v>4016</v>
      </c>
      <c r="C149" s="22" t="s">
        <v>196</v>
      </c>
      <c r="D149" s="22" t="s">
        <v>689</v>
      </c>
      <c r="E149" s="13">
        <v>42758.95721064815</v>
      </c>
      <c r="F149" s="13">
        <v>42758.958564814813</v>
      </c>
      <c r="G149" s="7">
        <v>1</v>
      </c>
      <c r="H149" s="22" t="s">
        <v>730</v>
      </c>
      <c r="I149" s="13">
        <v>42758.990416666667</v>
      </c>
      <c r="J149" s="7">
        <v>0</v>
      </c>
      <c r="K149" s="105" t="str">
        <f t="shared" si="39"/>
        <v>4015/4016</v>
      </c>
      <c r="L149" s="22" t="str">
        <f>VLOOKUP(A149,'Trips&amp;Operators'!$C$1:$G$99999,5,FALSE)</f>
        <v>CHANDLER KELVIN</v>
      </c>
      <c r="M149" s="6">
        <f t="shared" si="40"/>
        <v>3.1851851854298729E-2</v>
      </c>
      <c r="N149" s="7">
        <f t="shared" si="41"/>
        <v>45.86666667019017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-23T21:58:23-0700',mode:absolute,to:'2017-01-24T00:46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49" t="str">
        <f t="shared" si="45"/>
        <v>N</v>
      </c>
      <c r="X149" s="170">
        <f t="shared" si="46"/>
        <v>1</v>
      </c>
      <c r="Y149" s="64">
        <f t="shared" si="47"/>
        <v>4.7699999999999999E-2</v>
      </c>
      <c r="Z149" s="64">
        <f t="shared" si="48"/>
        <v>23.328399999999998</v>
      </c>
      <c r="AA149" s="64">
        <f t="shared" si="49"/>
        <v>23.2807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0"/>
        <v>0237-23</v>
      </c>
      <c r="AE149" s="87" t="str">
        <f t="shared" si="51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49" s="84" t="str">
        <f t="shared" si="52"/>
        <v>"C:\Program Files (x86)\AstroGrep\AstroGrep.exe" /spath="%USERPROFILE%\AppData\Local\Temp\OnboardLogs" /stypes="app*4016*20170124*"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237-23 --locoid 4016 --swversion DE.1.0.8.0 --startMP 204:477 --initTime 2017-01-23T22:58:23 --startdatetime 2017-01-23T23:00:20 --delay 1 --endMP 204:233284 --enddatetime 2017-01-23T23:46:12 --enforcementcount 0 &gt;&gt;C:\Users\stu\Documents\GitHub\eaglep3-reporting\EC\2017-01-23-refined-times.txt</v>
      </c>
      <c r="AI149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{"issue":{"subject":"","project_id":79,"tracker_id":40,"status_id":1,"priority_id":2,"assigned_to_id":23,"start_date":"2017-01-23","description":"","custom_fields":[{"id":1,"name":"Subdivision","value":"EC"},{"id":4,"name":"Milepost","value":"23.3284"},{"id":17,"name":"Train ID","value":"237-23"},{"id":16,"name":"Locomotive ID","value":"4016"},{"id":130,"name":"Impact","value":""},{"id":150,"name":"Time of Event (Mountain Time)","value":"23:46:12"},{"id":151,"name":"Denver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6"/>
        <v>start /low /b %USERPROFILE%\Documents\GitHub\eaglep3\Utilities\DownloadLogsFromS3.py --loco 4016 --day 2017-01-23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665</v>
      </c>
      <c r="B150" s="7">
        <v>4015</v>
      </c>
      <c r="C150" s="22" t="s">
        <v>196</v>
      </c>
      <c r="D150" s="22" t="s">
        <v>731</v>
      </c>
      <c r="E150" s="13">
        <v>42758.995937500003</v>
      </c>
      <c r="F150" s="13">
        <v>42758.997557870367</v>
      </c>
      <c r="G150" s="7">
        <v>1</v>
      </c>
      <c r="H150" s="22" t="s">
        <v>221</v>
      </c>
      <c r="I150" s="13">
        <v>42759.026076388887</v>
      </c>
      <c r="J150" s="7">
        <v>0</v>
      </c>
      <c r="K150" s="105" t="str">
        <f t="shared" si="39"/>
        <v>4015/4016</v>
      </c>
      <c r="L150" s="22" t="str">
        <f>VLOOKUP(A150,'Trips&amp;Operators'!$C$1:$G$99999,5,FALSE)</f>
        <v>CHANDLER KELVIN</v>
      </c>
      <c r="M150" s="6">
        <f t="shared" si="40"/>
        <v>2.8518518520286307E-2</v>
      </c>
      <c r="N150" s="7">
        <f t="shared" si="41"/>
        <v>41.066666669212282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-23T22:54:09-0700',mode:absolute,to:'2017-01-24T01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49" t="str">
        <f t="shared" si="45"/>
        <v>N</v>
      </c>
      <c r="X150" s="170">
        <f t="shared" si="46"/>
        <v>1</v>
      </c>
      <c r="Y150" s="64">
        <f t="shared" si="47"/>
        <v>23.296700000000001</v>
      </c>
      <c r="Z150" s="64">
        <f t="shared" si="48"/>
        <v>1.52E-2</v>
      </c>
      <c r="AA150" s="64">
        <f t="shared" si="49"/>
        <v>23.281500000000001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0"/>
        <v>0238-23</v>
      </c>
      <c r="AE150" s="87" t="str">
        <f t="shared" si="51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50" s="84" t="str">
        <f t="shared" si="52"/>
        <v>"C:\Program Files (x86)\AstroGrep\AstroGrep.exe" /spath="%USERPROFILE%\AppData\Local\Temp\OnboardLogs" /stypes="app*4015*20170124*" /stext=" 07:.+((SYSTEM_STATE.+slice.+state.+changed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238-23 --locoid 4015 --swversion DE.1.0.8.0 --startMP 204:232967 --initTime 2017-01-23T23:54:09 --startdatetime 2017-01-23T23:56:29 --delay 1 --endMP 204:152 --enddatetime 2017-01-24T00:37:33 --enforcementcount 0 &gt;&gt;C:\Users\stu\Documents\GitHub\eaglep3-reporting\EC\2017-01-23-refined-times.txt</v>
      </c>
      <c r="AI150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{"issue":{"subject":"","project_id":79,"tracker_id":40,"status_id":1,"priority_id":2,"assigned_to_id":23,"start_date":"2017-01-24","description":"","custom_fields":[{"id":1,"name":"Subdivision","value":"EC"},{"id":4,"name":"Milepost","value":"0.0152"},{"id":17,"name":"Train ID","value":"238-23"},{"id":16,"name":"Locomotive ID","value":"4015"},{"id":130,"name":"Impact","value":""},{"id":150,"name":"Time of Event (Mountain Time)","value":"00:37:33"},{"id":151,"name":"Denver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6"/>
        <v>start /low /b %USERPROFILE%\Documents\GitHub\eaglep3\Utilities\DownloadLogsFromS3.py --loco 4015 --day 2017-01-23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663</v>
      </c>
      <c r="B151" s="7">
        <v>4011</v>
      </c>
      <c r="C151" s="22" t="s">
        <v>196</v>
      </c>
      <c r="D151" s="22" t="s">
        <v>229</v>
      </c>
      <c r="E151" s="13">
        <v>42758.96775462963</v>
      </c>
      <c r="F151" s="13">
        <v>42758.979363425926</v>
      </c>
      <c r="G151" s="7">
        <v>1</v>
      </c>
      <c r="H151" s="22" t="s">
        <v>418</v>
      </c>
      <c r="I151" s="13">
        <v>42759.010763888888</v>
      </c>
      <c r="J151" s="7">
        <v>0</v>
      </c>
      <c r="K151" s="105" t="str">
        <f t="shared" si="39"/>
        <v>4011/4012</v>
      </c>
      <c r="L151" s="22" t="str">
        <f>VLOOKUP(A151,'Trips&amp;Operators'!$C$1:$G$99999,5,FALSE)</f>
        <v>SMITH MICHAEL</v>
      </c>
      <c r="M151" s="6">
        <f t="shared" si="40"/>
        <v>3.1400462961755693E-2</v>
      </c>
      <c r="N151" s="7">
        <f t="shared" si="41"/>
        <v>45.216666664928198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-23T22:13:34-0700',mode:absolute,to:'2017-01-24T01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49" t="str">
        <f t="shared" si="45"/>
        <v>N</v>
      </c>
      <c r="X151" s="170">
        <f t="shared" si="46"/>
        <v>1</v>
      </c>
      <c r="Y151" s="64">
        <f t="shared" si="47"/>
        <v>4.4600000000000001E-2</v>
      </c>
      <c r="Z151" s="64">
        <f t="shared" si="48"/>
        <v>23.328900000000001</v>
      </c>
      <c r="AA151" s="64">
        <f t="shared" si="49"/>
        <v>23.284300000000002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50"/>
        <v>0239-23</v>
      </c>
      <c r="AE151" s="87" t="str">
        <f t="shared" si="51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51" s="84" t="str">
        <f t="shared" si="52"/>
        <v>"C:\Program Files (x86)\AstroGrep\AstroGrep.exe" /spath="%USERPROFILE%\AppData\Local\Temp\OnboardLogs" /stypes="app*4011*20170124*"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239-23 --locoid 4011 --swversion DE.1.0.8.0 --startMP 204:446 --initTime 2017-01-23T23:13:34 --startdatetime 2017-01-23T23:30:17 --delay 1 --endMP 204:233289 --enddatetime 2017-01-24T00:15:30 --enforcementcount 0 &gt;&gt;C:\Users\stu\Documents\GitHub\eaglep3-reporting\EC\2017-01-23-refined-times.txt</v>
      </c>
      <c r="AI151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{"issue":{"subject":"","project_id":79,"tracker_id":40,"status_id":1,"priority_id":2,"assigned_to_id":23,"start_date":"2017-01-24","description":"","custom_fields":[{"id":1,"name":"Subdivision","value":"EC"},{"id":4,"name":"Milepost","value":"23.3289"},{"id":17,"name":"Train ID","value":"239-23"},{"id":16,"name":"Locomotive ID","value":"4011"},{"id":130,"name":"Impact","value":""},{"id":150,"name":"Time of Event (Mountain Time)","value":"00:15:30"},{"id":151,"name":"Denver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6"/>
        <v>start /low /b %USERPROFILE%\Documents\GitHub\eaglep3\Utilities\DownloadLogsFromS3.py --loco 4011 --day 2017-01-23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454</v>
      </c>
      <c r="B152" s="7">
        <v>4012</v>
      </c>
      <c r="C152" s="22" t="s">
        <v>196</v>
      </c>
      <c r="D152" s="22" t="s">
        <v>696</v>
      </c>
      <c r="E152" s="13">
        <v>42759.01321759259</v>
      </c>
      <c r="F152" s="13">
        <v>42759.018483796295</v>
      </c>
      <c r="G152" s="7">
        <v>1</v>
      </c>
      <c r="H152" s="22" t="s">
        <v>732</v>
      </c>
      <c r="I152" s="13">
        <v>42759.047951388886</v>
      </c>
      <c r="J152" s="7">
        <v>0</v>
      </c>
      <c r="K152" s="105" t="str">
        <f t="shared" si="39"/>
        <v>4011/4012</v>
      </c>
      <c r="L152" s="22" t="str">
        <f>VLOOKUP(A152,'Trips&amp;Operators'!$C$1:$G$99999,5,FALSE)</f>
        <v>SMITH MICHAEL</v>
      </c>
      <c r="M152" s="6">
        <f t="shared" si="40"/>
        <v>2.9467592590663116E-2</v>
      </c>
      <c r="N152" s="7">
        <f t="shared" si="41"/>
        <v>42.433333330554888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-23T23:19:02-0700',mode:absolute,to:'2017-01-24T02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49" t="str">
        <f t="shared" si="45"/>
        <v>N</v>
      </c>
      <c r="X152" s="170">
        <f t="shared" si="46"/>
        <v>1</v>
      </c>
      <c r="Y152" s="64">
        <f t="shared" si="47"/>
        <v>23.297499999999999</v>
      </c>
      <c r="Z152" s="64">
        <f t="shared" si="48"/>
        <v>1.8100000000000002E-2</v>
      </c>
      <c r="AA152" s="64">
        <f t="shared" si="49"/>
        <v>23.279399999999999</v>
      </c>
      <c r="AB152" s="61" t="str">
        <f>VLOOKUP(A152,Enforcements!$C$7:$K$16,8,0)</f>
        <v>Form based authority (4)</v>
      </c>
      <c r="AC152" s="57" t="str">
        <f>VLOOKUP(A152,Enforcements!$C$7:$E$16,3,0)</f>
        <v>TRACK WARRANT AUTHORITY</v>
      </c>
      <c r="AD152" s="58" t="str">
        <f t="shared" si="50"/>
        <v>0240-23</v>
      </c>
      <c r="AE152" s="87" t="str">
        <f t="shared" si="51"/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AF152" s="84" t="str">
        <f t="shared" si="52"/>
        <v>"C:\Program Files (x86)\AstroGrep\AstroGrep.exe" /spath="%USERPROFILE%\AppData\Local\Temp\OnboardLogs" /stypes="app*4012*20170124*" /stext=" 08:.+((SYSTEM_STATE.+slice.+state.+changed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240-23 --locoid 4012 --swversion DE.1.0.8.0 --startMP 204:232975 --initTime 2017-01-24T00:19:02 --startdatetime 2017-01-24T00:26:37 --delay 1 --endMP 204:181 --enddatetime 2017-01-24T01:09:03 --enforcementcount 0 &gt;&gt;C:\Users\stu\Documents\GitHub\eaglep3-reporting\EC\2017-01-23-refined-times.txt</v>
      </c>
      <c r="AI152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{"issue":{"subject":"","project_id":79,"tracker_id":40,"status_id":1,"priority_id":2,"assigned_to_id":23,"start_date":"2017-01-24","description":"","custom_fields":[{"id":1,"name":"Subdivision","value":"EC"},{"id":4,"name":"Milepost","value":"0.0181"},{"id":17,"name":"Train ID","value":"240-23"},{"id":16,"name":"Locomotive ID","value":"4012"},{"id":130,"name":"Impact","value":""},{"id":150,"name":"Time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6"/>
        <v>start /low /b %USERPROFILE%\Documents\GitHub\eaglep3\Utilities\DownloadLogsFromS3.py --loco 4012 --day 2017-01-24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664</v>
      </c>
      <c r="B153" s="7">
        <v>4029</v>
      </c>
      <c r="C153" s="22" t="s">
        <v>196</v>
      </c>
      <c r="D153" s="22" t="s">
        <v>311</v>
      </c>
      <c r="E153" s="13">
        <v>42758.986180555556</v>
      </c>
      <c r="F153" s="13">
        <v>42759.000740740739</v>
      </c>
      <c r="G153" s="7">
        <v>1</v>
      </c>
      <c r="H153" s="22" t="s">
        <v>733</v>
      </c>
      <c r="I153" s="13">
        <v>42759.031111111108</v>
      </c>
      <c r="J153" s="7">
        <v>0</v>
      </c>
      <c r="K153" s="105" t="str">
        <f t="shared" si="39"/>
        <v>4029/4030</v>
      </c>
      <c r="L153" s="22" t="str">
        <f>VLOOKUP(A153,'Trips&amp;Operators'!$C$1:$G$99999,5,FALSE)</f>
        <v>STAMBAUGH JAMES</v>
      </c>
      <c r="M153" s="6">
        <f t="shared" si="40"/>
        <v>3.0370370368473232E-2</v>
      </c>
      <c r="N153" s="7">
        <f t="shared" si="41"/>
        <v>43.733333330601454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-23T22:40:06-0700',mode:absolute,to:'2017-01-24T01:44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49" t="str">
        <f t="shared" si="45"/>
        <v>N</v>
      </c>
      <c r="X153" s="170">
        <f t="shared" si="46"/>
        <v>1</v>
      </c>
      <c r="Y153" s="64">
        <f t="shared" si="47"/>
        <v>4.3499999999999997E-2</v>
      </c>
      <c r="Z153" s="64">
        <f t="shared" si="48"/>
        <v>23.332000000000001</v>
      </c>
      <c r="AA153" s="64">
        <f t="shared" si="49"/>
        <v>23.288499999999999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0"/>
        <v>0241-23</v>
      </c>
      <c r="AE153" s="87" t="str">
        <f t="shared" si="51"/>
        <v>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 &amp; aws s3 cp s3://rtdc.mdm.uploadarchive.raw/RTDC4029/ "%USERPROFILE%\AppData\Local\Temp\OnboardLogs"\RTDC4029\2017-01-25 --exclude "*" --recursive --include "*20170125*" &amp; "%USERPROFILE%\Documents\GitHub\mrs-test-scripts\Headless Mode &amp; Sideloading\WalkAndUnGZ.bat" "%USERPROFILE%\AppData\Local\Temp\OnboardLogs"\RTDC4029\2017-01-25</v>
      </c>
      <c r="AF153" s="84" t="str">
        <f t="shared" si="52"/>
        <v>"C:\Program Files (x86)\AstroGrep\AstroGrep.exe" /spath="%USERPROFILE%\AppData\Local\Temp\OnboardLogs" /stypes="app*4029*20170124*"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241-23 --locoid 4029 --swversion DE.1.0.8.0 --startMP 204:435 --initTime 2017-01-23T23:40:06 --startdatetime 2017-01-24T00:01:04 --delay 1 --endMP 204:233320 --enddatetime 2017-01-24T00:44:48 --enforcementcount 0 &gt;&gt;C:\Users\stu\Documents\GitHub\eaglep3-reporting\EC\2017-01-23-refined-times.txt</v>
      </c>
      <c r="AI153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{"issue":{"subject":"","project_id":79,"tracker_id":40,"status_id":1,"priority_id":2,"assigned_to_id":23,"start_date":"2017-01-24","description":"","custom_fields":[{"id":1,"name":"Subdivision","value":"EC"},{"id":4,"name":"Milepost","value":"23.332"},{"id":17,"name":"Train ID","value":"241-23"},{"id":16,"name":"Locomotive ID","value":"4029"},{"id":130,"name":"Impact","value":""},{"id":150,"name":"Time of Event (Mountain Time)","value":"00:44:48"},{"id":151,"name":"Denver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6"/>
        <v>start /low /b %USERPROFILE%\Documents\GitHub\eaglep3\Utilities\DownloadLogsFromS3.py --loco 4029 --day 2017-01-24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453</v>
      </c>
      <c r="B154" s="7">
        <v>4030</v>
      </c>
      <c r="C154" s="22" t="s">
        <v>196</v>
      </c>
      <c r="D154" s="22" t="s">
        <v>722</v>
      </c>
      <c r="E154" s="13">
        <v>42759.038032407407</v>
      </c>
      <c r="F154" s="13">
        <v>42759.039282407408</v>
      </c>
      <c r="G154" s="7">
        <v>1</v>
      </c>
      <c r="H154" s="22" t="s">
        <v>734</v>
      </c>
      <c r="I154" s="13">
        <v>42759.066331018519</v>
      </c>
      <c r="J154" s="7">
        <v>0</v>
      </c>
      <c r="K154" s="105" t="str">
        <f t="shared" si="39"/>
        <v>4029/4030</v>
      </c>
      <c r="L154" s="22" t="str">
        <f>VLOOKUP(A154,'Trips&amp;Operators'!$C$1:$G$99999,5,FALSE)</f>
        <v>STAMBAUGH JAMES</v>
      </c>
      <c r="M154" s="6">
        <f t="shared" si="40"/>
        <v>2.7048611111240461E-2</v>
      </c>
      <c r="N154" s="7">
        <f t="shared" si="41"/>
        <v>38.950000000186265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-23T23:54:46-0700',mode:absolute,to:'2017-01-24T02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49" t="str">
        <f t="shared" si="45"/>
        <v>N</v>
      </c>
      <c r="X154" s="170">
        <f t="shared" si="46"/>
        <v>1</v>
      </c>
      <c r="Y154" s="64">
        <f t="shared" si="47"/>
        <v>23.3005</v>
      </c>
      <c r="Z154" s="64">
        <f t="shared" si="48"/>
        <v>1.7600000000000001E-2</v>
      </c>
      <c r="AA154" s="64">
        <f t="shared" si="49"/>
        <v>23.282899999999998</v>
      </c>
      <c r="AB154" s="61" t="str">
        <f>VLOOKUP(A154,Enforcements!$C$7:$K$16,8,0)</f>
        <v>Speed (6)</v>
      </c>
      <c r="AC154" s="57" t="str">
        <f>VLOOKUP(A154,Enforcements!$C$7:$E$16,3,0)</f>
        <v>PERMANENT SPEED RESTRICTION</v>
      </c>
      <c r="AD154" s="58" t="str">
        <f t="shared" si="50"/>
        <v>0242-23</v>
      </c>
      <c r="AE154" s="87" t="str">
        <f t="shared" si="51"/>
        <v>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 &amp; aws s3 cp s3://rtdc.mdm.uploadarchive.raw/RTDC4030/ "%USERPROFILE%\AppData\Local\Temp\OnboardLogs"\RTDC4030\2017-01-25 --exclude "*" --recursive --include "*20170125*" &amp; "%USERPROFILE%\Documents\GitHub\mrs-test-scripts\Headless Mode &amp; Sideloading\WalkAndUnGZ.bat" "%USERPROFILE%\AppData\Local\Temp\OnboardLogs"\RTDC4030\2017-01-25</v>
      </c>
      <c r="AF154" s="84" t="str">
        <f t="shared" si="52"/>
        <v>"C:\Program Files (x86)\AstroGrep\AstroGrep.exe" /spath="%USERPROFILE%\AppData\Local\Temp\OnboardLogs" /stypes="app*4030*20170124*" /stext=" 08:.+((SYSTEM_STATE.+slice.+state.+changed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242-23 --locoid 4030 --swversion DE.1.0.8.0 --startMP 204:233005 --initTime 2017-01-24T00:54:46 --startdatetime 2017-01-24T00:56:34 --delay 1 --endMP 204:176 --enddatetime 2017-01-24T01:35:31 --enforcementcount 0 &gt;&gt;C:\Users\stu\Documents\GitHub\eaglep3-reporting\EC\2017-01-23-refined-times.txt</v>
      </c>
      <c r="AI154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{"issue":{"subject":"","project_id":79,"tracker_id":40,"status_id":1,"priority_id":2,"assigned_to_id":23,"start_date":"2017-01-24","description":"","custom_fields":[{"id":1,"name":"Subdivision","value":"EC"},{"id":4,"name":"Milepost","value":"0.0176"},{"id":17,"name":"Train ID","value":"242-23"},{"id":16,"name":"Locomotive ID","value":"4030"},{"id":130,"name":"Impact","value":""},{"id":150,"name":"Time of Event (Mountain Time)","value":"01:35:31"},{"id":151,"name":"Denver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6"/>
        <v>start /low /b %USERPROFILE%\Documents\GitHub\eaglep3\Utilities\DownloadLogsFromS3.py --loco 4030 --day 2017-01-24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666</v>
      </c>
      <c r="B155" s="7">
        <v>4022</v>
      </c>
      <c r="C155" s="22" t="s">
        <v>196</v>
      </c>
      <c r="D155" s="22" t="s">
        <v>269</v>
      </c>
      <c r="E155" s="13">
        <v>42759.0153125</v>
      </c>
      <c r="F155" s="13">
        <v>42759.02107638889</v>
      </c>
      <c r="G155" s="7">
        <v>1</v>
      </c>
      <c r="H155" s="22" t="s">
        <v>386</v>
      </c>
      <c r="I155" s="13">
        <v>42759.052719907406</v>
      </c>
      <c r="J155" s="7">
        <v>0</v>
      </c>
      <c r="K155" s="105" t="str">
        <f t="shared" si="39"/>
        <v>4021/4022</v>
      </c>
      <c r="L155" s="22" t="str">
        <f>VLOOKUP(A155,'Trips&amp;Operators'!$C$1:$G$99999,5,FALSE)</f>
        <v>STORY SAMANTHA</v>
      </c>
      <c r="M155" s="6">
        <f t="shared" si="40"/>
        <v>3.1643518515920732E-2</v>
      </c>
      <c r="N155" s="7">
        <f t="shared" si="41"/>
        <v>45.566666662925854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-23T23:22:03-0700',mode:absolute,to:'2017-01-24T02:15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49" t="str">
        <f t="shared" si="45"/>
        <v>N</v>
      </c>
      <c r="X155" s="170">
        <f t="shared" si="46"/>
        <v>1</v>
      </c>
      <c r="Y155" s="64">
        <f t="shared" si="47"/>
        <v>4.5100000000000001E-2</v>
      </c>
      <c r="Z155" s="64">
        <f t="shared" si="48"/>
        <v>23.331600000000002</v>
      </c>
      <c r="AA155" s="64">
        <f t="shared" si="49"/>
        <v>23.2865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0"/>
        <v>0243-23</v>
      </c>
      <c r="AE155" s="87" t="str">
        <f t="shared" si="51"/>
        <v>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 &amp; 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</v>
      </c>
      <c r="AF155" s="84" t="str">
        <f t="shared" si="52"/>
        <v>"C:\Program Files (x86)\AstroGrep\AstroGrep.exe" /spath="%USERPROFILE%\AppData\Local\Temp\OnboardLogs" /stypes="app*4022*20170124*"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243-23 --locoid 4022 --swversion DE.1.0.8.0 --startMP 204:451 --initTime 2017-01-24T00:22:03 --startdatetime 2017-01-24T00:30:21 --delay 1 --endMP 204:233316 --enddatetime 2017-01-24T01:15:55 --enforcementcount 0 &gt;&gt;C:\Users\stu\Documents\GitHub\eaglep3-reporting\EC\2017-01-23-refined-times.txt</v>
      </c>
      <c r="AI155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{"issue":{"subject":"","project_id":79,"tracker_id":40,"status_id":1,"priority_id":2,"assigned_to_id":23,"start_date":"2017-01-24","description":"","custom_fields":[{"id":1,"name":"Subdivision","value":"EC"},{"id":4,"name":"Milepost","value":"23.3316"},{"id":17,"name":"Train ID","value":"243-23"},{"id":16,"name":"Locomotive ID","value":"4022"},{"id":130,"name":"Impact","value":""},{"id":150,"name":"Time of Event (Mountain Time)","value":"01:15:55"},{"id":151,"name":"Denver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6"/>
        <v>start /low /b %USERPROFILE%\Documents\GitHub\eaglep3\Utilities\DownloadLogsFromS3.py --loco 4022 --day 2017-01-24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669</v>
      </c>
      <c r="B156" s="7">
        <v>4021</v>
      </c>
      <c r="C156" s="22" t="s">
        <v>196</v>
      </c>
      <c r="D156" s="22" t="s">
        <v>267</v>
      </c>
      <c r="E156" s="13">
        <v>42759.053946759261</v>
      </c>
      <c r="F156" s="13">
        <v>42759.060057870367</v>
      </c>
      <c r="G156" s="7">
        <v>2</v>
      </c>
      <c r="H156" s="22" t="s">
        <v>206</v>
      </c>
      <c r="I156" s="13">
        <v>42759.088020833333</v>
      </c>
      <c r="J156" s="7">
        <v>0</v>
      </c>
      <c r="K156" s="105" t="str">
        <f t="shared" si="39"/>
        <v>4021/4022</v>
      </c>
      <c r="L156" s="22" t="str">
        <f>VLOOKUP(A156,'Trips&amp;Operators'!$C$1:$G$99999,5,FALSE)</f>
        <v>STORY SAMANTHA</v>
      </c>
      <c r="M156" s="6">
        <f t="shared" si="40"/>
        <v>2.7962962965830229E-2</v>
      </c>
      <c r="N156" s="7">
        <f t="shared" si="41"/>
        <v>40.26666667079553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-24T00:17:41-0700',mode:absolute,to:'2017-01-24T03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49" t="str">
        <f t="shared" si="45"/>
        <v>N</v>
      </c>
      <c r="X156" s="170">
        <f t="shared" si="46"/>
        <v>1</v>
      </c>
      <c r="Y156" s="64">
        <f t="shared" si="47"/>
        <v>23.297799999999999</v>
      </c>
      <c r="Z156" s="64">
        <f t="shared" si="48"/>
        <v>1.4500000000000001E-2</v>
      </c>
      <c r="AA156" s="64">
        <f t="shared" si="49"/>
        <v>23.283299999999997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0"/>
        <v>0244-23</v>
      </c>
      <c r="AE156" s="87" t="str">
        <f t="shared" si="51"/>
        <v>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 &amp; 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</v>
      </c>
      <c r="AF156" s="84" t="str">
        <f t="shared" si="52"/>
        <v>"C:\Program Files (x86)\AstroGrep\AstroGrep.exe" /spath="%USERPROFILE%\AppData\Local\Temp\OnboardLogs" /stypes="app*4021*20170124*" /stext=" 09:.+((SYSTEM_STATE.+slice.+state.+changed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244-23 --locoid 4021 --swversion DE.1.0.8.0 --startMP 204:232978 --initTime 2017-01-24T01:17:41 --startdatetime 2017-01-24T01:26:29 --delay 2 --endMP 204:145 --enddatetime 2017-01-24T02:06:45 --enforcementcount 0 &gt;&gt;C:\Users\stu\Documents\GitHub\eaglep3-reporting\EC\2017-01-23-refined-times.txt</v>
      </c>
      <c r="AI156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{"issue":{"subject":"","project_id":79,"tracker_id":40,"status_id":1,"priority_id":2,"assigned_to_id":23,"start_date":"2017-01-24","description":"","custom_fields":[{"id":1,"name":"Subdivision","value":"EC"},{"id":4,"name":"Milepost","value":"0.0145"},{"id":17,"name":"Train ID","value":"244-23"},{"id":16,"name":"Locomotive ID","value":"4021"},{"id":130,"name":"Impact","value":""},{"id":150,"name":"Time of Event (Mountain Time)","value":"02:06:45"},{"id":151,"name":"Denver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6"/>
        <v>start /low /b %USERPROFILE%\Documents\GitHub\eaglep3\Utilities\DownloadLogsFromS3.py --loco 4021 --day 2017-01-24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476</v>
      </c>
      <c r="B157" s="7">
        <v>4039</v>
      </c>
      <c r="C157" s="22" t="s">
        <v>196</v>
      </c>
      <c r="D157" s="22" t="s">
        <v>759</v>
      </c>
      <c r="E157" s="13">
        <v>42758.216863425929</v>
      </c>
      <c r="F157" s="13">
        <v>42758.218009259261</v>
      </c>
      <c r="G157" s="7">
        <v>1</v>
      </c>
      <c r="H157" s="22" t="s">
        <v>760</v>
      </c>
      <c r="I157" s="13">
        <v>42758.227951388886</v>
      </c>
      <c r="J157" s="7">
        <v>0</v>
      </c>
      <c r="K157" s="105" t="str">
        <f t="shared" si="39"/>
        <v>4039/4040</v>
      </c>
      <c r="L157" s="22" t="str">
        <f>VLOOKUP(A157,'Trips&amp;Operators'!$C$1:$G$99999,5,FALSE)</f>
        <v>DAVIS WENDY</v>
      </c>
      <c r="M157" s="6">
        <f t="shared" si="40"/>
        <v>9.9421296254149638E-3</v>
      </c>
      <c r="N157" s="7">
        <f t="shared" si="41"/>
        <v>14.316666660597548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-23T04:12:17-0700',mode:absolute,to:'2017-01-23T06:28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49" t="str">
        <f t="shared" si="45"/>
        <v>N</v>
      </c>
      <c r="X157" s="170">
        <f t="shared" si="46"/>
        <v>556</v>
      </c>
      <c r="Y157" s="64">
        <f t="shared" si="47"/>
        <v>5.8704999999999998</v>
      </c>
      <c r="Z157" s="64">
        <f t="shared" si="48"/>
        <v>6.4899999999999999E-2</v>
      </c>
      <c r="AA157" s="64">
        <f t="shared" si="49"/>
        <v>5.8056000000000001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0"/>
        <v>0800-23</v>
      </c>
      <c r="AE157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57" s="84" t="str">
        <f t="shared" si="52"/>
        <v>"C:\Program Files (x86)\AstroGrep\AstroGrep.exe" /spath="%USERPROFILE%\AppData\Local\Temp\OnboardLogs" /stypes="app*4039*20170123*" /stext=" 12:.+((SYSTEM_STATE.+slice.+state.+changed )|(ment ac)|(multiple cpu faults)|(system.+state.+changed )|(\[timeout)|(PRM\|1\|D)|(kpr)|(kdp)|(\|lc)|(penalty))" /e /r /s</v>
      </c>
      <c r="AG157" s="1" t="str">
        <f t="shared" si="53"/>
        <v>NW</v>
      </c>
      <c r="AH157" s="88" t="str">
        <f t="shared" si="54"/>
        <v>"%USERPROFILE%\Documents\GitHub\eaglep3\Utilities\RefineRTDCRunTimes.py" --tripid 800-23 --locoid 4039 --swversion DE.1.0.8.0 --startMP 300:58705 --initTime 2017-01-23T05:12:17 --startdatetime 2017-01-23T05:13:56 --delay 1 --endMP 204:649 --enddatetime 2017-01-23T05:28:15 --enforcementcount 0 &gt;&gt;C:\Users\stu\Documents\GitHub\eaglep3-reporting\EC\2017-01-23-refined-times.txt</v>
      </c>
      <c r="AI15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{"issue":{"subject":"","project_id":79,"tracker_id":40,"status_id":1,"priority_id":2,"assigned_to_id":23,"start_date":"2017-01-23","description":"","custom_fields":[{"id":1,"name":"Subdivision","value":"NW"},{"id":4,"name":"Milepost","value":"0.0649"},{"id":17,"name":"Train ID","value":"800-23"},{"id":16,"name":"Locomotive ID","value":"4039"},{"id":130,"name":"Impact","value":""},{"id":150,"name":"Time of Event (Mountain Time)","value":"05:28:15"},{"id":151,"name":"Denver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6"/>
        <v>start /low /b %USERPROFILE%\Documents\GitHub\eaglep3\Utilities\DownloadLogsFromS3.py --loco 4039 --day 2017-01-23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430</v>
      </c>
      <c r="B158" s="7">
        <v>4040</v>
      </c>
      <c r="C158" s="22" t="s">
        <v>196</v>
      </c>
      <c r="D158" s="22" t="s">
        <v>761</v>
      </c>
      <c r="E158" s="13">
        <v>42758.239756944444</v>
      </c>
      <c r="F158" s="13">
        <v>42758.243981481479</v>
      </c>
      <c r="G158" s="7">
        <v>1</v>
      </c>
      <c r="H158" s="22" t="s">
        <v>762</v>
      </c>
      <c r="I158" s="13">
        <v>42758.254999999997</v>
      </c>
      <c r="J158" s="7">
        <v>0</v>
      </c>
      <c r="K158" s="105" t="str">
        <f t="shared" si="39"/>
        <v>4039/4040</v>
      </c>
      <c r="L158" s="22" t="str">
        <f>VLOOKUP(A158,'Trips&amp;Operators'!$C$1:$G$99999,5,FALSE)</f>
        <v>DAVIS WENDY</v>
      </c>
      <c r="M158" s="6">
        <f t="shared" si="40"/>
        <v>1.1018518518540077E-2</v>
      </c>
      <c r="N158" s="7">
        <f t="shared" si="41"/>
        <v>15.866666666697711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-23T04:45:15-0700',mode:absolute,to:'2017-01-23T07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8" s="49" t="str">
        <f t="shared" si="45"/>
        <v>N</v>
      </c>
      <c r="X158" s="170">
        <f t="shared" si="46"/>
        <v>1</v>
      </c>
      <c r="Y158" s="64">
        <f t="shared" si="47"/>
        <v>9.3600000000000003E-2</v>
      </c>
      <c r="Z158" s="64">
        <f t="shared" si="48"/>
        <v>5.8998999999999997</v>
      </c>
      <c r="AA158" s="64">
        <f t="shared" si="49"/>
        <v>5.8062999999999994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0"/>
        <v>0801-23</v>
      </c>
      <c r="AE158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58" s="84" t="str">
        <f t="shared" si="52"/>
        <v>"C:\Program Files (x86)\AstroGrep\AstroGrep.exe" /spath="%USERPROFILE%\AppData\Local\Temp\OnboardLogs" /stypes="app*4040*20170123*" /stext=" 13:.+((SYSTEM_STATE.+slice.+state.+changed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88" t="str">
        <f t="shared" si="54"/>
        <v>"%USERPROFILE%\Documents\GitHub\eaglep3\Utilities\RefineRTDCRunTimes.py" --tripid 801-23 --locoid 4040 --swversion DE.1.0.8.0 --startMP 204:936 --initTime 2017-01-23T05:45:15 --startdatetime 2017-01-23T05:51:20 --delay 1 --endMP 300:58999 --enddatetime 2017-01-23T06:07:12 --enforcementcount 0 &gt;&gt;C:\Users\stu\Documents\GitHub\eaglep3-reporting\EC\2017-01-23-refined-times.txt</v>
      </c>
      <c r="AI15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{"issue":{"subject":"","project_id":79,"tracker_id":40,"status_id":1,"priority_id":2,"assigned_to_id":23,"start_date":"2017-01-23","description":"","custom_fields":[{"id":1,"name":"Subdivision","value":"NW"},{"id":4,"name":"Milepost","value":"5.8999"},{"id":17,"name":"Train ID","value":"801-23"},{"id":16,"name":"Locomotive ID","value":"4040"},{"id":130,"name":"Impact","value":""},{"id":150,"name":"Time of Event (Mountain Time)","value":"06:07:12"},{"id":151,"name":"Denver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6"/>
        <v>start /low /b %USERPROFILE%\Documents\GitHub\eaglep3\Utilities\DownloadLogsFromS3.py --loco 4040 --day 2017-01-23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431</v>
      </c>
      <c r="B159" s="7">
        <v>4039</v>
      </c>
      <c r="C159" s="22" t="s">
        <v>196</v>
      </c>
      <c r="D159" s="22" t="s">
        <v>763</v>
      </c>
      <c r="E159" s="13">
        <v>42758.255949074075</v>
      </c>
      <c r="F159" s="13">
        <v>42758.257141203707</v>
      </c>
      <c r="G159" s="7">
        <v>1</v>
      </c>
      <c r="H159" s="22" t="s">
        <v>764</v>
      </c>
      <c r="I159" s="13">
        <v>42758.26866898148</v>
      </c>
      <c r="J159" s="7">
        <v>0</v>
      </c>
      <c r="K159" s="105" t="str">
        <f t="shared" si="39"/>
        <v>4039/4040</v>
      </c>
      <c r="L159" s="22" t="str">
        <f>VLOOKUP(A159,'Trips&amp;Operators'!$C$1:$G$99999,5,FALSE)</f>
        <v>DAVIS WENDY</v>
      </c>
      <c r="M159" s="6">
        <f t="shared" si="40"/>
        <v>1.1527777773153502E-2</v>
      </c>
      <c r="N159" s="7">
        <f t="shared" si="41"/>
        <v>16.599999993341044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-23T05:08:34-0700',mode:absolute,to:'2017-01-23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49" t="str">
        <f t="shared" si="45"/>
        <v>N</v>
      </c>
      <c r="X159" s="170">
        <f t="shared" si="46"/>
        <v>1</v>
      </c>
      <c r="Y159" s="64">
        <f t="shared" si="47"/>
        <v>5.8701999999999996</v>
      </c>
      <c r="Z159" s="64">
        <f t="shared" si="48"/>
        <v>6.4199999999999993E-2</v>
      </c>
      <c r="AA159" s="64">
        <f t="shared" si="49"/>
        <v>5.806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0"/>
        <v>0802-23</v>
      </c>
      <c r="AE159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59" s="84" t="str">
        <f t="shared" si="52"/>
        <v>"C:\Program Files (x86)\AstroGrep\AstroGrep.exe" /spath="%USERPROFILE%\AppData\Local\Temp\OnboardLogs" /stypes="app*4039*20170123*"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8" t="str">
        <f t="shared" si="54"/>
        <v>"%USERPROFILE%\Documents\GitHub\eaglep3\Utilities\RefineRTDCRunTimes.py" --tripid 802-23 --locoid 4039 --swversion DE.1.0.8.0 --startMP 300:58702 --initTime 2017-01-23T06:08:34 --startdatetime 2017-01-23T06:10:17 --delay 1 --endMP 204:642 --enddatetime 2017-01-23T06:26:53 --enforcementcount 0 &gt;&gt;C:\Users\stu\Documents\GitHub\eaglep3-reporting\EC\2017-01-23-refined-times.txt</v>
      </c>
      <c r="AI15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{"issue":{"subject":"","project_id":79,"tracker_id":40,"status_id":1,"priority_id":2,"assigned_to_id":23,"start_date":"2017-01-23","description":"","custom_fields":[{"id":1,"name":"Subdivision","value":"NW"},{"id":4,"name":"Milepost","value":"0.0642"},{"id":17,"name":"Train ID","value":"802-23"},{"id":16,"name":"Locomotive ID","value":"4039"},{"id":130,"name":"Impact","value":""},{"id":150,"name":"Time of Event (Mountain Time)","value":"06:26:53"},{"id":151,"name":"Denver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6"/>
        <v>start /low /b %USERPROFILE%\Documents\GitHub\eaglep3\Utilities\DownloadLogsFromS3.py --loco 4039 --day 2017-01-23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488</v>
      </c>
      <c r="B160" s="7">
        <v>4002</v>
      </c>
      <c r="C160" s="22" t="s">
        <v>196</v>
      </c>
      <c r="D160" s="22" t="s">
        <v>765</v>
      </c>
      <c r="E160" s="13">
        <v>42758.257280092592</v>
      </c>
      <c r="F160" s="13">
        <v>42758.264849537038</v>
      </c>
      <c r="G160" s="7">
        <v>1</v>
      </c>
      <c r="H160" s="22" t="s">
        <v>766</v>
      </c>
      <c r="I160" s="13">
        <v>42758.275046296294</v>
      </c>
      <c r="J160" s="7">
        <v>0</v>
      </c>
      <c r="K160" s="105" t="str">
        <f t="shared" si="39"/>
        <v>4001/4002</v>
      </c>
      <c r="L160" s="22" t="str">
        <f>VLOOKUP(A160,'Trips&amp;Operators'!$C$1:$G$99999,5,FALSE)</f>
        <v>MOSES BRADLEY</v>
      </c>
      <c r="M160" s="6">
        <f t="shared" si="40"/>
        <v>1.0196759256359655E-2</v>
      </c>
      <c r="N160" s="7">
        <f t="shared" si="41"/>
        <v>14.683333329157904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-23T05:10:29-0700',mode:absolute,to:'2017-01-23T07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49" t="str">
        <f t="shared" si="45"/>
        <v>N</v>
      </c>
      <c r="X160" s="170">
        <f t="shared" si="46"/>
        <v>1</v>
      </c>
      <c r="Y160" s="64">
        <f t="shared" si="47"/>
        <v>9.9900000000000003E-2</v>
      </c>
      <c r="Z160" s="64">
        <f t="shared" si="48"/>
        <v>5.8960999999999997</v>
      </c>
      <c r="AA160" s="64">
        <f t="shared" si="49"/>
        <v>5.7961999999999998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0"/>
        <v>0803-23</v>
      </c>
      <c r="AE16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0" s="84" t="str">
        <f t="shared" si="52"/>
        <v>"C:\Program Files (x86)\AstroGrep\AstroGrep.exe" /spath="%USERPROFILE%\AppData\Local\Temp\OnboardLogs" /stypes="app*4002*20170123*"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803-23 --locoid 4002 --swversion DE.1.0.8.0 --startMP 204:999 --initTime 2017-01-23T06:10:29 --startdatetime 2017-01-23T06:21:23 --delay 1 --endMP 300:58961 --enddatetime 2017-01-23T06:36:04 --enforcementcount 0 &gt;&gt;C:\Users\stu\Documents\GitHub\eaglep3-reporting\EC\2017-01-23-refined-times.txt</v>
      </c>
      <c r="AI16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{"issue":{"subject":"","project_id":79,"tracker_id":40,"status_id":1,"priority_id":2,"assigned_to_id":23,"start_date":"2017-01-23","description":"","custom_fields":[{"id":1,"name":"Subdivision","value":"NW"},{"id":4,"name":"Milepost","value":"5.8961"},{"id":17,"name":"Train ID","value":"803-23"},{"id":16,"name":"Locomotive ID","value":"4002"},{"id":130,"name":"Impact","value":""},{"id":150,"name":"Time of Event (Mountain Time)","value":"06:36:04"},{"id":151,"name":"Denver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6"/>
        <v>start /low /b %USERPROFILE%\Documents\GitHub\eaglep3\Utilities\DownloadLogsFromS3.py --loco 4002 --day 2017-01-23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493</v>
      </c>
      <c r="B161" s="7">
        <v>4001</v>
      </c>
      <c r="C161" s="22" t="s">
        <v>196</v>
      </c>
      <c r="D161" s="22" t="s">
        <v>767</v>
      </c>
      <c r="E161" s="13">
        <v>42758.276053240741</v>
      </c>
      <c r="F161" s="13">
        <v>42758.278449074074</v>
      </c>
      <c r="G161" s="7">
        <v>1</v>
      </c>
      <c r="H161" s="22" t="s">
        <v>415</v>
      </c>
      <c r="I161" s="13">
        <v>42758.289282407408</v>
      </c>
      <c r="J161" s="7">
        <v>0</v>
      </c>
      <c r="K161" s="105" t="str">
        <f t="shared" si="39"/>
        <v>4001/4002</v>
      </c>
      <c r="L161" s="22" t="str">
        <f>VLOOKUP(A161,'Trips&amp;Operators'!$C$1:$G$99999,5,FALSE)</f>
        <v>MOSES BRADLEY</v>
      </c>
      <c r="M161" s="6">
        <f t="shared" si="40"/>
        <v>1.0833333333721384E-2</v>
      </c>
      <c r="N161" s="7">
        <f t="shared" si="41"/>
        <v>15.600000000558794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-23T05:37:31-0700',mode:absolute,to:'2017-01-23T07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49" t="str">
        <f t="shared" si="45"/>
        <v>N</v>
      </c>
      <c r="X161" s="170">
        <f t="shared" si="46"/>
        <v>1</v>
      </c>
      <c r="Y161" s="64">
        <f t="shared" si="47"/>
        <v>5.8651</v>
      </c>
      <c r="Z161" s="64">
        <f t="shared" si="48"/>
        <v>7.0099999999999996E-2</v>
      </c>
      <c r="AA161" s="64">
        <f t="shared" si="49"/>
        <v>5.7949999999999999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0"/>
        <v>0804-23</v>
      </c>
      <c r="AE16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1" s="84" t="str">
        <f t="shared" si="52"/>
        <v>"C:\Program Files (x86)\AstroGrep\AstroGrep.exe" /spath="%USERPROFILE%\AppData\Local\Temp\OnboardLogs" /stypes="app*4001*20170123*"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804-23 --locoid 4001 --swversion DE.1.0.8.0 --startMP 300:58651 --initTime 2017-01-23T06:37:31 --startdatetime 2017-01-23T06:40:58 --delay 1 --endMP 204:701 --enddatetime 2017-01-23T06:56:34 --enforcementcount 0 &gt;&gt;C:\Users\stu\Documents\GitHub\eaglep3-reporting\EC\2017-01-23-refined-times.txt</v>
      </c>
      <c r="AI16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{"issue":{"subject":"","project_id":79,"tracker_id":40,"status_id":1,"priority_id":2,"assigned_to_id":23,"start_date":"2017-01-23","description":"","custom_fields":[{"id":1,"name":"Subdivision","value":"NW"},{"id":4,"name":"Milepost","value":"0.0701"},{"id":17,"name":"Train ID","value":"804-23"},{"id":16,"name":"Locomotive ID","value":"4001"},{"id":130,"name":"Impact","value":""},{"id":150,"name":"Time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6"/>
        <v>start /low /b %USERPROFILE%\Documents\GitHub\eaglep3\Utilities\DownloadLogsFromS3.py --loco 4001 --day 2017-01-23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432</v>
      </c>
      <c r="B162" s="7">
        <v>4040</v>
      </c>
      <c r="C162" s="22" t="s">
        <v>196</v>
      </c>
      <c r="D162" s="22" t="s">
        <v>768</v>
      </c>
      <c r="E162" s="13">
        <v>42758.279583333337</v>
      </c>
      <c r="F162" s="13">
        <v>42758.285787037035</v>
      </c>
      <c r="G162" s="7">
        <v>0</v>
      </c>
      <c r="H162" s="22" t="s">
        <v>769</v>
      </c>
      <c r="I162" s="13">
        <v>42758.296527777777</v>
      </c>
      <c r="J162" s="7">
        <v>0</v>
      </c>
      <c r="K162" s="105" t="str">
        <f t="shared" si="39"/>
        <v>4039/4040</v>
      </c>
      <c r="L162" s="22" t="str">
        <f>VLOOKUP(A162,'Trips&amp;Operators'!$C$1:$G$99999,5,FALSE)</f>
        <v>DAVIS WENDY</v>
      </c>
      <c r="M162" s="6">
        <f t="shared" si="40"/>
        <v>1.0740740741312038E-2</v>
      </c>
      <c r="N162" s="7">
        <f t="shared" si="41"/>
        <v>15.466666667489335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-23T05:42:36-0700',mode:absolute,to:'2017-01-23T08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2" s="49" t="str">
        <f t="shared" si="45"/>
        <v>N</v>
      </c>
      <c r="X162" s="170">
        <f t="shared" si="46"/>
        <v>1</v>
      </c>
      <c r="Y162" s="64">
        <f t="shared" si="47"/>
        <v>9.3399999999999997E-2</v>
      </c>
      <c r="Z162" s="64">
        <f t="shared" si="48"/>
        <v>5.8994999999999997</v>
      </c>
      <c r="AA162" s="64">
        <f t="shared" si="49"/>
        <v>5.8060999999999998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0"/>
        <v>0805-23</v>
      </c>
      <c r="AE162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62" s="84" t="str">
        <f t="shared" si="52"/>
        <v>"C:\Program Files (x86)\AstroGrep\AstroGrep.exe" /spath="%USERPROFILE%\AppData\Local\Temp\OnboardLogs" /stypes="app*4040*20170123*"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805-23 --locoid 4040 --swversion DE.1.0.8.0 --startMP 204:934 --initTime 2017-01-23T06:42:36 --startdatetime 2017-01-23T06:51:32 --delay 0 --endMP 300:58995 --enddatetime 2017-01-23T07:07:00 --enforcementcount 0 &gt;&gt;C:\Users\stu\Documents\GitHub\eaglep3-reporting\EC\2017-01-23-refined-times.txt</v>
      </c>
      <c r="AI16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{"issue":{"subject":"","project_id":79,"tracker_id":40,"status_id":1,"priority_id":2,"assigned_to_id":23,"start_date":"2017-01-23","description":"","custom_fields":[{"id":1,"name":"Subdivision","value":"NW"},{"id":4,"name":"Milepost","value":"5.8995"},{"id":17,"name":"Train ID","value":"805-23"},{"id":16,"name":"Locomotive ID","value":"4040"},{"id":130,"name":"Impact","value":""},{"id":150,"name":"Time of Event (Mountain Time)","value":"07:07:00"},{"id":151,"name":"Denver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6"/>
        <v>start /low /b %USERPROFILE%\Documents\GitHub\eaglep3\Utilities\DownloadLogsFromS3.py --loco 4040 --day 2017-01-23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433</v>
      </c>
      <c r="B163" s="7">
        <v>4039</v>
      </c>
      <c r="C163" s="22" t="s">
        <v>196</v>
      </c>
      <c r="D163" s="22" t="s">
        <v>770</v>
      </c>
      <c r="E163" s="13">
        <v>42758.29755787037</v>
      </c>
      <c r="F163" s="13">
        <v>42758.298796296294</v>
      </c>
      <c r="G163" s="7">
        <v>1</v>
      </c>
      <c r="H163" s="22" t="s">
        <v>771</v>
      </c>
      <c r="I163" s="13">
        <v>42758.310613425929</v>
      </c>
      <c r="J163" s="7">
        <v>0</v>
      </c>
      <c r="K163" s="105" t="str">
        <f t="shared" si="39"/>
        <v>4039/4040</v>
      </c>
      <c r="L163" s="22" t="str">
        <f>VLOOKUP(A163,'Trips&amp;Operators'!$C$1:$G$99999,5,FALSE)</f>
        <v>DAVIS WENDY</v>
      </c>
      <c r="M163" s="6">
        <f t="shared" si="40"/>
        <v>1.1817129634437151E-2</v>
      </c>
      <c r="N163" s="7">
        <f t="shared" si="41"/>
        <v>17.016666673589498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-23T06:08:29-0700',mode:absolute,to:'2017-01-23T08:27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3" s="49" t="str">
        <f t="shared" si="45"/>
        <v>N</v>
      </c>
      <c r="X163" s="170">
        <f t="shared" si="46"/>
        <v>1</v>
      </c>
      <c r="Y163" s="64">
        <f t="shared" si="47"/>
        <v>5.8707000000000003</v>
      </c>
      <c r="Z163" s="64">
        <f t="shared" si="48"/>
        <v>6.2899999999999998E-2</v>
      </c>
      <c r="AA163" s="64">
        <f t="shared" si="49"/>
        <v>5.8078000000000003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0"/>
        <v>0806-23</v>
      </c>
      <c r="AE163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63" s="84" t="str">
        <f t="shared" si="52"/>
        <v>"C:\Program Files (x86)\AstroGrep\AstroGrep.exe" /spath="%USERPROFILE%\AppData\Local\Temp\OnboardLogs" /stypes="app*4039*20170123*"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806-23 --locoid 4039 --swversion DE.1.0.8.0 --startMP 300:58707 --initTime 2017-01-23T07:08:29 --startdatetime 2017-01-23T07:10:16 --delay 1 --endMP 204:629 --enddatetime 2017-01-23T07:27:17 --enforcementcount 0 &gt;&gt;C:\Users\stu\Documents\GitHub\eaglep3-reporting\EC\2017-01-23-refined-times.txt</v>
      </c>
      <c r="AI16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{"issue":{"subject":"","project_id":79,"tracker_id":40,"status_id":1,"priority_id":2,"assigned_to_id":23,"start_date":"2017-01-23","description":"","custom_fields":[{"id":1,"name":"Subdivision","value":"NW"},{"id":4,"name":"Milepost","value":"0.0629"},{"id":17,"name":"Train ID","value":"806-23"},{"id":16,"name":"Locomotive ID","value":"4039"},{"id":130,"name":"Impact","value":""},{"id":150,"name":"Time of Event (Mountain Time)","value":"07:27:17"},{"id":151,"name":"Denver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6"/>
        <v>start /low /b %USERPROFILE%\Documents\GitHub\eaglep3\Utilities\DownloadLogsFromS3.py --loco 4039 --day 2017-01-23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499</v>
      </c>
      <c r="B164" s="7">
        <v>4002</v>
      </c>
      <c r="C164" s="22" t="s">
        <v>196</v>
      </c>
      <c r="D164" s="22" t="s">
        <v>772</v>
      </c>
      <c r="E164" s="13">
        <v>42758.300451388888</v>
      </c>
      <c r="F164" s="13">
        <v>42758.306562500002</v>
      </c>
      <c r="G164" s="7">
        <v>1</v>
      </c>
      <c r="H164" s="22" t="s">
        <v>773</v>
      </c>
      <c r="I164" s="13">
        <v>42758.316412037035</v>
      </c>
      <c r="J164" s="7">
        <v>0</v>
      </c>
      <c r="K164" s="105" t="str">
        <f t="shared" si="39"/>
        <v>4001/4002</v>
      </c>
      <c r="L164" s="22" t="str">
        <f>VLOOKUP(A164,'Trips&amp;Operators'!$C$1:$G$99999,5,FALSE)</f>
        <v>MOSES BRADLEY</v>
      </c>
      <c r="M164" s="6">
        <f t="shared" si="40"/>
        <v>9.8495370330056176E-3</v>
      </c>
      <c r="N164" s="7">
        <f t="shared" si="41"/>
        <v>14.183333327528089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-23T06:12:39-0700',mode:absolute,to:'2017-01-23T08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4" s="49" t="str">
        <f t="shared" si="45"/>
        <v>N</v>
      </c>
      <c r="X164" s="170">
        <f t="shared" si="46"/>
        <v>1</v>
      </c>
      <c r="Y164" s="64">
        <f t="shared" si="47"/>
        <v>9.8599999999999993E-2</v>
      </c>
      <c r="Z164" s="64">
        <f t="shared" si="48"/>
        <v>5.8958000000000004</v>
      </c>
      <c r="AA164" s="64">
        <f t="shared" si="49"/>
        <v>5.7972000000000001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0"/>
        <v>0807-23</v>
      </c>
      <c r="AE16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4" s="84" t="str">
        <f t="shared" si="52"/>
        <v>"C:\Program Files (x86)\AstroGrep\AstroGrep.exe" /spath="%USERPROFILE%\AppData\Local\Temp\OnboardLogs" /stypes="app*4002*20170123*"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807-23 --locoid 4002 --swversion DE.1.0.8.0 --startMP 204:986 --initTime 2017-01-23T07:12:39 --startdatetime 2017-01-23T07:21:27 --delay 1 --endMP 300:58958 --enddatetime 2017-01-23T07:35:38 --enforcementcount 0 &gt;&gt;C:\Users\stu\Documents\GitHub\eaglep3-reporting\EC\2017-01-23-refined-times.txt</v>
      </c>
      <c r="AI16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{"issue":{"subject":"","project_id":79,"tracker_id":40,"status_id":1,"priority_id":2,"assigned_to_id":23,"start_date":"2017-01-23","description":"","custom_fields":[{"id":1,"name":"Subdivision","value":"NW"},{"id":4,"name":"Milepost","value":"5.8958"},{"id":17,"name":"Train ID","value":"807-23"},{"id":16,"name":"Locomotive ID","value":"4002"},{"id":130,"name":"Impact","value":""},{"id":150,"name":"Time of Event (Mountain Time)","value":"07:35:38"},{"id":151,"name":"Denver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6"/>
        <v>start /low /b %USERPROFILE%\Documents\GitHub\eaglep3\Utilities\DownloadLogsFromS3.py --loco 4002 --day 2017-01-23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502</v>
      </c>
      <c r="B165" s="7">
        <v>4001</v>
      </c>
      <c r="C165" s="22" t="s">
        <v>196</v>
      </c>
      <c r="D165" s="22" t="s">
        <v>774</v>
      </c>
      <c r="E165" s="13">
        <v>42758.317847222221</v>
      </c>
      <c r="F165" s="13">
        <v>42758.319837962961</v>
      </c>
      <c r="G165" s="7">
        <v>1</v>
      </c>
      <c r="H165" s="22" t="s">
        <v>775</v>
      </c>
      <c r="I165" s="13">
        <v>42758.330787037034</v>
      </c>
      <c r="J165" s="7">
        <v>0</v>
      </c>
      <c r="K165" s="105" t="str">
        <f t="shared" si="39"/>
        <v>4001/4002</v>
      </c>
      <c r="L165" s="22" t="str">
        <f>VLOOKUP(A165,'Trips&amp;Operators'!$C$1:$G$99999,5,FALSE)</f>
        <v>MOSES BRADLEY</v>
      </c>
      <c r="M165" s="6">
        <f t="shared" si="40"/>
        <v>1.0949074072414078E-2</v>
      </c>
      <c r="N165" s="7">
        <f t="shared" si="41"/>
        <v>15.766666664276272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-23T06:37:42-0700',mode:absolute,to:'2017-01-23T08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5" s="49" t="str">
        <f t="shared" si="45"/>
        <v>N</v>
      </c>
      <c r="X165" s="170">
        <f t="shared" si="46"/>
        <v>1</v>
      </c>
      <c r="Y165" s="64">
        <f t="shared" si="47"/>
        <v>5.8643000000000001</v>
      </c>
      <c r="Z165" s="64">
        <f t="shared" si="48"/>
        <v>7.3599999999999999E-2</v>
      </c>
      <c r="AA165" s="64">
        <f t="shared" si="49"/>
        <v>5.7907000000000002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0"/>
        <v>0808-23</v>
      </c>
      <c r="AE16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5" s="84" t="str">
        <f t="shared" si="52"/>
        <v>"C:\Program Files (x86)\AstroGrep\AstroGrep.exe" /spath="%USERPROFILE%\AppData\Local\Temp\OnboardLogs" /stypes="app*4001*20170123*" /stext=" 14:.+((SYSTEM_STATE.+slice.+state.+changed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808-23 --locoid 4001 --swversion DE.1.0.8.0 --startMP 300:58643 --initTime 2017-01-23T07:37:42 --startdatetime 2017-01-23T07:40:34 --delay 1 --endMP 204:736 --enddatetime 2017-01-23T07:56:20 --enforcementcount 0 &gt;&gt;C:\Users\stu\Documents\GitHub\eaglep3-reporting\EC\2017-01-23-refined-times.txt</v>
      </c>
      <c r="AI16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{"issue":{"subject":"","project_id":79,"tracker_id":40,"status_id":1,"priority_id":2,"assigned_to_id":23,"start_date":"2017-01-23","description":"","custom_fields":[{"id":1,"name":"Subdivision","value":"NW"},{"id":4,"name":"Milepost","value":"0.0736"},{"id":17,"name":"Train ID","value":"808-23"},{"id":16,"name":"Locomotive ID","value":"4001"},{"id":130,"name":"Impact","value":""},{"id":150,"name":"Time of Event (Mountain Time)","value":"07:56:20"},{"id":151,"name":"Denver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6"/>
        <v>start /low /b %USERPROFILE%\Documents\GitHub\eaglep3\Utilities\DownloadLogsFromS3.py --loco 4001 --day 2017-01-23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435</v>
      </c>
      <c r="B166" s="7">
        <v>4040</v>
      </c>
      <c r="C166" s="22" t="s">
        <v>196</v>
      </c>
      <c r="D166" s="22" t="s">
        <v>776</v>
      </c>
      <c r="E166" s="13">
        <v>42758.324837962966</v>
      </c>
      <c r="F166" s="13">
        <v>42758.327280092592</v>
      </c>
      <c r="G166" s="7">
        <v>0</v>
      </c>
      <c r="H166" s="22" t="s">
        <v>777</v>
      </c>
      <c r="I166" s="13">
        <v>42758.337951388887</v>
      </c>
      <c r="J166" s="7">
        <v>0</v>
      </c>
      <c r="K166" s="105" t="str">
        <f t="shared" si="39"/>
        <v>4039/4040</v>
      </c>
      <c r="L166" s="22" t="str">
        <f>VLOOKUP(A166,'Trips&amp;Operators'!$C$1:$G$99999,5,FALSE)</f>
        <v>DAVIS WENDY</v>
      </c>
      <c r="M166" s="6">
        <f t="shared" si="40"/>
        <v>1.0671296295186039E-2</v>
      </c>
      <c r="N166" s="7">
        <f t="shared" si="41"/>
        <v>15.366666665067896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49" t="str">
        <f t="shared" si="45"/>
        <v>N</v>
      </c>
      <c r="X166" s="170">
        <f t="shared" si="46"/>
        <v>1</v>
      </c>
      <c r="Y166" s="64">
        <f t="shared" si="47"/>
        <v>9.3700000000000006E-2</v>
      </c>
      <c r="Z166" s="64">
        <f t="shared" si="48"/>
        <v>5.9006999999999996</v>
      </c>
      <c r="AA166" s="64">
        <f t="shared" si="49"/>
        <v>5.8069999999999995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0"/>
        <v>0809-23</v>
      </c>
      <c r="AE166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66" s="84" t="str">
        <f t="shared" si="52"/>
        <v>"C:\Program Files (x86)\AstroGrep\AstroGrep.exe" /spath="%USERPROFILE%\AppData\Local\Temp\OnboardLogs" /stypes="app*4040*20170123*"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809-23 --locoid 4040 --swversion DE.1.0.8.0 --startMP 204:937 --initTime 2017-01-23T07:47:46 --startdatetime 2017-01-23T07:51:17 --delay 0 --endMP 300:59007 --enddatetime 2017-01-23T08:06:39 --enforcementcount 0 &gt;&gt;C:\Users\stu\Documents\GitHub\eaglep3-reporting\EC\2017-01-23-refined-times.txt</v>
      </c>
      <c r="AI16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{"issue":{"subject":"","project_id":79,"tracker_id":40,"status_id":1,"priority_id":2,"assigned_to_id":23,"start_date":"2017-01-23","description":"","custom_fields":[{"id":1,"name":"Subdivision","value":"NW"},{"id":4,"name":"Milepost","value":"5.9007"},{"id":17,"name":"Train ID","value":"809-23"},{"id":16,"name":"Locomotive ID","value":"4040"},{"id":130,"name":"Impact","value":""},{"id":150,"name":"Time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6"/>
        <v>start /low /b %USERPROFILE%\Documents\GitHub\eaglep3\Utilities\DownloadLogsFromS3.py --loco 4040 --day 2017-01-23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167" spans="1:91" s="21" customFormat="1" x14ac:dyDescent="0.25">
      <c r="A167" s="34" t="s">
        <v>436</v>
      </c>
      <c r="B167" s="7">
        <v>4039</v>
      </c>
      <c r="C167" s="22" t="s">
        <v>196</v>
      </c>
      <c r="D167" s="22" t="s">
        <v>778</v>
      </c>
      <c r="E167" s="13">
        <v>42758.338761574072</v>
      </c>
      <c r="F167" s="13">
        <v>42758.339780092596</v>
      </c>
      <c r="G167" s="7">
        <v>1</v>
      </c>
      <c r="H167" s="22" t="s">
        <v>779</v>
      </c>
      <c r="I167" s="13">
        <v>42758.352106481485</v>
      </c>
      <c r="J167" s="7">
        <v>0</v>
      </c>
      <c r="K167" s="105" t="str">
        <f t="shared" si="39"/>
        <v>4039/4040</v>
      </c>
      <c r="L167" s="22" t="str">
        <f>VLOOKUP(A167,'Trips&amp;Operators'!$C$1:$G$99999,5,FALSE)</f>
        <v>DAVIS WENDY</v>
      </c>
      <c r="M167" s="6">
        <f t="shared" si="40"/>
        <v>1.2326388889050577E-2</v>
      </c>
      <c r="N167" s="7">
        <f t="shared" si="41"/>
        <v>17.750000000232831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49" t="str">
        <f t="shared" si="45"/>
        <v>N</v>
      </c>
      <c r="X167" s="170">
        <f t="shared" si="46"/>
        <v>1</v>
      </c>
      <c r="Y167" s="64">
        <f t="shared" si="47"/>
        <v>5.8692000000000002</v>
      </c>
      <c r="Z167" s="64">
        <f t="shared" si="48"/>
        <v>6.6799999999999998E-2</v>
      </c>
      <c r="AA167" s="64">
        <f t="shared" si="49"/>
        <v>5.8024000000000004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0"/>
        <v>0810-23</v>
      </c>
      <c r="AE167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67" s="84" t="str">
        <f t="shared" si="52"/>
        <v>"C:\Program Files (x86)\AstroGrep\AstroGrep.exe" /spath="%USERPROFILE%\AppData\Local\Temp\OnboardLogs" /stypes="app*4039*20170123*" /stext=" 15:.+((SYSTEM_STATE.+slice.+state.+changed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810-23 --locoid 4039 --swversion DE.1.0.8.0 --startMP 300:58692 --initTime 2017-01-23T08:07:49 --startdatetime 2017-01-23T08:09:17 --delay 1 --endMP 204:668 --enddatetime 2017-01-23T08:27:02 --enforcementcount 0 &gt;&gt;C:\Users\stu\Documents\GitHub\eaglep3-reporting\EC\2017-01-23-refined-times.txt</v>
      </c>
      <c r="AI16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ID","value":"810-23"},{"id":16,"name":"Locomotive ID","value":"4039"},{"id":130,"name":"Impact","value":""},{"id":150,"name":"Time of Event (Mountain Time)","value":"08:27:02"},{"id":151,"name":"Denver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6"/>
        <v>start /low /b %USERPROFILE%\Documents\GitHub\eaglep3\Utilities\DownloadLogsFromS3.py --loco 4039 --day 2017-01-23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508</v>
      </c>
      <c r="B168" s="7">
        <v>4002</v>
      </c>
      <c r="C168" s="22" t="s">
        <v>196</v>
      </c>
      <c r="D168" s="22" t="s">
        <v>780</v>
      </c>
      <c r="E168" s="13">
        <v>42758.343333333331</v>
      </c>
      <c r="F168" s="13">
        <v>42758.348124999997</v>
      </c>
      <c r="G168" s="7">
        <v>1</v>
      </c>
      <c r="H168" s="22" t="s">
        <v>781</v>
      </c>
      <c r="I168" s="13">
        <v>42758.358287037037</v>
      </c>
      <c r="J168" s="7">
        <v>0</v>
      </c>
      <c r="K168" s="105" t="str">
        <f t="shared" si="39"/>
        <v>4001/4002</v>
      </c>
      <c r="L168" s="22" t="str">
        <f>VLOOKUP(A168,'Trips&amp;Operators'!$C$1:$G$99999,5,FALSE)</f>
        <v>MOSES BRADLEY</v>
      </c>
      <c r="M168" s="6">
        <f t="shared" si="40"/>
        <v>1.0162037040572613E-2</v>
      </c>
      <c r="N168" s="7">
        <f t="shared" si="41"/>
        <v>14.633333338424563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-23T07:14:24-0700',mode:absolute,to:'2017-01-23T09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8" s="49" t="str">
        <f t="shared" si="45"/>
        <v>N</v>
      </c>
      <c r="X168" s="170">
        <f t="shared" si="46"/>
        <v>1</v>
      </c>
      <c r="Y168" s="64">
        <f t="shared" si="47"/>
        <v>0.1011</v>
      </c>
      <c r="Z168" s="64">
        <f t="shared" si="48"/>
        <v>5.8954000000000004</v>
      </c>
      <c r="AA168" s="64">
        <f t="shared" si="49"/>
        <v>5.7943000000000007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0"/>
        <v>0811-23</v>
      </c>
      <c r="AE16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8" s="84" t="str">
        <f t="shared" si="52"/>
        <v>"C:\Program Files (x86)\AstroGrep\AstroGrep.exe" /spath="%USERPROFILE%\AppData\Local\Temp\OnboardLogs" /stypes="app*4002*20170123*" /stext=" 15:.+((SYSTEM_STATE.+slice.+state.+changed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811-23 --locoid 4002 --swversion DE.1.0.8.0 --startMP 204:1011 --initTime 2017-01-23T08:14:24 --startdatetime 2017-01-23T08:21:18 --delay 1 --endMP 300:58954 --enddatetime 2017-01-23T08:35:56 --enforcementcount 0 &gt;&gt;C:\Users\stu\Documents\GitHub\eaglep3-reporting\EC\2017-01-23-refined-times.txt</v>
      </c>
      <c r="AI16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{"issue":{"subject":"","project_id":79,"tracker_id":40,"status_id":1,"priority_id":2,"assigned_to_id":23,"start_date":"2017-01-23","description":"","custom_fields":[{"id":1,"name":"Subdivision","value":"NW"},{"id":4,"name":"Milepost","value":"5.8954"},{"id":17,"name":"Train ID","value":"811-23"},{"id":16,"name":"Locomotive ID","value":"4002"},{"id":130,"name":"Impact","value":""},{"id":150,"name":"Time of Event (Mountain Time)","value":"08:35:56"},{"id":151,"name":"Denver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6"/>
        <v>start /low /b %USERPROFILE%\Documents\GitHub\eaglep3\Utilities\DownloadLogsFromS3.py --loco 4002 --day 2017-01-23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</row>
    <row r="169" spans="1:91" s="21" customFormat="1" x14ac:dyDescent="0.25">
      <c r="A169" s="34" t="s">
        <v>513</v>
      </c>
      <c r="B169" s="7">
        <v>4001</v>
      </c>
      <c r="C169" s="22" t="s">
        <v>196</v>
      </c>
      <c r="D169" s="22" t="s">
        <v>413</v>
      </c>
      <c r="E169" s="13">
        <v>42758.359583333331</v>
      </c>
      <c r="F169" s="13">
        <v>42758.361481481479</v>
      </c>
      <c r="G169" s="7">
        <v>1</v>
      </c>
      <c r="H169" s="22" t="s">
        <v>782</v>
      </c>
      <c r="I169" s="13">
        <v>42758.372106481482</v>
      </c>
      <c r="J169" s="7">
        <v>0</v>
      </c>
      <c r="K169" s="105" t="str">
        <f t="shared" si="39"/>
        <v>4001/4002</v>
      </c>
      <c r="L169" s="22" t="str">
        <f>VLOOKUP(A169,'Trips&amp;Operators'!$C$1:$G$99999,5,FALSE)</f>
        <v>MOSES BRADLEY</v>
      </c>
      <c r="M169" s="6">
        <f t="shared" si="40"/>
        <v>1.0625000002619345E-2</v>
      </c>
      <c r="N169" s="7">
        <f t="shared" si="41"/>
        <v>15.300000003771856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-23T07:37:48-0700',mode:absolute,to:'2017-01-23T09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9" s="49" t="str">
        <f t="shared" si="45"/>
        <v>N</v>
      </c>
      <c r="X169" s="170">
        <f t="shared" si="46"/>
        <v>1</v>
      </c>
      <c r="Y169" s="64">
        <f t="shared" si="47"/>
        <v>5.8638000000000003</v>
      </c>
      <c r="Z169" s="64">
        <f t="shared" si="48"/>
        <v>7.1300000000000002E-2</v>
      </c>
      <c r="AA169" s="64">
        <f t="shared" si="49"/>
        <v>5.7925000000000004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0"/>
        <v>0812-23</v>
      </c>
      <c r="AE16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9" s="84" t="str">
        <f t="shared" si="52"/>
        <v>"C:\Program Files (x86)\AstroGrep\AstroGrep.exe" /spath="%USERPROFILE%\AppData\Local\Temp\OnboardLogs" /stypes="app*4001*20170123*" /stext=" 15:.+((SYSTEM_STATE.+slice.+state.+changed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812-23 --locoid 4001 --swversion DE.1.0.8.0 --startMP 300:58638 --initTime 2017-01-23T08:37:48 --startdatetime 2017-01-23T08:40:32 --delay 1 --endMP 204:713 --enddatetime 2017-01-23T08:55:50 --enforcementcount 0 &gt;&gt;C:\Users\stu\Documents\GitHub\eaglep3-reporting\EC\2017-01-23-refined-times.txt</v>
      </c>
      <c r="AI16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{"issue":{"subject":"","project_id":79,"tracker_id":40,"status_id":1,"priority_id":2,"assigned_to_id":23,"start_date":"2017-01-23","description":"","custom_fields":[{"id":1,"name":"Subdivision","value":"NW"},{"id":4,"name":"Milepost","value":"0.0713"},{"id":17,"name":"Train ID","value":"812-23"},{"id":16,"name":"Locomotive ID","value":"4001"},{"id":130,"name":"Impact","value":""},{"id":150,"name":"Time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6"/>
        <v>start /low /b %USERPROFILE%\Documents\GitHub\eaglep3\Utilities\DownloadLogsFromS3.py --loco 4001 --day 2017-01-23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517</v>
      </c>
      <c r="B170" s="7">
        <v>4002</v>
      </c>
      <c r="C170" s="22" t="s">
        <v>196</v>
      </c>
      <c r="D170" s="22" t="s">
        <v>783</v>
      </c>
      <c r="E170" s="13">
        <v>42758.377800925926</v>
      </c>
      <c r="F170" s="13">
        <v>42758.389837962961</v>
      </c>
      <c r="G170" s="7">
        <v>2</v>
      </c>
      <c r="H170" s="22" t="s">
        <v>784</v>
      </c>
      <c r="I170" s="13">
        <v>42758.399791666663</v>
      </c>
      <c r="J170" s="7">
        <v>0</v>
      </c>
      <c r="K170" s="105" t="str">
        <f t="shared" si="39"/>
        <v>4001/4002</v>
      </c>
      <c r="L170" s="22" t="str">
        <f>VLOOKUP(A170,'Trips&amp;Operators'!$C$1:$G$99999,5,FALSE)</f>
        <v>MOSES BRADLEY</v>
      </c>
      <c r="M170" s="6">
        <f t="shared" si="40"/>
        <v>9.9537037021946162E-3</v>
      </c>
      <c r="N170" s="7">
        <f t="shared" si="41"/>
        <v>14.333333331160247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-23T08:04:02-0700',mode:absolute,to:'2017-01-23T10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49" t="str">
        <f t="shared" si="45"/>
        <v>N</v>
      </c>
      <c r="X170" s="170">
        <f t="shared" si="46"/>
        <v>1</v>
      </c>
      <c r="Y170" s="64">
        <f t="shared" si="47"/>
        <v>0.1002</v>
      </c>
      <c r="Z170" s="64">
        <f t="shared" si="48"/>
        <v>5.8956</v>
      </c>
      <c r="AA170" s="64">
        <f t="shared" si="49"/>
        <v>5.7953999999999999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0"/>
        <v>0813-23</v>
      </c>
      <c r="AE17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0" s="84" t="str">
        <f t="shared" si="52"/>
        <v>"C:\Program Files (x86)\AstroGrep\AstroGrep.exe" /spath="%USERPROFILE%\AppData\Local\Temp\OnboardLogs" /stypes="app*4002*20170123*" /stext=" 16:.+((SYSTEM_STATE.+slice.+state.+changed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813-23 --locoid 4002 --swversion DE.1.0.8.0 --startMP 204:1002 --initTime 2017-01-23T09:04:02 --startdatetime 2017-01-23T09:21:22 --delay 2 --endMP 300:58956 --enddatetime 2017-01-23T09:35:42 --enforcementcount 0 &gt;&gt;C:\Users\stu\Documents\GitHub\eaglep3-reporting\EC\2017-01-23-refined-times.txt</v>
      </c>
      <c r="AI17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{"issue":{"subject":"","project_id":79,"tracker_id":40,"status_id":1,"priority_id":2,"assigned_to_id":23,"start_date":"2017-01-23","description":"","custom_fields":[{"id":1,"name":"Subdivision","value":"NW"},{"id":4,"name":"Milepost","value":"5.8956"},{"id":17,"name":"Train ID","value":"813-23"},{"id":16,"name":"Locomotive ID","value":"4002"},{"id":130,"name":"Impact","value":""},{"id":150,"name":"Time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6"/>
        <v>start /low /b %USERPROFILE%\Documents\GitHub\eaglep3\Utilities\DownloadLogsFromS3.py --loco 4002 --day 2017-01-23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522</v>
      </c>
      <c r="B171" s="7">
        <v>4001</v>
      </c>
      <c r="C171" s="22" t="s">
        <v>196</v>
      </c>
      <c r="D171" s="22" t="s">
        <v>413</v>
      </c>
      <c r="E171" s="13">
        <v>42758.401006944441</v>
      </c>
      <c r="F171" s="13">
        <v>42758.402708333335</v>
      </c>
      <c r="G171" s="7">
        <v>1</v>
      </c>
      <c r="H171" s="22" t="s">
        <v>785</v>
      </c>
      <c r="I171" s="13">
        <v>42758.413923611108</v>
      </c>
      <c r="J171" s="7">
        <v>0</v>
      </c>
      <c r="K171" s="105" t="str">
        <f t="shared" si="39"/>
        <v>4001/4002</v>
      </c>
      <c r="L171" s="22" t="str">
        <f>VLOOKUP(A171,'Trips&amp;Operators'!$C$1:$G$99999,5,FALSE)</f>
        <v>MOSES BRADLEY</v>
      </c>
      <c r="M171" s="6">
        <f t="shared" si="40"/>
        <v>1.1215277772862464E-2</v>
      </c>
      <c r="N171" s="7">
        <f t="shared" si="41"/>
        <v>16.149999992921948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-23T08:37:27-0700',mode:absolute,to:'2017-01-23T10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49" t="str">
        <f t="shared" si="45"/>
        <v>N</v>
      </c>
      <c r="X171" s="170">
        <f t="shared" si="46"/>
        <v>1</v>
      </c>
      <c r="Y171" s="64">
        <f t="shared" si="47"/>
        <v>5.8638000000000003</v>
      </c>
      <c r="Z171" s="64">
        <f t="shared" si="48"/>
        <v>6.7699999999999996E-2</v>
      </c>
      <c r="AA171" s="64">
        <f t="shared" si="49"/>
        <v>5.7961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0"/>
        <v>0814-23</v>
      </c>
      <c r="AE17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1" s="84" t="str">
        <f t="shared" si="52"/>
        <v>"C:\Program Files (x86)\AstroGrep\AstroGrep.exe" /spath="%USERPROFILE%\AppData\Local\Temp\OnboardLogs" /stypes="app*4001*20170123*" /stext=" 16:.+((SYSTEM_STATE.+slice.+state.+changed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814-23 --locoid 4001 --swversion DE.1.0.8.0 --startMP 300:58638 --initTime 2017-01-23T09:37:27 --startdatetime 2017-01-23T09:39:54 --delay 1 --endMP 204:677 --enddatetime 2017-01-23T09:56:03 --enforcementcount 0 &gt;&gt;C:\Users\stu\Documents\GitHub\eaglep3-reporting\EC\2017-01-23-refined-times.txt</v>
      </c>
      <c r="AI17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{"issue":{"subject":"","project_id":79,"tracker_id":40,"status_id":1,"priority_id":2,"assigned_to_id":23,"start_date":"2017-01-23","description":"","custom_fields":[{"id":1,"name":"Subdivision","value":"NW"},{"id":4,"name":"Milepost","value":"0.0677"},{"id":17,"name":"Train ID","value":"814-23"},{"id":16,"name":"Locomotive ID","value":"4001"},{"id":130,"name":"Impact","value":""},{"id":150,"name":"Time of Event (Mountain Time)","value":"09:56:03"},{"id":151,"name":"Denver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6"/>
        <v>start /low /b %USERPROFILE%\Documents\GitHub\eaglep3\Utilities\DownloadLogsFromS3.py --loco 4001 --day 2017-01-23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530</v>
      </c>
      <c r="B172" s="7">
        <v>4002</v>
      </c>
      <c r="C172" s="22" t="s">
        <v>196</v>
      </c>
      <c r="D172" s="22" t="s">
        <v>786</v>
      </c>
      <c r="E172" s="13">
        <v>42758.427314814813</v>
      </c>
      <c r="F172" s="13">
        <v>42758.431597222225</v>
      </c>
      <c r="G172" s="7">
        <v>1</v>
      </c>
      <c r="H172" s="22" t="s">
        <v>787</v>
      </c>
      <c r="I172" s="13">
        <v>42758.441562499997</v>
      </c>
      <c r="J172" s="7">
        <v>0</v>
      </c>
      <c r="K172" s="105" t="str">
        <f t="shared" si="39"/>
        <v>4001/4002</v>
      </c>
      <c r="L172" s="22" t="str">
        <f>VLOOKUP(A172,'Trips&amp;Operators'!$C$1:$G$99999,5,FALSE)</f>
        <v>MOSES BRADLEY</v>
      </c>
      <c r="M172" s="6">
        <f t="shared" si="40"/>
        <v>9.965277771698311E-3</v>
      </c>
      <c r="N172" s="7">
        <f t="shared" si="41"/>
        <v>14.349999991245568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-23T09:15:20-0700',mode:absolute,to:'2017-01-23T11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49" t="str">
        <f t="shared" si="45"/>
        <v>N</v>
      </c>
      <c r="X172" s="170">
        <f t="shared" si="46"/>
        <v>1</v>
      </c>
      <c r="Y172" s="64">
        <f t="shared" si="47"/>
        <v>9.7100000000000006E-2</v>
      </c>
      <c r="Z172" s="64">
        <f t="shared" si="48"/>
        <v>5.8968999999999996</v>
      </c>
      <c r="AA172" s="64">
        <f t="shared" si="49"/>
        <v>5.7997999999999994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0"/>
        <v>0815-23</v>
      </c>
      <c r="AE17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2" s="84" t="str">
        <f t="shared" si="52"/>
        <v>"C:\Program Files (x86)\AstroGrep\AstroGrep.exe" /spath="%USERPROFILE%\AppData\Local\Temp\OnboardLogs" /stypes="app*4002*20170123*" /stext=" 17:.+((SYSTEM_STATE.+slice.+state.+changed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815-23 --locoid 4002 --swversion DE.1.0.8.0 --startMP 204:971 --initTime 2017-01-23T10:15:20 --startdatetime 2017-01-23T10:21:30 --delay 1 --endMP 300:58969 --enddatetime 2017-01-23T10:35:51 --enforcementcount 0 &gt;&gt;C:\Users\stu\Documents\GitHub\eaglep3-reporting\EC\2017-01-23-refined-times.txt</v>
      </c>
      <c r="AI17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{"issue":{"subject":"","project_id":79,"tracker_id":40,"status_id":1,"priority_id":2,"assigned_to_id":23,"start_date":"2017-01-23","description":"","custom_fields":[{"id":1,"name":"Subdivision","value":"NW"},{"id":4,"name":"Milepost","value":"5.8969"},{"id":17,"name":"Train ID","value":"815-23"},{"id":16,"name":"Locomotive ID","value":"4002"},{"id":130,"name":"Impact","value":""},{"id":150,"name":"Time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6"/>
        <v>start /low /b %USERPROFILE%\Documents\GitHub\eaglep3\Utilities\DownloadLogsFromS3.py --loco 4002 --day 2017-01-23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534</v>
      </c>
      <c r="B173" s="7">
        <v>4001</v>
      </c>
      <c r="C173" s="22" t="s">
        <v>196</v>
      </c>
      <c r="D173" s="22" t="s">
        <v>788</v>
      </c>
      <c r="E173" s="13">
        <v>42758.442488425928</v>
      </c>
      <c r="F173" s="13">
        <v>42758.444351851853</v>
      </c>
      <c r="G173" s="7">
        <v>1</v>
      </c>
      <c r="H173" s="22" t="s">
        <v>789</v>
      </c>
      <c r="I173" s="13">
        <v>42758.455601851849</v>
      </c>
      <c r="J173" s="7">
        <v>0</v>
      </c>
      <c r="K173" s="105" t="str">
        <f t="shared" si="39"/>
        <v>4001/4002</v>
      </c>
      <c r="L173" s="22" t="str">
        <f>VLOOKUP(A173,'Trips&amp;Operators'!$C$1:$G$99999,5,FALSE)</f>
        <v>MOSES BRADLEY</v>
      </c>
      <c r="M173" s="6">
        <f t="shared" si="40"/>
        <v>1.1249999995925464E-2</v>
      </c>
      <c r="N173" s="7">
        <f t="shared" si="41"/>
        <v>16.199999994132668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-23T09:37:11-0700',mode:absolute,to:'2017-01-23T11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49" t="str">
        <f t="shared" si="45"/>
        <v>N</v>
      </c>
      <c r="X173" s="170">
        <f t="shared" si="46"/>
        <v>1</v>
      </c>
      <c r="Y173" s="64">
        <f t="shared" si="47"/>
        <v>5.8648999999999996</v>
      </c>
      <c r="Z173" s="64">
        <f t="shared" si="48"/>
        <v>7.3099999999999998E-2</v>
      </c>
      <c r="AA173" s="64">
        <f t="shared" si="49"/>
        <v>5.7917999999999994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0"/>
        <v>0816-23</v>
      </c>
      <c r="AE173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3" s="84" t="str">
        <f t="shared" si="52"/>
        <v>"C:\Program Files (x86)\AstroGrep\AstroGrep.exe" /spath="%USERPROFILE%\AppData\Local\Temp\OnboardLogs" /stypes="app*4001*20170123*" /stext=" 17:.+((SYSTEM_STATE.+slice.+state.+changed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816-23 --locoid 4001 --swversion DE.1.0.8.0 --startMP 300:58649 --initTime 2017-01-23T10:37:11 --startdatetime 2017-01-23T10:39:52 --delay 1 --endMP 204:731 --enddatetime 2017-01-23T10:56:04 --enforcementcount 0 &gt;&gt;C:\Users\stu\Documents\GitHub\eaglep3-reporting\EC\2017-01-23-refined-times.txt</v>
      </c>
      <c r="AI17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{"issue":{"subject":"","project_id":79,"tracker_id":40,"status_id":1,"priority_id":2,"assigned_to_id":23,"start_date":"2017-01-23","description":"","custom_fields":[{"id":1,"name":"Subdivision","value":"NW"},{"id":4,"name":"Milepost","value":"0.0731"},{"id":17,"name":"Train ID","value":"816-23"},{"id":16,"name":"Locomotive ID","value":"4001"},{"id":130,"name":"Impact","value":""},{"id":150,"name":"Time of Event (Mountain Time)","value":"10:56:04"},{"id":151,"name":"Denver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6"/>
        <v>start /low /b %USERPROFILE%\Documents\GitHub\eaglep3\Utilities\DownloadLogsFromS3.py --loco 4001 --day 2017-01-23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545</v>
      </c>
      <c r="B174" s="7">
        <v>4002</v>
      </c>
      <c r="C174" s="22" t="s">
        <v>196</v>
      </c>
      <c r="D174" s="22" t="s">
        <v>790</v>
      </c>
      <c r="E174" s="13">
        <v>42758.469074074077</v>
      </c>
      <c r="F174" s="13">
        <v>42758.473194444443</v>
      </c>
      <c r="G174" s="7">
        <v>2</v>
      </c>
      <c r="H174" s="22" t="s">
        <v>781</v>
      </c>
      <c r="I174" s="13">
        <v>42758.483796296299</v>
      </c>
      <c r="J174" s="7">
        <v>0</v>
      </c>
      <c r="K174" s="105" t="str">
        <f t="shared" si="39"/>
        <v>4001/4002</v>
      </c>
      <c r="L174" s="22" t="str">
        <f>VLOOKUP(A174,'Trips&amp;Operators'!$C$1:$G$99999,5,FALSE)</f>
        <v>MOSES BRADLEY</v>
      </c>
      <c r="M174" s="6">
        <f t="shared" si="40"/>
        <v>1.0601851856335998E-2</v>
      </c>
      <c r="N174" s="7">
        <f t="shared" si="41"/>
        <v>15.266666673123837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-23T10:15:28-0700',mode:absolute,to:'2017-01-23T12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49" t="str">
        <f t="shared" si="45"/>
        <v>N</v>
      </c>
      <c r="X174" s="170">
        <f t="shared" si="46"/>
        <v>1</v>
      </c>
      <c r="Y174" s="64">
        <f t="shared" si="47"/>
        <v>0.1018</v>
      </c>
      <c r="Z174" s="64">
        <f t="shared" si="48"/>
        <v>5.8954000000000004</v>
      </c>
      <c r="AA174" s="64">
        <f t="shared" si="49"/>
        <v>5.7936000000000005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0"/>
        <v>0817-23</v>
      </c>
      <c r="AE17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4" s="84" t="str">
        <f t="shared" si="52"/>
        <v>"C:\Program Files (x86)\AstroGrep\AstroGrep.exe" /spath="%USERPROFILE%\AppData\Local\Temp\OnboardLogs" /stypes="app*4002*20170123*" /stext=" 18:.+((SYSTEM_STATE.+slice.+state.+changed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817-23 --locoid 4002 --swversion DE.1.0.8.0 --startMP 204:1018 --initTime 2017-01-23T11:15:28 --startdatetime 2017-01-23T11:21:24 --delay 2 --endMP 300:58954 --enddatetime 2017-01-23T11:36:40 --enforcementcount 0 &gt;&gt;C:\Users\stu\Documents\GitHub\eaglep3-reporting\EC\2017-01-23-refined-times.txt</v>
      </c>
      <c r="AI17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{"issue":{"subject":"","project_id":79,"tracker_id":40,"status_id":1,"priority_id":2,"assigned_to_id":23,"start_date":"2017-01-23","description":"","custom_fields":[{"id":1,"name":"Subdivision","value":"NW"},{"id":4,"name":"Milepost","value":"5.8954"},{"id":17,"name":"Train ID","value":"817-23"},{"id":16,"name":"Locomotive ID","value":"4002"},{"id":130,"name":"Impact","value":""},{"id":150,"name":"Time of Event (Mountain Time)","value":"11:36:40"},{"id":151,"name":"Denver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6"/>
        <v>start /low /b %USERPROFILE%\Documents\GitHub\eaglep3\Utilities\DownloadLogsFromS3.py --loco 4002 --day 2017-01-23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4" t="s">
        <v>551</v>
      </c>
      <c r="B175" s="7">
        <v>4001</v>
      </c>
      <c r="C175" s="22" t="s">
        <v>196</v>
      </c>
      <c r="D175" s="22" t="s">
        <v>774</v>
      </c>
      <c r="E175" s="13">
        <v>42758.485358796293</v>
      </c>
      <c r="F175" s="13">
        <v>42758.48715277778</v>
      </c>
      <c r="G175" s="7">
        <v>1</v>
      </c>
      <c r="H175" s="22" t="s">
        <v>791</v>
      </c>
      <c r="I175" s="13">
        <v>42758.497152777774</v>
      </c>
      <c r="J175" s="7">
        <v>0</v>
      </c>
      <c r="K175" s="105" t="str">
        <f t="shared" si="39"/>
        <v>4001/4002</v>
      </c>
      <c r="L175" s="22" t="str">
        <f>VLOOKUP(A175,'Trips&amp;Operators'!$C$1:$G$99999,5,FALSE)</f>
        <v>MOSES BRADLEY</v>
      </c>
      <c r="M175" s="6">
        <f t="shared" si="40"/>
        <v>9.9999999947613105E-3</v>
      </c>
      <c r="N175" s="7">
        <f t="shared" si="41"/>
        <v>14.399999992456287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-23T10:38:55-0700',mode:absolute,to:'2017-01-23T12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49" t="str">
        <f t="shared" si="45"/>
        <v>N</v>
      </c>
      <c r="X175" s="170">
        <f t="shared" si="46"/>
        <v>1</v>
      </c>
      <c r="Y175" s="64">
        <f t="shared" si="47"/>
        <v>5.8643000000000001</v>
      </c>
      <c r="Z175" s="64">
        <f t="shared" si="48"/>
        <v>7.2599999999999998E-2</v>
      </c>
      <c r="AA175" s="64">
        <f t="shared" si="49"/>
        <v>5.7917000000000005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0"/>
        <v>0818-23</v>
      </c>
      <c r="AE17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5" s="84" t="str">
        <f t="shared" si="52"/>
        <v>"C:\Program Files (x86)\AstroGrep\AstroGrep.exe" /spath="%USERPROFILE%\AppData\Local\Temp\OnboardLogs" /stypes="app*4001*20170123*" /stext=" 18:.+((SYSTEM_STATE.+slice.+state.+changed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818-23 --locoid 4001 --swversion DE.1.0.8.0 --startMP 300:58643 --initTime 2017-01-23T11:38:55 --startdatetime 2017-01-23T11:41:30 --delay 1 --endMP 204:726 --enddatetime 2017-01-23T11:55:54 --enforcementcount 0 &gt;&gt;C:\Users\stu\Documents\GitHub\eaglep3-reporting\EC\2017-01-23-refined-times.txt</v>
      </c>
      <c r="AI17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{"issue":{"subject":"","project_id":79,"tracker_id":40,"status_id":1,"priority_id":2,"assigned_to_id":23,"start_date":"2017-01-23","description":"","custom_fields":[{"id":1,"name":"Subdivision","value":"NW"},{"id":4,"name":"Milepost","value":"0.0726"},{"id":17,"name":"Train ID","value":"818-23"},{"id":16,"name":"Locomotive ID","value":"4001"},{"id":130,"name":"Impact","value":""},{"id":150,"name":"Time of Event (Mountain Time)","value":"11:55:54"},{"id":151,"name":"Denver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6"/>
        <v>start /low /b %USERPROFILE%\Documents\GitHub\eaglep3\Utilities\DownloadLogsFromS3.py --loco 4001 --day 2017-01-23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176" spans="1:91" s="21" customFormat="1" x14ac:dyDescent="0.25">
      <c r="A176" s="34" t="s">
        <v>559</v>
      </c>
      <c r="B176" s="7">
        <v>4002</v>
      </c>
      <c r="C176" s="22" t="s">
        <v>196</v>
      </c>
      <c r="D176" s="22" t="s">
        <v>408</v>
      </c>
      <c r="E176" s="13">
        <v>42758.51085648148</v>
      </c>
      <c r="F176" s="13">
        <v>42758.514861111114</v>
      </c>
      <c r="G176" s="7">
        <v>1</v>
      </c>
      <c r="H176" s="22" t="s">
        <v>773</v>
      </c>
      <c r="I176" s="13">
        <v>42758.525381944448</v>
      </c>
      <c r="J176" s="7">
        <v>0</v>
      </c>
      <c r="K176" s="105" t="str">
        <f t="shared" si="39"/>
        <v>4001/4002</v>
      </c>
      <c r="L176" s="22" t="str">
        <f>VLOOKUP(A176,'Trips&amp;Operators'!$C$1:$G$99999,5,FALSE)</f>
        <v>MOSES BRADLEY</v>
      </c>
      <c r="M176" s="6">
        <f t="shared" si="40"/>
        <v>1.0520833333430346E-2</v>
      </c>
      <c r="N176" s="7">
        <f t="shared" si="41"/>
        <v>15.150000000139698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-23T11:15:38-0700',mode:absolute,to:'2017-01-23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49" t="str">
        <f t="shared" si="45"/>
        <v>N</v>
      </c>
      <c r="X176" s="170">
        <f t="shared" si="46"/>
        <v>1</v>
      </c>
      <c r="Y176" s="64">
        <f t="shared" si="47"/>
        <v>0.1021</v>
      </c>
      <c r="Z176" s="64">
        <f t="shared" si="48"/>
        <v>5.8958000000000004</v>
      </c>
      <c r="AA176" s="64">
        <f t="shared" si="49"/>
        <v>5.7937000000000003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0"/>
        <v>0819-23</v>
      </c>
      <c r="AE176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6" s="84" t="str">
        <f t="shared" si="52"/>
        <v>"C:\Program Files (x86)\AstroGrep\AstroGrep.exe" /spath="%USERPROFILE%\AppData\Local\Temp\OnboardLogs" /stypes="app*4002*20170123*" /stext=" 19:.+((SYSTEM_STATE.+slice.+state.+changed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819-23 --locoid 4002 --swversion DE.1.0.8.0 --startMP 204:1021 --initTime 2017-01-23T12:15:38 --startdatetime 2017-01-23T12:21:24 --delay 1 --endMP 300:58958 --enddatetime 2017-01-23T12:36:33 --enforcementcount 0 &gt;&gt;C:\Users\stu\Documents\GitHub\eaglep3-reporting\EC\2017-01-23-refined-times.txt</v>
      </c>
      <c r="AI17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{"issue":{"subject":"","project_id":79,"tracker_id":40,"status_id":1,"priority_id":2,"assigned_to_id":23,"start_date":"2017-01-23","description":"","custom_fields":[{"id":1,"name":"Subdivision","value":"NW"},{"id":4,"name":"Milepost","value":"5.8958"},{"id":17,"name":"Train ID","value":"819-23"},{"id":16,"name":"Locomotive ID","value":"4002"},{"id":130,"name":"Impact","value":""},{"id":150,"name":"Time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6"/>
        <v>start /low /b %USERPROFILE%\Documents\GitHub\eaglep3\Utilities\DownloadLogsFromS3.py --loco 4002 --day 2017-01-23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562</v>
      </c>
      <c r="B177" s="7">
        <v>4001</v>
      </c>
      <c r="C177" s="22" t="s">
        <v>196</v>
      </c>
      <c r="D177" s="22" t="s">
        <v>367</v>
      </c>
      <c r="E177" s="13">
        <v>42758.526250000003</v>
      </c>
      <c r="F177" s="13">
        <v>42758.52853009259</v>
      </c>
      <c r="G177" s="7">
        <v>1</v>
      </c>
      <c r="H177" s="22" t="s">
        <v>352</v>
      </c>
      <c r="I177" s="13">
        <v>42758.5387962963</v>
      </c>
      <c r="J177" s="7">
        <v>0</v>
      </c>
      <c r="K177" s="105" t="str">
        <f t="shared" si="39"/>
        <v>4001/4002</v>
      </c>
      <c r="L177" s="22" t="str">
        <f>VLOOKUP(A177,'Trips&amp;Operators'!$C$1:$G$99999,5,FALSE)</f>
        <v>MOSES BRADLEY</v>
      </c>
      <c r="M177" s="6">
        <f t="shared" si="40"/>
        <v>1.0266203709761612E-2</v>
      </c>
      <c r="N177" s="7">
        <f t="shared" si="41"/>
        <v>14.783333342056721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-23T11:37:48-0700',mode:absolute,to:'2017-01-23T13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49" t="str">
        <f t="shared" si="45"/>
        <v>N</v>
      </c>
      <c r="X177" s="170">
        <f t="shared" si="46"/>
        <v>1</v>
      </c>
      <c r="Y177" s="64">
        <f t="shared" si="47"/>
        <v>5.8647</v>
      </c>
      <c r="Z177" s="64">
        <f t="shared" si="48"/>
        <v>7.4099999999999999E-2</v>
      </c>
      <c r="AA177" s="64">
        <f t="shared" si="49"/>
        <v>5.7906000000000004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0"/>
        <v>0820-23</v>
      </c>
      <c r="AE17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7" s="84" t="str">
        <f t="shared" si="52"/>
        <v>"C:\Program Files (x86)\AstroGrep\AstroGrep.exe" /spath="%USERPROFILE%\AppData\Local\Temp\OnboardLogs" /stypes="app*4001*20170123*" /stext=" 19:.+((SYSTEM_STATE.+slice.+state.+changed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820-23 --locoid 4001 --swversion DE.1.0.8.0 --startMP 300:58647 --initTime 2017-01-23T12:37:48 --startdatetime 2017-01-23T12:41:05 --delay 1 --endMP 204:741 --enddatetime 2017-01-23T12:55:52 --enforcementcount 0 &gt;&gt;C:\Users\stu\Documents\GitHub\eaglep3-reporting\EC\2017-01-23-refined-times.txt</v>
      </c>
      <c r="AI17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{"issue":{"subject":"","project_id":79,"tracker_id":40,"status_id":1,"priority_id":2,"assigned_to_id":23,"start_date":"2017-01-23","description":"","custom_fields":[{"id":1,"name":"Subdivision","value":"NW"},{"id":4,"name":"Milepost","value":"0.0741"},{"id":17,"name":"Train ID","value":"820-23"},{"id":16,"name":"Locomotive ID","value":"4001"},{"id":130,"name":"Impact","value":""},{"id":150,"name":"Time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6"/>
        <v>start /low /b %USERPROFILE%\Documents\GitHub\eaglep3\Utilities\DownloadLogsFromS3.py --loco 4001 --day 2017-01-23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567</v>
      </c>
      <c r="B178" s="7">
        <v>4002</v>
      </c>
      <c r="C178" s="22" t="s">
        <v>196</v>
      </c>
      <c r="D178" s="22" t="s">
        <v>792</v>
      </c>
      <c r="E178" s="13">
        <v>42758.544398148151</v>
      </c>
      <c r="F178" s="13">
        <v>42758.556423611109</v>
      </c>
      <c r="G178" s="7">
        <v>1</v>
      </c>
      <c r="H178" s="22" t="s">
        <v>412</v>
      </c>
      <c r="I178" s="13">
        <v>42758.565694444442</v>
      </c>
      <c r="J178" s="7">
        <v>0</v>
      </c>
      <c r="K178" s="105" t="str">
        <f t="shared" si="39"/>
        <v>4001/4002</v>
      </c>
      <c r="L178" s="22" t="str">
        <f>VLOOKUP(A178,'Trips&amp;Operators'!$C$1:$G$99999,5,FALSE)</f>
        <v>LEVIN SCOTT</v>
      </c>
      <c r="M178" s="6">
        <f t="shared" si="40"/>
        <v>9.2708333322661929E-3</v>
      </c>
      <c r="N178" s="7">
        <f t="shared" si="41"/>
        <v>13.349999998463318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-23T12:03:56-0700',mode:absolute,to:'2017-01-23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49" t="str">
        <f t="shared" si="45"/>
        <v>N</v>
      </c>
      <c r="X178" s="170">
        <f t="shared" si="46"/>
        <v>1</v>
      </c>
      <c r="Y178" s="64">
        <f t="shared" si="47"/>
        <v>0.10199999999999999</v>
      </c>
      <c r="Z178" s="64">
        <f t="shared" si="48"/>
        <v>5.8928000000000003</v>
      </c>
      <c r="AA178" s="64">
        <f t="shared" si="49"/>
        <v>5.7907999999999999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0"/>
        <v>0821-23</v>
      </c>
      <c r="AE17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8" s="84" t="str">
        <f t="shared" si="52"/>
        <v>"C:\Program Files (x86)\AstroGrep\AstroGrep.exe" /spath="%USERPROFILE%\AppData\Local\Temp\OnboardLogs" /stypes="app*4002*20170123*" /stext=" 20:.+((SYSTEM_STATE.+slice.+state.+changed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821-23 --locoid 4002 --swversion DE.1.0.8.0 --startMP 204:1020 --initTime 2017-01-23T13:03:56 --startdatetime 2017-01-23T13:21:15 --delay 1 --endMP 300:58928 --enddatetime 2017-01-23T13:34:36 --enforcementcount 0 &gt;&gt;C:\Users\stu\Documents\GitHub\eaglep3-reporting\EC\2017-01-23-refined-times.txt</v>
      </c>
      <c r="AI17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ID","value":"821-23"},{"id":16,"name":"Locomotive ID","value":"4002"},{"id":130,"name":"Impact","value":""},{"id":150,"name":"Time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6"/>
        <v>start /low /b %USERPROFILE%\Documents\GitHub\eaglep3\Utilities\DownloadLogsFromS3.py --loco 4002 --day 2017-01-23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571</v>
      </c>
      <c r="B179" s="7">
        <v>4001</v>
      </c>
      <c r="C179" s="22" t="s">
        <v>196</v>
      </c>
      <c r="D179" s="22" t="s">
        <v>793</v>
      </c>
      <c r="E179" s="13">
        <v>42758.566793981481</v>
      </c>
      <c r="F179" s="13">
        <v>42758.56821759259</v>
      </c>
      <c r="G179" s="7">
        <v>1</v>
      </c>
      <c r="H179" s="22" t="s">
        <v>794</v>
      </c>
      <c r="I179" s="13">
        <v>42758.580023148148</v>
      </c>
      <c r="J179" s="7">
        <v>0</v>
      </c>
      <c r="K179" s="105" t="str">
        <f t="shared" si="39"/>
        <v>4001/4002</v>
      </c>
      <c r="L179" s="22" t="str">
        <f>VLOOKUP(A179,'Trips&amp;Operators'!$C$1:$G$99999,5,FALSE)</f>
        <v>LEVIN SCOTT</v>
      </c>
      <c r="M179" s="6">
        <f t="shared" si="40"/>
        <v>1.1805555557657499E-2</v>
      </c>
      <c r="N179" s="7">
        <f t="shared" si="41"/>
        <v>17.000000003026798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-23T12:36:11-0700',mode:absolute,to:'2017-01-23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49" t="str">
        <f t="shared" si="45"/>
        <v>N</v>
      </c>
      <c r="X179" s="170">
        <f t="shared" si="46"/>
        <v>1</v>
      </c>
      <c r="Y179" s="64">
        <f t="shared" si="47"/>
        <v>5.8615000000000004</v>
      </c>
      <c r="Z179" s="64">
        <f t="shared" si="48"/>
        <v>6.54E-2</v>
      </c>
      <c r="AA179" s="64">
        <f t="shared" si="49"/>
        <v>5.7961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0"/>
        <v>0822-23</v>
      </c>
      <c r="AE17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9" s="84" t="str">
        <f t="shared" si="52"/>
        <v>"C:\Program Files (x86)\AstroGrep\AstroGrep.exe" /spath="%USERPROFILE%\AppData\Local\Temp\OnboardLogs" /stypes="app*4001*20170123*" /stext=" 20:.+((SYSTEM_STATE.+slice.+state.+changed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822-23 --locoid 4001 --swversion DE.1.0.8.0 --startMP 300:58615 --initTime 2017-01-23T13:36:11 --startdatetime 2017-01-23T13:38:14 --delay 1 --endMP 204:654 --enddatetime 2017-01-23T13:55:14 --enforcementcount 0 &gt;&gt;C:\Users\stu\Documents\GitHub\eaglep3-reporting\EC\2017-01-23-refined-times.txt</v>
      </c>
      <c r="AI17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{"issue":{"subject":"","project_id":79,"tracker_id":40,"status_id":1,"priority_id":2,"assigned_to_id":23,"start_date":"2017-01-23","description":"","custom_fields":[{"id":1,"name":"Subdivision","value":"NW"},{"id":4,"name":"Milepost","value":"0.0654"},{"id":17,"name":"Train ID","value":"822-23"},{"id":16,"name":"Locomotive ID","value":"4001"},{"id":130,"name":"Impact","value":""},{"id":150,"name":"Time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6"/>
        <v>start /low /b %USERPROFILE%\Documents\GitHub\eaglep3\Utilities\DownloadLogsFromS3.py --loco 4001 --day 2017-01-23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579</v>
      </c>
      <c r="B180" s="7">
        <v>4002</v>
      </c>
      <c r="C180" s="22" t="s">
        <v>196</v>
      </c>
      <c r="D180" s="22" t="s">
        <v>795</v>
      </c>
      <c r="E180" s="13">
        <v>42758.594328703701</v>
      </c>
      <c r="F180" s="13">
        <v>42758.598113425927</v>
      </c>
      <c r="G180" s="7">
        <v>1</v>
      </c>
      <c r="H180" s="22" t="s">
        <v>405</v>
      </c>
      <c r="I180" s="13">
        <v>42758.607418981483</v>
      </c>
      <c r="J180" s="7">
        <v>0</v>
      </c>
      <c r="K180" s="105" t="str">
        <f t="shared" si="39"/>
        <v>4001/4002</v>
      </c>
      <c r="L180" s="22" t="str">
        <f>VLOOKUP(A180,'Trips&amp;Operators'!$C$1:$G$99999,5,FALSE)</f>
        <v>LEVIN SCOTT</v>
      </c>
      <c r="M180" s="6">
        <f t="shared" si="40"/>
        <v>9.3055555553291924E-3</v>
      </c>
      <c r="N180" s="7">
        <f t="shared" si="41"/>
        <v>13.399999999674037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-23T13:15:50-0700',mode:absolute,to:'2017-01-23T15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49" t="str">
        <f t="shared" si="45"/>
        <v>N</v>
      </c>
      <c r="X180" s="170">
        <f t="shared" si="46"/>
        <v>1</v>
      </c>
      <c r="Y180" s="64">
        <f t="shared" si="47"/>
        <v>9.5000000000000001E-2</v>
      </c>
      <c r="Z180" s="64">
        <f t="shared" si="48"/>
        <v>5.8930999999999996</v>
      </c>
      <c r="AA180" s="64">
        <f t="shared" si="49"/>
        <v>5.7980999999999998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0"/>
        <v>0823-23</v>
      </c>
      <c r="AE18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0" s="84" t="str">
        <f t="shared" si="52"/>
        <v>"C:\Program Files (x86)\AstroGrep\AstroGrep.exe" /spath="%USERPROFILE%\AppData\Local\Temp\OnboardLogs" /stypes="app*4002*20170123*" /stext=" 21:.+((SYSTEM_STATE.+slice.+state.+changed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823-23 --locoid 4002 --swversion DE.1.0.8.0 --startMP 204:950 --initTime 2017-01-23T14:15:50 --startdatetime 2017-01-23T14:21:17 --delay 1 --endMP 300:58931 --enddatetime 2017-01-23T14:34:41 --enforcementcount 0 &gt;&gt;C:\Users\stu\Documents\GitHub\eaglep3-reporting\EC\2017-01-23-refined-times.txt</v>
      </c>
      <c r="AI18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ID","value":"823-23"},{"id":16,"name":"Locomotive ID","value":"4002"},{"id":130,"name":"Impact","value":""},{"id":150,"name":"Time of Event (Mountain Time)","value":"14:34:41"},{"id":151,"name":"Denver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6"/>
        <v>start /low /b %USERPROFILE%\Documents\GitHub\eaglep3\Utilities\DownloadLogsFromS3.py --loco 4002 --day 2017-01-23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442</v>
      </c>
      <c r="B181" s="7">
        <v>4001</v>
      </c>
      <c r="C181" s="22" t="s">
        <v>196</v>
      </c>
      <c r="D181" s="22" t="s">
        <v>796</v>
      </c>
      <c r="E181" s="13">
        <v>42758.608530092592</v>
      </c>
      <c r="F181" s="13">
        <v>42758.610011574077</v>
      </c>
      <c r="G181" s="7">
        <v>1</v>
      </c>
      <c r="H181" s="22" t="s">
        <v>797</v>
      </c>
      <c r="I181" s="13">
        <v>42758.621932870374</v>
      </c>
      <c r="J181" s="7">
        <v>0</v>
      </c>
      <c r="K181" s="105" t="str">
        <f t="shared" si="39"/>
        <v>4001/4002</v>
      </c>
      <c r="L181" s="22" t="str">
        <f>VLOOKUP(A181,'Trips&amp;Operators'!$C$1:$G$99999,5,FALSE)</f>
        <v>LEVIN SCOTT</v>
      </c>
      <c r="M181" s="6">
        <f t="shared" si="40"/>
        <v>1.1921296296350192E-2</v>
      </c>
      <c r="N181" s="7">
        <f t="shared" si="41"/>
        <v>17.166666666744277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49" t="str">
        <f t="shared" si="45"/>
        <v>N</v>
      </c>
      <c r="X181" s="170">
        <f t="shared" si="46"/>
        <v>1</v>
      </c>
      <c r="Y181" s="64">
        <f t="shared" si="47"/>
        <v>5.8619000000000003</v>
      </c>
      <c r="Z181" s="64">
        <f t="shared" si="48"/>
        <v>6.7000000000000004E-2</v>
      </c>
      <c r="AA181" s="64">
        <f t="shared" si="49"/>
        <v>5.7949000000000002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0"/>
        <v>0824-23</v>
      </c>
      <c r="AE18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1" s="84" t="str">
        <f t="shared" si="52"/>
        <v>"C:\Program Files (x86)\AstroGrep\AstroGrep.exe" /spath="%USERPROFILE%\AppData\Local\Temp\OnboardLogs" /stypes="app*4001*20170123*" /stext=" 21:.+((SYSTEM_STATE.+slice.+state.+changed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824-23 --locoid 4001 --swversion DE.1.0.8.0 --startMP 300:58619 --initTime 2017-01-23T14:36:17 --startdatetime 2017-01-23T14:38:25 --delay 1 --endMP 204:670 --enddatetime 2017-01-23T14:55:35 --enforcementcount 0 &gt;&gt;C:\Users\stu\Documents\GitHub\eaglep3-reporting\EC\2017-01-23-refined-times.txt</v>
      </c>
      <c r="AI18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{"issue":{"subject":"","project_id":79,"tracker_id":40,"status_id":1,"priority_id":2,"assigned_to_id":23,"start_date":"2017-01-23","description":"","custom_fields":[{"id":1,"name":"Subdivision","value":"NW"},{"id":4,"name":"Milepost","value":"0.067"},{"id":17,"name":"Train ID","value":"824-23"},{"id":16,"name":"Locomotive ID","value":"4001"},{"id":130,"name":"Impact","value":""},{"id":150,"name":"Time of Event (Mountain Time)","value":"14:55:35"},{"id":151,"name":"Denver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6"/>
        <v>start /low /b %USERPROFILE%\Documents\GitHub\eaglep3\Utilities\DownloadLogsFromS3.py --loco 4001 --day 2017-01-23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588</v>
      </c>
      <c r="B182" s="7">
        <v>4002</v>
      </c>
      <c r="C182" s="22" t="s">
        <v>196</v>
      </c>
      <c r="D182" s="22" t="s">
        <v>798</v>
      </c>
      <c r="E182" s="13">
        <v>42758.636400462965</v>
      </c>
      <c r="F182" s="13">
        <v>42758.639872685184</v>
      </c>
      <c r="G182" s="7">
        <v>1</v>
      </c>
      <c r="H182" s="22" t="s">
        <v>799</v>
      </c>
      <c r="I182" s="13">
        <v>42758.649687500001</v>
      </c>
      <c r="J182" s="7">
        <v>0</v>
      </c>
      <c r="K182" s="105" t="str">
        <f t="shared" si="39"/>
        <v>4001/4002</v>
      </c>
      <c r="L182" s="22" t="str">
        <f>VLOOKUP(A182,'Trips&amp;Operators'!$C$1:$G$99999,5,FALSE)</f>
        <v>LEVIN SCOTT</v>
      </c>
      <c r="M182" s="6">
        <f t="shared" si="40"/>
        <v>9.8148148172185756E-3</v>
      </c>
      <c r="N182" s="7">
        <f t="shared" si="41"/>
        <v>14.133333336794749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-23T14:16:25-0700',mode:absolute,to:'2017-01-23T16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49" t="str">
        <f t="shared" si="45"/>
        <v>N</v>
      </c>
      <c r="X182" s="170">
        <f t="shared" si="46"/>
        <v>1</v>
      </c>
      <c r="Y182" s="64">
        <f t="shared" si="47"/>
        <v>9.5699999999999993E-2</v>
      </c>
      <c r="Z182" s="64">
        <f t="shared" si="48"/>
        <v>5.8925999999999998</v>
      </c>
      <c r="AA182" s="64">
        <f t="shared" si="49"/>
        <v>5.7968999999999999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0"/>
        <v>0825-23</v>
      </c>
      <c r="AE18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2" s="84" t="str">
        <f t="shared" si="52"/>
        <v>"C:\Program Files (x86)\AstroGrep\AstroGrep.exe" /spath="%USERPROFILE%\AppData\Local\Temp\OnboardLogs" /stypes="app*4002*20170123*" /stext=" 22:.+((SYSTEM_STATE.+slice.+state.+changed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825-23 --locoid 4002 --swversion DE.1.0.8.0 --startMP 204:957 --initTime 2017-01-23T15:16:25 --startdatetime 2017-01-23T15:21:25 --delay 1 --endMP 300:58926 --enddatetime 2017-01-23T15:35:33 --enforcementcount 0 &gt;&gt;C:\Users\stu\Documents\GitHub\eaglep3-reporting\EC\2017-01-23-refined-times.txt</v>
      </c>
      <c r="AI18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{"issue":{"subject":"","project_id":79,"tracker_id":40,"status_id":1,"priority_id":2,"assigned_to_id":23,"start_date":"2017-01-23","description":"","custom_fields":[{"id":1,"name":"Subdivision","value":"NW"},{"id":4,"name":"Milepost","value":"5.8926"},{"id":17,"name":"Train ID","value":"825-23"},{"id":16,"name":"Locomotive ID","value":"4002"},{"id":130,"name":"Impact","value":""},{"id":150,"name":"Time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6"/>
        <v>start /low /b %USERPROFILE%\Documents\GitHub\eaglep3\Utilities\DownloadLogsFromS3.py --loco 4002 --day 2017-01-23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592</v>
      </c>
      <c r="B183" s="7">
        <v>4001</v>
      </c>
      <c r="C183" s="22" t="s">
        <v>196</v>
      </c>
      <c r="D183" s="22" t="s">
        <v>793</v>
      </c>
      <c r="E183" s="13">
        <v>42758.650763888887</v>
      </c>
      <c r="F183" s="13">
        <v>42758.652777777781</v>
      </c>
      <c r="G183" s="7">
        <v>1</v>
      </c>
      <c r="H183" s="22" t="s">
        <v>800</v>
      </c>
      <c r="I183" s="13">
        <v>42758.663587962961</v>
      </c>
      <c r="J183" s="7">
        <v>0</v>
      </c>
      <c r="K183" s="105" t="str">
        <f t="shared" si="39"/>
        <v>4001/4002</v>
      </c>
      <c r="L183" s="22" t="str">
        <f>VLOOKUP(A183,'Trips&amp;Operators'!$C$1:$G$99999,5,FALSE)</f>
        <v>LEVIN SCOTT</v>
      </c>
      <c r="M183" s="6">
        <f t="shared" si="40"/>
        <v>1.081018518016208E-2</v>
      </c>
      <c r="N183" s="7">
        <f t="shared" si="41"/>
        <v>15.566666659433395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-23T14:37:06-0700',mode:absolute,to:'2017-01-23T16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49" t="str">
        <f t="shared" si="45"/>
        <v>N</v>
      </c>
      <c r="X183" s="170">
        <f t="shared" si="46"/>
        <v>1</v>
      </c>
      <c r="Y183" s="64">
        <f t="shared" si="47"/>
        <v>5.8615000000000004</v>
      </c>
      <c r="Z183" s="64">
        <f t="shared" si="48"/>
        <v>6.5000000000000002E-2</v>
      </c>
      <c r="AA183" s="64">
        <f t="shared" si="49"/>
        <v>5.7965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0"/>
        <v>0826-23</v>
      </c>
      <c r="AE183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3" s="84" t="str">
        <f t="shared" si="52"/>
        <v>"C:\Program Files (x86)\AstroGrep\AstroGrep.exe" /spath="%USERPROFILE%\AppData\Local\Temp\OnboardLogs" /stypes="app*4001*20170123*" /stext=" 22:.+((SYSTEM_STATE.+slice.+state.+changed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826-23 --locoid 4001 --swversion DE.1.0.8.0 --startMP 300:58615 --initTime 2017-01-23T15:37:06 --startdatetime 2017-01-23T15:40:00 --delay 1 --endMP 204:650 --enddatetime 2017-01-23T15:55:34 --enforcementcount 0 &gt;&gt;C:\Users\stu\Documents\GitHub\eaglep3-reporting\EC\2017-01-23-refined-times.txt</v>
      </c>
      <c r="AI18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{"issue":{"subject":"","project_id":79,"tracker_id":40,"status_id":1,"priority_id":2,"assigned_to_id":23,"start_date":"2017-01-23","description":"","custom_fields":[{"id":1,"name":"Subdivision","value":"NW"},{"id":4,"name":"Milepost","value":"0.065"},{"id":17,"name":"Train ID","value":"826-23"},{"id":16,"name":"Locomotive ID","value":"4001"},{"id":130,"name":"Impact","value":""},{"id":150,"name":"Time of Event (Mountain Time)","value":"15:55:34"},{"id":151,"name":"Denver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6"/>
        <v>start /low /b %USERPROFILE%\Documents\GitHub\eaglep3\Utilities\DownloadLogsFromS3.py --loco 4001 --day 2017-01-23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591</v>
      </c>
      <c r="B184" s="7">
        <v>4040</v>
      </c>
      <c r="C184" s="22" t="s">
        <v>196</v>
      </c>
      <c r="D184" s="22" t="s">
        <v>801</v>
      </c>
      <c r="E184" s="13">
        <v>42758.645312499997</v>
      </c>
      <c r="F184" s="13">
        <v>42758.660601851851</v>
      </c>
      <c r="G184" s="7">
        <v>1</v>
      </c>
      <c r="H184" s="22" t="s">
        <v>412</v>
      </c>
      <c r="I184" s="13">
        <v>42758.670104166667</v>
      </c>
      <c r="J184" s="7">
        <v>0</v>
      </c>
      <c r="K184" s="105" t="str">
        <f t="shared" si="39"/>
        <v>4039/4040</v>
      </c>
      <c r="L184" s="22" t="str">
        <f>VLOOKUP(A184,'Trips&amp;Operators'!$C$1:$G$99999,5,FALSE)</f>
        <v>NEWELL JAMES</v>
      </c>
      <c r="M184" s="6">
        <f t="shared" si="40"/>
        <v>9.5023148169275373E-3</v>
      </c>
      <c r="N184" s="7">
        <f t="shared" si="41"/>
        <v>13.683333336375654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-23T14:29:15-0700',mode:absolute,to:'2017-01-23T17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4" s="49" t="str">
        <f t="shared" si="45"/>
        <v>N</v>
      </c>
      <c r="X184" s="170">
        <f t="shared" si="46"/>
        <v>1</v>
      </c>
      <c r="Y184" s="64">
        <f t="shared" si="47"/>
        <v>9.5799999999999996E-2</v>
      </c>
      <c r="Z184" s="64">
        <f t="shared" si="48"/>
        <v>5.8928000000000003</v>
      </c>
      <c r="AA184" s="64">
        <f t="shared" si="49"/>
        <v>5.7970000000000006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0"/>
        <v>0827-23</v>
      </c>
      <c r="AE184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84" s="84" t="str">
        <f t="shared" si="52"/>
        <v>"C:\Program Files (x86)\AstroGrep\AstroGrep.exe" /spath="%USERPROFILE%\AppData\Local\Temp\OnboardLogs" /stypes="app*4040*20170123*" /stext=" 23:.+((SYSTEM_STATE.+slice.+state.+changed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827-23 --locoid 4040 --swversion DE.1.0.8.0 --startMP 204:958 --initTime 2017-01-23T15:29:15 --startdatetime 2017-01-23T15:51:16 --delay 1 --endMP 300:58928 --enddatetime 2017-01-23T16:04:57 --enforcementcount 0 &gt;&gt;C:\Users\stu\Documents\GitHub\eaglep3-reporting\EC\2017-01-23-refined-times.txt</v>
      </c>
      <c r="AI18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ID","value":"827-23"},{"id":16,"name":"Locomotive ID","value":"4040"},{"id":130,"name":"Impact","value":""},{"id":150,"name":"Time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6"/>
        <v>start /low /b %USERPROFILE%\Documents\GitHub\eaglep3\Utilities\DownloadLogsFromS3.py --loco 4040 --day 2017-01-23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185" spans="1:91" x14ac:dyDescent="0.25">
      <c r="A185" s="34" t="s">
        <v>600</v>
      </c>
      <c r="B185" s="7">
        <v>4039</v>
      </c>
      <c r="C185" s="22" t="s">
        <v>196</v>
      </c>
      <c r="D185" s="22" t="s">
        <v>802</v>
      </c>
      <c r="E185" s="13">
        <v>42758.671203703707</v>
      </c>
      <c r="F185" s="13">
        <v>42758.672476851854</v>
      </c>
      <c r="G185" s="7">
        <v>1</v>
      </c>
      <c r="H185" s="22" t="s">
        <v>803</v>
      </c>
      <c r="I185" s="13">
        <v>42758.684004629627</v>
      </c>
      <c r="J185" s="7">
        <v>0</v>
      </c>
      <c r="K185" s="105" t="str">
        <f t="shared" si="39"/>
        <v>4039/4040</v>
      </c>
      <c r="L185" s="22" t="str">
        <f>VLOOKUP(A185,'Trips&amp;Operators'!$C$1:$G$99999,5,FALSE)</f>
        <v>NEWELL JAMES</v>
      </c>
      <c r="M185" s="6">
        <f t="shared" si="40"/>
        <v>1.1527777773153502E-2</v>
      </c>
      <c r="N185" s="7">
        <f t="shared" si="41"/>
        <v>16.599999993341044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-23T15:06:32-0700',mode:absolute,to:'2017-01-23T17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5" s="49" t="str">
        <f t="shared" si="45"/>
        <v>N</v>
      </c>
      <c r="X185" s="170">
        <f t="shared" si="46"/>
        <v>1</v>
      </c>
      <c r="Y185" s="64">
        <f t="shared" si="47"/>
        <v>5.8597999999999999</v>
      </c>
      <c r="Z185" s="64">
        <f t="shared" si="48"/>
        <v>6.59E-2</v>
      </c>
      <c r="AA185" s="64">
        <f t="shared" si="49"/>
        <v>5.7938999999999998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0"/>
        <v>0828-23</v>
      </c>
      <c r="AE185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85" s="84" t="str">
        <f t="shared" si="52"/>
        <v>"C:\Program Files (x86)\AstroGrep\AstroGrep.exe" /spath="%USERPROFILE%\AppData\Local\Temp\OnboardLogs" /stypes="app*4039*20170123*" /stext=" 23:.+((SYSTEM_STATE.+slice.+state.+changed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828-23 --locoid 4039 --swversion DE.1.0.8.0 --startMP 300:58598 --initTime 2017-01-23T16:06:32 --startdatetime 2017-01-23T16:08:22 --delay 1 --endMP 204:659 --enddatetime 2017-01-23T16:24:58 --enforcementcount 0 &gt;&gt;C:\Users\stu\Documents\GitHub\eaglep3-reporting\EC\2017-01-23-refined-times.txt</v>
      </c>
      <c r="AI18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{"issue":{"subject":"","project_id":79,"tracker_id":40,"status_id":1,"priority_id":2,"assigned_to_id":23,"start_date":"2017-01-23","description":"","custom_fields":[{"id":1,"name":"Subdivision","value":"NW"},{"id":4,"name":"Milepost","value":"0.0659"},{"id":17,"name":"Train ID","value":"828-23"},{"id":16,"name":"Locomotive ID","value":"4039"},{"id":130,"name":"Impact","value":""},{"id":150,"name":"Time of Event (Mountain Time)","value":"16:24:58"},{"id":151,"name":"Denver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6"/>
        <v>start /low /b %USERPROFILE%\Documents\GitHub\eaglep3\Utilities\DownloadLogsFromS3.py --loco 4039 --day 2017-01-23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</row>
    <row r="186" spans="1:91" x14ac:dyDescent="0.25">
      <c r="A186" s="34" t="s">
        <v>602</v>
      </c>
      <c r="B186" s="7">
        <v>4002</v>
      </c>
      <c r="C186" s="22" t="s">
        <v>196</v>
      </c>
      <c r="D186" s="22" t="s">
        <v>761</v>
      </c>
      <c r="E186" s="13">
        <v>42758.67869212963</v>
      </c>
      <c r="F186" s="13">
        <v>42758.681423611109</v>
      </c>
      <c r="G186" s="7">
        <v>1</v>
      </c>
      <c r="H186" s="22" t="s">
        <v>804</v>
      </c>
      <c r="I186" s="13">
        <v>42758.690555555557</v>
      </c>
      <c r="J186" s="7">
        <v>0</v>
      </c>
      <c r="K186" s="105" t="str">
        <f t="shared" si="39"/>
        <v>4001/4002</v>
      </c>
      <c r="L186" s="22" t="str">
        <f>VLOOKUP(A186,'Trips&amp;Operators'!$C$1:$G$99999,5,FALSE)</f>
        <v>LEVIN SCOTT</v>
      </c>
      <c r="M186" s="6">
        <f t="shared" si="40"/>
        <v>9.1319444472901523E-3</v>
      </c>
      <c r="N186" s="7">
        <f t="shared" si="41"/>
        <v>13.150000004097819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-23T15:17:19-0700',mode:absolute,to:'2017-01-23T17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6" s="49" t="str">
        <f t="shared" si="45"/>
        <v>N</v>
      </c>
      <c r="X186" s="170">
        <f t="shared" si="46"/>
        <v>1</v>
      </c>
      <c r="Y186" s="64">
        <f t="shared" si="47"/>
        <v>9.3600000000000003E-2</v>
      </c>
      <c r="Z186" s="64">
        <f t="shared" si="48"/>
        <v>5.8936999999999999</v>
      </c>
      <c r="AA186" s="64">
        <f t="shared" si="49"/>
        <v>5.8000999999999996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0"/>
        <v>0829-23</v>
      </c>
      <c r="AE186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6" s="84" t="str">
        <f t="shared" si="52"/>
        <v>"C:\Program Files (x86)\AstroGrep\AstroGrep.exe" /spath="%USERPROFILE%\AppData\Local\Temp\OnboardLogs" /stypes="app*4002*20170123*" /stext=" 23:.+((SYSTEM_STATE.+slice.+state.+changed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829-23 --locoid 4002 --swversion DE.1.0.8.0 --startMP 204:936 --initTime 2017-01-23T16:17:19 --startdatetime 2017-01-23T16:21:15 --delay 1 --endMP 300:58937 --enddatetime 2017-01-23T16:34:24 --enforcementcount 0 &gt;&gt;C:\Users\stu\Documents\GitHub\eaglep3-reporting\EC\2017-01-23-refined-times.txt</v>
      </c>
      <c r="AI18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{"issue":{"subject":"","project_id":79,"tracker_id":40,"status_id":1,"priority_id":2,"assigned_to_id":23,"start_date":"2017-01-23","description":"","custom_fields":[{"id":1,"name":"Subdivision","value":"NW"},{"id":4,"name":"Milepost","value":"5.8937"},{"id":17,"name":"Train ID","value":"829-23"},{"id":16,"name":"Locomotive ID","value":"4002"},{"id":130,"name":"Impact","value":""},{"id":150,"name":"Time of Event (Mountain Time)","value":"16:34:24"},{"id":151,"name":"Denver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6"/>
        <v>start /low /b %USERPROFILE%\Documents\GitHub\eaglep3\Utilities\DownloadLogsFromS3.py --loco 4002 --day 2017-01-23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</row>
    <row r="187" spans="1:91" x14ac:dyDescent="0.25">
      <c r="A187" s="34" t="s">
        <v>604</v>
      </c>
      <c r="B187" s="7">
        <v>4001</v>
      </c>
      <c r="C187" s="22" t="s">
        <v>196</v>
      </c>
      <c r="D187" s="22" t="s">
        <v>406</v>
      </c>
      <c r="E187" s="13">
        <v>42758.691736111112</v>
      </c>
      <c r="F187" s="13">
        <v>42758.69327546296</v>
      </c>
      <c r="G187" s="7">
        <v>1</v>
      </c>
      <c r="H187" s="22" t="s">
        <v>779</v>
      </c>
      <c r="I187" s="13">
        <v>42758.706944444442</v>
      </c>
      <c r="J187" s="7">
        <v>0</v>
      </c>
      <c r="K187" s="105" t="str">
        <f t="shared" si="39"/>
        <v>4001/4002</v>
      </c>
      <c r="L187" s="22" t="str">
        <f>VLOOKUP(A187,'Trips&amp;Operators'!$C$1:$G$99999,5,FALSE)</f>
        <v>LEVIN SCOTT</v>
      </c>
      <c r="M187" s="6">
        <f t="shared" si="40"/>
        <v>1.3668981482624076E-2</v>
      </c>
      <c r="N187" s="7">
        <f t="shared" si="41"/>
        <v>19.68333333497867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-23T15:36:06-0700',mode:absolute,to:'2017-01-23T17:58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7" s="49" t="str">
        <f t="shared" si="45"/>
        <v>N</v>
      </c>
      <c r="X187" s="170">
        <f t="shared" si="46"/>
        <v>1</v>
      </c>
      <c r="Y187" s="64">
        <f t="shared" si="47"/>
        <v>5.8613</v>
      </c>
      <c r="Z187" s="64">
        <f t="shared" si="48"/>
        <v>6.6799999999999998E-2</v>
      </c>
      <c r="AA187" s="64">
        <f t="shared" si="49"/>
        <v>5.7945000000000002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0"/>
        <v>0830-23</v>
      </c>
      <c r="AE18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7" s="84" t="str">
        <f t="shared" si="52"/>
        <v>"C:\Program Files (x86)\AstroGrep\AstroGrep.exe" /spath="%USERPROFILE%\AppData\Local\Temp\OnboardLogs" /stypes="app*4001*20170123*" /stext=" 23:.+((SYSTEM_STATE.+slice.+state.+changed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830-23 --locoid 4001 --swversion DE.1.0.8.0 --startMP 300:58613 --initTime 2017-01-23T16:36:06 --startdatetime 2017-01-23T16:38:19 --delay 1 --endMP 204:668 --enddatetime 2017-01-23T16:58:00 --enforcementcount 0 &gt;&gt;C:\Users\stu\Documents\GitHub\eaglep3-reporting\EC\2017-01-23-refined-times.txt</v>
      </c>
      <c r="AI18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ID","value":"830-23"},{"id":16,"name":"Locomotive ID","value":"4001"},{"id":130,"name":"Impact","value":""},{"id":150,"name":"Time of Event (Mountain Time)","value":"16:58:00"},{"id":151,"name":"Denver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6"/>
        <v>start /low /b %USERPROFILE%\Documents\GitHub\eaglep3\Utilities\DownloadLogsFromS3.py --loco 4001 --day 2017-01-23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188" spans="1:91" s="21" customFormat="1" x14ac:dyDescent="0.25">
      <c r="A188" s="34" t="s">
        <v>605</v>
      </c>
      <c r="B188" s="7">
        <v>4040</v>
      </c>
      <c r="C188" s="22" t="s">
        <v>196</v>
      </c>
      <c r="D188" s="22" t="s">
        <v>805</v>
      </c>
      <c r="E188" s="13">
        <v>42758.695347222223</v>
      </c>
      <c r="F188" s="13">
        <v>42758.702256944445</v>
      </c>
      <c r="G188" s="7">
        <v>1</v>
      </c>
      <c r="H188" s="22" t="s">
        <v>405</v>
      </c>
      <c r="I188" s="13">
        <v>42758.711655092593</v>
      </c>
      <c r="J188" s="7">
        <v>0</v>
      </c>
      <c r="K188" s="105" t="str">
        <f t="shared" si="39"/>
        <v>4039/4040</v>
      </c>
      <c r="L188" s="22" t="str">
        <f>VLOOKUP(A188,'Trips&amp;Operators'!$C$1:$G$99999,5,FALSE)</f>
        <v>NEWELL JAMES</v>
      </c>
      <c r="M188" s="6">
        <f t="shared" si="40"/>
        <v>9.3981481477385387E-3</v>
      </c>
      <c r="N188" s="7">
        <f t="shared" si="41"/>
        <v>13.533333332743496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-23T15:41:18-0700',mode:absolute,to:'2017-01-23T18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8" s="49" t="str">
        <f t="shared" si="45"/>
        <v>N</v>
      </c>
      <c r="X188" s="170">
        <f t="shared" si="46"/>
        <v>1</v>
      </c>
      <c r="Y188" s="64">
        <f t="shared" si="47"/>
        <v>9.5299999999999996E-2</v>
      </c>
      <c r="Z188" s="64">
        <f t="shared" si="48"/>
        <v>5.8930999999999996</v>
      </c>
      <c r="AA188" s="64">
        <f t="shared" si="49"/>
        <v>5.7977999999999996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0"/>
        <v>0831-23</v>
      </c>
      <c r="AE188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88" s="84" t="str">
        <f t="shared" si="52"/>
        <v>"C:\Program Files (x86)\AstroGrep\AstroGrep.exe" /spath="%USERPROFILE%\AppData\Local\Temp\OnboardLogs" /stypes="app*4040*20170124*" /stext=" 00:.+((SYSTEM_STATE.+slice.+state.+changed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831-23 --locoid 4040 --swversion DE.1.0.8.0 --startMP 204:953 --initTime 2017-01-23T16:41:18 --startdatetime 2017-01-23T16:51:15 --delay 1 --endMP 300:58931 --enddatetime 2017-01-23T17:04:47 --enforcementcount 0 &gt;&gt;C:\Users\stu\Documents\GitHub\eaglep3-reporting\EC\2017-01-23-refined-times.txt</v>
      </c>
      <c r="AI18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ID","value":"831-23"},{"id":16,"name":"Locomotive ID","value":"4040"},{"id":130,"name":"Impact","value":""},{"id":150,"name":"Time of Event (Mountain Time)","value":"17:04:47"},{"id":151,"name":"Denver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6"/>
        <v>start /low /b %USERPROFILE%\Documents\GitHub\eaglep3\Utilities\DownloadLogsFromS3.py --loco 4040 --day 2017-01-23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445</v>
      </c>
      <c r="B189" s="7">
        <v>4039</v>
      </c>
      <c r="C189" s="22" t="s">
        <v>196</v>
      </c>
      <c r="D189" s="22" t="s">
        <v>806</v>
      </c>
      <c r="E189" s="13">
        <v>42758.712789351855</v>
      </c>
      <c r="F189" s="13">
        <v>42758.713888888888</v>
      </c>
      <c r="G189" s="7">
        <v>1</v>
      </c>
      <c r="H189" s="22" t="s">
        <v>797</v>
      </c>
      <c r="I189" s="13">
        <v>42758.726006944446</v>
      </c>
      <c r="J189" s="7">
        <v>0</v>
      </c>
      <c r="K189" s="105" t="str">
        <f t="shared" si="39"/>
        <v>4039/4040</v>
      </c>
      <c r="L189" s="22" t="str">
        <f>VLOOKUP(A189,'Trips&amp;Operators'!$C$1:$G$99999,5,FALSE)</f>
        <v>NEWELL JAMES</v>
      </c>
      <c r="M189" s="6">
        <f t="shared" si="40"/>
        <v>1.2118055557948537E-2</v>
      </c>
      <c r="N189" s="7">
        <f t="shared" si="41"/>
        <v>17.450000003445894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-23T16:06:25-0700',mode:absolute,to:'2017-01-23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9" s="49" t="str">
        <f t="shared" si="45"/>
        <v>N</v>
      </c>
      <c r="X189" s="170">
        <f t="shared" si="46"/>
        <v>1</v>
      </c>
      <c r="Y189" s="64">
        <f t="shared" si="47"/>
        <v>5.8609</v>
      </c>
      <c r="Z189" s="64">
        <f t="shared" si="48"/>
        <v>6.7000000000000004E-2</v>
      </c>
      <c r="AA189" s="64">
        <f t="shared" si="49"/>
        <v>5.7938999999999998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0"/>
        <v>0832-23</v>
      </c>
      <c r="AE189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89" s="84" t="str">
        <f t="shared" si="52"/>
        <v>"C:\Program Files (x86)\AstroGrep\AstroGrep.exe" /spath="%USERPROFILE%\AppData\Local\Temp\OnboardLogs" /stypes="app*4039*20170124*" /stext=" 00:.+((SYSTEM_STATE.+slice.+state.+changed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832-23 --locoid 4039 --swversion DE.1.0.8.0 --startMP 300:58609 --initTime 2017-01-23T17:06:25 --startdatetime 2017-01-23T17:08:00 --delay 1 --endMP 204:670 --enddatetime 2017-01-23T17:25:27 --enforcementcount 0 &gt;&gt;C:\Users\stu\Documents\GitHub\eaglep3-reporting\EC\2017-01-23-refined-times.txt</v>
      </c>
      <c r="AI18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{"issue":{"subject":"","project_id":79,"tracker_id":40,"status_id":1,"priority_id":2,"assigned_to_id":23,"start_date":"2017-01-23","description":"","custom_fields":[{"id":1,"name":"Subdivision","value":"NW"},{"id":4,"name":"Milepost","value":"0.067"},{"id":17,"name":"Train ID","value":"832-23"},{"id":16,"name":"Locomotive ID","value":"4039"},{"id":130,"name":"Impact","value":""},{"id":150,"name":"Time of Event (Mountain Time)","value":"17:25:27"},{"id":151,"name":"Denver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6"/>
        <v>start /low /b %USERPROFILE%\Documents\GitHub\eaglep3\Utilities\DownloadLogsFromS3.py --loco 4039 --day 2017-01-23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2017-01-23-UncaughtWiMAX.txt</v>
      </c>
    </row>
    <row r="190" spans="1:91" x14ac:dyDescent="0.25">
      <c r="A190" s="34" t="s">
        <v>610</v>
      </c>
      <c r="B190" s="7">
        <v>4002</v>
      </c>
      <c r="C190" s="22" t="s">
        <v>196</v>
      </c>
      <c r="D190" s="22" t="s">
        <v>795</v>
      </c>
      <c r="E190" s="13">
        <v>42758.716562499998</v>
      </c>
      <c r="F190" s="13">
        <v>42758.72320601852</v>
      </c>
      <c r="G190" s="7">
        <v>1</v>
      </c>
      <c r="H190" s="22" t="s">
        <v>412</v>
      </c>
      <c r="I190" s="13">
        <v>42758.732569444444</v>
      </c>
      <c r="J190" s="7">
        <v>0</v>
      </c>
      <c r="K190" s="105" t="str">
        <f t="shared" si="39"/>
        <v>4001/4002</v>
      </c>
      <c r="L190" s="22" t="str">
        <f>VLOOKUP(A190,'Trips&amp;Operators'!$C$1:$G$99999,5,FALSE)</f>
        <v>LEVIN SCOTT</v>
      </c>
      <c r="M190" s="6">
        <f t="shared" si="40"/>
        <v>9.3634259246755391E-3</v>
      </c>
      <c r="N190" s="7">
        <f t="shared" si="41"/>
        <v>13.483333331532776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-23T16:11:51-0700',mode:absolute,to:'2017-01-23T18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0" s="49" t="str">
        <f t="shared" si="45"/>
        <v>N</v>
      </c>
      <c r="X190" s="170">
        <f t="shared" si="46"/>
        <v>1</v>
      </c>
      <c r="Y190" s="64">
        <f t="shared" si="47"/>
        <v>9.5000000000000001E-2</v>
      </c>
      <c r="Z190" s="64">
        <f t="shared" si="48"/>
        <v>5.8928000000000003</v>
      </c>
      <c r="AA190" s="64">
        <f t="shared" si="49"/>
        <v>5.7978000000000005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0"/>
        <v>0833-23</v>
      </c>
      <c r="AE19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0" s="84" t="str">
        <f t="shared" si="52"/>
        <v>"C:\Program Files (x86)\AstroGrep\AstroGrep.exe" /spath="%USERPROFILE%\AppData\Local\Temp\OnboardLogs" /stypes="app*4002*20170124*" /stext=" 00:.+((SYSTEM_STATE.+slice.+state.+changed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833-23 --locoid 4002 --swversion DE.1.0.8.0 --startMP 204:950 --initTime 2017-01-23T17:11:51 --startdatetime 2017-01-23T17:21:25 --delay 1 --endMP 300:58928 --enddatetime 2017-01-23T17:34:54 --enforcementcount 0 &gt;&gt;C:\Users\stu\Documents\GitHub\eaglep3-reporting\EC\2017-01-23-refined-times.txt</v>
      </c>
      <c r="AI19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ID","value":"833-23"},{"id":16,"name":"Locomotive ID","value":"4002"},{"id":130,"name":"Impact","value":""},{"id":150,"name":"Time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6"/>
        <v>start /low /b %USERPROFILE%\Documents\GitHub\eaglep3\Utilities\DownloadLogsFromS3.py --loco 4002 --day 2017-01-23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191" spans="1:91" x14ac:dyDescent="0.25">
      <c r="A191" s="34" t="s">
        <v>616</v>
      </c>
      <c r="B191" s="7">
        <v>4001</v>
      </c>
      <c r="C191" s="22" t="s">
        <v>196</v>
      </c>
      <c r="D191" s="22" t="s">
        <v>285</v>
      </c>
      <c r="E191" s="13">
        <v>42758.733888888892</v>
      </c>
      <c r="F191" s="13">
        <v>42758.735127314816</v>
      </c>
      <c r="G191" s="7">
        <v>1</v>
      </c>
      <c r="H191" s="22" t="s">
        <v>807</v>
      </c>
      <c r="I191" s="13">
        <v>42758.748553240737</v>
      </c>
      <c r="J191" s="7">
        <v>0</v>
      </c>
      <c r="K191" s="105" t="str">
        <f t="shared" si="39"/>
        <v>4001/4002</v>
      </c>
      <c r="L191" s="22" t="str">
        <f>VLOOKUP(A191,'Trips&amp;Operators'!$C$1:$G$99999,5,FALSE)</f>
        <v>LEVIN SCOTT</v>
      </c>
      <c r="M191" s="6">
        <f t="shared" si="40"/>
        <v>1.3425925921183079E-2</v>
      </c>
      <c r="N191" s="7">
        <f t="shared" si="41"/>
        <v>19.333333326503634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-23T16:36:48-0700',mode:absolute,to:'2017-01-23T18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49" t="str">
        <f t="shared" si="45"/>
        <v>N</v>
      </c>
      <c r="X191" s="170">
        <f t="shared" si="46"/>
        <v>1</v>
      </c>
      <c r="Y191" s="64">
        <f t="shared" si="47"/>
        <v>5.8616999999999999</v>
      </c>
      <c r="Z191" s="64">
        <f t="shared" si="48"/>
        <v>6.6299999999999998E-2</v>
      </c>
      <c r="AA191" s="64">
        <f t="shared" si="49"/>
        <v>5.7953999999999999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0"/>
        <v>0834-23</v>
      </c>
      <c r="AE19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1" s="84" t="str">
        <f t="shared" si="52"/>
        <v>"C:\Program Files (x86)\AstroGrep\AstroGrep.exe" /spath="%USERPROFILE%\AppData\Local\Temp\OnboardLogs" /stypes="app*4001*20170124*" /stext=" 00:.+((SYSTEM_STATE.+slice.+state.+changed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834-23 --locoid 4001 --swversion DE.1.0.8.0 --startMP 300:58617 --initTime 2017-01-23T17:36:48 --startdatetime 2017-01-23T17:38:35 --delay 1 --endMP 204:663 --enddatetime 2017-01-23T17:57:55 --enforcementcount 0 &gt;&gt;C:\Users\stu\Documents\GitHub\eaglep3-reporting\EC\2017-01-23-refined-times.txt</v>
      </c>
      <c r="AI19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{"issue":{"subject":"","project_id":79,"tracker_id":40,"status_id":1,"priority_id":2,"assigned_to_id":23,"start_date":"2017-01-23","description":"","custom_fields":[{"id":1,"name":"Subdivision","value":"NW"},{"id":4,"name":"Milepost","value":"0.0663"},{"id":17,"name":"Train ID","value":"834-23"},{"id":16,"name":"Locomotive ID","value":"4001"},{"id":130,"name":"Impact","value":""},{"id":150,"name":"Time of Event (Mountain Time)","value":"17:57:55"},{"id":151,"name":"Denver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6"/>
        <v>start /low /b %USERPROFILE%\Documents\GitHub\eaglep3\Utilities\DownloadLogsFromS3.py --loco 4001 --day 2017-01-23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192" spans="1:91" x14ac:dyDescent="0.25">
      <c r="A192" s="34" t="s">
        <v>613</v>
      </c>
      <c r="B192" s="7">
        <v>4040</v>
      </c>
      <c r="C192" s="22" t="s">
        <v>196</v>
      </c>
      <c r="D192" s="22" t="s">
        <v>808</v>
      </c>
      <c r="E192" s="13">
        <v>42758.727303240739</v>
      </c>
      <c r="F192" s="13">
        <v>42758.743900462963</v>
      </c>
      <c r="G192" s="7">
        <v>1</v>
      </c>
      <c r="H192" s="22" t="s">
        <v>405</v>
      </c>
      <c r="I192" s="13">
        <v>42758.753287037034</v>
      </c>
      <c r="J192" s="7">
        <v>0</v>
      </c>
      <c r="K192" s="105" t="str">
        <f t="shared" si="39"/>
        <v>4039/4040</v>
      </c>
      <c r="L192" s="22" t="str">
        <f>VLOOKUP(A192,'Trips&amp;Operators'!$C$1:$G$99999,5,FALSE)</f>
        <v>NEWELL JAMES</v>
      </c>
      <c r="M192" s="6">
        <f t="shared" si="40"/>
        <v>9.3865740709588863E-3</v>
      </c>
      <c r="N192" s="7">
        <f t="shared" si="41"/>
        <v>13.516666662180796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-23T16:27:19-0700',mode:absolute,to:'2017-01-23T19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49" t="str">
        <f t="shared" si="45"/>
        <v>N</v>
      </c>
      <c r="X192" s="170">
        <f t="shared" si="46"/>
        <v>1</v>
      </c>
      <c r="Y192" s="64">
        <f t="shared" si="47"/>
        <v>9.4399999999999998E-2</v>
      </c>
      <c r="Z192" s="64">
        <f t="shared" si="48"/>
        <v>5.8930999999999996</v>
      </c>
      <c r="AA192" s="64">
        <f t="shared" si="49"/>
        <v>5.7986999999999993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0"/>
        <v>0835-23</v>
      </c>
      <c r="AE192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92" s="84" t="str">
        <f t="shared" si="52"/>
        <v>"C:\Program Files (x86)\AstroGrep\AstroGrep.exe" /spath="%USERPROFILE%\AppData\Local\Temp\OnboardLogs" /stypes="app*4040*20170124*" /stext=" 01:.+((SYSTEM_STATE.+slice.+state.+changed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8" t="str">
        <f t="shared" si="54"/>
        <v>"%USERPROFILE%\Documents\GitHub\eaglep3\Utilities\RefineRTDCRunTimes.py" --tripid 835-23 --locoid 4040 --swversion DE.1.0.8.0 --startMP 204:944 --initTime 2017-01-23T17:27:19 --startdatetime 2017-01-23T17:51:13 --delay 1 --endMP 300:58931 --enddatetime 2017-01-23T18:04:44 --enforcementcount 0 &gt;&gt;C:\Users\stu\Documents\GitHub\eaglep3-reporting\EC\2017-01-23-refined-times.txt</v>
      </c>
      <c r="AI19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ID","value":"835-23"},{"id":16,"name":"Locomotive ID","value":"4040"},{"id":130,"name":"Impact","value":""},{"id":150,"name":"Time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6"/>
        <v>start /low /b %USERPROFILE%\Documents\GitHub\eaglep3\Utilities\DownloadLogsFromS3.py --loco 4040 --day 2017-01-23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2017-01-23-UncaughtWiMAX.txt</v>
      </c>
    </row>
    <row r="193" spans="1:91" x14ac:dyDescent="0.25">
      <c r="A193" s="34" t="s">
        <v>621</v>
      </c>
      <c r="B193" s="7">
        <v>4039</v>
      </c>
      <c r="C193" s="22" t="s">
        <v>196</v>
      </c>
      <c r="D193" s="22" t="s">
        <v>809</v>
      </c>
      <c r="E193" s="13">
        <v>42758.75408564815</v>
      </c>
      <c r="F193" s="13">
        <v>42758.755277777775</v>
      </c>
      <c r="G193" s="7">
        <v>1</v>
      </c>
      <c r="H193" s="22" t="s">
        <v>810</v>
      </c>
      <c r="I193" s="13">
        <v>42758.767476851855</v>
      </c>
      <c r="J193" s="7">
        <v>0</v>
      </c>
      <c r="K193" s="105" t="str">
        <f t="shared" si="39"/>
        <v>4039/4040</v>
      </c>
      <c r="L193" s="22" t="str">
        <f>VLOOKUP(A193,'Trips&amp;Operators'!$C$1:$G$99999,5,FALSE)</f>
        <v>NEWELL JAMES</v>
      </c>
      <c r="M193" s="6">
        <f t="shared" si="40"/>
        <v>1.2199074080854189E-2</v>
      </c>
      <c r="N193" s="7">
        <f t="shared" si="41"/>
        <v>17.566666676430032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-23T17:05:53-0700',mode:absolute,to:'2017-01-23T19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3" s="49" t="str">
        <f t="shared" si="45"/>
        <v>N</v>
      </c>
      <c r="X193" s="170">
        <f t="shared" si="46"/>
        <v>1</v>
      </c>
      <c r="Y193" s="64">
        <f t="shared" si="47"/>
        <v>5.8620999999999999</v>
      </c>
      <c r="Z193" s="64">
        <f t="shared" si="48"/>
        <v>6.4299999999999996E-2</v>
      </c>
      <c r="AA193" s="64">
        <f t="shared" si="49"/>
        <v>5.7977999999999996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0"/>
        <v>0836-23</v>
      </c>
      <c r="AE193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93" s="84" t="str">
        <f t="shared" si="52"/>
        <v>"C:\Program Files (x86)\AstroGrep\AstroGrep.exe" /spath="%USERPROFILE%\AppData\Local\Temp\OnboardLogs" /stypes="app*4039*20170124*" /stext=" 01:.+((SYSTEM_STATE.+slice.+state.+changed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8" t="str">
        <f t="shared" si="54"/>
        <v>"%USERPROFILE%\Documents\GitHub\eaglep3\Utilities\RefineRTDCRunTimes.py" --tripid 836-23 --locoid 4039 --swversion DE.1.0.8.0 --startMP 300:58621 --initTime 2017-01-23T18:05:53 --startdatetime 2017-01-23T18:07:36 --delay 1 --endMP 204:643 --enddatetime 2017-01-23T18:25:10 --enforcementcount 0 &gt;&gt;C:\Users\stu\Documents\GitHub\eaglep3-reporting\EC\2017-01-23-refined-times.txt</v>
      </c>
      <c r="AI19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{"issue":{"subject":"","project_id":79,"tracker_id":40,"status_id":1,"priority_id":2,"assigned_to_id":23,"start_date":"2017-01-23","description":"","custom_fields":[{"id":1,"name":"Subdivision","value":"NW"},{"id":4,"name":"Milepost","value":"0.0643"},{"id":17,"name":"Train ID","value":"836-23"},{"id":16,"name":"Locomotive ID","value":"4039"},{"id":130,"name":"Impact","value":""},{"id":150,"name":"Time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6"/>
        <v>start /low /b %USERPROFILE%\Documents\GitHub\eaglep3\Utilities\DownloadLogsFromS3.py --loco 4039 --day 2017-01-23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2017-01-23-UncaughtWiMAX.txt</v>
      </c>
    </row>
    <row r="194" spans="1:91" s="21" customFormat="1" x14ac:dyDescent="0.25">
      <c r="A194" s="34" t="s">
        <v>623</v>
      </c>
      <c r="B194" s="7">
        <v>4002</v>
      </c>
      <c r="C194" s="22" t="s">
        <v>196</v>
      </c>
      <c r="D194" s="22" t="s">
        <v>811</v>
      </c>
      <c r="E194" s="13">
        <v>42758.758692129632</v>
      </c>
      <c r="F194" s="13">
        <v>42758.764756944445</v>
      </c>
      <c r="G194" s="7">
        <v>0</v>
      </c>
      <c r="H194" s="22" t="s">
        <v>812</v>
      </c>
      <c r="I194" s="13">
        <v>42758.775138888886</v>
      </c>
      <c r="J194" s="7">
        <v>0</v>
      </c>
      <c r="K194" s="105" t="str">
        <f t="shared" si="39"/>
        <v>4001/4002</v>
      </c>
      <c r="L194" s="22" t="str">
        <f>VLOOKUP(A194,'Trips&amp;Operators'!$C$1:$G$99999,5,FALSE)</f>
        <v>LEVIN SCOTT</v>
      </c>
      <c r="M194" s="6">
        <f t="shared" si="40"/>
        <v>1.0381944441178348E-2</v>
      </c>
      <c r="N194" s="7">
        <f t="shared" si="41"/>
        <v>14.949999995296821</v>
      </c>
      <c r="O194" s="7"/>
      <c r="P194" s="7"/>
      <c r="Q194" s="23"/>
      <c r="R194" s="23"/>
      <c r="S194" s="32">
        <f t="shared" si="42"/>
        <v>1</v>
      </c>
      <c r="T194" s="47" t="str">
        <f t="shared" si="43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-23T17:12:31-0700',mode:absolute,to:'2017-01-23T19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49" t="str">
        <f t="shared" si="45"/>
        <v>N</v>
      </c>
      <c r="X194" s="170">
        <f t="shared" si="46"/>
        <v>1</v>
      </c>
      <c r="Y194" s="64">
        <f t="shared" si="47"/>
        <v>9.5100000000000004E-2</v>
      </c>
      <c r="Z194" s="64">
        <f t="shared" si="48"/>
        <v>5.8933</v>
      </c>
      <c r="AA194" s="64">
        <f t="shared" si="49"/>
        <v>5.7981999999999996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0"/>
        <v>0837-23</v>
      </c>
      <c r="AE19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4" s="84" t="str">
        <f t="shared" si="52"/>
        <v>"C:\Program Files (x86)\AstroGrep\AstroGrep.exe" /spath="%USERPROFILE%\AppData\Local\Temp\OnboardLogs" /stypes="app*4002*20170124*" /stext=" 01:.+((SYSTEM_STATE.+slice.+state.+changed )|(ment ac)|(multiple cpu faults)|(system.+state.+changed )|(\[timeout)|(PRM\|1\|D)|(kpr)|(kdp)|(\|lc)|(penalty))" /e /r /s</v>
      </c>
      <c r="AG194" s="1" t="str">
        <f t="shared" si="53"/>
        <v>NW</v>
      </c>
      <c r="AH194" s="88" t="str">
        <f t="shared" si="54"/>
        <v>"%USERPROFILE%\Documents\GitHub\eaglep3\Utilities\RefineRTDCRunTimes.py" --tripid 837-23 --locoid 4002 --swversion DE.1.0.8.0 --startMP 204:951 --initTime 2017-01-23T18:12:31 --startdatetime 2017-01-23T18:21:15 --delay 0 --endMP 300:58933 --enddatetime 2017-01-23T18:36:12 --enforcementcount 0 &gt;&gt;C:\Users\stu\Documents\GitHub\eaglep3-reporting\EC\2017-01-23-refined-times.txt</v>
      </c>
      <c r="AI19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{"issue":{"subject":"","project_id":79,"tracker_id":40,"status_id":1,"priority_id":2,"assigned_to_id":23,"start_date":"2017-01-23","description":"","custom_fields":[{"id":1,"name":"Subdivision","value":"NW"},{"id":4,"name":"Milepost","value":"5.8933"},{"id":17,"name":"Train ID","value":"837-23"},{"id":16,"name":"Locomotive ID","value":"4002"},{"id":130,"name":"Impact","value":""},{"id":150,"name":"Time of Event (Mountain Time)","value":"18:36:12"},{"id":151,"name":"Denver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6"/>
        <v>start /low /b %USERPROFILE%\Documents\GitHub\eaglep3\Utilities\DownloadLogsFromS3.py --loco 4002 --day 2017-01-23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450</v>
      </c>
      <c r="B195" s="7">
        <v>4001</v>
      </c>
      <c r="C195" s="22" t="s">
        <v>196</v>
      </c>
      <c r="D195" s="22" t="s">
        <v>793</v>
      </c>
      <c r="E195" s="13">
        <v>42758.776226851849</v>
      </c>
      <c r="F195" s="13">
        <v>42758.777418981481</v>
      </c>
      <c r="G195" s="7">
        <v>1</v>
      </c>
      <c r="H195" s="22" t="s">
        <v>312</v>
      </c>
      <c r="I195" s="13">
        <v>42758.790636574071</v>
      </c>
      <c r="J195" s="7">
        <v>0</v>
      </c>
      <c r="K195" s="105" t="str">
        <f t="shared" si="39"/>
        <v>4001/4002</v>
      </c>
      <c r="L195" s="22" t="str">
        <f>VLOOKUP(A195,'Trips&amp;Operators'!$C$1:$G$99999,5,FALSE)</f>
        <v>LEVIN SCOTT</v>
      </c>
      <c r="M195" s="6">
        <f t="shared" si="40"/>
        <v>1.321759259008104E-2</v>
      </c>
      <c r="N195" s="7">
        <f t="shared" si="41"/>
        <v>19.033333329716697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-23T17:37:46-0700',mode:absolute,to:'2017-01-23T19:58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49" t="str">
        <f t="shared" si="45"/>
        <v>N</v>
      </c>
      <c r="X195" s="170">
        <f t="shared" si="46"/>
        <v>1</v>
      </c>
      <c r="Y195" s="64">
        <f t="shared" si="47"/>
        <v>5.8615000000000004</v>
      </c>
      <c r="Z195" s="64">
        <f t="shared" si="48"/>
        <v>6.8500000000000005E-2</v>
      </c>
      <c r="AA195" s="64">
        <f t="shared" si="49"/>
        <v>5.7930000000000001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0"/>
        <v>0838-23</v>
      </c>
      <c r="AE19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5" s="84" t="str">
        <f t="shared" si="52"/>
        <v>"C:\Program Files (x86)\AstroGrep\AstroGrep.exe" /spath="%USERPROFILE%\AppData\Local\Temp\OnboardLogs" /stypes="app*4001*20170124*" /stext=" 01:.+((SYSTEM_STATE.+slice.+state.+changed )|(ment ac)|(multiple cpu faults)|(system.+state.+changed )|(\[timeout)|(PRM\|1\|D)|(kpr)|(kdp)|(\|lc)|(penalty))" /e /r /s</v>
      </c>
      <c r="AG195" s="1" t="str">
        <f t="shared" si="53"/>
        <v>NW</v>
      </c>
      <c r="AH195" s="88" t="str">
        <f t="shared" si="54"/>
        <v>"%USERPROFILE%\Documents\GitHub\eaglep3\Utilities\RefineRTDCRunTimes.py" --tripid 838-23 --locoid 4001 --swversion DE.1.0.8.0 --startMP 300:58615 --initTime 2017-01-23T18:37:46 --startdatetime 2017-01-23T18:39:29 --delay 1 --endMP 204:685 --enddatetime 2017-01-23T18:58:31 --enforcementcount 0 &gt;&gt;C:\Users\stu\Documents\GitHub\eaglep3-reporting\EC\2017-01-23-refined-times.txt</v>
      </c>
      <c r="AI19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{"issue":{"subject":"","project_id":79,"tracker_id":40,"status_id":1,"priority_id":2,"assigned_to_id":23,"start_date":"2017-01-23","description":"","custom_fields":[{"id":1,"name":"Subdivision","value":"NW"},{"id":4,"name":"Milepost","value":"0.0685"},{"id":17,"name":"Train ID","value":"838-23"},{"id":16,"name":"Locomotive ID","value":"4001"},{"id":130,"name":"Impact","value":""},{"id":150,"name":"Time of Event (Mountain Time)","value":"18:58:31"},{"id":151,"name":"Denver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6"/>
        <v>start /low /b %USERPROFILE%\Documents\GitHub\eaglep3\Utilities\DownloadLogsFromS3.py --loco 4001 --day 2017-01-23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633</v>
      </c>
      <c r="B196" s="7">
        <v>4040</v>
      </c>
      <c r="C196" s="22" t="s">
        <v>196</v>
      </c>
      <c r="D196" s="22" t="s">
        <v>776</v>
      </c>
      <c r="E196" s="13">
        <v>42758.781030092592</v>
      </c>
      <c r="F196" s="13">
        <v>42758.785567129627</v>
      </c>
      <c r="G196" s="7">
        <v>1</v>
      </c>
      <c r="H196" s="22" t="s">
        <v>813</v>
      </c>
      <c r="I196" s="13">
        <v>42758.795185185183</v>
      </c>
      <c r="J196" s="7">
        <v>0</v>
      </c>
      <c r="K196" s="105" t="str">
        <f t="shared" si="39"/>
        <v>4039/4040</v>
      </c>
      <c r="L196" s="22" t="str">
        <f>VLOOKUP(A196,'Trips&amp;Operators'!$C$1:$G$99999,5,FALSE)</f>
        <v>NEWELL JAMES</v>
      </c>
      <c r="M196" s="6">
        <f t="shared" si="40"/>
        <v>9.6180555556202307E-3</v>
      </c>
      <c r="N196" s="7">
        <f t="shared" si="41"/>
        <v>13.850000000093132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-23T17:44:41-0700',mode:absolute,to:'2017-01-23T20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6" s="49" t="str">
        <f t="shared" si="45"/>
        <v>N</v>
      </c>
      <c r="X196" s="170">
        <f t="shared" si="46"/>
        <v>1</v>
      </c>
      <c r="Y196" s="64">
        <f t="shared" si="47"/>
        <v>9.3700000000000006E-2</v>
      </c>
      <c r="Z196" s="64">
        <f t="shared" si="48"/>
        <v>5.8924000000000003</v>
      </c>
      <c r="AA196" s="64">
        <f t="shared" si="49"/>
        <v>5.7987000000000002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0"/>
        <v>0839-23</v>
      </c>
      <c r="AE196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96" s="84" t="str">
        <f t="shared" si="52"/>
        <v>"C:\Program Files (x86)\AstroGrep\AstroGrep.exe" /spath="%USERPROFILE%\AppData\Local\Temp\OnboardLogs" /stypes="app*4040*20170124*" /stext=" 02:.+((SYSTEM_STATE.+slice.+state.+changed )|(ment ac)|(multiple cpu faults)|(system.+state.+changed )|(\[timeout)|(PRM\|1\|D)|(kpr)|(kdp)|(\|lc)|(penalty))" /e /r /s</v>
      </c>
      <c r="AG196" s="1" t="str">
        <f t="shared" si="53"/>
        <v>NW</v>
      </c>
      <c r="AH196" s="88" t="str">
        <f t="shared" si="54"/>
        <v>"%USERPROFILE%\Documents\GitHub\eaglep3\Utilities\RefineRTDCRunTimes.py" --tripid 839-23 --locoid 4040 --swversion DE.1.0.8.0 --startMP 204:937 --initTime 2017-01-23T18:44:41 --startdatetime 2017-01-23T18:51:13 --delay 1 --endMP 300:58924 --enddatetime 2017-01-23T19:05:04 --enforcementcount 0 &gt;&gt;C:\Users\stu\Documents\GitHub\eaglep3-reporting\EC\2017-01-23-refined-times.txt</v>
      </c>
      <c r="AI19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{"issue":{"subject":"","project_id":79,"tracker_id":40,"status_id":1,"priority_id":2,"assigned_to_id":23,"start_date":"2017-01-23","description":"","custom_fields":[{"id":1,"name":"Subdivision","value":"NW"},{"id":4,"name":"Milepost","value":"5.8924"},{"id":17,"name":"Train ID","value":"839-23"},{"id":16,"name":"Locomotive ID","value":"4040"},{"id":130,"name":"Impact","value":""},{"id":150,"name":"Time of Event (Mountain Time)","value":"19:05:04"},{"id":151,"name":"Denver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6"/>
        <v>start /low /b %USERPROFILE%\Documents\GitHub\eaglep3\Utilities\DownloadLogsFromS3.py --loco 4040 --day 2017-01-23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2017-01-23-UncaughtWiMAX.txt</v>
      </c>
    </row>
    <row r="197" spans="1:91" x14ac:dyDescent="0.25">
      <c r="A197" s="34" t="s">
        <v>642</v>
      </c>
      <c r="B197" s="7">
        <v>4001</v>
      </c>
      <c r="C197" s="22" t="s">
        <v>196</v>
      </c>
      <c r="D197" s="22" t="s">
        <v>285</v>
      </c>
      <c r="E197" s="13">
        <v>42758.817141203705</v>
      </c>
      <c r="F197" s="13">
        <v>42758.818472222221</v>
      </c>
      <c r="G197" s="7">
        <v>1</v>
      </c>
      <c r="H197" s="22" t="s">
        <v>779</v>
      </c>
      <c r="I197" s="13">
        <v>42758.832060185188</v>
      </c>
      <c r="J197" s="7">
        <v>0</v>
      </c>
      <c r="K197" s="105" t="str">
        <f t="shared" si="39"/>
        <v>4001/4002</v>
      </c>
      <c r="L197" s="22" t="str">
        <f>VLOOKUP(A197,'Trips&amp;Operators'!$C$1:$G$99999,5,FALSE)</f>
        <v>LEVIN SCOTT</v>
      </c>
      <c r="M197" s="6">
        <f t="shared" si="40"/>
        <v>1.3587962966994382E-2</v>
      </c>
      <c r="N197" s="7">
        <f t="shared" si="41"/>
        <v>19.566666672471911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-23T18:36:41-0700',mode:absolute,to:'2017-01-23T20:58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49" t="str">
        <f t="shared" si="45"/>
        <v>N</v>
      </c>
      <c r="X197" s="170">
        <f t="shared" si="46"/>
        <v>1</v>
      </c>
      <c r="Y197" s="64">
        <f t="shared" si="47"/>
        <v>5.8616999999999999</v>
      </c>
      <c r="Z197" s="64">
        <f t="shared" si="48"/>
        <v>6.6799999999999998E-2</v>
      </c>
      <c r="AA197" s="64">
        <f t="shared" si="49"/>
        <v>5.7949000000000002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0"/>
        <v>0840-23</v>
      </c>
      <c r="AE19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7" s="84" t="str">
        <f t="shared" si="52"/>
        <v>"C:\Program Files (x86)\AstroGrep\AstroGrep.exe" /spath="%USERPROFILE%\AppData\Local\Temp\OnboardLogs" /stypes="app*4001*20170124*" /stext=" 02:.+((SYSTEM_STATE.+slice.+state.+changed )|(ment ac)|(multiple cpu faults)|(system.+state.+changed )|(\[timeout)|(PRM\|1\|D)|(kpr)|(kdp)|(\|lc)|(penalty))" /e /r /s</v>
      </c>
      <c r="AG197" s="1" t="str">
        <f t="shared" si="53"/>
        <v>NW</v>
      </c>
      <c r="AH197" s="88" t="str">
        <f t="shared" si="54"/>
        <v>"%USERPROFILE%\Documents\GitHub\eaglep3\Utilities\RefineRTDCRunTimes.py" --tripid 840-23 --locoid 4001 --swversion DE.1.0.8.0 --startMP 300:58617 --initTime 2017-01-23T19:36:41 --startdatetime 2017-01-23T19:38:36 --delay 1 --endMP 204:668 --enddatetime 2017-01-23T19:58:10 --enforcementcount 0 &gt;&gt;C:\Users\stu\Documents\GitHub\eaglep3-reporting\EC\2017-01-23-refined-times.txt</v>
      </c>
      <c r="AI19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ID","value":"840-23"},{"id":16,"name":"Locomotive ID","value":"4001"},{"id":130,"name":"Impact","value":""},{"id":150,"name":"Time of Event (Mountain Time)","value":"19:58:10"},{"id":151,"name":"Denver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6"/>
        <v>start /low /b %USERPROFILE%\Documents\GitHub\eaglep3\Utilities\DownloadLogsFromS3.py --loco 4001 --day 2017-01-23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198" spans="1:91" x14ac:dyDescent="0.25">
      <c r="A198" s="34" t="s">
        <v>639</v>
      </c>
      <c r="B198" s="7">
        <v>4002</v>
      </c>
      <c r="C198" s="22" t="s">
        <v>196</v>
      </c>
      <c r="D198" s="22" t="s">
        <v>814</v>
      </c>
      <c r="E198" s="13">
        <v>42758.79996527778</v>
      </c>
      <c r="F198" s="13">
        <v>42758.806469907409</v>
      </c>
      <c r="G198" s="7">
        <v>1</v>
      </c>
      <c r="H198" s="22" t="s">
        <v>812</v>
      </c>
      <c r="I198" s="13">
        <v>42758.815949074073</v>
      </c>
      <c r="J198" s="7">
        <v>0</v>
      </c>
      <c r="K198" s="105" t="str">
        <f t="shared" si="39"/>
        <v>4001/4002</v>
      </c>
      <c r="L198" s="22" t="str">
        <f>VLOOKUP(A198,'Trips&amp;Operators'!$C$1:$G$99999,5,FALSE)</f>
        <v>LEVIN SCOTT</v>
      </c>
      <c r="M198" s="6">
        <f t="shared" si="40"/>
        <v>9.4791666633682325E-3</v>
      </c>
      <c r="N198" s="7">
        <f t="shared" si="41"/>
        <v>13.649999995250255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-23T18:11:57-0700',mode:absolute,to:'2017-01-23T20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49" t="str">
        <f t="shared" si="45"/>
        <v>N</v>
      </c>
      <c r="X198" s="170">
        <f t="shared" si="46"/>
        <v>1</v>
      </c>
      <c r="Y198" s="64">
        <f t="shared" si="47"/>
        <v>9.8299999999999998E-2</v>
      </c>
      <c r="Z198" s="64">
        <f t="shared" si="48"/>
        <v>5.8933</v>
      </c>
      <c r="AA198" s="64">
        <f t="shared" si="49"/>
        <v>5.7949999999999999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0"/>
        <v>0841-23</v>
      </c>
      <c r="AE19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8" s="84" t="str">
        <f t="shared" si="52"/>
        <v>"C:\Program Files (x86)\AstroGrep\AstroGrep.exe" /spath="%USERPROFILE%\AppData\Local\Temp\OnboardLogs" /stypes="app*4002*20170124*" /stext=" 02:.+((SYSTEM_STATE.+slice.+state.+changed )|(ment ac)|(multiple cpu faults)|(system.+state.+changed )|(\[timeout)|(PRM\|1\|D)|(kpr)|(kdp)|(\|lc)|(penalty))" /e /r /s</v>
      </c>
      <c r="AG198" s="1" t="str">
        <f t="shared" si="53"/>
        <v>NW</v>
      </c>
      <c r="AH198" s="88" t="str">
        <f t="shared" si="54"/>
        <v>"%USERPROFILE%\Documents\GitHub\eaglep3\Utilities\RefineRTDCRunTimes.py" --tripid 841-23 --locoid 4002 --swversion DE.1.0.8.0 --startMP 204:983 --initTime 2017-01-23T19:11:57 --startdatetime 2017-01-23T19:21:19 --delay 1 --endMP 300:58933 --enddatetime 2017-01-23T19:34:58 --enforcementcount 0 &gt;&gt;C:\Users\stu\Documents\GitHub\eaglep3-reporting\EC\2017-01-23-refined-times.txt</v>
      </c>
      <c r="AI19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{"issue":{"subject":"","project_id":79,"tracker_id":40,"status_id":1,"priority_id":2,"assigned_to_id":23,"start_date":"2017-01-23","description":"","custom_fields":[{"id":1,"name":"Subdivision","value":"NW"},{"id":4,"name":"Milepost","value":"5.8933"},{"id":17,"name":"Train ID","value":"841-23"},{"id":16,"name":"Locomotive ID","value":"4002"},{"id":130,"name":"Impact","value":""},{"id":150,"name":"Time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6"/>
        <v>start /low /b %USERPROFILE%\Documents\GitHub\eaglep3\Utilities\DownloadLogsFromS3.py --loco 4002 --day 2017-01-23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199" spans="1:91" s="21" customFormat="1" x14ac:dyDescent="0.25">
      <c r="A199" s="34" t="s">
        <v>648</v>
      </c>
      <c r="B199" s="7">
        <v>4001</v>
      </c>
      <c r="C199" s="22" t="s">
        <v>196</v>
      </c>
      <c r="D199" s="22" t="s">
        <v>815</v>
      </c>
      <c r="E199" s="13">
        <v>42758.85869212963</v>
      </c>
      <c r="F199" s="13">
        <v>42758.860358796293</v>
      </c>
      <c r="G199" s="7">
        <v>1</v>
      </c>
      <c r="H199" s="22" t="s">
        <v>810</v>
      </c>
      <c r="I199" s="13">
        <v>42758.872002314813</v>
      </c>
      <c r="J199" s="7">
        <v>0</v>
      </c>
      <c r="K199" s="105" t="str">
        <f t="shared" si="39"/>
        <v>4001/4002</v>
      </c>
      <c r="L199" s="22" t="str">
        <f>VLOOKUP(A199,'Trips&amp;Operators'!$C$1:$G$99999,5,FALSE)</f>
        <v>LEVIN SCOTT</v>
      </c>
      <c r="M199" s="6">
        <f t="shared" si="40"/>
        <v>1.1643518519122154E-2</v>
      </c>
      <c r="N199" s="7">
        <f t="shared" si="41"/>
        <v>16.766666667535901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-23T19:36:31-0700',mode:absolute,to:'2017-01-23T21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9" s="49" t="str">
        <f t="shared" si="45"/>
        <v>N</v>
      </c>
      <c r="X199" s="170">
        <f t="shared" si="46"/>
        <v>1</v>
      </c>
      <c r="Y199" s="64">
        <f t="shared" si="47"/>
        <v>5.8611000000000004</v>
      </c>
      <c r="Z199" s="64">
        <f t="shared" si="48"/>
        <v>6.4299999999999996E-2</v>
      </c>
      <c r="AA199" s="64">
        <f t="shared" si="49"/>
        <v>5.7968000000000002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0"/>
        <v>0842-23</v>
      </c>
      <c r="AE19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9" s="84" t="str">
        <f t="shared" si="52"/>
        <v>"C:\Program Files (x86)\AstroGrep\AstroGrep.exe" /spath="%USERPROFILE%\AppData\Local\Temp\OnboardLogs" /stypes="app*4001*20170124*" /stext=" 03:.+((SYSTEM_STATE.+slice.+state.+changed )|(ment ac)|(multiple cpu faults)|(system.+state.+changed )|(\[timeout)|(PRM\|1\|D)|(kpr)|(kdp)|(\|lc)|(penalty))" /e /r /s</v>
      </c>
      <c r="AG199" s="1" t="str">
        <f t="shared" si="53"/>
        <v>NW</v>
      </c>
      <c r="AH199" s="88" t="str">
        <f t="shared" si="54"/>
        <v>"%USERPROFILE%\Documents\GitHub\eaglep3\Utilities\RefineRTDCRunTimes.py" --tripid 842-23 --locoid 4001 --swversion DE.1.0.8.0 --startMP 300:58611 --initTime 2017-01-23T20:36:31 --startdatetime 2017-01-23T20:38:55 --delay 1 --endMP 204:643 --enddatetime 2017-01-23T20:55:41 --enforcementcount 0 &gt;&gt;C:\Users\stu\Documents\GitHub\eaglep3-reporting\EC\2017-01-23-refined-times.txt</v>
      </c>
      <c r="AI19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{"issue":{"subject":"","project_id":79,"tracker_id":40,"status_id":1,"priority_id":2,"assigned_to_id":23,"start_date":"2017-01-23","description":"","custom_fields":[{"id":1,"name":"Subdivision","value":"NW"},{"id":4,"name":"Milepost","value":"0.0643"},{"id":17,"name":"Train ID","value":"842-23"},{"id":16,"name":"Locomotive ID","value":"4001"},{"id":130,"name":"Impact","value":""},{"id":150,"name":"Time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6"/>
        <v>start /low /b %USERPROFILE%\Documents\GitHub\eaglep3\Utilities\DownloadLogsFromS3.py --loco 4001 --day 2017-01-23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645</v>
      </c>
      <c r="B200" s="7">
        <v>4002</v>
      </c>
      <c r="C200" s="22" t="s">
        <v>196</v>
      </c>
      <c r="D200" s="22" t="s">
        <v>816</v>
      </c>
      <c r="E200" s="13">
        <v>42758.845150462963</v>
      </c>
      <c r="F200" s="13">
        <v>42758.848101851851</v>
      </c>
      <c r="G200" s="7">
        <v>1</v>
      </c>
      <c r="H200" s="22" t="s">
        <v>817</v>
      </c>
      <c r="I200" s="13">
        <v>42758.857638888891</v>
      </c>
      <c r="J200" s="7">
        <v>0</v>
      </c>
      <c r="K200" s="105" t="str">
        <f t="shared" si="39"/>
        <v>4001/4002</v>
      </c>
      <c r="L200" s="22" t="str">
        <f>VLOOKUP(A200,'Trips&amp;Operators'!$C$1:$G$99999,5,FALSE)</f>
        <v>LEVIN SCOTT</v>
      </c>
      <c r="M200" s="6">
        <f t="shared" si="40"/>
        <v>9.5370370399905369E-3</v>
      </c>
      <c r="N200" s="7">
        <f t="shared" si="41"/>
        <v>13.733333337586373</v>
      </c>
      <c r="O200" s="7"/>
      <c r="P200" s="7"/>
      <c r="Q200" s="23"/>
      <c r="R200" s="23"/>
      <c r="S200" s="32">
        <f t="shared" si="42"/>
        <v>1</v>
      </c>
      <c r="T200" s="47" t="str">
        <f t="shared" si="43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-23T19:17:01-0700',mode:absolute,to:'2017-01-23T21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0" s="49" t="str">
        <f t="shared" si="45"/>
        <v>N</v>
      </c>
      <c r="X200" s="170">
        <f t="shared" si="46"/>
        <v>1</v>
      </c>
      <c r="Y200" s="64">
        <f t="shared" si="47"/>
        <v>9.4799999999999995E-2</v>
      </c>
      <c r="Z200" s="64">
        <f t="shared" si="48"/>
        <v>5.8916000000000004</v>
      </c>
      <c r="AA200" s="64">
        <f t="shared" si="49"/>
        <v>5.7968000000000002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0"/>
        <v>0843-23</v>
      </c>
      <c r="AE20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0" s="84" t="str">
        <f t="shared" si="52"/>
        <v>"C:\Program Files (x86)\AstroGrep\AstroGrep.exe" /spath="%USERPROFILE%\AppData\Local\Temp\OnboardLogs" /stypes="app*4002*20170124*" /stext=" 03:.+((SYSTEM_STATE.+slice.+state.+changed )|(ment ac)|(multiple cpu faults)|(system.+state.+changed )|(\[timeout)|(PRM\|1\|D)|(kpr)|(kdp)|(\|lc)|(penalty))" /e /r /s</v>
      </c>
      <c r="AG200" s="1" t="str">
        <f t="shared" si="53"/>
        <v>NW</v>
      </c>
      <c r="AH200" s="88" t="str">
        <f t="shared" si="54"/>
        <v>"%USERPROFILE%\Documents\GitHub\eaglep3\Utilities\RefineRTDCRunTimes.py" --tripid 843-23 --locoid 4002 --swversion DE.1.0.8.0 --startMP 204:948 --initTime 2017-01-23T20:17:01 --startdatetime 2017-01-23T20:21:16 --delay 1 --endMP 300:58916 --enddatetime 2017-01-23T20:35:00 --enforcementcount 0 &gt;&gt;C:\Users\stu\Documents\GitHub\eaglep3-reporting\EC\2017-01-23-refined-times.txt</v>
      </c>
      <c r="AI20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{"issue":{"subject":"","project_id":79,"tracker_id":40,"status_id":1,"priority_id":2,"assigned_to_id":23,"start_date":"2017-01-23","description":"","custom_fields":[{"id":1,"name":"Subdivision","value":"NW"},{"id":4,"name":"Milepost","value":"5.8916"},{"id":17,"name":"Train ID","value":"843-23"},{"id":16,"name":"Locomotive ID","value":"4002"},{"id":130,"name":"Impact","value":""},{"id":150,"name":"Time of Event (Mountain Time)","value":"20:35:00"},{"id":151,"name":"Denver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6"/>
        <v>start /low /b %USERPROFILE%\Documents\GitHub\eaglep3\Utilities\DownloadLogsFromS3.py --loco 4002 --day 2017-01-23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201" spans="1:91" x14ac:dyDescent="0.25">
      <c r="A201" s="34" t="s">
        <v>654</v>
      </c>
      <c r="B201" s="7">
        <v>4001</v>
      </c>
      <c r="C201" s="22" t="s">
        <v>196</v>
      </c>
      <c r="D201" s="22" t="s">
        <v>818</v>
      </c>
      <c r="E201" s="13">
        <v>42758.900416666664</v>
      </c>
      <c r="F201" s="13">
        <v>42758.901817129627</v>
      </c>
      <c r="G201" s="7">
        <v>1</v>
      </c>
      <c r="H201" s="22" t="s">
        <v>819</v>
      </c>
      <c r="I201" s="13">
        <v>42758.913078703707</v>
      </c>
      <c r="J201" s="7">
        <v>0</v>
      </c>
      <c r="K201" s="105" t="str">
        <f t="shared" si="39"/>
        <v>4001/4002</v>
      </c>
      <c r="L201" s="22" t="str">
        <f>VLOOKUP(A201,'Trips&amp;Operators'!$C$1:$G$99999,5,FALSE)</f>
        <v>NEWELL JAMES</v>
      </c>
      <c r="M201" s="6">
        <f t="shared" si="40"/>
        <v>1.1261574079981074E-2</v>
      </c>
      <c r="N201" s="7">
        <f t="shared" si="41"/>
        <v>16.216666675172746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-23T20:36:36-0700',mode:absolute,to:'2017-01-23T22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49" t="str">
        <f t="shared" si="45"/>
        <v>N</v>
      </c>
      <c r="X201" s="170">
        <f t="shared" si="46"/>
        <v>1</v>
      </c>
      <c r="Y201" s="64">
        <f t="shared" si="47"/>
        <v>5.86</v>
      </c>
      <c r="Z201" s="64">
        <f t="shared" si="48"/>
        <v>6.6400000000000001E-2</v>
      </c>
      <c r="AA201" s="64">
        <f t="shared" si="49"/>
        <v>5.7936000000000005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0"/>
        <v>0844-23</v>
      </c>
      <c r="AE20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01" s="84" t="str">
        <f t="shared" si="52"/>
        <v>"C:\Program Files (x86)\AstroGrep\AstroGrep.exe" /spath="%USERPROFILE%\AppData\Local\Temp\OnboardLogs" /stypes="app*4001*20170124*" /stext=" 04:.+((SYSTEM_STATE.+slice.+state.+changed )|(ment ac)|(multiple cpu faults)|(system.+state.+changed )|(\[timeout)|(PRM\|1\|D)|(kpr)|(kdp)|(\|lc)|(penalty))" /e /r /s</v>
      </c>
      <c r="AG201" s="1" t="str">
        <f t="shared" si="53"/>
        <v>NW</v>
      </c>
      <c r="AH201" s="88" t="str">
        <f t="shared" si="54"/>
        <v>"%USERPROFILE%\Documents\GitHub\eaglep3\Utilities\RefineRTDCRunTimes.py" --tripid 844-23 --locoid 4001 --swversion DE.1.0.8.0 --startMP 300:58600 --initTime 2017-01-23T21:36:36 --startdatetime 2017-01-23T21:38:37 --delay 1 --endMP 204:664 --enddatetime 2017-01-23T21:54:50 --enforcementcount 0 &gt;&gt;C:\Users\stu\Documents\GitHub\eaglep3-reporting\EC\2017-01-23-refined-times.txt</v>
      </c>
      <c r="AI20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{"issue":{"subject":"","project_id":79,"tracker_id":40,"status_id":1,"priority_id":2,"assigned_to_id":23,"start_date":"2017-01-23","description":"","custom_fields":[{"id":1,"name":"Subdivision","value":"NW"},{"id":4,"name":"Milepost","value":"0.0664"},{"id":17,"name":"Train ID","value":"844-23"},{"id":16,"name":"Locomotive ID","value":"4001"},{"id":130,"name":"Impact","value":""},{"id":150,"name":"Time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6"/>
        <v>start /low /b %USERPROFILE%\Documents\GitHub\eaglep3\Utilities\DownloadLogsFromS3.py --loco 4001 --day 2017-01-23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202" spans="1:91" x14ac:dyDescent="0.25">
      <c r="A202" s="34" t="s">
        <v>651</v>
      </c>
      <c r="B202" s="7">
        <v>4002</v>
      </c>
      <c r="C202" s="22" t="s">
        <v>196</v>
      </c>
      <c r="D202" s="22" t="s">
        <v>776</v>
      </c>
      <c r="E202" s="13">
        <v>42758.875150462962</v>
      </c>
      <c r="F202" s="13">
        <v>42758.889756944445</v>
      </c>
      <c r="G202" s="7">
        <v>1</v>
      </c>
      <c r="H202" s="22" t="s">
        <v>813</v>
      </c>
      <c r="I202" s="13">
        <v>42758.899201388886</v>
      </c>
      <c r="J202" s="7">
        <v>0</v>
      </c>
      <c r="K202" s="105" t="str">
        <f t="shared" si="39"/>
        <v>4001/4002</v>
      </c>
      <c r="L202" s="22" t="str">
        <f>VLOOKUP(A202,'Trips&amp;Operators'!$C$1:$G$99999,5,FALSE)</f>
        <v>NEWELL JAMES</v>
      </c>
      <c r="M202" s="6">
        <f t="shared" si="40"/>
        <v>9.444444440305233E-3</v>
      </c>
      <c r="N202" s="7">
        <f t="shared" si="41"/>
        <v>13.599999994039536</v>
      </c>
      <c r="O202" s="7"/>
      <c r="P202" s="7"/>
      <c r="Q202" s="23"/>
      <c r="R202" s="23"/>
      <c r="S202" s="32">
        <f t="shared" si="42"/>
        <v>1</v>
      </c>
      <c r="T202" s="47" t="str">
        <f t="shared" si="43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4"/>
        <v>https://d0f6bd738d7f1b3e5a7ca70fe4ff75f0.us-east-1.aws.found.io/app/kibana#/discover/Steve-Slow-Train-Analysis-(2080s-and-2083s)?_g=(refreshInterval:(display:Off,pause:!f,section:0,value:0),time:(from:'2017-01-23T20:00:13-0700',mode:absolute,to:'2017-01-23T22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49" t="str">
        <f t="shared" si="45"/>
        <v>N</v>
      </c>
      <c r="X202" s="170">
        <f t="shared" si="46"/>
        <v>1</v>
      </c>
      <c r="Y202" s="64">
        <f t="shared" si="47"/>
        <v>9.3700000000000006E-2</v>
      </c>
      <c r="Z202" s="64">
        <f t="shared" si="48"/>
        <v>5.8924000000000003</v>
      </c>
      <c r="AA202" s="64">
        <f t="shared" si="49"/>
        <v>5.7987000000000002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50"/>
        <v>0845-23</v>
      </c>
      <c r="AE20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2" s="84" t="str">
        <f t="shared" si="52"/>
        <v>"C:\Program Files (x86)\AstroGrep\AstroGrep.exe" /spath="%USERPROFILE%\AppData\Local\Temp\OnboardLogs" /stypes="app*4002*20170124*" /stext=" 04:.+((SYSTEM_STATE.+slice.+state.+changed )|(ment ac)|(multiple cpu faults)|(system.+state.+changed )|(\[timeout)|(PRM\|1\|D)|(kpr)|(kdp)|(\|lc)|(penalty))" /e /r /s</v>
      </c>
      <c r="AG202" s="1" t="str">
        <f t="shared" si="53"/>
        <v>NW</v>
      </c>
      <c r="AH202" s="88" t="str">
        <f t="shared" si="54"/>
        <v>"%USERPROFILE%\Documents\GitHub\eaglep3\Utilities\RefineRTDCRunTimes.py" --tripid 845-23 --locoid 4002 --swversion DE.1.0.8.0 --startMP 204:937 --initTime 2017-01-23T21:00:13 --startdatetime 2017-01-23T21:21:15 --delay 1 --endMP 300:58924 --enddatetime 2017-01-23T21:34:51 --enforcementcount 0 &gt;&gt;C:\Users\stu\Documents\GitHub\eaglep3-reporting\EC\2017-01-23-refined-times.txt</v>
      </c>
      <c r="AI20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{"issue":{"subject":"","project_id":79,"tracker_id":40,"status_id":1,"priority_id":2,"assigned_to_id":23,"start_date":"2017-01-23","description":"","custom_fields":[{"id":1,"name":"Subdivision","value":"NW"},{"id":4,"name":"Milepost","value":"5.8924"},{"id":17,"name":"Train ID","value":"845-23"},{"id":16,"name":"Locomotive ID","value":"4002"},{"id":130,"name":"Impact","value":""},{"id":150,"name":"Time of Event (Mountain Time)","value":"21:34:51"},{"id":151,"name":"Denver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6"/>
        <v>start /low /b %USERPROFILE%\Documents\GitHub\eaglep3\Utilities\DownloadLogsFromS3.py --loco 4002 --day 2017-01-23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203" spans="1:91" s="21" customFormat="1" x14ac:dyDescent="0.25">
      <c r="A203" s="34" t="s">
        <v>657</v>
      </c>
      <c r="B203" s="7">
        <v>4002</v>
      </c>
      <c r="C203" s="22" t="s">
        <v>196</v>
      </c>
      <c r="D203" s="22" t="s">
        <v>414</v>
      </c>
      <c r="E203" s="13">
        <v>42758.927071759259</v>
      </c>
      <c r="F203" s="13">
        <v>42758.93141203704</v>
      </c>
      <c r="G203" s="7">
        <v>1</v>
      </c>
      <c r="H203" s="22" t="s">
        <v>405</v>
      </c>
      <c r="I203" s="13">
        <v>42758.941168981481</v>
      </c>
      <c r="J203" s="7">
        <v>0</v>
      </c>
      <c r="K203" s="105" t="str">
        <f t="shared" si="39"/>
        <v>4001/4002</v>
      </c>
      <c r="L203" s="22" t="str">
        <f>VLOOKUP(A203,'Trips&amp;Operators'!$C$1:$G$99999,5,FALSE)</f>
        <v>NEWELL JAMES</v>
      </c>
      <c r="M203" s="6">
        <f t="shared" si="40"/>
        <v>9.7569444405962713E-3</v>
      </c>
      <c r="N203" s="7">
        <f t="shared" si="41"/>
        <v>14.049999994458631</v>
      </c>
      <c r="O203" s="7"/>
      <c r="P203" s="7"/>
      <c r="Q203" s="23"/>
      <c r="R203" s="23"/>
      <c r="S203" s="32">
        <f t="shared" si="42"/>
        <v>1</v>
      </c>
      <c r="T203" s="47" t="str">
        <f t="shared" si="43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4"/>
        <v>https://d0f6bd738d7f1b3e5a7ca70fe4ff75f0.us-east-1.aws.found.io/app/kibana#/discover/Steve-Slow-Train-Analysis-(2080s-and-2083s)?_g=(refreshInterval:(display:Off,pause:!f,section:0,value:0),time:(from:'2017-01-23T21:14:59-0700',mode:absolute,to:'2017-01-23T23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49" t="str">
        <f t="shared" si="45"/>
        <v>N</v>
      </c>
      <c r="X203" s="170">
        <f t="shared" si="46"/>
        <v>2</v>
      </c>
      <c r="Y203" s="64">
        <f t="shared" si="47"/>
        <v>9.6199999999999994E-2</v>
      </c>
      <c r="Z203" s="64">
        <f t="shared" si="48"/>
        <v>5.8930999999999996</v>
      </c>
      <c r="AA203" s="64">
        <f t="shared" si="49"/>
        <v>5.7968999999999999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50"/>
        <v>0847-23</v>
      </c>
      <c r="AE203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3" s="84" t="str">
        <f t="shared" si="52"/>
        <v>"C:\Program Files (x86)\AstroGrep\AstroGrep.exe" /spath="%USERPROFILE%\AppData\Local\Temp\OnboardLogs" /stypes="app*4002*20170124*" /stext=" 05:.+((SYSTEM_STATE.+slice.+state.+changed )|(ment ac)|(multiple cpu faults)|(system.+state.+changed )|(\[timeout)|(PRM\|1\|D)|(kpr)|(kdp)|(\|lc)|(penalty))" /e /r /s</v>
      </c>
      <c r="AG203" s="1" t="str">
        <f t="shared" si="53"/>
        <v>NW</v>
      </c>
      <c r="AH203" s="88" t="str">
        <f t="shared" si="54"/>
        <v>"%USERPROFILE%\Documents\GitHub\eaglep3\Utilities\RefineRTDCRunTimes.py" --tripid 847-23 --locoid 4002 --swversion DE.1.0.8.0 --startMP 204:962 --initTime 2017-01-23T22:14:59 --startdatetime 2017-01-23T22:21:14 --delay 1 --endMP 300:58931 --enddatetime 2017-01-23T22:35:17 --enforcementcount 0 &gt;&gt;C:\Users\stu\Documents\GitHub\eaglep3-reporting\EC\2017-01-23-refined-times.txt</v>
      </c>
      <c r="AI20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ID","value":"847-23"},{"id":16,"name":"Locomotive ID","value":"4002"},{"id":130,"name":"Impact","value":""},{"id":150,"name":"Time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6"/>
        <v>start /low /b %USERPROFILE%\Documents\GitHub\eaglep3\Utilities\DownloadLogsFromS3.py --loco 4002 --day 2017-01-23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456</v>
      </c>
      <c r="B204" s="7">
        <v>4010</v>
      </c>
      <c r="C204" s="22" t="s">
        <v>196</v>
      </c>
      <c r="D204" s="22" t="s">
        <v>735</v>
      </c>
      <c r="E204" s="13">
        <v>42758.113483796296</v>
      </c>
      <c r="F204" s="13">
        <v>42758.116782407407</v>
      </c>
      <c r="G204" s="7">
        <v>3</v>
      </c>
      <c r="H204" s="22" t="s">
        <v>692</v>
      </c>
      <c r="I204" s="13">
        <v>42758.123206018521</v>
      </c>
      <c r="J204" s="7">
        <v>0</v>
      </c>
      <c r="K204" s="105" t="str">
        <f t="shared" si="39"/>
        <v>4009/4010</v>
      </c>
      <c r="L204" s="22" t="str">
        <f>VLOOKUP(A204,'Trips&amp;Operators'!$C$1:$G$99999,5,FALSE)</f>
        <v>OUN ZACK</v>
      </c>
      <c r="M204" s="6">
        <f t="shared" si="40"/>
        <v>6.4236111138598062E-3</v>
      </c>
      <c r="N204" s="7">
        <f t="shared" si="41"/>
        <v>9.2500000039581209</v>
      </c>
      <c r="O204" s="7"/>
      <c r="P204" s="7"/>
      <c r="Q204" s="23"/>
      <c r="R204" s="23"/>
      <c r="S204" s="32">
        <f t="shared" si="42"/>
        <v>1</v>
      </c>
      <c r="T204" s="47" t="str">
        <f t="shared" si="43"/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44"/>
        <v>https://d0f6bd738d7f1b3e5a7ca70fe4ff75f0.us-east-1.aws.found.io/app/kibana#/discover/Steve-Slow-Train-Analysis-(2080s-and-2083s)?_g=(refreshInterval:(display:Off,pause:!f,section:0,value:0),time:(from:'2017-01-23T01:43:25-0700',mode:absolute,to:'2017-01-23T03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49" t="str">
        <f t="shared" si="45"/>
        <v>Y</v>
      </c>
      <c r="X204" s="170">
        <f t="shared" si="46"/>
        <v>-545</v>
      </c>
      <c r="Y204" s="64">
        <f t="shared" si="47"/>
        <v>2.3105000000000002</v>
      </c>
      <c r="Z204" s="64">
        <f t="shared" si="48"/>
        <v>1.2699999999999999E-2</v>
      </c>
      <c r="AA204" s="64">
        <f t="shared" si="49"/>
        <v>2.2978000000000001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50"/>
        <v>0302-23</v>
      </c>
      <c r="AE204" s="87" t="str">
        <f t="shared" si="51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204" s="84" t="str">
        <f t="shared" si="52"/>
        <v>"C:\Program Files (x86)\AstroGrep\AstroGrep.exe" /spath="%USERPROFILE%\AppData\Local\Temp\OnboardLogs" /stypes="app*4010*20170123*" /stext=" 09:.+((SYSTEM_STATE.+slice.+state.+changed )|(ment ac)|(multiple cpu faults)|(system.+state.+changed )|(\[timeout)|(PRM\|1\|D)|(kpr)|(kdp)|(\|lc)|(penalty))" /e /r /s</v>
      </c>
      <c r="AG204" s="1" t="str">
        <f t="shared" si="53"/>
        <v>Other</v>
      </c>
      <c r="AH204" s="88" t="str">
        <f t="shared" si="54"/>
        <v>"%USERPROFILE%\Documents\GitHub\eaglep3\Utilities\RefineRTDCRunTimes.py" --tripid 302-23 --locoid 4010 --swversion DE.1.0.8.0 --startMP 300:23105 --initTime 2017-01-23T02:43:25 --startdatetime 2017-01-23T02:48:10 --delay 3 --endMP 204:127 --enddatetime 2017-01-23T02:57:25 --enforcementcount 0 &gt;&gt;C:\Users\stu\Documents\GitHub\eaglep3-reporting\EC\2017-01-23-refined-times.txt</v>
      </c>
      <c r="AI204" s="115" t="str">
        <f t="shared" si="55"/>
        <v>echo {"issue":{"subject":"","project_id":79,"tracker_id":40,"status_id":1,"priority_id":2,"assigned_to_id":23,"start_date":"2017-01-23","description":"","custom_fields":[{"id":1,"name":"Subdivision","value":"Other"},{"id":4,"name":"Milepost","value":"0.0127"},{"id":17,"name":"Train ID","value":"302-23"},{"id":16,"name":"Locomotive ID","value":"4010"},{"id":130,"name":"Impact","value":""},{"id":150,"name":"Time of Event (Mountain Time)","value":"02:57:25"},{"id":151,"name":"Denver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56"/>
        <v>start /low /b %USERPROFILE%\Documents\GitHub\eaglep3\Utilities\DownloadLogsFromS3.py --loco 4010 --day 2017-01-23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</row>
    <row r="205" spans="1:91" s="21" customFormat="1" x14ac:dyDescent="0.25">
      <c r="A205" s="34" t="s">
        <v>632</v>
      </c>
      <c r="B205" s="7">
        <v>4046</v>
      </c>
      <c r="C205" s="22" t="s">
        <v>196</v>
      </c>
      <c r="D205" s="22" t="s">
        <v>217</v>
      </c>
      <c r="E205" s="13">
        <v>42758.777488425927</v>
      </c>
      <c r="F205" s="13">
        <v>25568.708333333332</v>
      </c>
      <c r="G205" s="7">
        <v>1</v>
      </c>
      <c r="H205" s="22" t="s">
        <v>736</v>
      </c>
      <c r="I205" s="13">
        <v>25568.708333333332</v>
      </c>
      <c r="J205" s="7">
        <v>0</v>
      </c>
      <c r="K205" s="105" t="str">
        <f t="shared" ref="K205:K233" si="57">IF(ISEVEN(B205),(B205-1)&amp;"/"&amp;B205,B205&amp;"/"&amp;(B205+1))</f>
        <v>4045/4046</v>
      </c>
      <c r="L205" s="22" t="str">
        <f>VLOOKUP(A205,'Trips&amp;Operators'!$C$1:$G$99999,5,FALSE)</f>
        <v>ROMERO CHAD</v>
      </c>
      <c r="M205" s="6">
        <f t="shared" ref="M205:M233" si="58">I205-F205</f>
        <v>0</v>
      </c>
      <c r="N205" s="7">
        <f t="shared" ref="N205:N233" si="59">24*60*SUM($M205:$M205)</f>
        <v>0</v>
      </c>
      <c r="O205" s="7"/>
      <c r="P205" s="7"/>
      <c r="Q205" s="23"/>
      <c r="R205" s="23"/>
      <c r="S205" s="32">
        <f t="shared" ref="S205:S233" si="60">SUM(U205:U205)/IF(AG205="EC",12,1)</f>
        <v>1</v>
      </c>
      <c r="T205" s="47" t="str">
        <f t="shared" ref="T205:T233" si="61">IF(ISEVEN(LEFT(AD205,4)),"Southbound","NorthBound")</f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3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-23T17:39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49" t="str">
        <f t="shared" ref="W205:W233" si="63">IF(AA205&lt;IF(AG205="EC",23,5.65),"Y","N")</f>
        <v>Y</v>
      </c>
      <c r="X205" s="170">
        <f t="shared" ref="X205:X233" si="64">VALUE(LEFT(AD205,4))-VALUE(LEFT(AD204,4))</f>
        <v>1</v>
      </c>
      <c r="Y205" s="64">
        <f t="shared" ref="Y205:Y233" si="65">RIGHT(D205,LEN(D205)-4)/10000</f>
        <v>4.6199999999999998E-2</v>
      </c>
      <c r="Z205" s="64">
        <f t="shared" ref="Z205:Z233" si="66">RIGHT(H205,LEN(H205)-4)/10000</f>
        <v>2.331</v>
      </c>
      <c r="AA205" s="64">
        <f t="shared" ref="AA205:AA268" si="67">ABS(Z205-Y205)</f>
        <v>2.2848000000000002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33" si="68">IF(LEN(A205)=6,"0"&amp;A205,A205)</f>
        <v>0303-23</v>
      </c>
      <c r="AE205" s="87" t="str">
        <f t="shared" ref="AE205:AE233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5" s="84" t="str">
        <f t="shared" ref="AF205:AF233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05" s="1" t="str">
        <f t="shared" ref="AG205:AG233" si="71">IFERROR(IF(VALUE(LEFT(AD205,2))&lt;=2,"EC",IF(OR(VALUE(LEFT(AD205,2))=8,VALUE(LEFT(AD205,2))=18),"NW","Other")),"Other")</f>
        <v>Other</v>
      </c>
      <c r="AH205" s="88" t="str">
        <f t="shared" si="54"/>
        <v>"%USERPROFILE%\Documents\GitHub\eaglep3\Utilities\RefineRTDCRunTimes.py" --tripid 303-23 --locoid 4046 --swversion DE.1.0.8.0 --startMP 204:462 --initTime 2017-01-23T18:39:35 --startdatetime 1969-12-31T17:00:00 --delay 1 --endMP 300:23310 --enddatetime 1969-12-31T17:00:00 --enforcementcount 0 &gt;&gt;C:\Users\stu\Documents\GitHub\eaglep3-reporting\EC\2017-01-23-refined-times.txt</v>
      </c>
      <c r="AI205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ID","value":"303-23"},{"id":16,"name":"Locomotive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56"/>
        <v>start /low /b %USERPROFILE%\Documents\GitHub\eaglep3\Utilities\DownloadLogsFromS3.py --loco 4046 --day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2017-01-23-UncaughtWiMAX.txt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458</v>
      </c>
      <c r="B206" s="7">
        <v>4026</v>
      </c>
      <c r="C206" s="22" t="s">
        <v>196</v>
      </c>
      <c r="D206" s="22" t="s">
        <v>737</v>
      </c>
      <c r="E206" s="13">
        <v>42758.142743055556</v>
      </c>
      <c r="F206" s="13">
        <v>42758.146215277775</v>
      </c>
      <c r="G206" s="7">
        <v>4</v>
      </c>
      <c r="H206" s="22" t="s">
        <v>238</v>
      </c>
      <c r="I206" s="13">
        <v>42758.151828703703</v>
      </c>
      <c r="J206" s="7">
        <v>0</v>
      </c>
      <c r="K206" s="105" t="str">
        <f t="shared" si="57"/>
        <v>4025/4026</v>
      </c>
      <c r="L206" s="22" t="str">
        <f>VLOOKUP(A206,'Trips&amp;Operators'!$C$1:$G$99999,5,FALSE)</f>
        <v>MAELZER KURT</v>
      </c>
      <c r="M206" s="6">
        <f t="shared" si="58"/>
        <v>5.6134259284590371E-3</v>
      </c>
      <c r="N206" s="7">
        <f t="shared" si="59"/>
        <v>8.0833333369810134</v>
      </c>
      <c r="O206" s="7"/>
      <c r="P206" s="7"/>
      <c r="Q206" s="23"/>
      <c r="R206" s="23"/>
      <c r="S206" s="32">
        <f t="shared" si="60"/>
        <v>1</v>
      </c>
      <c r="T206" s="47" t="str">
        <f t="shared" si="61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2"/>
        <v>https://d0f6bd738d7f1b3e5a7ca70fe4ff75f0.us-east-1.aws.found.io/app/kibana#/discover/Steve-Slow-Train-Analysis-(2080s-and-2083s)?_g=(refreshInterval:(display:Off,pause:!f,section:0,value:0),time:(from:'2017-01-23T02:25:33-0700',mode:absolute,to:'2017-01-23T04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49" t="str">
        <f t="shared" si="63"/>
        <v>Y</v>
      </c>
      <c r="X206" s="170">
        <f t="shared" si="64"/>
        <v>1</v>
      </c>
      <c r="Y206" s="64">
        <f t="shared" si="65"/>
        <v>1.9556</v>
      </c>
      <c r="Z206" s="64">
        <f t="shared" si="66"/>
        <v>1.38E-2</v>
      </c>
      <c r="AA206" s="64">
        <f t="shared" si="67"/>
        <v>1.9418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68"/>
        <v>0304-23</v>
      </c>
      <c r="AE206" s="87" t="str">
        <f t="shared" si="69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206" s="84" t="str">
        <f t="shared" si="70"/>
        <v>"C:\Program Files (x86)\AstroGrep\AstroGrep.exe" /spath="%USERPROFILE%\AppData\Local\Temp\OnboardLogs" /stypes="app*4026*20170123*" /stext=" 10:.+((SYSTEM_STATE.+slice.+state.+changed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ref="AH206:AH233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304-23 --locoid 4026 --swversion DE.1.0.8.0 --startMP 300:19556 --initTime 2017-01-23T03:25:33 --startdatetime 2017-01-23T03:30:33 --delay 4 --endMP 204:138 --enddatetime 2017-01-23T03:38:38 --enforcementcount 0 &gt;&gt;C:\Users\stu\Documents\GitHub\eaglep3-reporting\EC\2017-01-23-refined-times.txt</v>
      </c>
      <c r="AI206" s="115" t="str">
        <f t="shared" ref="AI206:AI233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{"issue":{"subject":"","project_id":79,"tracker_id":40,"status_id":1,"priority_id":2,"assigned_to_id":23,"start_date":"2017-01-23","description":"","custom_fields":[{"id":1,"name":"Subdivision","value":"Other"},{"id":4,"name":"Milepost","value":"0.0138"},{"id":17,"name":"Train ID","value":"304-23"},{"id":16,"name":"Locomotive ID","value":"4026"},{"id":130,"name":"Impact","value":""},{"id":150,"name":"Time of Event (Mountain Time)","value":"03:38:38"},{"id":151,"name":"Denver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ref="AM206:AM233" si="74">"start /low /b "&amp;dls3logs&amp;" --loco "&amp;B206&amp;" --day "&amp;TEXT(F206,"YYYY-MM-DD")</f>
        <v>start /low /b %USERPROFILE%\Documents\GitHub\eaglep3\Utilities\DownloadLogsFromS3.py --loco 4026 --day 2017-01-23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</row>
    <row r="207" spans="1:91" x14ac:dyDescent="0.25">
      <c r="A207" s="34" t="s">
        <v>638</v>
      </c>
      <c r="B207" s="7">
        <v>4009</v>
      </c>
      <c r="C207" s="22" t="s">
        <v>196</v>
      </c>
      <c r="D207" s="22" t="s">
        <v>355</v>
      </c>
      <c r="E207" s="13">
        <v>42758.798981481479</v>
      </c>
      <c r="F207" s="13">
        <v>25568.708333333332</v>
      </c>
      <c r="G207" s="7">
        <v>1</v>
      </c>
      <c r="H207" s="22" t="s">
        <v>738</v>
      </c>
      <c r="I207" s="13">
        <v>25568.708333333332</v>
      </c>
      <c r="J207" s="7">
        <v>0</v>
      </c>
      <c r="K207" s="105" t="str">
        <f t="shared" si="57"/>
        <v>4009/4010</v>
      </c>
      <c r="L207" s="22" t="str">
        <f>VLOOKUP(A207,'Trips&amp;Operators'!$C$1:$G$99999,5,FALSE)</f>
        <v>CRAYTON QUNTRELL</v>
      </c>
      <c r="M207" s="6">
        <f t="shared" si="58"/>
        <v>0</v>
      </c>
      <c r="N207" s="7">
        <f t="shared" si="59"/>
        <v>0</v>
      </c>
      <c r="O207" s="7"/>
      <c r="P207" s="7"/>
      <c r="Q207" s="23"/>
      <c r="R207" s="23"/>
      <c r="S207" s="32">
        <f t="shared" si="60"/>
        <v>1</v>
      </c>
      <c r="T207" s="47" t="str">
        <f t="shared" si="6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2"/>
        <v>https://d0f6bd738d7f1b3e5a7ca70fe4ff75f0.us-east-1.aws.found.io/app/kibana#/discover/Steve-Slow-Train-Analysis-(2080s-and-2083s)?_g=(refreshInterval:(display:Off,pause:!f,section:0,value:0),time:(from:'2017-01-23T18:10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49" t="str">
        <f t="shared" si="63"/>
        <v>Y</v>
      </c>
      <c r="X207" s="170">
        <f t="shared" si="64"/>
        <v>1</v>
      </c>
      <c r="Y207" s="64">
        <f t="shared" si="65"/>
        <v>4.53E-2</v>
      </c>
      <c r="Z207" s="64">
        <f t="shared" si="66"/>
        <v>2.3298999999999999</v>
      </c>
      <c r="AA207" s="64">
        <f t="shared" si="67"/>
        <v>2.2845999999999997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68"/>
        <v>0305-23</v>
      </c>
      <c r="AE207" s="87" t="str">
        <f t="shared" si="6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7" s="84" t="str">
        <f t="shared" si="70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305-23 --locoid 4009 --swversion DE.1.0.8.0 --startMP 204:453 --initTime 2017-01-23T19:10:32 --startdatetime 1969-12-31T17:00:00 --delay 1 --endMP 300:23299 --enddatetime 1969-12-31T17:00:00 --enforcementcount 0 &gt;&gt;C:\Users\stu\Documents\GitHub\eaglep3-reporting\EC\2017-01-23-refined-times.txt</v>
      </c>
      <c r="AI20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ID","value":"305-23"},{"id":16,"name":"Locomotive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4"/>
        <v>start /low /b %USERPROFILE%\Documents\GitHub\eaglep3\Utilities\DownloadLogsFromS3.py --loco 4009 --day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2017-01-23-UncaughtWiMAX.txt</v>
      </c>
    </row>
    <row r="208" spans="1:91" x14ac:dyDescent="0.25">
      <c r="A208" s="34" t="s">
        <v>460</v>
      </c>
      <c r="B208" s="7">
        <v>4015</v>
      </c>
      <c r="C208" s="22" t="s">
        <v>196</v>
      </c>
      <c r="D208" s="22" t="s">
        <v>739</v>
      </c>
      <c r="E208" s="13">
        <v>42758.157557870371</v>
      </c>
      <c r="F208" s="13">
        <v>42758.159814814811</v>
      </c>
      <c r="G208" s="7">
        <v>1</v>
      </c>
      <c r="H208" s="22" t="s">
        <v>200</v>
      </c>
      <c r="I208" s="13">
        <v>42758.16</v>
      </c>
      <c r="J208" s="7">
        <v>0</v>
      </c>
      <c r="K208" s="105" t="str">
        <f t="shared" si="57"/>
        <v>4015/4016</v>
      </c>
      <c r="L208" s="22" t="str">
        <f>VLOOKUP(A208,'Trips&amp;Operators'!$C$1:$G$99999,5,FALSE)</f>
        <v>STARKS ANGELINA</v>
      </c>
      <c r="M208" s="6">
        <f t="shared" si="58"/>
        <v>1.8518519209465012E-4</v>
      </c>
      <c r="N208" s="7">
        <f t="shared" si="59"/>
        <v>0.26666667661629617</v>
      </c>
      <c r="O208" s="7"/>
      <c r="P208" s="7"/>
      <c r="Q208" s="23"/>
      <c r="R208" s="23"/>
      <c r="S208" s="32">
        <f t="shared" si="60"/>
        <v>1</v>
      </c>
      <c r="T208" s="47" t="str">
        <f t="shared" si="61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2"/>
        <v>https://d0f6bd738d7f1b3e5a7ca70fe4ff75f0.us-east-1.aws.found.io/app/kibana#/discover/Steve-Slow-Train-Analysis-(2080s-and-2083s)?_g=(refreshInterval:(display:Off,pause:!f,section:0,value:0),time:(from:'2017-01-23T02:46:53-0700',mode:absolute,to:'2017-01-23T04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49" t="str">
        <f t="shared" si="63"/>
        <v>Y</v>
      </c>
      <c r="X208" s="170">
        <f t="shared" si="64"/>
        <v>1</v>
      </c>
      <c r="Y208" s="64">
        <f t="shared" si="65"/>
        <v>2.5124</v>
      </c>
      <c r="Z208" s="64">
        <f t="shared" si="66"/>
        <v>1.4999999999999999E-2</v>
      </c>
      <c r="AA208" s="64">
        <f t="shared" si="67"/>
        <v>2.4973999999999998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68"/>
        <v>0306-23</v>
      </c>
      <c r="AE208" s="87" t="str">
        <f t="shared" si="69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208" s="84" t="str">
        <f t="shared" si="70"/>
        <v>"C:\Program Files (x86)\AstroGrep\AstroGrep.exe" /spath="%USERPROFILE%\AppData\Local\Temp\OnboardLogs" /stypes="app*4015*20170123*" /stext=" 10:.+((SYSTEM_STATE.+slice.+state.+changed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306-23 --locoid 4015 --swversion DE.1.0.8.0 --startMP 300:25124 --initTime 2017-01-23T03:46:53 --startdatetime 2017-01-23T03:50:08 --delay 1 --endMP 204:150 --enddatetime 2017-01-23T03:50:24 --enforcementcount 0 &gt;&gt;C:\Users\stu\Documents\GitHub\eaglep3-reporting\EC\2017-01-23-refined-times.txt</v>
      </c>
      <c r="AI20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{"issue":{"subject":"","project_id":79,"tracker_id":40,"status_id":1,"priority_id":2,"assigned_to_id":23,"start_date":"2017-01-23","description":"","custom_fields":[{"id":1,"name":"Subdivision","value":"Other"},{"id":4,"name":"Milepost","value":"0.015"},{"id":17,"name":"Train ID","value":"306-23"},{"id":16,"name":"Locomotive ID","value":"4015"},{"id":130,"name":"Impact","value":""},{"id":150,"name":"Time of Event (Mountain Time)","value":"03:50:24"},{"id":151,"name":"Denver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4"/>
        <v>start /low /b %USERPROFILE%\Documents\GitHub\eaglep3\Utilities\DownloadLogsFromS3.py --loco 4015 --day 2017-01-23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</row>
    <row r="209" spans="1:91" s="21" customFormat="1" x14ac:dyDescent="0.25">
      <c r="A209" s="34" t="s">
        <v>643</v>
      </c>
      <c r="B209" s="7">
        <v>4051</v>
      </c>
      <c r="C209" s="22" t="s">
        <v>196</v>
      </c>
      <c r="D209" s="22" t="s">
        <v>366</v>
      </c>
      <c r="E209" s="13">
        <v>42758.821168981478</v>
      </c>
      <c r="F209" s="13">
        <v>42758.822615740741</v>
      </c>
      <c r="G209" s="7">
        <v>1</v>
      </c>
      <c r="H209" s="22" t="s">
        <v>271</v>
      </c>
      <c r="I209" s="13">
        <v>42758.828414351854</v>
      </c>
      <c r="J209" s="7">
        <v>0</v>
      </c>
      <c r="K209" s="105" t="str">
        <f t="shared" si="57"/>
        <v>4051/4052</v>
      </c>
      <c r="L209" s="22" t="str">
        <f>VLOOKUP(A209,'Trips&amp;Operators'!$C$1:$G$99999,5,FALSE)</f>
        <v>KILLION DAVID</v>
      </c>
      <c r="M209" s="6">
        <f t="shared" si="58"/>
        <v>5.7986111132777296E-3</v>
      </c>
      <c r="N209" s="7">
        <f t="shared" si="59"/>
        <v>8.3500000031199306</v>
      </c>
      <c r="O209" s="7"/>
      <c r="P209" s="7"/>
      <c r="Q209" s="23"/>
      <c r="R209" s="23"/>
      <c r="S209" s="32">
        <f t="shared" si="60"/>
        <v>1</v>
      </c>
      <c r="T209" s="47" t="str">
        <f t="shared" si="61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62"/>
        <v>https://d0f6bd738d7f1b3e5a7ca70fe4ff75f0.us-east-1.aws.found.io/app/kibana#/discover/Steve-Slow-Train-Analysis-(2080s-and-2083s)?_g=(refreshInterval:(display:Off,pause:!f,section:0,value:0),time:(from:'2017-01-23T18:42:29-0700',mode:absolute,to:'2017-01-23T20:52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49" t="str">
        <f t="shared" si="63"/>
        <v>Y</v>
      </c>
      <c r="X209" s="170">
        <f t="shared" si="64"/>
        <v>1</v>
      </c>
      <c r="Y209" s="64">
        <f t="shared" si="65"/>
        <v>4.7100000000000003E-2</v>
      </c>
      <c r="Z209" s="64">
        <f t="shared" si="66"/>
        <v>2.3346</v>
      </c>
      <c r="AA209" s="64">
        <f t="shared" si="67"/>
        <v>2.2875000000000001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68"/>
        <v>0307-23</v>
      </c>
      <c r="AE209" s="87" t="str">
        <f t="shared" si="69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209" s="84" t="str">
        <f t="shared" si="70"/>
        <v>"C:\Program Files (x86)\AstroGrep\AstroGrep.exe" /spath="%USERPROFILE%\AppData\Local\Temp\OnboardLogs" /stypes="app*4051*20170124*" /stext=" 02:.+((SYSTEM_STATE.+slice.+state.+changed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307-23 --locoid 4051 --swversion DE.1.0.8.0 --startMP 204:471 --initTime 2017-01-23T19:42:29 --startdatetime 2017-01-23T19:44:34 --delay 1 --endMP 300:23346 --enddatetime 2017-01-23T19:52:55 --enforcementcount 0 &gt;&gt;C:\Users\stu\Documents\GitHub\eaglep3-reporting\EC\2017-01-23-refined-times.txt</v>
      </c>
      <c r="AI20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{"issue":{"subject":"","project_id":79,"tracker_id":40,"status_id":1,"priority_id":2,"assigned_to_id":23,"start_date":"2017-01-23","description":"","custom_fields":[{"id":1,"name":"Subdivision","value":"Other"},{"id":4,"name":"Milepost","value":"2.3346"},{"id":17,"name":"Train ID","value":"307-23"},{"id":16,"name":"Locomotive ID","value":"4051"},{"id":130,"name":"Impact","value":""},{"id":150,"name":"Time of Event (Mountain Time)","value":"19:52:55"},{"id":151,"name":"Denver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4"/>
        <v>start /low /b %USERPROFILE%\Documents\GitHub\eaglep3\Utilities\DownloadLogsFromS3.py --loco 4051 --day 2017-01-23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2017-01-23-UncaughtWiMAX.txt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4" t="s">
        <v>464</v>
      </c>
      <c r="B210" s="7">
        <v>4021</v>
      </c>
      <c r="C210" s="22" t="s">
        <v>196</v>
      </c>
      <c r="D210" s="22" t="s">
        <v>740</v>
      </c>
      <c r="E210" s="13">
        <v>42758.175196759257</v>
      </c>
      <c r="F210" s="13">
        <v>42758.177256944444</v>
      </c>
      <c r="G210" s="7">
        <v>1</v>
      </c>
      <c r="H210" s="22" t="s">
        <v>186</v>
      </c>
      <c r="I210" s="13">
        <v>42758.183344907404</v>
      </c>
      <c r="J210" s="7">
        <v>0</v>
      </c>
      <c r="K210" s="105" t="str">
        <f t="shared" si="57"/>
        <v>4021/4022</v>
      </c>
      <c r="L210" s="22" t="str">
        <f>VLOOKUP(A210,'Trips&amp;Operators'!$C$1:$G$99999,5,FALSE)</f>
        <v>BONDS REYNALDO</v>
      </c>
      <c r="M210" s="6">
        <f t="shared" si="58"/>
        <v>6.0879629600094631E-3</v>
      </c>
      <c r="N210" s="7">
        <f t="shared" si="59"/>
        <v>8.7666666624136269</v>
      </c>
      <c r="O210" s="7"/>
      <c r="P210" s="7"/>
      <c r="Q210" s="23"/>
      <c r="R210" s="23"/>
      <c r="S210" s="32">
        <f t="shared" si="60"/>
        <v>1</v>
      </c>
      <c r="T210" s="47" t="str">
        <f t="shared" si="61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62"/>
        <v>https://d0f6bd738d7f1b3e5a7ca70fe4ff75f0.us-east-1.aws.found.io/app/kibana#/discover/Steve-Slow-Train-Analysis-(2080s-and-2083s)?_g=(refreshInterval:(display:Off,pause:!f,section:0,value:0),time:(from:'2017-01-23T03:12:17-0700',mode:absolute,to:'2017-01-23T05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49" t="str">
        <f t="shared" si="63"/>
        <v>Y</v>
      </c>
      <c r="X210" s="170">
        <f t="shared" si="64"/>
        <v>1</v>
      </c>
      <c r="Y210" s="64">
        <f t="shared" si="65"/>
        <v>2.1896</v>
      </c>
      <c r="Z210" s="64">
        <f t="shared" si="66"/>
        <v>1.49E-2</v>
      </c>
      <c r="AA210" s="64">
        <f t="shared" si="67"/>
        <v>2.1747000000000001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68"/>
        <v>0308-23</v>
      </c>
      <c r="AE210" s="87" t="str">
        <f t="shared" si="69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210" s="84" t="str">
        <f t="shared" si="70"/>
        <v>"C:\Program Files (x86)\AstroGrep\AstroGrep.exe" /spath="%USERPROFILE%\AppData\Local\Temp\OnboardLogs" /stypes="app*4021*20170123*" /stext=" 11:.+((SYSTEM_STATE.+slice.+state.+changed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308-23 --locoid 4021 --swversion DE.1.0.8.0 --startMP 300:21896 --initTime 2017-01-23T04:12:17 --startdatetime 2017-01-23T04:15:15 --delay 1 --endMP 204:149 --enddatetime 2017-01-23T04:24:01 --enforcementcount 0 &gt;&gt;C:\Users\stu\Documents\GitHub\eaglep3-reporting\EC\2017-01-23-refined-times.txt</v>
      </c>
      <c r="AI210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{"issue":{"subject":"","project_id":79,"tracker_id":40,"status_id":1,"priority_id":2,"assigned_to_id":23,"start_date":"2017-01-23","description":"","custom_fields":[{"id":1,"name":"Subdivision","value":"Other"},{"id":4,"name":"Milepost","value":"0.0149"},{"id":17,"name":"Train ID","value":"308-23"},{"id":16,"name":"Locomotive ID","value":"4021"},{"id":130,"name":"Impact","value":""},{"id":150,"name":"Time of Event (Mountain Time)","value":"04:24:01"},{"id":151,"name":"Denver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4"/>
        <v>start /low /b %USERPROFILE%\Documents\GitHub\eaglep3\Utilities\DownloadLogsFromS3.py --loco 4021 --day 2017-01-23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</row>
    <row r="211" spans="1:91" s="21" customFormat="1" x14ac:dyDescent="0.25">
      <c r="A211" s="34" t="s">
        <v>667</v>
      </c>
      <c r="B211" s="7">
        <v>4016</v>
      </c>
      <c r="C211" s="22" t="s">
        <v>196</v>
      </c>
      <c r="D211" s="22" t="s">
        <v>274</v>
      </c>
      <c r="E211" s="13">
        <v>42759.028738425928</v>
      </c>
      <c r="F211" s="13">
        <v>42759.03025462963</v>
      </c>
      <c r="G211" s="7">
        <v>1</v>
      </c>
      <c r="H211" s="22" t="s">
        <v>741</v>
      </c>
      <c r="I211" s="13">
        <v>42759.037499999999</v>
      </c>
      <c r="J211" s="7">
        <v>0</v>
      </c>
      <c r="K211" s="105" t="str">
        <f t="shared" si="57"/>
        <v>4015/4016</v>
      </c>
      <c r="L211" s="22" t="str">
        <f>VLOOKUP(A211,'Trips&amp;Operators'!$C$1:$G$99999,5,FALSE)</f>
        <v>CHANDLER KELVIN</v>
      </c>
      <c r="M211" s="6">
        <f t="shared" si="58"/>
        <v>7.2453703687642701E-3</v>
      </c>
      <c r="N211" s="7">
        <f t="shared" si="59"/>
        <v>10.433333331020549</v>
      </c>
      <c r="O211" s="7"/>
      <c r="P211" s="7"/>
      <c r="Q211" s="23"/>
      <c r="R211" s="23"/>
      <c r="S211" s="32">
        <f t="shared" si="60"/>
        <v>1</v>
      </c>
      <c r="T211" s="47" t="str">
        <f t="shared" si="61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62"/>
        <v>https://d0f6bd738d7f1b3e5a7ca70fe4ff75f0.us-east-1.aws.found.io/app/kibana#/discover/Steve-Slow-Train-Analysis-(2080s-and-2083s)?_g=(refreshInterval:(display:Off,pause:!f,section:0,value:0),time:(from:'2017-01-23T23:41:23-0700',mode:absolute,to:'2017-01-24T01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49" t="str">
        <f t="shared" si="63"/>
        <v>Y</v>
      </c>
      <c r="X211" s="170">
        <f t="shared" si="64"/>
        <v>1</v>
      </c>
      <c r="Y211" s="64">
        <f t="shared" si="65"/>
        <v>4.5999999999999999E-2</v>
      </c>
      <c r="Z211" s="64">
        <f t="shared" si="66"/>
        <v>2.3296999999999999</v>
      </c>
      <c r="AA211" s="64">
        <f t="shared" si="67"/>
        <v>2.2837000000000001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68"/>
        <v>0309-23</v>
      </c>
      <c r="AE211" s="87" t="str">
        <f t="shared" si="69"/>
        <v>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 &amp; 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</v>
      </c>
      <c r="AF211" s="84" t="str">
        <f t="shared" si="70"/>
        <v>"C:\Program Files (x86)\AstroGrep\AstroGrep.exe" /spath="%USERPROFILE%\AppData\Local\Temp\OnboardLogs" /stypes="app*4016*20170124*" /stext=" 07:.+((SYSTEM_STATE.+slice.+state.+changed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309-23 --locoid 4016 --swversion DE.1.0.8.0 --startMP 204:460 --initTime 2017-01-24T00:41:23 --startdatetime 2017-01-24T00:43:34 --delay 1 --endMP 300:23297 --enddatetime 2017-01-24T00:54:00 --enforcementcount 0 &gt;&gt;C:\Users\stu\Documents\GitHub\eaglep3-reporting\EC\2017-01-23-refined-times.txt</v>
      </c>
      <c r="AI211" s="115" t="str">
        <f t="shared" si="73"/>
        <v>echo {"issue":{"subject":"","project_id":79,"tracker_id":40,"status_id":1,"priority_id":2,"assigned_to_id":23,"start_date":"2017-01-24","description":"","custom_fields":[{"id":1,"name":"Subdivision","value":"Other"},{"id":4,"name":"Milepost","value":"2.3297"},{"id":17,"name":"Train ID","value":"309-23"},{"id":16,"name":"Locomotive ID","value":"4016"},{"id":130,"name":"Impact","value":""},{"id":150,"name":"Time of Event (Mountain Time)","value":"00:54:00"},{"id":151,"name":"Denver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4"/>
        <v>start /low /b %USERPROFILE%\Documents\GitHub\eaglep3\Utilities\DownloadLogsFromS3.py --loco 4016 --day 2017-01-24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467</v>
      </c>
      <c r="B212" s="7">
        <v>4045</v>
      </c>
      <c r="C212" s="22" t="s">
        <v>196</v>
      </c>
      <c r="D212" s="22" t="s">
        <v>742</v>
      </c>
      <c r="E212" s="13">
        <v>42758.176851851851</v>
      </c>
      <c r="F212" s="13">
        <v>42758.179918981485</v>
      </c>
      <c r="G212" s="7">
        <v>4</v>
      </c>
      <c r="H212" s="22" t="s">
        <v>223</v>
      </c>
      <c r="I212" s="13">
        <v>42758.190868055557</v>
      </c>
      <c r="J212" s="7">
        <v>0</v>
      </c>
      <c r="K212" s="105" t="str">
        <f t="shared" si="57"/>
        <v>4045/4046</v>
      </c>
      <c r="L212" s="22" t="str">
        <f>VLOOKUP(A212,'Trips&amp;Operators'!$C$1:$G$99999,5,FALSE)</f>
        <v>SWANSON BRYCE</v>
      </c>
      <c r="M212" s="6">
        <f t="shared" si="58"/>
        <v>1.0949074072414078E-2</v>
      </c>
      <c r="N212" s="7">
        <f t="shared" si="59"/>
        <v>15.766666664276272</v>
      </c>
      <c r="O212" s="7"/>
      <c r="P212" s="7"/>
      <c r="Q212" s="23"/>
      <c r="R212" s="23"/>
      <c r="S212" s="32">
        <f t="shared" si="60"/>
        <v>1</v>
      </c>
      <c r="T212" s="47" t="str">
        <f t="shared" si="61"/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62"/>
        <v>https://d0f6bd738d7f1b3e5a7ca70fe4ff75f0.us-east-1.aws.found.io/app/kibana#/discover/Steve-Slow-Train-Analysis-(2080s-and-2083s)?_g=(refreshInterval:(display:Off,pause:!f,section:0,value:0),time:(from:'2017-01-23T03:14:40-0700',mode:absolute,to:'2017-01-23T05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49" t="str">
        <f t="shared" si="63"/>
        <v>Y</v>
      </c>
      <c r="X212" s="170">
        <f t="shared" si="64"/>
        <v>1</v>
      </c>
      <c r="Y212" s="64">
        <f t="shared" si="65"/>
        <v>2.3159999999999998</v>
      </c>
      <c r="Z212" s="64">
        <f t="shared" si="66"/>
        <v>1.5599999999999999E-2</v>
      </c>
      <c r="AA212" s="64">
        <f t="shared" si="67"/>
        <v>2.3003999999999998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68"/>
        <v>0310-23</v>
      </c>
      <c r="AE212" s="87" t="str">
        <f t="shared" si="69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212" s="84" t="str">
        <f t="shared" si="70"/>
        <v>"C:\Program Files (x86)\AstroGrep\AstroGrep.exe" /spath="%USERPROFILE%\AppData\Local\Temp\OnboardLogs" /stypes="app*4045*20170123*" /stext=" 11:.+((SYSTEM_STATE.+slice.+state.+changed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310-23 --locoid 4045 --swversion DE.1.0.8.0 --startMP 300:23160 --initTime 2017-01-23T04:14:40 --startdatetime 2017-01-23T04:19:05 --delay 4 --endMP 204:156 --enddatetime 2017-01-23T04:34:51 --enforcementcount 0 &gt;&gt;C:\Users\stu\Documents\GitHub\eaglep3-reporting\EC\2017-01-23-refined-times.txt</v>
      </c>
      <c r="AI212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{"issue":{"subject":"","project_id":79,"tracker_id":40,"status_id":1,"priority_id":2,"assigned_to_id":23,"start_date":"2017-01-23","description":"","custom_fields":[{"id":1,"name":"Subdivision","value":"Other"},{"id":4,"name":"Milepost","value":"0.0156"},{"id":17,"name":"Train ID","value":"310-23"},{"id":16,"name":"Locomotive ID","value":"4045"},{"id":130,"name":"Impact","value":""},{"id":150,"name":"Time of Event (Mountain Time)","value":"04:34:51"},{"id":151,"name":"Denver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4"/>
        <v>start /low /b %USERPROFILE%\Documents\GitHub\eaglep3\Utilities\DownloadLogsFromS3.py --loco 4045 --day 2017-01-23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</row>
    <row r="213" spans="1:91" x14ac:dyDescent="0.25">
      <c r="A213" s="34" t="s">
        <v>668</v>
      </c>
      <c r="B213" s="7">
        <v>4011</v>
      </c>
      <c r="C213" s="22" t="s">
        <v>196</v>
      </c>
      <c r="D213" s="22" t="s">
        <v>399</v>
      </c>
      <c r="E213" s="13">
        <v>42759.053113425929</v>
      </c>
      <c r="F213" s="13">
        <v>42759.054467592592</v>
      </c>
      <c r="G213" s="7">
        <v>1</v>
      </c>
      <c r="H213" s="22" t="s">
        <v>743</v>
      </c>
      <c r="I213" s="13">
        <v>42759.059918981482</v>
      </c>
      <c r="J213" s="7">
        <v>0</v>
      </c>
      <c r="K213" s="105" t="str">
        <f t="shared" si="57"/>
        <v>4011/4012</v>
      </c>
      <c r="L213" s="22" t="str">
        <f>VLOOKUP(A213,'Trips&amp;Operators'!$C$1:$G$99999,5,FALSE)</f>
        <v>SMITH MICHAEL</v>
      </c>
      <c r="M213" s="6">
        <f t="shared" si="58"/>
        <v>5.4513888899236917E-3</v>
      </c>
      <c r="N213" s="7">
        <f t="shared" si="59"/>
        <v>7.8500000014901161</v>
      </c>
      <c r="O213" s="7"/>
      <c r="P213" s="7"/>
      <c r="Q213" s="23"/>
      <c r="R213" s="23"/>
      <c r="S213" s="32">
        <f t="shared" si="60"/>
        <v>1</v>
      </c>
      <c r="T213" s="47" t="str">
        <f t="shared" si="61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62"/>
        <v>https://d0f6bd738d7f1b3e5a7ca70fe4ff75f0.us-east-1.aws.found.io/app/kibana#/discover/Steve-Slow-Train-Analysis-(2080s-and-2083s)?_g=(refreshInterval:(display:Off,pause:!f,section:0,value:0),time:(from:'2017-01-24T00:16:29-0700',mode:absolute,to:'2017-01-24T02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49" t="str">
        <f t="shared" si="63"/>
        <v>Y</v>
      </c>
      <c r="X213" s="170">
        <f t="shared" si="64"/>
        <v>1</v>
      </c>
      <c r="Y213" s="64">
        <f t="shared" si="65"/>
        <v>4.9500000000000002E-2</v>
      </c>
      <c r="Z213" s="64">
        <f t="shared" si="66"/>
        <v>2.2765</v>
      </c>
      <c r="AA213" s="64">
        <f t="shared" si="67"/>
        <v>2.2269999999999999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68"/>
        <v>0311-23</v>
      </c>
      <c r="AE213" s="87" t="str">
        <f t="shared" si="69"/>
        <v>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 &amp; 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</v>
      </c>
      <c r="AF213" s="84" t="str">
        <f t="shared" si="70"/>
        <v>"C:\Program Files (x86)\AstroGrep\AstroGrep.exe" /spath="%USERPROFILE%\AppData\Local\Temp\OnboardLogs" /stypes="app*4011*20170124*" /stext=" 08:.+((SYSTEM_STATE.+slice.+state.+changed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311-23 --locoid 4011 --swversion DE.1.0.8.0 --startMP 204:495 --initTime 2017-01-24T01:16:29 --startdatetime 2017-01-24T01:18:26 --delay 1 --endMP 300:22765 --enddatetime 2017-01-24T01:26:17 --enforcementcount 0 &gt;&gt;C:\Users\stu\Documents\GitHub\eaglep3-reporting\EC\2017-01-23-refined-times.txt</v>
      </c>
      <c r="AI213" s="115" t="str">
        <f t="shared" si="73"/>
        <v>echo {"issue":{"subject":"","project_id":79,"tracker_id":40,"status_id":1,"priority_id":2,"assigned_to_id":23,"start_date":"2017-01-24","description":"","custom_fields":[{"id":1,"name":"Subdivision","value":"Other"},{"id":4,"name":"Milepost","value":"2.2765"},{"id":17,"name":"Train ID","value":"311-23"},{"id":16,"name":"Locomotive ID","value":"4011"},{"id":130,"name":"Impact","value":""},{"id":150,"name":"Time of Event (Mountain Time)","value":"01:26:17"},{"id":151,"name":"Denver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4"/>
        <v>start /low /b %USERPROFILE%\Documents\GitHub\eaglep3\Utilities\DownloadLogsFromS3.py --loco 4011 --day 2017-01-24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</row>
    <row r="214" spans="1:91" x14ac:dyDescent="0.25">
      <c r="A214" s="34" t="s">
        <v>670</v>
      </c>
      <c r="B214" s="7">
        <v>4029</v>
      </c>
      <c r="C214" s="22" t="s">
        <v>196</v>
      </c>
      <c r="D214" s="22" t="s">
        <v>399</v>
      </c>
      <c r="E214" s="13">
        <v>42759.067708333336</v>
      </c>
      <c r="F214" s="13">
        <v>25568.708333333332</v>
      </c>
      <c r="G214" s="7">
        <v>1</v>
      </c>
      <c r="H214" s="22" t="s">
        <v>421</v>
      </c>
      <c r="I214" s="13">
        <v>25568.708333333332</v>
      </c>
      <c r="J214" s="7">
        <v>0</v>
      </c>
      <c r="K214" s="105" t="str">
        <f t="shared" si="57"/>
        <v>4029/4030</v>
      </c>
      <c r="L214" s="22" t="str">
        <f>VLOOKUP(A214,'Trips&amp;Operators'!$C$1:$G$99999,5,FALSE)</f>
        <v>STAMBAUGH JAMES</v>
      </c>
      <c r="M214" s="6">
        <f t="shared" si="58"/>
        <v>0</v>
      </c>
      <c r="N214" s="7">
        <f t="shared" si="59"/>
        <v>0</v>
      </c>
      <c r="O214" s="7"/>
      <c r="P214" s="7"/>
      <c r="Q214" s="23"/>
      <c r="R214" s="23"/>
      <c r="S214" s="32">
        <f t="shared" si="60"/>
        <v>1</v>
      </c>
      <c r="T214" s="47" t="str">
        <f t="shared" si="61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62"/>
        <v>https://d0f6bd738d7f1b3e5a7ca70fe4ff75f0.us-east-1.aws.found.io/app/kibana#/discover/Steve-Slow-Train-Analysis-(2080s-and-2083s)?_g=(refreshInterval:(display:Off,pause:!f,section:0,value:0),time:(from:'2017-01-24T00:37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49" t="str">
        <f t="shared" si="63"/>
        <v>Y</v>
      </c>
      <c r="X214" s="170">
        <f t="shared" si="64"/>
        <v>2</v>
      </c>
      <c r="Y214" s="64">
        <f t="shared" si="65"/>
        <v>4.9500000000000002E-2</v>
      </c>
      <c r="Z214" s="64">
        <f t="shared" si="66"/>
        <v>2.3306</v>
      </c>
      <c r="AA214" s="64">
        <f t="shared" si="67"/>
        <v>2.2810999999999999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68"/>
        <v>0313-23</v>
      </c>
      <c r="AE214" s="87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4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313-23 --locoid 4029 --swversion DE.1.0.8.0 --startMP 204:495 --initTime 2017-01-24T01:37:30 --startdatetime 1969-12-31T17:00:00 --delay 1 --endMP 300:23306 --enddatetime 1969-12-31T17:00:00 --enforcementcount 0 &gt;&gt;C:\Users\stu\Documents\GitHub\eaglep3-reporting\EC\2017-01-23-refined-times.txt</v>
      </c>
      <c r="AI21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4"/>
        <v>start /low /b %USERPROFILE%\Documents\GitHub\eaglep3\Utilities\DownloadLogsFromS3.py --loco 4029 --day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2017-01-23-UncaughtWiMAX.txt</v>
      </c>
    </row>
    <row r="215" spans="1:91" s="21" customFormat="1" x14ac:dyDescent="0.25">
      <c r="A215" s="34" t="s">
        <v>385</v>
      </c>
      <c r="B215" s="7">
        <v>4007</v>
      </c>
      <c r="C215" s="22" t="s">
        <v>196</v>
      </c>
      <c r="D215" s="22" t="s">
        <v>422</v>
      </c>
      <c r="E215" s="13">
        <v>42758.088437500002</v>
      </c>
      <c r="F215" s="13">
        <v>25568.708333333332</v>
      </c>
      <c r="G215" s="7">
        <v>1</v>
      </c>
      <c r="H215" s="22" t="s">
        <v>271</v>
      </c>
      <c r="I215" s="13">
        <v>25568.708333333332</v>
      </c>
      <c r="J215" s="7">
        <v>0</v>
      </c>
      <c r="K215" s="105" t="str">
        <f t="shared" si="57"/>
        <v>4007/4008</v>
      </c>
      <c r="L215" s="22" t="str">
        <f>VLOOKUP(A215,'Trips&amp;Operators'!$C$1:$G$99999,5,FALSE)</f>
        <v>STAMBAUGH JAMES</v>
      </c>
      <c r="M215" s="6">
        <f t="shared" si="58"/>
        <v>0</v>
      </c>
      <c r="N215" s="7">
        <f t="shared" si="59"/>
        <v>0</v>
      </c>
      <c r="O215" s="7"/>
      <c r="P215" s="7"/>
      <c r="Q215" s="23"/>
      <c r="R215" s="23"/>
      <c r="S215" s="32">
        <f t="shared" si="60"/>
        <v>1</v>
      </c>
      <c r="T215" s="47" t="str">
        <f t="shared" si="61"/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49" t="str">
        <f t="shared" si="63"/>
        <v>Y</v>
      </c>
      <c r="X215" s="170">
        <f t="shared" si="64"/>
        <v>2</v>
      </c>
      <c r="Y215" s="64">
        <f t="shared" si="65"/>
        <v>5.0200000000000002E-2</v>
      </c>
      <c r="Z215" s="64">
        <f t="shared" si="66"/>
        <v>2.3346</v>
      </c>
      <c r="AA215" s="64">
        <f t="shared" si="67"/>
        <v>2.2844000000000002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68"/>
        <v>0315-22</v>
      </c>
      <c r="AE215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5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315-22 --locoid 4007 --swversion DE.1.0.8.0 --startMP 204:502 --initTime 2017-01-23T02:07:21 --startdatetime 1969-12-31T17:00:00 --delay 1 --endMP 300:23346 --enddatetime 1969-12-31T17:00:00 --enforcementcount 0 &gt;&gt;C:\Users\stu\Documents\GitHub\eaglep3-reporting\EC\2017-01-23-refined-times.txt</v>
      </c>
      <c r="AI215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4"/>
        <v>start /low /b %USERPROFILE%\Documents\GitHub\eaglep3\Utilities\DownloadLogsFromS3.py --loco 4007 --day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2017-01-23-UncaughtWiMAX.txt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4" t="s">
        <v>385</v>
      </c>
      <c r="B216" s="7">
        <v>4007</v>
      </c>
      <c r="C216" s="22" t="s">
        <v>196</v>
      </c>
      <c r="D216" s="22" t="s">
        <v>421</v>
      </c>
      <c r="E216" s="13">
        <v>42758.088437500002</v>
      </c>
      <c r="F216" s="13">
        <v>25568.708333333332</v>
      </c>
      <c r="G216" s="7">
        <v>9</v>
      </c>
      <c r="H216" s="22" t="s">
        <v>271</v>
      </c>
      <c r="I216" s="13">
        <v>25568.708333333332</v>
      </c>
      <c r="J216" s="7">
        <v>0</v>
      </c>
      <c r="K216" s="105" t="str">
        <f t="shared" si="57"/>
        <v>4007/4008</v>
      </c>
      <c r="L216" s="22" t="str">
        <f>VLOOKUP(A216,'Trips&amp;Operators'!$C$1:$G$99999,5,FALSE)</f>
        <v>STAMBAUGH JAMES</v>
      </c>
      <c r="M216" s="6">
        <f t="shared" si="58"/>
        <v>0</v>
      </c>
      <c r="N216" s="7">
        <f t="shared" si="59"/>
        <v>0</v>
      </c>
      <c r="O216" s="7"/>
      <c r="P216" s="7"/>
      <c r="Q216" s="23"/>
      <c r="R216" s="23"/>
      <c r="S216" s="32">
        <f t="shared" si="60"/>
        <v>0</v>
      </c>
      <c r="T216" s="47" t="str">
        <f t="shared" si="61"/>
        <v>NorthBound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6" s="49" t="str">
        <f t="shared" si="63"/>
        <v>Y</v>
      </c>
      <c r="X216" s="170">
        <f t="shared" si="64"/>
        <v>0</v>
      </c>
      <c r="Y216" s="64">
        <f t="shared" si="65"/>
        <v>2.3306</v>
      </c>
      <c r="Z216" s="64">
        <f t="shared" si="66"/>
        <v>2.3346</v>
      </c>
      <c r="AA216" s="64">
        <f t="shared" si="67"/>
        <v>4.0000000000000036E-3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68"/>
        <v>0315-22</v>
      </c>
      <c r="AE216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6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315-22 --locoid 4007 --swversion DE.1.0.8.0 --startMP 300:23306 --initTime 2017-01-23T02:07:21 --startdatetime 1969-12-31T17:00:00 --delay 9 --endMP 300:23346 --enddatetime 1969-12-31T17:00:00 --enforcementcount 0 &gt;&gt;C:\Users\stu\Documents\GitHub\eaglep3-reporting\EC\2017-01-23-refined-times.txt</v>
      </c>
      <c r="AI21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4"/>
        <v>start /low /b %USERPROFILE%\Documents\GitHub\eaglep3\Utilities\DownloadLogsFromS3.py --loco 4007 --day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2017-01-23-UncaughtWiMAX.txt</v>
      </c>
    </row>
    <row r="217" spans="1:91" s="21" customFormat="1" x14ac:dyDescent="0.25">
      <c r="A217" s="34" t="s">
        <v>671</v>
      </c>
      <c r="B217" s="7">
        <v>4022</v>
      </c>
      <c r="C217" s="22" t="s">
        <v>196</v>
      </c>
      <c r="D217" s="22" t="s">
        <v>398</v>
      </c>
      <c r="E217" s="13">
        <v>42759.089502314811</v>
      </c>
      <c r="F217" s="13">
        <v>25568.708333333332</v>
      </c>
      <c r="G217" s="7">
        <v>2</v>
      </c>
      <c r="H217" s="22" t="s">
        <v>284</v>
      </c>
      <c r="I217" s="13">
        <v>25568.708333333332</v>
      </c>
      <c r="J217" s="7">
        <v>0</v>
      </c>
      <c r="K217" s="105" t="str">
        <f t="shared" si="57"/>
        <v>4021/4022</v>
      </c>
      <c r="L217" s="22" t="str">
        <f>VLOOKUP(A217,'Trips&amp;Operators'!$C$1:$G$99999,5,FALSE)</f>
        <v>STORY SAMANTHA</v>
      </c>
      <c r="M217" s="6">
        <f t="shared" si="58"/>
        <v>0</v>
      </c>
      <c r="N217" s="7">
        <f t="shared" si="59"/>
        <v>0</v>
      </c>
      <c r="O217" s="7"/>
      <c r="P217" s="7"/>
      <c r="Q217" s="23"/>
      <c r="R217" s="23"/>
      <c r="S217" s="32">
        <f t="shared" si="60"/>
        <v>1</v>
      </c>
      <c r="T217" s="47" t="str">
        <f t="shared" si="61"/>
        <v>NorthBound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62"/>
        <v>https://d0f6bd738d7f1b3e5a7ca70fe4ff75f0.us-east-1.aws.found.io/app/kibana#/discover/Steve-Slow-Train-Analysis-(2080s-and-2083s)?_g=(refreshInterval:(display:Off,pause:!f,section:0,value:0),time:(from:'2017-01-24T01:08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49" t="str">
        <f t="shared" si="63"/>
        <v>Y</v>
      </c>
      <c r="X217" s="170">
        <f t="shared" si="64"/>
        <v>0</v>
      </c>
      <c r="Y217" s="64">
        <f t="shared" si="65"/>
        <v>4.3099999999999999E-2</v>
      </c>
      <c r="Z217" s="64">
        <f t="shared" si="66"/>
        <v>2.3302</v>
      </c>
      <c r="AA217" s="64">
        <f t="shared" si="67"/>
        <v>2.2871000000000001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68"/>
        <v>0315-23</v>
      </c>
      <c r="AE217" s="87" t="str">
        <f t="shared" si="6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4" t="str">
        <f t="shared" si="7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315-23 --locoid 4022 --swversion DE.1.0.8.0 --startMP 204:431 --initTime 2017-01-24T02:08:53 --startdatetime 1969-12-31T17:00:00 --delay 2 --endMP 300:23302 --enddatetime 1969-12-31T17:00:00 --enforcementcount 0 &gt;&gt;C:\Users\stu\Documents\GitHub\eaglep3-reporting\EC\2017-01-23-refined-times.txt</v>
      </c>
      <c r="AI21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ID","value":"315-23"},{"id":16,"name":"Locomotive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4"/>
        <v>start /low /b %USERPROFILE%\Documents\GitHub\eaglep3\Utilities\DownloadLogsFromS3.py --loco 4022 --day 1969-12-31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2017-01-23-UncaughtWiMAX.txt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428</v>
      </c>
      <c r="B218" s="7">
        <v>4040</v>
      </c>
      <c r="C218" s="22" t="s">
        <v>196</v>
      </c>
      <c r="D218" s="22" t="s">
        <v>820</v>
      </c>
      <c r="E218" s="13">
        <v>42758.208518518521</v>
      </c>
      <c r="F218" s="13">
        <v>42758.209699074076</v>
      </c>
      <c r="G218" s="7">
        <v>1</v>
      </c>
      <c r="H218" s="22" t="s">
        <v>821</v>
      </c>
      <c r="I218" s="13">
        <v>42758.215879629628</v>
      </c>
      <c r="J218" s="7">
        <v>0</v>
      </c>
      <c r="K218" s="105" t="str">
        <f t="shared" si="57"/>
        <v>4039/4040</v>
      </c>
      <c r="L218" s="22" t="str">
        <f>VLOOKUP(A218,'Trips&amp;Operators'!$C$1:$G$99999,5,FALSE)</f>
        <v>DAVIS WENDY</v>
      </c>
      <c r="M218" s="6">
        <f t="shared" si="58"/>
        <v>6.1805555524188094E-3</v>
      </c>
      <c r="N218" s="7">
        <f t="shared" si="59"/>
        <v>8.8999999954830855</v>
      </c>
      <c r="O218" s="7"/>
      <c r="P218" s="7"/>
      <c r="Q218" s="23"/>
      <c r="R218" s="23"/>
      <c r="S218" s="32">
        <f t="shared" si="60"/>
        <v>0</v>
      </c>
      <c r="T218" s="47" t="str">
        <f t="shared" si="61"/>
        <v>NorthBound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d0f6bd738d7f1b3e5a7ca70fe4ff75f0.us-east-1.aws.found.io/app/kibana#/discover/Steve-Slow-Train-Analysis-(2080s-and-2083s)?_g=(refreshInterval:(display:Off,pause:!f,section:0,value:0),time:(from:'2017-01-23T04:00:16-0700',mode:absolute,to:'2017-01-23T06:10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49" t="str">
        <f t="shared" si="63"/>
        <v>Y</v>
      </c>
      <c r="X218" s="170">
        <f t="shared" si="64"/>
        <v>586</v>
      </c>
      <c r="Y218" s="64">
        <f t="shared" si="65"/>
        <v>3.0265</v>
      </c>
      <c r="Z218" s="64">
        <f t="shared" si="66"/>
        <v>5.9001000000000001</v>
      </c>
      <c r="AA218" s="64">
        <f t="shared" si="67"/>
        <v>2.8736000000000002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68"/>
        <v>0901-23</v>
      </c>
      <c r="AE218" s="87" t="str">
        <f t="shared" si="69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218" s="84" t="str">
        <f t="shared" si="70"/>
        <v>"C:\Program Files (x86)\AstroGrep\AstroGrep.exe" /spath="%USERPROFILE%\AppData\Local\Temp\OnboardLogs" /stypes="app*4040*20170123*" /stext=" 12:.+((SYSTEM_STATE.+slice.+state.+changed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901-23 --locoid 4040 --swversion DE.1.0.8.0 --startMP 300:30265 --initTime 2017-01-23T05:00:16 --startdatetime 2017-01-23T05:01:58 --delay 1 --endMP 300:59001 --enddatetime 2017-01-23T05:10:52 --enforcementcount 0 &gt;&gt;C:\Users\stu\Documents\GitHub\eaglep3-reporting\EC\2017-01-23-refined-times.txt</v>
      </c>
      <c r="AI21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{"issue":{"subject":"","project_id":79,"tracker_id":40,"status_id":1,"priority_id":2,"assigned_to_id":23,"start_date":"2017-01-23","description":"","custom_fields":[{"id":1,"name":"Subdivision","value":"Other"},{"id":4,"name":"Milepost","value":"5.9001"},{"id":17,"name":"Train ID","value":"901-23"},{"id":16,"name":"Locomotive ID","value":"4040"},{"id":130,"name":"Impact","value":""},{"id":150,"name":"Time of Event (Mountain Time)","value":"05:10:52"},{"id":151,"name":"Denver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4"/>
        <v>start /low /b %USERPROFILE%\Documents\GitHub\eaglep3\Utilities\DownloadLogsFromS3.py --loco 4040 --day 2017-01-23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219" spans="1:91" x14ac:dyDescent="0.25">
      <c r="A219" s="34" t="s">
        <v>482</v>
      </c>
      <c r="B219" s="7">
        <v>4001</v>
      </c>
      <c r="C219" s="22" t="s">
        <v>196</v>
      </c>
      <c r="D219" s="22" t="s">
        <v>822</v>
      </c>
      <c r="E219" s="13">
        <v>42758.245509259257</v>
      </c>
      <c r="F219" s="13">
        <v>42758.24690972222</v>
      </c>
      <c r="G219" s="7">
        <v>1</v>
      </c>
      <c r="H219" s="22" t="s">
        <v>823</v>
      </c>
      <c r="I219" s="13">
        <v>42758.253425925926</v>
      </c>
      <c r="J219" s="7">
        <v>0</v>
      </c>
      <c r="K219" s="105" t="str">
        <f t="shared" si="57"/>
        <v>4001/4002</v>
      </c>
      <c r="L219" s="22" t="str">
        <f>VLOOKUP(A219,'Trips&amp;Operators'!$C$1:$G$99999,5,FALSE)</f>
        <v>MOSES BRADLEY</v>
      </c>
      <c r="M219" s="6">
        <f t="shared" si="58"/>
        <v>6.5162037062691525E-3</v>
      </c>
      <c r="N219" s="7">
        <f t="shared" si="59"/>
        <v>9.3833333370275795</v>
      </c>
      <c r="O219" s="7"/>
      <c r="P219" s="7"/>
      <c r="Q219" s="23"/>
      <c r="R219" s="23"/>
      <c r="S219" s="32">
        <f t="shared" si="60"/>
        <v>1</v>
      </c>
      <c r="T219" s="47" t="str">
        <f t="shared" si="61"/>
        <v>Southbound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62"/>
        <v>https://d0f6bd738d7f1b3e5a7ca70fe4ff75f0.us-east-1.aws.found.io/app/kibana#/discover/Steve-Slow-Train-Analysis-(2080s-and-2083s)?_g=(refreshInterval:(display:Off,pause:!f,section:0,value:0),time:(from:'2017-01-23T04:53:32-0700',mode:absolute,to:'2017-01-23T07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49" t="str">
        <f t="shared" si="63"/>
        <v>Y</v>
      </c>
      <c r="X219" s="170">
        <f t="shared" si="64"/>
        <v>1</v>
      </c>
      <c r="Y219" s="64">
        <f t="shared" si="65"/>
        <v>2.3414999999999999</v>
      </c>
      <c r="Z219" s="64">
        <f t="shared" si="66"/>
        <v>6.9900000000000004E-2</v>
      </c>
      <c r="AA219" s="64">
        <f t="shared" si="67"/>
        <v>2.2715999999999998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68"/>
        <v>0902-23</v>
      </c>
      <c r="AE219" s="87" t="str">
        <f t="shared" si="69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19" s="84" t="str">
        <f t="shared" si="70"/>
        <v>"C:\Program Files (x86)\AstroGrep\AstroGrep.exe" /spath="%USERPROFILE%\AppData\Local\Temp\OnboardLogs" /stypes="app*4001*20170123*" /stext=" 13:.+((SYSTEM_STATE.+slice.+state.+changed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8" t="str">
        <f t="shared" si="72"/>
        <v>"%USERPROFILE%\Documents\GitHub\eaglep3\Utilities\RefineRTDCRunTimes.py" --tripid 902-23 --locoid 4001 --swversion DE.1.0.8.0 --startMP 300:23415 --initTime 2017-01-23T05:53:32 --startdatetime 2017-01-23T05:55:33 --delay 1 --endMP 204:699 --enddatetime 2017-01-23T06:04:56 --enforcementcount 0 &gt;&gt;C:\Users\stu\Documents\GitHub\eaglep3-reporting\EC\2017-01-23-refined-times.txt</v>
      </c>
      <c r="AI21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{"issue":{"subject":"","project_id":79,"tracker_id":40,"status_id":1,"priority_id":2,"assigned_to_id":23,"start_date":"2017-01-23","description":"","custom_fields":[{"id":1,"name":"Subdivision","value":"Other"},{"id":4,"name":"Milepost","value":"0.0699"},{"id":17,"name":"Train ID","value":"902-23"},{"id":16,"name":"Locomotive ID","value":"4001"},{"id":130,"name":"Impact","value":""},{"id":150,"name":"Time of Event (Mountain Time)","value":"06:04:56"},{"id":151,"name":"Denver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4"/>
        <v>start /low /b %USERPROFILE%\Documents\GitHub\eaglep3\Utilities\DownloadLogsFromS3.py --loco 4001 --day 2017-01-23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220" spans="1:91" x14ac:dyDescent="0.25">
      <c r="A220" s="34" t="s">
        <v>510</v>
      </c>
      <c r="B220" s="7">
        <v>4040</v>
      </c>
      <c r="C220" s="22" t="s">
        <v>196</v>
      </c>
      <c r="D220" s="22" t="s">
        <v>414</v>
      </c>
      <c r="E220" s="13">
        <v>42758.353854166664</v>
      </c>
      <c r="F220" s="13">
        <v>42758.35528935185</v>
      </c>
      <c r="G220" s="7">
        <v>1</v>
      </c>
      <c r="H220" s="22" t="s">
        <v>824</v>
      </c>
      <c r="I220" s="13">
        <v>42758.363136574073</v>
      </c>
      <c r="J220" s="7">
        <v>0</v>
      </c>
      <c r="K220" s="105" t="str">
        <f t="shared" si="57"/>
        <v>4039/4040</v>
      </c>
      <c r="L220" s="22" t="str">
        <f>VLOOKUP(A220,'Trips&amp;Operators'!$C$1:$G$99999,5,FALSE)</f>
        <v>DAVIS WENDY</v>
      </c>
      <c r="M220" s="6">
        <f t="shared" si="58"/>
        <v>7.8472222230629995E-3</v>
      </c>
      <c r="N220" s="7">
        <f t="shared" si="59"/>
        <v>11.300000001210719</v>
      </c>
      <c r="O220" s="7"/>
      <c r="P220" s="7"/>
      <c r="Q220" s="23"/>
      <c r="R220" s="23"/>
      <c r="S220" s="32">
        <f t="shared" si="60"/>
        <v>1</v>
      </c>
      <c r="T220" s="47" t="str">
        <f t="shared" si="61"/>
        <v>NorthBound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62"/>
        <v>https://d0f6bd738d7f1b3e5a7ca70fe4ff75f0.us-east-1.aws.found.io/app/kibana#/discover/Steve-Slow-Train-Analysis-(2080s-and-2083s)?_g=(refreshInterval:(display:Off,pause:!f,section:0,value:0),time:(from:'2017-01-23T07:29:33-0700',mode:absolute,to:'2017-01-23T09:42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0" s="49" t="str">
        <f t="shared" si="63"/>
        <v>Y</v>
      </c>
      <c r="X220" s="170">
        <f t="shared" si="64"/>
        <v>1</v>
      </c>
      <c r="Y220" s="64">
        <f t="shared" si="65"/>
        <v>9.6199999999999994E-2</v>
      </c>
      <c r="Z220" s="64">
        <f t="shared" si="66"/>
        <v>2.5455000000000001</v>
      </c>
      <c r="AA220" s="64">
        <f t="shared" si="67"/>
        <v>2.4493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68"/>
        <v>0903-23</v>
      </c>
      <c r="AE220" s="87" t="str">
        <f t="shared" si="69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220" s="84" t="str">
        <f t="shared" si="70"/>
        <v>"C:\Program Files (x86)\AstroGrep\AstroGrep.exe" /spath="%USERPROFILE%\AppData\Local\Temp\OnboardLogs" /stypes="app*4040*20170123*" /stext=" 15:.+((SYSTEM_STATE.+slice.+state.+changed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8" t="str">
        <f t="shared" si="72"/>
        <v>"%USERPROFILE%\Documents\GitHub\eaglep3\Utilities\RefineRTDCRunTimes.py" --tripid 903-23 --locoid 4040 --swversion DE.1.0.8.0 --startMP 204:962 --initTime 2017-01-23T08:29:33 --startdatetime 2017-01-23T08:31:37 --delay 1 --endMP 300:25455 --enddatetime 2017-01-23T08:42:55 --enforcementcount 0 &gt;&gt;C:\Users\stu\Documents\GitHub\eaglep3-reporting\EC\2017-01-23-refined-times.txt</v>
      </c>
      <c r="AI220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{"issue":{"subject":"","project_id":79,"tracker_id":40,"status_id":1,"priority_id":2,"assigned_to_id":23,"start_date":"2017-01-23","description":"","custom_fields":[{"id":1,"name":"Subdivision","value":"Other"},{"id":4,"name":"Milepost","value":"2.5455"},{"id":17,"name":"Train ID","value":"903-23"},{"id":16,"name":"Locomotive ID","value":"4040"},{"id":130,"name":"Impact","value":""},{"id":150,"name":"Time of Event (Mountain Time)","value":"08:42:55"},{"id":151,"name":"Denver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74"/>
        <v>start /low /b %USERPROFILE%\Documents\GitHub\eaglep3\Utilities\DownloadLogsFromS3.py --loco 4040 --day 2017-01-23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221" spans="1:91" x14ac:dyDescent="0.25">
      <c r="A221" s="34" t="s">
        <v>587</v>
      </c>
      <c r="B221" s="7">
        <v>4039</v>
      </c>
      <c r="C221" s="22" t="s">
        <v>196</v>
      </c>
      <c r="D221" s="22" t="s">
        <v>825</v>
      </c>
      <c r="E221" s="13">
        <v>42758.636296296296</v>
      </c>
      <c r="F221" s="13">
        <v>42758.638159722221</v>
      </c>
      <c r="G221" s="7">
        <v>2</v>
      </c>
      <c r="H221" s="22" t="s">
        <v>803</v>
      </c>
      <c r="I221" s="13">
        <v>42758.643553240741</v>
      </c>
      <c r="J221" s="7">
        <v>0</v>
      </c>
      <c r="K221" s="105" t="str">
        <f t="shared" si="57"/>
        <v>4039/4040</v>
      </c>
      <c r="L221" s="22" t="str">
        <f>VLOOKUP(A221,'Trips&amp;Operators'!$C$1:$G$99999,5,FALSE)</f>
        <v>NEWELL JAMES</v>
      </c>
      <c r="M221" s="6">
        <f t="shared" si="58"/>
        <v>5.393518520577345E-3</v>
      </c>
      <c r="N221" s="7">
        <f t="shared" si="59"/>
        <v>7.7666666696313769</v>
      </c>
      <c r="O221" s="7"/>
      <c r="P221" s="7"/>
      <c r="Q221" s="23"/>
      <c r="R221" s="23"/>
      <c r="S221" s="32">
        <f t="shared" si="60"/>
        <v>1</v>
      </c>
      <c r="T221" s="47" t="str">
        <f t="shared" si="61"/>
        <v>Southbound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62"/>
        <v>https://d0f6bd738d7f1b3e5a7ca70fe4ff75f0.us-east-1.aws.found.io/app/kibana#/discover/Steve-Slow-Train-Analysis-(2080s-and-2083s)?_g=(refreshInterval:(display:Off,pause:!f,section:0,value:0),time:(from:'2017-01-23T14:16:16-0700',mode:absolute,to:'2017-01-23T16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1" s="49" t="str">
        <f t="shared" si="63"/>
        <v>Y</v>
      </c>
      <c r="X221" s="170">
        <f t="shared" si="64"/>
        <v>1</v>
      </c>
      <c r="Y221" s="64">
        <f t="shared" si="65"/>
        <v>2.3161</v>
      </c>
      <c r="Z221" s="64">
        <f t="shared" si="66"/>
        <v>6.59E-2</v>
      </c>
      <c r="AA221" s="64">
        <f t="shared" si="67"/>
        <v>2.2502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68"/>
        <v>0904-23</v>
      </c>
      <c r="AE221" s="87" t="str">
        <f t="shared" si="69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221" s="84" t="str">
        <f t="shared" si="70"/>
        <v>"C:\Program Files (x86)\AstroGrep\AstroGrep.exe" /spath="%USERPROFILE%\AppData\Local\Temp\OnboardLogs" /stypes="app*4039*20170123*" /stext=" 22:.+((SYSTEM_STATE.+slice.+state.+changed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8" t="str">
        <f t="shared" si="72"/>
        <v>"%USERPROFILE%\Documents\GitHub\eaglep3\Utilities\RefineRTDCRunTimes.py" --tripid 904-23 --locoid 4039 --swversion DE.1.0.8.0 --startMP 300:23161 --initTime 2017-01-23T15:16:16 --startdatetime 2017-01-23T15:18:57 --delay 2 --endMP 204:659 --enddatetime 2017-01-23T15:26:43 --enforcementcount 0 &gt;&gt;C:\Users\stu\Documents\GitHub\eaglep3-reporting\EC\2017-01-23-refined-times.txt</v>
      </c>
      <c r="AI221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{"issue":{"subject":"","project_id":79,"tracker_id":40,"status_id":1,"priority_id":2,"assigned_to_id":23,"start_date":"2017-01-23","description":"","custom_fields":[{"id":1,"name":"Subdivision","value":"Other"},{"id":4,"name":"Milepost","value":"0.0659"},{"id":17,"name":"Train ID","value":"904-23"},{"id":16,"name":"Locomotive ID","value":"4039"},{"id":130,"name":"Impact","value":""},{"id":150,"name":"Time of Event (Mountain Time)","value":"15:26:43"},{"id":151,"name":"Denver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74"/>
        <v>start /low /b %USERPROFILE%\Documents\GitHub\eaglep3\Utilities\DownloadLogsFromS3.py --loco 4039 --day 2017-01-23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</row>
    <row r="222" spans="1:91" x14ac:dyDescent="0.25">
      <c r="A222" s="34" t="s">
        <v>636</v>
      </c>
      <c r="B222" s="7">
        <v>4039</v>
      </c>
      <c r="C222" s="22" t="s">
        <v>196</v>
      </c>
      <c r="D222" s="22" t="s">
        <v>826</v>
      </c>
      <c r="E222" s="13">
        <v>42758.796157407407</v>
      </c>
      <c r="F222" s="13">
        <v>25568.708333333332</v>
      </c>
      <c r="G222" s="7">
        <v>0</v>
      </c>
      <c r="H222" s="22" t="s">
        <v>827</v>
      </c>
      <c r="I222" s="13">
        <v>25568.708333333332</v>
      </c>
      <c r="J222" s="7">
        <v>0</v>
      </c>
      <c r="K222" s="105" t="str">
        <f t="shared" si="57"/>
        <v>4039/4040</v>
      </c>
      <c r="L222" s="22" t="str">
        <f>VLOOKUP(A222,'Trips&amp;Operators'!$C$1:$G$99999,5,FALSE)</f>
        <v>NEWELL JAMES</v>
      </c>
      <c r="M222" s="6">
        <f t="shared" si="58"/>
        <v>0</v>
      </c>
      <c r="N222" s="7">
        <f t="shared" si="59"/>
        <v>0</v>
      </c>
      <c r="O222" s="7"/>
      <c r="P222" s="7"/>
      <c r="Q222" s="23"/>
      <c r="R222" s="23"/>
      <c r="S222" s="32">
        <f t="shared" si="60"/>
        <v>0</v>
      </c>
      <c r="T222" s="47" t="str">
        <f t="shared" si="61"/>
        <v>Southbound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62"/>
        <v>https://d0f6bd738d7f1b3e5a7ca70fe4ff75f0.us-east-1.aws.found.io/app/kibana#/discover/Steve-Slow-Train-Analysis-(2080s-and-2083s)?_g=(refreshInterval:(display:Off,pause:!f,section:0,value:0),time:(from:'2017-01-23T18:06:28-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49" t="str">
        <f t="shared" si="63"/>
        <v>Y</v>
      </c>
      <c r="X222" s="170">
        <f t="shared" si="64"/>
        <v>2</v>
      </c>
      <c r="Y222" s="64">
        <f t="shared" si="65"/>
        <v>5.8605999999999998</v>
      </c>
      <c r="Z222" s="64">
        <f t="shared" si="66"/>
        <v>2.8751000000000002</v>
      </c>
      <c r="AA222" s="64">
        <f t="shared" si="67"/>
        <v>2.9854999999999996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68"/>
        <v>0906-23</v>
      </c>
      <c r="AE222" s="87" t="str">
        <f t="shared" si="69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22" s="84" t="str">
        <f t="shared" si="70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8" t="str">
        <f t="shared" si="72"/>
        <v>"%USERPROFILE%\Documents\GitHub\eaglep3\Utilities\RefineRTDCRunTimes.py" --tripid 906-23 --locoid 4039 --swversion DE.1.0.8.0 --startMP 300:58606 --initTime 2017-01-23T19:06:28 --startdatetime 1969-12-31T17:00:00 --delay 0 --endMP 300:28751 --enddatetime 1969-12-31T17:00:00 --enforcementcount 0 &gt;&gt;C:\Users\stu\Documents\GitHub\eaglep3-reporting\EC\2017-01-23-refined-times.txt</v>
      </c>
      <c r="AI222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{"issue":{"subject":"","project_id":79,"tracker_id":40,"status_id":1,"priority_id":2,"assigned_to_id":23,"start_date":"1969-12-31","description":"","custom_fields":[{"id":1,"name":"Subdivision","value":"Other"},{"id":4,"name":"Milepost","value":"2.8751"},{"id":17,"name":"Train ID","value":"906-23"},{"id":16,"name":"Locomotive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74"/>
        <v>start /low /b %USERPROFILE%\Documents\GitHub\eaglep3\Utilities\DownloadLogsFromS3.py --loco 4039 --day 1969-12-31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"%USERPROFILE%\AppData\Local\Temp\OnboardLogs"\RTDC4039\*4039*19700101* | grep -SE "(Enforcement Action)|(\[TIMEOUT)|(CHR.+\|PRM\|1\|D.+(SWITCH|SIGNAL).+UNKNOWN)" - &gt;&gt; 2017-01-23-UncaughtWiMAX.txt</v>
      </c>
    </row>
    <row r="223" spans="1:91" x14ac:dyDescent="0.25">
      <c r="A223" s="34" t="s">
        <v>660</v>
      </c>
      <c r="B223" s="7">
        <v>4001</v>
      </c>
      <c r="C223" s="22" t="s">
        <v>196</v>
      </c>
      <c r="D223" s="22" t="s">
        <v>793</v>
      </c>
      <c r="E223" s="13">
        <v>42758.942280092589</v>
      </c>
      <c r="F223" s="13">
        <v>42758.943379629629</v>
      </c>
      <c r="G223" s="7">
        <v>0</v>
      </c>
      <c r="H223" s="22" t="s">
        <v>828</v>
      </c>
      <c r="I223" s="13">
        <v>42758.947060185186</v>
      </c>
      <c r="J223" s="7">
        <v>0</v>
      </c>
      <c r="K223" s="105" t="str">
        <f t="shared" si="57"/>
        <v>4001/4002</v>
      </c>
      <c r="L223" s="22" t="str">
        <f>VLOOKUP(A223,'Trips&amp;Operators'!$C$1:$G$99999,5,FALSE)</f>
        <v>NEWELL JAMES</v>
      </c>
      <c r="M223" s="6">
        <f t="shared" si="58"/>
        <v>3.6805555573664606E-3</v>
      </c>
      <c r="N223" s="7">
        <f t="shared" si="59"/>
        <v>5.3000000026077032</v>
      </c>
      <c r="O223" s="7"/>
      <c r="P223" s="7"/>
      <c r="Q223" s="23"/>
      <c r="R223" s="23"/>
      <c r="S223" s="32">
        <f t="shared" si="60"/>
        <v>0</v>
      </c>
      <c r="T223" s="47" t="str">
        <f t="shared" si="61"/>
        <v>Southbound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2"/>
        <v>https://d0f6bd738d7f1b3e5a7ca70fe4ff75f0.us-east-1.aws.found.io/app/kibana#/discover/Steve-Slow-Train-Analysis-(2080s-and-2083s)?_g=(refreshInterval:(display:Off,pause:!f,section:0,value:0),time:(from:'2017-01-23T21:36:53-0700',mode:absolute,to:'2017-01-23T23:43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49" t="str">
        <f t="shared" si="63"/>
        <v>Y</v>
      </c>
      <c r="X223" s="170">
        <f t="shared" si="64"/>
        <v>2</v>
      </c>
      <c r="Y223" s="64">
        <f t="shared" si="65"/>
        <v>5.8615000000000004</v>
      </c>
      <c r="Z223" s="64">
        <f t="shared" si="66"/>
        <v>2.8043999999999998</v>
      </c>
      <c r="AA223" s="64">
        <f t="shared" si="67"/>
        <v>3.0571000000000006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68"/>
        <v>0908-23</v>
      </c>
      <c r="AE223" s="87" t="str">
        <f t="shared" si="69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23" s="84" t="str">
        <f t="shared" si="70"/>
        <v>"C:\Program Files (x86)\AstroGrep\AstroGrep.exe" /spath="%USERPROFILE%\AppData\Local\Temp\OnboardLogs" /stypes="app*4001*20170124*" /stext=" 05:.+((SYSTEM_STATE.+slice.+state.+changed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8" t="str">
        <f t="shared" si="72"/>
        <v>"%USERPROFILE%\Documents\GitHub\eaglep3\Utilities\RefineRTDCRunTimes.py" --tripid 908-23 --locoid 4001 --swversion DE.1.0.8.0 --startMP 300:58615 --initTime 2017-01-23T22:36:53 --startdatetime 2017-01-23T22:38:28 --delay 0 --endMP 300:28044 --enddatetime 2017-01-23T22:43:46 --enforcementcount 0 &gt;&gt;C:\Users\stu\Documents\GitHub\eaglep3-reporting\EC\2017-01-23-refined-times.txt</v>
      </c>
      <c r="AI223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{"issue":{"subject":"","project_id":79,"tracker_id":40,"status_id":1,"priority_id":2,"assigned_to_id":23,"start_date":"2017-01-23","description":"","custom_fields":[{"id":1,"name":"Subdivision","value":"Other"},{"id":4,"name":"Milepost","value":"2.8044"},{"id":17,"name":"Train ID","value":"908-23"},{"id":16,"name":"Locomotive ID","value":"4001"},{"id":130,"name":"Impact","value":""},{"id":150,"name":"Time of Event (Mountain Time)","value":"22:43:46"},{"id":151,"name":"Denver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74"/>
        <v>start /low /b %USERPROFILE%\Documents\GitHub\eaglep3\Utilities\DownloadLogsFromS3.py --loco 4001 --day 2017-01-23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224" spans="1:91" x14ac:dyDescent="0.25">
      <c r="A224" s="34" t="s">
        <v>539</v>
      </c>
      <c r="B224" s="7">
        <v>4041</v>
      </c>
      <c r="C224" s="22" t="s">
        <v>196</v>
      </c>
      <c r="D224" s="22" t="s">
        <v>423</v>
      </c>
      <c r="E224" s="13">
        <v>42758.455740740741</v>
      </c>
      <c r="F224" s="13">
        <v>42758.457071759258</v>
      </c>
      <c r="G224" s="7">
        <v>1</v>
      </c>
      <c r="H224" s="22" t="s">
        <v>744</v>
      </c>
      <c r="I224" s="13">
        <v>42758.462372685186</v>
      </c>
      <c r="J224" s="7">
        <v>0</v>
      </c>
      <c r="K224" s="105" t="str">
        <f t="shared" si="57"/>
        <v>4041/4042</v>
      </c>
      <c r="L224" s="22" t="str">
        <f>VLOOKUP(A224,'Trips&amp;Operators'!$C$1:$G$99999,5,FALSE)</f>
        <v>LALONDE GREGORY</v>
      </c>
      <c r="M224" s="6">
        <f t="shared" si="58"/>
        <v>5.3009259281679988E-3</v>
      </c>
      <c r="N224" s="7">
        <f t="shared" si="59"/>
        <v>7.6333333365619183</v>
      </c>
      <c r="O224" s="7"/>
      <c r="P224" s="7"/>
      <c r="Q224" s="23"/>
      <c r="R224" s="23"/>
      <c r="S224" s="32">
        <f t="shared" si="60"/>
        <v>0</v>
      </c>
      <c r="T224" s="47" t="e">
        <f t="shared" si="61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2"/>
        <v>https://d0f6bd738d7f1b3e5a7ca70fe4ff75f0.us-east-1.aws.found.io/app/kibana#/discover/Steve-Slow-Train-Analysis-(2080s-and-2083s)?_g=(refreshInterval:(display:Off,pause:!f,section:0,value:0),time:(from:'2017-01-23T09:56:16-0700',mode:absolute,to:'2017-01-23T12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49" t="str">
        <f t="shared" si="63"/>
        <v>Y</v>
      </c>
      <c r="X224" s="170" t="e">
        <f t="shared" si="64"/>
        <v>#VALUE!</v>
      </c>
      <c r="Y224" s="64">
        <f t="shared" si="65"/>
        <v>2.1960000000000002</v>
      </c>
      <c r="Z224" s="64">
        <f t="shared" si="66"/>
        <v>1.5299999999999999E-2</v>
      </c>
      <c r="AA224" s="64">
        <f t="shared" si="67"/>
        <v>2.1807000000000003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68"/>
        <v>50-23</v>
      </c>
      <c r="AE224" s="87" t="str">
        <f t="shared" si="69"/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AF224" s="84" t="str">
        <f t="shared" si="70"/>
        <v>"C:\Program Files (x86)\AstroGrep\AstroGrep.exe" /spath="%USERPROFILE%\AppData\Local\Temp\OnboardLogs" /stypes="app*4041*20170123*" /stext=" 18:.+((SYSTEM_STATE.+slice.+state.+changed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8" t="str">
        <f t="shared" si="72"/>
        <v>"%USERPROFILE%\Documents\GitHub\eaglep3\Utilities\RefineRTDCRunTimes.py" --tripid 50-23 --locoid 4041 --swversion DE.1.0.8.0 --startMP 300:21960 --initTime 2017-01-23T10:56:16 --startdatetime 2017-01-23T10:58:11 --delay 1 --endMP 204:153 --enddatetime 2017-01-23T11:05:49 --enforcementcount 0 &gt;&gt;C:\Users\stu\Documents\GitHub\eaglep3-reporting\EC\2017-01-23-refined-times.txt</v>
      </c>
      <c r="AI224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{"issue":{"subject":"","project_id":79,"tracker_id":40,"status_id":1,"priority_id":2,"assigned_to_id":23,"start_date":"2017-01-23","description":"","custom_fields":[{"id":1,"name":"Subdivision","value":"Other"},{"id":4,"name":"Milepost","value":"0.0153"},{"id":17,"name":"Train ID","value":"50-23"},{"id":16,"name":"Locomotive ID","value":"4041"},{"id":130,"name":"Impact","value":""},{"id":150,"name":"Time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74"/>
        <v>start /low /b %USERPROFILE%\Documents\GitHub\eaglep3\Utilities\DownloadLogsFromS3.py --loco 4041 --day 2017-01-23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"%USERPROFILE%\AppData\Local\Temp\OnboardLogs"\RTDC4041\*4041*20170123* | grep -SE "(Enforcement Action)|(\[TIMEOUT)|(CHR.+\|PRM\|1\|D.+(SWITCH|SIGNAL).+UNKNOWN)" - &gt;&gt; 2017-01-23-UncaughtWiMAX.txt</v>
      </c>
    </row>
    <row r="225" spans="1:40" x14ac:dyDescent="0.25">
      <c r="A225" s="34" t="s">
        <v>557</v>
      </c>
      <c r="B225" s="7">
        <v>4042</v>
      </c>
      <c r="C225" s="22" t="s">
        <v>196</v>
      </c>
      <c r="D225" s="22" t="s">
        <v>745</v>
      </c>
      <c r="E225" s="13">
        <v>42758.505312499998</v>
      </c>
      <c r="F225" s="13">
        <v>42758.506620370368</v>
      </c>
      <c r="G225" s="7">
        <v>1</v>
      </c>
      <c r="H225" s="22" t="s">
        <v>746</v>
      </c>
      <c r="I225" s="13">
        <v>42758.512175925927</v>
      </c>
      <c r="J225" s="7">
        <v>0</v>
      </c>
      <c r="K225" s="105" t="str">
        <f t="shared" si="57"/>
        <v>4041/4042</v>
      </c>
      <c r="L225" s="22" t="str">
        <f>VLOOKUP(A225,'Trips&amp;Operators'!$C$1:$G$99999,5,FALSE)</f>
        <v>YANAI IAN</v>
      </c>
      <c r="M225" s="6">
        <f t="shared" si="58"/>
        <v>5.5555555591126904E-3</v>
      </c>
      <c r="N225" s="7">
        <f t="shared" si="59"/>
        <v>8.0000000051222742</v>
      </c>
      <c r="O225" s="7"/>
      <c r="P225" s="7"/>
      <c r="Q225" s="23"/>
      <c r="R225" s="23"/>
      <c r="S225" s="32">
        <f t="shared" si="60"/>
        <v>0</v>
      </c>
      <c r="T225" s="47" t="e">
        <f t="shared" si="61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2"/>
        <v>https://d0f6bd738d7f1b3e5a7ca70fe4ff75f0.us-east-1.aws.found.io/app/kibana#/discover/Steve-Slow-Train-Analysis-(2080s-and-2083s)?_g=(refreshInterval:(display:Off,pause:!f,section:0,value:0),time:(from:'2017-01-23T11:07:39-0700',mode:absolute,to:'2017-01-23T13:17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5" s="49" t="str">
        <f t="shared" si="63"/>
        <v>Y</v>
      </c>
      <c r="X225" s="170" t="e">
        <f t="shared" si="64"/>
        <v>#VALUE!</v>
      </c>
      <c r="Y225" s="64">
        <f t="shared" si="65"/>
        <v>4.4999999999999998E-2</v>
      </c>
      <c r="Z225" s="64">
        <f t="shared" si="66"/>
        <v>2.4077999999999999</v>
      </c>
      <c r="AA225" s="64">
        <f t="shared" si="67"/>
        <v>2.3628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68"/>
        <v>51-23</v>
      </c>
      <c r="AE225" s="87" t="str">
        <f t="shared" si="69"/>
        <v>aws s3 cp s3://rtdc.mdm.uploadarchive.raw/RTDC4042/ "%USERPROFILE%\AppData\Local\Temp\OnboardLogs"\RTDC4042\2017-01-23 --exclude "*" --recursive --include "*20170123*" &amp; "%USERPROFILE%\Documents\GitHub\mrs-test-scripts\Headless Mode &amp; Sideloading\WalkAndUnGZ.bat" "%USERPROFILE%\AppData\Local\Temp\OnboardLogs"\RTDC4042\2017-01-23 &amp; 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</v>
      </c>
      <c r="AF225" s="84" t="str">
        <f t="shared" si="70"/>
        <v>"C:\Program Files (x86)\AstroGrep\AstroGrep.exe" /spath="%USERPROFILE%\AppData\Local\Temp\OnboardLogs" /stypes="app*4042*20170123*" /stext=" 19:.+((SYSTEM_STATE.+slice.+state.+changed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8" t="str">
        <f t="shared" si="72"/>
        <v>"%USERPROFILE%\Documents\GitHub\eaglep3\Utilities\RefineRTDCRunTimes.py" --tripid 51-23 --locoid 4042 --swversion DE.1.0.8.0 --startMP 204:450 --initTime 2017-01-23T12:07:39 --startdatetime 2017-01-23T12:09:32 --delay 1 --endMP 300:24078 --enddatetime 2017-01-23T12:17:32 --enforcementcount 0 &gt;&gt;C:\Users\stu\Documents\GitHub\eaglep3-reporting\EC\2017-01-23-refined-times.txt</v>
      </c>
      <c r="AI225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{"issue":{"subject":"","project_id":79,"tracker_id":40,"status_id":1,"priority_id":2,"assigned_to_id":23,"start_date":"2017-01-23","description":"","custom_fields":[{"id":1,"name":"Subdivision","value":"Other"},{"id":4,"name":"Milepost","value":"2.4078"},{"id":17,"name":"Train ID","value":"51-23"},{"id":16,"name":"Locomotive ID","value":"4042"},{"id":130,"name":"Impact","value":""},{"id":150,"name":"Time of Event (Mountain Time)","value":"12:17:32"},{"id":151,"name":"Denver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74"/>
        <v>start /low /b %USERPROFILE%\Documents\GitHub\eaglep3\Utilities\DownloadLogsFromS3.py --loco 4042 --day 2017-01-23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"%USERPROFILE%\AppData\Local\Temp\OnboardLogs"\RTDC4042\*4042*20170123* | grep -SE "(Enforcement Action)|(\[TIMEOUT)|(CHR.+\|PRM\|1\|D.+(SWITCH|SIGNAL).+UNKNOWN)" - &gt;&gt; 2017-01-23-UncaughtWiMAX.txt</v>
      </c>
    </row>
    <row r="226" spans="1:40" x14ac:dyDescent="0.25">
      <c r="A226" s="34" t="s">
        <v>437</v>
      </c>
      <c r="B226" s="7">
        <v>4004</v>
      </c>
      <c r="C226" s="22" t="s">
        <v>196</v>
      </c>
      <c r="D226" s="22" t="s">
        <v>747</v>
      </c>
      <c r="E226" s="13">
        <v>42758.467395833337</v>
      </c>
      <c r="F226" s="13">
        <v>42758.471759259257</v>
      </c>
      <c r="G226" s="7">
        <v>5</v>
      </c>
      <c r="H226" s="22" t="s">
        <v>748</v>
      </c>
      <c r="I226" s="13">
        <v>42758.477349537039</v>
      </c>
      <c r="J226" s="7">
        <v>0</v>
      </c>
      <c r="K226" s="105" t="str">
        <f t="shared" si="57"/>
        <v>4003/4004</v>
      </c>
      <c r="L226" s="22" t="str">
        <f>VLOOKUP(A226,'Trips&amp;Operators'!$C$1:$G$99999,5,FALSE)</f>
        <v>CRAYTON QUNTRELL</v>
      </c>
      <c r="M226" s="6">
        <f t="shared" si="58"/>
        <v>5.5902777821756899E-3</v>
      </c>
      <c r="N226" s="7">
        <f t="shared" si="59"/>
        <v>8.0500000063329935</v>
      </c>
      <c r="O226" s="7"/>
      <c r="P226" s="7"/>
      <c r="Q226" s="23"/>
      <c r="R226" s="23"/>
      <c r="S226" s="32">
        <f t="shared" si="60"/>
        <v>0</v>
      </c>
      <c r="T226" s="47" t="e">
        <f t="shared" si="61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62"/>
        <v>https://d0f6bd738d7f1b3e5a7ca70fe4ff75f0.us-east-1.aws.found.io/app/kibana#/discover/Steve-Slow-Train-Analysis-(2080s-and-2083s)?_g=(refreshInterval:(display:Off,pause:!f,section:0,value:0),time:(from:'2017-01-23T10:13:03-0700',mode:absolute,to:'2017-01-23T12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6" s="49" t="str">
        <f t="shared" si="63"/>
        <v>Y</v>
      </c>
      <c r="X226" s="170" t="e">
        <f t="shared" si="64"/>
        <v>#VALUE!</v>
      </c>
      <c r="Y226" s="64">
        <f t="shared" si="65"/>
        <v>2.1564000000000001</v>
      </c>
      <c r="Z226" s="64">
        <f t="shared" si="66"/>
        <v>8.9499999999999996E-2</v>
      </c>
      <c r="AA226" s="64">
        <f t="shared" si="67"/>
        <v>2.0669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68"/>
        <v>52-23</v>
      </c>
      <c r="AE226" s="87" t="str">
        <f t="shared" si="69"/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AF226" s="84" t="str">
        <f t="shared" si="70"/>
        <v>"C:\Program Files (x86)\AstroGrep\AstroGrep.exe" /spath="%USERPROFILE%\AppData\Local\Temp\OnboardLogs" /stypes="app*4004*20170123*" /stext=" 18:.+((SYSTEM_STATE.+slice.+state.+changed )|(ment ac)|(multiple cpu faults)|(system.+state.+changed )|(\[timeout)|(PRM\|1\|D)|(kpr)|(kdp)|(\|lc)|(penalty))" /e /r /s</v>
      </c>
      <c r="AG226" s="1" t="str">
        <f t="shared" si="71"/>
        <v>Other</v>
      </c>
      <c r="AH226" s="88" t="str">
        <f t="shared" si="72"/>
        <v>"%USERPROFILE%\Documents\GitHub\eaglep3\Utilities\RefineRTDCRunTimes.py" --tripid 52-23 --locoid 4004 --swversion DE.1.0.8.0 --startMP 300:21564 --initTime 2017-01-23T11:13:03 --startdatetime 2017-01-23T11:19:20 --delay 5 --endMP 204:895 --enddatetime 2017-01-23T11:27:23 --enforcementcount 0 &gt;&gt;C:\Users\stu\Documents\GitHub\eaglep3-reporting\EC\2017-01-23-refined-times.txt</v>
      </c>
      <c r="AI226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{"issue":{"subject":"","project_id":79,"tracker_id":40,"status_id":1,"priority_id":2,"assigned_to_id":23,"start_date":"2017-01-23","description":"","custom_fields":[{"id":1,"name":"Subdivision","value":"Other"},{"id":4,"name":"Milepost","value":"0.0895"},{"id":17,"name":"Train ID","value":"52-23"},{"id":16,"name":"Locomotive ID","value":"4004"},{"id":130,"name":"Impact","value":""},{"id":150,"name":"Time of Event (Mountain Time)","value":"11:27:23"},{"id":151,"name":"Denver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74"/>
        <v>start /low /b %USERPROFILE%\Documents\GitHub\eaglep3\Utilities\DownloadLogsFromS3.py --loco 4004 --day 2017-01-23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2017-01-23-UncaughtWiMAX.txt</v>
      </c>
    </row>
    <row r="227" spans="1:40" x14ac:dyDescent="0.25">
      <c r="A227" s="34" t="s">
        <v>438</v>
      </c>
      <c r="B227" s="7">
        <v>4003</v>
      </c>
      <c r="C227" s="22" t="s">
        <v>196</v>
      </c>
      <c r="D227" s="22" t="s">
        <v>749</v>
      </c>
      <c r="E227" s="13">
        <v>42758.513321759259</v>
      </c>
      <c r="F227" s="13">
        <v>42758.514780092592</v>
      </c>
      <c r="G227" s="7">
        <v>1</v>
      </c>
      <c r="H227" s="22" t="s">
        <v>750</v>
      </c>
      <c r="I227" s="13">
        <v>42758.521770833337</v>
      </c>
      <c r="J227" s="7">
        <v>0</v>
      </c>
      <c r="K227" s="105" t="str">
        <f t="shared" si="57"/>
        <v>4003/4004</v>
      </c>
      <c r="L227" s="22" t="str">
        <f>VLOOKUP(A227,'Trips&amp;Operators'!$C$1:$G$99999,5,FALSE)</f>
        <v>DAVIS WENDY</v>
      </c>
      <c r="M227" s="6">
        <f t="shared" si="58"/>
        <v>6.9907407450955361E-3</v>
      </c>
      <c r="N227" s="7">
        <f t="shared" si="59"/>
        <v>10.066666672937572</v>
      </c>
      <c r="O227" s="7"/>
      <c r="P227" s="7"/>
      <c r="Q227" s="23"/>
      <c r="R227" s="23"/>
      <c r="S227" s="32">
        <f t="shared" si="60"/>
        <v>0</v>
      </c>
      <c r="T227" s="47" t="e">
        <f t="shared" si="61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62"/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7" s="49" t="str">
        <f t="shared" si="63"/>
        <v>Y</v>
      </c>
      <c r="X227" s="170" t="e">
        <f t="shared" si="64"/>
        <v>#VALUE!</v>
      </c>
      <c r="Y227" s="64">
        <f t="shared" si="65"/>
        <v>0.12089999999999999</v>
      </c>
      <c r="Z227" s="64">
        <f t="shared" si="66"/>
        <v>2.5594000000000001</v>
      </c>
      <c r="AA227" s="64">
        <f t="shared" si="67"/>
        <v>2.4385000000000003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68"/>
        <v>53-23</v>
      </c>
      <c r="AE227" s="87" t="str">
        <f t="shared" si="69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227" s="84" t="str">
        <f t="shared" si="70"/>
        <v>"C:\Program Files (x86)\AstroGrep\AstroGrep.exe" /spath="%USERPROFILE%\AppData\Local\Temp\OnboardLogs" /stypes="app*4003*20170123*" /stext=" 19:.+((SYSTEM_STATE.+slice.+state.+changed )|(ment ac)|(multiple cpu faults)|(system.+state.+changed )|(\[timeout)|(PRM\|1\|D)|(kpr)|(kdp)|(\|lc)|(penalty))" /e /r /s</v>
      </c>
      <c r="AG227" s="1" t="str">
        <f t="shared" si="71"/>
        <v>Other</v>
      </c>
      <c r="AH227" s="88" t="str">
        <f t="shared" si="72"/>
        <v>"%USERPROFILE%\Documents\GitHub\eaglep3\Utilities\RefineRTDCRunTimes.py" --tripid 53-23 --locoid 4003 --swversion DE.1.0.8.0 --startMP 204:1209 --initTime 2017-01-23T12:19:11 --startdatetime 2017-01-23T12:21:17 --delay 1 --endMP 300:25594 --enddatetime 2017-01-23T12:31:21 --enforcementcount 0 &gt;&gt;C:\Users\stu\Documents\GitHub\eaglep3-reporting\EC\2017-01-23-refined-times.txt</v>
      </c>
      <c r="AI227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{"issue":{"subject":"","project_id":79,"tracker_id":40,"status_id":1,"priority_id":2,"assigned_to_id":23,"start_date":"2017-01-23","description":"","custom_fields":[{"id":1,"name":"Subdivision","value":"Other"},{"id":4,"name":"Milepost","value":"2.5594"},{"id":17,"name":"Train ID","value":"53-23"},{"id":16,"name":"Locomotive ID","value":"4003"},{"id":130,"name":"Impact","value":""},{"id":150,"name":"Time of Event (Mountain Time)","value":"12:31:21"},{"id":151,"name":"Denver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74"/>
        <v>start /low /b %USERPROFILE%\Documents\GitHub\eaglep3\Utilities\DownloadLogsFromS3.py --loco 4003 --day 2017-01-23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2017-01-23-UncaughtWiMAX.txt</v>
      </c>
    </row>
    <row r="228" spans="1:40" x14ac:dyDescent="0.25">
      <c r="A228" s="34" t="s">
        <v>606</v>
      </c>
      <c r="B228" s="7">
        <v>4004</v>
      </c>
      <c r="C228" s="22" t="s">
        <v>196</v>
      </c>
      <c r="D228" s="22" t="s">
        <v>742</v>
      </c>
      <c r="E228" s="13">
        <v>42758.697268518517</v>
      </c>
      <c r="F228" s="13">
        <v>42758.698310185187</v>
      </c>
      <c r="G228" s="7">
        <v>1</v>
      </c>
      <c r="H228" s="22">
        <v>8.5284722222222218</v>
      </c>
      <c r="I228" s="13">
        <v>42758.706006944441</v>
      </c>
      <c r="J228" s="7">
        <v>0</v>
      </c>
      <c r="K228" s="105" t="str">
        <f t="shared" si="57"/>
        <v>4003/4004</v>
      </c>
      <c r="L228" s="22" t="str">
        <f>VLOOKUP(A228,'Trips&amp;Operators'!$C$1:$G$99999,5,FALSE)</f>
        <v>CHANDLER KELVIN</v>
      </c>
      <c r="M228" s="6">
        <f t="shared" si="58"/>
        <v>7.696759254031349E-3</v>
      </c>
      <c r="N228" s="7">
        <f t="shared" si="59"/>
        <v>11.083333325805143</v>
      </c>
      <c r="O228" s="7"/>
      <c r="P228" s="7"/>
      <c r="Q228" s="23"/>
      <c r="R228" s="23"/>
      <c r="S228" s="32">
        <f t="shared" si="60"/>
        <v>0</v>
      </c>
      <c r="T228" s="47" t="e">
        <f t="shared" si="61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62"/>
        <v>https://d0f6bd738d7f1b3e5a7ca70fe4ff75f0.us-east-1.aws.found.io/app/kibana#/discover/Steve-Slow-Train-Analysis-(2080s-and-2083s)?_g=(refreshInterval:(display:Off,pause:!f,section:0,value:0),time:(from:'2017-01-23T15:44:04-0700',mode:absolute,to:'2017-01-23T17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8" s="49" t="str">
        <f t="shared" si="63"/>
        <v>N</v>
      </c>
      <c r="X228" s="170" t="e">
        <f t="shared" si="64"/>
        <v>#VALUE!</v>
      </c>
      <c r="Y228" s="64">
        <f t="shared" si="65"/>
        <v>2.3159999999999998</v>
      </c>
      <c r="Z228" s="64">
        <f t="shared" si="66"/>
        <v>84722222.222200006</v>
      </c>
      <c r="AA228" s="64">
        <f t="shared" si="67"/>
        <v>84722219.906200007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68"/>
        <v>54-23</v>
      </c>
      <c r="AE228" s="87" t="str">
        <f t="shared" si="69"/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AF228" s="84" t="str">
        <f t="shared" si="70"/>
        <v>"C:\Program Files (x86)\AstroGrep\AstroGrep.exe" /spath="%USERPROFILE%\AppData\Local\Temp\OnboardLogs" /stypes="app*4004*20170123*" /stext=" 23:.+((SYSTEM_STATE.+slice.+state.+changed )|(ment ac)|(multiple cpu faults)|(system.+state.+changed )|(\[timeout)|(PRM\|1\|D)|(kpr)|(kdp)|(\|lc)|(penalty))" /e /r /s</v>
      </c>
      <c r="AG228" s="1" t="str">
        <f t="shared" si="71"/>
        <v>Other</v>
      </c>
      <c r="AH228" s="88" t="str">
        <f t="shared" si="72"/>
        <v>"%USERPROFILE%\Documents\GitHub\eaglep3\Utilities\RefineRTDCRunTimes.py" --tripid 54-23 --locoid 4004 --swversion DE.1.0.8.0 --startMP 300:23160 --initTime 2017-01-23T16:44:04 --startdatetime 2017-01-23T16:45:34 --delay 1 --endMP 8.52847222222222 --enddatetime 2017-01-23T16:56:39 --enforcementcount 0 &gt;&gt;C:\Users\stu\Documents\GitHub\eaglep3-reporting\EC\2017-01-23-refined-times.txt</v>
      </c>
      <c r="AI22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84722222.2222"},{"id":17,"name":"Train ID","value":"54-23"},{"id":16,"name":"Locomotive ID","value":"4004"},{"id":130,"name":"Impact","value":""},{"id":150,"name":"Time of Event (Mountain Time)","value":"16:56:39"},{"id":151,"name":"Denver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74"/>
        <v>start /low /b %USERPROFILE%\Documents\GitHub\eaglep3\Utilities\DownloadLogsFromS3.py --loco 4004 --day 2017-01-23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2017-01-23-UncaughtWiMAX.txt</v>
      </c>
    </row>
    <row r="229" spans="1:40" x14ac:dyDescent="0.25">
      <c r="A229" s="34" t="s">
        <v>617</v>
      </c>
      <c r="B229" s="7">
        <v>4003</v>
      </c>
      <c r="C229" s="22" t="s">
        <v>196</v>
      </c>
      <c r="D229" s="22" t="s">
        <v>751</v>
      </c>
      <c r="E229" s="13">
        <v>42758.736157407409</v>
      </c>
      <c r="F229" s="13">
        <v>42758.749305555553</v>
      </c>
      <c r="G229" s="7">
        <v>1</v>
      </c>
      <c r="H229" s="22" t="s">
        <v>752</v>
      </c>
      <c r="I229" s="13">
        <v>42758.755960648145</v>
      </c>
      <c r="J229" s="7">
        <v>0</v>
      </c>
      <c r="K229" s="105" t="str">
        <f t="shared" si="57"/>
        <v>4003/4004</v>
      </c>
      <c r="L229" s="22" t="str">
        <f>VLOOKUP(A229,'Trips&amp;Operators'!$C$1:$G$99999,5,FALSE)</f>
        <v>LEVERE CRAIG</v>
      </c>
      <c r="M229" s="6">
        <f t="shared" si="58"/>
        <v>6.655092591245193E-3</v>
      </c>
      <c r="N229" s="7">
        <f t="shared" si="59"/>
        <v>9.583333331393078</v>
      </c>
      <c r="O229" s="7"/>
      <c r="P229" s="7"/>
      <c r="Q229" s="23"/>
      <c r="R229" s="23"/>
      <c r="S229" s="32">
        <f t="shared" si="60"/>
        <v>0</v>
      </c>
      <c r="T229" s="47" t="e">
        <f t="shared" si="61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62"/>
        <v>https://d0f6bd738d7f1b3e5a7ca70fe4ff75f0.us-east-1.aws.found.io/app/kibana#/discover/Steve-Slow-Train-Analysis-(2080s-and-2083s)?_g=(refreshInterval:(display:Off,pause:!f,section:0,value:0),time:(from:'2017-01-23T16:40:04-0700',mode:absolute,to:'2017-01-23T19:08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9" s="49" t="str">
        <f t="shared" si="63"/>
        <v>Y</v>
      </c>
      <c r="X229" s="170" t="e">
        <f t="shared" si="64"/>
        <v>#VALUE!</v>
      </c>
      <c r="Y229" s="64">
        <f t="shared" si="65"/>
        <v>3.4500000000000003E-2</v>
      </c>
      <c r="Z229" s="64">
        <f t="shared" si="66"/>
        <v>2.2846000000000002</v>
      </c>
      <c r="AA229" s="64">
        <f t="shared" si="67"/>
        <v>2.2501000000000002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68"/>
        <v>55-23</v>
      </c>
      <c r="AE229" s="87" t="str">
        <f t="shared" si="69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229" s="84" t="str">
        <f t="shared" si="70"/>
        <v>"C:\Program Files (x86)\AstroGrep\AstroGrep.exe" /spath="%USERPROFILE%\AppData\Local\Temp\OnboardLogs" /stypes="app*4003*20170124*" /stext=" 01:.+((SYSTEM_STATE.+slice.+state.+changed )|(ment ac)|(multiple cpu faults)|(system.+state.+changed )|(\[timeout)|(PRM\|1\|D)|(kpr)|(kdp)|(\|lc)|(penalty))" /e /r /s</v>
      </c>
      <c r="AG229" s="1" t="str">
        <f t="shared" si="71"/>
        <v>Other</v>
      </c>
      <c r="AH229" s="88" t="str">
        <f t="shared" si="72"/>
        <v>"%USERPROFILE%\Documents\GitHub\eaglep3\Utilities\RefineRTDCRunTimes.py" --tripid 55-23 --locoid 4003 --swversion DE.1.0.8.0 --startMP 204:345 --initTime 2017-01-23T17:40:04 --startdatetime 2017-01-23T17:59:00 --delay 1 --endMP 300:22846 --enddatetime 2017-01-23T18:08:35 --enforcementcount 0 &gt;&gt;C:\Users\stu\Documents\GitHub\eaglep3-reporting\EC\2017-01-23-refined-times.txt</v>
      </c>
      <c r="AI22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{"issue":{"subject":"","project_id":79,"tracker_id":40,"status_id":1,"priority_id":2,"assigned_to_id":23,"start_date":"2017-01-23","description":"","custom_fields":[{"id":1,"name":"Subdivision","value":"Other"},{"id":4,"name":"Milepost","value":"2.2846"},{"id":17,"name":"Train ID","value":"55-23"},{"id":16,"name":"Locomotive ID","value":"4003"},{"id":130,"name":"Impact","value":""},{"id":150,"name":"Time of Event (Mountain Time)","value":"18:08:35"},{"id":151,"name":"Denver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74"/>
        <v>start /low /b %USERPROFILE%\Documents\GitHub\eaglep3\Utilities\DownloadLogsFromS3.py --loco 4003 --day 2017-01-23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2017-01-23-UncaughtWiMAX.txt</v>
      </c>
    </row>
    <row r="230" spans="1:40" x14ac:dyDescent="0.25">
      <c r="A230" s="34" t="s">
        <v>631</v>
      </c>
      <c r="B230" s="7">
        <v>4042</v>
      </c>
      <c r="C230" s="22" t="s">
        <v>196</v>
      </c>
      <c r="D230" s="22" t="s">
        <v>753</v>
      </c>
      <c r="E230" s="13">
        <v>42758.777384259258</v>
      </c>
      <c r="F230" s="13">
        <v>25568.708333333332</v>
      </c>
      <c r="G230" s="7">
        <v>1</v>
      </c>
      <c r="H230" s="22" t="s">
        <v>271</v>
      </c>
      <c r="I230" s="13">
        <v>25568.708333333332</v>
      </c>
      <c r="J230" s="7">
        <v>0</v>
      </c>
      <c r="K230" s="105" t="str">
        <f t="shared" si="57"/>
        <v>4041/4042</v>
      </c>
      <c r="L230" s="22" t="str">
        <f>VLOOKUP(A230,'Trips&amp;Operators'!$C$1:$G$99999,5,FALSE)</f>
        <v>CLARK KATHLEEN</v>
      </c>
      <c r="M230" s="6">
        <f t="shared" si="58"/>
        <v>0</v>
      </c>
      <c r="N230" s="7">
        <f t="shared" si="59"/>
        <v>0</v>
      </c>
      <c r="O230" s="7"/>
      <c r="P230" s="7"/>
      <c r="Q230" s="23"/>
      <c r="R230" s="23"/>
      <c r="S230" s="32">
        <f t="shared" si="60"/>
        <v>0</v>
      </c>
      <c r="T230" s="47" t="e">
        <f t="shared" si="61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62"/>
        <v>https://d0f6bd738d7f1b3e5a7ca70fe4ff75f0.us-east-1.aws.found.io/app/kibana#/discover/Steve-Slow-Train-Analysis-(2080s-and-2083s)?_g=(refreshInterval:(display:Off,pause:!f,section:0,value:0),time:(from:'2017-01-23T17:39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49" t="str">
        <f t="shared" si="63"/>
        <v>Y</v>
      </c>
      <c r="X230" s="170" t="e">
        <f t="shared" si="64"/>
        <v>#VALUE!</v>
      </c>
      <c r="Y230" s="64">
        <f t="shared" si="65"/>
        <v>3.3000000000000002E-2</v>
      </c>
      <c r="Z230" s="64">
        <f t="shared" si="66"/>
        <v>2.3346</v>
      </c>
      <c r="AA230" s="64">
        <f t="shared" si="67"/>
        <v>2.3016000000000001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68"/>
        <v>57-23</v>
      </c>
      <c r="AE230" s="87" t="str">
        <f t="shared" si="69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30" s="84" t="str">
        <f t="shared" si="70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30" s="1" t="str">
        <f t="shared" si="71"/>
        <v>Other</v>
      </c>
      <c r="AH230" s="88" t="str">
        <f t="shared" si="72"/>
        <v>"%USERPROFILE%\Documents\GitHub\eaglep3\Utilities\RefineRTDCRunTimes.py" --tripid 57-23 --locoid 4042 --swversion DE.1.0.8.0 --startMP 204:330 --initTime 2017-01-23T18:39:26 --startdatetime 1969-12-31T17:00:00 --delay 1 --endMP 300:23346 --enddatetime 1969-12-31T17:00:00 --enforcementcount 0 &gt;&gt;C:\Users\stu\Documents\GitHub\eaglep3-reporting\EC\2017-01-23-refined-times.txt</v>
      </c>
      <c r="AI230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ID","value":"57-23"},{"id":16,"name":"Locomotive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74"/>
        <v>start /low /b %USERPROFILE%\Documents\GitHub\eaglep3\Utilities\DownloadLogsFromS3.py --loco 4042 --day 1969-12-31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2017-01-23-UncaughtWiMAX.txt</v>
      </c>
    </row>
    <row r="231" spans="1:40" x14ac:dyDescent="0.25">
      <c r="A231" s="34" t="s">
        <v>449</v>
      </c>
      <c r="B231" s="7">
        <v>4041</v>
      </c>
      <c r="C231" s="22" t="s">
        <v>196</v>
      </c>
      <c r="D231" s="22" t="s">
        <v>754</v>
      </c>
      <c r="E231" s="13">
        <v>42758.751076388886</v>
      </c>
      <c r="F231" s="13">
        <v>42758.752210648148</v>
      </c>
      <c r="G231" s="7">
        <v>1</v>
      </c>
      <c r="H231" s="22">
        <v>8.5243055555555554</v>
      </c>
      <c r="I231" s="13">
        <v>42758.760625000003</v>
      </c>
      <c r="J231" s="7">
        <v>0</v>
      </c>
      <c r="K231" s="105" t="str">
        <f t="shared" si="57"/>
        <v>4041/4042</v>
      </c>
      <c r="L231" s="22" t="str">
        <f>VLOOKUP(A231,'Trips&amp;Operators'!$C$1:$G$99999,5,FALSE)</f>
        <v>STORY SAMANTHA</v>
      </c>
      <c r="M231" s="6">
        <f t="shared" si="58"/>
        <v>8.4143518542987294E-3</v>
      </c>
      <c r="N231" s="7">
        <f t="shared" si="59"/>
        <v>12.11666667019017</v>
      </c>
      <c r="O231" s="7"/>
      <c r="P231" s="7"/>
      <c r="Q231" s="23"/>
      <c r="R231" s="23"/>
      <c r="S231" s="32">
        <f t="shared" si="60"/>
        <v>0</v>
      </c>
      <c r="T231" s="47" t="e">
        <f t="shared" si="61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62"/>
        <v>https://d0f6bd738d7f1b3e5a7ca70fe4ff75f0.us-east-1.aws.found.io/app/kibana#/discover/Steve-Slow-Train-Analysis-(2080s-and-2083s)?_g=(refreshInterval:(display:Off,pause:!f,section:0,value:0),time:(from:'2017-01-23T17:01:33-0700',mode:absolute,to:'2017-01-23T19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1" s="49" t="str">
        <f t="shared" si="63"/>
        <v>N</v>
      </c>
      <c r="X231" s="170" t="e">
        <f t="shared" si="64"/>
        <v>#VALUE!</v>
      </c>
      <c r="Y231" s="64">
        <f t="shared" si="65"/>
        <v>2.3228</v>
      </c>
      <c r="Z231" s="64">
        <f t="shared" si="66"/>
        <v>43055555.555600002</v>
      </c>
      <c r="AA231" s="64">
        <f t="shared" si="67"/>
        <v>43055553.232799999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68"/>
        <v>58-23</v>
      </c>
      <c r="AE231" s="87" t="str">
        <f t="shared" si="69"/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AF231" s="84" t="str">
        <f t="shared" si="70"/>
        <v>"C:\Program Files (x86)\AstroGrep\AstroGrep.exe" /spath="%USERPROFILE%\AppData\Local\Temp\OnboardLogs" /stypes="app*4041*20170124*" /stext=" 01:.+((SYSTEM_STATE.+slice.+state.+changed )|(ment ac)|(multiple cpu faults)|(system.+state.+changed )|(\[timeout)|(PRM\|1\|D)|(kpr)|(kdp)|(\|lc)|(penalty))" /e /r /s</v>
      </c>
      <c r="AG231" s="1" t="str">
        <f t="shared" si="71"/>
        <v>Other</v>
      </c>
      <c r="AH231" s="88" t="str">
        <f t="shared" si="72"/>
        <v>"%USERPROFILE%\Documents\GitHub\eaglep3\Utilities\RefineRTDCRunTimes.py" --tripid 58-23 --locoid 4041 --swversion DE.1.0.8.0 --startMP 300:23228 --initTime 2017-01-23T18:01:33 --startdatetime 2017-01-23T18:03:11 --delay 1 --endMP 8.52430555555556 --enddatetime 2017-01-23T18:15:18 --enforcementcount 0 &gt;&gt;C:\Users\stu\Documents\GitHub\eaglep3-reporting\EC\2017-01-23-refined-times.txt</v>
      </c>
      <c r="AI231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43055555.5556"},{"id":17,"name":"Train ID","value":"58-23"},{"id":16,"name":"Locomotive ID","value":"4041"},{"id":130,"name":"Impact","value":""},{"id":150,"name":"Time of Event (Mountain Time)","value":"18:15:18"},{"id":151,"name":"Denver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74"/>
        <v>start /low /b %USERPROFILE%\Documents\GitHub\eaglep3\Utilities\DownloadLogsFromS3.py --loco 4041 --day 2017-01-23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2017-01-23-UncaughtWiMAX.txt</v>
      </c>
    </row>
    <row r="232" spans="1:40" x14ac:dyDescent="0.25">
      <c r="A232" s="34" t="s">
        <v>625</v>
      </c>
      <c r="B232" s="7">
        <v>4028</v>
      </c>
      <c r="C232" s="22" t="s">
        <v>196</v>
      </c>
      <c r="D232" s="22" t="s">
        <v>755</v>
      </c>
      <c r="E232" s="13">
        <v>42758.764305555553</v>
      </c>
      <c r="F232" s="13">
        <v>42758.76599537037</v>
      </c>
      <c r="G232" s="7">
        <v>1</v>
      </c>
      <c r="H232" s="22" t="s">
        <v>756</v>
      </c>
      <c r="I232" s="13">
        <v>42758.776909722219</v>
      </c>
      <c r="J232" s="7">
        <v>0</v>
      </c>
      <c r="K232" s="105" t="str">
        <f t="shared" si="57"/>
        <v>4027/4028</v>
      </c>
      <c r="L232" s="22" t="str">
        <f>VLOOKUP(A232,'Trips&amp;Operators'!$C$1:$G$99999,5,FALSE)</f>
        <v>YANG JAN</v>
      </c>
      <c r="M232" s="6">
        <f t="shared" si="58"/>
        <v>1.0914351849351078E-2</v>
      </c>
      <c r="N232" s="7">
        <f t="shared" si="59"/>
        <v>15.716666663065553</v>
      </c>
      <c r="O232" s="7"/>
      <c r="P232" s="7"/>
      <c r="Q232" s="23"/>
      <c r="R232" s="23"/>
      <c r="S232" s="32">
        <f t="shared" si="60"/>
        <v>0</v>
      </c>
      <c r="T232" s="47" t="e">
        <f t="shared" si="61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62"/>
        <v>https://d0f6bd738d7f1b3e5a7ca70fe4ff75f0.us-east-1.aws.found.io/app/kibana#/discover/Steve-Slow-Train-Analysis-(2080s-and-2083s)?_g=(refreshInterval:(display:Off,pause:!f,section:0,value:0),time:(from:'2017-01-23T17:20:36-0700',mode:absolute,to:'2017-01-23T19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49" t="str">
        <f t="shared" si="63"/>
        <v>Y</v>
      </c>
      <c r="X232" s="170" t="e">
        <f t="shared" si="64"/>
        <v>#VALUE!</v>
      </c>
      <c r="Y232" s="64">
        <f t="shared" si="65"/>
        <v>2.1835</v>
      </c>
      <c r="Z232" s="64">
        <f t="shared" si="66"/>
        <v>0.10050000000000001</v>
      </c>
      <c r="AA232" s="64">
        <f t="shared" si="67"/>
        <v>2.0830000000000002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68"/>
        <v>60-23</v>
      </c>
      <c r="AE232" s="87" t="str">
        <f t="shared" si="69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232" s="84" t="str">
        <f t="shared" si="70"/>
        <v>"C:\Program Files (x86)\AstroGrep\AstroGrep.exe" /spath="%USERPROFILE%\AppData\Local\Temp\OnboardLogs" /stypes="app*4028*20170124*" /stext=" 01:.+((SYSTEM_STATE.+slice.+state.+changed )|(ment ac)|(multiple cpu faults)|(system.+state.+changed )|(\[timeout)|(PRM\|1\|D)|(kpr)|(kdp)|(\|lc)|(penalty))" /e /r /s</v>
      </c>
      <c r="AG232" s="1" t="str">
        <f t="shared" si="71"/>
        <v>Other</v>
      </c>
      <c r="AH232" s="88" t="str">
        <f t="shared" si="72"/>
        <v>"%USERPROFILE%\Documents\GitHub\eaglep3\Utilities\RefineRTDCRunTimes.py" --tripid 60-23 --locoid 4028 --swversion DE.1.0.8.0 --startMP 300:21835 --initTime 2017-01-23T18:20:36 --startdatetime 2017-01-23T18:23:02 --delay 1 --endMP 204:1005 --enddatetime 2017-01-23T18:38:45 --enforcementcount 0 &gt;&gt;C:\Users\stu\Documents\GitHub\eaglep3-reporting\EC\2017-01-23-refined-times.txt</v>
      </c>
      <c r="AI232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{"issue":{"subject":"","project_id":79,"tracker_id":40,"status_id":1,"priority_id":2,"assigned_to_id":23,"start_date":"2017-01-23","description":"","custom_fields":[{"id":1,"name":"Subdivision","value":"Other"},{"id":4,"name":"Milepost","value":"0.1005"},{"id":17,"name":"Train ID","value":"60-23"},{"id":16,"name":"Locomotive ID","value":"4028"},{"id":130,"name":"Impact","value":""},{"id":150,"name":"Time of Event (Mountain Time)","value":"18:38:45"},{"id":151,"name":"Denver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74"/>
        <v>start /low /b %USERPROFILE%\Documents\GitHub\eaglep3\Utilities\DownloadLogsFromS3.py --loco 4028 --day 2017-01-23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2017-01-23-UncaughtWiMAX.txt</v>
      </c>
    </row>
    <row r="233" spans="1:40" x14ac:dyDescent="0.25">
      <c r="A233" s="34" t="s">
        <v>611</v>
      </c>
      <c r="B233" s="7">
        <v>4025</v>
      </c>
      <c r="C233" s="22" t="s">
        <v>196</v>
      </c>
      <c r="D233" s="22" t="s">
        <v>757</v>
      </c>
      <c r="E233" s="13">
        <v>42758.716516203705</v>
      </c>
      <c r="F233" s="13">
        <v>25568.708333333332</v>
      </c>
      <c r="G233" s="7">
        <v>1</v>
      </c>
      <c r="H233" s="22" t="s">
        <v>758</v>
      </c>
      <c r="I233" s="13">
        <v>25568.708333333332</v>
      </c>
      <c r="J233" s="7">
        <v>0</v>
      </c>
      <c r="K233" s="105" t="str">
        <f t="shared" si="57"/>
        <v>4025/4026</v>
      </c>
      <c r="L233" s="22" t="str">
        <f>VLOOKUP(A233,'Trips&amp;Operators'!$C$1:$G$99999,5,FALSE)</f>
        <v>BERLING GARY</v>
      </c>
      <c r="M233" s="6">
        <f t="shared" si="58"/>
        <v>0</v>
      </c>
      <c r="N233" s="7">
        <f t="shared" si="59"/>
        <v>0</v>
      </c>
      <c r="O233" s="7"/>
      <c r="P233" s="7"/>
      <c r="Q233" s="23"/>
      <c r="R233" s="23"/>
      <c r="S233" s="32">
        <f t="shared" si="60"/>
        <v>0</v>
      </c>
      <c r="T233" s="47" t="e">
        <f t="shared" si="61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62"/>
        <v>https://d0f6bd738d7f1b3e5a7ca70fe4ff75f0.us-east-1.aws.found.io/app/kibana#/discover/Steve-Slow-Train-Analysis-(2080s-and-2083s)?_g=(refreshInterval:(display:Off,pause:!f,section:0,value:0),time:(from:'2017-01-23T16:11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49" t="str">
        <f t="shared" si="63"/>
        <v>Y</v>
      </c>
      <c r="X233" s="170" t="e">
        <f t="shared" si="64"/>
        <v>#VALUE!</v>
      </c>
      <c r="Y233" s="64">
        <f t="shared" si="65"/>
        <v>0.14749999999999999</v>
      </c>
      <c r="Z233" s="64">
        <f t="shared" si="66"/>
        <v>2.3319999999999999</v>
      </c>
      <c r="AA233" s="64">
        <f t="shared" si="67"/>
        <v>2.1844999999999999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68"/>
        <v>67-23</v>
      </c>
      <c r="AE233" s="87" t="str">
        <f t="shared" si="6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3" s="84" t="str">
        <f t="shared" si="70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3" s="1" t="str">
        <f t="shared" si="71"/>
        <v>Other</v>
      </c>
      <c r="AH233" s="88" t="str">
        <f t="shared" si="72"/>
        <v>"%USERPROFILE%\Documents\GitHub\eaglep3\Utilities\RefineRTDCRunTimes.py" --tripid 67-23 --locoid 4025 --swversion DE.1.0.8.0 --startMP 204:1475 --initTime 2017-01-23T17:11:47 --startdatetime 1969-12-31T17:00:00 --delay 1 --endMP 300:23320 --enddatetime 1969-12-31T17:00:00 --enforcementcount 0 &gt;&gt;C:\Users\stu\Documents\GitHub\eaglep3-reporting\EC\2017-01-23-refined-times.txt</v>
      </c>
      <c r="AI233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ID","value":"67-23"},{"id":16,"name":"Locomotive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74"/>
        <v>start /low /b %USERPROFILE%\Documents\GitHub\eaglep3\Utilities\DownloadLogsFromS3.py --loco 4025 --day 1969-12-31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2017-01-23-UncaughtWiMAX.txt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</sheetData>
  <autoFilter ref="A12:AG245">
    <sortState ref="A13:AG245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33">
    <cfRule type="cellIs" dxfId="10" priority="356" operator="equal">
      <formula>"Y"</formula>
    </cfRule>
  </conditionalFormatting>
  <conditionalFormatting sqref="X260:X1048576 X13:X233">
    <cfRule type="cellIs" dxfId="9" priority="339" operator="greaterThan">
      <formula>1</formula>
    </cfRule>
  </conditionalFormatting>
  <conditionalFormatting sqref="X260:X1048576 X12:X233">
    <cfRule type="cellIs" dxfId="8" priority="336" operator="equal">
      <formula>0</formula>
    </cfRule>
  </conditionalFormatting>
  <conditionalFormatting sqref="A13:S23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opLeftCell="A2" zoomScaleNormal="100" workbookViewId="0">
      <selection activeCell="O19" sqref="O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COUNTIF($O$7:$O$325,"=Y")</f>
        <v>1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COUNTA($O$7:$O$325)-O2</f>
        <v>28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- 2017-01-23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1" s="1" customFormat="1" x14ac:dyDescent="0.25">
      <c r="A7" s="33">
        <v>42758.837893518517</v>
      </c>
      <c r="B7" s="31" t="s">
        <v>266</v>
      </c>
      <c r="C7" s="31" t="s">
        <v>451</v>
      </c>
      <c r="D7" s="31" t="s">
        <v>49</v>
      </c>
      <c r="E7" s="31" t="s">
        <v>207</v>
      </c>
      <c r="F7" s="44">
        <v>0</v>
      </c>
      <c r="G7" s="44">
        <v>228</v>
      </c>
      <c r="H7" s="44">
        <v>26268</v>
      </c>
      <c r="I7" s="44">
        <v>26664</v>
      </c>
      <c r="J7" s="31" t="s">
        <v>208</v>
      </c>
      <c r="K7" s="44">
        <v>27052</v>
      </c>
      <c r="L7" s="150" t="s">
        <v>50</v>
      </c>
      <c r="M7" s="151">
        <f t="shared" ref="M7:M35" si="0">CONVERT((I7-K7)/10000,"mi","ft")*IF(L7="Increasing Mileposts (1)",-1,1)</f>
        <v>204.864</v>
      </c>
      <c r="N7" s="152" t="str">
        <f>VLOOKUP(C7,'Trips&amp;Operators'!$C$1:$G$99999,5,FALSE)</f>
        <v>STAMBAUGH JAMES</v>
      </c>
      <c r="O7" s="176" t="s">
        <v>188</v>
      </c>
      <c r="P7" s="153" t="s">
        <v>424</v>
      </c>
      <c r="Q7" s="31"/>
      <c r="R7" s="96" t="str">
        <f>VLOOKUP(C7,'Train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7" s="99" t="str">
        <f>VLOOKUP(C7,'Train Runs'!$A$13:$AE$9983,22,0)</f>
        <v>https://d0f6bd738d7f1b3e5a7ca70fe4ff75f0.us-east-1.aws.found.io/app/kibana#/discover/Steve-Slow-Train-Analysis-(2080s-and-2083s)?_g=(refreshInterval:(display:Off,pause:!f,section:0,value:0),time:(from:'2017-01-23T18:56:06-0700',mode:absolute,to:'2017-01-23T21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101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/stypes="*4029*201701240*" /stext=" 03:.+((SYSTEM_STATE.+slice.+state.+changed )|(ment ac)|(multiple cpu faults)|(system.+state.+changed )|(\[timeout)|(PRM\|1\|D)|(kpr)|(kdp)|(\|lc)|(penalty))" /e /r /s</v>
      </c>
      <c r="U7" s="9" t="str">
        <f t="shared" ref="U7:U35" si="2">MID(B7,13,4)</f>
        <v>4029</v>
      </c>
      <c r="V7" s="33">
        <f t="shared" ref="V7:V35" si="3">A7-utc_offset/24</f>
        <v>42759.129560185182</v>
      </c>
      <c r="W7" s="47" t="str">
        <f t="shared" ref="W7:W35" si="4">IF(VALUE(LEFT(IF(LEN(C7)=6,"0"&amp;C7,C7),2))&lt;=2,"EC",IF(OR(VALUE(LEFT(IF(LEN(C7)=6,"0"&amp;C7,C7),2))=8,VALUE(LEFT(IF(LEN(C7)=6,"0"&amp;C7,C7),2))=18),"NW","Other"))</f>
        <v>EC</v>
      </c>
      <c r="X7" s="47" t="str">
        <f t="shared" ref="X7:X35" si="5">IF(AND(E7="TRACK WARRANT AUTHORITY",G7&lt;10),"OMIT","KEEP")</f>
        <v>KEEP</v>
      </c>
      <c r="Y7" s="115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C","project_id":79,"tracker_id":40,"status_id":1,"priority_id":2,"assigned_to_id":23,"start_date":"2017-01-23","description":"","custom_fields":[{"id":1,"name":"Subdivision","value":"EC"},{"id":4,"name":"Milepost","value":"2.7052"},{"id":17,"name":"Train ID","value":"225-23"},{"id":16,"name":"Locomotive ID","value":"4029"},{"id":130,"name":"Impact","value":""},{"id":150,"name":"Time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"%USERPROFILE%\AppData\Local\Temp\OnboardLogs"\RTDC4029\*4029*201701240*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"%USERPROFILE%\AppData\Local\Temp\OnboardLogs"\RTDC4029\*4029*201701240* &gt;&gt; 2017-01-23-SliceDisagreementCheck.txt</v>
      </c>
      <c r="AE7" s="180" t="str">
        <f t="shared" ref="AE7:AE35" si="8">"start /low /b "&amp;dls3logs&amp;" --loco "&amp;U7&amp;" --day "&amp;TEXT(V7,"YYYY-MM-DD")</f>
        <v>start /low /b %USERPROFILE%\Documents\GitHub\eaglep3\Utilities\DownloadLogsFromS3.py --loco 4029 --day 2017-01-24</v>
      </c>
    </row>
    <row r="8" spans="1:31" s="1" customFormat="1" x14ac:dyDescent="0.25">
      <c r="A8" s="33">
        <v>42758.694490740738</v>
      </c>
      <c r="B8" s="31" t="s">
        <v>266</v>
      </c>
      <c r="C8" s="31" t="s">
        <v>444</v>
      </c>
      <c r="D8" s="31" t="s">
        <v>49</v>
      </c>
      <c r="E8" s="31" t="s">
        <v>207</v>
      </c>
      <c r="F8" s="44">
        <v>0</v>
      </c>
      <c r="G8" s="44">
        <v>47</v>
      </c>
      <c r="H8" s="44">
        <v>30658</v>
      </c>
      <c r="I8" s="44">
        <v>30725</v>
      </c>
      <c r="J8" s="31" t="s">
        <v>208</v>
      </c>
      <c r="K8" s="44">
        <v>30830</v>
      </c>
      <c r="L8" s="150" t="s">
        <v>50</v>
      </c>
      <c r="M8" s="151">
        <f t="shared" si="0"/>
        <v>55.44</v>
      </c>
      <c r="N8" s="152" t="str">
        <f>VLOOKUP(C8,'Trips&amp;Operators'!$C$1:$G$99999,5,FALSE)</f>
        <v>DAVIS MICHAEL</v>
      </c>
      <c r="O8" s="176" t="s">
        <v>188</v>
      </c>
      <c r="P8" s="153" t="s">
        <v>424</v>
      </c>
      <c r="Q8" s="31"/>
      <c r="R8" s="96" t="str">
        <f>VLOOKUP(C8,'Train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8" s="99" t="str">
        <f>VLOOKUP(C8,'Train Runs'!$A$13:$AE$9983,22,0)</f>
        <v>https://d0f6bd738d7f1b3e5a7ca70fe4ff75f0.us-east-1.aws.found.io/app/kibana#/discover/Steve-Slow-Train-Analysis-(2080s-and-2083s)?_g=(refreshInterval:(display:Off,pause:!f,section:0,value:0),time:(from:'2017-01-23T15:25:20-0700',mode:absolute,to:'2017-01-23T18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101" t="str">
        <f t="shared" si="1"/>
        <v>"C:\Program Files (x86)\AstroGrep\AstroGrep.exe" /spath="%USERPROFILE%\AppData\Local\Temp\OnboardLogs" /stypes="*4029*201701232*" /stext=" 23:.+((SYSTEM_STATE.+slice.+state.+changed )|(ment ac)|(multiple cpu faults)|(system.+state.+changed )|(\[timeout)|(PRM\|1\|D)|(kpr)|(kdp)|(\|lc)|(penalty))" /e /r /s</v>
      </c>
      <c r="U8" s="9" t="str">
        <f t="shared" si="2"/>
        <v>4029</v>
      </c>
      <c r="V8" s="33">
        <f t="shared" si="3"/>
        <v>42758.986157407402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C","project_id":79,"tracker_id":40,"status_id":1,"priority_id":2,"assigned_to_id":23,"start_date":"2017-01-23","description":"","custom_fields":[{"id":1,"name":"Subdivision","value":"EC"},{"id":4,"name":"Milepost","value":"3.083"},{"id":17,"name":"Train ID","value":"203-23"},{"id":16,"name":"Locomotive ID","value":"4029"},{"id":130,"name":"Impact","value":""},{"id":150,"name":"Time of Event (Mountain Time)","value":"16:40:04"},{"id":151,"name":"Denver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"%USERPROFILE%\AppData\Local\Temp\OnboardLogs"\RTDC4029\*4029*201701232*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"%USERPROFILE%\AppData\Local\Temp\OnboardLogs"\RTDC4029\*4029*201701232* &gt;&gt; 2017-01-23-SliceDisagreementCheck.txt</v>
      </c>
      <c r="AE8" s="180" t="str">
        <f t="shared" si="8"/>
        <v>start /low /b %USERPROFILE%\Documents\GitHub\eaglep3\Utilities\DownloadLogsFromS3.py --loco 4029 --day 2017-01-23</v>
      </c>
    </row>
    <row r="9" spans="1:31" s="1" customFormat="1" x14ac:dyDescent="0.25">
      <c r="A9" s="33">
        <v>42758.751956018517</v>
      </c>
      <c r="B9" s="31" t="s">
        <v>224</v>
      </c>
      <c r="C9" s="31" t="s">
        <v>447</v>
      </c>
      <c r="D9" s="31" t="s">
        <v>49</v>
      </c>
      <c r="E9" s="31" t="s">
        <v>207</v>
      </c>
      <c r="F9" s="44">
        <v>0</v>
      </c>
      <c r="G9" s="44">
        <v>83</v>
      </c>
      <c r="H9" s="44">
        <v>33765</v>
      </c>
      <c r="I9" s="44">
        <v>33635</v>
      </c>
      <c r="J9" s="31" t="s">
        <v>208</v>
      </c>
      <c r="K9" s="44">
        <v>33257</v>
      </c>
      <c r="L9" s="150" t="s">
        <v>51</v>
      </c>
      <c r="M9" s="151">
        <f t="shared" si="0"/>
        <v>199.584</v>
      </c>
      <c r="N9" s="152" t="str">
        <f>VLOOKUP(C9,'Trips&amp;Operators'!$C$1:$G$99999,5,FALSE)</f>
        <v>DAVIS MICHAEL</v>
      </c>
      <c r="O9" s="176" t="s">
        <v>188</v>
      </c>
      <c r="P9" s="153" t="s">
        <v>424</v>
      </c>
      <c r="Q9" s="31"/>
      <c r="R9" s="96" t="str">
        <f>VLOOKUP(C9,'Train Runs'!$A$13:$AE$9983,31,0)</f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S9" s="99" t="str">
        <f>VLOOKUP(C9,'Train Runs'!$A$13:$AE$9983,22,0)</f>
        <v>https://d0f6bd738d7f1b3e5a7ca70fe4ff75f0.us-east-1.aws.found.io/app/kibana#/discover/Steve-Slow-Train-Analysis-(2080s-and-2083s)?_g=(refreshInterval:(display:Off,pause:!f,section:0,value:0),time:(from:'2017-01-23T16:24:28-0700',mode:absolute,to:'2017-01-23T19:16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9" s="101" t="str">
        <f t="shared" si="1"/>
        <v>"C:\Program Files (x86)\AstroGrep\AstroGrep.exe" /spath="%USERPROFILE%\AppData\Local\Temp\OnboardLogs" /stypes="*4030*201701240*" /stext=" 01:.+((SYSTEM_STATE.+slice.+state.+changed )|(ment ac)|(multiple cpu faults)|(system.+state.+changed )|(\[timeout)|(PRM\|1\|D)|(kpr)|(kdp)|(\|lc)|(penalty))" /e /r /s</v>
      </c>
      <c r="U9" s="9" t="str">
        <f t="shared" si="2"/>
        <v>4030</v>
      </c>
      <c r="V9" s="33">
        <f t="shared" si="3"/>
        <v>42759.043622685182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C","project_id":79,"tracker_id":40,"status_id":1,"priority_id":2,"assigned_to_id":23,"start_date":"2017-01-23","description":"","custom_fields":[{"id":1,"name":"Subdivision","value":"EC"},{"id":4,"name":"Milepost","value":"3.3257"},{"id":17,"name":"Train ID","value":"204-23"},{"id":16,"name":"Locomotive ID","value":"4030"},{"id":130,"name":"Impact","value":""},{"id":150,"name":"Time of Event (Mountain Time)","value":"18:02:49"},{"id":151,"name":"Denver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"%USERPROFILE%\AppData\Local\Temp\OnboardLogs"\RTDC4030\*4030*201701240*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"%USERPROFILE%\AppData\Local\Temp\OnboardLogs"\RTDC4030\*4030*201701240* &gt;&gt; 2017-01-23-SliceDisagreementCheck.txt</v>
      </c>
      <c r="AE9" s="180" t="str">
        <f t="shared" si="8"/>
        <v>start /low /b %USERPROFILE%\Documents\GitHub\eaglep3\Utilities\DownloadLogsFromS3.py --loco 4030 --day 2017-01-24</v>
      </c>
    </row>
    <row r="10" spans="1:31" s="1" customFormat="1" x14ac:dyDescent="0.25">
      <c r="A10" s="33">
        <v>42758.32576388889</v>
      </c>
      <c r="B10" s="31" t="s">
        <v>266</v>
      </c>
      <c r="C10" s="31" t="s">
        <v>434</v>
      </c>
      <c r="D10" s="31" t="s">
        <v>49</v>
      </c>
      <c r="E10" s="31" t="s">
        <v>230</v>
      </c>
      <c r="F10" s="44">
        <v>400</v>
      </c>
      <c r="G10" s="44">
        <v>578</v>
      </c>
      <c r="H10" s="44">
        <v>14188</v>
      </c>
      <c r="I10" s="44">
        <v>17581</v>
      </c>
      <c r="J10" s="31" t="s">
        <v>231</v>
      </c>
      <c r="K10" s="44">
        <v>17867</v>
      </c>
      <c r="L10" s="150" t="s">
        <v>50</v>
      </c>
      <c r="M10" s="151">
        <f t="shared" si="0"/>
        <v>151.00800000000001</v>
      </c>
      <c r="N10" s="152" t="str">
        <f>VLOOKUP(C10,'Trips&amp;Operators'!$C$1:$G$99999,5,FALSE)</f>
        <v>STARKS ANGELINA</v>
      </c>
      <c r="O10" s="176" t="s">
        <v>188</v>
      </c>
      <c r="P10" s="153"/>
      <c r="Q10" s="31"/>
      <c r="R10" s="96" t="str">
        <f>VLOOKUP(C10,'Train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10" s="99" t="str">
        <f>VLOOKUP(C10,'Train Runs'!$A$13:$AE$9983,22,0)</f>
        <v>https://d0f6bd738d7f1b3e5a7ca70fe4ff75f0.us-east-1.aws.found.io/app/kibana#/discover/Steve-Slow-Train-Analysis-(2080s-and-2083s)?_g=(refreshInterval:(display:Off,pause:!f,section:0,value:0),time:(from:'2017-01-23T06:38:06-0700',mode:absolute,to:'2017-01-23T09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101" t="str">
        <f t="shared" si="1"/>
        <v>"C:\Program Files (x86)\AstroGrep\AstroGrep.exe" /spath="%USERPROFILE%\AppData\Local\Temp\OnboardLogs" /stypes="*4029*201701231*" /stext=" 14:.+((SYSTEM_STATE.+slice.+state.+changed )|(ment ac)|(multiple cpu faults)|(system.+state.+changed )|(\[timeout)|(PRM\|1\|D)|(kpr)|(kdp)|(\|lc)|(penalty))" /e /r /s</v>
      </c>
      <c r="U10" s="9" t="str">
        <f t="shared" si="2"/>
        <v>4029</v>
      </c>
      <c r="V10" s="33">
        <f t="shared" si="3"/>
        <v>42758.617430555554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{"issue":{"subject":"","project_id":79,"tracker_id":40,"status_id":1,"priority_id":2,"assigned_to_id":23,"start_date":"2017-01-23","description":"","custom_fields":[{"id":1,"name":"Subdivision","value":"EC"},{"id":4,"name":"Milepost","value":"1.7867"},{"id":17,"name":"Train ID","value":"133-23"},{"id":16,"name":"Locomotive ID","value":"4029"},{"id":130,"name":"Impact","value":""},{"id":150,"name":"Time of Event (Mountain Time)","value":"07:49:06"},{"id":151,"name":"Denver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"%USERPROFILE%\AppData\Local\Temp\OnboardLogs"\RTDC4029\*4029*201701231*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"%USERPROFILE%\AppData\Local\Temp\OnboardLogs"\RTDC4029\*4029*201701231* &gt;&gt; 2017-01-23-SliceDisagreementCheck.txt</v>
      </c>
      <c r="AE10" s="180" t="str">
        <f t="shared" si="8"/>
        <v>start /low /b %USERPROFILE%\Documents\GitHub\eaglep3\Utilities\DownloadLogsFromS3.py --loco 4029 --day 2017-01-23</v>
      </c>
    </row>
    <row r="11" spans="1:31" s="1" customFormat="1" x14ac:dyDescent="0.25">
      <c r="A11" s="33">
        <v>42758.238576388889</v>
      </c>
      <c r="B11" s="31" t="s">
        <v>263</v>
      </c>
      <c r="C11" s="31" t="s">
        <v>429</v>
      </c>
      <c r="D11" s="31" t="s">
        <v>49</v>
      </c>
      <c r="E11" s="31" t="s">
        <v>230</v>
      </c>
      <c r="F11" s="44">
        <v>300</v>
      </c>
      <c r="G11" s="44">
        <v>390</v>
      </c>
      <c r="H11" s="44">
        <v>23204</v>
      </c>
      <c r="I11" s="44">
        <v>21961</v>
      </c>
      <c r="J11" s="31" t="s">
        <v>231</v>
      </c>
      <c r="K11" s="44">
        <v>21848</v>
      </c>
      <c r="L11" s="150" t="s">
        <v>51</v>
      </c>
      <c r="M11" s="151">
        <f t="shared" si="0"/>
        <v>59.664000000000001</v>
      </c>
      <c r="N11" s="152" t="str">
        <f>VLOOKUP(C11,'Trips&amp;Operators'!$C$1:$G$99999,5,FALSE)</f>
        <v>STARKS ANGELINA</v>
      </c>
      <c r="O11" s="176" t="s">
        <v>188</v>
      </c>
      <c r="P11" s="153"/>
      <c r="Q11" s="31"/>
      <c r="R11" s="96" t="str">
        <f>VLOOKUP(C11,'Train Runs'!$A$13:$AE$9983,31,0)</f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S11" s="99" t="str">
        <f>VLOOKUP(C11,'Train Runs'!$A$13:$AE$9983,22,0)</f>
        <v>https://d0f6bd738d7f1b3e5a7ca70fe4ff75f0.us-east-1.aws.found.io/app/kibana#/discover/Steve-Slow-Train-Analysis-(2080s-and-2083s)?_g=(refreshInterval:(display:Off,pause:!f,section:0,value:0),time:(from:'2017-01-23T04:09:10-0700',mode:absolute,to:'2017-01-23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101" t="str">
        <f t="shared" si="1"/>
        <v>"C:\Program Files (x86)\AstroGrep\AstroGrep.exe" /spath="%USERPROFILE%\AppData\Local\Temp\OnboardLogs" /stypes="*4015*201701231*" /stext=" 12:.+((SYSTEM_STATE.+slice.+state.+changed )|(ment ac)|(multiple cpu faults)|(system.+state.+changed )|(\[timeout)|(PRM\|1\|D)|(kpr)|(kdp)|(\|lc)|(penalty))" /e /r /s</v>
      </c>
      <c r="U11" s="9" t="str">
        <f t="shared" si="2"/>
        <v>4015</v>
      </c>
      <c r="V11" s="33">
        <f t="shared" si="3"/>
        <v>42758.530243055553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{"issue":{"subject":"","project_id":79,"tracker_id":40,"status_id":1,"priority_id":2,"assigned_to_id":23,"start_date":"2017-01-23","description":"","custom_fields":[{"id":1,"name":"Subdivision","value":"EC"},{"id":4,"name":"Milepost","value":"2.1848"},{"id":17,"name":"Train ID","value":"106-23"},{"id":16,"name":"Locomotive ID","value":"4015"},{"id":130,"name":"Impact","value":""},{"id":150,"name":"Time of Event (Mountain Time)","value":"05:43:33"},{"id":151,"name":"Denver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"%USERPROFILE%\AppData\Local\Temp\OnboardLogs"\RTDC4015\*4015*201701231*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"%USERPROFILE%\AppData\Local\Temp\OnboardLogs"\RTDC4015\*4015*201701231* &gt;&gt; 2017-01-23-SliceDisagreementCheck.txt</v>
      </c>
      <c r="AE11" s="180" t="str">
        <f t="shared" si="8"/>
        <v>start /low /b %USERPROFILE%\Documents\GitHub\eaglep3\Utilities\DownloadLogsFromS3.py --loco 4015 --day 2017-01-23</v>
      </c>
    </row>
    <row r="12" spans="1:31" s="1" customFormat="1" x14ac:dyDescent="0.25">
      <c r="A12" s="33">
        <v>42758.658483796295</v>
      </c>
      <c r="B12" s="31" t="s">
        <v>224</v>
      </c>
      <c r="C12" s="31" t="s">
        <v>443</v>
      </c>
      <c r="D12" s="31" t="s">
        <v>98</v>
      </c>
      <c r="E12" s="31" t="s">
        <v>230</v>
      </c>
      <c r="F12" s="44">
        <v>600</v>
      </c>
      <c r="G12" s="44">
        <v>651</v>
      </c>
      <c r="H12" s="44">
        <v>184211</v>
      </c>
      <c r="I12" s="44">
        <v>181004</v>
      </c>
      <c r="J12" s="31" t="s">
        <v>231</v>
      </c>
      <c r="K12" s="44">
        <v>190834</v>
      </c>
      <c r="L12" s="150" t="s">
        <v>51</v>
      </c>
      <c r="M12" s="151">
        <f t="shared" si="0"/>
        <v>-5190.24</v>
      </c>
      <c r="N12" s="152" t="str">
        <f>VLOOKUP(C12,'Trips&amp;Operators'!$C$1:$G$99999,5,FALSE)</f>
        <v>DAVIS MICHAEL</v>
      </c>
      <c r="O12" s="176" t="s">
        <v>188</v>
      </c>
      <c r="P12" s="153"/>
      <c r="Q12" s="31"/>
      <c r="R12" s="96" t="str">
        <f>VLOOKUP(C12,'Train Runs'!$A$13:$AE$9983,31,0)</f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S12" s="99" t="str">
        <f>VLOOKUP(C12,'Train Runs'!$A$13:$AE$9983,22,0)</f>
        <v>https://d0f6bd738d7f1b3e5a7ca70fe4ff75f0.us-east-1.aws.found.io/app/kibana#/discover/Steve-Slow-Train-Analysis-(2080s-and-2083s)?_g=(refreshInterval:(display:Off,pause:!f,section:0,value:0),time:(from:'2017-01-23T14:37:41-0700',mode:absolute,to:'2017-01-23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101" t="str">
        <f t="shared" si="1"/>
        <v>"C:\Program Files (x86)\AstroGrep\AstroGrep.exe" /spath="%USERPROFILE%\AppData\Local\Temp\OnboardLogs" /stypes="*4030*201701232*" /stext=" 22:.+((SYSTEM_STATE.+slice.+state.+changed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3">
        <f t="shared" si="3"/>
        <v>42758.950150462959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{"issue":{"subject":"","project_id":79,"tracker_id":40,"status_id":1,"priority_id":2,"assigned_to_id":23,"start_date":"2017-01-23","description":"","custom_fields":[{"id":1,"name":"Subdivision","value":"EC"},{"id":4,"name":"Milepost","value":"19.0834"},{"id":17,"name":"Train ID","value":"190-23"},{"id":16,"name":"Locomotive ID","value":"4030"},{"id":130,"name":"Impact","value":""},{"id":150,"name":"Time of Event (Mountain Time)","value":"15:48:13"},{"id":151,"name":"Denver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"%USERPROFILE%\AppData\Local\Temp\OnboardLogs"\RTDC4030\*4030*201701232*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"%USERPROFILE%\AppData\Local\Temp\OnboardLogs"\RTDC4030\*4030*201701232* &gt;&gt; 2017-01-23-SliceDisagreementCheck.txt</v>
      </c>
      <c r="AE12" s="180" t="str">
        <f t="shared" si="8"/>
        <v>start /low /b %USERPROFILE%\Documents\GitHub\eaglep3\Utilities\DownloadLogsFromS3.py --loco 4030 --day 2017-01-23</v>
      </c>
    </row>
    <row r="13" spans="1:31" s="1" customFormat="1" x14ac:dyDescent="0.25">
      <c r="A13" s="33">
        <v>42759.040289351855</v>
      </c>
      <c r="B13" s="31" t="s">
        <v>224</v>
      </c>
      <c r="C13" s="31" t="s">
        <v>453</v>
      </c>
      <c r="D13" s="31" t="s">
        <v>98</v>
      </c>
      <c r="E13" s="31" t="s">
        <v>230</v>
      </c>
      <c r="F13" s="44">
        <v>350</v>
      </c>
      <c r="G13" s="44">
        <v>405</v>
      </c>
      <c r="H13" s="44">
        <v>228747</v>
      </c>
      <c r="I13" s="44">
        <v>227727</v>
      </c>
      <c r="J13" s="31" t="s">
        <v>231</v>
      </c>
      <c r="K13" s="44">
        <v>232080</v>
      </c>
      <c r="L13" s="150" t="s">
        <v>51</v>
      </c>
      <c r="M13" s="151">
        <f t="shared" si="0"/>
        <v>-2298.384</v>
      </c>
      <c r="N13" s="152" t="str">
        <f>VLOOKUP(C13,'Trips&amp;Operators'!$C$1:$G$99999,5,FALSE)</f>
        <v>STAMBAUGH JAMES</v>
      </c>
      <c r="O13" s="176" t="s">
        <v>188</v>
      </c>
      <c r="P13" s="153"/>
      <c r="Q13" s="31"/>
      <c r="R13" s="96" t="str">
        <f>VLOOKUP(C13,'Train Runs'!$A$13:$AE$9983,31,0)</f>
        <v>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 &amp; aws s3 cp s3://rtdc.mdm.uploadarchive.raw/RTDC4030/ "%USERPROFILE%\AppData\Local\Temp\OnboardLogs"\RTDC4030\2017-01-25 --exclude "*" --recursive --include "*20170125*" &amp; "%USERPROFILE%\Documents\GitHub\mrs-test-scripts\Headless Mode &amp; Sideloading\WalkAndUnGZ.bat" "%USERPROFILE%\AppData\Local\Temp\OnboardLogs"\RTDC4030\2017-01-25</v>
      </c>
      <c r="S13" s="99" t="str">
        <f>VLOOKUP(C13,'Train Runs'!$A$13:$AE$9983,22,0)</f>
        <v>https://d0f6bd738d7f1b3e5a7ca70fe4ff75f0.us-east-1.aws.found.io/app/kibana#/discover/Steve-Slow-Train-Analysis-(2080s-and-2083s)?_g=(refreshInterval:(display:Off,pause:!f,section:0,value:0),time:(from:'2017-01-23T23:54:46-0700',mode:absolute,to:'2017-01-24T02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101" t="str">
        <f t="shared" si="1"/>
        <v>"C:\Program Files (x86)\AstroGrep\AstroGrep.exe" /spath="%USERPROFILE%\AppData\Local\Temp\OnboardLogs" /stypes="*4030*201701240*" /stext=" 07:.+((SYSTEM_STATE.+slice.+state.+changed )|(ment ac)|(multiple cpu faults)|(system.+state.+changed )|(\[timeout)|(PRM\|1\|D)|(kpr)|(kdp)|(\|lc)|(penalty))" /e /r /s</v>
      </c>
      <c r="U13" s="9" t="str">
        <f t="shared" si="2"/>
        <v>4030</v>
      </c>
      <c r="V13" s="33">
        <f t="shared" si="3"/>
        <v>42759.331956018519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{"issue":{"subject":"","project_id":79,"tracker_id":40,"status_id":1,"priority_id":2,"assigned_to_id":23,"start_date":"2017-01-24","description":"","custom_fields":[{"id":1,"name":"Subdivision","value":"EC"},{"id":4,"name":"Milepost","value":"23.208"},{"id":17,"name":"Train ID","value":"242-23"},{"id":16,"name":"Locomotive ID","value":"4030"},{"id":130,"name":"Impact","value":""},{"id":150,"name":"Time of Event (Mountain Time)","value":"00:58:01"},{"id":151,"name":"Denver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"%USERPROFILE%\AppData\Local\Temp\OnboardLogs"\RTDC4030\*4030*201701240*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"%USERPROFILE%\AppData\Local\Temp\OnboardLogs"\RTDC4030\*4030*201701240* &gt;&gt; 2017-01-23-SliceDisagreementCheck.txt</v>
      </c>
      <c r="AE13" s="180" t="str">
        <f t="shared" si="8"/>
        <v>start /low /b %USERPROFILE%\Documents\GitHub\eaglep3\Utilities\DownloadLogsFromS3.py --loco 4030 --day 2017-01-24</v>
      </c>
    </row>
    <row r="14" spans="1:31" s="1" customFormat="1" x14ac:dyDescent="0.25">
      <c r="A14" s="33">
        <v>42758.547824074078</v>
      </c>
      <c r="B14" s="31" t="s">
        <v>250</v>
      </c>
      <c r="C14" s="31" t="s">
        <v>440</v>
      </c>
      <c r="D14" s="31" t="s">
        <v>49</v>
      </c>
      <c r="E14" s="31" t="s">
        <v>191</v>
      </c>
      <c r="F14" s="44">
        <v>0</v>
      </c>
      <c r="G14" s="44">
        <v>72</v>
      </c>
      <c r="H14" s="44">
        <v>258</v>
      </c>
      <c r="I14" s="44">
        <v>165</v>
      </c>
      <c r="J14" s="31" t="s">
        <v>192</v>
      </c>
      <c r="K14" s="44">
        <v>1</v>
      </c>
      <c r="L14" s="150" t="s">
        <v>51</v>
      </c>
      <c r="M14" s="151">
        <f t="shared" si="0"/>
        <v>86.592000000000013</v>
      </c>
      <c r="N14" s="152" t="str">
        <f>VLOOKUP(C14,'Trips&amp;Operators'!$C$1:$G$99999,5,FALSE)</f>
        <v>CLARK KATHLEEN</v>
      </c>
      <c r="O14" s="176" t="s">
        <v>232</v>
      </c>
      <c r="P14" s="153" t="s">
        <v>426</v>
      </c>
      <c r="Q14" s="31"/>
      <c r="R14" s="96" t="str">
        <f>VLOOKUP(C14,'Train Runs'!$A$13:$AE$9983,31,0)</f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S14" s="99" t="str">
        <f>VLOOKUP(C14,'Train Runs'!$A$13:$AE$9983,22,0)</f>
        <v>https://d0f6bd738d7f1b3e5a7ca70fe4ff75f0.us-east-1.aws.found.io/app/kibana#/discover/Steve-Slow-Train-Analysis-(2080s-and-2083s)?_g=(refreshInterval:(display:Off,pause:!f,section:0,value:0),time:(from:'2017-01-23T11:21:10-0700',mode:absolute,to:'2017-01-23T14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101" t="str">
        <f t="shared" si="1"/>
        <v>"C:\Program Files (x86)\AstroGrep\AstroGrep.exe" /spath="%USERPROFILE%\AppData\Local\Temp\OnboardLogs" /stypes="*4021*201701232*" /stext=" 20:.+((SYSTEM_STATE.+slice.+state.+changed )|(ment ac)|(multiple cpu faults)|(system.+state.+changed )|(\[timeout)|(PRM\|1\|D)|(kpr)|(kdp)|(\|lc)|(penalty))" /e /r /s</v>
      </c>
      <c r="U14" s="9" t="str">
        <f t="shared" si="2"/>
        <v>4021</v>
      </c>
      <c r="V14" s="33">
        <f t="shared" si="3"/>
        <v>42758.839490740742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{"issue":{"subject":"Banner w/o braking","project_id":79,"tracker_id":40,"status_id":1,"priority_id":2,"assigned_to_id":23,"start_date":"2017-01-23","description":"","custom_fields":[{"id":1,"name":"Subdivision","value":"EC"},{"id":4,"name":"Milepost","value":"0.0001"},{"id":17,"name":"Train ID","value":"164-23"},{"id":16,"name":"Locomotive ID","value":"4021"},{"id":130,"name":"Impact","value":""},{"id":150,"name":"Time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"%USERPROFILE%\AppData\Local\Temp\OnboardLogs"\RTDC4021\*4021*201701232*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"%USERPROFILE%\AppData\Local\Temp\OnboardLogs"\RTDC4021\*4021*201701232* &gt;&gt; 2017-01-23-SliceDisagreementCheck.txt</v>
      </c>
      <c r="AE14" s="180" t="str">
        <f t="shared" si="8"/>
        <v>start /low /b %USERPROFILE%\Documents\GitHub\eaglep3\Utilities\DownloadLogsFromS3.py --loco 4021 --day 2017-01-23</v>
      </c>
    </row>
    <row r="15" spans="1:31" s="1" customFormat="1" x14ac:dyDescent="0.25">
      <c r="A15" s="33">
        <v>42759.047951388886</v>
      </c>
      <c r="B15" s="31" t="s">
        <v>199</v>
      </c>
      <c r="C15" s="31" t="s">
        <v>454</v>
      </c>
      <c r="D15" s="31" t="s">
        <v>49</v>
      </c>
      <c r="E15" s="31" t="s">
        <v>191</v>
      </c>
      <c r="F15" s="44">
        <v>0</v>
      </c>
      <c r="G15" s="44">
        <v>54</v>
      </c>
      <c r="H15" s="44">
        <v>189</v>
      </c>
      <c r="I15" s="44">
        <v>154</v>
      </c>
      <c r="J15" s="31" t="s">
        <v>192</v>
      </c>
      <c r="K15" s="44">
        <v>1</v>
      </c>
      <c r="L15" s="150" t="s">
        <v>51</v>
      </c>
      <c r="M15" s="151">
        <f t="shared" si="0"/>
        <v>80.784000000000006</v>
      </c>
      <c r="N15" s="152" t="str">
        <f>VLOOKUP(C15,'Trips&amp;Operators'!$C$1:$G$99999,5,FALSE)</f>
        <v>SMITH MICHAEL</v>
      </c>
      <c r="O15" s="176" t="s">
        <v>188</v>
      </c>
      <c r="P15" s="153"/>
      <c r="Q15" s="31"/>
      <c r="R15" s="96" t="str">
        <f>VLOOKUP(C15,'Train Runs'!$A$13:$AE$9983,31,0)</f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S15" s="99" t="str">
        <f>VLOOKUP(C15,'Train Runs'!$A$13:$AE$9983,22,0)</f>
        <v>https://d0f6bd738d7f1b3e5a7ca70fe4ff75f0.us-east-1.aws.found.io/app/kibana#/discover/Steve-Slow-Train-Analysis-(2080s-and-2083s)?_g=(refreshInterval:(display:Off,pause:!f,section:0,value:0),time:(from:'2017-01-23T23:19:02-0700',mode:absolute,to:'2017-01-24T02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5" s="101" t="str">
        <f t="shared" si="1"/>
        <v>"C:\Program Files (x86)\AstroGrep\AstroGrep.exe" /spath="%USERPROFILE%\AppData\Local\Temp\OnboardLogs" /stypes="*4012*201701240*" /stext=" 08:.+((SYSTEM_STATE.+slice.+state.+changed )|(ment ac)|(multiple cpu faults)|(system.+state.+changed )|(\[timeout)|(PRM\|1\|D)|(kpr)|(kdp)|(\|lc)|(penalty))" /e /r /s</v>
      </c>
      <c r="U15" s="9" t="str">
        <f t="shared" si="2"/>
        <v>4012</v>
      </c>
      <c r="V15" s="33">
        <f t="shared" si="3"/>
        <v>42759.33961805555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{"issue":{"subject":"","project_id":79,"tracker_id":40,"status_id":1,"priority_id":2,"assigned_to_id":23,"start_date":"2017-01-24","description":"","custom_fields":[{"id":1,"name":"Subdivision","value":"EC"},{"id":4,"name":"Milepost","value":"0.0001"},{"id":17,"name":"Train ID","value":"240-23"},{"id":16,"name":"Locomotive ID","value":"4012"},{"id":130,"name":"Impact","value":""},{"id":150,"name":"Time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"%USERPROFILE%\AppData\Local\Temp\OnboardLogs"\RTDC4012\*4012*201701240*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"%USERPROFILE%\AppData\Local\Temp\OnboardLogs"\RTDC4012\*4012*201701240* &gt;&gt; 2017-01-23-SliceDisagreementCheck.txt</v>
      </c>
      <c r="AE15" s="180" t="str">
        <f t="shared" si="8"/>
        <v>start /low /b %USERPROFILE%\Documents\GitHub\eaglep3\Utilities\DownloadLogsFromS3.py --loco 4012 --day 2017-01-24</v>
      </c>
    </row>
    <row r="16" spans="1:31" s="1" customFormat="1" x14ac:dyDescent="0.25">
      <c r="A16" s="33">
        <v>42759.005277777775</v>
      </c>
      <c r="B16" s="31" t="s">
        <v>252</v>
      </c>
      <c r="C16" s="31" t="s">
        <v>452</v>
      </c>
      <c r="D16" s="31" t="s">
        <v>49</v>
      </c>
      <c r="E16" s="31" t="s">
        <v>191</v>
      </c>
      <c r="F16" s="44">
        <v>0</v>
      </c>
      <c r="G16" s="44">
        <v>117</v>
      </c>
      <c r="H16" s="44">
        <v>1345</v>
      </c>
      <c r="I16" s="44">
        <v>1209</v>
      </c>
      <c r="J16" s="31" t="s">
        <v>192</v>
      </c>
      <c r="K16" s="44">
        <v>839</v>
      </c>
      <c r="L16" s="150" t="s">
        <v>51</v>
      </c>
      <c r="M16" s="151">
        <f t="shared" si="0"/>
        <v>195.36</v>
      </c>
      <c r="N16" s="152" t="str">
        <f>VLOOKUP(C16,'Trips&amp;Operators'!$C$1:$G$99999,5,FALSE)</f>
        <v>STORY SAMANTHA</v>
      </c>
      <c r="O16" s="176" t="s">
        <v>188</v>
      </c>
      <c r="P16" s="153"/>
      <c r="Q16" s="31"/>
      <c r="R16" s="96" t="str">
        <f>VLOOKUP(C16,'Train Runs'!$A$13:$AE$9983,31,0)</f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S16" s="99" t="str">
        <f>VLOOKUP(C16,'Train Runs'!$A$13:$AE$9983,22,0)</f>
        <v>https://d0f6bd738d7f1b3e5a7ca70fe4ff75f0.us-east-1.aws.found.io/app/kibana#/discover/Steve-Slow-Train-Analysis-(2080s-and-2083s)?_g=(refreshInterval:(display:Off,pause:!f,section:0,value:0),time:(from:'2017-01-23T22:21:37-0700',mode:absolute,to:'2017-01-24T01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101" t="str">
        <f t="shared" si="1"/>
        <v>"C:\Program Files (x86)\AstroGrep\AstroGrep.exe" /spath="%USERPROFILE%\AppData\Local\Temp\OnboardLogs" /stypes="*4028*201701240*" /stext=" 07:.+((SYSTEM_STATE.+slice.+state.+changed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3">
        <f t="shared" si="3"/>
        <v>42759.296944444439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{"issue":{"subject":"","project_id":79,"tracker_id":40,"status_id":1,"priority_id":2,"assigned_to_id":23,"start_date":"2017-01-24","description":"","custom_fields":[{"id":1,"name":"Subdivision","value":"EC"},{"id":4,"name":"Milepost","value":"0.0839"},{"id":17,"name":"Train ID","value":"236-23"},{"id":16,"name":"Locomotive ID","value":"4028"},{"id":130,"name":"Impact","value":""},{"id":150,"name":"Time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"%USERPROFILE%\AppData\Local\Temp\OnboardLogs"\RTDC4028\*4028*201701240*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"%USERPROFILE%\AppData\Local\Temp\OnboardLogs"\RTDC4028\*4028*201701240* &gt;&gt; 2017-01-23-SliceDisagreementCheck.txt</v>
      </c>
      <c r="AE16" s="180" t="str">
        <f t="shared" si="8"/>
        <v>start /low /b %USERPROFILE%\Documents\GitHub\eaglep3\Utilities\DownloadLogsFromS3.py --loco 4028 --day 2017-01-24</v>
      </c>
    </row>
    <row r="17" spans="1:32" x14ac:dyDescent="0.25">
      <c r="A17" s="33">
        <v>42758.203229166669</v>
      </c>
      <c r="B17" s="31" t="s">
        <v>266</v>
      </c>
      <c r="C17" s="31" t="s">
        <v>427</v>
      </c>
      <c r="D17" s="31" t="s">
        <v>49</v>
      </c>
      <c r="E17" s="31" t="s">
        <v>191</v>
      </c>
      <c r="F17" s="44">
        <v>0</v>
      </c>
      <c r="G17" s="44">
        <v>43</v>
      </c>
      <c r="H17" s="44">
        <v>233289</v>
      </c>
      <c r="I17" s="44">
        <v>233329</v>
      </c>
      <c r="J17" s="31" t="s">
        <v>192</v>
      </c>
      <c r="K17" s="44">
        <v>233491</v>
      </c>
      <c r="L17" s="150" t="s">
        <v>50</v>
      </c>
      <c r="M17" s="151">
        <f t="shared" si="0"/>
        <v>85.536000000000001</v>
      </c>
      <c r="N17" s="152" t="str">
        <f>VLOOKUP(C17,'Trips&amp;Operators'!$C$1:$G$99999,5,FALSE)</f>
        <v>STARKS ANGELINA</v>
      </c>
      <c r="O17" s="176" t="s">
        <v>188</v>
      </c>
      <c r="P17" s="153"/>
      <c r="Q17" s="31"/>
      <c r="R17" s="96" t="str">
        <f>VLOOKUP(C17,'Train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17" s="99" t="str">
        <f>VLOOKUP(C17,'Train Runs'!$A$13:$AE$9983,22,0)</f>
        <v>https://d0f6bd738d7f1b3e5a7ca70fe4ff75f0.us-east-1.aws.found.io/app/kibana#/discover/Steve-Slow-Train-Analysis-(2080s-and-2083s)?_g=(refreshInterval:(display:Off,pause:!f,section:0,value:0),time:(from:'2017-01-23T03:08:11-0700',mode:absolute,to:'2017-01-23T05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101" t="str">
        <f t="shared" si="1"/>
        <v>"C:\Program Files (x86)\AstroGrep\AstroGrep.exe" /spath="%USERPROFILE%\AppData\Local\Temp\OnboardLogs" /stypes="*4029*201701231*" /stext=" 11:.+((SYSTEM_STATE.+slice.+state.+changed )|(ment ac)|(multiple cpu faults)|(system.+state.+changed )|(\[timeout)|(PRM\|1\|D)|(kpr)|(kdp)|(\|lc)|(penalty))" /e /r /s</v>
      </c>
      <c r="U17" s="9" t="str">
        <f t="shared" si="2"/>
        <v>4029</v>
      </c>
      <c r="V17" s="33">
        <f t="shared" si="3"/>
        <v>42758.494895833333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{"issue":{"subject":"","project_id":79,"tracker_id":40,"status_id":1,"priority_id":2,"assigned_to_id":23,"start_date":"2017-01-23","description":"","custom_fields":[{"id":1,"name":"Subdivision","value":"EC"},{"id":4,"name":"Milepost","value":"23.3491"},{"id":17,"name":"Train ID","value":"105-23"},{"id":16,"name":"Locomotive ID","value":"4029"},{"id":130,"name":"Impact","value":""},{"id":150,"name":"Time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"%USERPROFILE%\AppData\Local\Temp\OnboardLogs"\RTDC4029\*4029*201701231*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"%USERPROFILE%\AppData\Local\Temp\OnboardLogs"\RTDC4029\*4029*201701231* &gt;&gt; 2017-01-23-SliceDisagreementCheck.txt</v>
      </c>
      <c r="AE17" s="180" t="str">
        <f t="shared" si="8"/>
        <v>start /low /b %USERPROFILE%\Documents\GitHub\eaglep3\Utilities\DownloadLogsFromS3.py --loco 4029 --day 2017-01-23</v>
      </c>
      <c r="AF17" s="1"/>
    </row>
    <row r="18" spans="1:32" ht="15" customHeight="1" x14ac:dyDescent="0.25">
      <c r="A18" s="33">
        <v>42758.734351851854</v>
      </c>
      <c r="B18" s="31" t="s">
        <v>248</v>
      </c>
      <c r="C18" s="31" t="s">
        <v>446</v>
      </c>
      <c r="D18" s="31" t="s">
        <v>49</v>
      </c>
      <c r="E18" s="31" t="s">
        <v>191</v>
      </c>
      <c r="F18" s="44">
        <v>0</v>
      </c>
      <c r="G18" s="44">
        <v>156</v>
      </c>
      <c r="H18" s="44">
        <v>232775</v>
      </c>
      <c r="I18" s="44">
        <v>232953</v>
      </c>
      <c r="J18" s="31" t="s">
        <v>192</v>
      </c>
      <c r="K18" s="44">
        <v>233491</v>
      </c>
      <c r="L18" s="150" t="s">
        <v>50</v>
      </c>
      <c r="M18" s="151">
        <f t="shared" si="0"/>
        <v>284.06400000000002</v>
      </c>
      <c r="N18" s="152" t="str">
        <f>VLOOKUP(C18,'Trips&amp;Operators'!$C$1:$G$99999,5,FALSE)</f>
        <v>ROMERO CHAD</v>
      </c>
      <c r="O18" s="176" t="s">
        <v>188</v>
      </c>
      <c r="P18" s="153"/>
      <c r="Q18" s="31"/>
      <c r="R18" s="96" t="str">
        <f>VLOOKUP(C18,'Train Runs'!$A$13:$AE$9983,31,0)</f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S18" s="99" t="str">
        <f>VLOOKUP(C18,'Train Runs'!$A$13:$AE$9983,22,0)</f>
        <v>https://d0f6bd738d7f1b3e5a7ca70fe4ff75f0.us-east-1.aws.found.io/app/kibana#/discover/Steve-Slow-Train-Analysis-(2080s-and-2083s)?_g=(refreshInterval:(display:Off,pause:!f,section:0,value:0),time:(from:'2017-01-23T15:54:28-0700',mode:absolute,to:'2017-01-23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8" s="101" t="str">
        <f t="shared" si="1"/>
        <v>"C:\Program Files (x86)\AstroGrep\AstroGrep.exe" /spath="%USERPROFILE%\AppData\Local\Temp\OnboardLogs" /stypes="*4046*201701240*" /stext=" 00:.+((SYSTEM_STATE.+slice.+state.+changed )|(ment ac)|(multiple cpu faults)|(system.+state.+changed )|(\[timeout)|(PRM\|1\|D)|(kpr)|(kdp)|(\|lc)|(penalty))" /e /r /s</v>
      </c>
      <c r="U18" s="9" t="str">
        <f t="shared" si="2"/>
        <v>4046</v>
      </c>
      <c r="V18" s="33">
        <f t="shared" si="3"/>
        <v>42759.026018518518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{"issue":{"subject":"","project_id":79,"tracker_id":40,"status_id":1,"priority_id":2,"assigned_to_id":23,"start_date":"2017-01-23","description":"","custom_fields":[{"id":1,"name":"Subdivision","value":"EC"},{"id":4,"name":"Milepost","value":"23.3491"},{"id":17,"name":"Train ID","value":"207-23"},{"id":16,"name":"Locomotive ID","value":"4046"},{"id":130,"name":"Impact","value":""},{"id":150,"name":"Time of Event (Mountain Time)","value":"17:37:28"},{"id":151,"name":"Denver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"%USERPROFILE%\AppData\Local\Temp\OnboardLogs"\RTDC4046\*4046*201701240*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"%USERPROFILE%\AppData\Local\Temp\OnboardLogs"\RTDC4046\*4046*201701240* &gt;&gt; 2017-01-23-SliceDisagreementCheck.txt</v>
      </c>
      <c r="AE18" s="180" t="str">
        <f t="shared" si="8"/>
        <v>start /low /b %USERPROFILE%\Documents\GitHub\eaglep3\Utilities\DownloadLogsFromS3.py --loco 4046 --day 2017-01-24</v>
      </c>
      <c r="AF18" s="1"/>
    </row>
    <row r="19" spans="1:32" x14ac:dyDescent="0.25">
      <c r="A19" s="33">
        <v>42758.348310185182</v>
      </c>
      <c r="B19" s="31" t="s">
        <v>279</v>
      </c>
      <c r="C19" s="31" t="s">
        <v>436</v>
      </c>
      <c r="D19" s="31" t="s">
        <v>49</v>
      </c>
      <c r="E19" s="31" t="s">
        <v>207</v>
      </c>
      <c r="F19" s="44">
        <v>90</v>
      </c>
      <c r="G19" s="44">
        <v>142</v>
      </c>
      <c r="H19" s="44">
        <v>11417</v>
      </c>
      <c r="I19" s="44">
        <v>11220</v>
      </c>
      <c r="J19" s="31" t="s">
        <v>208</v>
      </c>
      <c r="K19" s="44">
        <v>10988</v>
      </c>
      <c r="L19" s="150" t="s">
        <v>51</v>
      </c>
      <c r="M19" s="151">
        <f t="shared" si="0"/>
        <v>122.496</v>
      </c>
      <c r="N19" s="152" t="str">
        <f>VLOOKUP(C19,'Trips&amp;Operators'!$C$1:$G$99999,5,FALSE)</f>
        <v>DAVIS WENDY</v>
      </c>
      <c r="O19" s="176" t="s">
        <v>188</v>
      </c>
      <c r="P19" s="153" t="s">
        <v>425</v>
      </c>
      <c r="Q19" s="31"/>
      <c r="R19" s="96" t="str">
        <f>VLOOKUP(C19,'Train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19" s="99" t="str">
        <f>VLOOKUP(C19,'Train Runs'!$A$13:$AE$9983,22,0)</f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101" t="str">
        <f t="shared" si="1"/>
        <v>"C:\Program Files (x86)\AstroGrep\AstroGrep.exe" /spath="%USERPROFILE%\AppData\Local\Temp\OnboardLogs" /stypes="*4039*201701231*" /stext=" 15:.+((SYSTEM_STATE.+slice.+state.+changed )|(ment ac)|(multiple cpu faults)|(system.+state.+changed )|(\[timeout)|(PRM\|1\|D)|(kpr)|(kdp)|(\|lc)|(penalty))" /e /r /s</v>
      </c>
      <c r="U19" s="9" t="str">
        <f t="shared" si="2"/>
        <v>4039</v>
      </c>
      <c r="V19" s="33">
        <f t="shared" si="3"/>
        <v>42758.639976851846</v>
      </c>
      <c r="W19" s="47" t="str">
        <f t="shared" si="4"/>
        <v>NW</v>
      </c>
      <c r="X19" s="47" t="str">
        <f t="shared" si="5"/>
        <v>KEEP</v>
      </c>
      <c r="Y19" s="115" t="str">
        <f t="shared" si="6"/>
        <v>echo {"issue":{"subject":"Early arrival","project_id":79,"tracker_id":40,"status_id":1,"priority_id":2,"assigned_to_id":23,"start_date":"2017-01-23","description":"","custom_fields":[{"id":1,"name":"Subdivision","value":"NW"},{"id":4,"name":"Milepost","value":"1.0988"},{"id":17,"name":"Train ID","value":"810-23"},{"id":16,"name":"Locomotive ID","value":"4039"},{"id":130,"name":"Impact","value":""},{"id":150,"name":"Time of Event (Mountain Time)","value":"08:21:34"},{"id":151,"name":"Denver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"%USERPROFILE%\AppData\Local\Temp\OnboardLogs"\RTDC4039\*4039*201701231*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19" s="180" t="str">
        <f t="shared" si="8"/>
        <v>start /low /b %USERPROFILE%\Documents\GitHub\eaglep3\Utilities\DownloadLogsFromS3.py --loco 4039 --day 2017-01-23</v>
      </c>
      <c r="AF19" s="1"/>
    </row>
    <row r="20" spans="1:32" x14ac:dyDescent="0.25">
      <c r="A20" s="33">
        <v>42758.618622685186</v>
      </c>
      <c r="B20" s="31" t="s">
        <v>441</v>
      </c>
      <c r="C20" s="31" t="s">
        <v>442</v>
      </c>
      <c r="D20" s="31" t="s">
        <v>49</v>
      </c>
      <c r="E20" s="31" t="s">
        <v>207</v>
      </c>
      <c r="F20" s="44">
        <v>90</v>
      </c>
      <c r="G20" s="44">
        <v>172</v>
      </c>
      <c r="H20" s="44">
        <v>11405</v>
      </c>
      <c r="I20" s="44">
        <v>11148</v>
      </c>
      <c r="J20" s="31" t="s">
        <v>208</v>
      </c>
      <c r="K20" s="44">
        <v>10988</v>
      </c>
      <c r="L20" s="150" t="s">
        <v>51</v>
      </c>
      <c r="M20" s="151">
        <f t="shared" si="0"/>
        <v>84.48</v>
      </c>
      <c r="N20" s="152" t="str">
        <f>VLOOKUP(C20,'Trips&amp;Operators'!$C$1:$G$99999,5,FALSE)</f>
        <v>LEVIN SCOTT</v>
      </c>
      <c r="O20" s="176" t="s">
        <v>188</v>
      </c>
      <c r="P20" s="153" t="s">
        <v>425</v>
      </c>
      <c r="Q20" s="31"/>
      <c r="R20" s="96" t="str">
        <f>VLOOKUP(C20,'Train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0" s="99" t="str">
        <f>VLOOKUP(C20,'Train Runs'!$A$13:$AE$9983,22,0)</f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101" t="str">
        <f t="shared" si="1"/>
        <v>"C:\Program Files (x86)\AstroGrep\AstroGrep.exe" /spath="%USERPROFILE%\AppData\Local\Temp\OnboardLogs" /stypes="*4001*201701232*" /stext=" 21:.+((SYSTEM_STATE.+slice.+state.+changed )|(ment ac)|(multiple cpu faults)|(system.+state.+changed )|(\[timeout)|(PRM\|1\|D)|(kpr)|(kdp)|(\|lc)|(penalty))" /e /r /s</v>
      </c>
      <c r="U20" s="9" t="str">
        <f t="shared" si="2"/>
        <v>4001</v>
      </c>
      <c r="V20" s="33">
        <f t="shared" si="3"/>
        <v>42758.91028935185</v>
      </c>
      <c r="W20" s="47" t="str">
        <f t="shared" si="4"/>
        <v>NW</v>
      </c>
      <c r="X20" s="47" t="str">
        <f t="shared" si="5"/>
        <v>KEEP</v>
      </c>
      <c r="Y20" s="115" t="str">
        <f t="shared" si="6"/>
        <v>echo {"issue":{"subject":"Early arrival","project_id":79,"tracker_id":40,"status_id":1,"priority_id":2,"assigned_to_id":23,"start_date":"2017-01-23","description":"","custom_fields":[{"id":1,"name":"Subdivision","value":"NW"},{"id":4,"name":"Milepost","value":"1.0988"},{"id":17,"name":"Train ID","value":"824-23"},{"id":16,"name":"Locomotive ID","value":"4001"},{"id":130,"name":"Impact","value":""},{"id":150,"name":"Time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"%USERPROFILE%\AppData\Local\Temp\OnboardLogs"\RTDC4001\*4001*201701232*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"%USERPROFILE%\AppData\Local\Temp\OnboardLogs"\RTDC4001\*4001*201701232* &gt;&gt; 2017-01-23-SliceDisagreementCheck.txt</v>
      </c>
      <c r="AE20" s="180" t="str">
        <f t="shared" si="8"/>
        <v>start /low /b %USERPROFILE%\Documents\GitHub\eaglep3\Utilities\DownloadLogsFromS3.py --loco 4001 --day 2017-01-23</v>
      </c>
      <c r="AF20" s="1"/>
    </row>
    <row r="21" spans="1:32" x14ac:dyDescent="0.25">
      <c r="A21" s="33">
        <v>42758.303402777776</v>
      </c>
      <c r="B21" s="31" t="s">
        <v>279</v>
      </c>
      <c r="C21" s="31" t="s">
        <v>433</v>
      </c>
      <c r="D21" s="31" t="s">
        <v>98</v>
      </c>
      <c r="E21" s="31" t="s">
        <v>230</v>
      </c>
      <c r="F21" s="44">
        <v>400</v>
      </c>
      <c r="G21" s="44">
        <v>457</v>
      </c>
      <c r="H21" s="44">
        <v>38658</v>
      </c>
      <c r="I21" s="44">
        <v>37424</v>
      </c>
      <c r="J21" s="31" t="s">
        <v>231</v>
      </c>
      <c r="K21" s="44">
        <v>40977</v>
      </c>
      <c r="L21" s="150" t="s">
        <v>51</v>
      </c>
      <c r="M21" s="151">
        <f t="shared" si="0"/>
        <v>-1875.9839999999999</v>
      </c>
      <c r="N21" s="152" t="str">
        <f>VLOOKUP(C21,'Trips&amp;Operators'!$C$1:$G$99999,5,FALSE)</f>
        <v>DAVIS WENDY</v>
      </c>
      <c r="O21" s="176" t="s">
        <v>188</v>
      </c>
      <c r="P21" s="153"/>
      <c r="Q21" s="31"/>
      <c r="R21" s="96" t="str">
        <f>VLOOKUP(C21,'Train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1" s="99" t="str">
        <f>VLOOKUP(C21,'Train Runs'!$A$13:$AE$9983,22,0)</f>
        <v>https://d0f6bd738d7f1b3e5a7ca70fe4ff75f0.us-east-1.aws.found.io/app/kibana#/discover/Steve-Slow-Train-Analysis-(2080s-and-2083s)?_g=(refreshInterval:(display:Off,pause:!f,section:0,value:0),time:(from:'2017-01-23T06:08:29-0700',mode:absolute,to:'2017-01-23T08:27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101" t="str">
        <f t="shared" si="1"/>
        <v>"C:\Program Files (x86)\AstroGrep\AstroGrep.exe" /spath="%USERPROFILE%\AppData\Local\Temp\OnboardLogs" /stypes="*4039*201701231*" /stext=" 14:.+((SYSTEM_STATE.+slice.+state.+changed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3">
        <f t="shared" si="3"/>
        <v>42758.59506944444</v>
      </c>
      <c r="W21" s="47" t="str">
        <f t="shared" si="4"/>
        <v>NW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{"issue":{"subject":"","project_id":79,"tracker_id":40,"status_id":1,"priority_id":2,"assigned_to_id":23,"start_date":"2017-01-23","description":"","custom_fields":[{"id":1,"name":"Subdivision","value":"NW"},{"id":4,"name":"Milepost","value":"4.0977"},{"id":17,"name":"Train ID","value":"806-23"},{"id":16,"name":"Locomotive ID","value":"4039"},{"id":130,"name":"Impact","value":""},{"id":150,"name":"Time of Event (Mountain Time)","value":"07:16:54"},{"id":151,"name":"Denver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"%USERPROFILE%\AppData\Local\Temp\OnboardLogs"\RTDC4039\*4039*201701231*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1" s="180" t="str">
        <f t="shared" si="8"/>
        <v>start /low /b %USERPROFILE%\Documents\GitHub\eaglep3\Utilities\DownloadLogsFromS3.py --loco 4039 --day 2017-01-23</v>
      </c>
      <c r="AF21" s="1"/>
    </row>
    <row r="22" spans="1:32" ht="15" customHeight="1" x14ac:dyDescent="0.25">
      <c r="A22" s="33">
        <v>42758.724293981482</v>
      </c>
      <c r="B22" s="31" t="s">
        <v>279</v>
      </c>
      <c r="C22" s="31" t="s">
        <v>445</v>
      </c>
      <c r="D22" s="31" t="s">
        <v>49</v>
      </c>
      <c r="E22" s="31" t="s">
        <v>189</v>
      </c>
      <c r="F22" s="44">
        <v>0</v>
      </c>
      <c r="G22" s="44">
        <v>146</v>
      </c>
      <c r="H22" s="44">
        <v>5279</v>
      </c>
      <c r="I22" s="44">
        <v>5020</v>
      </c>
      <c r="J22" s="31" t="s">
        <v>190</v>
      </c>
      <c r="K22" s="44">
        <v>4790</v>
      </c>
      <c r="L22" s="150" t="s">
        <v>51</v>
      </c>
      <c r="M22" s="151">
        <f t="shared" si="0"/>
        <v>121.44</v>
      </c>
      <c r="N22" s="152" t="str">
        <f>VLOOKUP(C22,'Trips&amp;Operators'!$C$1:$G$99999,5,FALSE)</f>
        <v>NEWELL JAMES</v>
      </c>
      <c r="O22" s="176" t="s">
        <v>188</v>
      </c>
      <c r="P22" s="153" t="s">
        <v>843</v>
      </c>
      <c r="Q22" s="31"/>
      <c r="R22" s="96" t="str">
        <f>VLOOKUP(C22,'Train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2" s="99" t="str">
        <f>VLOOKUP(C22,'Train Runs'!$A$13:$AE$9983,22,0)</f>
        <v>https://d0f6bd738d7f1b3e5a7ca70fe4ff75f0.us-east-1.aws.found.io/app/kibana#/discover/Steve-Slow-Train-Analysis-(2080s-and-2083s)?_g=(refreshInterval:(display:Off,pause:!f,section:0,value:0),time:(from:'2017-01-23T16:06:25-0700',mode:absolute,to:'2017-01-23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101" t="str">
        <f t="shared" si="1"/>
        <v>"C:\Program Files (x86)\AstroGrep\AstroGrep.exe" /spath="%USERPROFILE%\AppData\Local\Temp\OnboardLogs" /stypes="*4039*201701240*" /stext=" 00:.+((SYSTEM_STATE.+slice.+state.+changed )|(ment ac)|(multiple cpu faults)|(system.+state.+changed )|(\[timeout)|(PRM\|1\|D)|(kpr)|(kdp)|(\|lc)|(penalty))" /e /r /s</v>
      </c>
      <c r="U22" s="9" t="str">
        <f t="shared" si="2"/>
        <v>4039</v>
      </c>
      <c r="V22" s="33">
        <f t="shared" si="3"/>
        <v>42759.015960648147</v>
      </c>
      <c r="W22" s="47" t="str">
        <f t="shared" si="4"/>
        <v>NW</v>
      </c>
      <c r="X22" s="47" t="str">
        <f t="shared" si="5"/>
        <v>KEEP</v>
      </c>
      <c r="Y22" s="115" t="str">
        <f t="shared" si="6"/>
        <v>echo {"issue":{"subject":"DUS 28S STOP, cleared 2 seconds after enforcement","project_id":79,"tracker_id":40,"status_id":1,"priority_id":2,"assigned_to_id":23,"start_date":"2017-01-23","description":"","custom_fields":[{"id":1,"name":"Subdivision","value":"NW"},{"id":4,"name":"Milepost","value":"0.479"},{"id":17,"name":"Train ID","value":"832-23"},{"id":16,"name":"Locomotive ID","value":"4039"},{"id":130,"name":"Impact","value":""},{"id":150,"name":"Time of Event (Mountain Time)","value":"17:22:59"},{"id":151,"name":"Denver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"%USERPROFILE%\AppData\Local\Temp\OnboardLogs"\RTDC4039\*4039*201701240*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"%USERPROFILE%\AppData\Local\Temp\OnboardLogs"\RTDC4039\*4039*201701240* &gt;&gt; 2017-01-23-SliceDisagreementCheck.txt</v>
      </c>
      <c r="AE22" s="180" t="str">
        <f t="shared" si="8"/>
        <v>start /low /b %USERPROFILE%\Documents\GitHub\eaglep3\Utilities\DownloadLogsFromS3.py --loco 4039 --day 2017-01-24</v>
      </c>
      <c r="AF22" s="1"/>
    </row>
    <row r="23" spans="1:32" ht="15" customHeight="1" x14ac:dyDescent="0.25">
      <c r="A23" s="33">
        <v>42758.268680555557</v>
      </c>
      <c r="B23" s="31" t="s">
        <v>279</v>
      </c>
      <c r="C23" s="31" t="s">
        <v>431</v>
      </c>
      <c r="D23" s="31" t="s">
        <v>49</v>
      </c>
      <c r="E23" s="31" t="s">
        <v>191</v>
      </c>
      <c r="F23" s="44">
        <v>0</v>
      </c>
      <c r="G23" s="44">
        <v>28</v>
      </c>
      <c r="H23" s="44">
        <v>642</v>
      </c>
      <c r="I23" s="44">
        <v>612</v>
      </c>
      <c r="J23" s="31" t="s">
        <v>192</v>
      </c>
      <c r="K23" s="44">
        <v>575</v>
      </c>
      <c r="L23" s="150" t="s">
        <v>51</v>
      </c>
      <c r="M23" s="151">
        <f t="shared" si="0"/>
        <v>19.536000000000001</v>
      </c>
      <c r="N23" s="152" t="str">
        <f>VLOOKUP(C23,'Trips&amp;Operators'!$C$1:$G$99999,5,FALSE)</f>
        <v>DAVIS WENDY</v>
      </c>
      <c r="O23" s="176" t="s">
        <v>188</v>
      </c>
      <c r="P23" s="153"/>
      <c r="Q23" s="31"/>
      <c r="R23" s="96" t="str">
        <f>VLOOKUP(C23,'Train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3" s="99" t="str">
        <f>VLOOKUP(C23,'Train Runs'!$A$13:$AE$9983,22,0)</f>
        <v>https://d0f6bd738d7f1b3e5a7ca70fe4ff75f0.us-east-1.aws.found.io/app/kibana#/discover/Steve-Slow-Train-Analysis-(2080s-and-2083s)?_g=(refreshInterval:(display:Off,pause:!f,section:0,value:0),time:(from:'2017-01-23T05:08:34-0700',mode:absolute,to:'2017-01-23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101" t="str">
        <f t="shared" si="1"/>
        <v>"C:\Program Files (x86)\AstroGrep\AstroGrep.exe" /spath="%USERPROFILE%\AppData\Local\Temp\OnboardLogs" /stypes="*4039*201701231*" /stext=" 13:.+((SYSTEM_STATE.+slice.+state.+changed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3">
        <f t="shared" si="3"/>
        <v>42758.560347222221</v>
      </c>
      <c r="W23" s="47" t="str">
        <f t="shared" si="4"/>
        <v>NW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ID","value":"802-23"},{"id":16,"name":"Locomotive ID","value":"4039"},{"id":130,"name":"Impact","value":""},{"id":150,"name":"Time of Event (Mountain Time)","value":"06:26:54"},{"id":151,"name":"Denver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"%USERPROFILE%\AppData\Local\Temp\OnboardLogs"\RTDC4039\*4039*201701231*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3" s="180" t="str">
        <f t="shared" si="8"/>
        <v>start /low /b %USERPROFILE%\Documents\GitHub\eaglep3\Utilities\DownloadLogsFromS3.py --loco 4039 --day 2017-01-23</v>
      </c>
      <c r="AF23" s="1"/>
    </row>
    <row r="24" spans="1:32" x14ac:dyDescent="0.25">
      <c r="A24" s="33">
        <v>42758.352106481485</v>
      </c>
      <c r="B24" s="31" t="s">
        <v>279</v>
      </c>
      <c r="C24" s="31" t="s">
        <v>436</v>
      </c>
      <c r="D24" s="31" t="s">
        <v>49</v>
      </c>
      <c r="E24" s="31" t="s">
        <v>191</v>
      </c>
      <c r="F24" s="44">
        <v>0</v>
      </c>
      <c r="G24" s="44">
        <v>28</v>
      </c>
      <c r="H24" s="44">
        <v>661</v>
      </c>
      <c r="I24" s="44">
        <v>638</v>
      </c>
      <c r="J24" s="31" t="s">
        <v>192</v>
      </c>
      <c r="K24" s="44">
        <v>575</v>
      </c>
      <c r="L24" s="150" t="s">
        <v>51</v>
      </c>
      <c r="M24" s="151">
        <f t="shared" si="0"/>
        <v>33.264000000000003</v>
      </c>
      <c r="N24" s="152" t="str">
        <f>VLOOKUP(C24,'Trips&amp;Operators'!$C$1:$G$99999,5,FALSE)</f>
        <v>DAVIS WENDY</v>
      </c>
      <c r="O24" s="176" t="s">
        <v>188</v>
      </c>
      <c r="P24" s="153"/>
      <c r="Q24" s="31"/>
      <c r="R24" s="96" t="str">
        <f>VLOOKUP(C24,'Train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4" s="99" t="str">
        <f>VLOOKUP(C24,'Train Runs'!$A$13:$AE$9983,22,0)</f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101" t="str">
        <f t="shared" si="1"/>
        <v>"C:\Program Files (x86)\AstroGrep\AstroGrep.exe" /spath="%USERPROFILE%\AppData\Local\Temp\OnboardLogs" /stypes="*4039*201701231*" /stext=" 15:.+((SYSTEM_STATE.+slice.+state.+changed )|(ment ac)|(multiple cpu faults)|(system.+state.+changed )|(\[timeout)|(PRM\|1\|D)|(kpr)|(kdp)|(\|lc)|(penalty))" /e /r /s</v>
      </c>
      <c r="U24" s="9" t="str">
        <f t="shared" si="2"/>
        <v>4039</v>
      </c>
      <c r="V24" s="33">
        <f t="shared" si="3"/>
        <v>42758.643773148149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ID","value":"810-23"},{"id":16,"name":"Locomotive ID","value":"4039"},{"id":130,"name":"Impact","value":""},{"id":150,"name":"Time of Event (Mountain Time)","value":"08:27:02"},{"id":151,"name":"Denver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"%USERPROFILE%\AppData\Local\Temp\OnboardLogs"\RTDC4039\*4039*201701231*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4" s="180" t="str">
        <f t="shared" si="8"/>
        <v>start /low /b %USERPROFILE%\Documents\GitHub\eaglep3\Utilities\DownloadLogsFromS3.py --loco 4039 --day 2017-01-23</v>
      </c>
      <c r="AF24" s="1"/>
    </row>
    <row r="25" spans="1:32" x14ac:dyDescent="0.25">
      <c r="A25" s="33">
        <v>42758.621921296297</v>
      </c>
      <c r="B25" s="31" t="s">
        <v>441</v>
      </c>
      <c r="C25" s="31" t="s">
        <v>442</v>
      </c>
      <c r="D25" s="31" t="s">
        <v>49</v>
      </c>
      <c r="E25" s="31" t="s">
        <v>191</v>
      </c>
      <c r="F25" s="44">
        <v>0</v>
      </c>
      <c r="G25" s="44">
        <v>34</v>
      </c>
      <c r="H25" s="44">
        <v>670</v>
      </c>
      <c r="I25" s="44">
        <v>643</v>
      </c>
      <c r="J25" s="31" t="s">
        <v>192</v>
      </c>
      <c r="K25" s="44">
        <v>575</v>
      </c>
      <c r="L25" s="150" t="s">
        <v>51</v>
      </c>
      <c r="M25" s="151">
        <f t="shared" si="0"/>
        <v>35.904000000000003</v>
      </c>
      <c r="N25" s="152" t="str">
        <f>VLOOKUP(C25,'Trips&amp;Operators'!$C$1:$G$99999,5,FALSE)</f>
        <v>LEVIN SCOTT</v>
      </c>
      <c r="O25" s="176" t="s">
        <v>188</v>
      </c>
      <c r="P25" s="153"/>
      <c r="Q25" s="31"/>
      <c r="R25" s="96" t="str">
        <f>VLOOKUP(C25,'Train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5" s="99" t="str">
        <f>VLOOKUP(C25,'Train Runs'!$A$13:$AE$9983,22,0)</f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101" t="str">
        <f t="shared" si="1"/>
        <v>"C:\Program Files (x86)\AstroGrep\AstroGrep.exe" /spath="%USERPROFILE%\AppData\Local\Temp\OnboardLogs" /stypes="*4001*201701232*" /stext=" 21:.+((SYSTEM_STATE.+slice.+state.+changed )|(ment ac)|(multiple cpu faults)|(system.+state.+changed )|(\[timeout)|(PRM\|1\|D)|(kpr)|(kdp)|(\|lc)|(penalty))" /e /r /s</v>
      </c>
      <c r="U25" s="9" t="str">
        <f t="shared" si="2"/>
        <v>4001</v>
      </c>
      <c r="V25" s="33">
        <f t="shared" si="3"/>
        <v>42758.913587962961</v>
      </c>
      <c r="W25" s="47" t="str">
        <f t="shared" si="4"/>
        <v>NW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ID","value":"824-23"},{"id":16,"name":"Locomotive ID","value":"4001"},{"id":130,"name":"Impact","value":""},{"id":150,"name":"Time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"%USERPROFILE%\AppData\Local\Temp\OnboardLogs"\RTDC4001\*4001*201701232*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"%USERPROFILE%\AppData\Local\Temp\OnboardLogs"\RTDC4001\*4001*201701232* &gt;&gt; 2017-01-23-SliceDisagreementCheck.txt</v>
      </c>
      <c r="AE25" s="180" t="str">
        <f t="shared" si="8"/>
        <v>start /low /b %USERPROFILE%\Documents\GitHub\eaglep3\Utilities\DownloadLogsFromS3.py --loco 4001 --day 2017-01-23</v>
      </c>
      <c r="AF25" s="1"/>
    </row>
    <row r="26" spans="1:32" x14ac:dyDescent="0.25">
      <c r="A26" s="33">
        <v>42758.790625000001</v>
      </c>
      <c r="B26" s="31" t="s">
        <v>441</v>
      </c>
      <c r="C26" s="31" t="s">
        <v>450</v>
      </c>
      <c r="D26" s="31" t="s">
        <v>49</v>
      </c>
      <c r="E26" s="31" t="s">
        <v>191</v>
      </c>
      <c r="F26" s="44">
        <v>0</v>
      </c>
      <c r="G26" s="44">
        <v>42</v>
      </c>
      <c r="H26" s="44">
        <v>710</v>
      </c>
      <c r="I26" s="44">
        <v>668</v>
      </c>
      <c r="J26" s="31" t="s">
        <v>192</v>
      </c>
      <c r="K26" s="44">
        <v>575</v>
      </c>
      <c r="L26" s="150" t="s">
        <v>51</v>
      </c>
      <c r="M26" s="151">
        <f t="shared" si="0"/>
        <v>49.103999999999999</v>
      </c>
      <c r="N26" s="152" t="str">
        <f>VLOOKUP(C26,'Trips&amp;Operators'!$C$1:$G$99999,5,FALSE)</f>
        <v>LEVIN SCOTT</v>
      </c>
      <c r="O26" s="176" t="s">
        <v>188</v>
      </c>
      <c r="P26" s="153"/>
      <c r="Q26" s="31"/>
      <c r="R26" s="96" t="str">
        <f>VLOOKUP(C26,'Train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6" s="99" t="str">
        <f>VLOOKUP(C26,'Train Runs'!$A$13:$AE$9983,22,0)</f>
        <v>https://d0f6bd738d7f1b3e5a7ca70fe4ff75f0.us-east-1.aws.found.io/app/kibana#/discover/Steve-Slow-Train-Analysis-(2080s-and-2083s)?_g=(refreshInterval:(display:Off,pause:!f,section:0,value:0),time:(from:'2017-01-23T17:37:46-0700',mode:absolute,to:'2017-01-23T19:58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101" t="str">
        <f t="shared" si="1"/>
        <v>"C:\Program Files (x86)\AstroGrep\AstroGrep.exe" /spath="%USERPROFILE%\AppData\Local\Temp\OnboardLogs" /stypes="*4001*201701240*" /stext=" 01:.+((SYSTEM_STATE.+slice.+state.+changed )|(ment ac)|(multiple cpu faults)|(system.+state.+changed )|(\[timeout)|(PRM\|1\|D)|(kpr)|(kdp)|(\|lc)|(penalty))" /e /r /s</v>
      </c>
      <c r="U26" s="9" t="str">
        <f t="shared" si="2"/>
        <v>4001</v>
      </c>
      <c r="V26" s="33">
        <f t="shared" si="3"/>
        <v>42759.082291666666</v>
      </c>
      <c r="W26" s="47" t="str">
        <f t="shared" si="4"/>
        <v>NW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ID","value":"838-23"},{"id":16,"name":"Locomotive ID","value":"4001"},{"id":130,"name":"Impact","value":""},{"id":150,"name":"Time of Event (Mountain Time)","value":"18:58:30"},{"id":151,"name":"Denver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"%USERPROFILE%\AppData\Local\Temp\OnboardLogs"\RTDC4001\*4001*201701240*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"%USERPROFILE%\AppData\Local\Temp\OnboardLogs"\RTDC4001\*4001*201701240* &gt;&gt; 2017-01-23-SliceDisagreementCheck.txt</v>
      </c>
      <c r="AE26" s="180" t="str">
        <f t="shared" si="8"/>
        <v>start /low /b %USERPROFILE%\Documents\GitHub\eaglep3\Utilities\DownloadLogsFromS3.py --loco 4001 --day 2017-01-24</v>
      </c>
      <c r="AF26" s="1"/>
    </row>
    <row r="27" spans="1:32" x14ac:dyDescent="0.25">
      <c r="A27" s="33">
        <v>42758.255173611113</v>
      </c>
      <c r="B27" s="31" t="s">
        <v>197</v>
      </c>
      <c r="C27" s="31" t="s">
        <v>430</v>
      </c>
      <c r="D27" s="31" t="s">
        <v>98</v>
      </c>
      <c r="E27" s="31" t="s">
        <v>191</v>
      </c>
      <c r="F27" s="44">
        <v>0</v>
      </c>
      <c r="G27" s="44">
        <v>10</v>
      </c>
      <c r="H27" s="44">
        <v>59049</v>
      </c>
      <c r="I27" s="44">
        <v>0</v>
      </c>
      <c r="J27" s="31" t="s">
        <v>192</v>
      </c>
      <c r="K27" s="44">
        <v>59048</v>
      </c>
      <c r="L27" s="150" t="s">
        <v>50</v>
      </c>
      <c r="M27" s="151">
        <f t="shared" si="0"/>
        <v>31177.344000000001</v>
      </c>
      <c r="N27" s="152" t="str">
        <f>VLOOKUP(C27,'Trips&amp;Operators'!$C$1:$G$99999,5,FALSE)</f>
        <v>DAVIS WENDY</v>
      </c>
      <c r="O27" s="176" t="s">
        <v>188</v>
      </c>
      <c r="P27" s="153"/>
      <c r="Q27" s="31"/>
      <c r="R27" s="96" t="str">
        <f>VLOOKUP(C27,'Train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7" s="99" t="str">
        <f>VLOOKUP(C27,'Train Runs'!$A$13:$AE$9983,22,0)</f>
        <v>https://d0f6bd738d7f1b3e5a7ca70fe4ff75f0.us-east-1.aws.found.io/app/kibana#/discover/Steve-Slow-Train-Analysis-(2080s-and-2083s)?_g=(refreshInterval:(display:Off,pause:!f,section:0,value:0),time:(from:'2017-01-23T04:45:15-0700',mode:absolute,to:'2017-01-23T07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101" t="str">
        <f t="shared" si="1"/>
        <v>"C:\Program Files (x86)\AstroGrep\AstroGrep.exe" /spath="%USERPROFILE%\AppData\Local\Temp\OnboardLogs" /stypes="*4040*201701231*" /stext=" 13:.+((SYSTEM_STATE.+slice.+state.+changed )|(ment ac)|(multiple cpu faults)|(system.+state.+changed )|(\[timeout)|(PRM\|1\|D)|(kpr)|(kdp)|(\|lc)|(penalty))" /e /r /s</v>
      </c>
      <c r="U27" s="9" t="str">
        <f t="shared" si="2"/>
        <v>4040</v>
      </c>
      <c r="V27" s="33">
        <f t="shared" si="3"/>
        <v>42758.546840277777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ID","value":"801-23"},{"id":16,"name":"Locomotive ID","value":"4040"},{"id":130,"name":"Impact","value":""},{"id":150,"name":"Time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"%USERPROFILE%\AppData\Local\Temp\OnboardLogs"\RTDC4040\*4040*201701231*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7" s="180" t="str">
        <f t="shared" si="8"/>
        <v>start /low /b %USERPROFILE%\Documents\GitHub\eaglep3\Utilities\DownloadLogsFromS3.py --loco 4040 --day 2017-01-23</v>
      </c>
      <c r="AF27" s="1"/>
    </row>
    <row r="28" spans="1:32" x14ac:dyDescent="0.25">
      <c r="A28" s="33">
        <v>42758.296527777777</v>
      </c>
      <c r="B28" s="31" t="s">
        <v>197</v>
      </c>
      <c r="C28" s="31" t="s">
        <v>432</v>
      </c>
      <c r="D28" s="31" t="s">
        <v>98</v>
      </c>
      <c r="E28" s="31" t="s">
        <v>191</v>
      </c>
      <c r="F28" s="44">
        <v>0</v>
      </c>
      <c r="G28" s="44">
        <v>4</v>
      </c>
      <c r="H28" s="44">
        <v>59048</v>
      </c>
      <c r="I28" s="44">
        <v>0</v>
      </c>
      <c r="J28" s="31" t="s">
        <v>192</v>
      </c>
      <c r="K28" s="44">
        <v>59048</v>
      </c>
      <c r="L28" s="150" t="s">
        <v>50</v>
      </c>
      <c r="M28" s="151">
        <f t="shared" si="0"/>
        <v>31177.344000000001</v>
      </c>
      <c r="N28" s="152" t="str">
        <f>VLOOKUP(C28,'Trips&amp;Operators'!$C$1:$G$99999,5,FALSE)</f>
        <v>DAVIS WENDY</v>
      </c>
      <c r="O28" s="176" t="s">
        <v>188</v>
      </c>
      <c r="P28" s="153"/>
      <c r="Q28" s="31"/>
      <c r="R28" s="96" t="str">
        <f>VLOOKUP(C28,'Train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8" s="99" t="str">
        <f>VLOOKUP(C28,'Train Runs'!$A$13:$AE$9983,22,0)</f>
        <v>https://d0f6bd738d7f1b3e5a7ca70fe4ff75f0.us-east-1.aws.found.io/app/kibana#/discover/Steve-Slow-Train-Analysis-(2080s-and-2083s)?_g=(refreshInterval:(display:Off,pause:!f,section:0,value:0),time:(from:'2017-01-23T05:42:36-0700',mode:absolute,to:'2017-01-23T08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101" t="str">
        <f t="shared" si="1"/>
        <v>"C:\Program Files (x86)\AstroGrep\AstroGrep.exe" /spath="%USERPROFILE%\AppData\Local\Temp\OnboardLogs" /stypes="*4040*201701231*" /stext=" 14:.+((SYSTEM_STATE.+slice.+state.+changed )|(ment ac)|(multiple cpu faults)|(system.+state.+changed )|(\[timeout)|(PRM\|1\|D)|(kpr)|(kdp)|(\|lc)|(penalty))" /e /r /s</v>
      </c>
      <c r="U28" s="9" t="str">
        <f t="shared" si="2"/>
        <v>4040</v>
      </c>
      <c r="V28" s="33">
        <f t="shared" si="3"/>
        <v>42758.588194444441</v>
      </c>
      <c r="W28" s="47" t="str">
        <f t="shared" si="4"/>
        <v>NW</v>
      </c>
      <c r="X28" s="47" t="str">
        <f t="shared" si="5"/>
        <v>OMIT</v>
      </c>
      <c r="Y28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ID","value":"805-23"},{"id":16,"name":"Locomotive ID","value":"4040"},{"id":130,"name":"Impact","value":""},{"id":150,"name":"Time of Event (Mountain Time)","value":"07:07:00"},{"id":151,"name":"Denver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"%USERPROFILE%\AppData\Local\Temp\OnboardLogs"\RTDC4040\*4040*201701231*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8" s="180" t="str">
        <f t="shared" si="8"/>
        <v>start /low /b %USERPROFILE%\Documents\GitHub\eaglep3\Utilities\DownloadLogsFromS3.py --loco 4040 --day 2017-01-23</v>
      </c>
      <c r="AF28" s="1"/>
    </row>
    <row r="29" spans="1:32" x14ac:dyDescent="0.25">
      <c r="A29" s="33">
        <v>42758.33730324074</v>
      </c>
      <c r="B29" s="31" t="s">
        <v>197</v>
      </c>
      <c r="C29" s="31" t="s">
        <v>435</v>
      </c>
      <c r="D29" s="31" t="s">
        <v>49</v>
      </c>
      <c r="E29" s="31" t="s">
        <v>191</v>
      </c>
      <c r="F29" s="44">
        <v>0</v>
      </c>
      <c r="G29" s="44">
        <v>54</v>
      </c>
      <c r="H29" s="44">
        <v>58897</v>
      </c>
      <c r="I29" s="44">
        <v>58943</v>
      </c>
      <c r="J29" s="31" t="s">
        <v>192</v>
      </c>
      <c r="K29" s="44">
        <v>59048</v>
      </c>
      <c r="L29" s="150" t="s">
        <v>50</v>
      </c>
      <c r="M29" s="151">
        <f t="shared" si="0"/>
        <v>55.44</v>
      </c>
      <c r="N29" s="152" t="str">
        <f>VLOOKUP(C29,'Trips&amp;Operators'!$C$1:$G$99999,5,FALSE)</f>
        <v>DAVIS WENDY</v>
      </c>
      <c r="O29" s="176" t="s">
        <v>188</v>
      </c>
      <c r="P29" s="153"/>
      <c r="Q29" s="31"/>
      <c r="R29" s="96" t="str">
        <f>VLOOKUP(C29,'Train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9" s="99" t="str">
        <f>VLOOKUP(C29,'Train Runs'!$A$13:$AE$9983,22,0)</f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9" s="101" t="str">
        <f t="shared" si="1"/>
        <v>"C:\Program Files (x86)\AstroGrep\AstroGrep.exe" /spath="%USERPROFILE%\AppData\Local\Temp\OnboardLogs" /stypes="*4040*201701231*" /stext=" 15:.+((SYSTEM_STATE.+slice.+state.+changed )|(ment ac)|(multiple cpu faults)|(system.+state.+changed )|(\[timeout)|(PRM\|1\|D)|(kpr)|(kdp)|(\|lc)|(penalty))" /e /r /s</v>
      </c>
      <c r="U29" s="9" t="str">
        <f t="shared" si="2"/>
        <v>4040</v>
      </c>
      <c r="V29" s="33">
        <f t="shared" si="3"/>
        <v>42758.628969907404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ID","value":"809-23"},{"id":16,"name":"Locomotive ID","value":"4040"},{"id":130,"name":"Impact","value":""},{"id":150,"name":"Time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"%USERPROFILE%\AppData\Local\Temp\OnboardLogs"\RTDC4040\*4040*201701231*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9" s="180" t="str">
        <f t="shared" si="8"/>
        <v>start /low /b %USERPROFILE%\Documents\GitHub\eaglep3\Utilities\DownloadLogsFromS3.py --loco 4040 --day 2017-01-23</v>
      </c>
      <c r="AF29" s="1"/>
    </row>
    <row r="30" spans="1:32" x14ac:dyDescent="0.25">
      <c r="A30" s="33">
        <v>42758.337962962964</v>
      </c>
      <c r="B30" s="31" t="s">
        <v>197</v>
      </c>
      <c r="C30" s="31" t="s">
        <v>435</v>
      </c>
      <c r="D30" s="31" t="s">
        <v>49</v>
      </c>
      <c r="E30" s="31" t="s">
        <v>191</v>
      </c>
      <c r="F30" s="44">
        <v>0</v>
      </c>
      <c r="G30" s="44">
        <v>18</v>
      </c>
      <c r="H30" s="44">
        <v>59027</v>
      </c>
      <c r="I30" s="44">
        <v>59039</v>
      </c>
      <c r="J30" s="31" t="s">
        <v>192</v>
      </c>
      <c r="K30" s="44">
        <v>59048</v>
      </c>
      <c r="L30" s="150" t="s">
        <v>50</v>
      </c>
      <c r="M30" s="151">
        <f t="shared" si="0"/>
        <v>4.7519999999999998</v>
      </c>
      <c r="N30" s="152" t="str">
        <f>VLOOKUP(C30,'Trips&amp;Operators'!$C$1:$G$99999,5,FALSE)</f>
        <v>DAVIS WENDY</v>
      </c>
      <c r="O30" s="176" t="s">
        <v>188</v>
      </c>
      <c r="P30" s="153"/>
      <c r="Q30" s="31"/>
      <c r="R30" s="96" t="str">
        <f>VLOOKUP(C30,'Train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30" s="99" t="str">
        <f>VLOOKUP(C30,'Train Runs'!$A$13:$AE$9983,22,0)</f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101" t="str">
        <f t="shared" si="1"/>
        <v>"C:\Program Files (x86)\AstroGrep\AstroGrep.exe" /spath="%USERPROFILE%\AppData\Local\Temp\OnboardLogs" /stypes="*4040*201701231*" /stext=" 15:.+((SYSTEM_STATE.+slice.+state.+changed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3">
        <f t="shared" si="3"/>
        <v>42758.629629629628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ID","value":"809-23"},{"id":16,"name":"Locomotive ID","value":"4040"},{"id":130,"name":"Impact","value":""},{"id":150,"name":"Time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"%USERPROFILE%\AppData\Local\Temp\OnboardLogs"\RTDC4040\*4040*201701231*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30" s="180" t="str">
        <f t="shared" si="8"/>
        <v>start /low /b %USERPROFILE%\Documents\GitHub\eaglep3\Utilities\DownloadLogsFromS3.py --loco 4040 --day 2017-01-23</v>
      </c>
      <c r="AF30" s="1"/>
    </row>
    <row r="31" spans="1:32" x14ac:dyDescent="0.25">
      <c r="A31" s="33">
        <v>42758.756307870368</v>
      </c>
      <c r="B31" s="31" t="s">
        <v>448</v>
      </c>
      <c r="C31" s="31" t="s">
        <v>449</v>
      </c>
      <c r="D31" s="31" t="s">
        <v>98</v>
      </c>
      <c r="E31" s="31" t="s">
        <v>189</v>
      </c>
      <c r="F31" s="44">
        <v>0</v>
      </c>
      <c r="G31" s="44">
        <v>90</v>
      </c>
      <c r="H31" s="44">
        <v>10969</v>
      </c>
      <c r="I31" s="44">
        <v>10678</v>
      </c>
      <c r="J31" s="31" t="s">
        <v>190</v>
      </c>
      <c r="K31" s="44">
        <v>11016</v>
      </c>
      <c r="L31" s="150" t="s">
        <v>51</v>
      </c>
      <c r="M31" s="151">
        <f t="shared" si="0"/>
        <v>-178.46399999999997</v>
      </c>
      <c r="N31" s="152" t="str">
        <f>VLOOKUP(C31,'Trips&amp;Operators'!$C$1:$G$99999,5,FALSE)</f>
        <v>STORY SAMANTHA</v>
      </c>
      <c r="O31" s="176" t="s">
        <v>188</v>
      </c>
      <c r="P31" s="153"/>
      <c r="Q31" s="31"/>
      <c r="R31" s="96" t="str">
        <f>VLOOKUP(C31,'Train Runs'!$A$13:$AE$9983,31,0)</f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S31" s="99" t="str">
        <f>VLOOKUP(C31,'Train Runs'!$A$13:$AE$9983,22,0)</f>
        <v>https://d0f6bd738d7f1b3e5a7ca70fe4ff75f0.us-east-1.aws.found.io/app/kibana#/discover/Steve-Slow-Train-Analysis-(2080s-and-2083s)?_g=(refreshInterval:(display:Off,pause:!f,section:0,value:0),time:(from:'2017-01-23T17:01:33-0700',mode:absolute,to:'2017-01-23T19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1" s="101" t="str">
        <f t="shared" si="1"/>
        <v>"C:\Program Files (x86)\AstroGrep\AstroGrep.exe" /spath="%USERPROFILE%\AppData\Local\Temp\OnboardLogs" /stypes="*4041*201701240*" /stext=" 01:.+((SYSTEM_STATE.+slice.+state.+changed )|(ment ac)|(multiple cpu faults)|(system.+state.+changed )|(\[timeout)|(PRM\|1\|D)|(kpr)|(kdp)|(\|lc)|(penalty))" /e /r /s</v>
      </c>
      <c r="U31" s="9" t="str">
        <f t="shared" si="2"/>
        <v>4041</v>
      </c>
      <c r="V31" s="33">
        <f t="shared" si="3"/>
        <v>42759.047974537032</v>
      </c>
      <c r="W31" s="47" t="str">
        <f t="shared" si="4"/>
        <v>Other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{"issue":{"subject":"","project_id":79,"tracker_id":40,"status_id":1,"priority_id":2,"assigned_to_id":23,"start_date":"2017-01-23","description":"","custom_fields":[{"id":1,"name":"Subdivision","value":"Other"},{"id":4,"name":"Milepost","value":"1.1016"},{"id":17,"name":"Train ID","value":"58-23"},{"id":16,"name":"Locomotive ID","value":"4041"},{"id":130,"name":"Impact","value":""},{"id":150,"name":"Time of Event (Mountain Time)","value":"18:09:05"},{"id":151,"name":"Denver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"%USERPROFILE%\AppData\Local\Temp\OnboardLogs"\RTDC4041\*4041*201701240*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"%USERPROFILE%\AppData\Local\Temp\OnboardLogs"\RTDC4041\*4041*201701240* &gt;&gt; 2017-01-23-SliceDisagreementCheck.txt</v>
      </c>
      <c r="AE31" s="180" t="str">
        <f t="shared" si="8"/>
        <v>start /low /b %USERPROFILE%\Documents\GitHub\eaglep3\Utilities\DownloadLogsFromS3.py --loco 4041 --day 2017-01-24</v>
      </c>
      <c r="AF31" s="1"/>
    </row>
    <row r="32" spans="1:32" x14ac:dyDescent="0.25">
      <c r="A32" s="33">
        <v>42758.523321759261</v>
      </c>
      <c r="B32" s="31" t="s">
        <v>368</v>
      </c>
      <c r="C32" s="31" t="s">
        <v>438</v>
      </c>
      <c r="D32" s="31" t="s">
        <v>49</v>
      </c>
      <c r="E32" s="31" t="s">
        <v>189</v>
      </c>
      <c r="F32" s="44">
        <v>0</v>
      </c>
      <c r="G32" s="44">
        <v>25</v>
      </c>
      <c r="H32" s="44">
        <v>25604</v>
      </c>
      <c r="I32" s="44">
        <v>25630</v>
      </c>
      <c r="J32" s="31" t="s">
        <v>190</v>
      </c>
      <c r="K32" s="44">
        <v>25657</v>
      </c>
      <c r="L32" s="150" t="s">
        <v>50</v>
      </c>
      <c r="M32" s="151">
        <f t="shared" si="0"/>
        <v>14.256</v>
      </c>
      <c r="N32" s="152" t="str">
        <f>VLOOKUP(C32,'Trips&amp;Operators'!$C$1:$G$99999,5,FALSE)</f>
        <v>DAVIS WENDY</v>
      </c>
      <c r="O32" s="176" t="s">
        <v>188</v>
      </c>
      <c r="P32" s="153"/>
      <c r="Q32" s="31"/>
      <c r="R32" s="96" t="str">
        <f>VLOOKUP(C32,'Train Runs'!$A$13:$AE$9983,31,0)</f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S32" s="99" t="str">
        <f>VLOOKUP(C32,'Train Runs'!$A$13:$AE$9983,22,0)</f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101" t="str">
        <f t="shared" si="1"/>
        <v>"C:\Program Files (x86)\AstroGrep\AstroGrep.exe" /spath="%USERPROFILE%\AppData\Local\Temp\OnboardLogs" /stypes="*4003*201701231*" /stext=" 19:.+((SYSTEM_STATE.+slice.+state.+changed )|(ment ac)|(multiple cpu faults)|(system.+state.+changed )|(\[timeout)|(PRM\|1\|D)|(kpr)|(kdp)|(\|lc)|(penalty))" /e /r /s</v>
      </c>
      <c r="U32" s="9" t="str">
        <f t="shared" si="2"/>
        <v>4003</v>
      </c>
      <c r="V32" s="33">
        <f t="shared" si="3"/>
        <v>42758.814988425926</v>
      </c>
      <c r="W32" s="47" t="str">
        <f t="shared" si="4"/>
        <v>Other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{"issue":{"subject":"","project_id":79,"tracker_id":40,"status_id":1,"priority_id":2,"assigned_to_id":23,"start_date":"2017-01-23","description":"","custom_fields":[{"id":1,"name":"Subdivision","value":"Other"},{"id":4,"name":"Milepost","value":"2.5657"},{"id":17,"name":"Train ID","value":"53-23"},{"id":16,"name":"Locomotive ID","value":"4003"},{"id":130,"name":"Impact","value":""},{"id":150,"name":"Time of Event (Mountain Time)","value":"12:33:35"},{"id":151,"name":"Denver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"%USERPROFILE%\AppData\Local\Temp\OnboardLogs"\RTDC4003\*4003*201701231*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"%USERPROFILE%\AppData\Local\Temp\OnboardLogs"\RTDC4003\*4003*201701231* &gt;&gt; 2017-01-23-SliceDisagreementCheck.txt</v>
      </c>
      <c r="AE32" s="180" t="str">
        <f t="shared" si="8"/>
        <v>start /low /b %USERPROFILE%\Documents\GitHub\eaglep3\Utilities\DownloadLogsFromS3.py --loco 4003 --day 2017-01-23</v>
      </c>
      <c r="AF32" s="1"/>
    </row>
    <row r="33" spans="1:32" x14ac:dyDescent="0.25">
      <c r="A33" s="33">
        <v>42758.51771990741</v>
      </c>
      <c r="B33" s="31" t="s">
        <v>368</v>
      </c>
      <c r="C33" s="31" t="s">
        <v>438</v>
      </c>
      <c r="D33" s="31" t="s">
        <v>98</v>
      </c>
      <c r="E33" s="31" t="s">
        <v>439</v>
      </c>
      <c r="F33" s="44">
        <v>100</v>
      </c>
      <c r="G33" s="44">
        <v>158</v>
      </c>
      <c r="H33" s="44">
        <v>11380</v>
      </c>
      <c r="I33" s="44">
        <v>11591</v>
      </c>
      <c r="J33" s="31" t="s">
        <v>208</v>
      </c>
      <c r="K33" s="44">
        <v>10701</v>
      </c>
      <c r="L33" s="150" t="s">
        <v>50</v>
      </c>
      <c r="M33" s="151">
        <f t="shared" si="0"/>
        <v>-469.92</v>
      </c>
      <c r="N33" s="152" t="str">
        <f>VLOOKUP(C33,'Trips&amp;Operators'!$C$1:$G$99999,5,FALSE)</f>
        <v>DAVIS WENDY</v>
      </c>
      <c r="O33" s="176" t="s">
        <v>188</v>
      </c>
      <c r="P33" s="153"/>
      <c r="Q33" s="31"/>
      <c r="R33" s="96" t="str">
        <f>VLOOKUP(C33,'Train Runs'!$A$13:$AE$9983,31,0)</f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S33" s="99" t="str">
        <f>VLOOKUP(C33,'Train Runs'!$A$13:$AE$9983,22,0)</f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3" s="101" t="str">
        <f t="shared" si="1"/>
        <v>"C:\Program Files (x86)\AstroGrep\AstroGrep.exe" /spath="%USERPROFILE%\AppData\Local\Temp\OnboardLogs" /stypes="*4003*201701231*" /stext=" 19:.+((SYSTEM_STATE.+slice.+state.+changed )|(ment ac)|(multiple cpu faults)|(system.+state.+changed )|(\[timeout)|(PRM\|1\|D)|(kpr)|(kdp)|(\|lc)|(penalty))" /e /r /s</v>
      </c>
      <c r="U33" s="9" t="str">
        <f t="shared" si="2"/>
        <v>4003</v>
      </c>
      <c r="V33" s="33">
        <f t="shared" si="3"/>
        <v>42758.809386574074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{"issue":{"subject":"","project_id":79,"tracker_id":40,"status_id":1,"priority_id":2,"assigned_to_id":23,"start_date":"2017-01-23","description":"","custom_fields":[{"id":1,"name":"Subdivision","value":"Other"},{"id":4,"name":"Milepost","value":"1.0701"},{"id":17,"name":"Train ID","value":"53-23"},{"id":16,"name":"Locomotive ID","value":"4003"},{"id":130,"name":"Impact","value":""},{"id":150,"name":"Time of Event (Mountain Time)","value":"12:25:31"},{"id":151,"name":"Denver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"%USERPROFILE%\AppData\Local\Temp\OnboardLogs"\RTDC4003\*4003*201701231*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"%USERPROFILE%\AppData\Local\Temp\OnboardLogs"\RTDC4003\*4003*201701231* &gt;&gt; 2017-01-23-SliceDisagreementCheck.txt</v>
      </c>
      <c r="AE33" s="180" t="str">
        <f t="shared" si="8"/>
        <v>start /low /b %USERPROFILE%\Documents\GitHub\eaglep3\Utilities\DownloadLogsFromS3.py --loco 4003 --day 2017-01-23</v>
      </c>
      <c r="AF33" s="1"/>
    </row>
    <row r="34" spans="1:32" x14ac:dyDescent="0.25">
      <c r="A34" s="33">
        <v>42758.477349537039</v>
      </c>
      <c r="B34" s="31" t="s">
        <v>375</v>
      </c>
      <c r="C34" s="31" t="s">
        <v>437</v>
      </c>
      <c r="D34" s="31" t="s">
        <v>49</v>
      </c>
      <c r="E34" s="31" t="s">
        <v>191</v>
      </c>
      <c r="F34" s="44">
        <v>0</v>
      </c>
      <c r="G34" s="44">
        <v>25</v>
      </c>
      <c r="H34" s="44">
        <v>880</v>
      </c>
      <c r="I34" s="44">
        <v>865</v>
      </c>
      <c r="J34" s="31" t="s">
        <v>192</v>
      </c>
      <c r="K34" s="44">
        <v>826</v>
      </c>
      <c r="L34" s="150" t="s">
        <v>51</v>
      </c>
      <c r="M34" s="151">
        <f t="shared" si="0"/>
        <v>20.591999999999999</v>
      </c>
      <c r="N34" s="152" t="str">
        <f>VLOOKUP(C34,'Trips&amp;Operators'!$C$1:$G$99999,5,FALSE)</f>
        <v>CRAYTON QUNTRELL</v>
      </c>
      <c r="O34" s="176" t="s">
        <v>188</v>
      </c>
      <c r="P34" s="153"/>
      <c r="Q34" s="31"/>
      <c r="R34" s="96" t="str">
        <f>VLOOKUP(C34,'Train Runs'!$A$13:$AE$9983,31,0)</f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S34" s="99" t="str">
        <f>VLOOKUP(C34,'Train Runs'!$A$13:$AE$9983,22,0)</f>
        <v>https://d0f6bd738d7f1b3e5a7ca70fe4ff75f0.us-east-1.aws.found.io/app/kibana#/discover/Steve-Slow-Train-Analysis-(2080s-and-2083s)?_g=(refreshInterval:(display:Off,pause:!f,section:0,value:0),time:(from:'2017-01-23T10:13:03-0700',mode:absolute,to:'2017-01-23T12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4" s="101" t="str">
        <f t="shared" si="1"/>
        <v>"C:\Program Files (x86)\AstroGrep\AstroGrep.exe" /spath="%USERPROFILE%\AppData\Local\Temp\OnboardLogs" /stypes="*4004*201701231*" /stext=" 18:.+((SYSTEM_STATE.+slice.+state.+changed )|(ment ac)|(multiple cpu faults)|(system.+state.+changed )|(\[timeout)|(PRM\|1\|D)|(kpr)|(kdp)|(\|lc)|(penalty))" /e /r /s</v>
      </c>
      <c r="U34" s="9" t="str">
        <f t="shared" si="2"/>
        <v>4004</v>
      </c>
      <c r="V34" s="33">
        <f t="shared" si="3"/>
        <v>42758.769016203703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{"issue":{"subject":"","project_id":79,"tracker_id":40,"status_id":1,"priority_id":2,"assigned_to_id":23,"start_date":"2017-01-23","description":"","custom_fields":[{"id":1,"name":"Subdivision","value":"Other"},{"id":4,"name":"Milepost","value":"0.0826"},{"id":17,"name":"Train ID","value":"52-23"},{"id":16,"name":"Locomotive ID","value":"4004"},{"id":130,"name":"Impact","value":""},{"id":150,"name":"Time of Event (Mountain Time)","value":"11:27:23"},{"id":151,"name":"Denver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"%USERPROFILE%\AppData\Local\Temp\OnboardLogs"\RTDC4004\*4004*201701231*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"%USERPROFILE%\AppData\Local\Temp\OnboardLogs"\RTDC4004\*4004*201701231* &gt;&gt; 2017-01-23-SliceDisagreementCheck.txt</v>
      </c>
      <c r="AE34" s="180" t="str">
        <f t="shared" si="8"/>
        <v>start /low /b %USERPROFILE%\Documents\GitHub\eaglep3\Utilities\DownloadLogsFromS3.py --loco 4004 --day 2017-01-23</v>
      </c>
      <c r="AF34" s="1"/>
    </row>
    <row r="35" spans="1:32" x14ac:dyDescent="0.25">
      <c r="A35" s="33">
        <v>42758.215879629628</v>
      </c>
      <c r="B35" s="31" t="s">
        <v>197</v>
      </c>
      <c r="C35" s="31" t="s">
        <v>428</v>
      </c>
      <c r="D35" s="31" t="s">
        <v>98</v>
      </c>
      <c r="E35" s="31" t="s">
        <v>191</v>
      </c>
      <c r="F35" s="44">
        <v>0</v>
      </c>
      <c r="G35" s="44">
        <v>11</v>
      </c>
      <c r="H35" s="44">
        <v>59048</v>
      </c>
      <c r="I35" s="44">
        <v>0</v>
      </c>
      <c r="J35" s="31" t="s">
        <v>192</v>
      </c>
      <c r="K35" s="44">
        <v>59048</v>
      </c>
      <c r="L35" s="150" t="s">
        <v>50</v>
      </c>
      <c r="M35" s="151">
        <f t="shared" si="0"/>
        <v>31177.344000000001</v>
      </c>
      <c r="N35" s="152" t="str">
        <f>VLOOKUP(C35,'Trips&amp;Operators'!$C$1:$G$99999,5,FALSE)</f>
        <v>DAVIS WENDY</v>
      </c>
      <c r="O35" s="176" t="s">
        <v>188</v>
      </c>
      <c r="P35" s="153"/>
      <c r="Q35" s="31"/>
      <c r="R35" s="96" t="str">
        <f>VLOOKUP(C35,'Train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35" s="99" t="str">
        <f>VLOOKUP(C35,'Train Runs'!$A$13:$AE$9983,22,0)</f>
        <v>https://d0f6bd738d7f1b3e5a7ca70fe4ff75f0.us-east-1.aws.found.io/app/kibana#/discover/Steve-Slow-Train-Analysis-(2080s-and-2083s)?_g=(refreshInterval:(display:Off,pause:!f,section:0,value:0),time:(from:'2017-01-23T04:00:16-0700',mode:absolute,to:'2017-01-23T06:10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5" s="101" t="str">
        <f t="shared" si="1"/>
        <v>"C:\Program Files (x86)\AstroGrep\AstroGrep.exe" /spath="%USERPROFILE%\AppData\Local\Temp\OnboardLogs" /stypes="*4040*201701231*" /stext=" 12:.+((SYSTEM_STATE.+slice.+state.+changed )|(ment ac)|(multiple cpu faults)|(system.+state.+changed )|(\[timeout)|(PRM\|1\|D)|(kpr)|(kdp)|(\|lc)|(penalty))" /e /r /s</v>
      </c>
      <c r="U35" s="9" t="str">
        <f t="shared" si="2"/>
        <v>4040</v>
      </c>
      <c r="V35" s="33">
        <f t="shared" si="3"/>
        <v>42758.507546296292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{"issue":{"subject":"","project_id":79,"tracker_id":40,"status_id":1,"priority_id":2,"assigned_to_id":23,"start_date":"2017-01-23","description":"","custom_fields":[{"id":1,"name":"Subdivision","value":"Other"},{"id":4,"name":"Milepost","value":"5.9048"},{"id":17,"name":"Train ID","value":"901-23"},{"id":16,"name":"Locomotive ID","value":"4040"},{"id":130,"name":"Impact","value":""},{"id":150,"name":"Time of Event (Mountain Time)","value":"05:10:52"},{"id":151,"name":"Denver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"%USERPROFILE%\AppData\Local\Temp\OnboardLogs"\RTDC4040\*4040*201701231*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35" s="180" t="str">
        <f t="shared" si="8"/>
        <v>start /low /b %USERPROFILE%\Documents\GitHub\eaglep3\Utilities\DownloadLogsFromS3.py --loco 4040 --day 2017-01-23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>
    <sortState ref="A7:AC37">
      <sortCondition ref="V6:V37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67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/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2017-01-23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-23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1" t="e">
        <f>VLOOKUP(B3,'Train Runs'!$A$13:$A$99980,1,FALSE)</f>
        <v>#N/A</v>
      </c>
    </row>
    <row r="4" spans="1:10" x14ac:dyDescent="0.25">
      <c r="A4" s="164"/>
      <c r="B4" s="44" t="str">
        <f>A4&amp;"-"&amp;IF(DAY(Variables!$A$2)&lt;10,0,"")&amp;DAY(Variables!$A$2)</f>
        <v>-23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1" t="e">
        <f>VLOOKUP(B4,'Train Runs'!$A$13:$A$99980,1,FALSE)</f>
        <v>#N/A</v>
      </c>
    </row>
    <row r="5" spans="1:10" x14ac:dyDescent="0.25">
      <c r="A5" s="164"/>
      <c r="B5" s="44" t="str">
        <f>A5&amp;"-"&amp;IF(DAY(Variables!$A$2)&lt;10,0,"")&amp;DAY(Variables!$A$2)</f>
        <v>-23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1" t="e">
        <f>VLOOKUP(B5,'Train Runs'!$A$13:$A$99980,1,FALSE)</f>
        <v>#N/A</v>
      </c>
    </row>
    <row r="6" spans="1:10" x14ac:dyDescent="0.25">
      <c r="A6" s="164"/>
      <c r="B6" s="44" t="str">
        <f>A6&amp;"-"&amp;IF(DAY(Variables!$A$2)&lt;10,0,"")&amp;DAY(Variables!$A$2)</f>
        <v>-23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1" t="e">
        <f>VLOOKUP(B6,'Train Runs'!$A$13:$A$99980,1,FALSE)</f>
        <v>#N/A</v>
      </c>
    </row>
    <row r="7" spans="1:10" x14ac:dyDescent="0.25">
      <c r="A7" s="164"/>
      <c r="B7" s="44" t="str">
        <f>A7&amp;"-"&amp;IF(DAY(Variables!$A$2)&lt;10,0,"")&amp;DAY(Variables!$A$2)</f>
        <v>-23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1" t="e">
        <f>VLOOKUP(B7,'Train Runs'!$A$13:$A$99980,1,FALSE)</f>
        <v>#N/A</v>
      </c>
    </row>
    <row r="8" spans="1:10" x14ac:dyDescent="0.25">
      <c r="A8" s="164"/>
      <c r="B8" s="44" t="str">
        <f>A8&amp;"-"&amp;IF(DAY(Variables!$A$2)&lt;10,0,"")&amp;DAY(Variables!$A$2)</f>
        <v>-23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1" t="e">
        <f>VLOOKUP(B8,'Train Runs'!$A$13:$A$99980,1,FALSE)</f>
        <v>#N/A</v>
      </c>
    </row>
    <row r="9" spans="1:10" x14ac:dyDescent="0.25">
      <c r="A9" s="164"/>
      <c r="B9" s="44" t="str">
        <f>A9&amp;"-"&amp;IF(DAY(Variables!$A$2)&lt;10,0,"")&amp;DAY(Variables!$A$2)</f>
        <v>-23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1" t="e">
        <f>VLOOKUP(B9,'Train Runs'!$A$13:$A$99980,1,FALSE)</f>
        <v>#N/A</v>
      </c>
    </row>
    <row r="10" spans="1:10" x14ac:dyDescent="0.25">
      <c r="A10" s="164"/>
      <c r="B10" s="44" t="str">
        <f>A10&amp;"-"&amp;IF(DAY(Variables!$A$2)&lt;10,0,"")&amp;DAY(Variables!$A$2)</f>
        <v>-23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1" t="e">
        <f>VLOOKUP(B10,'Train Runs'!$A$13:$A$99980,1,FALSE)</f>
        <v>#N/A</v>
      </c>
    </row>
    <row r="11" spans="1:10" x14ac:dyDescent="0.25">
      <c r="A11" s="164"/>
      <c r="B11" s="44" t="str">
        <f>A11&amp;"-"&amp;IF(DAY(Variables!$A$2)&lt;10,0,"")&amp;DAY(Variables!$A$2)</f>
        <v>-23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1" t="e">
        <f>VLOOKUP(B11,'Train Runs'!$A$13:$A$99980,1,FALSE)</f>
        <v>#N/A</v>
      </c>
    </row>
    <row r="12" spans="1:10" x14ac:dyDescent="0.25">
      <c r="A12" s="164"/>
      <c r="B12" s="44" t="str">
        <f>A12&amp;"-"&amp;IF(DAY(Variables!$A$2)&lt;10,0,"")&amp;DAY(Variables!$A$2)</f>
        <v>-23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1" t="e">
        <f>VLOOKUP(B12,'Train Runs'!$A$13:$A$99980,1,FALSE)</f>
        <v>#N/A</v>
      </c>
    </row>
    <row r="13" spans="1:10" x14ac:dyDescent="0.25">
      <c r="A13" s="164"/>
      <c r="B13" s="44" t="str">
        <f>A13&amp;"-"&amp;IF(DAY(Variables!$A$2)&lt;10,0,"")&amp;DAY(Variables!$A$2)</f>
        <v>-23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1" t="e">
        <f>VLOOKUP(B13,'Train Runs'!$A$13:$A$99980,1,FALSE)</f>
        <v>#N/A</v>
      </c>
    </row>
    <row r="14" spans="1:10" x14ac:dyDescent="0.25">
      <c r="A14" s="164"/>
      <c r="B14" s="44" t="str">
        <f>A14&amp;"-"&amp;IF(DAY(Variables!$A$2)&lt;10,0,"")&amp;DAY(Variables!$A$2)</f>
        <v>-23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1" t="e">
        <f>VLOOKUP(B14,'Train Runs'!$A$13:$A$99980,1,FALSE)</f>
        <v>#N/A</v>
      </c>
    </row>
    <row r="15" spans="1:10" x14ac:dyDescent="0.25">
      <c r="A15" s="164"/>
      <c r="B15" s="44" t="str">
        <f>A15&amp;"-"&amp;IF(DAY(Variables!$A$2)&lt;10,0,"")&amp;DAY(Variables!$A$2)</f>
        <v>-23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1" t="e">
        <f>VLOOKUP(B15,'Train Runs'!$A$13:$A$99980,1,FALSE)</f>
        <v>#N/A</v>
      </c>
    </row>
    <row r="16" spans="1:10" x14ac:dyDescent="0.25">
      <c r="A16" s="164"/>
      <c r="B16" s="44" t="str">
        <f>A16&amp;"-"&amp;IF(DAY(Variables!$A$2)&lt;10,0,"")&amp;DAY(Variables!$A$2)</f>
        <v>-23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1" t="e">
        <f>VLOOKUP(B16,'Train Runs'!$A$13:$A$99980,1,FALSE)</f>
        <v>#N/A</v>
      </c>
    </row>
    <row r="17" spans="1:10" x14ac:dyDescent="0.25">
      <c r="A17" s="164"/>
      <c r="B17" s="44" t="str">
        <f>A17&amp;"-"&amp;IF(DAY(Variables!$A$2)&lt;10,0,"")&amp;DAY(Variables!$A$2)</f>
        <v>-23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1" t="e">
        <f>VLOOKUP(B17,'Train Runs'!$A$13:$A$99980,1,FALSE)</f>
        <v>#N/A</v>
      </c>
    </row>
    <row r="18" spans="1:10" x14ac:dyDescent="0.25">
      <c r="A18" s="164"/>
      <c r="B18" s="44" t="str">
        <f>A18&amp;"-"&amp;IF(DAY(Variables!$A$2)&lt;10,0,"")&amp;DAY(Variables!$A$2)</f>
        <v>-23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1" t="e">
        <f>VLOOKUP(B18,'Train Runs'!$A$13:$A$99980,1,FALSE)</f>
        <v>#N/A</v>
      </c>
    </row>
    <row r="19" spans="1:10" x14ac:dyDescent="0.25">
      <c r="A19" s="164"/>
      <c r="B19" s="44" t="str">
        <f>A19&amp;"-"&amp;IF(DAY(Variables!$A$2)&lt;10,0,"")&amp;DAY(Variables!$A$2)</f>
        <v>-23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1" t="e">
        <f>VLOOKUP(B19,'Train Runs'!$A$13:$A$99980,1,FALSE)</f>
        <v>#N/A</v>
      </c>
    </row>
    <row r="20" spans="1:10" x14ac:dyDescent="0.25">
      <c r="A20" s="164"/>
      <c r="B20" s="44" t="str">
        <f>A20&amp;"-"&amp;IF(DAY(Variables!$A$2)&lt;10,0,"")&amp;DAY(Variables!$A$2)</f>
        <v>-23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1" t="e">
        <f>VLOOKUP(B20,'Train Runs'!$A$13:$A$99980,1,FALSE)</f>
        <v>#N/A</v>
      </c>
    </row>
    <row r="21" spans="1:10" x14ac:dyDescent="0.25">
      <c r="A21" s="164"/>
      <c r="B21" s="44" t="str">
        <f>A21&amp;"-"&amp;IF(DAY(Variables!$A$2)&lt;10,0,"")&amp;DAY(Variables!$A$2)</f>
        <v>-23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1" t="e">
        <f>VLOOKUP(B21,'Train Runs'!$A$13:$A$99980,1,FALSE)</f>
        <v>#N/A</v>
      </c>
    </row>
    <row r="22" spans="1:10" x14ac:dyDescent="0.25">
      <c r="A22" s="164"/>
      <c r="B22" s="44" t="str">
        <f>A22&amp;"-"&amp;IF(DAY(Variables!$A$2)&lt;10,0,"")&amp;DAY(Variables!$A$2)</f>
        <v>-23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1" t="e">
        <f>VLOOKUP(B22,'Train Runs'!$A$13:$A$99980,1,FALSE)</f>
        <v>#N/A</v>
      </c>
    </row>
    <row r="23" spans="1:10" x14ac:dyDescent="0.25">
      <c r="A23" s="164"/>
      <c r="B23" s="44" t="str">
        <f>A23&amp;"-"&amp;IF(DAY(Variables!$A$2)&lt;10,0,"")&amp;DAY(Variables!$A$2)</f>
        <v>-23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1" t="e">
        <f>VLOOKUP(B23,'Train Runs'!$A$13:$A$99980,1,FALSE)</f>
        <v>#N/A</v>
      </c>
    </row>
    <row r="24" spans="1:10" x14ac:dyDescent="0.25">
      <c r="A24" s="164"/>
      <c r="B24" s="44" t="str">
        <f>A24&amp;"-"&amp;IF(DAY(Variables!$A$2)&lt;10,0,"")&amp;DAY(Variables!$A$2)</f>
        <v>-23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1" t="e">
        <f>VLOOKUP(B24,'Train Runs'!$A$13:$A$99980,1,FALSE)</f>
        <v>#N/A</v>
      </c>
    </row>
    <row r="25" spans="1:10" x14ac:dyDescent="0.25">
      <c r="A25" s="164"/>
      <c r="B25" s="44" t="str">
        <f>A25&amp;"-"&amp;IF(DAY(Variables!$A$2)&lt;10,0,"")&amp;DAY(Variables!$A$2)</f>
        <v>-23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1" t="e">
        <f>VLOOKUP(B25,'Train Runs'!$A$13:$A$99980,1,FALSE)</f>
        <v>#N/A</v>
      </c>
    </row>
    <row r="26" spans="1:10" x14ac:dyDescent="0.25">
      <c r="A26" s="164"/>
      <c r="B26" s="44" t="str">
        <f>A26&amp;"-"&amp;IF(DAY(Variables!$A$2)&lt;10,0,"")&amp;DAY(Variables!$A$2)</f>
        <v>-23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1" t="e">
        <f>VLOOKUP(B26,'Train Runs'!$A$13:$A$99980,1,FALSE)</f>
        <v>#N/A</v>
      </c>
    </row>
    <row r="27" spans="1:10" x14ac:dyDescent="0.25">
      <c r="A27" s="164"/>
      <c r="B27" s="44" t="str">
        <f>A27&amp;"-"&amp;IF(DAY(Variables!$A$2)&lt;10,0,"")&amp;DAY(Variables!$A$2)</f>
        <v>-23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1" t="e">
        <f>VLOOKUP(B27,'Train Runs'!$A$13:$A$99980,1,FALSE)</f>
        <v>#N/A</v>
      </c>
    </row>
    <row r="28" spans="1:10" x14ac:dyDescent="0.25">
      <c r="A28" s="164"/>
      <c r="B28" s="44" t="str">
        <f>A28&amp;"-"&amp;IF(DAY(Variables!$A$2)&lt;10,0,"")&amp;DAY(Variables!$A$2)</f>
        <v>-23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1" t="e">
        <f>VLOOKUP(B28,'Train Runs'!$A$13:$A$99980,1,FALSE)</f>
        <v>#N/A</v>
      </c>
    </row>
    <row r="29" spans="1:10" x14ac:dyDescent="0.25">
      <c r="A29" s="164"/>
      <c r="B29" s="44" t="str">
        <f>A29&amp;"-"&amp;IF(DAY(Variables!$A$2)&lt;10,0,"")&amp;DAY(Variables!$A$2)</f>
        <v>-23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1" t="e">
        <f>VLOOKUP(B29,'Train Runs'!$A$13:$A$99980,1,FALSE)</f>
        <v>#N/A</v>
      </c>
    </row>
    <row r="30" spans="1:10" x14ac:dyDescent="0.25">
      <c r="A30" s="164"/>
      <c r="B30" s="44" t="str">
        <f>A30&amp;"-"&amp;IF(DAY(Variables!$A$2)&lt;10,0,"")&amp;DAY(Variables!$A$2)</f>
        <v>-23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1" t="e">
        <f>VLOOKUP(B30,'Train Runs'!$A$13:$A$99980,1,FALSE)</f>
        <v>#N/A</v>
      </c>
    </row>
    <row r="31" spans="1:10" x14ac:dyDescent="0.25">
      <c r="A31" s="164"/>
      <c r="B31" s="44" t="str">
        <f>A31&amp;"-"&amp;IF(DAY(Variables!$A$2)&lt;10,0,"")&amp;DAY(Variables!$A$2)</f>
        <v>-23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1" t="e">
        <f>VLOOKUP(B31,'Train Runs'!$A$13:$A$99980,1,FALSE)</f>
        <v>#N/A</v>
      </c>
    </row>
    <row r="32" spans="1:10" x14ac:dyDescent="0.25">
      <c r="A32" s="164"/>
      <c r="B32" s="44" t="str">
        <f>A32&amp;"-"&amp;IF(DAY(Variables!$A$2)&lt;10,0,"")&amp;DAY(Variables!$A$2)</f>
        <v>-23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1" t="e">
        <f>VLOOKUP(B32,'Train Runs'!$A$13:$A$99980,1,FALSE)</f>
        <v>#N/A</v>
      </c>
    </row>
    <row r="33" spans="1:10" x14ac:dyDescent="0.25">
      <c r="A33" s="164"/>
      <c r="B33" s="44" t="str">
        <f>A33&amp;"-"&amp;IF(DAY(Variables!$A$2)&lt;10,0,"")&amp;DAY(Variables!$A$2)</f>
        <v>-23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1" t="e">
        <f>VLOOKUP(B33,'Train Runs'!$A$13:$A$99980,1,FALSE)</f>
        <v>#N/A</v>
      </c>
    </row>
    <row r="34" spans="1:10" x14ac:dyDescent="0.25">
      <c r="A34" s="164"/>
      <c r="B34" s="44" t="str">
        <f>A34&amp;"-"&amp;IF(DAY(Variables!$A$2)&lt;10,0,"")&amp;DAY(Variables!$A$2)</f>
        <v>-23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1" t="e">
        <f>VLOOKUP(B34,'Train Runs'!$A$13:$A$99980,1,FALSE)</f>
        <v>#N/A</v>
      </c>
    </row>
    <row r="35" spans="1:10" x14ac:dyDescent="0.25">
      <c r="A35" s="164"/>
      <c r="B35" s="44" t="str">
        <f>A35&amp;"-"&amp;IF(DAY(Variables!$A$2)&lt;10,0,"")&amp;DAY(Variables!$A$2)</f>
        <v>-23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1" t="e">
        <f>VLOOKUP(B35,'Train Runs'!$A$13:$A$99980,1,FALSE)</f>
        <v>#N/A</v>
      </c>
    </row>
    <row r="36" spans="1:10" x14ac:dyDescent="0.25">
      <c r="A36" s="164"/>
      <c r="B36" s="44" t="str">
        <f>A36&amp;"-"&amp;IF(DAY(Variables!$A$2)&lt;10,0,"")&amp;DAY(Variables!$A$2)</f>
        <v>-23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1" t="e">
        <f>VLOOKUP(B36,'Train Runs'!$A$13:$A$99980,1,FALSE)</f>
        <v>#N/A</v>
      </c>
    </row>
    <row r="37" spans="1:10" x14ac:dyDescent="0.25">
      <c r="A37" s="164"/>
      <c r="B37" s="44" t="str">
        <f>A37&amp;"-"&amp;IF(DAY(Variables!$A$2)&lt;10,0,"")&amp;DAY(Variables!$A$2)</f>
        <v>-23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1" t="e">
        <f>VLOOKUP(B37,'Train Runs'!$A$13:$A$99980,1,FALSE)</f>
        <v>#N/A</v>
      </c>
    </row>
    <row r="38" spans="1:10" x14ac:dyDescent="0.25">
      <c r="A38" s="164"/>
      <c r="B38" s="44" t="str">
        <f>A38&amp;"-"&amp;IF(DAY(Variables!$A$2)&lt;10,0,"")&amp;DAY(Variables!$A$2)</f>
        <v>-23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1" t="e">
        <f>VLOOKUP(B38,'Train Runs'!$A$13:$A$99980,1,FALSE)</f>
        <v>#N/A</v>
      </c>
    </row>
    <row r="39" spans="1:10" x14ac:dyDescent="0.25">
      <c r="A39" s="164"/>
      <c r="B39" s="44" t="str">
        <f>A39&amp;"-"&amp;IF(DAY(Variables!$A$2)&lt;10,0,"")&amp;DAY(Variables!$A$2)</f>
        <v>-23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1" t="e">
        <f>VLOOKUP(B39,'Train Runs'!$A$13:$A$99980,1,FALSE)</f>
        <v>#N/A</v>
      </c>
    </row>
    <row r="40" spans="1:10" x14ac:dyDescent="0.25">
      <c r="A40" s="164"/>
      <c r="B40" s="44" t="str">
        <f>A40&amp;"-"&amp;IF(DAY(Variables!$A$2)&lt;10,0,"")&amp;DAY(Variables!$A$2)</f>
        <v>-23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1" t="e">
        <f>VLOOKUP(B40,'Train Runs'!$A$13:$A$99980,1,FALSE)</f>
        <v>#N/A</v>
      </c>
    </row>
    <row r="41" spans="1:10" x14ac:dyDescent="0.25">
      <c r="A41" s="164"/>
      <c r="B41" s="44" t="str">
        <f>A41&amp;"-"&amp;IF(DAY(Variables!$A$2)&lt;10,0,"")&amp;DAY(Variables!$A$2)</f>
        <v>-23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1" t="e">
        <f>VLOOKUP(B41,'Train Runs'!$A$13:$A$99980,1,FALSE)</f>
        <v>#N/A</v>
      </c>
    </row>
    <row r="42" spans="1:10" x14ac:dyDescent="0.25">
      <c r="A42" s="164"/>
      <c r="B42" s="44" t="str">
        <f>A42&amp;"-"&amp;IF(DAY(Variables!$A$2)&lt;10,0,"")&amp;DAY(Variables!$A$2)</f>
        <v>-23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1" t="e">
        <f>VLOOKUP(B42,'Train Runs'!$A$13:$A$99980,1,FALSE)</f>
        <v>#N/A</v>
      </c>
    </row>
    <row r="43" spans="1:10" x14ac:dyDescent="0.25">
      <c r="A43" s="164"/>
      <c r="B43" s="44" t="str">
        <f>A43&amp;"-"&amp;IF(DAY(Variables!$A$2)&lt;10,0,"")&amp;DAY(Variables!$A$2)</f>
        <v>-23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1" t="e">
        <f>VLOOKUP(B43,'Train Runs'!$A$13:$A$99980,1,FALSE)</f>
        <v>#N/A</v>
      </c>
    </row>
    <row r="44" spans="1:10" x14ac:dyDescent="0.25">
      <c r="A44" s="164"/>
      <c r="B44" s="44" t="str">
        <f>A44&amp;"-"&amp;IF(DAY(Variables!$A$2)&lt;10,0,"")&amp;DAY(Variables!$A$2)</f>
        <v>-23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1" t="e">
        <f>VLOOKUP(B44,'Train Runs'!$A$13:$A$99980,1,FALSE)</f>
        <v>#N/A</v>
      </c>
    </row>
    <row r="45" spans="1:10" x14ac:dyDescent="0.25">
      <c r="A45" s="164"/>
      <c r="B45" s="44" t="str">
        <f>A45&amp;"-"&amp;IF(DAY(Variables!$A$2)&lt;10,0,"")&amp;DAY(Variables!$A$2)</f>
        <v>-23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1" t="e">
        <f>VLOOKUP(B45,'Train Runs'!$A$13:$A$99980,1,FALSE)</f>
        <v>#N/A</v>
      </c>
    </row>
    <row r="46" spans="1:10" x14ac:dyDescent="0.25">
      <c r="A46" s="164"/>
      <c r="B46" s="44" t="str">
        <f>A46&amp;"-"&amp;IF(DAY(Variables!$A$2)&lt;10,0,"")&amp;DAY(Variables!$A$2)</f>
        <v>-23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1" t="e">
        <f>VLOOKUP(B46,'Train Runs'!$A$13:$A$99980,1,FALSE)</f>
        <v>#N/A</v>
      </c>
    </row>
    <row r="47" spans="1:10" x14ac:dyDescent="0.25">
      <c r="A47" s="164"/>
      <c r="B47" s="44" t="str">
        <f>A47&amp;"-"&amp;IF(DAY(Variables!$A$2)&lt;10,0,"")&amp;DAY(Variables!$A$2)</f>
        <v>-23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1" t="e">
        <f>VLOOKUP(B47,'Train Runs'!$A$13:$A$99980,1,FALSE)</f>
        <v>#N/A</v>
      </c>
    </row>
    <row r="48" spans="1:10" x14ac:dyDescent="0.25">
      <c r="A48" s="164"/>
      <c r="B48" s="44" t="str">
        <f>A48&amp;"-"&amp;IF(DAY(Variables!$A$2)&lt;10,0,"")&amp;DAY(Variables!$A$2)</f>
        <v>-23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1" t="e">
        <f>VLOOKUP(B48,'Train Runs'!$A$13:$A$99980,1,FALSE)</f>
        <v>#N/A</v>
      </c>
    </row>
    <row r="49" spans="1:10" x14ac:dyDescent="0.25">
      <c r="A49" s="164"/>
      <c r="B49" s="44" t="str">
        <f>A49&amp;"-"&amp;IF(DAY(Variables!$A$2)&lt;10,0,"")&amp;DAY(Variables!$A$2)</f>
        <v>-23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1" t="e">
        <f>VLOOKUP(B49,'Train Runs'!$A$13:$A$99980,1,FALSE)</f>
        <v>#N/A</v>
      </c>
    </row>
    <row r="50" spans="1:10" x14ac:dyDescent="0.25">
      <c r="A50" s="164"/>
      <c r="B50" s="44" t="str">
        <f>A50&amp;"-"&amp;IF(DAY(Variables!$A$2)&lt;10,0,"")&amp;DAY(Variables!$A$2)</f>
        <v>-23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1" t="e">
        <f>VLOOKUP(B50,'Train Runs'!$A$13:$A$99980,1,FALSE)</f>
        <v>#N/A</v>
      </c>
    </row>
    <row r="51" spans="1:10" x14ac:dyDescent="0.25">
      <c r="A51" s="164"/>
      <c r="B51" s="44" t="str">
        <f>A51&amp;"-"&amp;IF(DAY(Variables!$A$2)&lt;10,0,"")&amp;DAY(Variables!$A$2)</f>
        <v>-23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1" t="e">
        <f>VLOOKUP(B51,'Train Runs'!$A$13:$A$99980,1,FALSE)</f>
        <v>#N/A</v>
      </c>
    </row>
    <row r="52" spans="1:10" x14ac:dyDescent="0.25">
      <c r="A52" s="164"/>
      <c r="B52" s="44" t="str">
        <f>A52&amp;"-"&amp;IF(DAY(Variables!$A$2)&lt;10,0,"")&amp;DAY(Variables!$A$2)</f>
        <v>-23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1" t="e">
        <f>VLOOKUP(B52,'Train Runs'!$A$13:$A$99980,1,FALSE)</f>
        <v>#N/A</v>
      </c>
    </row>
    <row r="53" spans="1:10" x14ac:dyDescent="0.25">
      <c r="A53" s="164"/>
      <c r="B53" s="44" t="str">
        <f>A53&amp;"-"&amp;IF(DAY(Variables!$A$2)&lt;10,0,"")&amp;DAY(Variables!$A$2)</f>
        <v>-23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1" t="e">
        <f>VLOOKUP(B53,'Train Runs'!$A$13:$A$99980,1,FALSE)</f>
        <v>#N/A</v>
      </c>
    </row>
    <row r="54" spans="1:10" x14ac:dyDescent="0.25">
      <c r="A54" s="164"/>
      <c r="B54" s="44" t="str">
        <f>A54&amp;"-"&amp;IF(DAY(Variables!$A$2)&lt;10,0,"")&amp;DAY(Variables!$A$2)</f>
        <v>-23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1" t="e">
        <f>VLOOKUP(B54,'Train Runs'!$A$13:$A$99980,1,FALSE)</f>
        <v>#N/A</v>
      </c>
    </row>
    <row r="55" spans="1:10" x14ac:dyDescent="0.25">
      <c r="A55" s="164"/>
      <c r="B55" s="44" t="str">
        <f>A55&amp;"-"&amp;IF(DAY(Variables!$A$2)&lt;10,0,"")&amp;DAY(Variables!$A$2)</f>
        <v>-23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1" t="e">
        <f>VLOOKUP(B55,'Train Runs'!$A$13:$A$99980,1,FALSE)</f>
        <v>#N/A</v>
      </c>
    </row>
    <row r="56" spans="1:10" x14ac:dyDescent="0.25">
      <c r="A56" s="164"/>
      <c r="B56" s="44" t="str">
        <f>A56&amp;"-"&amp;IF(DAY(Variables!$A$2)&lt;10,0,"")&amp;DAY(Variables!$A$2)</f>
        <v>-23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1" t="e">
        <f>VLOOKUP(B56,'Train Runs'!$A$13:$A$99980,1,FALSE)</f>
        <v>#N/A</v>
      </c>
    </row>
    <row r="57" spans="1:10" x14ac:dyDescent="0.25">
      <c r="A57" s="164"/>
      <c r="B57" s="44" t="str">
        <f>A57&amp;"-"&amp;IF(DAY(Variables!$A$2)&lt;10,0,"")&amp;DAY(Variables!$A$2)</f>
        <v>-23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1" t="e">
        <f>VLOOKUP(B57,'Train Runs'!$A$13:$A$99980,1,FALSE)</f>
        <v>#N/A</v>
      </c>
    </row>
    <row r="58" spans="1:10" x14ac:dyDescent="0.25">
      <c r="A58" s="164"/>
      <c r="B58" s="44" t="str">
        <f>A58&amp;"-"&amp;IF(DAY(Variables!$A$2)&lt;10,0,"")&amp;DAY(Variables!$A$2)</f>
        <v>-23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1" t="e">
        <f>VLOOKUP(B58,'Train Runs'!$A$13:$A$99980,1,FALSE)</f>
        <v>#N/A</v>
      </c>
    </row>
    <row r="59" spans="1:10" x14ac:dyDescent="0.25">
      <c r="A59" s="164"/>
      <c r="B59" s="44" t="str">
        <f>A59&amp;"-"&amp;IF(DAY(Variables!$A$2)&lt;10,0,"")&amp;DAY(Variables!$A$2)</f>
        <v>-23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1" t="e">
        <f>VLOOKUP(B59,'Train Runs'!$A$13:$A$99980,1,FALSE)</f>
        <v>#N/A</v>
      </c>
    </row>
    <row r="60" spans="1:10" x14ac:dyDescent="0.25">
      <c r="A60" s="164"/>
      <c r="B60" s="44" t="str">
        <f>A60&amp;"-"&amp;IF(DAY(Variables!$A$2)&lt;10,0,"")&amp;DAY(Variables!$A$2)</f>
        <v>-23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1" t="e">
        <f>VLOOKUP(B60,'Train Runs'!$A$13:$A$99980,1,FALSE)</f>
        <v>#N/A</v>
      </c>
    </row>
    <row r="61" spans="1:10" x14ac:dyDescent="0.25">
      <c r="A61" s="164"/>
      <c r="B61" s="44" t="str">
        <f>A61&amp;"-"&amp;IF(DAY(Variables!$A$2)&lt;10,0,"")&amp;DAY(Variables!$A$2)</f>
        <v>-23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1" t="e">
        <f>VLOOKUP(B61,'Train Runs'!$A$13:$A$99980,1,FALSE)</f>
        <v>#N/A</v>
      </c>
    </row>
    <row r="62" spans="1:10" x14ac:dyDescent="0.25">
      <c r="A62" s="164"/>
      <c r="B62" s="44" t="str">
        <f>A62&amp;"-"&amp;IF(DAY(Variables!$A$2)&lt;10,0,"")&amp;DAY(Variables!$A$2)</f>
        <v>-23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1" t="e">
        <f>VLOOKUP(B62,'Train Runs'!$A$13:$A$99980,1,FALSE)</f>
        <v>#N/A</v>
      </c>
    </row>
    <row r="63" spans="1:10" x14ac:dyDescent="0.25">
      <c r="A63" s="164"/>
      <c r="B63" s="44" t="str">
        <f>A63&amp;"-"&amp;IF(DAY(Variables!$A$2)&lt;10,0,"")&amp;DAY(Variables!$A$2)</f>
        <v>-23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1" t="e">
        <f>VLOOKUP(B63,'Train Runs'!$A$13:$A$99980,1,FALSE)</f>
        <v>#N/A</v>
      </c>
    </row>
    <row r="64" spans="1:10" x14ac:dyDescent="0.25">
      <c r="A64" s="164"/>
      <c r="B64" s="44" t="str">
        <f>A64&amp;"-"&amp;IF(DAY(Variables!$A$2)&lt;10,0,"")&amp;DAY(Variables!$A$2)</f>
        <v>-23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1" t="e">
        <f>VLOOKUP(B64,'Train Runs'!$A$13:$A$99980,1,FALSE)</f>
        <v>#N/A</v>
      </c>
    </row>
    <row r="65" spans="1:10" x14ac:dyDescent="0.25">
      <c r="A65" s="164"/>
      <c r="B65" s="44" t="str">
        <f>A65&amp;"-"&amp;IF(DAY(Variables!$A$2)&lt;10,0,"")&amp;DAY(Variables!$A$2)</f>
        <v>-23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1" t="e">
        <f>VLOOKUP(B65,'Train Runs'!$A$13:$A$99980,1,FALSE)</f>
        <v>#N/A</v>
      </c>
    </row>
    <row r="66" spans="1:10" x14ac:dyDescent="0.25">
      <c r="A66" s="164"/>
      <c r="B66" s="44" t="str">
        <f>A66&amp;"-"&amp;IF(DAY(Variables!$A$2)&lt;10,0,"")&amp;DAY(Variables!$A$2)</f>
        <v>-23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1" t="e">
        <f>VLOOKUP(B66,'Train Runs'!$A$13:$A$99980,1,FALSE)</f>
        <v>#N/A</v>
      </c>
    </row>
    <row r="67" spans="1:10" x14ac:dyDescent="0.25">
      <c r="A67" s="164"/>
      <c r="B67" s="44" t="str">
        <f>A67&amp;"-"&amp;IF(DAY(Variables!$A$2)&lt;10,0,"")&amp;DAY(Variables!$A$2)</f>
        <v>-23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1" t="e">
        <f>VLOOKUP(B67,'Train Runs'!$A$13:$A$99980,1,FALSE)</f>
        <v>#N/A</v>
      </c>
    </row>
    <row r="68" spans="1:10" x14ac:dyDescent="0.25">
      <c r="A68" s="164"/>
      <c r="B68" s="44" t="str">
        <f>A68&amp;"-"&amp;IF(DAY(Variables!$A$2)&lt;10,0,"")&amp;DAY(Variables!$A$2)</f>
        <v>-23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8" s="31" t="e">
        <f>VLOOKUP(B68,'Train Runs'!$A$13:$A$99980,1,FALSE)</f>
        <v>#N/A</v>
      </c>
    </row>
    <row r="69" spans="1:10" x14ac:dyDescent="0.25">
      <c r="A69" s="164"/>
      <c r="B69" s="44" t="str">
        <f>A69&amp;"-"&amp;IF(DAY(Variables!$A$2)&lt;10,0,"")&amp;DAY(Variables!$A$2)</f>
        <v>-23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9" s="31" t="e">
        <f>VLOOKUP(B69,'Train Runs'!$A$13:$A$99980,1,FALSE)</f>
        <v>#N/A</v>
      </c>
    </row>
    <row r="70" spans="1:10" x14ac:dyDescent="0.25">
      <c r="A70" s="164"/>
      <c r="B70" s="44" t="str">
        <f>A70&amp;"-"&amp;IF(DAY(Variables!$A$2)&lt;10,0,"")&amp;DAY(Variables!$A$2)</f>
        <v>-23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0" s="31" t="e">
        <f>VLOOKUP(B70,'Train Runs'!$A$13:$A$99980,1,FALSE)</f>
        <v>#N/A</v>
      </c>
    </row>
    <row r="71" spans="1:10" x14ac:dyDescent="0.25">
      <c r="A71" s="164"/>
      <c r="B71" s="44" t="str">
        <f>A71&amp;"-"&amp;IF(DAY(Variables!$A$2)&lt;10,0,"")&amp;DAY(Variables!$A$2)</f>
        <v>-23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1" s="31" t="e">
        <f>VLOOKUP(B71,'Train Runs'!$A$13:$A$99980,1,FALSE)</f>
        <v>#N/A</v>
      </c>
    </row>
    <row r="72" spans="1:10" x14ac:dyDescent="0.25">
      <c r="A72" s="164"/>
      <c r="B72" s="44" t="str">
        <f>A72&amp;"-"&amp;IF(DAY(Variables!$A$2)&lt;10,0,"")&amp;DAY(Variables!$A$2)</f>
        <v>-23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2" s="31" t="e">
        <f>VLOOKUP(B72,'Train Runs'!$A$13:$A$99980,1,FALSE)</f>
        <v>#N/A</v>
      </c>
    </row>
    <row r="73" spans="1:10" x14ac:dyDescent="0.25">
      <c r="A73" s="164"/>
      <c r="B73" s="44" t="str">
        <f>A73&amp;"-"&amp;IF(DAY(Variables!$A$2)&lt;10,0,"")&amp;DAY(Variables!$A$2)</f>
        <v>-23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3" s="31" t="e">
        <f>VLOOKUP(B73,'Train Runs'!$A$13:$A$99980,1,FALSE)</f>
        <v>#N/A</v>
      </c>
    </row>
    <row r="74" spans="1:10" x14ac:dyDescent="0.25">
      <c r="A74" s="164"/>
      <c r="B74" s="44" t="str">
        <f>A74&amp;"-"&amp;IF(DAY(Variables!$A$2)&lt;10,0,"")&amp;DAY(Variables!$A$2)</f>
        <v>-23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4" s="31" t="e">
        <f>VLOOKUP(B74,'Train Runs'!$A$13:$A$99980,1,FALSE)</f>
        <v>#N/A</v>
      </c>
    </row>
    <row r="75" spans="1:10" x14ac:dyDescent="0.25">
      <c r="A75" s="164"/>
      <c r="B75" s="44" t="str">
        <f>A75&amp;"-"&amp;IF(DAY(Variables!$A$2)&lt;10,0,"")&amp;DAY(Variables!$A$2)</f>
        <v>-23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5" s="31" t="e">
        <f>VLOOKUP(B75,'Train Runs'!$A$13:$A$99980,1,FALSE)</f>
        <v>#N/A</v>
      </c>
    </row>
    <row r="76" spans="1:10" x14ac:dyDescent="0.25">
      <c r="A76" s="164"/>
      <c r="B76" s="44" t="str">
        <f>A76&amp;"-"&amp;IF(DAY(Variables!$A$2)&lt;10,0,"")&amp;DAY(Variables!$A$2)</f>
        <v>-23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6" s="31" t="e">
        <f>VLOOKUP(B76,'Train Runs'!$A$13:$A$99980,1,FALSE)</f>
        <v>#N/A</v>
      </c>
    </row>
    <row r="77" spans="1:10" x14ac:dyDescent="0.25">
      <c r="A77" s="164"/>
      <c r="B77" s="44" t="str">
        <f>A77&amp;"-"&amp;IF(DAY(Variables!$A$2)&lt;10,0,"")&amp;DAY(Variables!$A$2)</f>
        <v>-23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7" s="31" t="e">
        <f>VLOOKUP(B77,'Train Runs'!$A$13:$A$99980,1,FALSE)</f>
        <v>#N/A</v>
      </c>
    </row>
    <row r="78" spans="1:10" x14ac:dyDescent="0.25">
      <c r="A78" s="164"/>
      <c r="B78" s="44" t="str">
        <f>A78&amp;"-"&amp;IF(DAY(Variables!$A$2)&lt;10,0,"")&amp;DAY(Variables!$A$2)</f>
        <v>-23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8" s="31" t="e">
        <f>VLOOKUP(B78,'Train Runs'!$A$13:$A$99980,1,FALSE)</f>
        <v>#N/A</v>
      </c>
    </row>
    <row r="79" spans="1:10" x14ac:dyDescent="0.25">
      <c r="A79" s="164"/>
      <c r="B79" s="44" t="str">
        <f>A79&amp;"-"&amp;IF(DAY(Variables!$A$2)&lt;10,0,"")&amp;DAY(Variables!$A$2)</f>
        <v>-23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9" s="31" t="e">
        <f>VLOOKUP(B79,'Train Runs'!$A$13:$A$99980,1,FALSE)</f>
        <v>#N/A</v>
      </c>
    </row>
    <row r="80" spans="1:10" x14ac:dyDescent="0.25">
      <c r="A80" s="164"/>
      <c r="B80" s="44" t="str">
        <f>A80&amp;"-"&amp;IF(DAY(Variables!$A$2)&lt;10,0,"")&amp;DAY(Variables!$A$2)</f>
        <v>-23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0" s="31" t="e">
        <f>VLOOKUP(B80,'Train Runs'!$A$13:$A$99980,1,FALSE)</f>
        <v>#N/A</v>
      </c>
    </row>
    <row r="81" spans="1:10" x14ac:dyDescent="0.25">
      <c r="A81" s="164"/>
      <c r="B81" s="44" t="str">
        <f>A81&amp;"-"&amp;IF(DAY(Variables!$A$2)&lt;10,0,"")&amp;DAY(Variables!$A$2)</f>
        <v>-23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1" s="31" t="e">
        <f>VLOOKUP(B81,'Train Runs'!$A$13:$A$99980,1,FALSE)</f>
        <v>#N/A</v>
      </c>
    </row>
    <row r="82" spans="1:10" x14ac:dyDescent="0.25">
      <c r="A82" s="164"/>
      <c r="B82" s="44" t="str">
        <f>A82&amp;"-"&amp;IF(DAY(Variables!$A$2)&lt;10,0,"")&amp;DAY(Variables!$A$2)</f>
        <v>-23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2" s="31" t="e">
        <f>VLOOKUP(B82,'Train Runs'!$A$13:$A$99980,1,FALSE)</f>
        <v>#N/A</v>
      </c>
    </row>
    <row r="83" spans="1:10" x14ac:dyDescent="0.25">
      <c r="A83" s="164"/>
      <c r="B83" s="44" t="str">
        <f>A83&amp;"-"&amp;IF(DAY(Variables!$A$2)&lt;10,0,"")&amp;DAY(Variables!$A$2)</f>
        <v>-23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3" s="31" t="e">
        <f>VLOOKUP(B83,'Train Runs'!$A$13:$A$99980,1,FALSE)</f>
        <v>#N/A</v>
      </c>
    </row>
    <row r="84" spans="1:10" x14ac:dyDescent="0.25">
      <c r="A84" s="164"/>
      <c r="B84" s="44" t="str">
        <f>A84&amp;"-"&amp;IF(DAY(Variables!$A$2)&lt;10,0,"")&amp;DAY(Variables!$A$2)</f>
        <v>-23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4" s="31" t="e">
        <f>VLOOKUP(B84,'Train Runs'!$A$13:$A$99980,1,FALSE)</f>
        <v>#N/A</v>
      </c>
    </row>
    <row r="85" spans="1:10" x14ac:dyDescent="0.25">
      <c r="A85" s="164"/>
      <c r="B85" s="44" t="str">
        <f>A85&amp;"-"&amp;IF(DAY(Variables!$A$2)&lt;10,0,"")&amp;DAY(Variables!$A$2)</f>
        <v>-23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5" s="31" t="e">
        <f>VLOOKUP(B85,'Train Runs'!$A$13:$A$99980,1,FALSE)</f>
        <v>#N/A</v>
      </c>
    </row>
    <row r="86" spans="1:10" x14ac:dyDescent="0.25">
      <c r="A86" s="164"/>
      <c r="B86" s="44" t="str">
        <f>A86&amp;"-"&amp;IF(DAY(Variables!$A$2)&lt;10,0,"")&amp;DAY(Variables!$A$2)</f>
        <v>-23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6" s="31" t="e">
        <f>VLOOKUP(B86,'Train Runs'!$A$13:$A$99980,1,FALSE)</f>
        <v>#N/A</v>
      </c>
    </row>
    <row r="87" spans="1:10" x14ac:dyDescent="0.25">
      <c r="A87" s="164"/>
      <c r="B87" s="44" t="str">
        <f>A87&amp;"-"&amp;IF(DAY(Variables!$A$2)&lt;10,0,"")&amp;DAY(Variables!$A$2)</f>
        <v>-23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7" s="31" t="e">
        <f>VLOOKUP(B87,'Train Runs'!$A$13:$A$99980,1,FALSE)</f>
        <v>#N/A</v>
      </c>
    </row>
    <row r="88" spans="1:10" x14ac:dyDescent="0.25">
      <c r="A88" s="164"/>
      <c r="B88" s="44" t="str">
        <f>A88&amp;"-"&amp;IF(DAY(Variables!$A$2)&lt;10,0,"")&amp;DAY(Variables!$A$2)</f>
        <v>-23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8" s="31" t="e">
        <f>VLOOKUP(B88,'Train Runs'!$A$13:$A$99980,1,FALSE)</f>
        <v>#N/A</v>
      </c>
    </row>
    <row r="89" spans="1:10" x14ac:dyDescent="0.25">
      <c r="A89" s="164"/>
      <c r="B89" s="44" t="str">
        <f>A89&amp;"-"&amp;IF(DAY(Variables!$A$2)&lt;10,0,"")&amp;DAY(Variables!$A$2)</f>
        <v>-23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9" s="31" t="e">
        <f>VLOOKUP(B89,'Train Runs'!$A$13:$A$99980,1,FALSE)</f>
        <v>#N/A</v>
      </c>
    </row>
    <row r="90" spans="1:10" x14ac:dyDescent="0.25">
      <c r="A90" s="164"/>
      <c r="B90" s="44" t="str">
        <f>A90&amp;"-"&amp;IF(DAY(Variables!$A$2)&lt;10,0,"")&amp;DAY(Variables!$A$2)</f>
        <v>-23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0" s="31" t="e">
        <f>VLOOKUP(B90,'Train Runs'!$A$13:$A$99980,1,FALSE)</f>
        <v>#N/A</v>
      </c>
    </row>
    <row r="91" spans="1:10" x14ac:dyDescent="0.25">
      <c r="A91" s="164"/>
      <c r="B91" s="44" t="str">
        <f>A91&amp;"-"&amp;IF(DAY(Variables!$A$2)&lt;10,0,"")&amp;DAY(Variables!$A$2)</f>
        <v>-23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1" s="31" t="e">
        <f>VLOOKUP(B91,'Train Runs'!$A$13:$A$99980,1,FALSE)</f>
        <v>#N/A</v>
      </c>
    </row>
    <row r="92" spans="1:10" x14ac:dyDescent="0.25">
      <c r="A92" s="164"/>
      <c r="B92" s="44" t="str">
        <f>A92&amp;"-"&amp;IF(DAY(Variables!$A$2)&lt;10,0,"")&amp;DAY(Variables!$A$2)</f>
        <v>-23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2" s="31" t="e">
        <f>VLOOKUP(B92,'Train Runs'!$A$13:$A$99980,1,FALSE)</f>
        <v>#N/A</v>
      </c>
    </row>
    <row r="93" spans="1:10" x14ac:dyDescent="0.25">
      <c r="A93" s="164"/>
      <c r="B93" s="44" t="str">
        <f>A93&amp;"-"&amp;IF(DAY(Variables!$A$2)&lt;10,0,"")&amp;DAY(Variables!$A$2)</f>
        <v>-23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3" s="31" t="e">
        <f>VLOOKUP(B93,'Train Runs'!$A$13:$A$99980,1,FALSE)</f>
        <v>#N/A</v>
      </c>
    </row>
    <row r="94" spans="1:10" x14ac:dyDescent="0.25">
      <c r="A94" s="164"/>
      <c r="B94" s="44" t="str">
        <f>A94&amp;"-"&amp;IF(DAY(Variables!$A$2)&lt;10,0,"")&amp;DAY(Variables!$A$2)</f>
        <v>-23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4" s="31" t="e">
        <f>VLOOKUP(B94,'Train Runs'!$A$13:$A$99980,1,FALSE)</f>
        <v>#N/A</v>
      </c>
    </row>
    <row r="95" spans="1:10" x14ac:dyDescent="0.25">
      <c r="A95" s="164"/>
      <c r="B95" s="44" t="str">
        <f>A95&amp;"-"&amp;IF(DAY(Variables!$A$2)&lt;10,0,"")&amp;DAY(Variables!$A$2)</f>
        <v>-23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5" s="31" t="e">
        <f>VLOOKUP(B95,'Train Runs'!$A$13:$A$99980,1,FALSE)</f>
        <v>#N/A</v>
      </c>
    </row>
    <row r="96" spans="1:10" x14ac:dyDescent="0.25">
      <c r="A96" s="164"/>
      <c r="B96" s="44" t="str">
        <f>A96&amp;"-"&amp;IF(DAY(Variables!$A$2)&lt;10,0,"")&amp;DAY(Variables!$A$2)</f>
        <v>-23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6" s="31" t="e">
        <f>VLOOKUP(B96,'Train Runs'!$A$13:$A$99980,1,FALSE)</f>
        <v>#N/A</v>
      </c>
    </row>
    <row r="97" spans="1:10" x14ac:dyDescent="0.25">
      <c r="A97" s="164"/>
      <c r="B97" s="44" t="str">
        <f>A97&amp;"-"&amp;IF(DAY(Variables!$A$2)&lt;10,0,"")&amp;DAY(Variables!$A$2)</f>
        <v>-23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7" s="31" t="e">
        <f>VLOOKUP(B97,'Train Runs'!$A$13:$A$99980,1,FALSE)</f>
        <v>#N/A</v>
      </c>
    </row>
    <row r="98" spans="1:10" x14ac:dyDescent="0.25">
      <c r="A98" s="164"/>
      <c r="B98" s="44" t="str">
        <f>A98&amp;"-"&amp;IF(DAY(Variables!$A$2)&lt;10,0,"")&amp;DAY(Variables!$A$2)</f>
        <v>-23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8" s="31" t="e">
        <f>VLOOKUP(B98,'Train Runs'!$A$13:$A$99980,1,FALSE)</f>
        <v>#N/A</v>
      </c>
    </row>
    <row r="99" spans="1:10" x14ac:dyDescent="0.25">
      <c r="A99" s="164"/>
      <c r="B99" s="44" t="str">
        <f>A99&amp;"-"&amp;IF(DAY(Variables!$A$2)&lt;10,0,"")&amp;DAY(Variables!$A$2)</f>
        <v>-23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9" s="31" t="e">
        <f>VLOOKUP(B99,'Train Runs'!$A$13:$A$99980,1,FALSE)</f>
        <v>#N/A</v>
      </c>
    </row>
    <row r="100" spans="1:10" x14ac:dyDescent="0.25">
      <c r="A100" s="164"/>
      <c r="B100" s="44" t="str">
        <f>A100&amp;"-"&amp;IF(DAY(Variables!$A$2)&lt;10,0,"")&amp;DAY(Variables!$A$2)</f>
        <v>-23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0" s="31" t="e">
        <f>VLOOKUP(B100,'Train Runs'!$A$13:$A$99980,1,FALSE)</f>
        <v>#N/A</v>
      </c>
    </row>
    <row r="101" spans="1:10" x14ac:dyDescent="0.25">
      <c r="A101" s="164"/>
      <c r="B101" s="44" t="str">
        <f>A101&amp;"-"&amp;IF(DAY(Variables!$A$2)&lt;10,0,"")&amp;DAY(Variables!$A$2)</f>
        <v>-23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1" s="31" t="e">
        <f>VLOOKUP(B101,'Train Runs'!$A$13:$A$99980,1,FALSE)</f>
        <v>#N/A</v>
      </c>
    </row>
    <row r="102" spans="1:10" x14ac:dyDescent="0.25">
      <c r="A102" s="164"/>
      <c r="B102" s="44" t="str">
        <f>A102&amp;"-"&amp;IF(DAY(Variables!$A$2)&lt;10,0,"")&amp;DAY(Variables!$A$2)</f>
        <v>-23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2" s="31" t="e">
        <f>VLOOKUP(B102,'Train Runs'!$A$13:$A$99980,1,FALSE)</f>
        <v>#N/A</v>
      </c>
    </row>
    <row r="103" spans="1:10" x14ac:dyDescent="0.25">
      <c r="A103" s="164"/>
      <c r="B103" s="44" t="str">
        <f>A103&amp;"-"&amp;IF(DAY(Variables!$A$2)&lt;10,0,"")&amp;DAY(Variables!$A$2)</f>
        <v>-23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3" s="31" t="e">
        <f>VLOOKUP(B103,'Train Runs'!$A$13:$A$99980,1,FALSE)</f>
        <v>#N/A</v>
      </c>
    </row>
    <row r="104" spans="1:10" x14ac:dyDescent="0.25">
      <c r="A104" s="164"/>
      <c r="B104" s="44" t="str">
        <f>A104&amp;"-"&amp;IF(DAY(Variables!$A$2)&lt;10,0,"")&amp;DAY(Variables!$A$2)</f>
        <v>-23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4" s="31" t="e">
        <f>VLOOKUP(B104,'Train Runs'!$A$13:$A$99980,1,FALSE)</f>
        <v>#N/A</v>
      </c>
    </row>
    <row r="105" spans="1:10" x14ac:dyDescent="0.25">
      <c r="A105" s="164"/>
      <c r="B105" s="44" t="str">
        <f>A105&amp;"-"&amp;IF(DAY(Variables!$A$2)&lt;10,0,"")&amp;DAY(Variables!$A$2)</f>
        <v>-23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5" s="31" t="e">
        <f>VLOOKUP(B105,'Train Runs'!$A$13:$A$99980,1,FALSE)</f>
        <v>#N/A</v>
      </c>
    </row>
    <row r="106" spans="1:10" x14ac:dyDescent="0.25">
      <c r="A106" s="164"/>
      <c r="B106" s="44" t="str">
        <f>A106&amp;"-"&amp;IF(DAY(Variables!$A$2)&lt;10,0,"")&amp;DAY(Variables!$A$2)</f>
        <v>-23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6" s="31" t="e">
        <f>VLOOKUP(B106,'Train Runs'!$A$13:$A$99980,1,FALSE)</f>
        <v>#N/A</v>
      </c>
    </row>
    <row r="107" spans="1:10" x14ac:dyDescent="0.25">
      <c r="A107" s="164"/>
      <c r="B107" s="44" t="str">
        <f>A107&amp;"-"&amp;IF(DAY(Variables!$A$2)&lt;10,0,"")&amp;DAY(Variables!$A$2)</f>
        <v>-23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7" s="31" t="e">
        <f>VLOOKUP(B107,'Train Runs'!$A$13:$A$99980,1,FALSE)</f>
        <v>#N/A</v>
      </c>
    </row>
    <row r="108" spans="1:10" x14ac:dyDescent="0.25">
      <c r="A108" s="164"/>
      <c r="B108" s="44" t="str">
        <f>A108&amp;"-"&amp;IF(DAY(Variables!$A$2)&lt;10,0,"")&amp;DAY(Variables!$A$2)</f>
        <v>-23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8" s="31" t="e">
        <f>VLOOKUP(B108,'Train Runs'!$A$13:$A$99980,1,FALSE)</f>
        <v>#N/A</v>
      </c>
    </row>
    <row r="109" spans="1:10" x14ac:dyDescent="0.25">
      <c r="A109" s="164"/>
      <c r="B109" s="44" t="str">
        <f>A109&amp;"-"&amp;IF(DAY(Variables!$A$2)&lt;10,0,"")&amp;DAY(Variables!$A$2)</f>
        <v>-23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9" s="31" t="e">
        <f>VLOOKUP(B109,'Train Runs'!$A$13:$A$99980,1,FALSE)</f>
        <v>#N/A</v>
      </c>
    </row>
    <row r="110" spans="1:10" x14ac:dyDescent="0.25">
      <c r="A110" s="164"/>
      <c r="B110" s="44" t="str">
        <f>A110&amp;"-"&amp;IF(DAY(Variables!$A$2)&lt;10,0,"")&amp;DAY(Variables!$A$2)</f>
        <v>-23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0" s="31" t="e">
        <f>VLOOKUP(B110,'Train Runs'!$A$13:$A$99980,1,FALSE)</f>
        <v>#N/A</v>
      </c>
    </row>
    <row r="111" spans="1:10" x14ac:dyDescent="0.25">
      <c r="A111" s="164"/>
      <c r="B111" s="44" t="str">
        <f>A111&amp;"-"&amp;IF(DAY(Variables!$A$2)&lt;10,0,"")&amp;DAY(Variables!$A$2)</f>
        <v>-23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1" s="31" t="e">
        <f>VLOOKUP(B111,'Train Runs'!$A$13:$A$99980,1,FALSE)</f>
        <v>#N/A</v>
      </c>
    </row>
    <row r="112" spans="1:10" x14ac:dyDescent="0.25">
      <c r="A112" s="164"/>
      <c r="B112" s="44" t="str">
        <f>A112&amp;"-"&amp;IF(DAY(Variables!$A$2)&lt;10,0,"")&amp;DAY(Variables!$A$2)</f>
        <v>-23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2" s="31" t="e">
        <f>VLOOKUP(B112,'Train Runs'!$A$13:$A$99980,1,FALSE)</f>
        <v>#N/A</v>
      </c>
    </row>
    <row r="113" spans="1:10" x14ac:dyDescent="0.25">
      <c r="A113" s="164"/>
      <c r="B113" s="44" t="str">
        <f>A113&amp;"-"&amp;IF(DAY(Variables!$A$2)&lt;10,0,"")&amp;DAY(Variables!$A$2)</f>
        <v>-23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3" s="31" t="e">
        <f>VLOOKUP(B113,'Train Runs'!$A$13:$A$99980,1,FALSE)</f>
        <v>#N/A</v>
      </c>
    </row>
    <row r="114" spans="1:10" x14ac:dyDescent="0.25">
      <c r="A114" s="164"/>
      <c r="B114" s="44" t="str">
        <f>A114&amp;"-"&amp;IF(DAY(Variables!$A$2)&lt;10,0,"")&amp;DAY(Variables!$A$2)</f>
        <v>-23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4" s="31" t="e">
        <f>VLOOKUP(B114,'Train Runs'!$A$13:$A$99980,1,FALSE)</f>
        <v>#N/A</v>
      </c>
    </row>
    <row r="115" spans="1:10" x14ac:dyDescent="0.25">
      <c r="A115" s="164"/>
      <c r="B115" s="44" t="str">
        <f>A115&amp;"-"&amp;IF(DAY(Variables!$A$2)&lt;10,0,"")&amp;DAY(Variables!$A$2)</f>
        <v>-23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5" s="31" t="e">
        <f>VLOOKUP(B115,'Train Runs'!$A$13:$A$99980,1,FALSE)</f>
        <v>#N/A</v>
      </c>
    </row>
    <row r="116" spans="1:10" x14ac:dyDescent="0.25">
      <c r="A116" s="164"/>
      <c r="B116" s="44" t="str">
        <f>A116&amp;"-"&amp;IF(DAY(Variables!$A$2)&lt;10,0,"")&amp;DAY(Variables!$A$2)</f>
        <v>-23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6" s="31" t="e">
        <f>VLOOKUP(B116,'Train Runs'!$A$13:$A$99980,1,FALSE)</f>
        <v>#N/A</v>
      </c>
    </row>
    <row r="117" spans="1:10" x14ac:dyDescent="0.25">
      <c r="A117" s="164"/>
      <c r="B117" s="44" t="str">
        <f>A117&amp;"-"&amp;IF(DAY(Variables!$A$2)&lt;10,0,"")&amp;DAY(Variables!$A$2)</f>
        <v>-23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7" s="31" t="e">
        <f>VLOOKUP(B117,'Train Runs'!$A$13:$A$99980,1,FALSE)</f>
        <v>#N/A</v>
      </c>
    </row>
    <row r="118" spans="1:10" x14ac:dyDescent="0.25">
      <c r="A118" s="164"/>
      <c r="B118" s="44" t="str">
        <f>A118&amp;"-"&amp;IF(DAY(Variables!$A$2)&lt;10,0,"")&amp;DAY(Variables!$A$2)</f>
        <v>-23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8" s="31" t="e">
        <f>VLOOKUP(B118,'Train Runs'!$A$13:$A$99980,1,FALSE)</f>
        <v>#N/A</v>
      </c>
    </row>
    <row r="119" spans="1:10" x14ac:dyDescent="0.25">
      <c r="A119" s="164"/>
      <c r="B119" s="44" t="str">
        <f>A119&amp;"-"&amp;IF(DAY(Variables!$A$2)&lt;10,0,"")&amp;DAY(Variables!$A$2)</f>
        <v>-23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9" s="31" t="e">
        <f>VLOOKUP(B119,'Train Runs'!$A$13:$A$99980,1,FALSE)</f>
        <v>#N/A</v>
      </c>
    </row>
    <row r="120" spans="1:10" x14ac:dyDescent="0.25">
      <c r="A120" s="164"/>
      <c r="B120" s="44" t="str">
        <f>A120&amp;"-"&amp;IF(DAY(Variables!$A$2)&lt;10,0,"")&amp;DAY(Variables!$A$2)</f>
        <v>-23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0" s="31" t="e">
        <f>VLOOKUP(B120,'Train Runs'!$A$13:$A$99980,1,FALSE)</f>
        <v>#N/A</v>
      </c>
    </row>
    <row r="121" spans="1:10" x14ac:dyDescent="0.25">
      <c r="A121" s="164"/>
      <c r="B121" s="44" t="str">
        <f>A121&amp;"-"&amp;IF(DAY(Variables!$A$2)&lt;10,0,"")&amp;DAY(Variables!$A$2)</f>
        <v>-23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1" s="31" t="e">
        <f>VLOOKUP(B121,'Train Runs'!$A$13:$A$99980,1,FALSE)</f>
        <v>#N/A</v>
      </c>
    </row>
    <row r="122" spans="1:10" x14ac:dyDescent="0.25">
      <c r="A122" s="164"/>
      <c r="B122" s="44" t="str">
        <f>A122&amp;"-"&amp;IF(DAY(Variables!$A$2)&lt;10,0,"")&amp;DAY(Variables!$A$2)</f>
        <v>-23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2" s="31" t="e">
        <f>VLOOKUP(B122,'Train Runs'!$A$13:$A$99980,1,FALSE)</f>
        <v>#N/A</v>
      </c>
    </row>
    <row r="123" spans="1:10" x14ac:dyDescent="0.25">
      <c r="A123" s="164"/>
      <c r="B123" s="44" t="str">
        <f>A123&amp;"-"&amp;IF(DAY(Variables!$A$2)&lt;10,0,"")&amp;DAY(Variables!$A$2)</f>
        <v>-23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3" s="31" t="e">
        <f>VLOOKUP(B123,'Train Runs'!$A$13:$A$99980,1,FALSE)</f>
        <v>#N/A</v>
      </c>
    </row>
    <row r="124" spans="1:10" x14ac:dyDescent="0.25">
      <c r="A124" s="164"/>
      <c r="B124" s="44" t="str">
        <f>A124&amp;"-"&amp;IF(DAY(Variables!$A$2)&lt;10,0,"")&amp;DAY(Variables!$A$2)</f>
        <v>-23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4" s="31" t="e">
        <f>VLOOKUP(B124,'Train Runs'!$A$13:$A$99980,1,FALSE)</f>
        <v>#N/A</v>
      </c>
    </row>
    <row r="125" spans="1:10" x14ac:dyDescent="0.25">
      <c r="A125" s="164"/>
      <c r="B125" s="44" t="str">
        <f>A125&amp;"-"&amp;IF(DAY(Variables!$A$2)&lt;10,0,"")&amp;DAY(Variables!$A$2)</f>
        <v>-23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5" s="31" t="e">
        <f>VLOOKUP(B125,'Train Runs'!$A$13:$A$99980,1,FALSE)</f>
        <v>#N/A</v>
      </c>
    </row>
    <row r="126" spans="1:10" x14ac:dyDescent="0.25">
      <c r="A126" s="164"/>
      <c r="B126" s="44" t="str">
        <f>A126&amp;"-"&amp;IF(DAY(Variables!$A$2)&lt;10,0,"")&amp;DAY(Variables!$A$2)</f>
        <v>-23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6" s="31" t="e">
        <f>VLOOKUP(B126,'Train Runs'!$A$13:$A$99980,1,FALSE)</f>
        <v>#N/A</v>
      </c>
    </row>
    <row r="127" spans="1:10" x14ac:dyDescent="0.25">
      <c r="A127" s="164"/>
      <c r="B127" s="44" t="str">
        <f>A127&amp;"-"&amp;IF(DAY(Variables!$A$2)&lt;10,0,"")&amp;DAY(Variables!$A$2)</f>
        <v>-23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7" s="31" t="e">
        <f>VLOOKUP(B127,'Train Runs'!$A$13:$A$99980,1,FALSE)</f>
        <v>#N/A</v>
      </c>
    </row>
    <row r="128" spans="1:10" x14ac:dyDescent="0.25">
      <c r="A128" s="164"/>
      <c r="B128" s="44" t="str">
        <f>A128&amp;"-"&amp;IF(DAY(Variables!$A$2)&lt;10,0,"")&amp;DAY(Variables!$A$2)</f>
        <v>-23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8" s="31" t="e">
        <f>VLOOKUP(B128,'Train Runs'!$A$13:$A$99980,1,FALSE)</f>
        <v>#N/A</v>
      </c>
    </row>
    <row r="129" spans="1:10" x14ac:dyDescent="0.25">
      <c r="A129" s="164"/>
      <c r="B129" s="44" t="str">
        <f>A129&amp;"-"&amp;IF(DAY(Variables!$A$2)&lt;10,0,"")&amp;DAY(Variables!$A$2)</f>
        <v>-23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9" s="31" t="e">
        <f>VLOOKUP(B129,'Train Runs'!$A$13:$A$99980,1,FALSE)</f>
        <v>#N/A</v>
      </c>
    </row>
    <row r="130" spans="1:10" x14ac:dyDescent="0.25">
      <c r="A130" s="164"/>
      <c r="B130" s="44" t="str">
        <f>A130&amp;"-"&amp;IF(DAY(Variables!$A$2)&lt;10,0,"")&amp;DAY(Variables!$A$2)</f>
        <v>-23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0" s="31" t="e">
        <f>VLOOKUP(B130,'Train Runs'!$A$13:$A$99980,1,FALSE)</f>
        <v>#N/A</v>
      </c>
    </row>
    <row r="131" spans="1:10" x14ac:dyDescent="0.25">
      <c r="A131" s="164"/>
      <c r="B131" s="44" t="str">
        <f>A131&amp;"-"&amp;IF(DAY(Variables!$A$2)&lt;10,0,"")&amp;DAY(Variables!$A$2)</f>
        <v>-23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1" s="31" t="e">
        <f>VLOOKUP(B131,'Train Runs'!$A$13:$A$99980,1,FALSE)</f>
        <v>#N/A</v>
      </c>
    </row>
    <row r="132" spans="1:10" x14ac:dyDescent="0.25">
      <c r="A132" s="164"/>
      <c r="B132" s="44" t="str">
        <f>A132&amp;"-"&amp;IF(DAY(Variables!$A$2)&lt;10,0,"")&amp;DAY(Variables!$A$2)</f>
        <v>-23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2" s="31" t="e">
        <f>VLOOKUP(B132,'Train Runs'!$A$13:$A$99980,1,FALSE)</f>
        <v>#N/A</v>
      </c>
    </row>
    <row r="133" spans="1:10" x14ac:dyDescent="0.25">
      <c r="A133" s="164"/>
      <c r="B133" s="44" t="str">
        <f>A133&amp;"-"&amp;IF(DAY(Variables!$A$2)&lt;10,0,"")&amp;DAY(Variables!$A$2)</f>
        <v>-23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3" s="31" t="e">
        <f>VLOOKUP(B133,'Train Runs'!$A$13:$A$99980,1,FALSE)</f>
        <v>#N/A</v>
      </c>
    </row>
    <row r="134" spans="1:10" x14ac:dyDescent="0.25">
      <c r="A134" s="164"/>
      <c r="B134" s="44" t="str">
        <f>A134&amp;"-"&amp;IF(DAY(Variables!$A$2)&lt;10,0,"")&amp;DAY(Variables!$A$2)</f>
        <v>-23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4" s="31" t="e">
        <f>VLOOKUP(B134,'Train Runs'!$A$13:$A$99980,1,FALSE)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42758.047453703701</v>
      </c>
      <c r="B2" s="21" t="s">
        <v>319</v>
      </c>
      <c r="C2" s="21" t="s">
        <v>382</v>
      </c>
      <c r="D2" s="157">
        <v>1810000</v>
      </c>
      <c r="E2" s="21" t="s">
        <v>219</v>
      </c>
      <c r="F2" s="21" t="s">
        <v>209</v>
      </c>
      <c r="G2" s="8" t="str">
        <f>E2&amp;" "&amp;F2</f>
        <v>NEWELL JAMES</v>
      </c>
    </row>
    <row r="3" spans="1:7" x14ac:dyDescent="0.25">
      <c r="A3" s="8">
        <v>42758.048344907409</v>
      </c>
      <c r="B3" s="21" t="s">
        <v>319</v>
      </c>
      <c r="C3" s="21" t="s">
        <v>382</v>
      </c>
      <c r="D3" s="157">
        <v>1810000</v>
      </c>
      <c r="E3" s="21" t="s">
        <v>219</v>
      </c>
      <c r="F3" s="21" t="s">
        <v>209</v>
      </c>
      <c r="G3" s="8" t="str">
        <f t="shared" ref="G3:G66" si="0">E3&amp;" "&amp;F3</f>
        <v>NEWELL JAMES</v>
      </c>
    </row>
    <row r="4" spans="1:7" x14ac:dyDescent="0.25">
      <c r="A4" s="8">
        <v>42758.059108796297</v>
      </c>
      <c r="B4" s="21" t="s">
        <v>245</v>
      </c>
      <c r="C4" s="21" t="s">
        <v>383</v>
      </c>
      <c r="D4" s="157">
        <v>2000000</v>
      </c>
      <c r="E4" s="21" t="s">
        <v>326</v>
      </c>
      <c r="F4" s="21" t="s">
        <v>209</v>
      </c>
      <c r="G4" s="8" t="str">
        <f t="shared" si="0"/>
        <v>STAMBAUGH JAMES</v>
      </c>
    </row>
    <row r="5" spans="1:7" x14ac:dyDescent="0.25">
      <c r="A5" s="8">
        <v>42758.069155092591</v>
      </c>
      <c r="B5" s="21" t="s">
        <v>253</v>
      </c>
      <c r="C5" s="21" t="s">
        <v>384</v>
      </c>
      <c r="D5" s="157">
        <v>2230000</v>
      </c>
      <c r="E5" s="21" t="s">
        <v>325</v>
      </c>
      <c r="F5" s="21" t="s">
        <v>214</v>
      </c>
      <c r="G5" s="8" t="str">
        <f t="shared" si="0"/>
        <v>SMITH MICHAEL</v>
      </c>
    </row>
    <row r="6" spans="1:7" x14ac:dyDescent="0.25">
      <c r="A6" s="8">
        <v>42758.087685185186</v>
      </c>
      <c r="B6" s="21" t="s">
        <v>280</v>
      </c>
      <c r="C6" s="21" t="s">
        <v>385</v>
      </c>
      <c r="D6" s="157">
        <v>2000000</v>
      </c>
      <c r="E6" s="21" t="s">
        <v>326</v>
      </c>
      <c r="F6" s="21" t="s">
        <v>209</v>
      </c>
      <c r="G6" s="8" t="str">
        <f t="shared" si="0"/>
        <v>STAMBAUGH JAMES</v>
      </c>
    </row>
    <row r="7" spans="1:7" x14ac:dyDescent="0.25">
      <c r="A7" s="8">
        <v>42758.08871527778</v>
      </c>
      <c r="B7" s="21" t="s">
        <v>280</v>
      </c>
      <c r="C7" s="21" t="s">
        <v>385</v>
      </c>
      <c r="D7" s="157">
        <v>2000000</v>
      </c>
      <c r="E7" s="21" t="s">
        <v>326</v>
      </c>
      <c r="F7" s="21" t="s">
        <v>209</v>
      </c>
      <c r="G7" s="8" t="str">
        <f t="shared" si="0"/>
        <v>STAMBAUGH JAMES</v>
      </c>
    </row>
    <row r="8" spans="1:7" x14ac:dyDescent="0.25">
      <c r="A8" s="8">
        <v>42758.115706018521</v>
      </c>
      <c r="B8" s="21" t="s">
        <v>455</v>
      </c>
      <c r="C8" s="21" t="s">
        <v>456</v>
      </c>
      <c r="D8" s="157">
        <v>2110000</v>
      </c>
      <c r="E8" s="21" t="s">
        <v>369</v>
      </c>
      <c r="F8" s="21" t="s">
        <v>370</v>
      </c>
      <c r="G8" s="8" t="str">
        <f t="shared" si="0"/>
        <v>OUN ZACK</v>
      </c>
    </row>
    <row r="9" spans="1:7" ht="15.75" thickBot="1" x14ac:dyDescent="0.3">
      <c r="A9" s="25">
        <v>42758.127118055556</v>
      </c>
      <c r="B9" s="21" t="s">
        <v>153</v>
      </c>
      <c r="C9" s="21" t="s">
        <v>457</v>
      </c>
      <c r="D9" s="157">
        <v>2110000</v>
      </c>
      <c r="E9" s="21" t="s">
        <v>369</v>
      </c>
      <c r="F9" s="21" t="s">
        <v>370</v>
      </c>
      <c r="G9" s="8" t="str">
        <f t="shared" si="0"/>
        <v>OUN ZACK</v>
      </c>
    </row>
    <row r="10" spans="1:7" x14ac:dyDescent="0.25">
      <c r="A10" s="8">
        <v>42758.127685185187</v>
      </c>
      <c r="B10" s="21" t="s">
        <v>153</v>
      </c>
      <c r="C10" s="21" t="s">
        <v>457</v>
      </c>
      <c r="D10" s="157">
        <v>2110000</v>
      </c>
      <c r="E10" s="21" t="s">
        <v>369</v>
      </c>
      <c r="F10" s="21" t="s">
        <v>370</v>
      </c>
      <c r="G10" s="8" t="str">
        <f t="shared" si="0"/>
        <v>OUN ZACK</v>
      </c>
    </row>
    <row r="11" spans="1:7" x14ac:dyDescent="0.25">
      <c r="A11" s="8">
        <v>42758.128472222219</v>
      </c>
      <c r="B11" s="21" t="s">
        <v>153</v>
      </c>
      <c r="C11" s="21" t="s">
        <v>457</v>
      </c>
      <c r="D11" s="157">
        <v>2110000</v>
      </c>
      <c r="E11" s="21" t="s">
        <v>369</v>
      </c>
      <c r="F11" s="21" t="s">
        <v>370</v>
      </c>
      <c r="G11" s="8" t="str">
        <f t="shared" si="0"/>
        <v>OUN ZACK</v>
      </c>
    </row>
    <row r="12" spans="1:7" x14ac:dyDescent="0.25">
      <c r="A12" s="8">
        <v>42758.143252314818</v>
      </c>
      <c r="B12" s="21" t="s">
        <v>237</v>
      </c>
      <c r="C12" s="21" t="s">
        <v>458</v>
      </c>
      <c r="D12" s="157">
        <v>2010000</v>
      </c>
      <c r="E12" s="21" t="s">
        <v>371</v>
      </c>
      <c r="F12" s="21" t="s">
        <v>372</v>
      </c>
      <c r="G12" s="8" t="str">
        <f t="shared" si="0"/>
        <v>MAELZER KURT</v>
      </c>
    </row>
    <row r="13" spans="1:7" x14ac:dyDescent="0.25">
      <c r="A13" s="8">
        <v>42758.154606481483</v>
      </c>
      <c r="B13" s="21" t="s">
        <v>195</v>
      </c>
      <c r="C13" s="21" t="s">
        <v>459</v>
      </c>
      <c r="D13" s="157">
        <v>2010000</v>
      </c>
      <c r="E13" s="21" t="s">
        <v>371</v>
      </c>
      <c r="F13" s="21" t="s">
        <v>372</v>
      </c>
      <c r="G13" s="8" t="str">
        <f t="shared" si="0"/>
        <v>MAELZER KURT</v>
      </c>
    </row>
    <row r="14" spans="1:7" x14ac:dyDescent="0.25">
      <c r="A14" s="8">
        <v>42758.158136574071</v>
      </c>
      <c r="B14" s="21" t="s">
        <v>263</v>
      </c>
      <c r="C14" s="21" t="s">
        <v>460</v>
      </c>
      <c r="D14" s="157">
        <v>1110000</v>
      </c>
      <c r="E14" s="21" t="s">
        <v>461</v>
      </c>
      <c r="F14" s="21" t="s">
        <v>462</v>
      </c>
      <c r="G14" s="8" t="str">
        <f t="shared" si="0"/>
        <v>STARKS ANGELINA</v>
      </c>
    </row>
    <row r="15" spans="1:7" x14ac:dyDescent="0.25">
      <c r="A15" s="8">
        <v>42758.168391203704</v>
      </c>
      <c r="B15" s="21" t="s">
        <v>455</v>
      </c>
      <c r="C15" s="21" t="s">
        <v>463</v>
      </c>
      <c r="D15" s="157">
        <v>2110000</v>
      </c>
      <c r="E15" s="21" t="s">
        <v>369</v>
      </c>
      <c r="F15" s="21" t="s">
        <v>370</v>
      </c>
      <c r="G15" s="8" t="str">
        <f t="shared" si="0"/>
        <v>OUN ZACK</v>
      </c>
    </row>
    <row r="16" spans="1:7" x14ac:dyDescent="0.25">
      <c r="A16" s="8">
        <v>42758.168993055559</v>
      </c>
      <c r="B16" s="21" t="s">
        <v>455</v>
      </c>
      <c r="C16" s="21" t="s">
        <v>463</v>
      </c>
      <c r="D16" s="157">
        <v>2110000</v>
      </c>
      <c r="E16" s="21" t="s">
        <v>369</v>
      </c>
      <c r="F16" s="21" t="s">
        <v>370</v>
      </c>
      <c r="G16" s="8" t="str">
        <f t="shared" si="0"/>
        <v>OUN ZACK</v>
      </c>
    </row>
    <row r="17" spans="1:7" x14ac:dyDescent="0.25">
      <c r="A17" s="8">
        <v>42758.169756944444</v>
      </c>
      <c r="B17" s="21" t="s">
        <v>455</v>
      </c>
      <c r="C17" s="21" t="s">
        <v>463</v>
      </c>
      <c r="D17" s="157">
        <v>2110000</v>
      </c>
      <c r="E17" s="21" t="s">
        <v>369</v>
      </c>
      <c r="F17" s="21" t="s">
        <v>370</v>
      </c>
      <c r="G17" s="8" t="str">
        <f t="shared" si="0"/>
        <v>OUN ZACK</v>
      </c>
    </row>
    <row r="18" spans="1:7" x14ac:dyDescent="0.25">
      <c r="A18" s="8">
        <v>42758.173020833332</v>
      </c>
      <c r="B18" s="21" t="s">
        <v>266</v>
      </c>
      <c r="C18" s="21" t="s">
        <v>427</v>
      </c>
      <c r="D18" s="157">
        <v>1110000</v>
      </c>
      <c r="E18" s="21" t="s">
        <v>461</v>
      </c>
      <c r="F18" s="21" t="s">
        <v>462</v>
      </c>
      <c r="G18" s="8" t="str">
        <f t="shared" si="0"/>
        <v>STARKS ANGELINA</v>
      </c>
    </row>
    <row r="19" spans="1:7" x14ac:dyDescent="0.25">
      <c r="A19" s="8">
        <v>42758.175717592596</v>
      </c>
      <c r="B19" s="21" t="s">
        <v>250</v>
      </c>
      <c r="C19" s="21" t="s">
        <v>464</v>
      </c>
      <c r="D19" s="157">
        <v>940000</v>
      </c>
      <c r="E19" s="21" t="s">
        <v>465</v>
      </c>
      <c r="F19" s="21" t="s">
        <v>466</v>
      </c>
      <c r="G19" s="8" t="str">
        <f t="shared" si="0"/>
        <v>BONDS REYNALDO</v>
      </c>
    </row>
    <row r="20" spans="1:7" x14ac:dyDescent="0.25">
      <c r="A20" s="8">
        <v>42758.179189814815</v>
      </c>
      <c r="B20" s="21" t="s">
        <v>249</v>
      </c>
      <c r="C20" s="21" t="s">
        <v>467</v>
      </c>
      <c r="D20" s="157">
        <v>2150000</v>
      </c>
      <c r="E20" s="21" t="s">
        <v>468</v>
      </c>
      <c r="F20" s="21" t="s">
        <v>469</v>
      </c>
      <c r="G20" s="8" t="str">
        <f t="shared" si="0"/>
        <v>SWANSON BRYCE</v>
      </c>
    </row>
    <row r="21" spans="1:7" x14ac:dyDescent="0.25">
      <c r="A21" s="8">
        <v>42758.185289351852</v>
      </c>
      <c r="B21" s="21" t="s">
        <v>201</v>
      </c>
      <c r="C21" s="21" t="s">
        <v>470</v>
      </c>
      <c r="D21" s="157">
        <v>940000</v>
      </c>
      <c r="E21" s="21" t="s">
        <v>465</v>
      </c>
      <c r="F21" s="21" t="s">
        <v>466</v>
      </c>
      <c r="G21" s="8" t="str">
        <f t="shared" si="0"/>
        <v>BONDS REYNALDO</v>
      </c>
    </row>
    <row r="22" spans="1:7" x14ac:dyDescent="0.25">
      <c r="A22" s="27">
        <v>42758.19054398148</v>
      </c>
      <c r="B22" s="21" t="s">
        <v>237</v>
      </c>
      <c r="C22" s="21" t="s">
        <v>471</v>
      </c>
      <c r="D22" s="157">
        <v>2010000</v>
      </c>
      <c r="E22" s="21" t="s">
        <v>371</v>
      </c>
      <c r="F22" s="21" t="s">
        <v>372</v>
      </c>
      <c r="G22" s="8" t="str">
        <f t="shared" si="0"/>
        <v>MAELZER KURT</v>
      </c>
    </row>
    <row r="23" spans="1:7" x14ac:dyDescent="0.25">
      <c r="A23" s="8">
        <v>42758.193391203706</v>
      </c>
      <c r="B23" s="21" t="s">
        <v>248</v>
      </c>
      <c r="C23" s="21" t="s">
        <v>472</v>
      </c>
      <c r="D23" s="157">
        <v>2150000</v>
      </c>
      <c r="E23" s="21" t="s">
        <v>468</v>
      </c>
      <c r="F23" s="21" t="s">
        <v>469</v>
      </c>
      <c r="G23" s="8" t="str">
        <f t="shared" si="0"/>
        <v>SWANSON BRYCE</v>
      </c>
    </row>
    <row r="24" spans="1:7" x14ac:dyDescent="0.25">
      <c r="A24" s="8">
        <v>42758.205821759257</v>
      </c>
      <c r="B24" s="21" t="s">
        <v>153</v>
      </c>
      <c r="C24" s="21" t="s">
        <v>473</v>
      </c>
      <c r="D24" s="157">
        <v>1830000</v>
      </c>
      <c r="E24" s="21" t="s">
        <v>373</v>
      </c>
      <c r="F24" s="21" t="s">
        <v>374</v>
      </c>
      <c r="G24" s="8" t="str">
        <f t="shared" si="0"/>
        <v>YORK EDGAR</v>
      </c>
    </row>
    <row r="25" spans="1:7" x14ac:dyDescent="0.25">
      <c r="A25" s="8">
        <v>42758.209085648145</v>
      </c>
      <c r="B25" s="21" t="s">
        <v>197</v>
      </c>
      <c r="C25" s="21" t="s">
        <v>428</v>
      </c>
      <c r="D25" s="157">
        <v>1990000</v>
      </c>
      <c r="E25" s="21" t="s">
        <v>264</v>
      </c>
      <c r="F25" s="21" t="s">
        <v>315</v>
      </c>
      <c r="G25" s="8" t="str">
        <f t="shared" si="0"/>
        <v>DAVIS WENDY</v>
      </c>
    </row>
    <row r="26" spans="1:7" x14ac:dyDescent="0.25">
      <c r="A26" s="8">
        <v>42758.2109837963</v>
      </c>
      <c r="B26" s="21" t="s">
        <v>474</v>
      </c>
      <c r="C26" s="21" t="s">
        <v>475</v>
      </c>
      <c r="D26" s="157">
        <v>2110000</v>
      </c>
      <c r="E26" s="21" t="s">
        <v>369</v>
      </c>
      <c r="F26" s="21" t="s">
        <v>370</v>
      </c>
      <c r="G26" s="8" t="str">
        <f t="shared" si="0"/>
        <v>OUN ZACK</v>
      </c>
    </row>
    <row r="27" spans="1:7" x14ac:dyDescent="0.25">
      <c r="A27" s="8">
        <v>42758.214247685188</v>
      </c>
      <c r="B27" s="21" t="s">
        <v>263</v>
      </c>
      <c r="C27" s="21" t="s">
        <v>429</v>
      </c>
      <c r="D27" s="157">
        <v>1110000</v>
      </c>
      <c r="E27" s="21" t="s">
        <v>461</v>
      </c>
      <c r="F27" s="21" t="s">
        <v>462</v>
      </c>
      <c r="G27" s="8" t="str">
        <f t="shared" si="0"/>
        <v>STARKS ANGELINA</v>
      </c>
    </row>
    <row r="28" spans="1:7" x14ac:dyDescent="0.25">
      <c r="A28" s="8">
        <v>42758.215057870373</v>
      </c>
      <c r="B28" s="21" t="s">
        <v>263</v>
      </c>
      <c r="C28" s="21" t="s">
        <v>429</v>
      </c>
      <c r="D28" s="157">
        <v>1110000</v>
      </c>
      <c r="E28" s="21" t="s">
        <v>461</v>
      </c>
      <c r="F28" s="21" t="s">
        <v>462</v>
      </c>
      <c r="G28" s="8" t="str">
        <f t="shared" si="0"/>
        <v>STARKS ANGELINA</v>
      </c>
    </row>
    <row r="29" spans="1:7" x14ac:dyDescent="0.25">
      <c r="A29" s="8">
        <v>42758.215740740743</v>
      </c>
      <c r="B29" s="21" t="s">
        <v>474</v>
      </c>
      <c r="C29" s="21" t="s">
        <v>475</v>
      </c>
      <c r="D29" s="157">
        <v>2110000</v>
      </c>
      <c r="E29" s="21" t="s">
        <v>369</v>
      </c>
      <c r="F29" s="21" t="s">
        <v>370</v>
      </c>
      <c r="G29" s="8" t="str">
        <f t="shared" si="0"/>
        <v>OUN ZACK</v>
      </c>
    </row>
    <row r="30" spans="1:7" x14ac:dyDescent="0.25">
      <c r="A30" s="8">
        <v>42758.217013888891</v>
      </c>
      <c r="B30" s="21" t="s">
        <v>474</v>
      </c>
      <c r="C30" s="21" t="s">
        <v>475</v>
      </c>
      <c r="D30" s="157">
        <v>2110000</v>
      </c>
      <c r="E30" s="21" t="s">
        <v>369</v>
      </c>
      <c r="F30" s="21" t="s">
        <v>370</v>
      </c>
      <c r="G30" s="8" t="str">
        <f t="shared" si="0"/>
        <v>OUN ZACK</v>
      </c>
    </row>
    <row r="31" spans="1:7" x14ac:dyDescent="0.25">
      <c r="A31" s="8">
        <v>42758.21733796296</v>
      </c>
      <c r="B31" s="21" t="s">
        <v>279</v>
      </c>
      <c r="C31" s="21" t="s">
        <v>476</v>
      </c>
      <c r="D31" s="157">
        <v>1990000</v>
      </c>
      <c r="E31" s="21" t="s">
        <v>264</v>
      </c>
      <c r="F31" s="21" t="s">
        <v>315</v>
      </c>
      <c r="G31" s="8" t="str">
        <f t="shared" si="0"/>
        <v>DAVIS WENDY</v>
      </c>
    </row>
    <row r="32" spans="1:7" x14ac:dyDescent="0.25">
      <c r="A32" s="8">
        <v>42758.223587962966</v>
      </c>
      <c r="B32" s="21" t="s">
        <v>250</v>
      </c>
      <c r="C32" s="21" t="s">
        <v>477</v>
      </c>
      <c r="D32" s="157">
        <v>940000</v>
      </c>
      <c r="E32" s="21" t="s">
        <v>465</v>
      </c>
      <c r="F32" s="21" t="s">
        <v>466</v>
      </c>
      <c r="G32" s="8" t="str">
        <f t="shared" si="0"/>
        <v>BONDS REYNALDO</v>
      </c>
    </row>
    <row r="33" spans="1:7" x14ac:dyDescent="0.25">
      <c r="A33" s="8">
        <v>42758.226064814815</v>
      </c>
      <c r="B33" s="21" t="s">
        <v>286</v>
      </c>
      <c r="C33" s="21" t="s">
        <v>478</v>
      </c>
      <c r="D33" s="157">
        <v>2010000</v>
      </c>
      <c r="E33" s="21" t="s">
        <v>371</v>
      </c>
      <c r="F33" s="21" t="s">
        <v>372</v>
      </c>
      <c r="G33" s="8" t="str">
        <f t="shared" si="0"/>
        <v>MAELZER KURT</v>
      </c>
    </row>
    <row r="34" spans="1:7" x14ac:dyDescent="0.25">
      <c r="A34" s="8">
        <v>42758.226412037038</v>
      </c>
      <c r="B34" s="21" t="s">
        <v>195</v>
      </c>
      <c r="C34" s="21" t="s">
        <v>479</v>
      </c>
      <c r="D34" s="157">
        <v>2140000</v>
      </c>
      <c r="E34" s="21" t="s">
        <v>316</v>
      </c>
      <c r="F34" s="21" t="s">
        <v>317</v>
      </c>
      <c r="G34" s="8" t="str">
        <f t="shared" si="0"/>
        <v>ROBINSON KADDIBA</v>
      </c>
    </row>
    <row r="35" spans="1:7" x14ac:dyDescent="0.25">
      <c r="A35" s="8">
        <v>42758.227835648147</v>
      </c>
      <c r="B35" s="21" t="s">
        <v>249</v>
      </c>
      <c r="C35" s="21" t="s">
        <v>480</v>
      </c>
      <c r="D35" s="157">
        <v>2150000</v>
      </c>
      <c r="E35" s="21" t="s">
        <v>468</v>
      </c>
      <c r="F35" s="21" t="s">
        <v>469</v>
      </c>
      <c r="G35" s="8" t="str">
        <f t="shared" si="0"/>
        <v>SWANSON BRYCE</v>
      </c>
    </row>
    <row r="36" spans="1:7" x14ac:dyDescent="0.25">
      <c r="A36" s="8">
        <v>42758.2341087963</v>
      </c>
      <c r="B36" s="21" t="s">
        <v>154</v>
      </c>
      <c r="C36" s="21" t="s">
        <v>481</v>
      </c>
      <c r="D36" s="157">
        <v>1830000</v>
      </c>
      <c r="E36" s="21" t="s">
        <v>373</v>
      </c>
      <c r="F36" s="21" t="s">
        <v>374</v>
      </c>
      <c r="G36" s="8" t="str">
        <f t="shared" si="0"/>
        <v>YORK EDGAR</v>
      </c>
    </row>
    <row r="37" spans="1:7" x14ac:dyDescent="0.25">
      <c r="A37" s="8">
        <v>42758.240104166667</v>
      </c>
      <c r="B37" s="21" t="s">
        <v>197</v>
      </c>
      <c r="C37" s="21" t="s">
        <v>430</v>
      </c>
      <c r="D37" s="157">
        <v>1990000</v>
      </c>
      <c r="E37" s="21" t="s">
        <v>264</v>
      </c>
      <c r="F37" s="21" t="s">
        <v>315</v>
      </c>
      <c r="G37" s="8" t="str">
        <f t="shared" si="0"/>
        <v>DAVIS WENDY</v>
      </c>
    </row>
    <row r="38" spans="1:7" x14ac:dyDescent="0.25">
      <c r="A38" s="8">
        <v>42758.244641203702</v>
      </c>
      <c r="B38" s="21" t="s">
        <v>441</v>
      </c>
      <c r="C38" s="21" t="s">
        <v>482</v>
      </c>
      <c r="D38" s="157">
        <v>2040000</v>
      </c>
      <c r="E38" s="21" t="s">
        <v>483</v>
      </c>
      <c r="F38" s="21" t="s">
        <v>484</v>
      </c>
      <c r="G38" s="8" t="str">
        <f t="shared" si="0"/>
        <v>MOSES BRADLEY</v>
      </c>
    </row>
    <row r="39" spans="1:7" x14ac:dyDescent="0.25">
      <c r="A39" s="8">
        <v>42758.245891203704</v>
      </c>
      <c r="B39" s="21" t="s">
        <v>441</v>
      </c>
      <c r="C39" s="21" t="s">
        <v>482</v>
      </c>
      <c r="D39" s="157">
        <v>2040000</v>
      </c>
      <c r="E39" s="21" t="s">
        <v>483</v>
      </c>
      <c r="F39" s="21" t="s">
        <v>484</v>
      </c>
      <c r="G39" s="8" t="str">
        <f t="shared" si="0"/>
        <v>MOSES BRADLEY</v>
      </c>
    </row>
    <row r="40" spans="1:7" x14ac:dyDescent="0.25">
      <c r="A40" s="8">
        <v>42758.247546296298</v>
      </c>
      <c r="B40" s="26" t="s">
        <v>266</v>
      </c>
      <c r="C40" s="21" t="s">
        <v>485</v>
      </c>
      <c r="D40" s="157">
        <v>1110000</v>
      </c>
      <c r="E40" s="21" t="s">
        <v>461</v>
      </c>
      <c r="F40" s="21" t="s">
        <v>462</v>
      </c>
      <c r="G40" s="8" t="str">
        <f t="shared" si="0"/>
        <v>STARKS ANGELINA</v>
      </c>
    </row>
    <row r="41" spans="1:7" x14ac:dyDescent="0.25">
      <c r="A41" s="8">
        <v>42758.254282407404</v>
      </c>
      <c r="B41" s="21" t="s">
        <v>455</v>
      </c>
      <c r="C41" s="21" t="s">
        <v>486</v>
      </c>
      <c r="D41" s="157">
        <v>2110000</v>
      </c>
      <c r="E41" s="21" t="s">
        <v>369</v>
      </c>
      <c r="F41" s="21" t="s">
        <v>370</v>
      </c>
      <c r="G41" s="8" t="str">
        <f t="shared" si="0"/>
        <v>OUN ZACK</v>
      </c>
    </row>
    <row r="42" spans="1:7" x14ac:dyDescent="0.25">
      <c r="A42" s="8">
        <v>42758.256261574075</v>
      </c>
      <c r="B42" s="21" t="s">
        <v>279</v>
      </c>
      <c r="C42" s="21" t="s">
        <v>431</v>
      </c>
      <c r="D42" s="157">
        <v>1990000</v>
      </c>
      <c r="E42" s="21" t="s">
        <v>264</v>
      </c>
      <c r="F42" s="21" t="s">
        <v>315</v>
      </c>
      <c r="G42" s="8" t="str">
        <f t="shared" si="0"/>
        <v>DAVIS WENDY</v>
      </c>
    </row>
    <row r="43" spans="1:7" x14ac:dyDescent="0.25">
      <c r="A43" s="8">
        <v>42758.25677083333</v>
      </c>
      <c r="B43" s="21" t="s">
        <v>201</v>
      </c>
      <c r="C43" s="21" t="s">
        <v>487</v>
      </c>
      <c r="D43" s="157">
        <v>940000</v>
      </c>
      <c r="E43" s="21" t="s">
        <v>465</v>
      </c>
      <c r="F43" s="21" t="s">
        <v>466</v>
      </c>
      <c r="G43" s="8" t="str">
        <f t="shared" si="0"/>
        <v>BONDS REYNALDO</v>
      </c>
    </row>
    <row r="44" spans="1:7" x14ac:dyDescent="0.25">
      <c r="A44" s="8">
        <v>42758.257835648146</v>
      </c>
      <c r="B44" s="21" t="s">
        <v>320</v>
      </c>
      <c r="C44" s="21" t="s">
        <v>488</v>
      </c>
      <c r="D44" s="157">
        <v>2040000</v>
      </c>
      <c r="E44" s="21" t="s">
        <v>483</v>
      </c>
      <c r="F44" s="21" t="s">
        <v>484</v>
      </c>
      <c r="G44" s="8" t="str">
        <f t="shared" si="0"/>
        <v>MOSES BRADLEY</v>
      </c>
    </row>
    <row r="45" spans="1:7" x14ac:dyDescent="0.25">
      <c r="A45" s="8">
        <v>42758.26284722222</v>
      </c>
      <c r="B45" s="21" t="s">
        <v>199</v>
      </c>
      <c r="C45" s="21" t="s">
        <v>489</v>
      </c>
      <c r="D45" s="157">
        <v>2140000</v>
      </c>
      <c r="E45" s="21" t="s">
        <v>316</v>
      </c>
      <c r="F45" s="21" t="s">
        <v>317</v>
      </c>
      <c r="G45" s="8" t="str">
        <f t="shared" si="0"/>
        <v>ROBINSON KADDIBA</v>
      </c>
    </row>
    <row r="46" spans="1:7" x14ac:dyDescent="0.25">
      <c r="A46" s="8">
        <v>42758.267534722225</v>
      </c>
      <c r="B46" s="21" t="s">
        <v>248</v>
      </c>
      <c r="C46" s="21" t="s">
        <v>490</v>
      </c>
      <c r="D46" s="157">
        <v>2150000</v>
      </c>
      <c r="E46" s="21" t="s">
        <v>468</v>
      </c>
      <c r="F46" s="21" t="s">
        <v>469</v>
      </c>
      <c r="G46" s="8" t="str">
        <f t="shared" si="0"/>
        <v>SWANSON BRYCE</v>
      </c>
    </row>
    <row r="47" spans="1:7" x14ac:dyDescent="0.25">
      <c r="A47" s="8">
        <v>42758.274155092593</v>
      </c>
      <c r="B47" s="21" t="s">
        <v>153</v>
      </c>
      <c r="C47" s="21" t="s">
        <v>491</v>
      </c>
      <c r="D47" s="157">
        <v>1830000</v>
      </c>
      <c r="E47" s="21" t="s">
        <v>373</v>
      </c>
      <c r="F47" s="21" t="s">
        <v>374</v>
      </c>
      <c r="G47" s="8" t="str">
        <f t="shared" si="0"/>
        <v>YORK EDGAR</v>
      </c>
    </row>
    <row r="48" spans="1:7" x14ac:dyDescent="0.25">
      <c r="A48" s="8">
        <v>42758.275011574071</v>
      </c>
      <c r="B48" s="21" t="s">
        <v>237</v>
      </c>
      <c r="C48" s="21" t="s">
        <v>492</v>
      </c>
      <c r="D48" s="157">
        <v>2010000</v>
      </c>
      <c r="E48" s="21" t="s">
        <v>371</v>
      </c>
      <c r="F48" s="21" t="s">
        <v>372</v>
      </c>
      <c r="G48" s="8" t="str">
        <f t="shared" si="0"/>
        <v>MAELZER KURT</v>
      </c>
    </row>
    <row r="49" spans="1:7" x14ac:dyDescent="0.25">
      <c r="A49" s="8">
        <v>42758.276736111111</v>
      </c>
      <c r="B49" s="21" t="s">
        <v>441</v>
      </c>
      <c r="C49" s="21" t="s">
        <v>493</v>
      </c>
      <c r="D49" s="157">
        <v>2040000</v>
      </c>
      <c r="E49" s="21" t="s">
        <v>483</v>
      </c>
      <c r="F49" s="21" t="s">
        <v>484</v>
      </c>
      <c r="G49" s="8" t="str">
        <f t="shared" si="0"/>
        <v>MOSES BRADLEY</v>
      </c>
    </row>
    <row r="50" spans="1:7" x14ac:dyDescent="0.25">
      <c r="A50" s="8">
        <v>42758.279861111114</v>
      </c>
      <c r="B50" s="21" t="s">
        <v>197</v>
      </c>
      <c r="C50" s="21" t="s">
        <v>432</v>
      </c>
      <c r="D50" s="157">
        <v>1990000</v>
      </c>
      <c r="E50" s="21" t="s">
        <v>264</v>
      </c>
      <c r="F50" s="21" t="s">
        <v>315</v>
      </c>
      <c r="G50" s="8" t="str">
        <f t="shared" si="0"/>
        <v>DAVIS WENDY</v>
      </c>
    </row>
    <row r="51" spans="1:7" x14ac:dyDescent="0.25">
      <c r="A51" s="8">
        <v>42758.284907407404</v>
      </c>
      <c r="B51" s="21" t="s">
        <v>224</v>
      </c>
      <c r="C51" s="21" t="s">
        <v>494</v>
      </c>
      <c r="D51" s="157">
        <v>1110000</v>
      </c>
      <c r="E51" s="21" t="s">
        <v>461</v>
      </c>
      <c r="F51" s="21" t="s">
        <v>462</v>
      </c>
      <c r="G51" s="8" t="str">
        <f t="shared" si="0"/>
        <v>STARKS ANGELINA</v>
      </c>
    </row>
    <row r="52" spans="1:7" x14ac:dyDescent="0.25">
      <c r="A52" s="8">
        <v>42758.286840277775</v>
      </c>
      <c r="B52" s="21" t="s">
        <v>474</v>
      </c>
      <c r="C52" s="21" t="s">
        <v>495</v>
      </c>
      <c r="D52" s="157">
        <v>2110000</v>
      </c>
      <c r="E52" s="21" t="s">
        <v>369</v>
      </c>
      <c r="F52" s="21" t="s">
        <v>370</v>
      </c>
      <c r="G52" s="8" t="str">
        <f t="shared" si="0"/>
        <v>OUN ZACK</v>
      </c>
    </row>
    <row r="53" spans="1:7" x14ac:dyDescent="0.25">
      <c r="A53" s="8">
        <v>42758.297719907408</v>
      </c>
      <c r="B53" s="21" t="s">
        <v>250</v>
      </c>
      <c r="C53" s="21" t="s">
        <v>496</v>
      </c>
      <c r="D53" s="157">
        <v>940000</v>
      </c>
      <c r="E53" s="21" t="s">
        <v>465</v>
      </c>
      <c r="F53" s="21" t="s">
        <v>466</v>
      </c>
      <c r="G53" s="8" t="str">
        <f t="shared" si="0"/>
        <v>BONDS REYNALDO</v>
      </c>
    </row>
    <row r="54" spans="1:7" x14ac:dyDescent="0.25">
      <c r="A54" s="8">
        <v>42758.297881944447</v>
      </c>
      <c r="B54" s="21" t="s">
        <v>279</v>
      </c>
      <c r="C54" s="21" t="s">
        <v>433</v>
      </c>
      <c r="D54" s="157">
        <v>1990000</v>
      </c>
      <c r="E54" s="21" t="s">
        <v>264</v>
      </c>
      <c r="F54" s="21" t="s">
        <v>315</v>
      </c>
      <c r="G54" s="8" t="str">
        <f t="shared" si="0"/>
        <v>DAVIS WENDY</v>
      </c>
    </row>
    <row r="55" spans="1:7" x14ac:dyDescent="0.25">
      <c r="A55" s="8">
        <v>42758.298263888886</v>
      </c>
      <c r="B55" s="21" t="s">
        <v>195</v>
      </c>
      <c r="C55" s="21" t="s">
        <v>497</v>
      </c>
      <c r="D55" s="157">
        <v>2140000</v>
      </c>
      <c r="E55" s="21" t="s">
        <v>316</v>
      </c>
      <c r="F55" s="21" t="s">
        <v>317</v>
      </c>
      <c r="G55" s="8" t="str">
        <f t="shared" si="0"/>
        <v>ROBINSON KADDIBA</v>
      </c>
    </row>
    <row r="56" spans="1:7" x14ac:dyDescent="0.25">
      <c r="A56" s="8">
        <v>42758.29923611111</v>
      </c>
      <c r="B56" s="21" t="s">
        <v>249</v>
      </c>
      <c r="C56" s="21" t="s">
        <v>498</v>
      </c>
      <c r="D56" s="157">
        <v>2150000</v>
      </c>
      <c r="E56" s="21" t="s">
        <v>468</v>
      </c>
      <c r="F56" s="21" t="s">
        <v>469</v>
      </c>
      <c r="G56" s="8" t="str">
        <f t="shared" si="0"/>
        <v>SWANSON BRYCE</v>
      </c>
    </row>
    <row r="57" spans="1:7" x14ac:dyDescent="0.25">
      <c r="A57" s="8">
        <v>42758.301018518519</v>
      </c>
      <c r="B57" s="21" t="s">
        <v>320</v>
      </c>
      <c r="C57" s="21" t="s">
        <v>499</v>
      </c>
      <c r="D57" s="157">
        <v>2040000</v>
      </c>
      <c r="E57" s="21" t="s">
        <v>483</v>
      </c>
      <c r="F57" s="21" t="s">
        <v>484</v>
      </c>
      <c r="G57" s="8" t="str">
        <f t="shared" si="0"/>
        <v>MOSES BRADLEY</v>
      </c>
    </row>
    <row r="58" spans="1:7" x14ac:dyDescent="0.25">
      <c r="A58" s="8">
        <v>42758.307280092595</v>
      </c>
      <c r="B58" s="21" t="s">
        <v>154</v>
      </c>
      <c r="C58" s="21" t="s">
        <v>500</v>
      </c>
      <c r="D58" s="157">
        <v>1830000</v>
      </c>
      <c r="E58" s="21" t="s">
        <v>373</v>
      </c>
      <c r="F58" s="21" t="s">
        <v>374</v>
      </c>
      <c r="G58" s="8" t="str">
        <f t="shared" si="0"/>
        <v>YORK EDGAR</v>
      </c>
    </row>
    <row r="59" spans="1:7" x14ac:dyDescent="0.25">
      <c r="A59" s="8">
        <v>42758.308020833334</v>
      </c>
      <c r="B59" s="21" t="s">
        <v>286</v>
      </c>
      <c r="C59" s="21" t="s">
        <v>501</v>
      </c>
      <c r="D59" s="157">
        <v>2010000</v>
      </c>
      <c r="E59" s="21" t="s">
        <v>371</v>
      </c>
      <c r="F59" s="21" t="s">
        <v>372</v>
      </c>
      <c r="G59" s="8" t="str">
        <f t="shared" si="0"/>
        <v>MAELZER KURT</v>
      </c>
    </row>
    <row r="60" spans="1:7" x14ac:dyDescent="0.25">
      <c r="A60" s="8">
        <v>42758.31821759259</v>
      </c>
      <c r="B60" s="21" t="s">
        <v>441</v>
      </c>
      <c r="C60" s="21" t="s">
        <v>502</v>
      </c>
      <c r="D60" s="157">
        <v>2040000</v>
      </c>
      <c r="E60" s="21" t="s">
        <v>483</v>
      </c>
      <c r="F60" s="21" t="s">
        <v>484</v>
      </c>
      <c r="G60" s="8" t="str">
        <f t="shared" si="0"/>
        <v>MOSES BRADLEY</v>
      </c>
    </row>
    <row r="61" spans="1:7" x14ac:dyDescent="0.25">
      <c r="A61" s="8">
        <v>42758.318425925929</v>
      </c>
      <c r="B61" s="21" t="s">
        <v>266</v>
      </c>
      <c r="C61" s="21" t="s">
        <v>434</v>
      </c>
      <c r="D61" s="157">
        <v>1110000</v>
      </c>
      <c r="E61" s="21" t="s">
        <v>461</v>
      </c>
      <c r="F61" s="21" t="s">
        <v>462</v>
      </c>
      <c r="G61" s="8" t="str">
        <f t="shared" si="0"/>
        <v>STARKS ANGELINA</v>
      </c>
    </row>
    <row r="62" spans="1:7" x14ac:dyDescent="0.25">
      <c r="A62" s="8">
        <v>42758.325138888889</v>
      </c>
      <c r="B62" s="21" t="s">
        <v>197</v>
      </c>
      <c r="C62" s="21" t="s">
        <v>435</v>
      </c>
      <c r="D62" s="157">
        <v>1990000</v>
      </c>
      <c r="E62" s="21" t="s">
        <v>264</v>
      </c>
      <c r="F62" s="21" t="s">
        <v>315</v>
      </c>
      <c r="G62" s="8" t="str">
        <f t="shared" si="0"/>
        <v>DAVIS WENDY</v>
      </c>
    </row>
    <row r="63" spans="1:7" x14ac:dyDescent="0.25">
      <c r="A63" s="8">
        <v>42758.325162037036</v>
      </c>
      <c r="B63" s="21" t="s">
        <v>455</v>
      </c>
      <c r="C63" s="21" t="s">
        <v>503</v>
      </c>
      <c r="D63" s="157">
        <v>2110000</v>
      </c>
      <c r="E63" s="21" t="s">
        <v>369</v>
      </c>
      <c r="F63" s="21" t="s">
        <v>370</v>
      </c>
      <c r="G63" s="8" t="str">
        <f t="shared" si="0"/>
        <v>OUN ZACK</v>
      </c>
    </row>
    <row r="64" spans="1:7" x14ac:dyDescent="0.25">
      <c r="A64" s="27">
        <v>42758.329259259262</v>
      </c>
      <c r="B64" s="21" t="s">
        <v>201</v>
      </c>
      <c r="C64" s="21" t="s">
        <v>504</v>
      </c>
      <c r="D64" s="157">
        <v>940000</v>
      </c>
      <c r="E64" s="21" t="s">
        <v>465</v>
      </c>
      <c r="F64" s="21" t="s">
        <v>466</v>
      </c>
      <c r="G64" s="8" t="str">
        <f t="shared" si="0"/>
        <v>BONDS REYNALDO</v>
      </c>
    </row>
    <row r="65" spans="1:7" x14ac:dyDescent="0.25">
      <c r="A65" s="8">
        <v>42758.335439814815</v>
      </c>
      <c r="B65" s="21" t="s">
        <v>199</v>
      </c>
      <c r="C65" s="21" t="s">
        <v>505</v>
      </c>
      <c r="D65" s="157">
        <v>2140000</v>
      </c>
      <c r="E65" s="21" t="s">
        <v>316</v>
      </c>
      <c r="F65" s="21" t="s">
        <v>317</v>
      </c>
      <c r="G65" s="8" t="str">
        <f t="shared" si="0"/>
        <v>ROBINSON KADDIBA</v>
      </c>
    </row>
    <row r="66" spans="1:7" x14ac:dyDescent="0.25">
      <c r="A66" s="8">
        <v>42758.339085648149</v>
      </c>
      <c r="B66" s="21" t="s">
        <v>279</v>
      </c>
      <c r="C66" s="21" t="s">
        <v>436</v>
      </c>
      <c r="D66" s="157">
        <v>1990000</v>
      </c>
      <c r="E66" s="21" t="s">
        <v>264</v>
      </c>
      <c r="F66" s="21" t="s">
        <v>315</v>
      </c>
      <c r="G66" s="8" t="str">
        <f t="shared" si="0"/>
        <v>DAVIS WENDY</v>
      </c>
    </row>
    <row r="67" spans="1:7" x14ac:dyDescent="0.25">
      <c r="A67" s="8">
        <v>42758.339988425927</v>
      </c>
      <c r="B67" s="21" t="s">
        <v>248</v>
      </c>
      <c r="C67" s="21" t="s">
        <v>506</v>
      </c>
      <c r="D67" s="157">
        <v>2150000</v>
      </c>
      <c r="E67" s="21" t="s">
        <v>468</v>
      </c>
      <c r="F67" s="21" t="s">
        <v>469</v>
      </c>
      <c r="G67" s="8" t="str">
        <f t="shared" ref="G67:G130" si="1">E67&amp;" "&amp;F67</f>
        <v>SWANSON BRYCE</v>
      </c>
    </row>
    <row r="68" spans="1:7" x14ac:dyDescent="0.25">
      <c r="A68" s="8">
        <v>42758.342569444445</v>
      </c>
      <c r="B68" s="21" t="s">
        <v>237</v>
      </c>
      <c r="C68" s="21" t="s">
        <v>507</v>
      </c>
      <c r="D68" s="157">
        <v>2010000</v>
      </c>
      <c r="E68" s="21" t="s">
        <v>371</v>
      </c>
      <c r="F68" s="21" t="s">
        <v>372</v>
      </c>
      <c r="G68" s="8" t="str">
        <f t="shared" si="1"/>
        <v>MAELZER KURT</v>
      </c>
    </row>
    <row r="69" spans="1:7" x14ac:dyDescent="0.25">
      <c r="A69" s="8">
        <v>42758.343784722223</v>
      </c>
      <c r="B69" s="21" t="s">
        <v>320</v>
      </c>
      <c r="C69" s="21" t="s">
        <v>508</v>
      </c>
      <c r="D69" s="157">
        <v>2040000</v>
      </c>
      <c r="E69" s="21" t="s">
        <v>483</v>
      </c>
      <c r="F69" s="21" t="s">
        <v>484</v>
      </c>
      <c r="G69" s="8" t="str">
        <f t="shared" si="1"/>
        <v>MOSES BRADLEY</v>
      </c>
    </row>
    <row r="70" spans="1:7" x14ac:dyDescent="0.25">
      <c r="A70" s="8">
        <v>42758.34747685185</v>
      </c>
      <c r="B70" s="21" t="s">
        <v>153</v>
      </c>
      <c r="C70" s="21" t="s">
        <v>509</v>
      </c>
      <c r="D70" s="157">
        <v>1830000</v>
      </c>
      <c r="E70" s="21" t="s">
        <v>373</v>
      </c>
      <c r="F70" s="21" t="s">
        <v>374</v>
      </c>
      <c r="G70" s="8" t="str">
        <f t="shared" si="1"/>
        <v>YORK EDGAR</v>
      </c>
    </row>
    <row r="71" spans="1:7" x14ac:dyDescent="0.25">
      <c r="A71" s="8">
        <v>42758.35423611111</v>
      </c>
      <c r="B71" s="21" t="s">
        <v>197</v>
      </c>
      <c r="C71" s="21" t="s">
        <v>510</v>
      </c>
      <c r="D71" s="157">
        <v>1990000</v>
      </c>
      <c r="E71" s="21" t="s">
        <v>264</v>
      </c>
      <c r="F71" s="21" t="s">
        <v>315</v>
      </c>
      <c r="G71" s="8" t="str">
        <f t="shared" si="1"/>
        <v>DAVIS WENDY</v>
      </c>
    </row>
    <row r="72" spans="1:7" x14ac:dyDescent="0.25">
      <c r="A72" s="8">
        <v>42758.359652777777</v>
      </c>
      <c r="B72" s="21" t="s">
        <v>224</v>
      </c>
      <c r="C72" s="21" t="s">
        <v>511</v>
      </c>
      <c r="D72" s="157">
        <v>1110000</v>
      </c>
      <c r="E72" s="21" t="s">
        <v>461</v>
      </c>
      <c r="F72" s="21" t="s">
        <v>462</v>
      </c>
      <c r="G72" s="8" t="str">
        <f t="shared" si="1"/>
        <v>STARKS ANGELINA</v>
      </c>
    </row>
    <row r="73" spans="1:7" x14ac:dyDescent="0.25">
      <c r="A73" s="8">
        <v>42758.359803240739</v>
      </c>
      <c r="B73" s="21" t="s">
        <v>474</v>
      </c>
      <c r="C73" s="21" t="s">
        <v>512</v>
      </c>
      <c r="D73" s="157">
        <v>2110000</v>
      </c>
      <c r="E73" s="21" t="s">
        <v>369</v>
      </c>
      <c r="F73" s="21" t="s">
        <v>370</v>
      </c>
      <c r="G73" s="8" t="str">
        <f t="shared" si="1"/>
        <v>OUN ZACK</v>
      </c>
    </row>
    <row r="74" spans="1:7" x14ac:dyDescent="0.25">
      <c r="A74" s="8">
        <v>42758.359930555554</v>
      </c>
      <c r="B74" s="21" t="s">
        <v>441</v>
      </c>
      <c r="C74" s="21" t="s">
        <v>513</v>
      </c>
      <c r="D74" s="157">
        <v>2040000</v>
      </c>
      <c r="E74" s="21" t="s">
        <v>483</v>
      </c>
      <c r="F74" s="21" t="s">
        <v>484</v>
      </c>
      <c r="G74" s="8" t="str">
        <f t="shared" si="1"/>
        <v>MOSES BRADLEY</v>
      </c>
    </row>
    <row r="75" spans="1:7" x14ac:dyDescent="0.25">
      <c r="A75" s="8">
        <v>42758.369120370371</v>
      </c>
      <c r="B75" s="21" t="s">
        <v>250</v>
      </c>
      <c r="C75" s="21" t="s">
        <v>514</v>
      </c>
      <c r="D75" s="157">
        <v>940000</v>
      </c>
      <c r="E75" s="21" t="s">
        <v>465</v>
      </c>
      <c r="F75" s="21" t="s">
        <v>466</v>
      </c>
      <c r="G75" s="8" t="str">
        <f t="shared" si="1"/>
        <v>BONDS REYNALDO</v>
      </c>
    </row>
    <row r="76" spans="1:7" x14ac:dyDescent="0.25">
      <c r="A76" s="8">
        <v>42758.371539351851</v>
      </c>
      <c r="B76" s="21" t="s">
        <v>195</v>
      </c>
      <c r="C76" s="21" t="s">
        <v>515</v>
      </c>
      <c r="D76" s="157">
        <v>2140000</v>
      </c>
      <c r="E76" s="21" t="s">
        <v>316</v>
      </c>
      <c r="F76" s="21" t="s">
        <v>317</v>
      </c>
      <c r="G76" s="8" t="str">
        <f t="shared" si="1"/>
        <v>ROBINSON KADDIBA</v>
      </c>
    </row>
    <row r="77" spans="1:7" x14ac:dyDescent="0.25">
      <c r="A77" s="8">
        <v>42758.372939814813</v>
      </c>
      <c r="B77" s="21" t="s">
        <v>249</v>
      </c>
      <c r="C77" s="21" t="s">
        <v>516</v>
      </c>
      <c r="D77" s="157">
        <v>2150000</v>
      </c>
      <c r="E77" s="21" t="s">
        <v>468</v>
      </c>
      <c r="F77" s="21" t="s">
        <v>469</v>
      </c>
      <c r="G77" s="8" t="str">
        <f t="shared" si="1"/>
        <v>SWANSON BRYCE</v>
      </c>
    </row>
    <row r="78" spans="1:7" x14ac:dyDescent="0.25">
      <c r="A78" s="8">
        <v>42758.378912037035</v>
      </c>
      <c r="B78" s="21" t="s">
        <v>320</v>
      </c>
      <c r="C78" s="21" t="s">
        <v>517</v>
      </c>
      <c r="D78" s="157">
        <v>2040000</v>
      </c>
      <c r="E78" s="21" t="s">
        <v>483</v>
      </c>
      <c r="F78" s="21" t="s">
        <v>484</v>
      </c>
      <c r="G78" s="8" t="str">
        <f t="shared" si="1"/>
        <v>MOSES BRADLEY</v>
      </c>
    </row>
    <row r="79" spans="1:7" x14ac:dyDescent="0.25">
      <c r="A79" s="8">
        <v>42758.379861111112</v>
      </c>
      <c r="B79" s="21" t="s">
        <v>154</v>
      </c>
      <c r="C79" s="21" t="s">
        <v>518</v>
      </c>
      <c r="D79" s="157">
        <v>1830000</v>
      </c>
      <c r="E79" s="21" t="s">
        <v>373</v>
      </c>
      <c r="F79" s="21" t="s">
        <v>374</v>
      </c>
      <c r="G79" s="8" t="str">
        <f t="shared" si="1"/>
        <v>YORK EDGAR</v>
      </c>
    </row>
    <row r="80" spans="1:7" x14ac:dyDescent="0.25">
      <c r="A80" s="8">
        <v>42758.382094907407</v>
      </c>
      <c r="B80" s="21" t="s">
        <v>286</v>
      </c>
      <c r="C80" s="21" t="s">
        <v>519</v>
      </c>
      <c r="D80" s="157">
        <v>2010000</v>
      </c>
      <c r="E80" s="21" t="s">
        <v>371</v>
      </c>
      <c r="F80" s="21" t="s">
        <v>372</v>
      </c>
      <c r="G80" s="8" t="str">
        <f t="shared" si="1"/>
        <v>MAELZER KURT</v>
      </c>
    </row>
    <row r="81" spans="1:7" x14ac:dyDescent="0.25">
      <c r="A81" s="8">
        <v>42758.394120370373</v>
      </c>
      <c r="B81" s="21" t="s">
        <v>266</v>
      </c>
      <c r="C81" s="21" t="s">
        <v>520</v>
      </c>
      <c r="D81" s="157">
        <v>1110000</v>
      </c>
      <c r="E81" s="21" t="s">
        <v>461</v>
      </c>
      <c r="F81" s="21" t="s">
        <v>462</v>
      </c>
      <c r="G81" s="8" t="str">
        <f t="shared" si="1"/>
        <v>STARKS ANGELINA</v>
      </c>
    </row>
    <row r="82" spans="1:7" x14ac:dyDescent="0.25">
      <c r="A82" s="8">
        <v>42758.399247685185</v>
      </c>
      <c r="B82" s="21" t="s">
        <v>455</v>
      </c>
      <c r="C82" s="21" t="s">
        <v>521</v>
      </c>
      <c r="D82" s="157">
        <v>2110000</v>
      </c>
      <c r="E82" s="21" t="s">
        <v>369</v>
      </c>
      <c r="F82" s="21" t="s">
        <v>370</v>
      </c>
      <c r="G82" s="8" t="str">
        <f t="shared" si="1"/>
        <v>OUN ZACK</v>
      </c>
    </row>
    <row r="83" spans="1:7" x14ac:dyDescent="0.25">
      <c r="A83" s="8">
        <v>42758.401365740741</v>
      </c>
      <c r="B83" s="21" t="s">
        <v>441</v>
      </c>
      <c r="C83" s="21" t="s">
        <v>522</v>
      </c>
      <c r="D83" s="157">
        <v>2040000</v>
      </c>
      <c r="E83" s="21" t="s">
        <v>483</v>
      </c>
      <c r="F83" s="21" t="s">
        <v>484</v>
      </c>
      <c r="G83" s="8" t="str">
        <f t="shared" si="1"/>
        <v>MOSES BRADLEY</v>
      </c>
    </row>
    <row r="84" spans="1:7" x14ac:dyDescent="0.25">
      <c r="A84" s="8">
        <v>42758.402962962966</v>
      </c>
      <c r="B84" s="21" t="s">
        <v>201</v>
      </c>
      <c r="C84" s="21" t="s">
        <v>523</v>
      </c>
      <c r="D84" s="157">
        <v>1230000</v>
      </c>
      <c r="E84" s="21" t="s">
        <v>524</v>
      </c>
      <c r="F84" s="21" t="s">
        <v>525</v>
      </c>
      <c r="G84" s="8" t="str">
        <f t="shared" si="1"/>
        <v>YANAI IAN</v>
      </c>
    </row>
    <row r="85" spans="1:7" x14ac:dyDescent="0.25">
      <c r="A85" s="8">
        <v>42758.410601851851</v>
      </c>
      <c r="B85" s="21" t="s">
        <v>199</v>
      </c>
      <c r="C85" s="21" t="s">
        <v>526</v>
      </c>
      <c r="D85" s="157">
        <v>2140000</v>
      </c>
      <c r="E85" s="21" t="s">
        <v>316</v>
      </c>
      <c r="F85" s="21" t="s">
        <v>317</v>
      </c>
      <c r="G85" s="8" t="str">
        <f t="shared" si="1"/>
        <v>ROBINSON KADDIBA</v>
      </c>
    </row>
    <row r="86" spans="1:7" x14ac:dyDescent="0.25">
      <c r="A86" s="8">
        <v>42758.413680555554</v>
      </c>
      <c r="B86" s="21" t="s">
        <v>248</v>
      </c>
      <c r="C86" s="21" t="s">
        <v>527</v>
      </c>
      <c r="D86" s="157">
        <v>2150000</v>
      </c>
      <c r="E86" s="21" t="s">
        <v>468</v>
      </c>
      <c r="F86" s="21" t="s">
        <v>469</v>
      </c>
      <c r="G86" s="8" t="str">
        <f t="shared" si="1"/>
        <v>SWANSON BRYCE</v>
      </c>
    </row>
    <row r="87" spans="1:7" x14ac:dyDescent="0.25">
      <c r="A87" s="8">
        <v>42758.417164351849</v>
      </c>
      <c r="B87" s="21" t="s">
        <v>237</v>
      </c>
      <c r="C87" s="21" t="s">
        <v>528</v>
      </c>
      <c r="D87" s="157">
        <v>2010000</v>
      </c>
      <c r="E87" s="21" t="s">
        <v>371</v>
      </c>
      <c r="F87" s="21" t="s">
        <v>372</v>
      </c>
      <c r="G87" s="8" t="str">
        <f t="shared" si="1"/>
        <v>MAELZER KURT</v>
      </c>
    </row>
    <row r="88" spans="1:7" x14ac:dyDescent="0.25">
      <c r="A88" s="8">
        <v>42758.426874999997</v>
      </c>
      <c r="B88" s="21" t="s">
        <v>153</v>
      </c>
      <c r="C88" s="21" t="s">
        <v>529</v>
      </c>
      <c r="D88" s="157">
        <v>1830000</v>
      </c>
      <c r="E88" s="21" t="s">
        <v>373</v>
      </c>
      <c r="F88" s="21" t="s">
        <v>374</v>
      </c>
      <c r="G88" s="8" t="str">
        <f t="shared" si="1"/>
        <v>YORK EDGAR</v>
      </c>
    </row>
    <row r="89" spans="1:7" x14ac:dyDescent="0.25">
      <c r="A89" s="8">
        <v>42758.427939814814</v>
      </c>
      <c r="B89" s="21" t="s">
        <v>320</v>
      </c>
      <c r="C89" s="21" t="s">
        <v>530</v>
      </c>
      <c r="D89" s="157">
        <v>2040000</v>
      </c>
      <c r="E89" s="21" t="s">
        <v>483</v>
      </c>
      <c r="F89" s="21" t="s">
        <v>484</v>
      </c>
      <c r="G89" s="8" t="str">
        <f t="shared" si="1"/>
        <v>MOSES BRADLEY</v>
      </c>
    </row>
    <row r="90" spans="1:7" x14ac:dyDescent="0.25">
      <c r="A90" s="8">
        <v>42758.433819444443</v>
      </c>
      <c r="B90" s="21" t="s">
        <v>224</v>
      </c>
      <c r="C90" s="21" t="s">
        <v>531</v>
      </c>
      <c r="D90" s="157">
        <v>1110000</v>
      </c>
      <c r="E90" s="21" t="s">
        <v>461</v>
      </c>
      <c r="F90" s="21" t="s">
        <v>462</v>
      </c>
      <c r="G90" s="8" t="str">
        <f t="shared" si="1"/>
        <v>STARKS ANGELINA</v>
      </c>
    </row>
    <row r="91" spans="1:7" x14ac:dyDescent="0.25">
      <c r="A91" s="8">
        <v>42758.434340277781</v>
      </c>
      <c r="B91" s="21" t="s">
        <v>474</v>
      </c>
      <c r="C91" s="21" t="s">
        <v>532</v>
      </c>
      <c r="D91" s="157">
        <v>1990000</v>
      </c>
      <c r="E91" s="21" t="s">
        <v>264</v>
      </c>
      <c r="F91" s="21" t="s">
        <v>315</v>
      </c>
      <c r="G91" s="8" t="str">
        <f t="shared" si="1"/>
        <v>DAVIS WENDY</v>
      </c>
    </row>
    <row r="92" spans="1:7" x14ac:dyDescent="0.25">
      <c r="A92" s="8">
        <v>42758.436122685183</v>
      </c>
      <c r="B92" s="21" t="s">
        <v>250</v>
      </c>
      <c r="C92" s="21" t="s">
        <v>533</v>
      </c>
      <c r="D92" s="157">
        <v>1230000</v>
      </c>
      <c r="E92" s="21" t="s">
        <v>524</v>
      </c>
      <c r="F92" s="21" t="s">
        <v>525</v>
      </c>
      <c r="G92" s="8" t="str">
        <f t="shared" si="1"/>
        <v>YANAI IAN</v>
      </c>
    </row>
    <row r="93" spans="1:7" x14ac:dyDescent="0.25">
      <c r="A93" s="8">
        <v>42758.442835648151</v>
      </c>
      <c r="B93" s="21" t="s">
        <v>441</v>
      </c>
      <c r="C93" s="21" t="s">
        <v>534</v>
      </c>
      <c r="D93" s="157">
        <v>2040000</v>
      </c>
      <c r="E93" s="21" t="s">
        <v>483</v>
      </c>
      <c r="F93" s="21" t="s">
        <v>484</v>
      </c>
      <c r="G93" s="8" t="str">
        <f t="shared" si="1"/>
        <v>MOSES BRADLEY</v>
      </c>
    </row>
    <row r="94" spans="1:7" x14ac:dyDescent="0.25">
      <c r="A94" s="8">
        <v>42758.446030092593</v>
      </c>
      <c r="B94" s="21" t="s">
        <v>249</v>
      </c>
      <c r="C94" s="21" t="s">
        <v>535</v>
      </c>
      <c r="D94" s="157">
        <v>2150000</v>
      </c>
      <c r="E94" s="21" t="s">
        <v>468</v>
      </c>
      <c r="F94" s="21" t="s">
        <v>469</v>
      </c>
      <c r="G94" s="8" t="str">
        <f t="shared" si="1"/>
        <v>SWANSON BRYCE</v>
      </c>
    </row>
    <row r="95" spans="1:7" x14ac:dyDescent="0.25">
      <c r="A95" s="8">
        <v>42758.446064814816</v>
      </c>
      <c r="B95" s="21" t="s">
        <v>195</v>
      </c>
      <c r="C95" s="21" t="s">
        <v>536</v>
      </c>
      <c r="D95" s="157">
        <v>2140000</v>
      </c>
      <c r="E95" s="21" t="s">
        <v>316</v>
      </c>
      <c r="F95" s="21" t="s">
        <v>317</v>
      </c>
      <c r="G95" s="8" t="str">
        <f t="shared" si="1"/>
        <v>ROBINSON KADDIBA</v>
      </c>
    </row>
    <row r="96" spans="1:7" x14ac:dyDescent="0.25">
      <c r="A96" s="8">
        <v>42758.452905092592</v>
      </c>
      <c r="B96" s="21" t="s">
        <v>154</v>
      </c>
      <c r="C96" s="21" t="s">
        <v>537</v>
      </c>
      <c r="D96" s="157">
        <v>1830000</v>
      </c>
      <c r="E96" s="21" t="s">
        <v>373</v>
      </c>
      <c r="F96" s="21" t="s">
        <v>374</v>
      </c>
      <c r="G96" s="8" t="str">
        <f t="shared" si="1"/>
        <v>YORK EDGAR</v>
      </c>
    </row>
    <row r="97" spans="1:7" x14ac:dyDescent="0.25">
      <c r="A97" s="8">
        <v>42758.453865740739</v>
      </c>
      <c r="B97" s="21" t="s">
        <v>286</v>
      </c>
      <c r="C97" s="21" t="s">
        <v>538</v>
      </c>
      <c r="D97" s="157">
        <v>880000</v>
      </c>
      <c r="E97" s="21" t="s">
        <v>321</v>
      </c>
      <c r="F97" s="21" t="s">
        <v>214</v>
      </c>
      <c r="G97" s="8" t="str">
        <f t="shared" si="1"/>
        <v>STEWART MICHAEL</v>
      </c>
    </row>
    <row r="98" spans="1:7" x14ac:dyDescent="0.25">
      <c r="A98" s="8">
        <v>42758.456157407411</v>
      </c>
      <c r="B98" s="21" t="s">
        <v>448</v>
      </c>
      <c r="C98" s="21" t="s">
        <v>539</v>
      </c>
      <c r="D98" s="157">
        <v>2530000</v>
      </c>
      <c r="E98" s="21" t="s">
        <v>540</v>
      </c>
      <c r="F98" s="21" t="s">
        <v>541</v>
      </c>
      <c r="G98" s="8" t="str">
        <f t="shared" si="1"/>
        <v>LALONDE GREGORY</v>
      </c>
    </row>
    <row r="99" spans="1:7" x14ac:dyDescent="0.25">
      <c r="A99" s="8">
        <v>42758.466979166667</v>
      </c>
      <c r="B99" s="21" t="s">
        <v>266</v>
      </c>
      <c r="C99" s="21" t="s">
        <v>542</v>
      </c>
      <c r="D99" s="157">
        <v>2350000</v>
      </c>
      <c r="E99" s="21" t="s">
        <v>543</v>
      </c>
      <c r="F99" s="21" t="s">
        <v>544</v>
      </c>
      <c r="G99" s="8" t="str">
        <f t="shared" si="1"/>
        <v>BERLING GARY</v>
      </c>
    </row>
    <row r="100" spans="1:7" x14ac:dyDescent="0.25">
      <c r="A100" s="8">
        <v>42758.469733796293</v>
      </c>
      <c r="B100" s="21" t="s">
        <v>320</v>
      </c>
      <c r="C100" s="21" t="s">
        <v>545</v>
      </c>
      <c r="D100" s="157">
        <v>2040000</v>
      </c>
      <c r="E100" s="21" t="s">
        <v>483</v>
      </c>
      <c r="F100" s="21" t="s">
        <v>484</v>
      </c>
      <c r="G100" s="8" t="str">
        <f t="shared" si="1"/>
        <v>MOSES BRADLEY</v>
      </c>
    </row>
    <row r="101" spans="1:7" x14ac:dyDescent="0.25">
      <c r="A101" s="8">
        <v>42758.470625000002</v>
      </c>
      <c r="B101" s="21" t="s">
        <v>375</v>
      </c>
      <c r="C101" s="21" t="s">
        <v>437</v>
      </c>
      <c r="D101" s="157">
        <v>2250000</v>
      </c>
      <c r="E101" s="21" t="s">
        <v>378</v>
      </c>
      <c r="F101" s="21" t="s">
        <v>379</v>
      </c>
      <c r="G101" s="8" t="str">
        <f t="shared" si="1"/>
        <v>CRAYTON QUNTRELL</v>
      </c>
    </row>
    <row r="102" spans="1:7" x14ac:dyDescent="0.25">
      <c r="A102" s="8">
        <v>42758.474502314813</v>
      </c>
      <c r="B102" s="21" t="s">
        <v>201</v>
      </c>
      <c r="C102" s="21" t="s">
        <v>546</v>
      </c>
      <c r="D102" s="157">
        <v>930000</v>
      </c>
      <c r="E102" s="21" t="s">
        <v>547</v>
      </c>
      <c r="F102" s="21" t="s">
        <v>548</v>
      </c>
      <c r="G102" s="8" t="str">
        <f t="shared" si="1"/>
        <v>CLARK KATHLEEN</v>
      </c>
    </row>
    <row r="103" spans="1:7" x14ac:dyDescent="0.25">
      <c r="A103" s="8">
        <v>42758.47550925926</v>
      </c>
      <c r="B103" s="21" t="s">
        <v>455</v>
      </c>
      <c r="C103" s="21" t="s">
        <v>549</v>
      </c>
      <c r="D103" s="157">
        <v>1990000</v>
      </c>
      <c r="E103" s="21" t="s">
        <v>264</v>
      </c>
      <c r="F103" s="21" t="s">
        <v>315</v>
      </c>
      <c r="G103" s="8" t="str">
        <f t="shared" si="1"/>
        <v>DAVIS WENDY</v>
      </c>
    </row>
    <row r="104" spans="1:7" x14ac:dyDescent="0.25">
      <c r="A104" s="8">
        <v>42758.482800925929</v>
      </c>
      <c r="B104" s="21" t="s">
        <v>199</v>
      </c>
      <c r="C104" s="21" t="s">
        <v>550</v>
      </c>
      <c r="D104" s="157">
        <v>2140000</v>
      </c>
      <c r="E104" s="21" t="s">
        <v>316</v>
      </c>
      <c r="F104" s="21" t="s">
        <v>317</v>
      </c>
      <c r="G104" s="8" t="str">
        <f t="shared" si="1"/>
        <v>ROBINSON KADDIBA</v>
      </c>
    </row>
    <row r="105" spans="1:7" x14ac:dyDescent="0.25">
      <c r="A105" s="8">
        <v>42758.485856481479</v>
      </c>
      <c r="B105" s="21" t="s">
        <v>441</v>
      </c>
      <c r="C105" s="21" t="s">
        <v>551</v>
      </c>
      <c r="D105" s="157">
        <v>2040000</v>
      </c>
      <c r="E105" s="21" t="s">
        <v>483</v>
      </c>
      <c r="F105" s="21" t="s">
        <v>484</v>
      </c>
      <c r="G105" s="8" t="str">
        <f t="shared" si="1"/>
        <v>MOSES BRADLEY</v>
      </c>
    </row>
    <row r="106" spans="1:7" x14ac:dyDescent="0.25">
      <c r="A106" s="8">
        <v>42758.488310185188</v>
      </c>
      <c r="B106" s="21" t="s">
        <v>248</v>
      </c>
      <c r="C106" s="21" t="s">
        <v>552</v>
      </c>
      <c r="D106" s="157">
        <v>2470000</v>
      </c>
      <c r="E106" s="21" t="s">
        <v>322</v>
      </c>
      <c r="F106" s="21" t="s">
        <v>323</v>
      </c>
      <c r="G106" s="8" t="str">
        <f t="shared" si="1"/>
        <v>ROMERO CHAD</v>
      </c>
    </row>
    <row r="107" spans="1:7" x14ac:dyDescent="0.25">
      <c r="A107" s="8">
        <v>42758.494305555556</v>
      </c>
      <c r="B107" s="21" t="s">
        <v>237</v>
      </c>
      <c r="C107" s="21" t="s">
        <v>553</v>
      </c>
      <c r="D107" s="157">
        <v>880000</v>
      </c>
      <c r="E107" s="21" t="s">
        <v>321</v>
      </c>
      <c r="F107" s="21" t="s">
        <v>214</v>
      </c>
      <c r="G107" s="8" t="str">
        <f t="shared" si="1"/>
        <v>STEWART MICHAEL</v>
      </c>
    </row>
    <row r="108" spans="1:7" x14ac:dyDescent="0.25">
      <c r="A108" s="8">
        <v>42758.499479166669</v>
      </c>
      <c r="B108" s="21" t="s">
        <v>265</v>
      </c>
      <c r="C108" s="21" t="s">
        <v>554</v>
      </c>
      <c r="D108" s="157">
        <v>2250000</v>
      </c>
      <c r="E108" s="21" t="s">
        <v>378</v>
      </c>
      <c r="F108" s="21" t="s">
        <v>379</v>
      </c>
      <c r="G108" s="8" t="str">
        <f t="shared" si="1"/>
        <v>CRAYTON QUNTRELL</v>
      </c>
    </row>
    <row r="109" spans="1:7" x14ac:dyDescent="0.25">
      <c r="A109" s="8">
        <v>42758.500254629631</v>
      </c>
      <c r="B109" s="21" t="s">
        <v>224</v>
      </c>
      <c r="C109" s="21" t="s">
        <v>555</v>
      </c>
      <c r="D109" s="157">
        <v>2350000</v>
      </c>
      <c r="E109" s="21" t="s">
        <v>543</v>
      </c>
      <c r="F109" s="21" t="s">
        <v>544</v>
      </c>
      <c r="G109" s="8" t="str">
        <f t="shared" si="1"/>
        <v>BERLING GARY</v>
      </c>
    </row>
    <row r="110" spans="1:7" x14ac:dyDescent="0.25">
      <c r="A110" s="8">
        <v>42758.50576388889</v>
      </c>
      <c r="B110" s="21" t="s">
        <v>556</v>
      </c>
      <c r="C110" s="21" t="s">
        <v>557</v>
      </c>
      <c r="D110" s="157">
        <v>1230000</v>
      </c>
      <c r="E110" s="21" t="s">
        <v>524</v>
      </c>
      <c r="F110" s="21" t="s">
        <v>525</v>
      </c>
      <c r="G110" s="8" t="str">
        <f t="shared" si="1"/>
        <v>YANAI IAN</v>
      </c>
    </row>
    <row r="111" spans="1:7" x14ac:dyDescent="0.25">
      <c r="A111" s="8">
        <v>42758.510717592595</v>
      </c>
      <c r="B111" s="21" t="s">
        <v>474</v>
      </c>
      <c r="C111" s="21" t="s">
        <v>558</v>
      </c>
      <c r="D111" s="157">
        <v>1180000</v>
      </c>
      <c r="E111" s="21" t="s">
        <v>287</v>
      </c>
      <c r="F111" s="21" t="s">
        <v>288</v>
      </c>
      <c r="G111" s="8" t="str">
        <f t="shared" si="1"/>
        <v>LEVERE CRAIG</v>
      </c>
    </row>
    <row r="112" spans="1:7" x14ac:dyDescent="0.25">
      <c r="A112" s="8">
        <v>42758.51121527778</v>
      </c>
      <c r="B112" s="21" t="s">
        <v>320</v>
      </c>
      <c r="C112" s="21" t="s">
        <v>559</v>
      </c>
      <c r="D112" s="157">
        <v>2040000</v>
      </c>
      <c r="E112" s="21" t="s">
        <v>483</v>
      </c>
      <c r="F112" s="21" t="s">
        <v>484</v>
      </c>
      <c r="G112" s="8" t="str">
        <f t="shared" si="1"/>
        <v>MOSES BRADLEY</v>
      </c>
    </row>
    <row r="113" spans="1:7" x14ac:dyDescent="0.25">
      <c r="A113" s="8">
        <v>42758.513912037037</v>
      </c>
      <c r="B113" s="21" t="s">
        <v>368</v>
      </c>
      <c r="C113" s="21" t="s">
        <v>438</v>
      </c>
      <c r="D113" s="157">
        <v>1990000</v>
      </c>
      <c r="E113" s="21" t="s">
        <v>264</v>
      </c>
      <c r="F113" s="21" t="s">
        <v>315</v>
      </c>
      <c r="G113" s="8" t="str">
        <f t="shared" si="1"/>
        <v>DAVIS WENDY</v>
      </c>
    </row>
    <row r="114" spans="1:7" x14ac:dyDescent="0.25">
      <c r="A114" s="8">
        <v>42758.515138888892</v>
      </c>
      <c r="B114" s="21" t="s">
        <v>250</v>
      </c>
      <c r="C114" s="21" t="s">
        <v>440</v>
      </c>
      <c r="D114" s="157">
        <v>930000</v>
      </c>
      <c r="E114" s="21" t="s">
        <v>547</v>
      </c>
      <c r="F114" s="21" t="s">
        <v>548</v>
      </c>
      <c r="G114" s="8" t="str">
        <f t="shared" si="1"/>
        <v>CLARK KATHLEEN</v>
      </c>
    </row>
    <row r="115" spans="1:7" x14ac:dyDescent="0.25">
      <c r="A115" s="8">
        <v>42758.519386574073</v>
      </c>
      <c r="B115" s="21" t="s">
        <v>249</v>
      </c>
      <c r="C115" s="21" t="s">
        <v>560</v>
      </c>
      <c r="D115" s="157">
        <v>2470000</v>
      </c>
      <c r="E115" s="21" t="s">
        <v>322</v>
      </c>
      <c r="F115" s="21" t="s">
        <v>323</v>
      </c>
      <c r="G115" s="8" t="str">
        <f t="shared" si="1"/>
        <v>ROMERO CHAD</v>
      </c>
    </row>
    <row r="116" spans="1:7" x14ac:dyDescent="0.25">
      <c r="A116" s="8">
        <v>42758.520289351851</v>
      </c>
      <c r="B116" s="21" t="s">
        <v>195</v>
      </c>
      <c r="C116" s="21" t="s">
        <v>561</v>
      </c>
      <c r="D116" s="157">
        <v>2030000</v>
      </c>
      <c r="E116" s="21" t="s">
        <v>324</v>
      </c>
      <c r="F116" s="21" t="s">
        <v>254</v>
      </c>
      <c r="G116" s="8" t="str">
        <f t="shared" si="1"/>
        <v>KILLION DAVID</v>
      </c>
    </row>
    <row r="117" spans="1:7" x14ac:dyDescent="0.25">
      <c r="A117" s="8">
        <v>42758.526770833334</v>
      </c>
      <c r="B117" s="21" t="s">
        <v>441</v>
      </c>
      <c r="C117" s="21" t="s">
        <v>562</v>
      </c>
      <c r="D117" s="157">
        <v>2040000</v>
      </c>
      <c r="E117" s="21" t="s">
        <v>483</v>
      </c>
      <c r="F117" s="21" t="s">
        <v>484</v>
      </c>
      <c r="G117" s="8" t="str">
        <f t="shared" si="1"/>
        <v>MOSES BRADLEY</v>
      </c>
    </row>
    <row r="118" spans="1:7" x14ac:dyDescent="0.25">
      <c r="A118" s="8">
        <v>42758.531006944446</v>
      </c>
      <c r="B118" s="21" t="s">
        <v>286</v>
      </c>
      <c r="C118" s="21" t="s">
        <v>563</v>
      </c>
      <c r="D118" s="157">
        <v>880000</v>
      </c>
      <c r="E118" s="21" t="s">
        <v>321</v>
      </c>
      <c r="F118" s="21" t="s">
        <v>214</v>
      </c>
      <c r="G118" s="8" t="str">
        <f t="shared" si="1"/>
        <v>STEWART MICHAEL</v>
      </c>
    </row>
    <row r="119" spans="1:7" x14ac:dyDescent="0.25">
      <c r="A119" s="8">
        <v>42758.533125000002</v>
      </c>
      <c r="B119" s="21" t="s">
        <v>263</v>
      </c>
      <c r="C119" s="21" t="s">
        <v>564</v>
      </c>
      <c r="D119" s="157">
        <v>2250000</v>
      </c>
      <c r="E119" s="21" t="s">
        <v>378</v>
      </c>
      <c r="F119" s="21" t="s">
        <v>379</v>
      </c>
      <c r="G119" s="8" t="str">
        <f t="shared" si="1"/>
        <v>CRAYTON QUNTRELL</v>
      </c>
    </row>
    <row r="120" spans="1:7" x14ac:dyDescent="0.25">
      <c r="A120" s="8">
        <v>42758.53392361111</v>
      </c>
      <c r="B120" s="21" t="s">
        <v>263</v>
      </c>
      <c r="C120" s="21" t="s">
        <v>564</v>
      </c>
      <c r="D120" s="157">
        <v>2250000</v>
      </c>
      <c r="E120" s="21" t="s">
        <v>378</v>
      </c>
      <c r="F120" s="21" t="s">
        <v>379</v>
      </c>
      <c r="G120" s="8" t="str">
        <f t="shared" si="1"/>
        <v>CRAYTON QUNTRELL</v>
      </c>
    </row>
    <row r="121" spans="1:7" x14ac:dyDescent="0.25">
      <c r="A121" s="8">
        <v>42758.534942129627</v>
      </c>
      <c r="B121" s="21" t="s">
        <v>263</v>
      </c>
      <c r="C121" s="21" t="s">
        <v>564</v>
      </c>
      <c r="D121" s="157">
        <v>2250000</v>
      </c>
      <c r="E121" s="21" t="s">
        <v>378</v>
      </c>
      <c r="F121" s="21" t="s">
        <v>379</v>
      </c>
      <c r="G121" s="8" t="str">
        <f t="shared" si="1"/>
        <v>CRAYTON QUNTRELL</v>
      </c>
    </row>
    <row r="122" spans="1:7" x14ac:dyDescent="0.25">
      <c r="A122" s="8">
        <v>42758.540416666663</v>
      </c>
      <c r="B122" s="26" t="s">
        <v>266</v>
      </c>
      <c r="C122" s="21" t="s">
        <v>565</v>
      </c>
      <c r="D122" s="157">
        <v>920000</v>
      </c>
      <c r="E122" s="21" t="s">
        <v>264</v>
      </c>
      <c r="F122" s="21" t="s">
        <v>214</v>
      </c>
      <c r="G122" s="8" t="str">
        <f t="shared" si="1"/>
        <v>DAVIS MICHAEL</v>
      </c>
    </row>
    <row r="123" spans="1:7" x14ac:dyDescent="0.25">
      <c r="A123" s="8">
        <v>42758.543865740743</v>
      </c>
      <c r="B123" s="21" t="s">
        <v>455</v>
      </c>
      <c r="C123" s="21" t="s">
        <v>566</v>
      </c>
      <c r="D123" s="157">
        <v>1180000</v>
      </c>
      <c r="E123" s="21" t="s">
        <v>287</v>
      </c>
      <c r="F123" s="21" t="s">
        <v>288</v>
      </c>
      <c r="G123" s="8" t="str">
        <f t="shared" si="1"/>
        <v>LEVERE CRAIG</v>
      </c>
    </row>
    <row r="124" spans="1:7" x14ac:dyDescent="0.25">
      <c r="A124" s="8">
        <v>42758.545347222222</v>
      </c>
      <c r="B124" s="21" t="s">
        <v>320</v>
      </c>
      <c r="C124" s="21" t="s">
        <v>567</v>
      </c>
      <c r="D124" s="157">
        <v>1300000</v>
      </c>
      <c r="E124" s="21" t="s">
        <v>376</v>
      </c>
      <c r="F124" s="21" t="s">
        <v>377</v>
      </c>
      <c r="G124" s="8" t="str">
        <f t="shared" si="1"/>
        <v>LEVIN SCOTT</v>
      </c>
    </row>
    <row r="125" spans="1:7" x14ac:dyDescent="0.25">
      <c r="A125" s="8">
        <v>42758.549456018518</v>
      </c>
      <c r="B125" s="21" t="s">
        <v>201</v>
      </c>
      <c r="C125" s="21" t="s">
        <v>568</v>
      </c>
      <c r="D125" s="157">
        <v>930000</v>
      </c>
      <c r="E125" s="21" t="s">
        <v>547</v>
      </c>
      <c r="F125" s="21" t="s">
        <v>548</v>
      </c>
      <c r="G125" s="8" t="str">
        <f t="shared" si="1"/>
        <v>CLARK KATHLEEN</v>
      </c>
    </row>
    <row r="126" spans="1:7" x14ac:dyDescent="0.25">
      <c r="A126" s="8">
        <v>42758.555335648147</v>
      </c>
      <c r="B126" s="21" t="s">
        <v>199</v>
      </c>
      <c r="C126" s="21" t="s">
        <v>569</v>
      </c>
      <c r="D126" s="157">
        <v>2030000</v>
      </c>
      <c r="E126" s="21" t="s">
        <v>324</v>
      </c>
      <c r="F126" s="21" t="s">
        <v>254</v>
      </c>
      <c r="G126" s="8" t="str">
        <f t="shared" si="1"/>
        <v>KILLION DAVID</v>
      </c>
    </row>
    <row r="127" spans="1:7" x14ac:dyDescent="0.25">
      <c r="A127" s="8">
        <v>42758.55636574074</v>
      </c>
      <c r="B127" s="21" t="s">
        <v>248</v>
      </c>
      <c r="C127" s="21" t="s">
        <v>570</v>
      </c>
      <c r="D127" s="157">
        <v>2470000</v>
      </c>
      <c r="E127" s="21" t="s">
        <v>322</v>
      </c>
      <c r="F127" s="21" t="s">
        <v>323</v>
      </c>
      <c r="G127" s="8" t="str">
        <f t="shared" si="1"/>
        <v>ROMERO CHAD</v>
      </c>
    </row>
    <row r="128" spans="1:7" x14ac:dyDescent="0.25">
      <c r="A128" s="8">
        <v>42758.567291666666</v>
      </c>
      <c r="B128" s="21" t="s">
        <v>441</v>
      </c>
      <c r="C128" s="21" t="s">
        <v>571</v>
      </c>
      <c r="D128" s="157">
        <v>1300000</v>
      </c>
      <c r="E128" s="21" t="s">
        <v>376</v>
      </c>
      <c r="F128" s="21" t="s">
        <v>377</v>
      </c>
      <c r="G128" s="8" t="str">
        <f t="shared" si="1"/>
        <v>LEVIN SCOTT</v>
      </c>
    </row>
    <row r="129" spans="1:7" x14ac:dyDescent="0.25">
      <c r="A129" s="8">
        <v>42758.567523148151</v>
      </c>
      <c r="B129" s="21" t="s">
        <v>237</v>
      </c>
      <c r="C129" s="21" t="s">
        <v>572</v>
      </c>
      <c r="D129" s="157">
        <v>880000</v>
      </c>
      <c r="E129" s="21" t="s">
        <v>321</v>
      </c>
      <c r="F129" s="21" t="s">
        <v>214</v>
      </c>
      <c r="G129" s="8" t="str">
        <f t="shared" si="1"/>
        <v>STEWART MICHAEL</v>
      </c>
    </row>
    <row r="130" spans="1:7" x14ac:dyDescent="0.25">
      <c r="A130" s="8">
        <v>42758.56826388889</v>
      </c>
      <c r="B130" s="21" t="s">
        <v>265</v>
      </c>
      <c r="C130" s="21" t="s">
        <v>573</v>
      </c>
      <c r="D130" s="157">
        <v>2250000</v>
      </c>
      <c r="E130" s="21" t="s">
        <v>378</v>
      </c>
      <c r="F130" s="21" t="s">
        <v>379</v>
      </c>
      <c r="G130" s="8" t="str">
        <f t="shared" si="1"/>
        <v>CRAYTON QUNTRELL</v>
      </c>
    </row>
    <row r="131" spans="1:7" x14ac:dyDescent="0.25">
      <c r="A131" s="8">
        <v>42758.578738425924</v>
      </c>
      <c r="B131" s="21" t="s">
        <v>474</v>
      </c>
      <c r="C131" s="21" t="s">
        <v>574</v>
      </c>
      <c r="D131" s="157">
        <v>1180000</v>
      </c>
      <c r="E131" s="21" t="s">
        <v>287</v>
      </c>
      <c r="F131" s="21" t="s">
        <v>288</v>
      </c>
      <c r="G131" s="8" t="str">
        <f t="shared" ref="G131:G194" si="2">E131&amp;" "&amp;F131</f>
        <v>LEVERE CRAIG</v>
      </c>
    </row>
    <row r="132" spans="1:7" x14ac:dyDescent="0.25">
      <c r="A132" s="8">
        <v>42758.57917824074</v>
      </c>
      <c r="B132" s="21" t="s">
        <v>224</v>
      </c>
      <c r="C132" s="21" t="s">
        <v>575</v>
      </c>
      <c r="D132" s="157">
        <v>920000</v>
      </c>
      <c r="E132" s="21" t="s">
        <v>264</v>
      </c>
      <c r="F132" s="21" t="s">
        <v>214</v>
      </c>
      <c r="G132" s="8" t="str">
        <f t="shared" si="2"/>
        <v>DAVIS MICHAEL</v>
      </c>
    </row>
    <row r="133" spans="1:7" x14ac:dyDescent="0.25">
      <c r="A133" s="8">
        <v>42758.586828703701</v>
      </c>
      <c r="B133" s="21" t="s">
        <v>250</v>
      </c>
      <c r="C133" s="21" t="s">
        <v>576</v>
      </c>
      <c r="D133" s="157">
        <v>930000</v>
      </c>
      <c r="E133" s="21" t="s">
        <v>547</v>
      </c>
      <c r="F133" s="21" t="s">
        <v>548</v>
      </c>
      <c r="G133" s="8" t="str">
        <f t="shared" si="2"/>
        <v>CLARK KATHLEEN</v>
      </c>
    </row>
    <row r="134" spans="1:7" x14ac:dyDescent="0.25">
      <c r="A134" s="8">
        <v>42758.589247685188</v>
      </c>
      <c r="B134" s="21" t="s">
        <v>195</v>
      </c>
      <c r="C134" s="21" t="s">
        <v>577</v>
      </c>
      <c r="D134" s="157">
        <v>2030000</v>
      </c>
      <c r="E134" s="21" t="s">
        <v>324</v>
      </c>
      <c r="F134" s="21" t="s">
        <v>254</v>
      </c>
      <c r="G134" s="8" t="str">
        <f t="shared" si="2"/>
        <v>KILLION DAVID</v>
      </c>
    </row>
    <row r="135" spans="1:7" x14ac:dyDescent="0.25">
      <c r="A135" s="8">
        <v>42758.590173611112</v>
      </c>
      <c r="B135" s="21" t="s">
        <v>249</v>
      </c>
      <c r="C135" s="21" t="s">
        <v>578</v>
      </c>
      <c r="D135" s="157">
        <v>2470000</v>
      </c>
      <c r="E135" s="21" t="s">
        <v>322</v>
      </c>
      <c r="F135" s="21" t="s">
        <v>323</v>
      </c>
      <c r="G135" s="8" t="str">
        <f t="shared" si="2"/>
        <v>ROMERO CHAD</v>
      </c>
    </row>
    <row r="136" spans="1:7" x14ac:dyDescent="0.25">
      <c r="A136" s="8">
        <v>42758.59474537037</v>
      </c>
      <c r="B136" s="21" t="s">
        <v>320</v>
      </c>
      <c r="C136" s="21" t="s">
        <v>579</v>
      </c>
      <c r="D136" s="157">
        <v>1300000</v>
      </c>
      <c r="E136" s="21" t="s">
        <v>376</v>
      </c>
      <c r="F136" s="21" t="s">
        <v>377</v>
      </c>
      <c r="G136" s="8" t="str">
        <f t="shared" si="2"/>
        <v>LEVIN SCOTT</v>
      </c>
    </row>
    <row r="137" spans="1:7" x14ac:dyDescent="0.25">
      <c r="A137" s="8">
        <v>42758.599803240744</v>
      </c>
      <c r="B137" s="21" t="s">
        <v>286</v>
      </c>
      <c r="C137" s="21" t="s">
        <v>580</v>
      </c>
      <c r="D137" s="157">
        <v>880000</v>
      </c>
      <c r="E137" s="21" t="s">
        <v>321</v>
      </c>
      <c r="F137" s="21" t="s">
        <v>214</v>
      </c>
      <c r="G137" s="8" t="str">
        <f t="shared" si="2"/>
        <v>STEWART MICHAEL</v>
      </c>
    </row>
    <row r="138" spans="1:7" x14ac:dyDescent="0.25">
      <c r="A138" s="8">
        <v>42758.608842592592</v>
      </c>
      <c r="B138" s="21" t="s">
        <v>441</v>
      </c>
      <c r="C138" s="21" t="s">
        <v>442</v>
      </c>
      <c r="D138" s="157">
        <v>1300000</v>
      </c>
      <c r="E138" s="21" t="s">
        <v>376</v>
      </c>
      <c r="F138" s="21" t="s">
        <v>377</v>
      </c>
      <c r="G138" s="8" t="str">
        <f t="shared" si="2"/>
        <v>LEVIN SCOTT</v>
      </c>
    </row>
    <row r="139" spans="1:7" x14ac:dyDescent="0.25">
      <c r="A139" s="8">
        <v>42758.609074074076</v>
      </c>
      <c r="B139" s="21" t="s">
        <v>263</v>
      </c>
      <c r="C139" s="21" t="s">
        <v>581</v>
      </c>
      <c r="D139" s="157">
        <v>2250000</v>
      </c>
      <c r="E139" s="21" t="s">
        <v>378</v>
      </c>
      <c r="F139" s="21" t="s">
        <v>379</v>
      </c>
      <c r="G139" s="8" t="str">
        <f t="shared" si="2"/>
        <v>CRAYTON QUNTRELL</v>
      </c>
    </row>
    <row r="140" spans="1:7" x14ac:dyDescent="0.25">
      <c r="A140" s="8">
        <v>42758.611006944448</v>
      </c>
      <c r="B140" s="21" t="s">
        <v>266</v>
      </c>
      <c r="C140" s="21" t="s">
        <v>582</v>
      </c>
      <c r="D140" s="157">
        <v>920000</v>
      </c>
      <c r="E140" s="21" t="s">
        <v>264</v>
      </c>
      <c r="F140" s="21" t="s">
        <v>214</v>
      </c>
      <c r="G140" s="8" t="str">
        <f t="shared" si="2"/>
        <v>DAVIS MICHAEL</v>
      </c>
    </row>
    <row r="141" spans="1:7" x14ac:dyDescent="0.25">
      <c r="A141" s="8">
        <v>42758.613981481481</v>
      </c>
      <c r="B141" s="21" t="s">
        <v>455</v>
      </c>
      <c r="C141" s="21" t="s">
        <v>583</v>
      </c>
      <c r="D141" s="157">
        <v>1180000</v>
      </c>
      <c r="E141" s="21" t="s">
        <v>287</v>
      </c>
      <c r="F141" s="21" t="s">
        <v>288</v>
      </c>
      <c r="G141" s="8" t="str">
        <f t="shared" si="2"/>
        <v>LEVERE CRAIG</v>
      </c>
    </row>
    <row r="142" spans="1:7" x14ac:dyDescent="0.25">
      <c r="A142" s="8">
        <v>42758.621261574073</v>
      </c>
      <c r="B142" s="21" t="s">
        <v>201</v>
      </c>
      <c r="C142" s="21" t="s">
        <v>584</v>
      </c>
      <c r="D142" s="157">
        <v>930000</v>
      </c>
      <c r="E142" s="21" t="s">
        <v>547</v>
      </c>
      <c r="F142" s="21" t="s">
        <v>548</v>
      </c>
      <c r="G142" s="8" t="str">
        <f t="shared" si="2"/>
        <v>CLARK KATHLEEN</v>
      </c>
    </row>
    <row r="143" spans="1:7" x14ac:dyDescent="0.25">
      <c r="A143" s="8">
        <v>42758.625069444446</v>
      </c>
      <c r="B143" s="21" t="s">
        <v>199</v>
      </c>
      <c r="C143" s="21" t="s">
        <v>585</v>
      </c>
      <c r="D143" s="157">
        <v>2030000</v>
      </c>
      <c r="E143" s="21" t="s">
        <v>324</v>
      </c>
      <c r="F143" s="21" t="s">
        <v>254</v>
      </c>
      <c r="G143" s="8" t="str">
        <f t="shared" si="2"/>
        <v>KILLION DAVID</v>
      </c>
    </row>
    <row r="144" spans="1:7" x14ac:dyDescent="0.25">
      <c r="A144" s="8">
        <v>42758.631122685183</v>
      </c>
      <c r="B144" s="21" t="s">
        <v>248</v>
      </c>
      <c r="C144" s="21" t="s">
        <v>586</v>
      </c>
      <c r="D144" s="157">
        <v>2470000</v>
      </c>
      <c r="E144" s="21" t="s">
        <v>322</v>
      </c>
      <c r="F144" s="21" t="s">
        <v>323</v>
      </c>
      <c r="G144" s="8" t="str">
        <f t="shared" si="2"/>
        <v>ROMERO CHAD</v>
      </c>
    </row>
    <row r="145" spans="1:7" x14ac:dyDescent="0.25">
      <c r="A145" s="8">
        <v>42758.636782407404</v>
      </c>
      <c r="B145" s="21" t="s">
        <v>279</v>
      </c>
      <c r="C145" s="21" t="s">
        <v>587</v>
      </c>
      <c r="D145" s="157">
        <v>1810000</v>
      </c>
      <c r="E145" s="21" t="s">
        <v>219</v>
      </c>
      <c r="F145" s="21" t="s">
        <v>209</v>
      </c>
      <c r="G145" s="8" t="str">
        <f t="shared" si="2"/>
        <v>NEWELL JAMES</v>
      </c>
    </row>
    <row r="146" spans="1:7" x14ac:dyDescent="0.25">
      <c r="A146" s="8">
        <v>42758.63685185185</v>
      </c>
      <c r="B146" s="21" t="s">
        <v>320</v>
      </c>
      <c r="C146" s="21" t="s">
        <v>588</v>
      </c>
      <c r="D146" s="157">
        <v>1300000</v>
      </c>
      <c r="E146" s="21" t="s">
        <v>376</v>
      </c>
      <c r="F146" s="21" t="s">
        <v>377</v>
      </c>
      <c r="G146" s="8" t="str">
        <f t="shared" si="2"/>
        <v>LEVIN SCOTT</v>
      </c>
    </row>
    <row r="147" spans="1:7" x14ac:dyDescent="0.25">
      <c r="A147" s="8">
        <v>42758.638888888891</v>
      </c>
      <c r="B147" s="21" t="s">
        <v>237</v>
      </c>
      <c r="C147" s="21" t="s">
        <v>589</v>
      </c>
      <c r="D147" s="157">
        <v>880000</v>
      </c>
      <c r="E147" s="21" t="s">
        <v>321</v>
      </c>
      <c r="F147" s="21" t="s">
        <v>214</v>
      </c>
      <c r="G147" s="8" t="str">
        <f t="shared" si="2"/>
        <v>STEWART MICHAEL</v>
      </c>
    </row>
    <row r="148" spans="1:7" x14ac:dyDescent="0.25">
      <c r="A148" s="8">
        <v>42758.641192129631</v>
      </c>
      <c r="B148" s="21" t="s">
        <v>265</v>
      </c>
      <c r="C148" s="21" t="s">
        <v>590</v>
      </c>
      <c r="D148" s="157">
        <v>2250000</v>
      </c>
      <c r="E148" s="21" t="s">
        <v>378</v>
      </c>
      <c r="F148" s="21" t="s">
        <v>379</v>
      </c>
      <c r="G148" s="8" t="str">
        <f t="shared" si="2"/>
        <v>CRAYTON QUNTRELL</v>
      </c>
    </row>
    <row r="149" spans="1:7" x14ac:dyDescent="0.25">
      <c r="A149" s="8">
        <v>42758.645729166667</v>
      </c>
      <c r="B149" s="21" t="s">
        <v>197</v>
      </c>
      <c r="C149" s="21" t="s">
        <v>591</v>
      </c>
      <c r="D149" s="157">
        <v>1810000</v>
      </c>
      <c r="E149" s="21" t="s">
        <v>219</v>
      </c>
      <c r="F149" s="21" t="s">
        <v>209</v>
      </c>
      <c r="G149" s="8" t="str">
        <f t="shared" si="2"/>
        <v>NEWELL JAMES</v>
      </c>
    </row>
    <row r="150" spans="1:7" x14ac:dyDescent="0.25">
      <c r="A150" s="8">
        <v>42758.651331018518</v>
      </c>
      <c r="B150" s="21" t="s">
        <v>441</v>
      </c>
      <c r="C150" s="21" t="s">
        <v>592</v>
      </c>
      <c r="D150" s="157">
        <v>1300000</v>
      </c>
      <c r="E150" s="21" t="s">
        <v>376</v>
      </c>
      <c r="F150" s="21" t="s">
        <v>377</v>
      </c>
      <c r="G150" s="8" t="str">
        <f t="shared" si="2"/>
        <v>LEVIN SCOTT</v>
      </c>
    </row>
    <row r="151" spans="1:7" x14ac:dyDescent="0.25">
      <c r="A151" s="8">
        <v>42758.651585648149</v>
      </c>
      <c r="B151" s="21" t="s">
        <v>224</v>
      </c>
      <c r="C151" s="21" t="s">
        <v>443</v>
      </c>
      <c r="D151" s="157">
        <v>920000</v>
      </c>
      <c r="E151" s="21" t="s">
        <v>264</v>
      </c>
      <c r="F151" s="21" t="s">
        <v>214</v>
      </c>
      <c r="G151" s="8" t="str">
        <f t="shared" si="2"/>
        <v>DAVIS MICHAEL</v>
      </c>
    </row>
    <row r="152" spans="1:7" x14ac:dyDescent="0.25">
      <c r="A152" s="8">
        <v>42758.652245370373</v>
      </c>
      <c r="B152" s="21" t="s">
        <v>474</v>
      </c>
      <c r="C152" s="21" t="s">
        <v>593</v>
      </c>
      <c r="D152" s="157">
        <v>1180000</v>
      </c>
      <c r="E152" s="21" t="s">
        <v>287</v>
      </c>
      <c r="F152" s="21" t="s">
        <v>288</v>
      </c>
      <c r="G152" s="8" t="str">
        <f t="shared" si="2"/>
        <v>LEVERE CRAIG</v>
      </c>
    </row>
    <row r="153" spans="1:7" x14ac:dyDescent="0.25">
      <c r="A153" s="8">
        <v>42758.661087962966</v>
      </c>
      <c r="B153" s="21" t="s">
        <v>250</v>
      </c>
      <c r="C153" s="21" t="s">
        <v>594</v>
      </c>
      <c r="D153" s="157">
        <v>930000</v>
      </c>
      <c r="E153" s="21" t="s">
        <v>547</v>
      </c>
      <c r="F153" s="21" t="s">
        <v>548</v>
      </c>
      <c r="G153" s="8" t="str">
        <f t="shared" si="2"/>
        <v>CLARK KATHLEEN</v>
      </c>
    </row>
    <row r="154" spans="1:7" x14ac:dyDescent="0.25">
      <c r="A154" s="8">
        <v>42758.66265046296</v>
      </c>
      <c r="B154" s="21" t="s">
        <v>249</v>
      </c>
      <c r="C154" s="21" t="s">
        <v>595</v>
      </c>
      <c r="D154" s="157">
        <v>2470000</v>
      </c>
      <c r="E154" s="21" t="s">
        <v>322</v>
      </c>
      <c r="F154" s="21" t="s">
        <v>323</v>
      </c>
      <c r="G154" s="8" t="str">
        <f t="shared" si="2"/>
        <v>ROMERO CHAD</v>
      </c>
    </row>
    <row r="155" spans="1:7" x14ac:dyDescent="0.25">
      <c r="A155" s="8">
        <v>42758.663807870369</v>
      </c>
      <c r="B155" s="21" t="s">
        <v>195</v>
      </c>
      <c r="C155" s="21" t="s">
        <v>596</v>
      </c>
      <c r="D155" s="157">
        <v>2030000</v>
      </c>
      <c r="E155" s="21" t="s">
        <v>324</v>
      </c>
      <c r="F155" s="21" t="s">
        <v>254</v>
      </c>
      <c r="G155" s="8" t="str">
        <f t="shared" si="2"/>
        <v>KILLION DAVID</v>
      </c>
    </row>
    <row r="156" spans="1:7" x14ac:dyDescent="0.25">
      <c r="A156" s="8">
        <v>42758.670370370368</v>
      </c>
      <c r="B156" s="21" t="s">
        <v>153</v>
      </c>
      <c r="C156" s="21" t="s">
        <v>597</v>
      </c>
      <c r="D156" s="157">
        <v>2360000</v>
      </c>
      <c r="E156" s="21" t="s">
        <v>598</v>
      </c>
      <c r="F156" s="21" t="s">
        <v>599</v>
      </c>
      <c r="G156" s="8" t="str">
        <f t="shared" si="2"/>
        <v>BRANDNER MELINDA</v>
      </c>
    </row>
    <row r="157" spans="1:7" x14ac:dyDescent="0.25">
      <c r="A157" s="8">
        <v>42758.671481481484</v>
      </c>
      <c r="B157" s="21" t="s">
        <v>279</v>
      </c>
      <c r="C157" s="21" t="s">
        <v>600</v>
      </c>
      <c r="D157" s="157">
        <v>1810000</v>
      </c>
      <c r="E157" s="21" t="s">
        <v>219</v>
      </c>
      <c r="F157" s="21" t="s">
        <v>209</v>
      </c>
      <c r="G157" s="8" t="str">
        <f t="shared" si="2"/>
        <v>NEWELL JAMES</v>
      </c>
    </row>
    <row r="158" spans="1:7" x14ac:dyDescent="0.25">
      <c r="A158" s="8">
        <v>42758.679120370369</v>
      </c>
      <c r="B158" s="21" t="s">
        <v>263</v>
      </c>
      <c r="C158" s="21" t="s">
        <v>601</v>
      </c>
      <c r="D158" s="157">
        <v>2250000</v>
      </c>
      <c r="E158" s="21" t="s">
        <v>378</v>
      </c>
      <c r="F158" s="21" t="s">
        <v>379</v>
      </c>
      <c r="G158" s="8" t="str">
        <f t="shared" si="2"/>
        <v>CRAYTON QUNTRELL</v>
      </c>
    </row>
    <row r="159" spans="1:7" x14ac:dyDescent="0.25">
      <c r="A159" s="8">
        <v>42758.679143518515</v>
      </c>
      <c r="B159" s="21" t="s">
        <v>320</v>
      </c>
      <c r="C159" s="21" t="s">
        <v>602</v>
      </c>
      <c r="D159" s="157">
        <v>1300000</v>
      </c>
      <c r="E159" s="21" t="s">
        <v>376</v>
      </c>
      <c r="F159" s="21" t="s">
        <v>377</v>
      </c>
      <c r="G159" s="8" t="str">
        <f t="shared" si="2"/>
        <v>LEVIN SCOTT</v>
      </c>
    </row>
    <row r="160" spans="1:7" x14ac:dyDescent="0.25">
      <c r="A160" s="8">
        <v>42758.685231481482</v>
      </c>
      <c r="B160" s="21" t="s">
        <v>266</v>
      </c>
      <c r="C160" s="21" t="s">
        <v>444</v>
      </c>
      <c r="D160" s="157">
        <v>920000</v>
      </c>
      <c r="E160" s="21" t="s">
        <v>264</v>
      </c>
      <c r="F160" s="21" t="s">
        <v>214</v>
      </c>
      <c r="G160" s="8" t="str">
        <f t="shared" si="2"/>
        <v>DAVIS MICHAEL</v>
      </c>
    </row>
    <row r="161" spans="1:7" x14ac:dyDescent="0.25">
      <c r="A161" s="8">
        <v>42758.689722222225</v>
      </c>
      <c r="B161" s="21" t="s">
        <v>455</v>
      </c>
      <c r="C161" s="21" t="s">
        <v>603</v>
      </c>
      <c r="D161" s="157">
        <v>1180000</v>
      </c>
      <c r="E161" s="21" t="s">
        <v>287</v>
      </c>
      <c r="F161" s="21" t="s">
        <v>288</v>
      </c>
      <c r="G161" s="8" t="str">
        <f t="shared" si="2"/>
        <v>LEVERE CRAIG</v>
      </c>
    </row>
    <row r="162" spans="1:7" x14ac:dyDescent="0.25">
      <c r="A162" s="8">
        <v>42758.692291666666</v>
      </c>
      <c r="B162" s="21" t="s">
        <v>441</v>
      </c>
      <c r="C162" s="21" t="s">
        <v>604</v>
      </c>
      <c r="D162" s="157">
        <v>1300000</v>
      </c>
      <c r="E162" s="21" t="s">
        <v>376</v>
      </c>
      <c r="F162" s="21" t="s">
        <v>377</v>
      </c>
      <c r="G162" s="8" t="str">
        <f t="shared" si="2"/>
        <v>LEVIN SCOTT</v>
      </c>
    </row>
    <row r="163" spans="1:7" x14ac:dyDescent="0.25">
      <c r="A163" s="8">
        <v>42758.695879629631</v>
      </c>
      <c r="B163" s="21" t="s">
        <v>197</v>
      </c>
      <c r="C163" s="21" t="s">
        <v>605</v>
      </c>
      <c r="D163" s="157">
        <v>1810000</v>
      </c>
      <c r="E163" s="21" t="s">
        <v>219</v>
      </c>
      <c r="F163" s="21" t="s">
        <v>209</v>
      </c>
      <c r="G163" s="8" t="str">
        <f t="shared" si="2"/>
        <v>NEWELL JAMES</v>
      </c>
    </row>
    <row r="164" spans="1:7" x14ac:dyDescent="0.25">
      <c r="A164" s="8">
        <v>42758.697708333333</v>
      </c>
      <c r="B164" s="21" t="s">
        <v>375</v>
      </c>
      <c r="C164" s="21" t="s">
        <v>606</v>
      </c>
      <c r="D164" s="157">
        <v>1800000</v>
      </c>
      <c r="E164" s="21" t="s">
        <v>380</v>
      </c>
      <c r="F164" s="21" t="s">
        <v>381</v>
      </c>
      <c r="G164" s="8" t="str">
        <f t="shared" si="2"/>
        <v>CHANDLER KELVIN</v>
      </c>
    </row>
    <row r="165" spans="1:7" x14ac:dyDescent="0.25">
      <c r="A165" s="8">
        <v>42758.69809027778</v>
      </c>
      <c r="B165" s="21" t="s">
        <v>201</v>
      </c>
      <c r="C165" s="21" t="s">
        <v>607</v>
      </c>
      <c r="D165" s="157">
        <v>930000</v>
      </c>
      <c r="E165" s="21" t="s">
        <v>547</v>
      </c>
      <c r="F165" s="21" t="s">
        <v>548</v>
      </c>
      <c r="G165" s="8" t="str">
        <f t="shared" si="2"/>
        <v>CLARK KATHLEEN</v>
      </c>
    </row>
    <row r="166" spans="1:7" x14ac:dyDescent="0.25">
      <c r="A166" s="8">
        <v>42758.698229166665</v>
      </c>
      <c r="B166" s="21" t="s">
        <v>199</v>
      </c>
      <c r="C166" s="21" t="s">
        <v>608</v>
      </c>
      <c r="D166" s="157">
        <v>2030000</v>
      </c>
      <c r="E166" s="21" t="s">
        <v>324</v>
      </c>
      <c r="F166" s="21" t="s">
        <v>254</v>
      </c>
      <c r="G166" s="8" t="str">
        <f t="shared" si="2"/>
        <v>KILLION DAVID</v>
      </c>
    </row>
    <row r="167" spans="1:7" x14ac:dyDescent="0.25">
      <c r="A167" s="8">
        <v>42758.704814814817</v>
      </c>
      <c r="B167" s="21" t="s">
        <v>248</v>
      </c>
      <c r="C167" s="21" t="s">
        <v>446</v>
      </c>
      <c r="D167" s="157">
        <v>2470000</v>
      </c>
      <c r="E167" s="21" t="s">
        <v>322</v>
      </c>
      <c r="F167" s="21" t="s">
        <v>323</v>
      </c>
      <c r="G167" s="8" t="str">
        <f t="shared" si="2"/>
        <v>ROMERO CHAD</v>
      </c>
    </row>
    <row r="168" spans="1:7" x14ac:dyDescent="0.25">
      <c r="A168" s="8">
        <v>42758.713078703702</v>
      </c>
      <c r="B168" s="21" t="s">
        <v>279</v>
      </c>
      <c r="C168" s="21" t="s">
        <v>445</v>
      </c>
      <c r="D168" s="157">
        <v>1810000</v>
      </c>
      <c r="E168" s="21" t="s">
        <v>219</v>
      </c>
      <c r="F168" s="21" t="s">
        <v>209</v>
      </c>
      <c r="G168" s="8" t="str">
        <f t="shared" si="2"/>
        <v>NEWELL JAMES</v>
      </c>
    </row>
    <row r="169" spans="1:7" x14ac:dyDescent="0.25">
      <c r="A169" s="8">
        <v>42758.713703703703</v>
      </c>
      <c r="B169" s="21" t="s">
        <v>154</v>
      </c>
      <c r="C169" s="21" t="s">
        <v>609</v>
      </c>
      <c r="D169" s="157">
        <v>2360000</v>
      </c>
      <c r="E169" s="21" t="s">
        <v>598</v>
      </c>
      <c r="F169" s="21" t="s">
        <v>599</v>
      </c>
      <c r="G169" s="8" t="str">
        <f t="shared" si="2"/>
        <v>BRANDNER MELINDA</v>
      </c>
    </row>
    <row r="170" spans="1:7" x14ac:dyDescent="0.25">
      <c r="A170" s="8">
        <v>42758.716898148145</v>
      </c>
      <c r="B170" s="21" t="s">
        <v>320</v>
      </c>
      <c r="C170" s="21" t="s">
        <v>610</v>
      </c>
      <c r="D170" s="157">
        <v>1300000</v>
      </c>
      <c r="E170" s="21" t="s">
        <v>376</v>
      </c>
      <c r="F170" s="21" t="s">
        <v>377</v>
      </c>
      <c r="G170" s="8" t="str">
        <f t="shared" si="2"/>
        <v>LEVIN SCOTT</v>
      </c>
    </row>
    <row r="171" spans="1:7" x14ac:dyDescent="0.25">
      <c r="A171" s="8">
        <v>42758.717175925929</v>
      </c>
      <c r="B171" s="21" t="s">
        <v>286</v>
      </c>
      <c r="C171" s="21" t="s">
        <v>611</v>
      </c>
      <c r="D171" s="157">
        <v>2350000</v>
      </c>
      <c r="E171" s="21" t="s">
        <v>543</v>
      </c>
      <c r="F171" s="21" t="s">
        <v>544</v>
      </c>
      <c r="G171" s="8" t="str">
        <f t="shared" si="2"/>
        <v>BERLING GARY</v>
      </c>
    </row>
    <row r="172" spans="1:7" x14ac:dyDescent="0.25">
      <c r="A172" s="8">
        <v>42758.720173611109</v>
      </c>
      <c r="B172" s="21" t="s">
        <v>265</v>
      </c>
      <c r="C172" s="21" t="s">
        <v>612</v>
      </c>
      <c r="D172" s="157">
        <v>1800000</v>
      </c>
      <c r="E172" s="21" t="s">
        <v>380</v>
      </c>
      <c r="F172" s="21" t="s">
        <v>381</v>
      </c>
      <c r="G172" s="8" t="str">
        <f t="shared" si="2"/>
        <v>CHANDLER KELVIN</v>
      </c>
    </row>
    <row r="173" spans="1:7" x14ac:dyDescent="0.25">
      <c r="A173" s="8">
        <v>42758.725659722222</v>
      </c>
      <c r="B173" s="21" t="s">
        <v>224</v>
      </c>
      <c r="C173" s="21" t="s">
        <v>447</v>
      </c>
      <c r="D173" s="157">
        <v>920000</v>
      </c>
      <c r="E173" s="21" t="s">
        <v>264</v>
      </c>
      <c r="F173" s="21" t="s">
        <v>214</v>
      </c>
      <c r="G173" s="8" t="str">
        <f t="shared" si="2"/>
        <v>DAVIS MICHAEL</v>
      </c>
    </row>
    <row r="174" spans="1:7" x14ac:dyDescent="0.25">
      <c r="A174" s="8">
        <v>42758.727824074071</v>
      </c>
      <c r="B174" s="21" t="s">
        <v>197</v>
      </c>
      <c r="C174" s="21" t="s">
        <v>613</v>
      </c>
      <c r="D174" s="157">
        <v>1810000</v>
      </c>
      <c r="E174" s="21" t="s">
        <v>219</v>
      </c>
      <c r="F174" s="21" t="s">
        <v>209</v>
      </c>
      <c r="G174" s="8" t="str">
        <f t="shared" si="2"/>
        <v>NEWELL JAMES</v>
      </c>
    </row>
    <row r="175" spans="1:7" x14ac:dyDescent="0.25">
      <c r="A175" s="8">
        <v>42758.731782407405</v>
      </c>
      <c r="B175" s="21" t="s">
        <v>474</v>
      </c>
      <c r="C175" s="21" t="s">
        <v>614</v>
      </c>
      <c r="D175" s="157">
        <v>2250000</v>
      </c>
      <c r="E175" s="21" t="s">
        <v>378</v>
      </c>
      <c r="F175" s="21" t="s">
        <v>379</v>
      </c>
      <c r="G175" s="8" t="str">
        <f t="shared" si="2"/>
        <v>CRAYTON QUNTRELL</v>
      </c>
    </row>
    <row r="176" spans="1:7" x14ac:dyDescent="0.25">
      <c r="A176" s="8">
        <v>42758.734178240738</v>
      </c>
      <c r="B176" s="21" t="s">
        <v>250</v>
      </c>
      <c r="C176" s="21" t="s">
        <v>615</v>
      </c>
      <c r="D176" s="157">
        <v>930000</v>
      </c>
      <c r="E176" s="21" t="s">
        <v>547</v>
      </c>
      <c r="F176" s="21" t="s">
        <v>548</v>
      </c>
      <c r="G176" s="8" t="str">
        <f t="shared" si="2"/>
        <v>CLARK KATHLEEN</v>
      </c>
    </row>
    <row r="177" spans="1:7" x14ac:dyDescent="0.25">
      <c r="A177" s="8">
        <v>42758.734270833331</v>
      </c>
      <c r="B177" s="21" t="s">
        <v>441</v>
      </c>
      <c r="C177" s="21" t="s">
        <v>616</v>
      </c>
      <c r="D177" s="157">
        <v>1300000</v>
      </c>
      <c r="E177" s="21" t="s">
        <v>376</v>
      </c>
      <c r="F177" s="21" t="s">
        <v>377</v>
      </c>
      <c r="G177" s="8" t="str">
        <f t="shared" si="2"/>
        <v>LEVIN SCOTT</v>
      </c>
    </row>
    <row r="178" spans="1:7" x14ac:dyDescent="0.25">
      <c r="A178" s="8">
        <v>42758.736608796295</v>
      </c>
      <c r="B178" s="21" t="s">
        <v>368</v>
      </c>
      <c r="C178" s="21" t="s">
        <v>617</v>
      </c>
      <c r="D178" s="157">
        <v>1180000</v>
      </c>
      <c r="E178" s="21" t="s">
        <v>287</v>
      </c>
      <c r="F178" s="21" t="s">
        <v>288</v>
      </c>
      <c r="G178" s="8" t="str">
        <f t="shared" si="2"/>
        <v>LEVERE CRAIG</v>
      </c>
    </row>
    <row r="179" spans="1:7" x14ac:dyDescent="0.25">
      <c r="A179" s="8">
        <v>42758.73809027778</v>
      </c>
      <c r="B179" s="21" t="s">
        <v>249</v>
      </c>
      <c r="C179" s="21" t="s">
        <v>618</v>
      </c>
      <c r="D179" s="157">
        <v>2470000</v>
      </c>
      <c r="E179" s="21" t="s">
        <v>322</v>
      </c>
      <c r="F179" s="21" t="s">
        <v>323</v>
      </c>
      <c r="G179" s="8" t="str">
        <f t="shared" si="2"/>
        <v>ROMERO CHAD</v>
      </c>
    </row>
    <row r="180" spans="1:7" x14ac:dyDescent="0.25">
      <c r="A180" s="8">
        <v>42758.740729166668</v>
      </c>
      <c r="B180" s="21" t="s">
        <v>195</v>
      </c>
      <c r="C180" s="21" t="s">
        <v>619</v>
      </c>
      <c r="D180" s="157">
        <v>2230000</v>
      </c>
      <c r="E180" s="21" t="s">
        <v>325</v>
      </c>
      <c r="F180" s="21" t="s">
        <v>214</v>
      </c>
      <c r="G180" s="8" t="str">
        <f t="shared" si="2"/>
        <v>SMITH MICHAEL</v>
      </c>
    </row>
    <row r="181" spans="1:7" x14ac:dyDescent="0.25">
      <c r="A181" s="8">
        <v>42758.748032407406</v>
      </c>
      <c r="B181" s="21" t="s">
        <v>153</v>
      </c>
      <c r="C181" s="21" t="s">
        <v>620</v>
      </c>
      <c r="D181" s="157">
        <v>2030000</v>
      </c>
      <c r="E181" s="21" t="s">
        <v>324</v>
      </c>
      <c r="F181" s="21" t="s">
        <v>254</v>
      </c>
      <c r="G181" s="8" t="str">
        <f t="shared" si="2"/>
        <v>KILLION DAVID</v>
      </c>
    </row>
    <row r="182" spans="1:7" x14ac:dyDescent="0.25">
      <c r="A182" s="8">
        <v>42758.751631944448</v>
      </c>
      <c r="B182" s="21" t="s">
        <v>448</v>
      </c>
      <c r="C182" s="21" t="s">
        <v>449</v>
      </c>
      <c r="D182" s="157">
        <v>1740000</v>
      </c>
      <c r="E182" s="21" t="s">
        <v>272</v>
      </c>
      <c r="F182" s="21" t="s">
        <v>273</v>
      </c>
      <c r="G182" s="8" t="str">
        <f t="shared" si="2"/>
        <v>STORY SAMANTHA</v>
      </c>
    </row>
    <row r="183" spans="1:7" x14ac:dyDescent="0.25">
      <c r="A183" s="8">
        <v>42758.75445601852</v>
      </c>
      <c r="B183" s="21" t="s">
        <v>279</v>
      </c>
      <c r="C183" s="21" t="s">
        <v>621</v>
      </c>
      <c r="D183" s="157">
        <v>1810000</v>
      </c>
      <c r="E183" s="21" t="s">
        <v>219</v>
      </c>
      <c r="F183" s="21" t="s">
        <v>209</v>
      </c>
      <c r="G183" s="8" t="str">
        <f t="shared" si="2"/>
        <v>NEWELL JAMES</v>
      </c>
    </row>
    <row r="184" spans="1:7" x14ac:dyDescent="0.25">
      <c r="A184" s="8">
        <v>42758.754756944443</v>
      </c>
      <c r="B184" s="21" t="s">
        <v>263</v>
      </c>
      <c r="C184" s="21" t="s">
        <v>622</v>
      </c>
      <c r="D184" s="157">
        <v>1800000</v>
      </c>
      <c r="E184" s="21" t="s">
        <v>380</v>
      </c>
      <c r="F184" s="21" t="s">
        <v>381</v>
      </c>
      <c r="G184" s="8" t="str">
        <f t="shared" si="2"/>
        <v>CHANDLER KELVIN</v>
      </c>
    </row>
    <row r="185" spans="1:7" x14ac:dyDescent="0.25">
      <c r="A185" s="8">
        <v>42758.758981481478</v>
      </c>
      <c r="B185" s="21" t="s">
        <v>320</v>
      </c>
      <c r="C185" s="21" t="s">
        <v>623</v>
      </c>
      <c r="D185" s="157">
        <v>1300000</v>
      </c>
      <c r="E185" s="21" t="s">
        <v>376</v>
      </c>
      <c r="F185" s="21" t="s">
        <v>377</v>
      </c>
      <c r="G185" s="8" t="str">
        <f t="shared" si="2"/>
        <v>LEVIN SCOTT</v>
      </c>
    </row>
    <row r="186" spans="1:7" x14ac:dyDescent="0.25">
      <c r="A186" s="8">
        <v>42758.764421296299</v>
      </c>
      <c r="B186" s="21" t="s">
        <v>266</v>
      </c>
      <c r="C186" s="21" t="s">
        <v>624</v>
      </c>
      <c r="D186" s="157">
        <v>2000000</v>
      </c>
      <c r="E186" s="21" t="s">
        <v>326</v>
      </c>
      <c r="F186" s="21" t="s">
        <v>209</v>
      </c>
      <c r="G186" s="8" t="str">
        <f t="shared" si="2"/>
        <v>STAMBAUGH JAMES</v>
      </c>
    </row>
    <row r="187" spans="1:7" x14ac:dyDescent="0.25">
      <c r="A187" s="8">
        <v>42758.764756944445</v>
      </c>
      <c r="B187" s="21" t="s">
        <v>252</v>
      </c>
      <c r="C187" s="21" t="s">
        <v>625</v>
      </c>
      <c r="D187" s="157">
        <v>2730000</v>
      </c>
      <c r="E187" s="21" t="s">
        <v>626</v>
      </c>
      <c r="F187" s="21" t="s">
        <v>627</v>
      </c>
      <c r="G187" s="8" t="str">
        <f t="shared" si="2"/>
        <v>YANG JAN</v>
      </c>
    </row>
    <row r="188" spans="1:7" x14ac:dyDescent="0.25">
      <c r="A188" s="8">
        <v>42758.765949074077</v>
      </c>
      <c r="B188" s="21" t="s">
        <v>455</v>
      </c>
      <c r="C188" s="21" t="s">
        <v>628</v>
      </c>
      <c r="D188" s="157">
        <v>2250000</v>
      </c>
      <c r="E188" s="21" t="s">
        <v>378</v>
      </c>
      <c r="F188" s="21" t="s">
        <v>379</v>
      </c>
      <c r="G188" s="8" t="str">
        <f t="shared" si="2"/>
        <v>CRAYTON QUNTRELL</v>
      </c>
    </row>
    <row r="189" spans="1:7" x14ac:dyDescent="0.25">
      <c r="A189" s="8">
        <v>42758.774375000001</v>
      </c>
      <c r="B189" s="21" t="s">
        <v>199</v>
      </c>
      <c r="C189" s="21" t="s">
        <v>629</v>
      </c>
      <c r="D189" s="157">
        <v>2230000</v>
      </c>
      <c r="E189" s="21" t="s">
        <v>325</v>
      </c>
      <c r="F189" s="21" t="s">
        <v>214</v>
      </c>
      <c r="G189" s="8" t="str">
        <f t="shared" si="2"/>
        <v>SMITH MICHAEL</v>
      </c>
    </row>
    <row r="190" spans="1:7" x14ac:dyDescent="0.25">
      <c r="A190" s="8">
        <v>42758.774444444447</v>
      </c>
      <c r="B190" s="21" t="s">
        <v>201</v>
      </c>
      <c r="C190" s="21" t="s">
        <v>630</v>
      </c>
      <c r="D190" s="157">
        <v>1740000</v>
      </c>
      <c r="E190" s="21" t="s">
        <v>272</v>
      </c>
      <c r="F190" s="21" t="s">
        <v>273</v>
      </c>
      <c r="G190" s="8" t="str">
        <f t="shared" si="2"/>
        <v>STORY SAMANTHA</v>
      </c>
    </row>
    <row r="191" spans="1:7" x14ac:dyDescent="0.25">
      <c r="A191" s="8">
        <v>42758.776574074072</v>
      </c>
      <c r="B191" s="21" t="s">
        <v>441</v>
      </c>
      <c r="C191" s="21" t="s">
        <v>450</v>
      </c>
      <c r="D191" s="157">
        <v>1300000</v>
      </c>
      <c r="E191" s="21" t="s">
        <v>376</v>
      </c>
      <c r="F191" s="21" t="s">
        <v>377</v>
      </c>
      <c r="G191" s="8" t="str">
        <f t="shared" si="2"/>
        <v>LEVIN SCOTT</v>
      </c>
    </row>
    <row r="192" spans="1:7" x14ac:dyDescent="0.25">
      <c r="A192" s="8">
        <v>42758.778032407405</v>
      </c>
      <c r="B192" s="21" t="s">
        <v>556</v>
      </c>
      <c r="C192" s="21" t="s">
        <v>631</v>
      </c>
      <c r="D192" s="157">
        <v>930000</v>
      </c>
      <c r="E192" s="21" t="s">
        <v>547</v>
      </c>
      <c r="F192" s="21" t="s">
        <v>548</v>
      </c>
      <c r="G192" s="8" t="str">
        <f t="shared" si="2"/>
        <v>CLARK KATHLEEN</v>
      </c>
    </row>
    <row r="193" spans="1:7" x14ac:dyDescent="0.25">
      <c r="A193" s="8">
        <v>42758.778067129628</v>
      </c>
      <c r="B193" s="21" t="s">
        <v>248</v>
      </c>
      <c r="C193" s="21" t="s">
        <v>632</v>
      </c>
      <c r="D193" s="157">
        <v>2470000</v>
      </c>
      <c r="E193" s="21" t="s">
        <v>322</v>
      </c>
      <c r="F193" s="21" t="s">
        <v>323</v>
      </c>
      <c r="G193" s="8" t="str">
        <f t="shared" si="2"/>
        <v>ROMERO CHAD</v>
      </c>
    </row>
    <row r="194" spans="1:7" x14ac:dyDescent="0.25">
      <c r="A194" s="8">
        <v>42758.781331018516</v>
      </c>
      <c r="B194" s="21" t="s">
        <v>197</v>
      </c>
      <c r="C194" s="21" t="s">
        <v>633</v>
      </c>
      <c r="D194" s="157">
        <v>1810000</v>
      </c>
      <c r="E194" s="21" t="s">
        <v>219</v>
      </c>
      <c r="F194" s="21" t="s">
        <v>209</v>
      </c>
      <c r="G194" s="8" t="str">
        <f t="shared" si="2"/>
        <v>NEWELL JAMES</v>
      </c>
    </row>
    <row r="195" spans="1:7" x14ac:dyDescent="0.25">
      <c r="A195" s="8">
        <v>42758.786087962966</v>
      </c>
      <c r="B195" s="21" t="s">
        <v>154</v>
      </c>
      <c r="C195" s="21" t="s">
        <v>634</v>
      </c>
      <c r="D195" s="157">
        <v>2030000</v>
      </c>
      <c r="E195" s="21" t="s">
        <v>324</v>
      </c>
      <c r="F195" s="21" t="s">
        <v>254</v>
      </c>
      <c r="G195" s="8" t="str">
        <f t="shared" ref="G195:G258" si="3">E195&amp;" "&amp;F195</f>
        <v>KILLION DAVID</v>
      </c>
    </row>
    <row r="196" spans="1:7" x14ac:dyDescent="0.25">
      <c r="A196" s="8">
        <v>42758.78979166667</v>
      </c>
      <c r="B196" s="21" t="s">
        <v>265</v>
      </c>
      <c r="C196" s="21" t="s">
        <v>635</v>
      </c>
      <c r="D196" s="157">
        <v>1800000</v>
      </c>
      <c r="E196" s="21" t="s">
        <v>380</v>
      </c>
      <c r="F196" s="21" t="s">
        <v>381</v>
      </c>
      <c r="G196" s="8" t="str">
        <f t="shared" si="3"/>
        <v>CHANDLER KELVIN</v>
      </c>
    </row>
    <row r="197" spans="1:7" x14ac:dyDescent="0.25">
      <c r="A197" s="8">
        <v>42758.796469907407</v>
      </c>
      <c r="B197" s="21" t="s">
        <v>279</v>
      </c>
      <c r="C197" s="21" t="s">
        <v>636</v>
      </c>
      <c r="D197" s="157">
        <v>1810000</v>
      </c>
      <c r="E197" s="21" t="s">
        <v>219</v>
      </c>
      <c r="F197" s="21" t="s">
        <v>209</v>
      </c>
      <c r="G197" s="8" t="str">
        <f t="shared" si="3"/>
        <v>NEWELL JAMES</v>
      </c>
    </row>
    <row r="198" spans="1:7" x14ac:dyDescent="0.25">
      <c r="A198" s="8">
        <v>42758.797708333332</v>
      </c>
      <c r="B198" s="21" t="s">
        <v>224</v>
      </c>
      <c r="C198" s="21" t="s">
        <v>637</v>
      </c>
      <c r="D198" s="157">
        <v>2000000</v>
      </c>
      <c r="E198" s="21" t="s">
        <v>326</v>
      </c>
      <c r="F198" s="21" t="s">
        <v>209</v>
      </c>
      <c r="G198" s="8" t="str">
        <f t="shared" si="3"/>
        <v>STAMBAUGH JAMES</v>
      </c>
    </row>
    <row r="199" spans="1:7" x14ac:dyDescent="0.25">
      <c r="A199" s="8">
        <v>42758.799421296295</v>
      </c>
      <c r="B199" s="21" t="s">
        <v>474</v>
      </c>
      <c r="C199" s="21" t="s">
        <v>638</v>
      </c>
      <c r="D199" s="157">
        <v>2250000</v>
      </c>
      <c r="E199" s="21" t="s">
        <v>378</v>
      </c>
      <c r="F199" s="21" t="s">
        <v>379</v>
      </c>
      <c r="G199" s="8" t="str">
        <f t="shared" si="3"/>
        <v>CRAYTON QUNTRELL</v>
      </c>
    </row>
    <row r="200" spans="1:7" x14ac:dyDescent="0.25">
      <c r="A200" s="8">
        <v>42758.800393518519</v>
      </c>
      <c r="B200" s="21" t="s">
        <v>320</v>
      </c>
      <c r="C200" s="21" t="s">
        <v>639</v>
      </c>
      <c r="D200" s="157">
        <v>1300000</v>
      </c>
      <c r="E200" s="21" t="s">
        <v>376</v>
      </c>
      <c r="F200" s="21" t="s">
        <v>377</v>
      </c>
      <c r="G200" s="8" t="str">
        <f t="shared" si="3"/>
        <v>LEVIN SCOTT</v>
      </c>
    </row>
    <row r="201" spans="1:7" x14ac:dyDescent="0.25">
      <c r="A201" s="8">
        <v>42758.807523148149</v>
      </c>
      <c r="B201" s="21" t="s">
        <v>250</v>
      </c>
      <c r="C201" s="21" t="s">
        <v>640</v>
      </c>
      <c r="D201" s="157">
        <v>1740000</v>
      </c>
      <c r="E201" s="21" t="s">
        <v>272</v>
      </c>
      <c r="F201" s="21" t="s">
        <v>273</v>
      </c>
      <c r="G201" s="8" t="str">
        <f t="shared" si="3"/>
        <v>STORY SAMANTHA</v>
      </c>
    </row>
    <row r="202" spans="1:7" x14ac:dyDescent="0.25">
      <c r="A202" s="27">
        <v>42758.81009259259</v>
      </c>
      <c r="B202" s="21" t="s">
        <v>195</v>
      </c>
      <c r="C202" s="21" t="s">
        <v>641</v>
      </c>
      <c r="D202" s="157">
        <v>2230000</v>
      </c>
      <c r="E202" s="21" t="s">
        <v>325</v>
      </c>
      <c r="F202" s="21" t="s">
        <v>214</v>
      </c>
      <c r="G202" s="8" t="str">
        <f t="shared" si="3"/>
        <v>SMITH MICHAEL</v>
      </c>
    </row>
    <row r="203" spans="1:7" x14ac:dyDescent="0.25">
      <c r="A203" s="8">
        <v>42758.817604166667</v>
      </c>
      <c r="B203" s="21" t="s">
        <v>441</v>
      </c>
      <c r="C203" s="21" t="s">
        <v>642</v>
      </c>
      <c r="D203" s="157">
        <v>1300000</v>
      </c>
      <c r="E203" s="21" t="s">
        <v>376</v>
      </c>
      <c r="F203" s="21" t="s">
        <v>377</v>
      </c>
      <c r="G203" s="8" t="str">
        <f t="shared" si="3"/>
        <v>LEVIN SCOTT</v>
      </c>
    </row>
    <row r="204" spans="1:7" x14ac:dyDescent="0.25">
      <c r="A204" s="8">
        <v>42758.821527777778</v>
      </c>
      <c r="B204" s="21" t="s">
        <v>153</v>
      </c>
      <c r="C204" s="21" t="s">
        <v>643</v>
      </c>
      <c r="D204" s="157">
        <v>2030000</v>
      </c>
      <c r="E204" s="21" t="s">
        <v>324</v>
      </c>
      <c r="F204" s="21" t="s">
        <v>254</v>
      </c>
      <c r="G204" s="8" t="str">
        <f t="shared" si="3"/>
        <v>KILLION DAVID</v>
      </c>
    </row>
    <row r="205" spans="1:7" x14ac:dyDescent="0.25">
      <c r="A205" s="8">
        <v>42758.826527777775</v>
      </c>
      <c r="B205" s="21" t="s">
        <v>263</v>
      </c>
      <c r="C205" s="21" t="s">
        <v>644</v>
      </c>
      <c r="D205" s="157">
        <v>1800000</v>
      </c>
      <c r="E205" s="21" t="s">
        <v>380</v>
      </c>
      <c r="F205" s="21" t="s">
        <v>381</v>
      </c>
      <c r="G205" s="8" t="str">
        <f t="shared" si="3"/>
        <v>CHANDLER KELVIN</v>
      </c>
    </row>
    <row r="206" spans="1:7" x14ac:dyDescent="0.25">
      <c r="A206" s="8">
        <v>42758.831562500003</v>
      </c>
      <c r="B206" s="21" t="s">
        <v>266</v>
      </c>
      <c r="C206" s="21" t="s">
        <v>451</v>
      </c>
      <c r="D206" s="157">
        <v>2000000</v>
      </c>
      <c r="E206" s="21" t="s">
        <v>326</v>
      </c>
      <c r="F206" s="21" t="s">
        <v>209</v>
      </c>
      <c r="G206" s="8" t="str">
        <f t="shared" si="3"/>
        <v>STAMBAUGH JAMES</v>
      </c>
    </row>
    <row r="207" spans="1:7" x14ac:dyDescent="0.25">
      <c r="A207" s="8">
        <v>42758.845590277779</v>
      </c>
      <c r="B207" s="21" t="s">
        <v>320</v>
      </c>
      <c r="C207" s="21" t="s">
        <v>645</v>
      </c>
      <c r="D207" s="157">
        <v>1300000</v>
      </c>
      <c r="E207" s="21" t="s">
        <v>376</v>
      </c>
      <c r="F207" s="21" t="s">
        <v>377</v>
      </c>
      <c r="G207" s="8" t="str">
        <f t="shared" si="3"/>
        <v>LEVIN SCOTT</v>
      </c>
    </row>
    <row r="208" spans="1:7" x14ac:dyDescent="0.25">
      <c r="A208" s="8">
        <v>42758.847141203703</v>
      </c>
      <c r="B208" s="21" t="s">
        <v>199</v>
      </c>
      <c r="C208" s="21" t="s">
        <v>646</v>
      </c>
      <c r="D208" s="157">
        <v>2230000</v>
      </c>
      <c r="E208" s="21" t="s">
        <v>325</v>
      </c>
      <c r="F208" s="21" t="s">
        <v>214</v>
      </c>
      <c r="G208" s="8" t="str">
        <f t="shared" si="3"/>
        <v>SMITH MICHAEL</v>
      </c>
    </row>
    <row r="209" spans="1:7" x14ac:dyDescent="0.25">
      <c r="A209" s="8">
        <v>42758.852511574078</v>
      </c>
      <c r="B209" s="21" t="s">
        <v>201</v>
      </c>
      <c r="C209" s="21" t="s">
        <v>647</v>
      </c>
      <c r="D209" s="157">
        <v>1740000</v>
      </c>
      <c r="E209" s="21" t="s">
        <v>272</v>
      </c>
      <c r="F209" s="21" t="s">
        <v>273</v>
      </c>
      <c r="G209" s="8" t="str">
        <f t="shared" si="3"/>
        <v>STORY SAMANTHA</v>
      </c>
    </row>
    <row r="210" spans="1:7" x14ac:dyDescent="0.25">
      <c r="A210" s="8">
        <v>42758.859178240738</v>
      </c>
      <c r="B210" s="21" t="s">
        <v>441</v>
      </c>
      <c r="C210" s="21" t="s">
        <v>648</v>
      </c>
      <c r="D210" s="157">
        <v>1300000</v>
      </c>
      <c r="E210" s="21" t="s">
        <v>376</v>
      </c>
      <c r="F210" s="21" t="s">
        <v>377</v>
      </c>
      <c r="G210" s="8" t="str">
        <f t="shared" si="3"/>
        <v>LEVIN SCOTT</v>
      </c>
    </row>
    <row r="211" spans="1:7" x14ac:dyDescent="0.25">
      <c r="A211" s="8">
        <v>42758.86210648148</v>
      </c>
      <c r="B211" s="21" t="s">
        <v>224</v>
      </c>
      <c r="C211" s="21" t="s">
        <v>649</v>
      </c>
      <c r="D211" s="157">
        <v>2000000</v>
      </c>
      <c r="E211" s="21" t="s">
        <v>326</v>
      </c>
      <c r="F211" s="21" t="s">
        <v>209</v>
      </c>
      <c r="G211" s="8" t="str">
        <f t="shared" si="3"/>
        <v>STAMBAUGH JAMES</v>
      </c>
    </row>
    <row r="212" spans="1:7" x14ac:dyDescent="0.25">
      <c r="A212" s="8">
        <v>42758.874027777776</v>
      </c>
      <c r="B212" s="21" t="s">
        <v>265</v>
      </c>
      <c r="C212" s="21" t="s">
        <v>650</v>
      </c>
      <c r="D212" s="157">
        <v>1800000</v>
      </c>
      <c r="E212" s="21" t="s">
        <v>380</v>
      </c>
      <c r="F212" s="21" t="s">
        <v>381</v>
      </c>
      <c r="G212" s="8" t="str">
        <f t="shared" si="3"/>
        <v>CHANDLER KELVIN</v>
      </c>
    </row>
    <row r="213" spans="1:7" x14ac:dyDescent="0.25">
      <c r="A213" s="8">
        <v>42758.875694444447</v>
      </c>
      <c r="B213" s="21" t="s">
        <v>320</v>
      </c>
      <c r="C213" s="21" t="s">
        <v>651</v>
      </c>
      <c r="D213" s="157">
        <v>1810000</v>
      </c>
      <c r="E213" s="21" t="s">
        <v>219</v>
      </c>
      <c r="F213" s="21" t="s">
        <v>209</v>
      </c>
      <c r="G213" s="8" t="str">
        <f t="shared" si="3"/>
        <v>NEWELL JAMES</v>
      </c>
    </row>
    <row r="214" spans="1:7" x14ac:dyDescent="0.25">
      <c r="A214" s="8">
        <v>42758.88616898148</v>
      </c>
      <c r="B214" s="21" t="s">
        <v>250</v>
      </c>
      <c r="C214" s="21" t="s">
        <v>652</v>
      </c>
      <c r="D214" s="157">
        <v>1740000</v>
      </c>
      <c r="E214" s="21" t="s">
        <v>272</v>
      </c>
      <c r="F214" s="21" t="s">
        <v>273</v>
      </c>
      <c r="G214" s="8" t="str">
        <f t="shared" si="3"/>
        <v>STORY SAMANTHA</v>
      </c>
    </row>
    <row r="215" spans="1:7" x14ac:dyDescent="0.25">
      <c r="A215" s="8">
        <v>42758.889872685184</v>
      </c>
      <c r="B215" s="21" t="s">
        <v>195</v>
      </c>
      <c r="C215" s="21" t="s">
        <v>653</v>
      </c>
      <c r="D215" s="157">
        <v>2230000</v>
      </c>
      <c r="E215" s="21" t="s">
        <v>325</v>
      </c>
      <c r="F215" s="21" t="s">
        <v>214</v>
      </c>
      <c r="G215" s="8" t="str">
        <f t="shared" si="3"/>
        <v>SMITH MICHAEL</v>
      </c>
    </row>
    <row r="216" spans="1:7" x14ac:dyDescent="0.25">
      <c r="A216" s="8">
        <v>42758.900995370372</v>
      </c>
      <c r="B216" s="21" t="s">
        <v>441</v>
      </c>
      <c r="C216" s="21" t="s">
        <v>654</v>
      </c>
      <c r="D216" s="157">
        <v>1810000</v>
      </c>
      <c r="E216" s="21" t="s">
        <v>219</v>
      </c>
      <c r="F216" s="21" t="s">
        <v>209</v>
      </c>
      <c r="G216" s="8" t="str">
        <f t="shared" si="3"/>
        <v>NEWELL JAMES</v>
      </c>
    </row>
    <row r="217" spans="1:7" x14ac:dyDescent="0.25">
      <c r="A217" s="8">
        <v>42758.904999999999</v>
      </c>
      <c r="B217" s="21" t="s">
        <v>266</v>
      </c>
      <c r="C217" s="21" t="s">
        <v>655</v>
      </c>
      <c r="D217" s="157">
        <v>2000000</v>
      </c>
      <c r="E217" s="21" t="s">
        <v>326</v>
      </c>
      <c r="F217" s="21" t="s">
        <v>209</v>
      </c>
      <c r="G217" s="8" t="str">
        <f t="shared" si="3"/>
        <v>STAMBAUGH JAMES</v>
      </c>
    </row>
    <row r="218" spans="1:7" x14ac:dyDescent="0.25">
      <c r="A218" s="8">
        <v>42758.912326388891</v>
      </c>
      <c r="B218" s="21" t="s">
        <v>263</v>
      </c>
      <c r="C218" s="21" t="s">
        <v>656</v>
      </c>
      <c r="D218" s="157">
        <v>1800000</v>
      </c>
      <c r="E218" s="21" t="s">
        <v>380</v>
      </c>
      <c r="F218" s="21" t="s">
        <v>381</v>
      </c>
      <c r="G218" s="8" t="str">
        <f t="shared" si="3"/>
        <v>CHANDLER KELVIN</v>
      </c>
    </row>
    <row r="219" spans="1:7" x14ac:dyDescent="0.25">
      <c r="A219" s="8">
        <v>42758.927511574075</v>
      </c>
      <c r="B219" s="21" t="s">
        <v>320</v>
      </c>
      <c r="C219" s="21" t="s">
        <v>657</v>
      </c>
      <c r="D219" s="157">
        <v>1810000</v>
      </c>
      <c r="E219" s="21" t="s">
        <v>219</v>
      </c>
      <c r="F219" s="21" t="s">
        <v>209</v>
      </c>
      <c r="G219" s="8" t="str">
        <f t="shared" si="3"/>
        <v>NEWELL JAMES</v>
      </c>
    </row>
    <row r="220" spans="1:7" x14ac:dyDescent="0.25">
      <c r="A220" s="8">
        <v>42758.931597222225</v>
      </c>
      <c r="B220" s="21" t="s">
        <v>199</v>
      </c>
      <c r="C220" s="21" t="s">
        <v>658</v>
      </c>
      <c r="D220" s="157">
        <v>2230000</v>
      </c>
      <c r="E220" s="21" t="s">
        <v>325</v>
      </c>
      <c r="F220" s="21" t="s">
        <v>214</v>
      </c>
      <c r="G220" s="8" t="str">
        <f t="shared" si="3"/>
        <v>SMITH MICHAEL</v>
      </c>
    </row>
    <row r="221" spans="1:7" x14ac:dyDescent="0.25">
      <c r="A221" s="8">
        <v>42758.932673611111</v>
      </c>
      <c r="B221" s="21" t="s">
        <v>253</v>
      </c>
      <c r="C221" s="21" t="s">
        <v>659</v>
      </c>
      <c r="D221" s="157">
        <v>1740000</v>
      </c>
      <c r="E221" s="21" t="s">
        <v>272</v>
      </c>
      <c r="F221" s="21" t="s">
        <v>273</v>
      </c>
      <c r="G221" s="8" t="str">
        <f t="shared" si="3"/>
        <v>STORY SAMANTHA</v>
      </c>
    </row>
    <row r="222" spans="1:7" x14ac:dyDescent="0.25">
      <c r="A222" s="8">
        <v>42758.94258101852</v>
      </c>
      <c r="B222" s="21" t="s">
        <v>441</v>
      </c>
      <c r="C222" s="21" t="s">
        <v>660</v>
      </c>
      <c r="D222" s="157">
        <v>1810000</v>
      </c>
      <c r="E222" s="21" t="s">
        <v>219</v>
      </c>
      <c r="F222" s="21" t="s">
        <v>209</v>
      </c>
      <c r="G222" s="8" t="str">
        <f t="shared" si="3"/>
        <v>NEWELL JAMES</v>
      </c>
    </row>
    <row r="223" spans="1:7" x14ac:dyDescent="0.25">
      <c r="A223" s="8">
        <v>42758.954745370371</v>
      </c>
      <c r="B223" s="21" t="s">
        <v>224</v>
      </c>
      <c r="C223" s="21" t="s">
        <v>661</v>
      </c>
      <c r="D223" s="157">
        <v>2000000</v>
      </c>
      <c r="E223" s="21" t="s">
        <v>326</v>
      </c>
      <c r="F223" s="21" t="s">
        <v>209</v>
      </c>
      <c r="G223" s="8" t="str">
        <f t="shared" si="3"/>
        <v>STAMBAUGH JAMES</v>
      </c>
    </row>
    <row r="224" spans="1:7" x14ac:dyDescent="0.25">
      <c r="A224" s="8">
        <v>42758.95752314815</v>
      </c>
      <c r="B224" t="s">
        <v>265</v>
      </c>
      <c r="C224" t="s">
        <v>662</v>
      </c>
      <c r="D224" s="157">
        <v>1800000</v>
      </c>
      <c r="E224" t="s">
        <v>380</v>
      </c>
      <c r="F224" s="21" t="s">
        <v>381</v>
      </c>
      <c r="G224" s="8" t="str">
        <f t="shared" si="3"/>
        <v>CHANDLER KELVIN</v>
      </c>
    </row>
    <row r="225" spans="1:7" x14ac:dyDescent="0.25">
      <c r="A225" s="8">
        <v>42758.968229166669</v>
      </c>
      <c r="B225" t="s">
        <v>195</v>
      </c>
      <c r="C225" t="s">
        <v>663</v>
      </c>
      <c r="D225" s="157">
        <v>2230000</v>
      </c>
      <c r="E225" t="s">
        <v>325</v>
      </c>
      <c r="F225" s="21" t="s">
        <v>214</v>
      </c>
      <c r="G225" s="8" t="str">
        <f t="shared" si="3"/>
        <v>SMITH MICHAEL</v>
      </c>
    </row>
    <row r="226" spans="1:7" x14ac:dyDescent="0.25">
      <c r="A226" s="8">
        <v>42758.973900462966</v>
      </c>
      <c r="B226" t="s">
        <v>252</v>
      </c>
      <c r="C226" t="s">
        <v>452</v>
      </c>
      <c r="D226" s="157">
        <v>1740000</v>
      </c>
      <c r="E226" t="s">
        <v>272</v>
      </c>
      <c r="F226" s="21" t="s">
        <v>273</v>
      </c>
      <c r="G226" s="8" t="str">
        <f t="shared" si="3"/>
        <v>STORY SAMANTHA</v>
      </c>
    </row>
    <row r="227" spans="1:7" x14ac:dyDescent="0.25">
      <c r="A227" s="8">
        <v>42758.986504629633</v>
      </c>
      <c r="B227" t="s">
        <v>266</v>
      </c>
      <c r="C227" t="s">
        <v>664</v>
      </c>
      <c r="D227" s="157">
        <v>2000000</v>
      </c>
      <c r="E227" t="s">
        <v>326</v>
      </c>
      <c r="F227" s="21" t="s">
        <v>209</v>
      </c>
      <c r="G227" s="8" t="str">
        <f t="shared" si="3"/>
        <v>STAMBAUGH JAMES</v>
      </c>
    </row>
    <row r="228" spans="1:7" x14ac:dyDescent="0.25">
      <c r="A228" s="8">
        <v>42758.99622685185</v>
      </c>
      <c r="B228" t="s">
        <v>263</v>
      </c>
      <c r="C228" t="s">
        <v>665</v>
      </c>
      <c r="D228" s="157">
        <v>1800000</v>
      </c>
      <c r="E228" t="s">
        <v>380</v>
      </c>
      <c r="F228" s="21" t="s">
        <v>381</v>
      </c>
      <c r="G228" s="8" t="str">
        <f t="shared" si="3"/>
        <v>CHANDLER KELVIN</v>
      </c>
    </row>
    <row r="229" spans="1:7" x14ac:dyDescent="0.25">
      <c r="A229" s="8">
        <v>42759.01363425926</v>
      </c>
      <c r="B229" t="s">
        <v>199</v>
      </c>
      <c r="C229" t="s">
        <v>454</v>
      </c>
      <c r="D229" s="157">
        <v>2230000</v>
      </c>
      <c r="E229" t="s">
        <v>325</v>
      </c>
      <c r="F229" s="21" t="s">
        <v>214</v>
      </c>
      <c r="G229" s="8" t="str">
        <f t="shared" si="3"/>
        <v>SMITH MICHAEL</v>
      </c>
    </row>
    <row r="230" spans="1:7" x14ac:dyDescent="0.25">
      <c r="A230" s="8">
        <v>42759.015833333331</v>
      </c>
      <c r="B230" t="s">
        <v>201</v>
      </c>
      <c r="C230" t="s">
        <v>666</v>
      </c>
      <c r="D230" s="157">
        <v>1740000</v>
      </c>
      <c r="E230" t="s">
        <v>272</v>
      </c>
      <c r="F230" s="21" t="s">
        <v>273</v>
      </c>
      <c r="G230" s="8" t="str">
        <f t="shared" si="3"/>
        <v>STORY SAMANTHA</v>
      </c>
    </row>
    <row r="231" spans="1:7" x14ac:dyDescent="0.25">
      <c r="A231" s="8">
        <v>42759.029189814813</v>
      </c>
      <c r="B231" t="s">
        <v>265</v>
      </c>
      <c r="C231" t="s">
        <v>667</v>
      </c>
      <c r="D231" s="157">
        <v>1800000</v>
      </c>
      <c r="E231" t="s">
        <v>380</v>
      </c>
      <c r="F231" s="21" t="s">
        <v>381</v>
      </c>
      <c r="G231" s="8" t="str">
        <f t="shared" si="3"/>
        <v>CHANDLER KELVIN</v>
      </c>
    </row>
    <row r="232" spans="1:7" x14ac:dyDescent="0.25">
      <c r="A232" s="8">
        <v>42759.038356481484</v>
      </c>
      <c r="B232" t="s">
        <v>224</v>
      </c>
      <c r="C232" t="s">
        <v>453</v>
      </c>
      <c r="D232" s="157">
        <v>2000000</v>
      </c>
      <c r="E232" t="s">
        <v>326</v>
      </c>
      <c r="F232" s="21" t="s">
        <v>209</v>
      </c>
      <c r="G232" s="8" t="str">
        <f t="shared" si="3"/>
        <v>STAMBAUGH JAMES</v>
      </c>
    </row>
    <row r="233" spans="1:7" x14ac:dyDescent="0.25">
      <c r="A233" s="8">
        <v>42759.051319444443</v>
      </c>
      <c r="B233" t="s">
        <v>195</v>
      </c>
      <c r="C233" t="s">
        <v>668</v>
      </c>
      <c r="D233" s="157">
        <v>2230000</v>
      </c>
      <c r="E233" t="s">
        <v>325</v>
      </c>
      <c r="F233" s="21" t="s">
        <v>214</v>
      </c>
      <c r="G233" s="8" t="str">
        <f t="shared" si="3"/>
        <v>SMITH MICHAEL</v>
      </c>
    </row>
    <row r="234" spans="1:7" x14ac:dyDescent="0.25">
      <c r="A234" s="8">
        <v>42759.052187499998</v>
      </c>
      <c r="B234" t="s">
        <v>195</v>
      </c>
      <c r="C234" t="s">
        <v>668</v>
      </c>
      <c r="D234" s="157">
        <v>2230000</v>
      </c>
      <c r="E234" t="s">
        <v>325</v>
      </c>
      <c r="F234" s="21" t="s">
        <v>214</v>
      </c>
      <c r="G234" s="8" t="str">
        <f t="shared" si="3"/>
        <v>SMITH MICHAEL</v>
      </c>
    </row>
    <row r="235" spans="1:7" x14ac:dyDescent="0.25">
      <c r="A235" s="8">
        <v>42759.053449074076</v>
      </c>
      <c r="B235" t="s">
        <v>195</v>
      </c>
      <c r="C235" t="s">
        <v>668</v>
      </c>
      <c r="D235" s="157">
        <v>2230000</v>
      </c>
      <c r="E235" t="s">
        <v>325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42759.054803240739</v>
      </c>
      <c r="B236" t="s">
        <v>250</v>
      </c>
      <c r="C236" t="s">
        <v>669</v>
      </c>
      <c r="D236" s="157">
        <v>1740000</v>
      </c>
      <c r="E236" t="s">
        <v>272</v>
      </c>
      <c r="F236" s="21" t="s">
        <v>273</v>
      </c>
      <c r="G236" s="8" t="str">
        <f t="shared" si="3"/>
        <v>STORY SAMANTHA</v>
      </c>
    </row>
    <row r="237" spans="1:7" x14ac:dyDescent="0.25">
      <c r="A237" s="8">
        <v>42759.068043981482</v>
      </c>
      <c r="B237" t="s">
        <v>266</v>
      </c>
      <c r="C237" t="s">
        <v>670</v>
      </c>
      <c r="D237" s="157">
        <v>2000000</v>
      </c>
      <c r="E237" t="s">
        <v>326</v>
      </c>
      <c r="F237" s="21" t="s">
        <v>209</v>
      </c>
      <c r="G237" s="8" t="str">
        <f t="shared" si="3"/>
        <v>STAMBAUGH JAMES</v>
      </c>
    </row>
    <row r="238" spans="1:7" x14ac:dyDescent="0.25">
      <c r="A238" s="8">
        <v>42759.089814814812</v>
      </c>
      <c r="B238" t="s">
        <v>201</v>
      </c>
      <c r="C238" t="s">
        <v>671</v>
      </c>
      <c r="D238" s="157">
        <v>1740000</v>
      </c>
      <c r="E238" t="s">
        <v>272</v>
      </c>
      <c r="F238" s="21" t="s">
        <v>273</v>
      </c>
      <c r="G238" s="8" t="str">
        <f t="shared" si="3"/>
        <v>STORY SAMANTHA</v>
      </c>
    </row>
    <row r="239" spans="1:7" x14ac:dyDescent="0.25">
      <c r="A239" s="8">
        <v>42755.90221064815</v>
      </c>
      <c r="B239" t="s">
        <v>263</v>
      </c>
      <c r="C239" t="s">
        <v>327</v>
      </c>
      <c r="D239" s="157">
        <v>2230000</v>
      </c>
      <c r="E239" t="s">
        <v>325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279</v>
      </c>
      <c r="C240" t="s">
        <v>313</v>
      </c>
      <c r="D240" s="157">
        <v>2270000</v>
      </c>
      <c r="E240" t="s">
        <v>281</v>
      </c>
      <c r="F240" s="21" t="s">
        <v>282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266</v>
      </c>
      <c r="C241" t="s">
        <v>328</v>
      </c>
      <c r="D241" s="157">
        <v>2220000</v>
      </c>
      <c r="E241" t="s">
        <v>246</v>
      </c>
      <c r="F241" s="21" t="s">
        <v>247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265</v>
      </c>
      <c r="C242" t="s">
        <v>329</v>
      </c>
      <c r="D242" s="157">
        <v>2230000</v>
      </c>
      <c r="E242" t="s">
        <v>325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237</v>
      </c>
      <c r="C243" t="s">
        <v>330</v>
      </c>
      <c r="D243" s="157">
        <v>1740000</v>
      </c>
      <c r="E243" t="s">
        <v>272</v>
      </c>
      <c r="F243" s="21" t="s">
        <v>273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263</v>
      </c>
      <c r="C244" t="s">
        <v>331</v>
      </c>
      <c r="D244" s="157">
        <v>2230000</v>
      </c>
      <c r="E244" t="s">
        <v>325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314</v>
      </c>
      <c r="D245" s="157">
        <v>2270000</v>
      </c>
      <c r="E245" t="s">
        <v>281</v>
      </c>
      <c r="F245" s="21" t="s">
        <v>282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332</v>
      </c>
      <c r="D246" s="157">
        <v>2000000</v>
      </c>
      <c r="E246" t="s">
        <v>326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333</v>
      </c>
      <c r="D247" s="157">
        <v>2220000</v>
      </c>
      <c r="E247" t="s">
        <v>246</v>
      </c>
      <c r="F247" s="21" t="s">
        <v>247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286</v>
      </c>
      <c r="C248" t="s">
        <v>334</v>
      </c>
      <c r="D248" s="157">
        <v>1740000</v>
      </c>
      <c r="E248" t="s">
        <v>272</v>
      </c>
      <c r="F248" s="21" t="s">
        <v>273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335</v>
      </c>
      <c r="D249" s="157">
        <v>2000000</v>
      </c>
      <c r="E249" t="s">
        <v>326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279</v>
      </c>
      <c r="C250" t="s">
        <v>336</v>
      </c>
      <c r="D250" s="157">
        <v>2270000</v>
      </c>
      <c r="E250" t="s">
        <v>281</v>
      </c>
      <c r="F250" s="21" t="s">
        <v>282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266</v>
      </c>
      <c r="C251" t="s">
        <v>337</v>
      </c>
      <c r="D251" s="157">
        <v>2220000</v>
      </c>
      <c r="E251" t="s">
        <v>246</v>
      </c>
      <c r="F251" s="21" t="s">
        <v>247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237</v>
      </c>
      <c r="C252" t="s">
        <v>338</v>
      </c>
      <c r="D252" s="157">
        <v>1740000</v>
      </c>
      <c r="E252" t="s">
        <v>272</v>
      </c>
      <c r="F252" s="21" t="s">
        <v>273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339</v>
      </c>
      <c r="D253" s="157">
        <v>2000000</v>
      </c>
      <c r="E253" t="s">
        <v>326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340</v>
      </c>
      <c r="D254" s="157">
        <v>2270000</v>
      </c>
      <c r="E254" t="s">
        <v>281</v>
      </c>
      <c r="F254" s="21" t="s">
        <v>282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286</v>
      </c>
      <c r="C255" t="s">
        <v>341</v>
      </c>
      <c r="D255" s="157">
        <v>1740000</v>
      </c>
      <c r="E255" t="s">
        <v>272</v>
      </c>
      <c r="F255" s="21" t="s">
        <v>273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342</v>
      </c>
      <c r="D256" s="157">
        <v>2220000</v>
      </c>
      <c r="E256" t="s">
        <v>246</v>
      </c>
      <c r="F256" s="21" t="s">
        <v>247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343</v>
      </c>
      <c r="D257" s="157">
        <v>2000000</v>
      </c>
      <c r="E257" t="s">
        <v>326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266</v>
      </c>
      <c r="C258" t="s">
        <v>344</v>
      </c>
      <c r="D258" s="157">
        <v>2220000</v>
      </c>
      <c r="E258" t="s">
        <v>246</v>
      </c>
      <c r="F258" s="21" t="s">
        <v>247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318</v>
      </c>
      <c r="C259" t="s">
        <v>345</v>
      </c>
      <c r="D259" s="157">
        <v>1360000</v>
      </c>
      <c r="E259" t="s">
        <v>346</v>
      </c>
      <c r="F259" s="21" t="s">
        <v>347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286</v>
      </c>
      <c r="C260" t="s">
        <v>294</v>
      </c>
      <c r="D260" s="157">
        <v>2450000</v>
      </c>
      <c r="E260" t="s">
        <v>290</v>
      </c>
      <c r="F260" s="21" t="s">
        <v>291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252</v>
      </c>
      <c r="C261" t="s">
        <v>301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295</v>
      </c>
      <c r="C262" t="s">
        <v>299</v>
      </c>
      <c r="D262" s="157">
        <v>2670000</v>
      </c>
      <c r="E262" t="s">
        <v>297</v>
      </c>
      <c r="F262" s="21" t="s">
        <v>298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248</v>
      </c>
      <c r="C263" t="s">
        <v>293</v>
      </c>
      <c r="D263" s="157">
        <v>2540000</v>
      </c>
      <c r="E263" t="s">
        <v>255</v>
      </c>
      <c r="F263" s="21" t="s">
        <v>256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237</v>
      </c>
      <c r="C264" t="s">
        <v>289</v>
      </c>
      <c r="D264" s="157">
        <v>2450000</v>
      </c>
      <c r="E264" t="s">
        <v>290</v>
      </c>
      <c r="F264" s="21" t="s">
        <v>291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280</v>
      </c>
      <c r="C265" t="s">
        <v>302</v>
      </c>
      <c r="D265" s="157">
        <v>2270000</v>
      </c>
      <c r="E265" t="s">
        <v>281</v>
      </c>
      <c r="F265" s="21" t="s">
        <v>282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249</v>
      </c>
      <c r="C266" t="s">
        <v>292</v>
      </c>
      <c r="D266" s="157">
        <v>2540000</v>
      </c>
      <c r="E266" t="s">
        <v>255</v>
      </c>
      <c r="F266" s="21" t="s">
        <v>256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286</v>
      </c>
      <c r="C267" t="s">
        <v>294</v>
      </c>
      <c r="D267" s="157">
        <v>2450000</v>
      </c>
      <c r="E267" t="s">
        <v>290</v>
      </c>
      <c r="F267" s="21" t="s">
        <v>291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280</v>
      </c>
      <c r="C268" t="s">
        <v>302</v>
      </c>
      <c r="D268" s="157">
        <v>2270000</v>
      </c>
      <c r="E268" t="s">
        <v>281</v>
      </c>
      <c r="F268" s="21" t="s">
        <v>282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248</v>
      </c>
      <c r="C269" t="s">
        <v>293</v>
      </c>
      <c r="D269" s="157">
        <v>2540000</v>
      </c>
      <c r="E269" t="s">
        <v>255</v>
      </c>
      <c r="F269" s="21" t="s">
        <v>256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253</v>
      </c>
      <c r="C270" t="s">
        <v>303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300</v>
      </c>
      <c r="C271" t="s">
        <v>296</v>
      </c>
      <c r="D271" s="157">
        <v>2670000</v>
      </c>
      <c r="E271" t="s">
        <v>297</v>
      </c>
      <c r="F271" s="21" t="s">
        <v>298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237</v>
      </c>
      <c r="C272" t="s">
        <v>289</v>
      </c>
      <c r="D272" s="157">
        <v>2450000</v>
      </c>
      <c r="E272" t="s">
        <v>290</v>
      </c>
      <c r="F272" s="21" t="s">
        <v>291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249</v>
      </c>
      <c r="C273" t="s">
        <v>292</v>
      </c>
      <c r="D273" s="157">
        <v>2540000</v>
      </c>
      <c r="E273" t="s">
        <v>255</v>
      </c>
      <c r="F273" s="21" t="s">
        <v>256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170</v>
      </c>
      <c r="I1" s="172" t="s">
        <v>171</v>
      </c>
      <c r="J1" s="172" t="s">
        <v>672</v>
      </c>
      <c r="K1" s="172" t="s">
        <v>165</v>
      </c>
      <c r="L1" s="172" t="s">
        <v>163</v>
      </c>
      <c r="M1" s="172" t="s">
        <v>158</v>
      </c>
      <c r="N1" s="172" t="s">
        <v>168</v>
      </c>
      <c r="O1" s="172" t="s">
        <v>162</v>
      </c>
      <c r="P1" s="172" t="s">
        <v>169</v>
      </c>
      <c r="Q1" s="172" t="s">
        <v>166</v>
      </c>
      <c r="R1"/>
    </row>
    <row r="2" spans="1:18" x14ac:dyDescent="0.25">
      <c r="A2" s="162">
        <v>32.58</v>
      </c>
      <c r="B2" s="162">
        <v>0.7</v>
      </c>
      <c r="C2" s="162">
        <v>15.34</v>
      </c>
      <c r="D2" s="8">
        <v>42758</v>
      </c>
      <c r="E2" s="162">
        <v>0.49</v>
      </c>
      <c r="F2" s="162" t="s">
        <v>348</v>
      </c>
      <c r="G2" s="162">
        <v>275.16000000000003</v>
      </c>
      <c r="H2" s="162">
        <v>0</v>
      </c>
      <c r="I2" s="162">
        <v>0</v>
      </c>
      <c r="J2" s="162"/>
      <c r="K2" s="162">
        <v>1011.3</v>
      </c>
      <c r="L2" s="162" t="s">
        <v>349</v>
      </c>
      <c r="M2" s="162">
        <v>32.58</v>
      </c>
      <c r="N2" s="162">
        <v>1485154800</v>
      </c>
      <c r="O2" s="162">
        <v>4.21</v>
      </c>
      <c r="P2" s="162">
        <v>258</v>
      </c>
      <c r="Q2" s="162">
        <v>0.75</v>
      </c>
      <c r="R2"/>
    </row>
    <row r="3" spans="1:18" x14ac:dyDescent="0.25">
      <c r="A3" s="162">
        <v>33.29</v>
      </c>
      <c r="B3" s="162">
        <v>0.7</v>
      </c>
      <c r="C3" s="162">
        <v>17.82</v>
      </c>
      <c r="D3" s="8">
        <v>42758.041666666664</v>
      </c>
      <c r="E3" s="162">
        <v>0.53</v>
      </c>
      <c r="F3" s="162" t="s">
        <v>348</v>
      </c>
      <c r="G3" s="162">
        <v>276.58</v>
      </c>
      <c r="H3" s="162">
        <v>0</v>
      </c>
      <c r="I3" s="162">
        <v>0</v>
      </c>
      <c r="J3" s="162"/>
      <c r="K3" s="162">
        <v>1010.42</v>
      </c>
      <c r="L3" s="162" t="s">
        <v>349</v>
      </c>
      <c r="M3" s="162">
        <v>33.29</v>
      </c>
      <c r="N3" s="162">
        <v>1485158400</v>
      </c>
      <c r="O3" s="162">
        <v>4.3099999999999996</v>
      </c>
      <c r="P3" s="162">
        <v>290</v>
      </c>
      <c r="Q3" s="162">
        <v>0.65</v>
      </c>
      <c r="R3"/>
    </row>
    <row r="4" spans="1:18" x14ac:dyDescent="0.25">
      <c r="A4" s="162">
        <v>31.67</v>
      </c>
      <c r="B4" s="162">
        <v>0.7</v>
      </c>
      <c r="C4" s="162">
        <v>16.68</v>
      </c>
      <c r="D4" s="8">
        <v>42758.083333333336</v>
      </c>
      <c r="E4" s="162">
        <v>0.53</v>
      </c>
      <c r="F4" s="162" t="s">
        <v>348</v>
      </c>
      <c r="G4" s="162">
        <v>277.99</v>
      </c>
      <c r="H4" s="162">
        <v>0</v>
      </c>
      <c r="I4" s="162">
        <v>0</v>
      </c>
      <c r="J4" s="162"/>
      <c r="K4" s="162">
        <v>1009.5</v>
      </c>
      <c r="L4" s="162" t="s">
        <v>349</v>
      </c>
      <c r="M4" s="162">
        <v>31.67</v>
      </c>
      <c r="N4" s="162">
        <v>1485162000</v>
      </c>
      <c r="O4" s="162">
        <v>3.56</v>
      </c>
      <c r="P4" s="162">
        <v>302</v>
      </c>
      <c r="Q4" s="162">
        <v>1.8</v>
      </c>
      <c r="R4"/>
    </row>
    <row r="5" spans="1:18" x14ac:dyDescent="0.25">
      <c r="A5" s="162">
        <v>31.71</v>
      </c>
      <c r="B5" s="162">
        <v>0.62</v>
      </c>
      <c r="C5" s="162">
        <v>16.690000000000001</v>
      </c>
      <c r="D5" s="8">
        <v>42758.125</v>
      </c>
      <c r="E5" s="162">
        <v>0.53</v>
      </c>
      <c r="F5" s="162" t="s">
        <v>348</v>
      </c>
      <c r="G5" s="162">
        <v>279.61</v>
      </c>
      <c r="H5" s="162">
        <v>0</v>
      </c>
      <c r="I5" s="162">
        <v>0</v>
      </c>
      <c r="J5" s="162"/>
      <c r="K5" s="162">
        <v>1009.13</v>
      </c>
      <c r="L5" s="162" t="s">
        <v>349</v>
      </c>
      <c r="M5" s="162">
        <v>31.71</v>
      </c>
      <c r="N5" s="162">
        <v>1485165600</v>
      </c>
      <c r="O5" s="162">
        <v>3.23</v>
      </c>
      <c r="P5" s="162">
        <v>280</v>
      </c>
      <c r="Q5" s="162">
        <v>1.33</v>
      </c>
      <c r="R5"/>
    </row>
    <row r="6" spans="1:18" x14ac:dyDescent="0.25">
      <c r="A6" s="162">
        <v>30</v>
      </c>
      <c r="B6" s="162">
        <v>0.48</v>
      </c>
      <c r="C6" s="162">
        <v>16.02</v>
      </c>
      <c r="D6" s="8">
        <v>42758.166666666664</v>
      </c>
      <c r="E6" s="162">
        <v>0.55000000000000004</v>
      </c>
      <c r="F6" s="162" t="s">
        <v>348</v>
      </c>
      <c r="G6" s="162">
        <v>281.25</v>
      </c>
      <c r="H6" s="162">
        <v>0</v>
      </c>
      <c r="I6" s="162">
        <v>0</v>
      </c>
      <c r="J6" s="162"/>
      <c r="K6" s="162">
        <v>1009.07</v>
      </c>
      <c r="L6" s="162" t="s">
        <v>351</v>
      </c>
      <c r="M6" s="162">
        <v>30</v>
      </c>
      <c r="N6" s="162">
        <v>1485169200</v>
      </c>
      <c r="O6" s="162">
        <v>3.31</v>
      </c>
      <c r="P6" s="162">
        <v>291</v>
      </c>
      <c r="Q6" s="162">
        <v>1.5</v>
      </c>
      <c r="R6"/>
    </row>
    <row r="7" spans="1:18" x14ac:dyDescent="0.25">
      <c r="A7" s="162">
        <v>28.48</v>
      </c>
      <c r="B7" s="162">
        <v>0.41</v>
      </c>
      <c r="C7" s="162">
        <v>16.809999999999999</v>
      </c>
      <c r="D7" s="8">
        <v>42758.208333333336</v>
      </c>
      <c r="E7" s="162">
        <v>0.61</v>
      </c>
      <c r="F7" s="162" t="s">
        <v>348</v>
      </c>
      <c r="G7" s="162">
        <v>282.47000000000003</v>
      </c>
      <c r="H7" s="162">
        <v>0</v>
      </c>
      <c r="I7" s="162">
        <v>0</v>
      </c>
      <c r="J7" s="162"/>
      <c r="K7" s="162">
        <v>1008.85</v>
      </c>
      <c r="L7" s="162" t="s">
        <v>351</v>
      </c>
      <c r="M7" s="162">
        <v>28.48</v>
      </c>
      <c r="N7" s="162">
        <v>1485172800</v>
      </c>
      <c r="O7" s="162">
        <v>5.64</v>
      </c>
      <c r="P7" s="162">
        <v>238</v>
      </c>
      <c r="Q7" s="162">
        <v>1.33</v>
      </c>
      <c r="R7"/>
    </row>
    <row r="8" spans="1:18" x14ac:dyDescent="0.25">
      <c r="A8" s="162">
        <v>28.28</v>
      </c>
      <c r="B8" s="162">
        <v>0.41</v>
      </c>
      <c r="C8" s="162">
        <v>19.420000000000002</v>
      </c>
      <c r="D8" s="8">
        <v>42758.25</v>
      </c>
      <c r="E8" s="162">
        <v>0.69</v>
      </c>
      <c r="F8" s="162" t="s">
        <v>348</v>
      </c>
      <c r="G8" s="162">
        <v>282.94</v>
      </c>
      <c r="H8" s="162">
        <v>0</v>
      </c>
      <c r="I8" s="162">
        <v>0</v>
      </c>
      <c r="J8" s="162"/>
      <c r="K8" s="162">
        <v>1008.47</v>
      </c>
      <c r="L8" s="162" t="s">
        <v>351</v>
      </c>
      <c r="M8" s="162">
        <v>28.28</v>
      </c>
      <c r="N8" s="162">
        <v>1485176400</v>
      </c>
      <c r="O8" s="162">
        <v>4.8600000000000003</v>
      </c>
      <c r="P8" s="162">
        <v>243</v>
      </c>
      <c r="Q8" s="162">
        <v>1.46</v>
      </c>
      <c r="R8"/>
    </row>
    <row r="9" spans="1:18" x14ac:dyDescent="0.25">
      <c r="A9" s="162">
        <v>27.63</v>
      </c>
      <c r="B9" s="162">
        <v>0.43</v>
      </c>
      <c r="C9" s="162">
        <v>17.239999999999998</v>
      </c>
      <c r="D9" s="8">
        <v>42758.291666666664</v>
      </c>
      <c r="E9" s="162">
        <v>0.64</v>
      </c>
      <c r="F9" s="162" t="s">
        <v>348</v>
      </c>
      <c r="G9" s="162">
        <v>283</v>
      </c>
      <c r="H9" s="162">
        <v>0</v>
      </c>
      <c r="I9" s="162">
        <v>0</v>
      </c>
      <c r="J9" s="162"/>
      <c r="K9" s="162">
        <v>1008.07</v>
      </c>
      <c r="L9" s="162" t="s">
        <v>351</v>
      </c>
      <c r="M9" s="162">
        <v>27.63</v>
      </c>
      <c r="N9" s="162">
        <v>1485180000</v>
      </c>
      <c r="O9" s="162">
        <v>3.69</v>
      </c>
      <c r="P9" s="162">
        <v>239</v>
      </c>
      <c r="Q9" s="162">
        <v>2.12</v>
      </c>
      <c r="R9"/>
    </row>
    <row r="10" spans="1:18" x14ac:dyDescent="0.25">
      <c r="A10" s="162">
        <v>27.53</v>
      </c>
      <c r="B10" s="162">
        <v>0.46</v>
      </c>
      <c r="C10" s="162">
        <v>17.41</v>
      </c>
      <c r="D10" s="8">
        <v>42758.333333333336</v>
      </c>
      <c r="E10" s="162">
        <v>0.65</v>
      </c>
      <c r="F10" s="162" t="s">
        <v>350</v>
      </c>
      <c r="G10" s="162">
        <v>283.13</v>
      </c>
      <c r="H10" s="162">
        <v>0</v>
      </c>
      <c r="I10" s="162">
        <v>0</v>
      </c>
      <c r="J10" s="162"/>
      <c r="K10" s="162">
        <v>1007.11</v>
      </c>
      <c r="L10" s="162" t="s">
        <v>351</v>
      </c>
      <c r="M10" s="162">
        <v>27.53</v>
      </c>
      <c r="N10" s="162">
        <v>1485183600</v>
      </c>
      <c r="O10" s="162">
        <v>3.32</v>
      </c>
      <c r="P10" s="162">
        <v>226</v>
      </c>
      <c r="Q10" s="162">
        <v>2.04</v>
      </c>
      <c r="R10"/>
    </row>
    <row r="11" spans="1:18" x14ac:dyDescent="0.25">
      <c r="A11" s="162">
        <v>32.18</v>
      </c>
      <c r="B11" s="162">
        <v>0.46</v>
      </c>
      <c r="C11" s="162">
        <v>21.27</v>
      </c>
      <c r="D11" s="8">
        <v>42758.375</v>
      </c>
      <c r="E11" s="162">
        <v>0.64</v>
      </c>
      <c r="F11" s="162" t="s">
        <v>350</v>
      </c>
      <c r="G11" s="162">
        <v>283.43</v>
      </c>
      <c r="H11" s="162">
        <v>0</v>
      </c>
      <c r="I11" s="162">
        <v>0</v>
      </c>
      <c r="J11" s="162"/>
      <c r="K11" s="162">
        <v>1005.1</v>
      </c>
      <c r="L11" s="162" t="s">
        <v>351</v>
      </c>
      <c r="M11" s="162">
        <v>32.18</v>
      </c>
      <c r="N11" s="162">
        <v>1485187200</v>
      </c>
      <c r="O11" s="162">
        <v>3.08</v>
      </c>
      <c r="P11" s="162">
        <v>230</v>
      </c>
      <c r="Q11" s="162">
        <v>2.14</v>
      </c>
      <c r="R11"/>
    </row>
    <row r="12" spans="1:18" x14ac:dyDescent="0.25">
      <c r="A12" s="162">
        <v>37.35</v>
      </c>
      <c r="B12" s="162">
        <v>0.5</v>
      </c>
      <c r="C12" s="162">
        <v>22.19</v>
      </c>
      <c r="D12" s="8">
        <v>42758.416666666664</v>
      </c>
      <c r="E12" s="162">
        <v>0.54</v>
      </c>
      <c r="F12" s="162" t="s">
        <v>350</v>
      </c>
      <c r="G12" s="162">
        <v>283.81</v>
      </c>
      <c r="H12" s="162">
        <v>0</v>
      </c>
      <c r="I12" s="162">
        <v>0</v>
      </c>
      <c r="J12" s="162"/>
      <c r="K12" s="162">
        <v>1002.74</v>
      </c>
      <c r="L12" s="162" t="s">
        <v>351</v>
      </c>
      <c r="M12" s="162">
        <v>37.35</v>
      </c>
      <c r="N12" s="162">
        <v>1485190800</v>
      </c>
      <c r="O12" s="162">
        <v>3.02</v>
      </c>
      <c r="P12" s="162">
        <v>208</v>
      </c>
      <c r="Q12" s="162">
        <v>2.48</v>
      </c>
      <c r="R12"/>
    </row>
    <row r="13" spans="1:18" x14ac:dyDescent="0.25">
      <c r="A13" s="162">
        <v>41.56</v>
      </c>
      <c r="B13" s="162">
        <v>0.51</v>
      </c>
      <c r="C13" s="162">
        <v>23.63</v>
      </c>
      <c r="D13" s="8">
        <v>42758.458333333336</v>
      </c>
      <c r="E13" s="162">
        <v>0.46</v>
      </c>
      <c r="F13" s="162" t="s">
        <v>350</v>
      </c>
      <c r="G13" s="162">
        <v>284.44</v>
      </c>
      <c r="H13" s="162">
        <v>0</v>
      </c>
      <c r="I13" s="162">
        <v>0</v>
      </c>
      <c r="J13" s="162"/>
      <c r="K13" s="162">
        <v>1001</v>
      </c>
      <c r="L13" s="162" t="s">
        <v>351</v>
      </c>
      <c r="M13" s="162">
        <v>42.92</v>
      </c>
      <c r="N13" s="162">
        <v>1485194400</v>
      </c>
      <c r="O13" s="162">
        <v>3.01</v>
      </c>
      <c r="P13" s="162">
        <v>218</v>
      </c>
      <c r="Q13" s="162">
        <v>3.1</v>
      </c>
      <c r="R13"/>
    </row>
    <row r="14" spans="1:18" x14ac:dyDescent="0.25">
      <c r="A14" s="162">
        <v>48.77</v>
      </c>
      <c r="B14" s="162">
        <v>0.55000000000000004</v>
      </c>
      <c r="C14" s="162">
        <v>23.14</v>
      </c>
      <c r="D14" s="8">
        <v>42758.5</v>
      </c>
      <c r="E14" s="162">
        <v>0.35</v>
      </c>
      <c r="F14" s="162" t="s">
        <v>350</v>
      </c>
      <c r="G14" s="162">
        <v>284.89</v>
      </c>
      <c r="H14" s="162">
        <v>1.1000000000000001E-3</v>
      </c>
      <c r="I14" s="162">
        <v>0.02</v>
      </c>
      <c r="J14" s="162" t="s">
        <v>673</v>
      </c>
      <c r="K14" s="162">
        <v>999.88</v>
      </c>
      <c r="L14" s="162" t="s">
        <v>351</v>
      </c>
      <c r="M14" s="162">
        <v>49.36</v>
      </c>
      <c r="N14" s="162">
        <v>1485198000</v>
      </c>
      <c r="O14" s="162">
        <v>3.01</v>
      </c>
      <c r="P14" s="162">
        <v>219</v>
      </c>
      <c r="Q14" s="162">
        <v>3.21</v>
      </c>
      <c r="R14"/>
    </row>
    <row r="15" spans="1:18" x14ac:dyDescent="0.25">
      <c r="A15" s="162">
        <v>51.26</v>
      </c>
      <c r="B15" s="162">
        <v>0.57999999999999996</v>
      </c>
      <c r="C15" s="162">
        <v>21.18</v>
      </c>
      <c r="D15" s="8">
        <v>42758.541666666664</v>
      </c>
      <c r="E15" s="162">
        <v>0.3</v>
      </c>
      <c r="F15" s="162" t="s">
        <v>350</v>
      </c>
      <c r="G15" s="162">
        <v>285.58999999999997</v>
      </c>
      <c r="H15" s="162">
        <v>2.0999999999999999E-3</v>
      </c>
      <c r="I15" s="162">
        <v>0.06</v>
      </c>
      <c r="J15" s="162" t="s">
        <v>673</v>
      </c>
      <c r="K15" s="162">
        <v>998.98</v>
      </c>
      <c r="L15" s="162" t="s">
        <v>351</v>
      </c>
      <c r="M15" s="162">
        <v>51.26</v>
      </c>
      <c r="N15" s="162">
        <v>1485201600</v>
      </c>
      <c r="O15" s="162">
        <v>3.01</v>
      </c>
      <c r="P15" s="162">
        <v>237</v>
      </c>
      <c r="Q15" s="162">
        <v>2.3199999999999998</v>
      </c>
      <c r="R15"/>
    </row>
    <row r="16" spans="1:18" x14ac:dyDescent="0.25">
      <c r="A16" s="162">
        <v>51.94</v>
      </c>
      <c r="B16" s="162">
        <v>0.64</v>
      </c>
      <c r="C16" s="162">
        <v>21.66</v>
      </c>
      <c r="D16" s="8">
        <v>42758.583333333336</v>
      </c>
      <c r="E16" s="162">
        <v>0.3</v>
      </c>
      <c r="F16" s="162" t="s">
        <v>350</v>
      </c>
      <c r="G16" s="162">
        <v>288.11</v>
      </c>
      <c r="H16" s="162">
        <v>2.5999999999999999E-3</v>
      </c>
      <c r="I16" s="162">
        <v>0.08</v>
      </c>
      <c r="J16" s="162" t="s">
        <v>673</v>
      </c>
      <c r="K16" s="162">
        <v>998.31</v>
      </c>
      <c r="L16" s="162" t="s">
        <v>349</v>
      </c>
      <c r="M16" s="162">
        <v>51.94</v>
      </c>
      <c r="N16" s="162">
        <v>1485205200</v>
      </c>
      <c r="O16" s="162">
        <v>3.08</v>
      </c>
      <c r="P16" s="162">
        <v>239</v>
      </c>
      <c r="Q16" s="162">
        <v>2.77</v>
      </c>
      <c r="R16"/>
    </row>
    <row r="17" spans="1:18" x14ac:dyDescent="0.25">
      <c r="A17" s="162">
        <v>51.13</v>
      </c>
      <c r="B17" s="162">
        <v>0.69</v>
      </c>
      <c r="C17" s="162">
        <v>22.39</v>
      </c>
      <c r="D17" s="8">
        <v>42758.625</v>
      </c>
      <c r="E17" s="162">
        <v>0.32</v>
      </c>
      <c r="F17" s="162" t="s">
        <v>350</v>
      </c>
      <c r="G17" s="162">
        <v>293.87</v>
      </c>
      <c r="H17" s="162">
        <v>2.2000000000000001E-3</v>
      </c>
      <c r="I17" s="162">
        <v>0.06</v>
      </c>
      <c r="J17" s="162" t="s">
        <v>673</v>
      </c>
      <c r="K17" s="162">
        <v>998.11</v>
      </c>
      <c r="L17" s="162" t="s">
        <v>349</v>
      </c>
      <c r="M17" s="162">
        <v>51.13</v>
      </c>
      <c r="N17" s="162">
        <v>1485208800</v>
      </c>
      <c r="O17" s="162">
        <v>10</v>
      </c>
      <c r="P17" s="162">
        <v>231</v>
      </c>
      <c r="Q17" s="162">
        <v>1.52</v>
      </c>
      <c r="R17"/>
    </row>
    <row r="18" spans="1:18" x14ac:dyDescent="0.25">
      <c r="A18" s="162">
        <v>47.38</v>
      </c>
      <c r="B18" s="162">
        <v>0.75</v>
      </c>
      <c r="C18" s="162">
        <v>22.23</v>
      </c>
      <c r="D18" s="8">
        <v>42758.666666666664</v>
      </c>
      <c r="E18" s="162">
        <v>0.37</v>
      </c>
      <c r="F18" s="162" t="s">
        <v>350</v>
      </c>
      <c r="G18" s="162">
        <v>301.43</v>
      </c>
      <c r="H18" s="162">
        <v>2.0999999999999999E-3</v>
      </c>
      <c r="I18" s="162">
        <v>0.06</v>
      </c>
      <c r="J18" s="162" t="s">
        <v>673</v>
      </c>
      <c r="K18" s="162">
        <v>998.42</v>
      </c>
      <c r="L18" s="162" t="s">
        <v>349</v>
      </c>
      <c r="M18" s="162">
        <v>47.38</v>
      </c>
      <c r="N18" s="162">
        <v>1485212400</v>
      </c>
      <c r="O18" s="162">
        <v>5.58</v>
      </c>
      <c r="P18" s="162">
        <v>286</v>
      </c>
      <c r="Q18" s="162">
        <v>2.5099999999999998</v>
      </c>
      <c r="R18"/>
    </row>
    <row r="19" spans="1:18" x14ac:dyDescent="0.25">
      <c r="A19" s="162">
        <v>45.27</v>
      </c>
      <c r="B19" s="162">
        <v>0.76</v>
      </c>
      <c r="C19" s="162">
        <v>24.76</v>
      </c>
      <c r="D19" s="8">
        <v>42758.708333333336</v>
      </c>
      <c r="E19" s="162">
        <v>0.44</v>
      </c>
      <c r="F19" s="162" t="s">
        <v>350</v>
      </c>
      <c r="G19" s="162">
        <v>308.08</v>
      </c>
      <c r="H19" s="162">
        <v>1.4E-3</v>
      </c>
      <c r="I19" s="162">
        <v>0.03</v>
      </c>
      <c r="J19" s="162" t="s">
        <v>673</v>
      </c>
      <c r="K19" s="162">
        <v>998.88</v>
      </c>
      <c r="L19" s="162" t="s">
        <v>349</v>
      </c>
      <c r="M19" s="162">
        <v>45.27</v>
      </c>
      <c r="N19" s="162">
        <v>1485216000</v>
      </c>
      <c r="O19" s="162">
        <v>6.07</v>
      </c>
      <c r="P19" s="162">
        <v>304</v>
      </c>
      <c r="Q19" s="162">
        <v>1.7</v>
      </c>
      <c r="R19"/>
    </row>
    <row r="20" spans="1:18" x14ac:dyDescent="0.25">
      <c r="A20" s="162">
        <v>43.4</v>
      </c>
      <c r="B20" s="162">
        <v>0.63</v>
      </c>
      <c r="C20" s="162">
        <v>26.97</v>
      </c>
      <c r="D20" s="8">
        <v>42758.75</v>
      </c>
      <c r="E20" s="162">
        <v>0.52</v>
      </c>
      <c r="F20" s="162" t="s">
        <v>348</v>
      </c>
      <c r="G20" s="162">
        <v>312.64999999999998</v>
      </c>
      <c r="H20" s="162">
        <v>0</v>
      </c>
      <c r="I20" s="162">
        <v>0</v>
      </c>
      <c r="J20" s="162"/>
      <c r="K20" s="162">
        <v>998.98</v>
      </c>
      <c r="L20" s="162" t="s">
        <v>349</v>
      </c>
      <c r="M20" s="162">
        <v>43.4</v>
      </c>
      <c r="N20" s="162">
        <v>1485219600</v>
      </c>
      <c r="O20" s="162">
        <v>6.96</v>
      </c>
      <c r="P20" s="162">
        <v>340</v>
      </c>
      <c r="Q20" s="162">
        <v>1.77</v>
      </c>
      <c r="R20"/>
    </row>
    <row r="21" spans="1:18" x14ac:dyDescent="0.25">
      <c r="A21" s="162">
        <v>40.5</v>
      </c>
      <c r="B21" s="162">
        <v>0.47</v>
      </c>
      <c r="C21" s="162">
        <v>28.36</v>
      </c>
      <c r="D21" s="8">
        <v>42758.791666666664</v>
      </c>
      <c r="E21" s="162">
        <v>0.62</v>
      </c>
      <c r="F21" s="162" t="s">
        <v>348</v>
      </c>
      <c r="G21" s="162">
        <v>316.31</v>
      </c>
      <c r="H21" s="162">
        <v>0</v>
      </c>
      <c r="I21" s="162">
        <v>0</v>
      </c>
      <c r="J21" s="162"/>
      <c r="K21" s="162">
        <v>999.46</v>
      </c>
      <c r="L21" s="162" t="s">
        <v>351</v>
      </c>
      <c r="M21" s="162">
        <v>40.5</v>
      </c>
      <c r="N21" s="162">
        <v>1485223200</v>
      </c>
      <c r="O21" s="162">
        <v>10</v>
      </c>
      <c r="P21" s="162">
        <v>301</v>
      </c>
      <c r="Q21" s="162">
        <v>1.07</v>
      </c>
      <c r="R21"/>
    </row>
    <row r="22" spans="1:18" x14ac:dyDescent="0.25">
      <c r="A22" s="162">
        <v>38.61</v>
      </c>
      <c r="B22" s="162">
        <v>0.37</v>
      </c>
      <c r="C22" s="162">
        <v>27.67</v>
      </c>
      <c r="D22" s="8">
        <v>42758.833333333336</v>
      </c>
      <c r="E22" s="162">
        <v>0.64</v>
      </c>
      <c r="F22" s="162" t="s">
        <v>348</v>
      </c>
      <c r="G22" s="162">
        <v>319.81</v>
      </c>
      <c r="H22" s="162">
        <v>0</v>
      </c>
      <c r="I22" s="162">
        <v>0</v>
      </c>
      <c r="J22" s="162"/>
      <c r="K22" s="162">
        <v>999.97</v>
      </c>
      <c r="L22" s="162" t="s">
        <v>351</v>
      </c>
      <c r="M22" s="162">
        <v>38.61</v>
      </c>
      <c r="N22" s="162">
        <v>1485226800</v>
      </c>
      <c r="O22" s="162">
        <v>6.05</v>
      </c>
      <c r="P22" s="162">
        <v>307</v>
      </c>
      <c r="Q22" s="162">
        <v>1.07</v>
      </c>
      <c r="R22"/>
    </row>
    <row r="23" spans="1:18" x14ac:dyDescent="0.25">
      <c r="A23" s="162">
        <v>33.86</v>
      </c>
      <c r="B23" s="162">
        <v>0.47</v>
      </c>
      <c r="C23" s="162">
        <v>27.86</v>
      </c>
      <c r="D23" s="8">
        <v>42758.875</v>
      </c>
      <c r="E23" s="162">
        <v>0.71</v>
      </c>
      <c r="F23" s="162" t="s">
        <v>348</v>
      </c>
      <c r="G23" s="162">
        <v>323.43</v>
      </c>
      <c r="H23" s="162">
        <v>0</v>
      </c>
      <c r="I23" s="162">
        <v>0</v>
      </c>
      <c r="J23" s="162"/>
      <c r="K23" s="162">
        <v>1000.4</v>
      </c>
      <c r="L23" s="162" t="s">
        <v>351</v>
      </c>
      <c r="M23" s="162">
        <v>36.46</v>
      </c>
      <c r="N23" s="162">
        <v>1485230400</v>
      </c>
      <c r="O23" s="162">
        <v>9.77</v>
      </c>
      <c r="P23" s="162">
        <v>336</v>
      </c>
      <c r="Q23" s="162">
        <v>3.41</v>
      </c>
      <c r="R23"/>
    </row>
    <row r="24" spans="1:18" x14ac:dyDescent="0.25">
      <c r="A24" s="162">
        <v>32.270000000000003</v>
      </c>
      <c r="B24" s="162">
        <v>0.5</v>
      </c>
      <c r="C24" s="162">
        <v>27.87</v>
      </c>
      <c r="D24" s="8">
        <v>42758.916666666664</v>
      </c>
      <c r="E24" s="162">
        <v>0.72</v>
      </c>
      <c r="F24" s="162" t="s">
        <v>348</v>
      </c>
      <c r="G24" s="162">
        <v>326.89</v>
      </c>
      <c r="H24" s="162">
        <v>2.0999999999999999E-3</v>
      </c>
      <c r="I24" s="162">
        <v>0.06</v>
      </c>
      <c r="J24" s="162" t="s">
        <v>673</v>
      </c>
      <c r="K24" s="162">
        <v>1000.74</v>
      </c>
      <c r="L24" s="162" t="s">
        <v>351</v>
      </c>
      <c r="M24" s="162">
        <v>35.92</v>
      </c>
      <c r="N24" s="162">
        <v>1485234000</v>
      </c>
      <c r="O24" s="162">
        <v>5.56</v>
      </c>
      <c r="P24" s="162">
        <v>351</v>
      </c>
      <c r="Q24" s="162">
        <v>4.34</v>
      </c>
      <c r="R24"/>
    </row>
    <row r="25" spans="1:18" x14ac:dyDescent="0.25">
      <c r="A25" s="162">
        <v>30.96</v>
      </c>
      <c r="B25" s="162">
        <v>0.66</v>
      </c>
      <c r="C25" s="162">
        <v>26.36</v>
      </c>
      <c r="D25" s="8">
        <v>42758.958333333336</v>
      </c>
      <c r="E25" s="162">
        <v>0.7</v>
      </c>
      <c r="F25" s="162" t="s">
        <v>348</v>
      </c>
      <c r="G25" s="162">
        <v>330.13</v>
      </c>
      <c r="H25" s="162">
        <v>0</v>
      </c>
      <c r="I25" s="162">
        <v>0</v>
      </c>
      <c r="J25" s="162"/>
      <c r="K25" s="162">
        <v>1000.9</v>
      </c>
      <c r="L25" s="162" t="s">
        <v>349</v>
      </c>
      <c r="M25" s="162">
        <v>34.979999999999997</v>
      </c>
      <c r="N25" s="162">
        <v>1485237600</v>
      </c>
      <c r="O25" s="162">
        <v>4.87</v>
      </c>
      <c r="P25" s="162">
        <v>344</v>
      </c>
      <c r="Q25" s="162">
        <v>4.57</v>
      </c>
      <c r="R25"/>
    </row>
    <row r="26" spans="1:18" x14ac:dyDescent="0.25">
      <c r="A26" s="162">
        <v>29.65</v>
      </c>
      <c r="B26" s="162">
        <v>0.69</v>
      </c>
      <c r="C26" s="162">
        <v>26.97</v>
      </c>
      <c r="D26" s="8">
        <v>42759</v>
      </c>
      <c r="E26" s="162">
        <v>0.76</v>
      </c>
      <c r="F26" s="162" t="s">
        <v>348</v>
      </c>
      <c r="G26" s="162">
        <v>332.9</v>
      </c>
      <c r="H26" s="162">
        <v>0</v>
      </c>
      <c r="I26" s="162">
        <v>0</v>
      </c>
      <c r="J26" s="162"/>
      <c r="K26" s="162">
        <v>1000.67</v>
      </c>
      <c r="L26" s="162" t="s">
        <v>349</v>
      </c>
      <c r="M26" s="162">
        <v>33.6</v>
      </c>
      <c r="N26" s="162">
        <v>1485241200</v>
      </c>
      <c r="O26" s="162">
        <v>4.07</v>
      </c>
      <c r="P26" s="162">
        <v>341</v>
      </c>
      <c r="Q26" s="162">
        <v>4.2699999999999996</v>
      </c>
      <c r="R26"/>
    </row>
    <row r="27" spans="1:18" x14ac:dyDescent="0.25">
      <c r="A27" s="162">
        <v>32.950000000000003</v>
      </c>
      <c r="B27" s="162">
        <v>0.82</v>
      </c>
      <c r="C27" s="162">
        <v>27.41</v>
      </c>
      <c r="D27" s="8">
        <v>42759.041666666664</v>
      </c>
      <c r="E27" s="162">
        <v>0.8</v>
      </c>
      <c r="F27" s="162" t="s">
        <v>348</v>
      </c>
      <c r="G27" s="162">
        <v>335.67</v>
      </c>
      <c r="H27" s="162">
        <v>0</v>
      </c>
      <c r="I27" s="162">
        <v>0</v>
      </c>
      <c r="J27" s="162"/>
      <c r="K27" s="162">
        <v>1000.5</v>
      </c>
      <c r="L27" s="162" t="s">
        <v>349</v>
      </c>
      <c r="M27" s="162">
        <v>32.950000000000003</v>
      </c>
      <c r="N27" s="162">
        <v>1485244800</v>
      </c>
      <c r="O27" s="162">
        <v>4.22</v>
      </c>
      <c r="P27" s="162">
        <v>308</v>
      </c>
      <c r="Q27" s="162">
        <v>2.67</v>
      </c>
      <c r="R27"/>
    </row>
    <row r="28" spans="1:18" x14ac:dyDescent="0.25">
      <c r="A28" s="162">
        <v>31.72</v>
      </c>
      <c r="B28" s="162">
        <v>0.78</v>
      </c>
      <c r="C28" s="162">
        <v>27.37</v>
      </c>
      <c r="D28" s="8">
        <v>42759.083333333336</v>
      </c>
      <c r="E28" s="162">
        <v>0.84</v>
      </c>
      <c r="F28" s="162" t="s">
        <v>348</v>
      </c>
      <c r="G28" s="162">
        <v>338.45</v>
      </c>
      <c r="H28" s="162">
        <v>0</v>
      </c>
      <c r="I28" s="162">
        <v>0</v>
      </c>
      <c r="J28" s="162"/>
      <c r="K28" s="162">
        <v>1000.38</v>
      </c>
      <c r="L28" s="162" t="s">
        <v>349</v>
      </c>
      <c r="M28" s="162">
        <v>31.72</v>
      </c>
      <c r="N28" s="162">
        <v>1485248400</v>
      </c>
      <c r="O28" s="162">
        <v>3.44</v>
      </c>
      <c r="P28" s="162">
        <v>323</v>
      </c>
      <c r="Q28" s="162">
        <v>2.56</v>
      </c>
      <c r="R28"/>
    </row>
    <row r="29" spans="1:18" x14ac:dyDescent="0.25">
      <c r="A29" s="162">
        <v>28.32</v>
      </c>
      <c r="B29" s="162">
        <v>0.71</v>
      </c>
      <c r="C29" s="162">
        <v>23.37</v>
      </c>
      <c r="D29" s="8">
        <v>42759.125</v>
      </c>
      <c r="E29" s="162">
        <v>0.81</v>
      </c>
      <c r="F29" s="162" t="s">
        <v>348</v>
      </c>
      <c r="G29" s="162">
        <v>340.83</v>
      </c>
      <c r="H29" s="162">
        <v>0</v>
      </c>
      <c r="I29" s="162">
        <v>0</v>
      </c>
      <c r="J29" s="162"/>
      <c r="K29" s="162">
        <v>1000.85</v>
      </c>
      <c r="L29" s="162" t="s">
        <v>349</v>
      </c>
      <c r="M29" s="162">
        <v>28.32</v>
      </c>
      <c r="N29" s="162">
        <v>1485252000</v>
      </c>
      <c r="O29" s="162">
        <v>6.32</v>
      </c>
      <c r="P29" s="162">
        <v>314</v>
      </c>
      <c r="Q29" s="162">
        <v>2.2400000000000002</v>
      </c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42758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829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830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831</v>
      </c>
      <c r="J20" s="162" t="s">
        <v>87</v>
      </c>
      <c r="M20" s="162" t="s">
        <v>228</v>
      </c>
    </row>
    <row r="21" spans="3:13" x14ac:dyDescent="0.25">
      <c r="C21" t="s">
        <v>832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833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834</v>
      </c>
      <c r="J23" s="185" t="s">
        <v>95</v>
      </c>
      <c r="M23" s="162" t="str">
        <f>"-07"</f>
        <v>-07</v>
      </c>
    </row>
    <row r="24" spans="3:13" x14ac:dyDescent="0.25">
      <c r="C24" t="s">
        <v>835</v>
      </c>
      <c r="J24" s="162" t="s">
        <v>108</v>
      </c>
      <c r="M24" s="162" t="s">
        <v>110</v>
      </c>
    </row>
    <row r="25" spans="3:13" x14ac:dyDescent="0.25">
      <c r="C25" t="s">
        <v>836</v>
      </c>
      <c r="J25" s="162" t="s">
        <v>150</v>
      </c>
      <c r="M25" s="162" t="b">
        <v>1</v>
      </c>
    </row>
    <row r="26" spans="3:13" x14ac:dyDescent="0.25">
      <c r="C26" t="s">
        <v>837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C:\Users\stu\Documents\GitHub\eaglep3-reporting\EC\2017-01-23-refined-times.txt</v>
      </c>
    </row>
    <row r="27" spans="3:13" x14ac:dyDescent="0.25">
      <c r="C27" t="s">
        <v>838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C:\Users\stu\Documents\GitHub\eaglep3-reporting\EC\2017-01-23-Enforcements.txt</v>
      </c>
    </row>
    <row r="28" spans="3:13" x14ac:dyDescent="0.25">
      <c r="C28" t="s">
        <v>839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C:\Users\stu\Documents\GitHub\eaglep3-reporting\EC\2017-01-23-Runs-refined.txt</v>
      </c>
    </row>
    <row r="29" spans="3:13" x14ac:dyDescent="0.25">
      <c r="C29" t="s">
        <v>840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C:\Users\stu\Documents\GitHub\eaglep3-reporting\EC\2017-01-23-Trips.txt</v>
      </c>
    </row>
    <row r="30" spans="3:13" x14ac:dyDescent="0.25">
      <c r="C30" t="s">
        <v>841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C:\Users\stu\Documents\GitHub\eaglep3-reporting\EC\2017-01-23-Weather.txt</v>
      </c>
    </row>
    <row r="31" spans="3:13" x14ac:dyDescent="0.25">
      <c r="C31" t="s">
        <v>842</v>
      </c>
      <c r="J31" s="162" t="s">
        <v>226</v>
      </c>
      <c r="M31" s="162" t="s">
        <v>227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6" workbookViewId="0">
      <selection activeCell="B54" sqref="B54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844</v>
      </c>
      <c r="B1" t="str">
        <f t="shared" ref="B1:B30" si="0">MID(A1,6,23)</f>
        <v>2017/01/23 11:52:33.031</v>
      </c>
      <c r="C1" t="e">
        <f>ABS(B1-#REF!)</f>
        <v>#REF!</v>
      </c>
    </row>
    <row r="2" spans="1:3" x14ac:dyDescent="0.25">
      <c r="A2" t="s">
        <v>845</v>
      </c>
      <c r="B2" s="21" t="str">
        <f t="shared" si="0"/>
        <v>2017/01/23 11:52:33.787</v>
      </c>
      <c r="C2">
        <f>ABS(B2-B1)</f>
        <v>8.7500011431984603E-6</v>
      </c>
    </row>
    <row r="3" spans="1:3" x14ac:dyDescent="0.25">
      <c r="A3" t="s">
        <v>846</v>
      </c>
      <c r="B3" s="21" t="str">
        <f t="shared" si="0"/>
        <v>2017/01/23 11:52:33.824</v>
      </c>
      <c r="C3" s="21">
        <f t="shared" ref="C3:C30" si="1">ABS(B3-B2)</f>
        <v>4.282410372979939E-7</v>
      </c>
    </row>
    <row r="4" spans="1:3" x14ac:dyDescent="0.25">
      <c r="A4" t="s">
        <v>847</v>
      </c>
      <c r="B4" s="21" t="str">
        <f t="shared" si="0"/>
        <v>2017/01/23 12:10:47.342</v>
      </c>
      <c r="C4" s="21">
        <f t="shared" si="1"/>
        <v>1.2656458333367482E-2</v>
      </c>
    </row>
    <row r="5" spans="1:3" x14ac:dyDescent="0.25">
      <c r="A5" t="s">
        <v>848</v>
      </c>
      <c r="B5" s="21" t="str">
        <f t="shared" si="0"/>
        <v>2017/01/23 12:10:47.360</v>
      </c>
      <c r="C5" s="21">
        <f t="shared" si="1"/>
        <v>2.0833249436691403E-7</v>
      </c>
    </row>
    <row r="6" spans="1:3" x14ac:dyDescent="0.25">
      <c r="A6" t="s">
        <v>849</v>
      </c>
      <c r="B6" s="21" t="str">
        <f t="shared" si="0"/>
        <v>2017/01/23 12:10:47.746</v>
      </c>
      <c r="C6" s="21">
        <f t="shared" si="1"/>
        <v>4.4675907702185214E-6</v>
      </c>
    </row>
    <row r="7" spans="1:3" x14ac:dyDescent="0.25">
      <c r="A7" t="s">
        <v>850</v>
      </c>
      <c r="B7" s="21" t="str">
        <f t="shared" si="0"/>
        <v>2017/01/23 12:43:12.008</v>
      </c>
      <c r="C7" s="21">
        <f t="shared" si="1"/>
        <v>2.2503032407257706E-2</v>
      </c>
    </row>
    <row r="8" spans="1:3" x14ac:dyDescent="0.25">
      <c r="A8" t="s">
        <v>851</v>
      </c>
      <c r="B8" s="21" t="str">
        <f t="shared" si="0"/>
        <v>2017/01/23 12:43:12.029</v>
      </c>
      <c r="C8" s="21">
        <f t="shared" si="1"/>
        <v>2.4305336410179734E-7</v>
      </c>
    </row>
    <row r="9" spans="1:3" x14ac:dyDescent="0.25">
      <c r="A9" t="s">
        <v>852</v>
      </c>
      <c r="B9" s="21" t="str">
        <f t="shared" si="0"/>
        <v>2017/01/23 13:07:21.340</v>
      </c>
      <c r="C9" s="21">
        <f t="shared" si="1"/>
        <v>1.6774432871898171E-2</v>
      </c>
    </row>
    <row r="10" spans="1:3" x14ac:dyDescent="0.25">
      <c r="A10" t="s">
        <v>853</v>
      </c>
      <c r="B10" s="21" t="str">
        <f t="shared" si="0"/>
        <v>2017/01/23 13:07:21.748</v>
      </c>
      <c r="C10" s="21">
        <f t="shared" si="1"/>
        <v>4.7222201828844845E-6</v>
      </c>
    </row>
    <row r="11" spans="1:3" x14ac:dyDescent="0.25">
      <c r="A11" t="s">
        <v>854</v>
      </c>
      <c r="B11" s="21" t="str">
        <f t="shared" si="0"/>
        <v>2017/01/23 13:07:22.362</v>
      </c>
      <c r="C11" s="21">
        <f t="shared" si="1"/>
        <v>7.1064860094338655E-6</v>
      </c>
    </row>
    <row r="12" spans="1:3" x14ac:dyDescent="0.25">
      <c r="A12" t="s">
        <v>855</v>
      </c>
      <c r="B12" s="21" t="str">
        <f t="shared" si="0"/>
        <v>2017/01/23 13:26:46.431</v>
      </c>
      <c r="C12" s="21">
        <f t="shared" si="1"/>
        <v>1.3473020830133464E-2</v>
      </c>
    </row>
    <row r="13" spans="1:3" x14ac:dyDescent="0.25">
      <c r="A13" t="s">
        <v>856</v>
      </c>
      <c r="B13" s="21" t="str">
        <f t="shared" si="0"/>
        <v>2017/01/23 13:26:47.433</v>
      </c>
      <c r="C13" s="21">
        <f t="shared" si="1"/>
        <v>1.1597221600823104E-5</v>
      </c>
    </row>
    <row r="14" spans="1:3" x14ac:dyDescent="0.25">
      <c r="A14" t="s">
        <v>857</v>
      </c>
      <c r="B14" s="21" t="str">
        <f t="shared" si="0"/>
        <v>2017/01/23 13:26:48.375</v>
      </c>
      <c r="C14" s="21">
        <f t="shared" si="1"/>
        <v>1.0902782378252596E-5</v>
      </c>
    </row>
    <row r="15" spans="1:3" x14ac:dyDescent="0.25">
      <c r="A15" t="s">
        <v>858</v>
      </c>
      <c r="B15" s="21" t="str">
        <f t="shared" si="0"/>
        <v>2017/01/23 14:06:56.749</v>
      </c>
      <c r="C15" s="21">
        <f t="shared" si="1"/>
        <v>2.7874699073436204E-2</v>
      </c>
    </row>
    <row r="16" spans="1:3" x14ac:dyDescent="0.25">
      <c r="A16" t="s">
        <v>859</v>
      </c>
      <c r="B16" s="21" t="str">
        <f t="shared" si="0"/>
        <v>2017/01/23 14:06:57.348</v>
      </c>
      <c r="C16" s="21">
        <f t="shared" si="1"/>
        <v>6.9328671088442206E-6</v>
      </c>
    </row>
    <row r="17" spans="1:3" x14ac:dyDescent="0.25">
      <c r="A17" t="s">
        <v>860</v>
      </c>
      <c r="B17" s="21" t="str">
        <f t="shared" si="0"/>
        <v>2017/01/23 14:06:57.368</v>
      </c>
      <c r="C17" s="21">
        <f t="shared" si="1"/>
        <v>2.314845914952457E-7</v>
      </c>
    </row>
    <row r="18" spans="1:3" x14ac:dyDescent="0.25">
      <c r="A18" t="s">
        <v>861</v>
      </c>
      <c r="B18" s="21" t="str">
        <f t="shared" si="0"/>
        <v>2017/01/23 14:16:35.392</v>
      </c>
      <c r="C18" s="21">
        <f t="shared" si="1"/>
        <v>6.6900925885420293E-3</v>
      </c>
    </row>
    <row r="19" spans="1:3" x14ac:dyDescent="0.25">
      <c r="A19" t="s">
        <v>862</v>
      </c>
      <c r="B19" s="21" t="str">
        <f t="shared" si="0"/>
        <v>2017/01/23 14:16:35.461</v>
      </c>
      <c r="C19" s="21">
        <f t="shared" si="1"/>
        <v>7.9861638369038701E-7</v>
      </c>
    </row>
    <row r="20" spans="1:3" x14ac:dyDescent="0.25">
      <c r="A20" t="s">
        <v>863</v>
      </c>
      <c r="B20" s="21" t="str">
        <f t="shared" si="0"/>
        <v>2017/01/23 14:27:13.435</v>
      </c>
      <c r="C20" s="21">
        <f t="shared" si="1"/>
        <v>7.3839583274093457E-3</v>
      </c>
    </row>
    <row r="21" spans="1:3" x14ac:dyDescent="0.25">
      <c r="A21" t="s">
        <v>864</v>
      </c>
      <c r="B21" s="21" t="str">
        <f t="shared" si="0"/>
        <v>2017/01/23 14:48:41.813</v>
      </c>
      <c r="C21" s="21">
        <f t="shared" si="1"/>
        <v>1.4911782411218155E-2</v>
      </c>
    </row>
    <row r="22" spans="1:3" x14ac:dyDescent="0.25">
      <c r="A22" t="s">
        <v>865</v>
      </c>
      <c r="B22" s="21" t="str">
        <f t="shared" si="0"/>
        <v>2017/01/23 14:48:41.856</v>
      </c>
      <c r="C22" s="21">
        <f t="shared" si="1"/>
        <v>4.9768277676776052E-7</v>
      </c>
    </row>
    <row r="23" spans="1:3" x14ac:dyDescent="0.25">
      <c r="A23" t="s">
        <v>866</v>
      </c>
      <c r="B23" s="21" t="str">
        <f t="shared" si="0"/>
        <v>2017/01/23 15:05:37.343</v>
      </c>
      <c r="C23" s="21">
        <f t="shared" si="1"/>
        <v>1.1753321763535496E-2</v>
      </c>
    </row>
    <row r="24" spans="1:3" x14ac:dyDescent="0.25">
      <c r="A24" t="s">
        <v>867</v>
      </c>
      <c r="B24" s="21" t="str">
        <f t="shared" si="0"/>
        <v>2017/01/23 15:05:37.364</v>
      </c>
      <c r="C24" s="21">
        <f t="shared" si="1"/>
        <v>2.4305336410179734E-7</v>
      </c>
    </row>
    <row r="25" spans="1:3" x14ac:dyDescent="0.25">
      <c r="A25" t="s">
        <v>868</v>
      </c>
      <c r="B25" s="21" t="str">
        <f t="shared" si="0"/>
        <v>2017/01/23 15:05:37.752</v>
      </c>
      <c r="C25" s="21">
        <f t="shared" si="1"/>
        <v>4.490742867346853E-6</v>
      </c>
    </row>
    <row r="26" spans="1:3" x14ac:dyDescent="0.25">
      <c r="A26" t="s">
        <v>869</v>
      </c>
      <c r="B26" s="21" t="str">
        <f t="shared" si="0"/>
        <v>2017/01/23 15:06:35.340</v>
      </c>
      <c r="C26" s="21">
        <f t="shared" si="1"/>
        <v>6.6652777604758739E-4</v>
      </c>
    </row>
    <row r="27" spans="1:3" x14ac:dyDescent="0.25">
      <c r="A27" t="s">
        <v>870</v>
      </c>
      <c r="B27" s="21" t="str">
        <f t="shared" si="0"/>
        <v>2017/01/23 15:06:35.364</v>
      </c>
      <c r="C27" s="21">
        <f t="shared" si="1"/>
        <v>2.7777423383668065E-7</v>
      </c>
    </row>
    <row r="28" spans="1:3" x14ac:dyDescent="0.25">
      <c r="A28" t="s">
        <v>871</v>
      </c>
      <c r="B28" s="21" t="str">
        <f t="shared" si="0"/>
        <v>2017/01/23 15:06:35.747</v>
      </c>
      <c r="C28" s="21">
        <f t="shared" si="1"/>
        <v>4.432869900483638E-6</v>
      </c>
    </row>
    <row r="29" spans="1:3" x14ac:dyDescent="0.25">
      <c r="A29" t="s">
        <v>872</v>
      </c>
      <c r="B29" s="21" t="str">
        <f t="shared" si="0"/>
        <v>2017/01/23 15:21:23.447</v>
      </c>
      <c r="C29" s="21">
        <f t="shared" si="1"/>
        <v>1.0274305561324582E-2</v>
      </c>
    </row>
    <row r="30" spans="1:3" x14ac:dyDescent="0.25">
      <c r="A30" t="s">
        <v>873</v>
      </c>
      <c r="B30" s="21" t="str">
        <f t="shared" si="0"/>
        <v>2017/01/23 15:26:57.440</v>
      </c>
      <c r="C30" s="21">
        <f t="shared" si="1"/>
        <v>3.8656597171211615E-3</v>
      </c>
    </row>
    <row r="31" spans="1:3" x14ac:dyDescent="0.25">
      <c r="A31" t="s">
        <v>874</v>
      </c>
      <c r="B31" s="21" t="str">
        <f t="shared" ref="B31:B32" si="2">MID(A31,6,23)</f>
        <v>2017/01/23 15:26:58.381</v>
      </c>
      <c r="C31" s="21">
        <f t="shared" ref="C31:C32" si="3">ABS(B31-B30)</f>
        <v>1.089120632968843E-5</v>
      </c>
    </row>
    <row r="32" spans="1:3" x14ac:dyDescent="0.25">
      <c r="A32" t="s">
        <v>875</v>
      </c>
      <c r="B32" s="21" t="str">
        <f t="shared" si="2"/>
        <v>2017/01/23 20:08:43.450</v>
      </c>
      <c r="C32" s="21">
        <f t="shared" si="3"/>
        <v>0.19566052083246177</v>
      </c>
    </row>
    <row r="33" spans="1:3" x14ac:dyDescent="0.25">
      <c r="A33" t="s">
        <v>876</v>
      </c>
      <c r="B33" s="21" t="str">
        <f t="shared" ref="B33:B58" si="4">MID(A33,6,23)</f>
        <v>2017/01/23 21:50:38.907</v>
      </c>
      <c r="C33" s="21">
        <f t="shared" ref="C33:C58" si="5">ABS(B33-B32)</f>
        <v>7.0780752314021811E-2</v>
      </c>
    </row>
    <row r="34" spans="1:3" x14ac:dyDescent="0.25">
      <c r="A34" t="s">
        <v>877</v>
      </c>
      <c r="B34" s="21" t="str">
        <f t="shared" si="4"/>
        <v>2017/01/23 21:50:39.495</v>
      </c>
      <c r="C34" s="21">
        <f t="shared" si="5"/>
        <v>6.8055596784688532E-6</v>
      </c>
    </row>
    <row r="35" spans="1:3" x14ac:dyDescent="0.25">
      <c r="A35" t="s">
        <v>878</v>
      </c>
      <c r="B35" s="21" t="str">
        <f t="shared" si="4"/>
        <v>2017/01/23 21:55:20.490</v>
      </c>
      <c r="C35" s="21">
        <f t="shared" si="5"/>
        <v>3.252256938139908E-3</v>
      </c>
    </row>
    <row r="36" spans="1:3" x14ac:dyDescent="0.25">
      <c r="A36" t="s">
        <v>879</v>
      </c>
      <c r="B36" s="21" t="str">
        <f t="shared" si="4"/>
        <v>2017/01/23 21:55:28.580</v>
      </c>
      <c r="C36" s="21">
        <f t="shared" si="5"/>
        <v>9.3634262157138437E-5</v>
      </c>
    </row>
    <row r="37" spans="1:3" x14ac:dyDescent="0.25">
      <c r="A37" t="s">
        <v>880</v>
      </c>
      <c r="B37" s="21" t="str">
        <f t="shared" si="4"/>
        <v>2017/01/23 21:55:28.897</v>
      </c>
      <c r="C37" s="21">
        <f t="shared" si="5"/>
        <v>3.6689816624857485E-6</v>
      </c>
    </row>
    <row r="38" spans="1:3" x14ac:dyDescent="0.25">
      <c r="A38" t="s">
        <v>881</v>
      </c>
      <c r="B38" s="21" t="str">
        <f t="shared" si="4"/>
        <v>2017/01/23 22:47:39.751</v>
      </c>
      <c r="C38" s="21">
        <f t="shared" si="5"/>
        <v>3.6236736108548939E-2</v>
      </c>
    </row>
    <row r="39" spans="1:3" x14ac:dyDescent="0.25">
      <c r="A39" t="s">
        <v>882</v>
      </c>
      <c r="B39" s="21" t="str">
        <f t="shared" si="4"/>
        <v>2017/01/23 22:47:40.728</v>
      </c>
      <c r="C39" s="21">
        <f t="shared" si="5"/>
        <v>1.1307871318422258E-5</v>
      </c>
    </row>
    <row r="40" spans="1:3" x14ac:dyDescent="0.25">
      <c r="A40" t="s">
        <v>883</v>
      </c>
      <c r="B40" s="21" t="str">
        <f t="shared" si="4"/>
        <v>2017/01/23 22:47:40.729</v>
      </c>
      <c r="C40" s="21">
        <f t="shared" si="5"/>
        <v>1.1576048564165831E-8</v>
      </c>
    </row>
    <row r="41" spans="1:3" x14ac:dyDescent="0.25">
      <c r="A41" t="s">
        <v>884</v>
      </c>
      <c r="B41" s="21" t="str">
        <f t="shared" si="4"/>
        <v>2017/01/23 23:39:57.792</v>
      </c>
      <c r="C41" s="21">
        <f t="shared" si="5"/>
        <v>3.6308599534095265E-2</v>
      </c>
    </row>
    <row r="42" spans="1:3" x14ac:dyDescent="0.25">
      <c r="A42" t="s">
        <v>885</v>
      </c>
      <c r="B42" s="21" t="str">
        <f t="shared" si="4"/>
        <v>2017/01/23 23:39:57.839</v>
      </c>
      <c r="C42" s="21">
        <f t="shared" si="5"/>
        <v>5.4398697102442384E-7</v>
      </c>
    </row>
    <row r="43" spans="1:3" x14ac:dyDescent="0.25">
      <c r="A43" t="s">
        <v>886</v>
      </c>
      <c r="B43" s="21" t="str">
        <f t="shared" si="4"/>
        <v>2017/01/23 23:43:58.796</v>
      </c>
      <c r="C43" s="21">
        <f t="shared" si="5"/>
        <v>2.7888541662832722E-3</v>
      </c>
    </row>
    <row r="44" spans="1:3" x14ac:dyDescent="0.25">
      <c r="A44" t="s">
        <v>887</v>
      </c>
      <c r="B44" s="21" t="str">
        <f t="shared" si="4"/>
        <v>2017/01/24 00:22:48.442</v>
      </c>
      <c r="C44" s="21">
        <f t="shared" si="5"/>
        <v>2.6963495365635026E-2</v>
      </c>
    </row>
    <row r="45" spans="1:3" x14ac:dyDescent="0.25">
      <c r="A45" t="s">
        <v>888</v>
      </c>
      <c r="B45" s="21" t="str">
        <f t="shared" si="4"/>
        <v>2017/01/24 00:37:19.809</v>
      </c>
      <c r="C45" s="21">
        <f t="shared" si="5"/>
        <v>1.0085266207170207E-2</v>
      </c>
    </row>
    <row r="46" spans="1:3" x14ac:dyDescent="0.25">
      <c r="A46" t="s">
        <v>889</v>
      </c>
      <c r="B46" s="21" t="str">
        <f t="shared" si="4"/>
        <v>2017/01/24 00:37:20.467</v>
      </c>
      <c r="C46" s="21">
        <f t="shared" si="5"/>
        <v>7.6157375588081777E-6</v>
      </c>
    </row>
    <row r="47" spans="1:3" x14ac:dyDescent="0.25">
      <c r="A47" t="s">
        <v>890</v>
      </c>
      <c r="B47" s="21" t="str">
        <f t="shared" si="4"/>
        <v>2017/01/24 00:57:36.485</v>
      </c>
      <c r="C47" s="21">
        <f t="shared" si="5"/>
        <v>1.4074282407818828E-2</v>
      </c>
    </row>
    <row r="48" spans="1:3" x14ac:dyDescent="0.25">
      <c r="A48" t="s">
        <v>891</v>
      </c>
      <c r="B48" s="21" t="str">
        <f t="shared" si="4"/>
        <v>2017/01/24 01:02:39.724</v>
      </c>
      <c r="C48" s="21">
        <f t="shared" si="5"/>
        <v>3.5097106519970112E-3</v>
      </c>
    </row>
    <row r="49" spans="1:3" x14ac:dyDescent="0.25">
      <c r="A49" t="s">
        <v>892</v>
      </c>
      <c r="B49" s="21" t="str">
        <f t="shared" si="4"/>
        <v>2017/01/24 01:02:40.712</v>
      </c>
      <c r="C49" s="21">
        <f t="shared" si="5"/>
        <v>1.1435186024755239E-5</v>
      </c>
    </row>
    <row r="50" spans="1:3" x14ac:dyDescent="0.25">
      <c r="A50" t="s">
        <v>893</v>
      </c>
      <c r="B50" s="21" t="str">
        <f t="shared" si="4"/>
        <v>2017/01/24 01:02:40.716</v>
      </c>
      <c r="C50" s="21">
        <f t="shared" si="5"/>
        <v>4.6296918299049139E-8</v>
      </c>
    </row>
    <row r="51" spans="1:3" x14ac:dyDescent="0.25">
      <c r="A51" t="s">
        <v>894</v>
      </c>
      <c r="B51" s="21" t="str">
        <f t="shared" si="4"/>
        <v>2017/01/24 01:58:23.897</v>
      </c>
      <c r="C51" s="21">
        <f t="shared" si="5"/>
        <v>3.8694224531354848E-2</v>
      </c>
    </row>
    <row r="52" spans="1:3" x14ac:dyDescent="0.25">
      <c r="A52" t="s">
        <v>895</v>
      </c>
      <c r="B52" s="21" t="str">
        <f t="shared" si="4"/>
        <v>2017/01/24 01:58:24.484</v>
      </c>
      <c r="C52" s="21">
        <f t="shared" si="5"/>
        <v>6.7939836299046874E-6</v>
      </c>
    </row>
    <row r="53" spans="1:3" x14ac:dyDescent="0.25">
      <c r="A53" t="s">
        <v>896</v>
      </c>
      <c r="B53" s="21" t="str">
        <f t="shared" si="4"/>
        <v>2017/01/24 01:58:24.578</v>
      </c>
      <c r="C53" s="21">
        <f t="shared" si="5"/>
        <v>1.0879666660912335E-6</v>
      </c>
    </row>
    <row r="54" spans="1:3" x14ac:dyDescent="0.25">
      <c r="A54" t="s">
        <v>897</v>
      </c>
      <c r="B54" s="21" t="str">
        <f t="shared" si="4"/>
        <v>2017/01/24 03:06:22.791</v>
      </c>
      <c r="C54" s="21">
        <f t="shared" si="5"/>
        <v>4.7201539346133359E-2</v>
      </c>
    </row>
    <row r="55" spans="1:3" x14ac:dyDescent="0.25">
      <c r="A55" t="s">
        <v>898</v>
      </c>
      <c r="B55" s="21" t="str">
        <f t="shared" si="4"/>
        <v>2017/01/24 03:06:22.833</v>
      </c>
      <c r="C55" s="21">
        <f t="shared" si="5"/>
        <v>4.8611400416120887E-7</v>
      </c>
    </row>
    <row r="56" spans="1:3" x14ac:dyDescent="0.25">
      <c r="A56" t="s">
        <v>899</v>
      </c>
      <c r="B56" s="21" t="str">
        <f t="shared" si="4"/>
        <v>2017/01/24 08:08:58.034</v>
      </c>
      <c r="C56" s="21">
        <f t="shared" si="5"/>
        <v>0.21012964120018296</v>
      </c>
    </row>
    <row r="57" spans="1:3" x14ac:dyDescent="0.25">
      <c r="A57" t="s">
        <v>900</v>
      </c>
      <c r="B57" s="21" t="str">
        <f t="shared" si="4"/>
        <v>2017/01/24 08:08:58.040</v>
      </c>
      <c r="C57" s="21">
        <f t="shared" si="5"/>
        <v>6.94490154273808E-8</v>
      </c>
    </row>
    <row r="58" spans="1:3" x14ac:dyDescent="0.25">
      <c r="A58" t="s">
        <v>901</v>
      </c>
      <c r="B58" s="21" t="str">
        <f t="shared" si="4"/>
        <v>2017/01/24 08:08:58.300</v>
      </c>
      <c r="C58" s="21">
        <f t="shared" si="5"/>
        <v>3.0092560336925089E-6</v>
      </c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2017-01-24T15:40:37Z</dcterms:modified>
</cp:coreProperties>
</file>