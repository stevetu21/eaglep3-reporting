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" l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" i="3"/>
  <c r="X176" i="1"/>
  <c r="X177" i="1"/>
  <c r="X178" i="1"/>
  <c r="X179" i="1"/>
  <c r="P176" i="1"/>
  <c r="K176" i="1"/>
  <c r="L176" i="1"/>
  <c r="M176" i="1"/>
  <c r="V176" i="1"/>
  <c r="Y176" i="1"/>
  <c r="Z176" i="1"/>
  <c r="AA176" i="1" s="1"/>
  <c r="AB176" i="1"/>
  <c r="AC176" i="1"/>
  <c r="AD176" i="1"/>
  <c r="T176" i="1" s="1"/>
  <c r="AE176" i="1"/>
  <c r="AF176" i="1"/>
  <c r="AH176" i="1"/>
  <c r="Z138" i="1"/>
  <c r="X148" i="1"/>
  <c r="X149" i="1"/>
  <c r="K148" i="1"/>
  <c r="L148" i="1"/>
  <c r="M148" i="1"/>
  <c r="V148" i="1"/>
  <c r="Y148" i="1"/>
  <c r="Z148" i="1"/>
  <c r="AA148" i="1" s="1"/>
  <c r="AB148" i="1"/>
  <c r="AC148" i="1"/>
  <c r="AD148" i="1"/>
  <c r="T148" i="1" s="1"/>
  <c r="AE148" i="1"/>
  <c r="AF148" i="1"/>
  <c r="AH148" i="1"/>
  <c r="X138" i="1"/>
  <c r="X139" i="1"/>
  <c r="X140" i="1"/>
  <c r="X141" i="1"/>
  <c r="X142" i="1"/>
  <c r="X143" i="1"/>
  <c r="X144" i="1"/>
  <c r="X145" i="1"/>
  <c r="X146" i="1"/>
  <c r="X147" i="1"/>
  <c r="X150" i="1"/>
  <c r="X151" i="1"/>
  <c r="P146" i="1"/>
  <c r="P145" i="1"/>
  <c r="K145" i="1"/>
  <c r="L145" i="1"/>
  <c r="M145" i="1"/>
  <c r="T145" i="1"/>
  <c r="V145" i="1"/>
  <c r="Y145" i="1"/>
  <c r="Z145" i="1"/>
  <c r="AA145" i="1" s="1"/>
  <c r="AB145" i="1"/>
  <c r="AC145" i="1"/>
  <c r="AD145" i="1"/>
  <c r="AG145" i="1" s="1"/>
  <c r="AE145" i="1"/>
  <c r="AF145" i="1"/>
  <c r="AH145" i="1"/>
  <c r="K146" i="1"/>
  <c r="L146" i="1"/>
  <c r="M146" i="1"/>
  <c r="V146" i="1"/>
  <c r="Y146" i="1"/>
  <c r="Z146" i="1"/>
  <c r="AA146" i="1"/>
  <c r="AB146" i="1"/>
  <c r="AC146" i="1"/>
  <c r="AD146" i="1"/>
  <c r="T146" i="1" s="1"/>
  <c r="AE146" i="1"/>
  <c r="AF146" i="1"/>
  <c r="AH146" i="1"/>
  <c r="K138" i="1"/>
  <c r="L138" i="1"/>
  <c r="M138" i="1"/>
  <c r="V138" i="1"/>
  <c r="Y138" i="1"/>
  <c r="AA138" i="1"/>
  <c r="AB138" i="1"/>
  <c r="AC138" i="1"/>
  <c r="AD138" i="1"/>
  <c r="T138" i="1" s="1"/>
  <c r="AE138" i="1"/>
  <c r="AF138" i="1"/>
  <c r="AH138" i="1"/>
  <c r="H3" i="6"/>
  <c r="H4" i="6"/>
  <c r="H5" i="6"/>
  <c r="H6" i="6"/>
  <c r="H7" i="6"/>
  <c r="H8" i="6"/>
  <c r="H9" i="6"/>
  <c r="E3" i="6"/>
  <c r="F3" i="6"/>
  <c r="G3" i="6"/>
  <c r="E5" i="6"/>
  <c r="F5" i="6"/>
  <c r="G5" i="6"/>
  <c r="E6" i="6"/>
  <c r="F6" i="6"/>
  <c r="G6" i="6"/>
  <c r="E7" i="6"/>
  <c r="F7" i="6"/>
  <c r="G7" i="6"/>
  <c r="E8" i="6"/>
  <c r="F8" i="6"/>
  <c r="G8" i="6"/>
  <c r="E9" i="6"/>
  <c r="F9" i="6"/>
  <c r="G9" i="6"/>
  <c r="X168" i="1"/>
  <c r="P156" i="1"/>
  <c r="P152" i="1"/>
  <c r="K152" i="1"/>
  <c r="L152" i="1"/>
  <c r="M152" i="1"/>
  <c r="V152" i="1"/>
  <c r="AA152" i="1"/>
  <c r="AB152" i="1"/>
  <c r="AC152" i="1"/>
  <c r="AD152" i="1"/>
  <c r="T152" i="1" s="1"/>
  <c r="AE152" i="1"/>
  <c r="AF152" i="1"/>
  <c r="AH152" i="1"/>
  <c r="P144" i="1"/>
  <c r="P35" i="1"/>
  <c r="P39" i="1"/>
  <c r="P24" i="1"/>
  <c r="P16" i="1"/>
  <c r="K14" i="1"/>
  <c r="L14" i="1"/>
  <c r="M14" i="1"/>
  <c r="P14" i="1" s="1"/>
  <c r="V14" i="1"/>
  <c r="Y14" i="1"/>
  <c r="Z14" i="1"/>
  <c r="AB14" i="1"/>
  <c r="AC14" i="1"/>
  <c r="AD14" i="1"/>
  <c r="AE14" i="1"/>
  <c r="AF14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K16" i="1"/>
  <c r="L16" i="1"/>
  <c r="M16" i="1"/>
  <c r="V16" i="1"/>
  <c r="Y16" i="1"/>
  <c r="Z16" i="1"/>
  <c r="AB16" i="1"/>
  <c r="AC16" i="1"/>
  <c r="AD16" i="1"/>
  <c r="AG16" i="1" s="1"/>
  <c r="AE16" i="1"/>
  <c r="AF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P18" i="1" s="1"/>
  <c r="V18" i="1"/>
  <c r="Y18" i="1"/>
  <c r="Z18" i="1"/>
  <c r="AB18" i="1"/>
  <c r="AC18" i="1"/>
  <c r="AD18" i="1"/>
  <c r="AE18" i="1"/>
  <c r="AF18" i="1"/>
  <c r="K19" i="1"/>
  <c r="L19" i="1"/>
  <c r="M19" i="1"/>
  <c r="P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V20" i="1"/>
  <c r="Y20" i="1"/>
  <c r="Z20" i="1"/>
  <c r="AB20" i="1"/>
  <c r="AC20" i="1"/>
  <c r="AD20" i="1"/>
  <c r="AE20" i="1"/>
  <c r="AF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P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V23" i="1"/>
  <c r="Y23" i="1"/>
  <c r="Z23" i="1"/>
  <c r="AB23" i="1"/>
  <c r="AC23" i="1"/>
  <c r="AD23" i="1"/>
  <c r="AE23" i="1"/>
  <c r="AF23" i="1"/>
  <c r="K24" i="1"/>
  <c r="L24" i="1"/>
  <c r="M24" i="1"/>
  <c r="V24" i="1"/>
  <c r="Y24" i="1"/>
  <c r="Z24" i="1"/>
  <c r="AB24" i="1"/>
  <c r="AC24" i="1"/>
  <c r="AD24" i="1"/>
  <c r="AG24" i="1" s="1"/>
  <c r="AE24" i="1"/>
  <c r="AF24" i="1"/>
  <c r="K25" i="1"/>
  <c r="L25" i="1"/>
  <c r="M25" i="1"/>
  <c r="P25" i="1" s="1"/>
  <c r="V25" i="1"/>
  <c r="Y25" i="1"/>
  <c r="Z25" i="1"/>
  <c r="AB25" i="1"/>
  <c r="AC25" i="1"/>
  <c r="AD25" i="1"/>
  <c r="AE25" i="1"/>
  <c r="AF25" i="1"/>
  <c r="K26" i="1"/>
  <c r="L26" i="1"/>
  <c r="M26" i="1"/>
  <c r="V26" i="1"/>
  <c r="Y26" i="1"/>
  <c r="Z26" i="1"/>
  <c r="AB26" i="1"/>
  <c r="AC26" i="1"/>
  <c r="AD26" i="1"/>
  <c r="AE26" i="1"/>
  <c r="AF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V28" i="1"/>
  <c r="Y28" i="1"/>
  <c r="Z28" i="1"/>
  <c r="AB28" i="1"/>
  <c r="AC28" i="1"/>
  <c r="AD28" i="1"/>
  <c r="AG28" i="1" s="1"/>
  <c r="AE28" i="1"/>
  <c r="AF28" i="1"/>
  <c r="K29" i="1"/>
  <c r="L29" i="1"/>
  <c r="M29" i="1"/>
  <c r="V29" i="1"/>
  <c r="Y29" i="1"/>
  <c r="Z29" i="1"/>
  <c r="AA29" i="1" s="1"/>
  <c r="AB29" i="1"/>
  <c r="AC29" i="1"/>
  <c r="AD29" i="1"/>
  <c r="AE29" i="1"/>
  <c r="AF29" i="1"/>
  <c r="K30" i="1"/>
  <c r="L30" i="1"/>
  <c r="M30" i="1"/>
  <c r="P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V31" i="1"/>
  <c r="Y31" i="1"/>
  <c r="Z31" i="1"/>
  <c r="AB31" i="1"/>
  <c r="AC31" i="1"/>
  <c r="AD31" i="1"/>
  <c r="AE31" i="1"/>
  <c r="AF31" i="1"/>
  <c r="K32" i="1"/>
  <c r="L32" i="1"/>
  <c r="M32" i="1"/>
  <c r="V32" i="1"/>
  <c r="Y32" i="1"/>
  <c r="Z32" i="1"/>
  <c r="AB32" i="1"/>
  <c r="AC32" i="1"/>
  <c r="AD32" i="1"/>
  <c r="AG32" i="1" s="1"/>
  <c r="AE32" i="1"/>
  <c r="AF32" i="1"/>
  <c r="K33" i="1"/>
  <c r="L33" i="1"/>
  <c r="M33" i="1"/>
  <c r="V33" i="1"/>
  <c r="Y33" i="1"/>
  <c r="Z33" i="1"/>
  <c r="AB33" i="1"/>
  <c r="AC33" i="1"/>
  <c r="AD33" i="1"/>
  <c r="AE33" i="1"/>
  <c r="AF33" i="1"/>
  <c r="K34" i="1"/>
  <c r="L34" i="1"/>
  <c r="M34" i="1"/>
  <c r="P34" i="1" s="1"/>
  <c r="V34" i="1"/>
  <c r="Y34" i="1"/>
  <c r="Z34" i="1"/>
  <c r="AB34" i="1"/>
  <c r="AC34" i="1"/>
  <c r="AD34" i="1"/>
  <c r="AE34" i="1"/>
  <c r="AF34" i="1"/>
  <c r="K35" i="1"/>
  <c r="L35" i="1"/>
  <c r="M35" i="1"/>
  <c r="V35" i="1"/>
  <c r="Y35" i="1"/>
  <c r="Z35" i="1"/>
  <c r="AB35" i="1"/>
  <c r="AC35" i="1"/>
  <c r="AD35" i="1"/>
  <c r="T35" i="1" s="1"/>
  <c r="AE35" i="1"/>
  <c r="AF35" i="1"/>
  <c r="K36" i="1"/>
  <c r="L36" i="1"/>
  <c r="M36" i="1"/>
  <c r="V36" i="1"/>
  <c r="Y36" i="1"/>
  <c r="Z36" i="1"/>
  <c r="AB36" i="1"/>
  <c r="AC36" i="1"/>
  <c r="AD36" i="1"/>
  <c r="AG36" i="1" s="1"/>
  <c r="AE36" i="1"/>
  <c r="AF36" i="1"/>
  <c r="K37" i="1"/>
  <c r="L37" i="1"/>
  <c r="M37" i="1"/>
  <c r="P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A82" i="1" s="1"/>
  <c r="W82" i="1" s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A95" i="1" s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AA98" i="1" s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A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K136" i="1"/>
  <c r="L136" i="1"/>
  <c r="M136" i="1"/>
  <c r="P136" i="1" s="1"/>
  <c r="V136" i="1"/>
  <c r="Y136" i="1"/>
  <c r="Z136" i="1"/>
  <c r="AB136" i="1"/>
  <c r="AC136" i="1"/>
  <c r="AD136" i="1"/>
  <c r="X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P142" i="1" s="1"/>
  <c r="V143" i="1"/>
  <c r="Y143" i="1"/>
  <c r="Z143" i="1"/>
  <c r="AB143" i="1"/>
  <c r="AC143" i="1"/>
  <c r="AD143" i="1"/>
  <c r="AE143" i="1"/>
  <c r="AF143" i="1"/>
  <c r="K144" i="1"/>
  <c r="L144" i="1"/>
  <c r="M144" i="1"/>
  <c r="V144" i="1"/>
  <c r="Y144" i="1"/>
  <c r="Z144" i="1"/>
  <c r="AB144" i="1"/>
  <c r="AC144" i="1"/>
  <c r="AD144" i="1"/>
  <c r="AE144" i="1"/>
  <c r="AF14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3" i="1"/>
  <c r="L153" i="1"/>
  <c r="M153" i="1"/>
  <c r="P153" i="1" s="1"/>
  <c r="V153" i="1"/>
  <c r="Y153" i="1"/>
  <c r="Z153" i="1"/>
  <c r="AB153" i="1"/>
  <c r="AC153" i="1"/>
  <c r="AD153" i="1"/>
  <c r="X154" i="1" s="1"/>
  <c r="AE153" i="1"/>
  <c r="AF153" i="1"/>
  <c r="K154" i="1"/>
  <c r="L154" i="1"/>
  <c r="M154" i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/>
  <c r="V166" i="1"/>
  <c r="Y166" i="1"/>
  <c r="Z166" i="1"/>
  <c r="AB166" i="1"/>
  <c r="AC166" i="1"/>
  <c r="AD166" i="1"/>
  <c r="X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K226" i="1"/>
  <c r="L226" i="1"/>
  <c r="M226" i="1"/>
  <c r="N226" i="1"/>
  <c r="V226" i="1"/>
  <c r="Y226" i="1"/>
  <c r="Z226" i="1"/>
  <c r="AB226" i="1"/>
  <c r="AC226" i="1"/>
  <c r="AD226" i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AA190" i="1" s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P49" i="3" s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S36" i="3"/>
  <c r="R36" i="3" s="1"/>
  <c r="T36" i="3"/>
  <c r="U36" i="3"/>
  <c r="V36" i="3"/>
  <c r="S19" i="3"/>
  <c r="R19" i="3" s="1"/>
  <c r="T19" i="3"/>
  <c r="U19" i="3"/>
  <c r="V19" i="3"/>
  <c r="S63" i="3"/>
  <c r="R63" i="3" s="1"/>
  <c r="T63" i="3"/>
  <c r="U63" i="3"/>
  <c r="V63" i="3"/>
  <c r="S64" i="3"/>
  <c r="R64" i="3" s="1"/>
  <c r="T64" i="3"/>
  <c r="U64" i="3"/>
  <c r="V64" i="3"/>
  <c r="S65" i="3"/>
  <c r="R65" i="3" s="1"/>
  <c r="T65" i="3"/>
  <c r="U65" i="3"/>
  <c r="V65" i="3"/>
  <c r="S24" i="3"/>
  <c r="R24" i="3" s="1"/>
  <c r="T24" i="3"/>
  <c r="U24" i="3"/>
  <c r="V24" i="3"/>
  <c r="S50" i="3"/>
  <c r="R50" i="3" s="1"/>
  <c r="T50" i="3"/>
  <c r="U50" i="3"/>
  <c r="V50" i="3"/>
  <c r="S55" i="3"/>
  <c r="R55" i="3" s="1"/>
  <c r="T55" i="3"/>
  <c r="U55" i="3"/>
  <c r="V55" i="3"/>
  <c r="S11" i="3"/>
  <c r="R11" i="3" s="1"/>
  <c r="T11" i="3"/>
  <c r="U11" i="3"/>
  <c r="V11" i="3"/>
  <c r="S56" i="3"/>
  <c r="R56" i="3" s="1"/>
  <c r="T56" i="3"/>
  <c r="U56" i="3"/>
  <c r="V56" i="3"/>
  <c r="S66" i="3"/>
  <c r="R66" i="3" s="1"/>
  <c r="T66" i="3"/>
  <c r="U66" i="3"/>
  <c r="V66" i="3"/>
  <c r="S25" i="3"/>
  <c r="R25" i="3" s="1"/>
  <c r="T25" i="3"/>
  <c r="U25" i="3"/>
  <c r="V25" i="3"/>
  <c r="S16" i="3"/>
  <c r="R16" i="3" s="1"/>
  <c r="T16" i="3"/>
  <c r="U16" i="3"/>
  <c r="V16" i="3"/>
  <c r="S57" i="3"/>
  <c r="R57" i="3" s="1"/>
  <c r="T57" i="3"/>
  <c r="U57" i="3"/>
  <c r="V57" i="3"/>
  <c r="S67" i="3"/>
  <c r="R67" i="3" s="1"/>
  <c r="T67" i="3"/>
  <c r="U67" i="3"/>
  <c r="V67" i="3"/>
  <c r="S39" i="3"/>
  <c r="R39" i="3" s="1"/>
  <c r="T39" i="3"/>
  <c r="U39" i="3"/>
  <c r="V39" i="3"/>
  <c r="S44" i="3"/>
  <c r="R44" i="3" s="1"/>
  <c r="T44" i="3"/>
  <c r="U44" i="3"/>
  <c r="V44" i="3"/>
  <c r="S48" i="3"/>
  <c r="R48" i="3" s="1"/>
  <c r="T48" i="3"/>
  <c r="U48" i="3"/>
  <c r="V48" i="3"/>
  <c r="S40" i="3"/>
  <c r="R40" i="3" s="1"/>
  <c r="T40" i="3"/>
  <c r="U40" i="3"/>
  <c r="V40" i="3"/>
  <c r="S51" i="3"/>
  <c r="R51" i="3" s="1"/>
  <c r="T51" i="3"/>
  <c r="U51" i="3"/>
  <c r="V51" i="3"/>
  <c r="S46" i="3"/>
  <c r="R46" i="3" s="1"/>
  <c r="T46" i="3"/>
  <c r="U46" i="3"/>
  <c r="V46" i="3"/>
  <c r="S52" i="3"/>
  <c r="R52" i="3" s="1"/>
  <c r="T52" i="3"/>
  <c r="U52" i="3"/>
  <c r="V52" i="3"/>
  <c r="S20" i="3"/>
  <c r="R20" i="3" s="1"/>
  <c r="T20" i="3"/>
  <c r="U20" i="3"/>
  <c r="V20" i="3"/>
  <c r="S41" i="3"/>
  <c r="R41" i="3" s="1"/>
  <c r="T41" i="3"/>
  <c r="U41" i="3"/>
  <c r="V41" i="3"/>
  <c r="S45" i="3"/>
  <c r="R45" i="3" s="1"/>
  <c r="T45" i="3"/>
  <c r="U45" i="3"/>
  <c r="V45" i="3"/>
  <c r="S26" i="3"/>
  <c r="R26" i="3" s="1"/>
  <c r="T26" i="3"/>
  <c r="U26" i="3"/>
  <c r="V26" i="3"/>
  <c r="S58" i="3"/>
  <c r="R58" i="3" s="1"/>
  <c r="T58" i="3"/>
  <c r="U58" i="3"/>
  <c r="V58" i="3"/>
  <c r="S59" i="3"/>
  <c r="R59" i="3" s="1"/>
  <c r="T59" i="3"/>
  <c r="U59" i="3"/>
  <c r="V59" i="3"/>
  <c r="S21" i="3"/>
  <c r="R21" i="3" s="1"/>
  <c r="T21" i="3"/>
  <c r="U21" i="3"/>
  <c r="V21" i="3"/>
  <c r="S27" i="3"/>
  <c r="R27" i="3" s="1"/>
  <c r="T27" i="3"/>
  <c r="U27" i="3"/>
  <c r="V27" i="3"/>
  <c r="S68" i="3"/>
  <c r="R68" i="3" s="1"/>
  <c r="T68" i="3"/>
  <c r="U68" i="3"/>
  <c r="V68" i="3"/>
  <c r="S10" i="3"/>
  <c r="R10" i="3" s="1"/>
  <c r="T10" i="3"/>
  <c r="U10" i="3"/>
  <c r="V10" i="3"/>
  <c r="S28" i="3"/>
  <c r="R28" i="3" s="1"/>
  <c r="T28" i="3"/>
  <c r="U28" i="3"/>
  <c r="V28" i="3"/>
  <c r="S14" i="3"/>
  <c r="R14" i="3" s="1"/>
  <c r="T14" i="3"/>
  <c r="U14" i="3"/>
  <c r="V14" i="3"/>
  <c r="S43" i="3"/>
  <c r="R43" i="3" s="1"/>
  <c r="T43" i="3"/>
  <c r="U43" i="3"/>
  <c r="V43" i="3"/>
  <c r="S47" i="3"/>
  <c r="R47" i="3" s="1"/>
  <c r="T47" i="3"/>
  <c r="U47" i="3"/>
  <c r="V47" i="3"/>
  <c r="S29" i="3"/>
  <c r="R29" i="3" s="1"/>
  <c r="T29" i="3"/>
  <c r="U29" i="3"/>
  <c r="V29" i="3"/>
  <c r="S8" i="3"/>
  <c r="R8" i="3" s="1"/>
  <c r="T8" i="3"/>
  <c r="U8" i="3"/>
  <c r="V8" i="3"/>
  <c r="S17" i="3"/>
  <c r="R17" i="3" s="1"/>
  <c r="T17" i="3"/>
  <c r="U17" i="3"/>
  <c r="V17" i="3"/>
  <c r="S54" i="3"/>
  <c r="R54" i="3" s="1"/>
  <c r="T54" i="3"/>
  <c r="U54" i="3"/>
  <c r="V54" i="3"/>
  <c r="S42" i="3"/>
  <c r="R42" i="3" s="1"/>
  <c r="T42" i="3"/>
  <c r="U42" i="3"/>
  <c r="V42" i="3"/>
  <c r="S13" i="3"/>
  <c r="R13" i="3" s="1"/>
  <c r="T13" i="3"/>
  <c r="U13" i="3"/>
  <c r="V13" i="3"/>
  <c r="S18" i="3"/>
  <c r="R18" i="3" s="1"/>
  <c r="T18" i="3"/>
  <c r="U18" i="3"/>
  <c r="V18" i="3"/>
  <c r="S30" i="3"/>
  <c r="R30" i="3" s="1"/>
  <c r="T30" i="3"/>
  <c r="U30" i="3"/>
  <c r="V30" i="3"/>
  <c r="S31" i="3"/>
  <c r="R31" i="3" s="1"/>
  <c r="T31" i="3"/>
  <c r="U31" i="3"/>
  <c r="V31" i="3"/>
  <c r="S15" i="3"/>
  <c r="R15" i="3" s="1"/>
  <c r="T15" i="3"/>
  <c r="U15" i="3"/>
  <c r="V15" i="3"/>
  <c r="S60" i="3"/>
  <c r="R60" i="3" s="1"/>
  <c r="T60" i="3"/>
  <c r="U60" i="3"/>
  <c r="V60" i="3"/>
  <c r="S32" i="3"/>
  <c r="R32" i="3" s="1"/>
  <c r="T32" i="3"/>
  <c r="U32" i="3"/>
  <c r="V32" i="3"/>
  <c r="S53" i="3"/>
  <c r="R53" i="3" s="1"/>
  <c r="T53" i="3"/>
  <c r="U53" i="3"/>
  <c r="V53" i="3"/>
  <c r="S61" i="3"/>
  <c r="R61" i="3" s="1"/>
  <c r="T61" i="3"/>
  <c r="U61" i="3"/>
  <c r="V61" i="3"/>
  <c r="S69" i="3"/>
  <c r="R69" i="3" s="1"/>
  <c r="T69" i="3"/>
  <c r="U69" i="3"/>
  <c r="V69" i="3"/>
  <c r="S7" i="3"/>
  <c r="R7" i="3" s="1"/>
  <c r="T7" i="3"/>
  <c r="U7" i="3"/>
  <c r="V7" i="3"/>
  <c r="S73" i="3"/>
  <c r="R73" i="3" s="1"/>
  <c r="T73" i="3"/>
  <c r="U73" i="3"/>
  <c r="V73" i="3"/>
  <c r="S62" i="3"/>
  <c r="R62" i="3" s="1"/>
  <c r="T62" i="3"/>
  <c r="U62" i="3"/>
  <c r="V62" i="3"/>
  <c r="S70" i="3"/>
  <c r="R70" i="3" s="1"/>
  <c r="T70" i="3"/>
  <c r="U70" i="3"/>
  <c r="V70" i="3"/>
  <c r="S33" i="3"/>
  <c r="R33" i="3" s="1"/>
  <c r="T33" i="3"/>
  <c r="U33" i="3"/>
  <c r="V33" i="3"/>
  <c r="S22" i="3"/>
  <c r="R22" i="3" s="1"/>
  <c r="T22" i="3"/>
  <c r="U22" i="3"/>
  <c r="V22" i="3"/>
  <c r="S37" i="3"/>
  <c r="R37" i="3" s="1"/>
  <c r="T37" i="3"/>
  <c r="U37" i="3"/>
  <c r="V37" i="3"/>
  <c r="Q49" i="3"/>
  <c r="S49" i="3"/>
  <c r="R49" i="3" s="1"/>
  <c r="T49" i="3"/>
  <c r="U49" i="3"/>
  <c r="V49" i="3"/>
  <c r="S34" i="3"/>
  <c r="R34" i="3" s="1"/>
  <c r="T34" i="3"/>
  <c r="U34" i="3"/>
  <c r="V34" i="3"/>
  <c r="S35" i="3"/>
  <c r="R35" i="3" s="1"/>
  <c r="T35" i="3"/>
  <c r="U35" i="3"/>
  <c r="V35" i="3"/>
  <c r="S23" i="3"/>
  <c r="R23" i="3" s="1"/>
  <c r="T23" i="3"/>
  <c r="U23" i="3"/>
  <c r="V23" i="3"/>
  <c r="S12" i="3"/>
  <c r="R12" i="3" s="1"/>
  <c r="T12" i="3"/>
  <c r="U12" i="3"/>
  <c r="V12" i="3"/>
  <c r="S38" i="3"/>
  <c r="R38" i="3" s="1"/>
  <c r="T38" i="3"/>
  <c r="U38" i="3"/>
  <c r="V38" i="3"/>
  <c r="S71" i="3"/>
  <c r="R71" i="3" s="1"/>
  <c r="T71" i="3"/>
  <c r="U71" i="3"/>
  <c r="V71" i="3"/>
  <c r="S72" i="3"/>
  <c r="R72" i="3" s="1"/>
  <c r="T72" i="3"/>
  <c r="U72" i="3"/>
  <c r="V72" i="3"/>
  <c r="W176" i="1" l="1"/>
  <c r="AG176" i="1"/>
  <c r="AG148" i="1"/>
  <c r="W145" i="1"/>
  <c r="AI145" i="1"/>
  <c r="U145" i="1"/>
  <c r="S145" i="1" s="1"/>
  <c r="AG146" i="1"/>
  <c r="AG138" i="1"/>
  <c r="W46" i="3"/>
  <c r="W25" i="3"/>
  <c r="W19" i="3"/>
  <c r="W36" i="3"/>
  <c r="W72" i="3"/>
  <c r="W34" i="3"/>
  <c r="T197" i="1"/>
  <c r="X157" i="1"/>
  <c r="X153" i="1"/>
  <c r="W38" i="3"/>
  <c r="W23" i="3"/>
  <c r="X156" i="1"/>
  <c r="X167" i="1"/>
  <c r="X137" i="1"/>
  <c r="X155" i="1"/>
  <c r="AA186" i="1"/>
  <c r="W186" i="1" s="1"/>
  <c r="AA182" i="1"/>
  <c r="AA139" i="1"/>
  <c r="P32" i="1"/>
  <c r="P28" i="1"/>
  <c r="X165" i="1"/>
  <c r="W51" i="3"/>
  <c r="W40" i="3"/>
  <c r="W44" i="3"/>
  <c r="W39" i="3"/>
  <c r="W57" i="3"/>
  <c r="W16" i="3"/>
  <c r="AG152" i="1"/>
  <c r="X152" i="1"/>
  <c r="W32" i="3"/>
  <c r="W30" i="3"/>
  <c r="W13" i="3"/>
  <c r="W47" i="3"/>
  <c r="W14" i="3"/>
  <c r="W27" i="3"/>
  <c r="W26" i="3"/>
  <c r="W52" i="3"/>
  <c r="W11" i="3"/>
  <c r="X28" i="1"/>
  <c r="X52" i="1"/>
  <c r="W37" i="3"/>
  <c r="W33" i="3"/>
  <c r="W62" i="3"/>
  <c r="W7" i="3"/>
  <c r="W61" i="3"/>
  <c r="W15" i="3"/>
  <c r="W54" i="3"/>
  <c r="W8" i="3"/>
  <c r="W10" i="3"/>
  <c r="W59" i="3"/>
  <c r="W41" i="3"/>
  <c r="W66" i="3"/>
  <c r="W55" i="3"/>
  <c r="AA223" i="1"/>
  <c r="AA198" i="1"/>
  <c r="AI198" i="1" s="1"/>
  <c r="AA188" i="1"/>
  <c r="T181" i="1"/>
  <c r="U181" i="1" s="1"/>
  <c r="S181" i="1" s="1"/>
  <c r="AA168" i="1"/>
  <c r="AA161" i="1"/>
  <c r="W161" i="1" s="1"/>
  <c r="AA92" i="1"/>
  <c r="AA88" i="1"/>
  <c r="W88" i="1" s="1"/>
  <c r="AA65" i="1"/>
  <c r="AI65" i="1" s="1"/>
  <c r="AA207" i="1"/>
  <c r="AA114" i="1"/>
  <c r="W114" i="1" s="1"/>
  <c r="AA70" i="1"/>
  <c r="AA48" i="1"/>
  <c r="AA40" i="1"/>
  <c r="AI40" i="1" s="1"/>
  <c r="X53" i="1"/>
  <c r="T157" i="1"/>
  <c r="AA149" i="1"/>
  <c r="AI149" i="1" s="1"/>
  <c r="AG121" i="1"/>
  <c r="U121" i="1" s="1"/>
  <c r="S121" i="1" s="1"/>
  <c r="X121" i="1"/>
  <c r="AA87" i="1"/>
  <c r="AI87" i="1" s="1"/>
  <c r="AA83" i="1"/>
  <c r="AG58" i="1"/>
  <c r="AA33" i="1"/>
  <c r="AA17" i="1"/>
  <c r="AA205" i="1"/>
  <c r="AA196" i="1"/>
  <c r="AA187" i="1"/>
  <c r="AA162" i="1"/>
  <c r="AI162" i="1" s="1"/>
  <c r="AA128" i="1"/>
  <c r="AA64" i="1"/>
  <c r="AI64" i="1" s="1"/>
  <c r="AA49" i="1"/>
  <c r="X43" i="1"/>
  <c r="AA43" i="1"/>
  <c r="AA39" i="1"/>
  <c r="W39" i="1" s="1"/>
  <c r="AA27" i="1"/>
  <c r="AA125" i="1"/>
  <c r="X115" i="1"/>
  <c r="AG97" i="1"/>
  <c r="U97" i="1" s="1"/>
  <c r="S97" i="1" s="1"/>
  <c r="X86" i="1"/>
  <c r="AA86" i="1"/>
  <c r="AG80" i="1"/>
  <c r="U80" i="1" s="1"/>
  <c r="S80" i="1" s="1"/>
  <c r="AA23" i="1"/>
  <c r="AG213" i="1"/>
  <c r="U213" i="1" s="1"/>
  <c r="S213" i="1" s="1"/>
  <c r="AG201" i="1"/>
  <c r="U201" i="1" s="1"/>
  <c r="S201" i="1" s="1"/>
  <c r="AA172" i="1"/>
  <c r="AA225" i="1"/>
  <c r="AG219" i="1"/>
  <c r="U219" i="1" s="1"/>
  <c r="S219" i="1" s="1"/>
  <c r="AG151" i="1"/>
  <c r="AG140" i="1"/>
  <c r="U140" i="1" s="1"/>
  <c r="S140" i="1" s="1"/>
  <c r="AA118" i="1"/>
  <c r="AG113" i="1"/>
  <c r="U113" i="1" s="1"/>
  <c r="S113" i="1" s="1"/>
  <c r="X113" i="1"/>
  <c r="AG105" i="1"/>
  <c r="U105" i="1" s="1"/>
  <c r="S105" i="1" s="1"/>
  <c r="X101" i="1"/>
  <c r="AG74" i="1"/>
  <c r="U74" i="1" s="1"/>
  <c r="S74" i="1" s="1"/>
  <c r="X74" i="1"/>
  <c r="AA55" i="1"/>
  <c r="AA36" i="1"/>
  <c r="AI36" i="1" s="1"/>
  <c r="T19" i="1"/>
  <c r="U19" i="1" s="1"/>
  <c r="T16" i="1"/>
  <c r="U16" i="1" s="1"/>
  <c r="S16" i="1" s="1"/>
  <c r="X171" i="1"/>
  <c r="AA131" i="1"/>
  <c r="X117" i="1"/>
  <c r="AG110" i="1"/>
  <c r="U110" i="1" s="1"/>
  <c r="S110" i="1" s="1"/>
  <c r="X105" i="1"/>
  <c r="AG27" i="1"/>
  <c r="AA194" i="1"/>
  <c r="W194" i="1" s="1"/>
  <c r="AA183" i="1"/>
  <c r="AA173" i="1"/>
  <c r="AI173" i="1" s="1"/>
  <c r="AA137" i="1"/>
  <c r="AI137" i="1" s="1"/>
  <c r="AG133" i="1"/>
  <c r="AA122" i="1"/>
  <c r="AA111" i="1"/>
  <c r="AI111" i="1" s="1"/>
  <c r="AA99" i="1"/>
  <c r="W99" i="1" s="1"/>
  <c r="AG77" i="1"/>
  <c r="U77" i="1" s="1"/>
  <c r="S77" i="1" s="1"/>
  <c r="AG73" i="1"/>
  <c r="U73" i="1" s="1"/>
  <c r="S73" i="1" s="1"/>
  <c r="T64" i="1"/>
  <c r="AA56" i="1"/>
  <c r="AI56" i="1" s="1"/>
  <c r="T48" i="1"/>
  <c r="U48" i="1" s="1"/>
  <c r="S48" i="1" s="1"/>
  <c r="AA44" i="1"/>
  <c r="AI44" i="1" s="1"/>
  <c r="AA16" i="1"/>
  <c r="W16" i="1" s="1"/>
  <c r="AA15" i="1"/>
  <c r="T177" i="1"/>
  <c r="AG177" i="1"/>
  <c r="T218" i="1"/>
  <c r="X219" i="1"/>
  <c r="T85" i="1"/>
  <c r="AG85" i="1"/>
  <c r="X47" i="1"/>
  <c r="T47" i="1"/>
  <c r="T23" i="1"/>
  <c r="X23" i="1"/>
  <c r="AG23" i="1"/>
  <c r="AA224" i="1"/>
  <c r="W224" i="1" s="1"/>
  <c r="AA222" i="1"/>
  <c r="AA221" i="1"/>
  <c r="AA214" i="1"/>
  <c r="W214" i="1" s="1"/>
  <c r="X210" i="1"/>
  <c r="AA206" i="1"/>
  <c r="W206" i="1" s="1"/>
  <c r="AA204" i="1"/>
  <c r="W204" i="1" s="1"/>
  <c r="AA203" i="1"/>
  <c r="U197" i="1"/>
  <c r="S197" i="1" s="1"/>
  <c r="AA197" i="1"/>
  <c r="W197" i="1" s="1"/>
  <c r="AG193" i="1"/>
  <c r="T185" i="1"/>
  <c r="U185" i="1" s="1"/>
  <c r="S185" i="1" s="1"/>
  <c r="AA220" i="1"/>
  <c r="W220" i="1" s="1"/>
  <c r="AA150" i="1"/>
  <c r="W150" i="1" s="1"/>
  <c r="T141" i="1"/>
  <c r="AG141" i="1"/>
  <c r="AA141" i="1"/>
  <c r="AG134" i="1"/>
  <c r="T134" i="1"/>
  <c r="AA106" i="1"/>
  <c r="T98" i="1"/>
  <c r="X98" i="1"/>
  <c r="AG98" i="1"/>
  <c r="AI98" i="1" s="1"/>
  <c r="AG94" i="1"/>
  <c r="U94" i="1" s="1"/>
  <c r="S94" i="1" s="1"/>
  <c r="T76" i="1"/>
  <c r="U76" i="1" s="1"/>
  <c r="S76" i="1" s="1"/>
  <c r="X77" i="1"/>
  <c r="AA74" i="1"/>
  <c r="T72" i="1"/>
  <c r="U72" i="1" s="1"/>
  <c r="S72" i="1" s="1"/>
  <c r="X73" i="1"/>
  <c r="AG70" i="1"/>
  <c r="W70" i="1" s="1"/>
  <c r="X70" i="1"/>
  <c r="AA20" i="1"/>
  <c r="W190" i="1"/>
  <c r="T154" i="1"/>
  <c r="T122" i="1"/>
  <c r="X122" i="1"/>
  <c r="AG122" i="1"/>
  <c r="T90" i="1"/>
  <c r="AG90" i="1"/>
  <c r="AG63" i="1"/>
  <c r="T63" i="1"/>
  <c r="T51" i="1"/>
  <c r="AG51" i="1"/>
  <c r="AG20" i="1"/>
  <c r="X20" i="1"/>
  <c r="AA212" i="1"/>
  <c r="AA211" i="1"/>
  <c r="AA210" i="1"/>
  <c r="W210" i="1" s="1"/>
  <c r="AG209" i="1"/>
  <c r="U209" i="1" s="1"/>
  <c r="S209" i="1" s="1"/>
  <c r="X194" i="1"/>
  <c r="AA189" i="1"/>
  <c r="AA216" i="1"/>
  <c r="W216" i="1" s="1"/>
  <c r="AA159" i="1"/>
  <c r="T147" i="1"/>
  <c r="AG147" i="1"/>
  <c r="AA147" i="1"/>
  <c r="AA129" i="1"/>
  <c r="AA112" i="1"/>
  <c r="W112" i="1" s="1"/>
  <c r="T102" i="1"/>
  <c r="AG102" i="1"/>
  <c r="AA96" i="1"/>
  <c r="W96" i="1" s="1"/>
  <c r="AA94" i="1"/>
  <c r="AG78" i="1"/>
  <c r="X78" i="1"/>
  <c r="T55" i="1"/>
  <c r="AG55" i="1"/>
  <c r="AG52" i="1"/>
  <c r="X31" i="1"/>
  <c r="T31" i="1"/>
  <c r="AA202" i="1"/>
  <c r="W202" i="1" s="1"/>
  <c r="AA199" i="1"/>
  <c r="AA181" i="1"/>
  <c r="AI181" i="1" s="1"/>
  <c r="AA180" i="1"/>
  <c r="W180" i="1" s="1"/>
  <c r="AA179" i="1"/>
  <c r="AA178" i="1"/>
  <c r="W178" i="1" s="1"/>
  <c r="AA169" i="1"/>
  <c r="W169" i="1" s="1"/>
  <c r="AA228" i="1"/>
  <c r="W228" i="1" s="1"/>
  <c r="AA227" i="1"/>
  <c r="X215" i="1"/>
  <c r="AA215" i="1"/>
  <c r="X160" i="1"/>
  <c r="AA155" i="1"/>
  <c r="W155" i="1" s="1"/>
  <c r="AA143" i="1"/>
  <c r="AA140" i="1"/>
  <c r="AA124" i="1"/>
  <c r="AA123" i="1"/>
  <c r="AA121" i="1"/>
  <c r="AA120" i="1"/>
  <c r="W120" i="1" s="1"/>
  <c r="AA117" i="1"/>
  <c r="AA116" i="1"/>
  <c r="X114" i="1"/>
  <c r="AA110" i="1"/>
  <c r="X81" i="1"/>
  <c r="AA80" i="1"/>
  <c r="AA79" i="1"/>
  <c r="AA69" i="1"/>
  <c r="X59" i="1"/>
  <c r="AA59" i="1"/>
  <c r="AA45" i="1"/>
  <c r="AI45" i="1" s="1"/>
  <c r="AA42" i="1"/>
  <c r="AA35" i="1"/>
  <c r="AA26" i="1"/>
  <c r="AA14" i="1"/>
  <c r="X226" i="1"/>
  <c r="AA217" i="1"/>
  <c r="W217" i="1" s="1"/>
  <c r="AA165" i="1"/>
  <c r="W165" i="1" s="1"/>
  <c r="AA151" i="1"/>
  <c r="W151" i="1" s="1"/>
  <c r="AA136" i="1"/>
  <c r="AA135" i="1"/>
  <c r="AA134" i="1"/>
  <c r="AA115" i="1"/>
  <c r="W115" i="1" s="1"/>
  <c r="AA108" i="1"/>
  <c r="AA104" i="1"/>
  <c r="W104" i="1" s="1"/>
  <c r="AA103" i="1"/>
  <c r="AI103" i="1" s="1"/>
  <c r="AA97" i="1"/>
  <c r="AA91" i="1"/>
  <c r="AA78" i="1"/>
  <c r="AA76" i="1"/>
  <c r="W76" i="1" s="1"/>
  <c r="AA72" i="1"/>
  <c r="AI72" i="1" s="1"/>
  <c r="AA71" i="1"/>
  <c r="X69" i="1"/>
  <c r="AA52" i="1"/>
  <c r="AA32" i="1"/>
  <c r="W32" i="1" s="1"/>
  <c r="AA28" i="1"/>
  <c r="AI28" i="1" s="1"/>
  <c r="AA25" i="1"/>
  <c r="AA24" i="1"/>
  <c r="W24" i="1" s="1"/>
  <c r="AA21" i="1"/>
  <c r="X224" i="1"/>
  <c r="AG223" i="1"/>
  <c r="W223" i="1" s="1"/>
  <c r="AA213" i="1"/>
  <c r="X206" i="1"/>
  <c r="AG205" i="1"/>
  <c r="U205" i="1" s="1"/>
  <c r="S205" i="1" s="1"/>
  <c r="AA201" i="1"/>
  <c r="AA200" i="1"/>
  <c r="T198" i="1"/>
  <c r="U198" i="1" s="1"/>
  <c r="S198" i="1" s="1"/>
  <c r="X190" i="1"/>
  <c r="AG189" i="1"/>
  <c r="AA185" i="1"/>
  <c r="W185" i="1" s="1"/>
  <c r="AA184" i="1"/>
  <c r="W184" i="1" s="1"/>
  <c r="T182" i="1"/>
  <c r="U182" i="1" s="1"/>
  <c r="S182" i="1" s="1"/>
  <c r="X173" i="1"/>
  <c r="AG172" i="1"/>
  <c r="AI185" i="1" s="1"/>
  <c r="X172" i="1"/>
  <c r="AA171" i="1"/>
  <c r="AA170" i="1"/>
  <c r="X169" i="1"/>
  <c r="AG168" i="1"/>
  <c r="U168" i="1" s="1"/>
  <c r="S168" i="1" s="1"/>
  <c r="AG230" i="1"/>
  <c r="U230" i="1" s="1"/>
  <c r="S230" i="1" s="1"/>
  <c r="X230" i="1"/>
  <c r="AG227" i="1"/>
  <c r="U227" i="1" s="1"/>
  <c r="S227" i="1" s="1"/>
  <c r="AA218" i="1"/>
  <c r="T216" i="1"/>
  <c r="U216" i="1" s="1"/>
  <c r="S216" i="1" s="1"/>
  <c r="T215" i="1"/>
  <c r="AA164" i="1"/>
  <c r="AA163" i="1"/>
  <c r="W163" i="1" s="1"/>
  <c r="T161" i="1"/>
  <c r="U161" i="1" s="1"/>
  <c r="S161" i="1" s="1"/>
  <c r="AA157" i="1"/>
  <c r="W157" i="1" s="1"/>
  <c r="AG156" i="1"/>
  <c r="U156" i="1" s="1"/>
  <c r="S156" i="1" s="1"/>
  <c r="AG154" i="1"/>
  <c r="AA153" i="1"/>
  <c r="T137" i="1"/>
  <c r="U137" i="1" s="1"/>
  <c r="S137" i="1" s="1"/>
  <c r="AI95" i="1"/>
  <c r="W95" i="1"/>
  <c r="U27" i="1"/>
  <c r="S27" i="1" s="1"/>
  <c r="X214" i="1"/>
  <c r="T210" i="1"/>
  <c r="U210" i="1" s="1"/>
  <c r="S210" i="1" s="1"/>
  <c r="X202" i="1"/>
  <c r="T194" i="1"/>
  <c r="U194" i="1" s="1"/>
  <c r="S194" i="1" s="1"/>
  <c r="X186" i="1"/>
  <c r="W181" i="1"/>
  <c r="T178" i="1"/>
  <c r="U178" i="1" s="1"/>
  <c r="S178" i="1" s="1"/>
  <c r="T165" i="1"/>
  <c r="U165" i="1" s="1"/>
  <c r="S165" i="1" s="1"/>
  <c r="AA158" i="1"/>
  <c r="AI158" i="1" s="1"/>
  <c r="U157" i="1"/>
  <c r="S157" i="1" s="1"/>
  <c r="AA130" i="1"/>
  <c r="W130" i="1" s="1"/>
  <c r="T130" i="1"/>
  <c r="U130" i="1" s="1"/>
  <c r="S130" i="1" s="1"/>
  <c r="AG126" i="1"/>
  <c r="T126" i="1"/>
  <c r="AG125" i="1"/>
  <c r="U125" i="1" s="1"/>
  <c r="S125" i="1" s="1"/>
  <c r="AA119" i="1"/>
  <c r="AI119" i="1" s="1"/>
  <c r="T119" i="1"/>
  <c r="T224" i="1"/>
  <c r="U224" i="1" s="1"/>
  <c r="S224" i="1" s="1"/>
  <c r="AA209" i="1"/>
  <c r="AA208" i="1"/>
  <c r="T206" i="1"/>
  <c r="U206" i="1" s="1"/>
  <c r="S206" i="1" s="1"/>
  <c r="X198" i="1"/>
  <c r="AA193" i="1"/>
  <c r="AA192" i="1"/>
  <c r="T190" i="1"/>
  <c r="U190" i="1" s="1"/>
  <c r="S190" i="1" s="1"/>
  <c r="X182" i="1"/>
  <c r="AA177" i="1"/>
  <c r="AA175" i="1"/>
  <c r="W175" i="1" s="1"/>
  <c r="T173" i="1"/>
  <c r="U173" i="1" s="1"/>
  <c r="S173" i="1" s="1"/>
  <c r="AA230" i="1"/>
  <c r="AA229" i="1"/>
  <c r="W229" i="1" s="1"/>
  <c r="AA219" i="1"/>
  <c r="AG218" i="1"/>
  <c r="X218" i="1"/>
  <c r="X216" i="1"/>
  <c r="AG215" i="1"/>
  <c r="AA167" i="1"/>
  <c r="AA166" i="1"/>
  <c r="AG164" i="1"/>
  <c r="X164" i="1"/>
  <c r="AA156" i="1"/>
  <c r="X126" i="1"/>
  <c r="AI88" i="1"/>
  <c r="AI82" i="1"/>
  <c r="T214" i="1"/>
  <c r="U214" i="1" s="1"/>
  <c r="S214" i="1" s="1"/>
  <c r="T202" i="1"/>
  <c r="U202" i="1" s="1"/>
  <c r="S202" i="1" s="1"/>
  <c r="T186" i="1"/>
  <c r="U186" i="1" s="1"/>
  <c r="S186" i="1" s="1"/>
  <c r="AA154" i="1"/>
  <c r="U151" i="1"/>
  <c r="S151" i="1" s="1"/>
  <c r="AA142" i="1"/>
  <c r="W142" i="1" s="1"/>
  <c r="AA133" i="1"/>
  <c r="AA132" i="1"/>
  <c r="X130" i="1"/>
  <c r="AG129" i="1"/>
  <c r="U129" i="1" s="1"/>
  <c r="S129" i="1" s="1"/>
  <c r="X119" i="1"/>
  <c r="AG118" i="1"/>
  <c r="U118" i="1" s="1"/>
  <c r="S118" i="1" s="1"/>
  <c r="X118" i="1"/>
  <c r="AI32" i="1"/>
  <c r="AA113" i="1"/>
  <c r="AA105" i="1"/>
  <c r="X103" i="1"/>
  <c r="X102" i="1"/>
  <c r="AA101" i="1"/>
  <c r="AA100" i="1"/>
  <c r="X99" i="1"/>
  <c r="X97" i="1"/>
  <c r="X90" i="1"/>
  <c r="T86" i="1"/>
  <c r="X82" i="1"/>
  <c r="AA67" i="1"/>
  <c r="AA61" i="1"/>
  <c r="AA60" i="1"/>
  <c r="W60" i="1" s="1"/>
  <c r="T60" i="1"/>
  <c r="U60" i="1" s="1"/>
  <c r="S60" i="1" s="1"/>
  <c r="T59" i="1"/>
  <c r="X56" i="1"/>
  <c r="AA46" i="1"/>
  <c r="T44" i="1"/>
  <c r="U44" i="1" s="1"/>
  <c r="S44" i="1" s="1"/>
  <c r="T43" i="1"/>
  <c r="X39" i="1"/>
  <c r="AA38" i="1"/>
  <c r="T36" i="1"/>
  <c r="U36" i="1" s="1"/>
  <c r="AA30" i="1"/>
  <c r="W30" i="1" s="1"/>
  <c r="T28" i="1"/>
  <c r="U28" i="1" s="1"/>
  <c r="X24" i="1"/>
  <c r="AA18" i="1"/>
  <c r="X16" i="1"/>
  <c r="T114" i="1"/>
  <c r="U114" i="1" s="1"/>
  <c r="S114" i="1" s="1"/>
  <c r="T106" i="1"/>
  <c r="AA89" i="1"/>
  <c r="X87" i="1"/>
  <c r="AG86" i="1"/>
  <c r="AA84" i="1"/>
  <c r="AA81" i="1"/>
  <c r="T81" i="1"/>
  <c r="W65" i="1"/>
  <c r="T32" i="1"/>
  <c r="U32" i="1" s="1"/>
  <c r="T103" i="1"/>
  <c r="U103" i="1" s="1"/>
  <c r="S103" i="1" s="1"/>
  <c r="T82" i="1"/>
  <c r="U82" i="1" s="1"/>
  <c r="S82" i="1" s="1"/>
  <c r="T70" i="1"/>
  <c r="AG68" i="1"/>
  <c r="U68" i="1" s="1"/>
  <c r="S68" i="1" s="1"/>
  <c r="AA63" i="1"/>
  <c r="AG62" i="1"/>
  <c r="U62" i="1" s="1"/>
  <c r="S62" i="1" s="1"/>
  <c r="X60" i="1"/>
  <c r="AG59" i="1"/>
  <c r="X58" i="1"/>
  <c r="T56" i="1"/>
  <c r="U56" i="1" s="1"/>
  <c r="S56" i="1" s="1"/>
  <c r="AA47" i="1"/>
  <c r="AG46" i="1"/>
  <c r="U46" i="1" s="1"/>
  <c r="S46" i="1" s="1"/>
  <c r="X46" i="1"/>
  <c r="X44" i="1"/>
  <c r="AG43" i="1"/>
  <c r="W43" i="1" s="1"/>
  <c r="T39" i="1"/>
  <c r="U39" i="1" s="1"/>
  <c r="S39" i="1" s="1"/>
  <c r="X36" i="1"/>
  <c r="AG35" i="1"/>
  <c r="AA31" i="1"/>
  <c r="T24" i="1"/>
  <c r="U24" i="1" s="1"/>
  <c r="S24" i="1" s="1"/>
  <c r="AA126" i="1"/>
  <c r="AA107" i="1"/>
  <c r="AG106" i="1"/>
  <c r="AA102" i="1"/>
  <c r="W102" i="1" s="1"/>
  <c r="AA90" i="1"/>
  <c r="AG89" i="1"/>
  <c r="U89" i="1" s="1"/>
  <c r="S89" i="1" s="1"/>
  <c r="X89" i="1"/>
  <c r="T87" i="1"/>
  <c r="U87" i="1" s="1"/>
  <c r="S87" i="1" s="1"/>
  <c r="AA85" i="1"/>
  <c r="AG81" i="1"/>
  <c r="AA77" i="1"/>
  <c r="AA75" i="1"/>
  <c r="AA73" i="1"/>
  <c r="AG69" i="1"/>
  <c r="U69" i="1" s="1"/>
  <c r="S69" i="1" s="1"/>
  <c r="AG66" i="1"/>
  <c r="U66" i="1" s="1"/>
  <c r="S66" i="1" s="1"/>
  <c r="X66" i="1"/>
  <c r="AA58" i="1"/>
  <c r="AG57" i="1"/>
  <c r="AA53" i="1"/>
  <c r="W53" i="1" s="1"/>
  <c r="X48" i="1"/>
  <c r="AG47" i="1"/>
  <c r="X42" i="1"/>
  <c r="AA41" i="1"/>
  <c r="W41" i="1" s="1"/>
  <c r="X40" i="1"/>
  <c r="AA37" i="1"/>
  <c r="AI37" i="1" s="1"/>
  <c r="X32" i="1"/>
  <c r="AG31" i="1"/>
  <c r="AI31" i="1" s="1"/>
  <c r="AA22" i="1"/>
  <c r="W22" i="1" s="1"/>
  <c r="T20" i="1"/>
  <c r="AA19" i="1"/>
  <c r="W19" i="1" s="1"/>
  <c r="AG15" i="1"/>
  <c r="U15" i="1" s="1"/>
  <c r="T212" i="1"/>
  <c r="X212" i="1"/>
  <c r="AG212" i="1"/>
  <c r="X213" i="1"/>
  <c r="AI206" i="1"/>
  <c r="W139" i="1"/>
  <c r="AG208" i="1"/>
  <c r="X209" i="1"/>
  <c r="T208" i="1"/>
  <c r="X208" i="1"/>
  <c r="AI190" i="1"/>
  <c r="T222" i="1"/>
  <c r="X222" i="1"/>
  <c r="AG222" i="1"/>
  <c r="X223" i="1"/>
  <c r="W182" i="1"/>
  <c r="AI139" i="1"/>
  <c r="T160" i="1"/>
  <c r="T144" i="1"/>
  <c r="T135" i="1"/>
  <c r="AG128" i="1"/>
  <c r="X129" i="1"/>
  <c r="T128" i="1"/>
  <c r="X128" i="1"/>
  <c r="AG107" i="1"/>
  <c r="T107" i="1"/>
  <c r="X107" i="1"/>
  <c r="X93" i="1"/>
  <c r="AG93" i="1"/>
  <c r="X94" i="1"/>
  <c r="AG200" i="1"/>
  <c r="X197" i="1"/>
  <c r="AG196" i="1"/>
  <c r="X193" i="1"/>
  <c r="AG192" i="1"/>
  <c r="X189" i="1"/>
  <c r="AG207" i="1"/>
  <c r="X192" i="1"/>
  <c r="AG191" i="1"/>
  <c r="X180" i="1"/>
  <c r="T180" i="1"/>
  <c r="U180" i="1" s="1"/>
  <c r="S180" i="1" s="1"/>
  <c r="AG179" i="1"/>
  <c r="X175" i="1"/>
  <c r="T175" i="1"/>
  <c r="U175" i="1" s="1"/>
  <c r="S175" i="1" s="1"/>
  <c r="AG174" i="1"/>
  <c r="W174" i="1" s="1"/>
  <c r="T171" i="1"/>
  <c r="AI182" i="1"/>
  <c r="T228" i="1"/>
  <c r="U228" i="1" s="1"/>
  <c r="S228" i="1" s="1"/>
  <c r="T225" i="1"/>
  <c r="X225" i="1"/>
  <c r="X220" i="1"/>
  <c r="T167" i="1"/>
  <c r="T162" i="1"/>
  <c r="U162" i="1" s="1"/>
  <c r="S162" i="1" s="1"/>
  <c r="T159" i="1"/>
  <c r="X159" i="1"/>
  <c r="X158" i="1"/>
  <c r="T153" i="1"/>
  <c r="T149" i="1"/>
  <c r="U149" i="1" s="1"/>
  <c r="S149" i="1" s="1"/>
  <c r="T143" i="1"/>
  <c r="T136" i="1"/>
  <c r="X109" i="1"/>
  <c r="AG109" i="1"/>
  <c r="X110" i="1"/>
  <c r="T100" i="1"/>
  <c r="X100" i="1"/>
  <c r="AG100" i="1"/>
  <c r="T93" i="1"/>
  <c r="AG91" i="1"/>
  <c r="T91" i="1"/>
  <c r="X91" i="1"/>
  <c r="T71" i="1"/>
  <c r="X71" i="1"/>
  <c r="AG71" i="1"/>
  <c r="U189" i="1"/>
  <c r="S189" i="1" s="1"/>
  <c r="T170" i="1"/>
  <c r="X170" i="1"/>
  <c r="T226" i="1"/>
  <c r="T166" i="1"/>
  <c r="W162" i="1"/>
  <c r="X205" i="1"/>
  <c r="X201" i="1"/>
  <c r="AG188" i="1"/>
  <c r="AG221" i="1"/>
  <c r="AG211" i="1"/>
  <c r="AI217" i="1"/>
  <c r="X204" i="1"/>
  <c r="T204" i="1"/>
  <c r="U204" i="1" s="1"/>
  <c r="S204" i="1" s="1"/>
  <c r="AG203" i="1"/>
  <c r="X200" i="1"/>
  <c r="AG199" i="1"/>
  <c r="X196" i="1"/>
  <c r="AG195" i="1"/>
  <c r="X188" i="1"/>
  <c r="AG187" i="1"/>
  <c r="X184" i="1"/>
  <c r="T184" i="1"/>
  <c r="U184" i="1" s="1"/>
  <c r="S184" i="1" s="1"/>
  <c r="AG183" i="1"/>
  <c r="X221" i="1"/>
  <c r="X211" i="1"/>
  <c r="X207" i="1"/>
  <c r="X203" i="1"/>
  <c r="X199" i="1"/>
  <c r="X195" i="1"/>
  <c r="X191" i="1"/>
  <c r="X187" i="1"/>
  <c r="X183" i="1"/>
  <c r="X174" i="1"/>
  <c r="AG171" i="1"/>
  <c r="T169" i="1"/>
  <c r="U169" i="1" s="1"/>
  <c r="S169" i="1" s="1"/>
  <c r="T229" i="1"/>
  <c r="U229" i="1" s="1"/>
  <c r="S229" i="1" s="1"/>
  <c r="X229" i="1"/>
  <c r="X228" i="1"/>
  <c r="X227" i="1"/>
  <c r="AA226" i="1"/>
  <c r="AG225" i="1"/>
  <c r="AG167" i="1"/>
  <c r="T163" i="1"/>
  <c r="U163" i="1" s="1"/>
  <c r="S163" i="1" s="1"/>
  <c r="X163" i="1"/>
  <c r="X162" i="1"/>
  <c r="X161" i="1"/>
  <c r="AA160" i="1"/>
  <c r="AG159" i="1"/>
  <c r="AG153" i="1"/>
  <c r="T150" i="1"/>
  <c r="U150" i="1" s="1"/>
  <c r="S150" i="1" s="1"/>
  <c r="AA144" i="1"/>
  <c r="AG143" i="1"/>
  <c r="AG136" i="1"/>
  <c r="AG124" i="1"/>
  <c r="X125" i="1"/>
  <c r="T124" i="1"/>
  <c r="X124" i="1"/>
  <c r="T116" i="1"/>
  <c r="X116" i="1"/>
  <c r="AG116" i="1"/>
  <c r="AG54" i="1"/>
  <c r="T54" i="1"/>
  <c r="X185" i="1"/>
  <c r="X181" i="1"/>
  <c r="AG170" i="1"/>
  <c r="AG226" i="1"/>
  <c r="T220" i="1"/>
  <c r="U220" i="1" s="1"/>
  <c r="S220" i="1" s="1"/>
  <c r="T217" i="1"/>
  <c r="U217" i="1" s="1"/>
  <c r="S217" i="1" s="1"/>
  <c r="X217" i="1"/>
  <c r="AG166" i="1"/>
  <c r="AG160" i="1"/>
  <c r="T158" i="1"/>
  <c r="U158" i="1" s="1"/>
  <c r="S158" i="1" s="1"/>
  <c r="T155" i="1"/>
  <c r="U155" i="1" s="1"/>
  <c r="S155" i="1" s="1"/>
  <c r="AG144" i="1"/>
  <c r="T142" i="1"/>
  <c r="U142" i="1" s="1"/>
  <c r="T139" i="1"/>
  <c r="U139" i="1" s="1"/>
  <c r="S139" i="1" s="1"/>
  <c r="AG135" i="1"/>
  <c r="AG132" i="1"/>
  <c r="X133" i="1"/>
  <c r="T132" i="1"/>
  <c r="X132" i="1"/>
  <c r="AG123" i="1"/>
  <c r="T123" i="1"/>
  <c r="X123" i="1"/>
  <c r="AG131" i="1"/>
  <c r="AG127" i="1"/>
  <c r="T117" i="1"/>
  <c r="AI115" i="1"/>
  <c r="T111" i="1"/>
  <c r="U111" i="1" s="1"/>
  <c r="S111" i="1" s="1"/>
  <c r="T108" i="1"/>
  <c r="X108" i="1"/>
  <c r="T101" i="1"/>
  <c r="T95" i="1"/>
  <c r="U95" i="1" s="1"/>
  <c r="S95" i="1" s="1"/>
  <c r="T92" i="1"/>
  <c r="X92" i="1"/>
  <c r="W87" i="1"/>
  <c r="T84" i="1"/>
  <c r="X84" i="1"/>
  <c r="T79" i="1"/>
  <c r="X79" i="1"/>
  <c r="AG79" i="1"/>
  <c r="W79" i="1" s="1"/>
  <c r="W72" i="1"/>
  <c r="X131" i="1"/>
  <c r="X127" i="1"/>
  <c r="U119" i="1"/>
  <c r="S119" i="1" s="1"/>
  <c r="AG117" i="1"/>
  <c r="T115" i="1"/>
  <c r="U115" i="1" s="1"/>
  <c r="S115" i="1" s="1"/>
  <c r="T112" i="1"/>
  <c r="U112" i="1" s="1"/>
  <c r="S112" i="1" s="1"/>
  <c r="X112" i="1"/>
  <c r="X111" i="1"/>
  <c r="AA109" i="1"/>
  <c r="AG108" i="1"/>
  <c r="AG101" i="1"/>
  <c r="T99" i="1"/>
  <c r="U99" i="1" s="1"/>
  <c r="S99" i="1" s="1"/>
  <c r="T96" i="1"/>
  <c r="U96" i="1" s="1"/>
  <c r="S96" i="1" s="1"/>
  <c r="X96" i="1"/>
  <c r="X95" i="1"/>
  <c r="AA93" i="1"/>
  <c r="AG92" i="1"/>
  <c r="AI90" i="1"/>
  <c r="X85" i="1"/>
  <c r="AG84" i="1"/>
  <c r="T75" i="1"/>
  <c r="X75" i="1"/>
  <c r="AG75" i="1"/>
  <c r="AA68" i="1"/>
  <c r="AA57" i="1"/>
  <c r="T49" i="1"/>
  <c r="AG49" i="1"/>
  <c r="W48" i="1"/>
  <c r="AI48" i="1"/>
  <c r="T120" i="1"/>
  <c r="U120" i="1" s="1"/>
  <c r="S120" i="1" s="1"/>
  <c r="X120" i="1"/>
  <c r="T104" i="1"/>
  <c r="U104" i="1" s="1"/>
  <c r="S104" i="1" s="1"/>
  <c r="X104" i="1"/>
  <c r="T88" i="1"/>
  <c r="U88" i="1" s="1"/>
  <c r="S88" i="1" s="1"/>
  <c r="X88" i="1"/>
  <c r="T83" i="1"/>
  <c r="X83" i="1"/>
  <c r="AG83" i="1"/>
  <c r="T67" i="1"/>
  <c r="X67" i="1"/>
  <c r="AG67" i="1"/>
  <c r="T61" i="1"/>
  <c r="X61" i="1"/>
  <c r="X62" i="1"/>
  <c r="AG61" i="1"/>
  <c r="T50" i="1"/>
  <c r="AG50" i="1"/>
  <c r="X80" i="1"/>
  <c r="X76" i="1"/>
  <c r="X72" i="1"/>
  <c r="X68" i="1"/>
  <c r="T65" i="1"/>
  <c r="U65" i="1" s="1"/>
  <c r="S65" i="1" s="1"/>
  <c r="X65" i="1"/>
  <c r="X64" i="1"/>
  <c r="X63" i="1"/>
  <c r="AA62" i="1"/>
  <c r="W62" i="1" s="1"/>
  <c r="T41" i="1"/>
  <c r="U41" i="1" s="1"/>
  <c r="S41" i="1" s="1"/>
  <c r="X41" i="1"/>
  <c r="AA66" i="1"/>
  <c r="T53" i="1"/>
  <c r="U53" i="1" s="1"/>
  <c r="S53" i="1" s="1"/>
  <c r="AA51" i="1"/>
  <c r="T34" i="1"/>
  <c r="X34" i="1"/>
  <c r="AG34" i="1"/>
  <c r="X35" i="1"/>
  <c r="T14" i="1"/>
  <c r="AG14" i="1"/>
  <c r="U64" i="1"/>
  <c r="S64" i="1" s="1"/>
  <c r="T57" i="1"/>
  <c r="X57" i="1"/>
  <c r="AA54" i="1"/>
  <c r="T45" i="1"/>
  <c r="U45" i="1" s="1"/>
  <c r="S45" i="1" s="1"/>
  <c r="X45" i="1"/>
  <c r="T42" i="1"/>
  <c r="AG38" i="1"/>
  <c r="X38" i="1"/>
  <c r="T29" i="1"/>
  <c r="X29" i="1"/>
  <c r="AG29" i="1"/>
  <c r="T26" i="1"/>
  <c r="X26" i="1"/>
  <c r="AA50" i="1"/>
  <c r="AG42" i="1"/>
  <c r="T40" i="1"/>
  <c r="U40" i="1" s="1"/>
  <c r="S40" i="1" s="1"/>
  <c r="T37" i="1"/>
  <c r="U37" i="1" s="1"/>
  <c r="S37" i="1" s="1"/>
  <c r="X37" i="1"/>
  <c r="AA34" i="1"/>
  <c r="T33" i="1"/>
  <c r="X33" i="1"/>
  <c r="AG33" i="1"/>
  <c r="T30" i="1"/>
  <c r="U30" i="1" s="1"/>
  <c r="X30" i="1"/>
  <c r="X27" i="1"/>
  <c r="AG26" i="1"/>
  <c r="T18" i="1"/>
  <c r="X18" i="1"/>
  <c r="AG18" i="1"/>
  <c r="X19" i="1"/>
  <c r="T25" i="1"/>
  <c r="X25" i="1"/>
  <c r="AG25" i="1"/>
  <c r="T22" i="1"/>
  <c r="U22" i="1" s="1"/>
  <c r="X22" i="1"/>
  <c r="X15" i="1"/>
  <c r="AG21" i="1"/>
  <c r="AG17" i="1"/>
  <c r="W17" i="1" s="1"/>
  <c r="X21" i="1"/>
  <c r="X17" i="1"/>
  <c r="W48" i="3"/>
  <c r="W67" i="3"/>
  <c r="W56" i="3"/>
  <c r="W50" i="3"/>
  <c r="W12" i="3"/>
  <c r="W49" i="3"/>
  <c r="W70" i="3"/>
  <c r="W69" i="3"/>
  <c r="W31" i="3"/>
  <c r="W42" i="3"/>
  <c r="W29" i="3"/>
  <c r="W28" i="3"/>
  <c r="W68" i="3"/>
  <c r="W21" i="3"/>
  <c r="W58" i="3"/>
  <c r="W45" i="3"/>
  <c r="W20" i="3"/>
  <c r="W71" i="3"/>
  <c r="W35" i="3"/>
  <c r="W22" i="3"/>
  <c r="W73" i="3"/>
  <c r="W53" i="3"/>
  <c r="W60" i="3"/>
  <c r="W18" i="3"/>
  <c r="W17" i="3"/>
  <c r="W43" i="3"/>
  <c r="W24" i="3"/>
  <c r="W63" i="3"/>
  <c r="W65" i="3"/>
  <c r="W64" i="3"/>
  <c r="M26" i="5"/>
  <c r="AH13" i="1" s="1"/>
  <c r="AI176" i="1" l="1"/>
  <c r="U176" i="1"/>
  <c r="S176" i="1" s="1"/>
  <c r="AI148" i="1"/>
  <c r="U148" i="1"/>
  <c r="S148" i="1" s="1"/>
  <c r="W148" i="1"/>
  <c r="U146" i="1"/>
  <c r="S146" i="1" s="1"/>
  <c r="AI146" i="1"/>
  <c r="W146" i="1"/>
  <c r="AI138" i="1"/>
  <c r="U138" i="1"/>
  <c r="S138" i="1" s="1"/>
  <c r="W138" i="1"/>
  <c r="AI106" i="1"/>
  <c r="U141" i="1"/>
  <c r="S141" i="1" s="1"/>
  <c r="AI58" i="1"/>
  <c r="AI186" i="1"/>
  <c r="AI213" i="1"/>
  <c r="W172" i="1"/>
  <c r="W137" i="1"/>
  <c r="AI76" i="1"/>
  <c r="AI78" i="1"/>
  <c r="W179" i="1"/>
  <c r="W198" i="1"/>
  <c r="U78" i="1"/>
  <c r="S78" i="1" s="1"/>
  <c r="U215" i="1"/>
  <c r="S215" i="1" s="1"/>
  <c r="AI140" i="1"/>
  <c r="AI16" i="1"/>
  <c r="W128" i="1"/>
  <c r="AI214" i="1"/>
  <c r="W90" i="1"/>
  <c r="AI152" i="1"/>
  <c r="U152" i="1"/>
  <c r="S152" i="1" s="1"/>
  <c r="W152" i="1"/>
  <c r="U223" i="1"/>
  <c r="S223" i="1" s="1"/>
  <c r="W74" i="1"/>
  <c r="W173" i="1"/>
  <c r="W23" i="1"/>
  <c r="W26" i="1"/>
  <c r="AI30" i="1"/>
  <c r="AI73" i="1"/>
  <c r="W103" i="1"/>
  <c r="AI142" i="1"/>
  <c r="AI202" i="1"/>
  <c r="W106" i="1"/>
  <c r="W31" i="1"/>
  <c r="W113" i="1"/>
  <c r="W156" i="1"/>
  <c r="U126" i="1"/>
  <c r="S126" i="1" s="1"/>
  <c r="AI154" i="1"/>
  <c r="AI161" i="1"/>
  <c r="U55" i="1"/>
  <c r="S55" i="1" s="1"/>
  <c r="U90" i="1"/>
  <c r="S90" i="1" s="1"/>
  <c r="AI134" i="1"/>
  <c r="U58" i="1"/>
  <c r="S58" i="1" s="1"/>
  <c r="AI55" i="1"/>
  <c r="AI105" i="1"/>
  <c r="W80" i="1"/>
  <c r="W49" i="1"/>
  <c r="W123" i="1"/>
  <c r="AI102" i="1"/>
  <c r="AI15" i="1"/>
  <c r="W117" i="1"/>
  <c r="AI170" i="1"/>
  <c r="AI157" i="1"/>
  <c r="AI171" i="1"/>
  <c r="AI229" i="1"/>
  <c r="W58" i="1"/>
  <c r="W73" i="1"/>
  <c r="U81" i="1"/>
  <c r="S81" i="1" s="1"/>
  <c r="AI121" i="1"/>
  <c r="AI122" i="1"/>
  <c r="AI141" i="1"/>
  <c r="U177" i="1"/>
  <c r="S177" i="1" s="1"/>
  <c r="AI22" i="1"/>
  <c r="AI99" i="1"/>
  <c r="W121" i="1"/>
  <c r="W167" i="1"/>
  <c r="AI196" i="1"/>
  <c r="U172" i="1"/>
  <c r="S172" i="1" s="1"/>
  <c r="AI194" i="1"/>
  <c r="W154" i="1"/>
  <c r="AI164" i="1"/>
  <c r="AI80" i="1"/>
  <c r="AI27" i="1"/>
  <c r="AI43" i="1"/>
  <c r="W36" i="1"/>
  <c r="AI77" i="1"/>
  <c r="W40" i="1"/>
  <c r="AI41" i="1"/>
  <c r="AI53" i="1"/>
  <c r="W64" i="1"/>
  <c r="AI96" i="1"/>
  <c r="AI172" i="1"/>
  <c r="AI188" i="1"/>
  <c r="AI151" i="1"/>
  <c r="U59" i="1"/>
  <c r="S59" i="1" s="1"/>
  <c r="W105" i="1"/>
  <c r="AI114" i="1"/>
  <c r="AI169" i="1"/>
  <c r="W153" i="1"/>
  <c r="AI147" i="1"/>
  <c r="U51" i="1"/>
  <c r="S51" i="1" s="1"/>
  <c r="AI97" i="1"/>
  <c r="W126" i="1"/>
  <c r="W230" i="1"/>
  <c r="W218" i="1"/>
  <c r="W71" i="1"/>
  <c r="W91" i="1"/>
  <c r="W136" i="1"/>
  <c r="W94" i="1"/>
  <c r="AI20" i="1"/>
  <c r="AI63" i="1"/>
  <c r="W111" i="1"/>
  <c r="W149" i="1"/>
  <c r="AI180" i="1"/>
  <c r="W27" i="1"/>
  <c r="AI81" i="1"/>
  <c r="AI89" i="1"/>
  <c r="W212" i="1"/>
  <c r="AI85" i="1"/>
  <c r="W15" i="1"/>
  <c r="W133" i="1"/>
  <c r="AI110" i="1"/>
  <c r="AI118" i="1"/>
  <c r="W28" i="1"/>
  <c r="W44" i="1"/>
  <c r="W66" i="1"/>
  <c r="AI225" i="1"/>
  <c r="W192" i="1"/>
  <c r="AI126" i="1"/>
  <c r="W208" i="1"/>
  <c r="U20" i="1"/>
  <c r="S19" i="1" s="1"/>
  <c r="U47" i="1"/>
  <c r="S47" i="1" s="1"/>
  <c r="AI57" i="1"/>
  <c r="W97" i="1"/>
  <c r="AI193" i="1"/>
  <c r="AI60" i="1"/>
  <c r="AI125" i="1"/>
  <c r="AI150" i="1"/>
  <c r="AI168" i="1"/>
  <c r="AI39" i="1"/>
  <c r="W55" i="1"/>
  <c r="AI201" i="1"/>
  <c r="AI221" i="1"/>
  <c r="W35" i="1"/>
  <c r="W141" i="1"/>
  <c r="AI218" i="1"/>
  <c r="W110" i="1"/>
  <c r="AI178" i="1"/>
  <c r="U31" i="1"/>
  <c r="S30" i="1" s="1"/>
  <c r="W37" i="1"/>
  <c r="W46" i="1"/>
  <c r="AI129" i="1"/>
  <c r="AI133" i="1"/>
  <c r="W52" i="1"/>
  <c r="AI189" i="1"/>
  <c r="W34" i="1"/>
  <c r="AI47" i="1"/>
  <c r="W18" i="1"/>
  <c r="W20" i="1"/>
  <c r="W61" i="1"/>
  <c r="AI226" i="1"/>
  <c r="W171" i="1"/>
  <c r="W140" i="1"/>
  <c r="W56" i="1"/>
  <c r="AI112" i="1"/>
  <c r="AI205" i="1"/>
  <c r="U218" i="1"/>
  <c r="S218" i="1" s="1"/>
  <c r="W158" i="1"/>
  <c r="W77" i="1"/>
  <c r="W122" i="1"/>
  <c r="W189" i="1"/>
  <c r="W193" i="1"/>
  <c r="W201" i="1"/>
  <c r="W134" i="1"/>
  <c r="U102" i="1"/>
  <c r="S102" i="1" s="1"/>
  <c r="U147" i="1"/>
  <c r="S147" i="1" s="1"/>
  <c r="U23" i="1"/>
  <c r="S22" i="1" s="1"/>
  <c r="W14" i="1"/>
  <c r="U133" i="1"/>
  <c r="S133" i="1" s="1"/>
  <c r="AI210" i="1"/>
  <c r="AI230" i="1"/>
  <c r="AI216" i="1"/>
  <c r="U70" i="1"/>
  <c r="S70" i="1" s="1"/>
  <c r="W45" i="1"/>
  <c r="W205" i="1"/>
  <c r="AI70" i="1"/>
  <c r="W125" i="1"/>
  <c r="AI120" i="1"/>
  <c r="AI165" i="1"/>
  <c r="U63" i="1"/>
  <c r="S63" i="1" s="1"/>
  <c r="U134" i="1"/>
  <c r="S134" i="1" s="1"/>
  <c r="U85" i="1"/>
  <c r="S85" i="1" s="1"/>
  <c r="AI69" i="1"/>
  <c r="W89" i="1"/>
  <c r="AI130" i="1"/>
  <c r="AI163" i="1"/>
  <c r="U193" i="1"/>
  <c r="S193" i="1" s="1"/>
  <c r="W85" i="1"/>
  <c r="AI86" i="1"/>
  <c r="W219" i="1"/>
  <c r="AI104" i="1"/>
  <c r="W164" i="1"/>
  <c r="W213" i="1"/>
  <c r="AI52" i="1"/>
  <c r="AI94" i="1"/>
  <c r="AH16" i="1"/>
  <c r="AH19" i="1"/>
  <c r="AH20" i="1"/>
  <c r="AH21" i="1"/>
  <c r="AH27" i="1"/>
  <c r="AH41" i="1"/>
  <c r="AH42" i="1"/>
  <c r="AH43" i="1"/>
  <c r="AH44" i="1"/>
  <c r="AH64" i="1"/>
  <c r="AH72" i="1"/>
  <c r="AH76" i="1"/>
  <c r="AH87" i="1"/>
  <c r="AH88" i="1"/>
  <c r="AH89" i="1"/>
  <c r="AH90" i="1"/>
  <c r="AH91" i="1"/>
  <c r="AH98" i="1"/>
  <c r="AH99" i="1"/>
  <c r="AH100" i="1"/>
  <c r="AH101" i="1"/>
  <c r="AH102" i="1"/>
  <c r="AH103" i="1"/>
  <c r="AH110" i="1"/>
  <c r="AH111" i="1"/>
  <c r="AH112" i="1"/>
  <c r="AH115" i="1"/>
  <c r="AH121" i="1"/>
  <c r="AH122" i="1"/>
  <c r="AH132" i="1"/>
  <c r="AH149" i="1"/>
  <c r="AH150" i="1"/>
  <c r="AH166" i="1"/>
  <c r="AH167" i="1"/>
  <c r="AH168" i="1"/>
  <c r="AH169" i="1"/>
  <c r="AH170" i="1"/>
  <c r="AH171" i="1"/>
  <c r="AH179" i="1"/>
  <c r="AH180" i="1"/>
  <c r="AH181" i="1"/>
  <c r="AH182" i="1"/>
  <c r="AH183" i="1"/>
  <c r="AH184" i="1"/>
  <c r="AH185" i="1"/>
  <c r="AH186" i="1"/>
  <c r="AH193" i="1"/>
  <c r="AH194" i="1"/>
  <c r="AH209" i="1"/>
  <c r="AH210" i="1"/>
  <c r="AH219" i="1"/>
  <c r="AH17" i="1"/>
  <c r="AH28" i="1"/>
  <c r="AH33" i="1"/>
  <c r="AH34" i="1"/>
  <c r="AH35" i="1"/>
  <c r="AH36" i="1"/>
  <c r="AH45" i="1"/>
  <c r="AH46" i="1"/>
  <c r="AH47" i="1"/>
  <c r="AH53" i="1"/>
  <c r="AH54" i="1"/>
  <c r="AH55" i="1"/>
  <c r="AH56" i="1"/>
  <c r="AH57" i="1"/>
  <c r="AH65" i="1"/>
  <c r="AH66" i="1"/>
  <c r="AH67" i="1"/>
  <c r="AH68" i="1"/>
  <c r="AH73" i="1"/>
  <c r="AH77" i="1"/>
  <c r="AH78" i="1"/>
  <c r="AH79" i="1"/>
  <c r="AH104" i="1"/>
  <c r="AH18" i="1"/>
  <c r="AH22" i="1"/>
  <c r="AH23" i="1"/>
  <c r="AH24" i="1"/>
  <c r="AH25" i="1"/>
  <c r="AH37" i="1"/>
  <c r="AH38" i="1"/>
  <c r="AH58" i="1"/>
  <c r="AH59" i="1"/>
  <c r="AH60" i="1"/>
  <c r="AH61" i="1"/>
  <c r="AH62" i="1"/>
  <c r="AH63" i="1"/>
  <c r="AH69" i="1"/>
  <c r="AH80" i="1"/>
  <c r="AH81" i="1"/>
  <c r="AH82" i="1"/>
  <c r="AH83" i="1"/>
  <c r="AH84" i="1"/>
  <c r="AH85" i="1"/>
  <c r="AH86" i="1"/>
  <c r="AH92" i="1"/>
  <c r="AH93" i="1"/>
  <c r="AH94" i="1"/>
  <c r="AH95" i="1"/>
  <c r="AH96" i="1"/>
  <c r="AH105" i="1"/>
  <c r="AH106" i="1"/>
  <c r="AH107" i="1"/>
  <c r="AH108" i="1"/>
  <c r="AH113" i="1"/>
  <c r="AH120" i="1"/>
  <c r="AH126" i="1"/>
  <c r="AH142" i="1"/>
  <c r="AH143" i="1"/>
  <c r="AH144" i="1"/>
  <c r="AH147" i="1"/>
  <c r="AH163" i="1"/>
  <c r="AH164" i="1"/>
  <c r="AH172" i="1"/>
  <c r="AH173" i="1"/>
  <c r="AH174" i="1"/>
  <c r="AH187" i="1"/>
  <c r="AH188" i="1"/>
  <c r="AH189" i="1"/>
  <c r="AH196" i="1"/>
  <c r="AH197" i="1"/>
  <c r="AH198" i="1"/>
  <c r="AH199" i="1"/>
  <c r="AH200" i="1"/>
  <c r="AH201" i="1"/>
  <c r="AH213" i="1"/>
  <c r="AH214" i="1"/>
  <c r="AH215" i="1"/>
  <c r="AH216" i="1"/>
  <c r="AH217" i="1"/>
  <c r="AH218" i="1"/>
  <c r="AH225" i="1"/>
  <c r="AH226" i="1"/>
  <c r="AH227" i="1"/>
  <c r="AH228" i="1"/>
  <c r="AH229" i="1"/>
  <c r="AH230" i="1"/>
  <c r="AH14" i="1"/>
  <c r="AH15" i="1"/>
  <c r="AH26" i="1"/>
  <c r="AH29" i="1"/>
  <c r="AH30" i="1"/>
  <c r="AH31" i="1"/>
  <c r="AH32" i="1"/>
  <c r="AH39" i="1"/>
  <c r="AH40" i="1"/>
  <c r="AH48" i="1"/>
  <c r="AH49" i="1"/>
  <c r="AH50" i="1"/>
  <c r="AH51" i="1"/>
  <c r="AH52" i="1"/>
  <c r="AH70" i="1"/>
  <c r="AH71" i="1"/>
  <c r="AH74" i="1"/>
  <c r="AH75" i="1"/>
  <c r="AH97" i="1"/>
  <c r="AH116" i="1"/>
  <c r="AH117" i="1"/>
  <c r="AH118" i="1"/>
  <c r="AH119" i="1"/>
  <c r="AH220" i="1"/>
  <c r="AH221" i="1"/>
  <c r="AH222" i="1"/>
  <c r="AH223" i="1"/>
  <c r="AH224" i="1"/>
  <c r="AH123" i="1"/>
  <c r="AH124" i="1"/>
  <c r="AH125" i="1"/>
  <c r="AH137" i="1"/>
  <c r="AH139" i="1"/>
  <c r="AH151" i="1"/>
  <c r="AH153" i="1"/>
  <c r="AH154" i="1"/>
  <c r="AH155" i="1"/>
  <c r="AH156" i="1"/>
  <c r="AH191" i="1"/>
  <c r="AH195" i="1"/>
  <c r="AH203" i="1"/>
  <c r="AH205" i="1"/>
  <c r="AH207" i="1"/>
  <c r="AH211" i="1"/>
  <c r="AH127" i="1"/>
  <c r="AH128" i="1"/>
  <c r="AH129" i="1"/>
  <c r="AH130" i="1"/>
  <c r="AH131" i="1"/>
  <c r="AH175" i="1"/>
  <c r="AH177" i="1"/>
  <c r="AH178" i="1"/>
  <c r="AH109" i="1"/>
  <c r="AH114" i="1"/>
  <c r="AH133" i="1"/>
  <c r="AH134" i="1"/>
  <c r="AH135" i="1"/>
  <c r="AH136" i="1"/>
  <c r="AH140" i="1"/>
  <c r="AH141" i="1"/>
  <c r="AH157" i="1"/>
  <c r="AH158" i="1"/>
  <c r="AH159" i="1"/>
  <c r="AH160" i="1"/>
  <c r="AH161" i="1"/>
  <c r="AH162" i="1"/>
  <c r="AH165" i="1"/>
  <c r="AH190" i="1"/>
  <c r="AH192" i="1"/>
  <c r="AH202" i="1"/>
  <c r="AH204" i="1"/>
  <c r="AH206" i="1"/>
  <c r="AH208" i="1"/>
  <c r="AH212" i="1"/>
  <c r="W86" i="1"/>
  <c r="U164" i="1"/>
  <c r="S164" i="1" s="1"/>
  <c r="AI74" i="1"/>
  <c r="AI23" i="1"/>
  <c r="U57" i="1"/>
  <c r="S57" i="1" s="1"/>
  <c r="AI59" i="1"/>
  <c r="W67" i="1"/>
  <c r="AI113" i="1"/>
  <c r="W119" i="1"/>
  <c r="W132" i="1"/>
  <c r="U98" i="1"/>
  <c r="S98" i="1" s="1"/>
  <c r="W124" i="1"/>
  <c r="AI156" i="1"/>
  <c r="AI197" i="1"/>
  <c r="AI209" i="1"/>
  <c r="W107" i="1"/>
  <c r="AI155" i="1"/>
  <c r="W63" i="1"/>
  <c r="U52" i="1"/>
  <c r="S52" i="1" s="1"/>
  <c r="W69" i="1"/>
  <c r="W177" i="1"/>
  <c r="W147" i="1"/>
  <c r="W78" i="1"/>
  <c r="W98" i="1"/>
  <c r="W144" i="1"/>
  <c r="AI35" i="1"/>
  <c r="AI19" i="1"/>
  <c r="AI24" i="1"/>
  <c r="AI46" i="1"/>
  <c r="U35" i="1"/>
  <c r="S35" i="1" s="1"/>
  <c r="W51" i="1"/>
  <c r="W57" i="1"/>
  <c r="W68" i="1"/>
  <c r="W199" i="1"/>
  <c r="W209" i="1"/>
  <c r="W222" i="1"/>
  <c r="W47" i="1"/>
  <c r="W59" i="1"/>
  <c r="U154" i="1"/>
  <c r="U122" i="1"/>
  <c r="S122" i="1" s="1"/>
  <c r="W160" i="1"/>
  <c r="AI51" i="1"/>
  <c r="AI179" i="1"/>
  <c r="W215" i="1"/>
  <c r="AI68" i="1"/>
  <c r="AI192" i="1"/>
  <c r="AI222" i="1"/>
  <c r="U106" i="1"/>
  <c r="S106" i="1" s="1"/>
  <c r="W81" i="1"/>
  <c r="U43" i="1"/>
  <c r="S43" i="1" s="1"/>
  <c r="W129" i="1"/>
  <c r="W227" i="1"/>
  <c r="AI62" i="1"/>
  <c r="AI66" i="1"/>
  <c r="AI177" i="1"/>
  <c r="U86" i="1"/>
  <c r="S86" i="1" s="1"/>
  <c r="W118" i="1"/>
  <c r="W168" i="1"/>
  <c r="AI101" i="1"/>
  <c r="U101" i="1"/>
  <c r="S101" i="1" s="1"/>
  <c r="AI116" i="1"/>
  <c r="U116" i="1"/>
  <c r="S116" i="1" s="1"/>
  <c r="U187" i="1"/>
  <c r="S187" i="1" s="1"/>
  <c r="AI199" i="1"/>
  <c r="U17" i="1"/>
  <c r="S17" i="1" s="1"/>
  <c r="AI17" i="1"/>
  <c r="U29" i="1"/>
  <c r="S28" i="1" s="1"/>
  <c r="AI29" i="1"/>
  <c r="W29" i="1"/>
  <c r="AI14" i="1"/>
  <c r="U14" i="1"/>
  <c r="S14" i="1" s="1"/>
  <c r="AI50" i="1"/>
  <c r="U50" i="1"/>
  <c r="S50" i="1" s="1"/>
  <c r="U83" i="1"/>
  <c r="S83" i="1" s="1"/>
  <c r="AI83" i="1"/>
  <c r="AI84" i="1"/>
  <c r="U84" i="1"/>
  <c r="S84" i="1" s="1"/>
  <c r="W93" i="1"/>
  <c r="U131" i="1"/>
  <c r="S131" i="1" s="1"/>
  <c r="W131" i="1"/>
  <c r="AI131" i="1"/>
  <c r="AI144" i="1"/>
  <c r="U144" i="1"/>
  <c r="S144" i="1" s="1"/>
  <c r="AI183" i="1"/>
  <c r="U170" i="1"/>
  <c r="S170" i="1" s="1"/>
  <c r="AI136" i="1"/>
  <c r="U136" i="1"/>
  <c r="S136" i="1" s="1"/>
  <c r="AI143" i="1"/>
  <c r="U143" i="1"/>
  <c r="S142" i="1" s="1"/>
  <c r="W143" i="1"/>
  <c r="W226" i="1"/>
  <c r="U195" i="1"/>
  <c r="S195" i="1" s="1"/>
  <c r="AI207" i="1"/>
  <c r="U221" i="1"/>
  <c r="S221" i="1" s="1"/>
  <c r="AI227" i="1"/>
  <c r="AI71" i="1"/>
  <c r="U71" i="1"/>
  <c r="S71" i="1" s="1"/>
  <c r="W116" i="1"/>
  <c r="AI220" i="1"/>
  <c r="U208" i="1"/>
  <c r="S208" i="1" s="1"/>
  <c r="AI224" i="1"/>
  <c r="U212" i="1"/>
  <c r="S212" i="1" s="1"/>
  <c r="AI75" i="1"/>
  <c r="U75" i="1"/>
  <c r="S75" i="1" s="1"/>
  <c r="AI108" i="1"/>
  <c r="U108" i="1"/>
  <c r="S108" i="1" s="1"/>
  <c r="W108" i="1"/>
  <c r="U132" i="1"/>
  <c r="S132" i="1" s="1"/>
  <c r="AI132" i="1"/>
  <c r="AI166" i="1"/>
  <c r="U166" i="1"/>
  <c r="S166" i="1" s="1"/>
  <c r="AI54" i="1"/>
  <c r="U54" i="1"/>
  <c r="S54" i="1" s="1"/>
  <c r="AI200" i="1"/>
  <c r="U188" i="1"/>
  <c r="S188" i="1" s="1"/>
  <c r="AI100" i="1"/>
  <c r="U100" i="1"/>
  <c r="S100" i="1" s="1"/>
  <c r="AI109" i="1"/>
  <c r="U109" i="1"/>
  <c r="S109" i="1" s="1"/>
  <c r="U25" i="1"/>
  <c r="AI25" i="1"/>
  <c r="W54" i="1"/>
  <c r="W25" i="1"/>
  <c r="AI61" i="1"/>
  <c r="U61" i="1"/>
  <c r="S61" i="1" s="1"/>
  <c r="W75" i="1"/>
  <c r="U123" i="1"/>
  <c r="S123" i="1" s="1"/>
  <c r="AI123" i="1"/>
  <c r="AI184" i="1"/>
  <c r="U171" i="1"/>
  <c r="S171" i="1" s="1"/>
  <c r="U183" i="1"/>
  <c r="S183" i="1" s="1"/>
  <c r="AI195" i="1"/>
  <c r="AI187" i="1"/>
  <c r="U174" i="1"/>
  <c r="S174" i="1" s="1"/>
  <c r="U179" i="1"/>
  <c r="S179" i="1" s="1"/>
  <c r="AI191" i="1"/>
  <c r="W188" i="1"/>
  <c r="W170" i="1"/>
  <c r="W187" i="1"/>
  <c r="W195" i="1"/>
  <c r="U21" i="1"/>
  <c r="S21" i="1" s="1"/>
  <c r="W21" i="1"/>
  <c r="AI21" i="1"/>
  <c r="AI26" i="1"/>
  <c r="U26" i="1"/>
  <c r="U33" i="1"/>
  <c r="S32" i="1" s="1"/>
  <c r="W33" i="1"/>
  <c r="AI33" i="1"/>
  <c r="AI42" i="1"/>
  <c r="U42" i="1"/>
  <c r="S42" i="1" s="1"/>
  <c r="AI38" i="1"/>
  <c r="U38" i="1"/>
  <c r="S38" i="1" s="1"/>
  <c r="AI204" i="1"/>
  <c r="U192" i="1"/>
  <c r="S192" i="1" s="1"/>
  <c r="AI212" i="1"/>
  <c r="U200" i="1"/>
  <c r="S200" i="1" s="1"/>
  <c r="AI93" i="1"/>
  <c r="U93" i="1"/>
  <c r="S93" i="1" s="1"/>
  <c r="U107" i="1"/>
  <c r="S107" i="1" s="1"/>
  <c r="AI107" i="1"/>
  <c r="W166" i="1"/>
  <c r="W38" i="1"/>
  <c r="AI67" i="1"/>
  <c r="U67" i="1"/>
  <c r="S67" i="1" s="1"/>
  <c r="W109" i="1"/>
  <c r="AI175" i="1"/>
  <c r="U226" i="1"/>
  <c r="S226" i="1" s="1"/>
  <c r="AI18" i="1"/>
  <c r="U18" i="1"/>
  <c r="S18" i="1" s="1"/>
  <c r="W50" i="1"/>
  <c r="AI34" i="1"/>
  <c r="U34" i="1"/>
  <c r="S34" i="1" s="1"/>
  <c r="W42" i="1"/>
  <c r="W84" i="1"/>
  <c r="W101" i="1"/>
  <c r="U49" i="1"/>
  <c r="S49" i="1" s="1"/>
  <c r="AI49" i="1"/>
  <c r="AI92" i="1"/>
  <c r="U92" i="1"/>
  <c r="S92" i="1" s="1"/>
  <c r="W92" i="1"/>
  <c r="AI117" i="1"/>
  <c r="U117" i="1"/>
  <c r="S117" i="1" s="1"/>
  <c r="AI79" i="1"/>
  <c r="U79" i="1"/>
  <c r="S79" i="1" s="1"/>
  <c r="U127" i="1"/>
  <c r="S127" i="1" s="1"/>
  <c r="AI127" i="1"/>
  <c r="W127" i="1"/>
  <c r="W100" i="1"/>
  <c r="U135" i="1"/>
  <c r="S135" i="1" s="1"/>
  <c r="AI135" i="1"/>
  <c r="AI160" i="1"/>
  <c r="U160" i="1"/>
  <c r="S160" i="1" s="1"/>
  <c r="U124" i="1"/>
  <c r="S124" i="1" s="1"/>
  <c r="AI124" i="1"/>
  <c r="AI153" i="1"/>
  <c r="U153" i="1"/>
  <c r="AI159" i="1"/>
  <c r="U159" i="1"/>
  <c r="S159" i="1" s="1"/>
  <c r="W159" i="1"/>
  <c r="AI167" i="1"/>
  <c r="U167" i="1"/>
  <c r="S167" i="1" s="1"/>
  <c r="AI174" i="1"/>
  <c r="W225" i="1"/>
  <c r="U225" i="1"/>
  <c r="S225" i="1" s="1"/>
  <c r="AI211" i="1"/>
  <c r="U199" i="1"/>
  <c r="S199" i="1" s="1"/>
  <c r="U203" i="1"/>
  <c r="S203" i="1" s="1"/>
  <c r="AI215" i="1"/>
  <c r="U211" i="1"/>
  <c r="S211" i="1" s="1"/>
  <c r="AI223" i="1"/>
  <c r="W211" i="1"/>
  <c r="U91" i="1"/>
  <c r="S91" i="1" s="1"/>
  <c r="AI91" i="1"/>
  <c r="U191" i="1"/>
  <c r="S191" i="1" s="1"/>
  <c r="AI203" i="1"/>
  <c r="U207" i="1"/>
  <c r="S207" i="1" s="1"/>
  <c r="AI219" i="1"/>
  <c r="W207" i="1"/>
  <c r="AI208" i="1"/>
  <c r="U196" i="1"/>
  <c r="S196" i="1" s="1"/>
  <c r="W83" i="1"/>
  <c r="U128" i="1"/>
  <c r="S128" i="1" s="1"/>
  <c r="AI128" i="1"/>
  <c r="W191" i="1"/>
  <c r="AI228" i="1"/>
  <c r="U222" i="1"/>
  <c r="S222" i="1" s="1"/>
  <c r="W183" i="1"/>
  <c r="W196" i="1"/>
  <c r="W203" i="1"/>
  <c r="W135" i="1"/>
  <c r="W200" i="1"/>
  <c r="W221" i="1"/>
  <c r="S9" i="3"/>
  <c r="R9" i="3" s="1"/>
  <c r="T9" i="3"/>
  <c r="U9" i="3"/>
  <c r="V9" i="3"/>
  <c r="Q36" i="3"/>
  <c r="P36" i="3"/>
  <c r="Q24" i="3"/>
  <c r="P24" i="3"/>
  <c r="Q19" i="3"/>
  <c r="P19" i="3"/>
  <c r="Q25" i="3"/>
  <c r="P25" i="3"/>
  <c r="Q11" i="3"/>
  <c r="P11" i="3"/>
  <c r="Q16" i="3"/>
  <c r="P16" i="3"/>
  <c r="Q39" i="3"/>
  <c r="P39" i="3"/>
  <c r="Q40" i="3"/>
  <c r="P40" i="3"/>
  <c r="Q20" i="3"/>
  <c r="P20" i="3"/>
  <c r="Q41" i="3"/>
  <c r="P41" i="3"/>
  <c r="Q26" i="3"/>
  <c r="P26" i="3"/>
  <c r="Q27" i="3"/>
  <c r="P27" i="3"/>
  <c r="Q21" i="3"/>
  <c r="P21" i="3"/>
  <c r="Q14" i="3"/>
  <c r="P14" i="3"/>
  <c r="Q29" i="3"/>
  <c r="P29" i="3"/>
  <c r="Q8" i="3"/>
  <c r="P8" i="3"/>
  <c r="Q17" i="3"/>
  <c r="P17" i="3"/>
  <c r="Q30" i="3"/>
  <c r="P30" i="3"/>
  <c r="Q13" i="3"/>
  <c r="P13" i="3"/>
  <c r="Q42" i="3"/>
  <c r="P42" i="3"/>
  <c r="Q18" i="3"/>
  <c r="P18" i="3"/>
  <c r="Q31" i="3"/>
  <c r="P31" i="3"/>
  <c r="Q32" i="3"/>
  <c r="P32" i="3"/>
  <c r="Q15" i="3"/>
  <c r="P15" i="3"/>
  <c r="Q33" i="3"/>
  <c r="P33" i="3"/>
  <c r="Q37" i="3"/>
  <c r="P37" i="3"/>
  <c r="Q7" i="3"/>
  <c r="P7" i="3"/>
  <c r="Q22" i="3"/>
  <c r="P22" i="3"/>
  <c r="Q34" i="3"/>
  <c r="P34" i="3"/>
  <c r="Q35" i="3"/>
  <c r="P35" i="3"/>
  <c r="Q54" i="3"/>
  <c r="P54" i="3"/>
  <c r="Q60" i="3"/>
  <c r="P60" i="3"/>
  <c r="Q69" i="3"/>
  <c r="P69" i="3"/>
  <c r="Q62" i="3"/>
  <c r="P62" i="3"/>
  <c r="Q70" i="3"/>
  <c r="P70" i="3"/>
  <c r="Q38" i="3"/>
  <c r="P38" i="3"/>
  <c r="Q23" i="3"/>
  <c r="P23" i="3"/>
  <c r="Q12" i="3"/>
  <c r="P12" i="3"/>
  <c r="Q73" i="3"/>
  <c r="P73" i="3"/>
  <c r="Q56" i="3"/>
  <c r="P56" i="3"/>
  <c r="Q66" i="3"/>
  <c r="P66" i="3"/>
  <c r="Q57" i="3"/>
  <c r="P57" i="3"/>
  <c r="Q67" i="3"/>
  <c r="P67" i="3"/>
  <c r="Q52" i="3"/>
  <c r="P52" i="3"/>
  <c r="Q45" i="3"/>
  <c r="P45" i="3"/>
  <c r="Q68" i="3"/>
  <c r="P68" i="3"/>
  <c r="Q43" i="3"/>
  <c r="P43" i="3"/>
  <c r="Q47" i="3"/>
  <c r="P47" i="3"/>
  <c r="S153" i="1" l="1"/>
  <c r="S25" i="1"/>
  <c r="Q44" i="3"/>
  <c r="Q48" i="3"/>
  <c r="Q10" i="3"/>
  <c r="Q28" i="3"/>
  <c r="Q9" i="3"/>
  <c r="Q51" i="3"/>
  <c r="Q46" i="3"/>
  <c r="Q61" i="3"/>
  <c r="Q53" i="3"/>
  <c r="P55" i="3"/>
  <c r="P50" i="3"/>
  <c r="P71" i="3"/>
  <c r="P72" i="3"/>
  <c r="P58" i="3"/>
  <c r="P59" i="3"/>
  <c r="Q64" i="3"/>
  <c r="Q65" i="3"/>
  <c r="Q63" i="3"/>
  <c r="P48" i="3"/>
  <c r="P44" i="3"/>
  <c r="Q55" i="3"/>
  <c r="Q50" i="3"/>
  <c r="Q72" i="3"/>
  <c r="Q71" i="3"/>
  <c r="P10" i="3"/>
  <c r="P28" i="3"/>
  <c r="P9" i="3"/>
  <c r="Q59" i="3"/>
  <c r="Q58" i="3"/>
  <c r="P46" i="3"/>
  <c r="P51" i="3"/>
  <c r="P63" i="3"/>
  <c r="P65" i="3"/>
  <c r="P64" i="3"/>
  <c r="P53" i="3"/>
  <c r="P61" i="3"/>
  <c r="W9" i="3"/>
  <c r="E4" i="6" l="1"/>
  <c r="F4" i="6"/>
  <c r="G4" i="6"/>
  <c r="V13" i="1" l="1"/>
  <c r="K13" i="1" l="1"/>
  <c r="X6" i="1" l="1"/>
  <c r="W6" i="1"/>
  <c r="V6" i="1"/>
  <c r="S6" i="1"/>
  <c r="R2" i="1"/>
  <c r="I2" i="1"/>
  <c r="O6" i="1"/>
  <c r="N6" i="1"/>
  <c r="M6" i="1"/>
  <c r="J6" i="1"/>
  <c r="P3" i="5" l="1"/>
  <c r="AE13" i="1" l="1"/>
  <c r="M18" i="5" l="1"/>
  <c r="AF13" i="1" l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P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l="1"/>
  <c r="AI13" i="1"/>
  <c r="S11" i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<sst xmlns="http://schemas.openxmlformats.org/spreadsheetml/2006/main" count="2321" uniqueCount="772">
  <si>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</si>
  <si>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</si>
  <si>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</si>
  <si>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</si>
  <si>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</si>
  <si>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</si>
  <si>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</si>
  <si>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</si>
  <si>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</si>
  <si>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</si>
  <si>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</si>
  <si>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</si>
  <si>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</si>
  <si>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</si>
  <si>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</si>
  <si>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</si>
  <si>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</si>
  <si>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</si>
  <si>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</si>
  <si>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</si>
  <si>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</si>
  <si>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</si>
  <si>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</si>
  <si>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</si>
  <si>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</si>
  <si>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</si>
  <si>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</si>
  <si>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</si>
  <si>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</si>
  <si>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</si>
  <si>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</si>
  <si>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</si>
  <si>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</si>
  <si>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</si>
  <si>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</si>
  <si>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</si>
  <si>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</si>
  <si>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</si>
  <si>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</si>
  <si>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</si>
  <si>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</si>
  <si>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</si>
  <si>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</si>
  <si>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</si>
  <si>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</si>
  <si>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</si>
  <si>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</si>
  <si>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</si>
  <si>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</si>
  <si>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</si>
  <si>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</si>
  <si>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</si>
  <si>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</si>
  <si>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</si>
  <si>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</si>
  <si>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</si>
  <si>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</si>
  <si>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</si>
  <si>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</si>
  <si>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</si>
  <si>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</si>
  <si>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</si>
  <si>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</si>
  <si>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</si>
  <si>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</si>
  <si>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</si>
  <si>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</si>
  <si>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</si>
  <si>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</si>
  <si>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</si>
  <si>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</si>
  <si>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</si>
  <si>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</si>
  <si>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</si>
  <si>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</si>
  <si>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</si>
  <si>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</si>
  <si>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</si>
  <si>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</si>
  <si>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</si>
  <si>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</si>
  <si>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</si>
  <si>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</si>
  <si>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</si>
  <si>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</si>
  <si>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</si>
  <si>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</si>
  <si>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</si>
  <si>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</si>
  <si>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</si>
  <si>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</si>
  <si>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</si>
  <si>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</si>
  <si>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</si>
  <si>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</si>
  <si>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</si>
  <si>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</si>
  <si>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</si>
  <si>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</si>
  <si>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</si>
  <si>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</si>
  <si>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</si>
  <si>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</si>
  <si>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</si>
  <si>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</si>
  <si>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</si>
  <si>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</si>
  <si>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</si>
  <si>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</si>
  <si>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</si>
  <si>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</si>
  <si>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</si>
  <si>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</si>
  <si>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</si>
  <si>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</si>
  <si>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</si>
  <si>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</si>
  <si>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</si>
  <si>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</si>
  <si>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</si>
  <si>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</si>
  <si>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</si>
  <si>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</si>
  <si>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</si>
  <si>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</si>
  <si>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</si>
  <si>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</si>
  <si>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</si>
  <si>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</si>
  <si>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</si>
  <si>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</si>
  <si>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</si>
  <si>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</si>
  <si>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</si>
  <si>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</si>
  <si>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</si>
  <si>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</si>
  <si>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</si>
  <si>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</si>
  <si>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</si>
  <si>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</si>
  <si>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</si>
  <si>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</si>
  <si>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</si>
  <si>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</si>
  <si>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</si>
  <si>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</si>
  <si>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</si>
  <si>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</si>
  <si>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</si>
  <si>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</si>
  <si>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</si>
  <si>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</si>
  <si>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</si>
  <si>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</si>
  <si>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</si>
  <si>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</si>
  <si>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</si>
  <si>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</si>
  <si>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</si>
  <si>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</si>
  <si>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</si>
  <si>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</si>
  <si>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</si>
  <si>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</si>
  <si>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</si>
  <si>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</si>
  <si>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</si>
  <si>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</si>
  <si>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</si>
  <si>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</si>
  <si>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</si>
  <si>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</si>
  <si>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rtdc.l.rtdc.4043:itc</t>
  </si>
  <si>
    <t>rtdc.l.rtdc.4009:itc</t>
  </si>
  <si>
    <t>rtdc.l.rtdc.4010:itc</t>
  </si>
  <si>
    <t>204:141</t>
  </si>
  <si>
    <t>CHANDLER</t>
  </si>
  <si>
    <t>Onboard in-route failure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</si>
  <si>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</si>
  <si>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</si>
  <si>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</si>
  <si>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</si>
  <si>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</si>
  <si>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</si>
  <si>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</si>
  <si>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</si>
  <si>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</si>
  <si>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</si>
  <si>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rtdc.l.rtdc.4044:itc</t>
  </si>
  <si>
    <t>204:160</t>
  </si>
  <si>
    <t>204:233293</t>
  </si>
  <si>
    <t>204:232975</t>
  </si>
  <si>
    <t>204:233308</t>
  </si>
  <si>
    <t>204:233298</t>
  </si>
  <si>
    <t>300:58928</t>
  </si>
  <si>
    <t>rtdc.l.rtdc.4003:itc</t>
  </si>
  <si>
    <t>204:460</t>
  </si>
  <si>
    <t>204:232992</t>
  </si>
  <si>
    <t>204:232986</t>
  </si>
  <si>
    <t>204:232978</t>
  </si>
  <si>
    <t>204:136</t>
  </si>
  <si>
    <t>204:165</t>
  </si>
  <si>
    <t>204:435</t>
  </si>
  <si>
    <t>204:233327</t>
  </si>
  <si>
    <t>204:233312</t>
  </si>
  <si>
    <t>204:233000</t>
  </si>
  <si>
    <t>204:139</t>
  </si>
  <si>
    <t>204:163</t>
  </si>
  <si>
    <t>204:232998</t>
  </si>
  <si>
    <t>204:161</t>
  </si>
  <si>
    <t>300:23306</t>
  </si>
  <si>
    <t>SPECTOR</t>
  </si>
  <si>
    <t>rtdc.l.rtdc.4054:itc</t>
  </si>
  <si>
    <t>ROBINSON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</si>
  <si>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</si>
  <si>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</si>
  <si>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</si>
  <si>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</si>
  <si>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</si>
  <si>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</si>
  <si>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</si>
  <si>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</si>
  <si>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204:232989</t>
  </si>
  <si>
    <t>204:232987</t>
  </si>
  <si>
    <t>204:442</t>
  </si>
  <si>
    <t>204:478</t>
  </si>
  <si>
    <t>300:58653</t>
  </si>
  <si>
    <t>300:58679</t>
  </si>
  <si>
    <t>204:978</t>
  </si>
  <si>
    <t>rtdc.l.rtdc.4004:itc</t>
  </si>
  <si>
    <t>rtdc.l.rtdc.4021:itc</t>
  </si>
  <si>
    <t>rtdc.l.rtdc.4022:itc</t>
  </si>
  <si>
    <t>GEBRETEKLE</t>
  </si>
  <si>
    <t>SANTIZO</t>
  </si>
  <si>
    <t>SWANSON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</si>
  <si>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</si>
  <si>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</si>
  <si>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</si>
  <si>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</si>
  <si>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</si>
  <si>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</si>
  <si>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</si>
  <si>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</si>
  <si>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</si>
  <si>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</si>
  <si>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</si>
  <si>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</si>
  <si>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</si>
  <si>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</si>
  <si>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</si>
  <si>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</si>
  <si>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</si>
  <si>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</si>
  <si>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</si>
  <si>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</si>
  <si>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</si>
  <si>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</si>
  <si>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</si>
  <si>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</si>
  <si>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</si>
  <si>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</si>
  <si>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</si>
  <si>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</si>
  <si>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</si>
  <si>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</si>
  <si>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</si>
  <si>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</si>
  <si>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</si>
  <si>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</si>
  <si>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</si>
  <si>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</si>
  <si>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</si>
  <si>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</si>
  <si>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SMITH</t>
  </si>
  <si>
    <t>BRANNON</t>
  </si>
  <si>
    <t>rtdc.l.rtdc.4026:itc</t>
  </si>
  <si>
    <t>CRAYTON</t>
  </si>
  <si>
    <t>MOSES</t>
  </si>
  <si>
    <t>STURGEON</t>
  </si>
  <si>
    <t>204:446</t>
  </si>
  <si>
    <t>204:130</t>
  </si>
  <si>
    <t>204:232980</t>
  </si>
  <si>
    <t>204:233289</t>
  </si>
  <si>
    <t>204:233307</t>
  </si>
  <si>
    <t>204:233332</t>
  </si>
  <si>
    <t>204:232977</t>
  </si>
  <si>
    <t>204:233322</t>
  </si>
  <si>
    <t>204:169</t>
  </si>
  <si>
    <t>204:233342</t>
  </si>
  <si>
    <t>204:132</t>
  </si>
  <si>
    <t>204:170</t>
  </si>
  <si>
    <t>204:440</t>
  </si>
  <si>
    <t>204:233286</t>
  </si>
  <si>
    <t>300:23302</t>
  </si>
  <si>
    <t>204:962</t>
  </si>
  <si>
    <t>300:58948</t>
  </si>
  <si>
    <t>300:58626</t>
  </si>
  <si>
    <t>From 08-24-2016 13:14:05.327 until 13:28:22.128, 61st 2S should have been clear (controls sent to it the entire time was CLEAR). However, it cycled back and forth between PROCEED CAB and STOP. Any ideas why?</t>
  </si>
  <si>
    <t>204:422</t>
  </si>
  <si>
    <t>204:233302</t>
  </si>
  <si>
    <t>204:233274</t>
  </si>
  <si>
    <t>204:233010</t>
  </si>
  <si>
    <t>204:232993</t>
  </si>
  <si>
    <t>204:438</t>
  </si>
  <si>
    <t>204:232991</t>
  </si>
  <si>
    <t>204:233321</t>
  </si>
  <si>
    <t>204:233304</t>
  </si>
  <si>
    <t>204:429</t>
  </si>
  <si>
    <t>204:233282</t>
  </si>
  <si>
    <t>204:232968</t>
  </si>
  <si>
    <t>204:233326</t>
  </si>
  <si>
    <t>204:233059</t>
  </si>
  <si>
    <t>204:233009</t>
  </si>
  <si>
    <t>204:233301</t>
  </si>
  <si>
    <t>242-25</t>
  </si>
  <si>
    <t>204:232969</t>
  </si>
  <si>
    <t>244-25</t>
  </si>
  <si>
    <t>311-25</t>
  </si>
  <si>
    <t>313-25</t>
  </si>
  <si>
    <t>300:23304</t>
  </si>
  <si>
    <t>315-25</t>
  </si>
  <si>
    <t>204:869</t>
  </si>
  <si>
    <t>300:58628</t>
  </si>
  <si>
    <t>204:1132</t>
  </si>
  <si>
    <t>204:988</t>
  </si>
  <si>
    <t>300:58655</t>
  </si>
  <si>
    <t>300:58649</t>
  </si>
  <si>
    <t>300:58950</t>
  </si>
  <si>
    <t>300:58632</t>
  </si>
  <si>
    <t>204:1081</t>
  </si>
  <si>
    <t>300:58986</t>
  </si>
  <si>
    <t>204:1055</t>
  </si>
  <si>
    <t>204:745</t>
  </si>
  <si>
    <t>300:58946</t>
  </si>
  <si>
    <t>204:1039</t>
  </si>
  <si>
    <t>204:937</t>
  </si>
  <si>
    <t>rtdc.l.rtdc.4019:itc</t>
  </si>
  <si>
    <t>rtdc.l.rtdc.4012:itc</t>
  </si>
  <si>
    <t>Track device (7)</t>
  </si>
  <si>
    <t>SWITCH UNKNOWN</t>
  </si>
  <si>
    <t>rtdc.l.rtdc.4011:itc</t>
  </si>
  <si>
    <t>rtdc.l.rtdc.4020:itc</t>
  </si>
  <si>
    <t>CLARK</t>
  </si>
  <si>
    <t>SHOOK</t>
  </si>
  <si>
    <t>BROWN</t>
  </si>
  <si>
    <t>WEBSTER</t>
  </si>
  <si>
    <t>OUN</t>
  </si>
  <si>
    <t>Did not initialize</t>
  </si>
  <si>
    <t>Output Refined Run Times to File?</t>
  </si>
  <si>
    <t>RefinedRTDCRunTimesOutputFile</t>
  </si>
  <si>
    <t>Time (US/Mountain)</t>
  </si>
  <si>
    <t>Source</t>
  </si>
  <si>
    <t>Employee Identifier</t>
  </si>
  <si>
    <t>Employee Last Name</t>
  </si>
  <si>
    <t>101-26</t>
  </si>
  <si>
    <t>rtdc.l.rtdc.4040:itc</t>
  </si>
  <si>
    <t>103-26</t>
  </si>
  <si>
    <t>DAVIS</t>
  </si>
  <si>
    <t>102-26</t>
  </si>
  <si>
    <t>105-26</t>
  </si>
  <si>
    <t>MALAVE</t>
  </si>
  <si>
    <t>107-26</t>
  </si>
  <si>
    <t>109-26</t>
  </si>
  <si>
    <t>104-26</t>
  </si>
  <si>
    <t>111-26</t>
  </si>
  <si>
    <t>800-26</t>
  </si>
  <si>
    <t>STRICKLAND</t>
  </si>
  <si>
    <t>106-26</t>
  </si>
  <si>
    <t>113-26</t>
  </si>
  <si>
    <t>108-26</t>
  </si>
  <si>
    <t>115-26</t>
  </si>
  <si>
    <t>110-26</t>
  </si>
  <si>
    <t>801-26</t>
  </si>
  <si>
    <t>117-26</t>
  </si>
  <si>
    <t>112-26</t>
  </si>
  <si>
    <t>119-26</t>
  </si>
  <si>
    <t>GRASTON</t>
  </si>
  <si>
    <t>114-26</t>
  </si>
  <si>
    <t>802-26</t>
  </si>
  <si>
    <t>803-26</t>
  </si>
  <si>
    <t>121-26</t>
  </si>
  <si>
    <t>116-26</t>
  </si>
  <si>
    <t>123-26</t>
  </si>
  <si>
    <t>rtdc.l.rtdc.4039:itc</t>
  </si>
  <si>
    <t>118-26</t>
  </si>
  <si>
    <t>804-26</t>
  </si>
  <si>
    <t>805-26</t>
  </si>
  <si>
    <t>125-26</t>
  </si>
  <si>
    <t>120-26</t>
  </si>
  <si>
    <t>807-26</t>
  </si>
  <si>
    <t>127-26</t>
  </si>
  <si>
    <t>806-26</t>
  </si>
  <si>
    <t>129-26</t>
  </si>
  <si>
    <t>rtdc.l.rtdc.4028:itc</t>
  </si>
  <si>
    <t>122-26</t>
  </si>
  <si>
    <t>124-26</t>
  </si>
  <si>
    <t>133-26</t>
  </si>
  <si>
    <t>131-26</t>
  </si>
  <si>
    <t>126-26</t>
  </si>
  <si>
    <t>809-26</t>
  </si>
  <si>
    <t>128-26</t>
  </si>
  <si>
    <t>135-26</t>
  </si>
  <si>
    <t>130-26</t>
  </si>
  <si>
    <t>137-26</t>
  </si>
  <si>
    <t>810-26</t>
  </si>
  <si>
    <t>132-26</t>
  </si>
  <si>
    <t>811-26</t>
  </si>
  <si>
    <t>139-26</t>
  </si>
  <si>
    <t>903-26</t>
  </si>
  <si>
    <t>134-26</t>
  </si>
  <si>
    <t>141-26</t>
  </si>
  <si>
    <t>812-26</t>
  </si>
  <si>
    <t>136-26</t>
  </si>
  <si>
    <t>143-26</t>
  </si>
  <si>
    <t>138-26</t>
  </si>
  <si>
    <t>145-26</t>
  </si>
  <si>
    <t>813-26</t>
  </si>
  <si>
    <t>140-26</t>
  </si>
  <si>
    <t>147-26</t>
  </si>
  <si>
    <t>142-26</t>
  </si>
  <si>
    <t>814-26</t>
  </si>
  <si>
    <t>149-26</t>
  </si>
  <si>
    <t>144-26</t>
  </si>
  <si>
    <t>151-26</t>
  </si>
  <si>
    <t>146-26</t>
  </si>
  <si>
    <t>153-26</t>
  </si>
  <si>
    <t>148-26</t>
  </si>
  <si>
    <t>815-26</t>
  </si>
  <si>
    <t>155-26</t>
  </si>
  <si>
    <t>50-26</t>
  </si>
  <si>
    <t>STEWART</t>
  </si>
  <si>
    <t>150-26</t>
  </si>
  <si>
    <t>816-26</t>
  </si>
  <si>
    <t>157-26</t>
  </si>
  <si>
    <t>152-26</t>
  </si>
  <si>
    <t>159-26</t>
  </si>
  <si>
    <t>154-26</t>
  </si>
  <si>
    <t>817-26</t>
  </si>
  <si>
    <t>161-26</t>
  </si>
  <si>
    <t>156-26</t>
  </si>
  <si>
    <t>163-26</t>
  </si>
  <si>
    <t>158-26</t>
  </si>
  <si>
    <t>818-26</t>
  </si>
  <si>
    <t>160-26</t>
  </si>
  <si>
    <t>165-26</t>
  </si>
  <si>
    <t>167-26</t>
  </si>
  <si>
    <t>162-26</t>
  </si>
  <si>
    <t>169-26</t>
  </si>
  <si>
    <t>819-26</t>
  </si>
  <si>
    <t>164-26</t>
  </si>
  <si>
    <t>171-26</t>
  </si>
  <si>
    <t>166-26</t>
  </si>
  <si>
    <t>820-26</t>
  </si>
  <si>
    <t>173-26</t>
  </si>
  <si>
    <t>168-26</t>
  </si>
  <si>
    <t>175-26</t>
  </si>
  <si>
    <t>170-26</t>
  </si>
  <si>
    <t>821-26</t>
  </si>
  <si>
    <t>177-26</t>
  </si>
  <si>
    <t>172-26</t>
  </si>
  <si>
    <t>179-26</t>
  </si>
  <si>
    <t>181-26</t>
  </si>
  <si>
    <t>822-26</t>
  </si>
  <si>
    <t>176-26</t>
  </si>
  <si>
    <t>174-26</t>
  </si>
  <si>
    <t>183-26</t>
  </si>
  <si>
    <t>823-26</t>
  </si>
  <si>
    <t>178-26</t>
  </si>
  <si>
    <t>185-26</t>
  </si>
  <si>
    <t>180-26</t>
  </si>
  <si>
    <t>187-26</t>
  </si>
  <si>
    <t>182-26</t>
  </si>
  <si>
    <t>824-26</t>
  </si>
  <si>
    <t>189-26</t>
  </si>
  <si>
    <t>184-26</t>
  </si>
  <si>
    <t>191-26</t>
  </si>
  <si>
    <t>186-26</t>
  </si>
  <si>
    <t>193-26</t>
  </si>
  <si>
    <t>825-26</t>
  </si>
  <si>
    <t>904-26</t>
  </si>
  <si>
    <t>188-26</t>
  </si>
  <si>
    <t>65-26</t>
  </si>
  <si>
    <t>195-26</t>
  </si>
  <si>
    <t>827-26</t>
  </si>
  <si>
    <t>190-26</t>
  </si>
  <si>
    <t>826-26</t>
  </si>
  <si>
    <t>197-26</t>
  </si>
  <si>
    <t>192-26</t>
  </si>
  <si>
    <t>199-26</t>
  </si>
  <si>
    <t>828-26</t>
  </si>
  <si>
    <t>194-26</t>
  </si>
  <si>
    <t>201-26</t>
  </si>
  <si>
    <t>829-26</t>
  </si>
  <si>
    <t>196-26</t>
  </si>
  <si>
    <t>203-26</t>
  </si>
  <si>
    <t>831-26</t>
  </si>
  <si>
    <t>198-26</t>
  </si>
  <si>
    <t>830-26</t>
  </si>
  <si>
    <t>205-26</t>
  </si>
  <si>
    <t>200-26</t>
  </si>
  <si>
    <t>207-26</t>
  </si>
  <si>
    <t>833-26</t>
  </si>
  <si>
    <t>202-26</t>
  </si>
  <si>
    <t>835-26</t>
  </si>
  <si>
    <t>209-26</t>
  </si>
  <si>
    <t>832-26</t>
  </si>
  <si>
    <t>204-26</t>
  </si>
  <si>
    <t>211-26</t>
  </si>
  <si>
    <t>206-26</t>
  </si>
  <si>
    <t>834-26</t>
  </si>
  <si>
    <t>213-26</t>
  </si>
  <si>
    <t>62-26</t>
  </si>
  <si>
    <t>208-26</t>
  </si>
  <si>
    <t>215-26</t>
  </si>
  <si>
    <t>68-26</t>
  </si>
  <si>
    <t>836-26</t>
  </si>
  <si>
    <t>210-26</t>
  </si>
  <si>
    <t>837-26</t>
  </si>
  <si>
    <t>217-26</t>
  </si>
  <si>
    <t>212-26</t>
  </si>
  <si>
    <t>64-26</t>
  </si>
  <si>
    <t>219-26</t>
  </si>
  <si>
    <t>839-26</t>
  </si>
  <si>
    <t>838-26</t>
  </si>
  <si>
    <t>214-26</t>
  </si>
  <si>
    <t>216-26</t>
  </si>
  <si>
    <t>303-26</t>
  </si>
  <si>
    <t>221-26</t>
  </si>
  <si>
    <t>56-26</t>
  </si>
  <si>
    <t>906-26</t>
  </si>
  <si>
    <t>841-26</t>
  </si>
  <si>
    <t>305-26</t>
  </si>
  <si>
    <t>220-26</t>
  </si>
  <si>
    <t>840-26</t>
  </si>
  <si>
    <t>223-26</t>
  </si>
  <si>
    <t>307-26</t>
  </si>
  <si>
    <t>222-26</t>
  </si>
  <si>
    <t>842-26</t>
  </si>
  <si>
    <t>843-26</t>
  </si>
  <si>
    <t>229-26</t>
  </si>
  <si>
    <t>231-26</t>
  </si>
  <si>
    <t>226-26</t>
  </si>
  <si>
    <t>845-26</t>
  </si>
  <si>
    <t>233-26</t>
  </si>
  <si>
    <t>67-26</t>
  </si>
  <si>
    <t>844-26</t>
  </si>
  <si>
    <t>228-26</t>
  </si>
  <si>
    <t>847-26</t>
  </si>
  <si>
    <t>230-26</t>
  </si>
  <si>
    <t>908-26</t>
  </si>
  <si>
    <t>232-26</t>
  </si>
  <si>
    <t>235-26</t>
  </si>
  <si>
    <t>237-26</t>
  </si>
  <si>
    <t>234-26</t>
  </si>
  <si>
    <t>236-26</t>
  </si>
  <si>
    <t>239-26</t>
  </si>
  <si>
    <t>238-26</t>
  </si>
  <si>
    <t>241-26</t>
  </si>
  <si>
    <t>243-26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</si>
  <si>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</si>
  <si>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</si>
  <si>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</si>
  <si>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</si>
  <si>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</si>
  <si>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</si>
  <si>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</si>
  <si>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</si>
  <si>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TEMPORARY SPEED RESTRICTION</t>
  </si>
  <si>
    <t>Bulletin (2)</t>
  </si>
  <si>
    <t>GRADE CROSSING</t>
  </si>
  <si>
    <t>Y</t>
  </si>
  <si>
    <t>204:732</t>
  </si>
  <si>
    <t>204:124092</t>
  </si>
  <si>
    <t>204:232692</t>
  </si>
  <si>
    <t>204:157747</t>
  </si>
  <si>
    <t>204:86349</t>
  </si>
  <si>
    <t>204:726</t>
  </si>
  <si>
    <t>204:124338</t>
  </si>
  <si>
    <t>204:232675</t>
  </si>
  <si>
    <t>204:158299</t>
  </si>
  <si>
    <t>204:124134</t>
  </si>
  <si>
    <t>204:127788</t>
  </si>
  <si>
    <t>204:358</t>
  </si>
  <si>
    <t>204:232662</t>
  </si>
  <si>
    <t>204:158493</t>
  </si>
  <si>
    <t>204:126072</t>
  </si>
  <si>
    <t>204:127864</t>
  </si>
  <si>
    <t>204:158429</t>
  </si>
  <si>
    <t>204:125199</t>
  </si>
  <si>
    <t>204:127857</t>
  </si>
  <si>
    <t>204:158239</t>
  </si>
  <si>
    <t>204:1154</t>
  </si>
  <si>
    <t>204:123239</t>
  </si>
  <si>
    <t>204:127851</t>
  </si>
  <si>
    <t>204:158123</t>
  </si>
  <si>
    <t>204:1583</t>
  </si>
  <si>
    <t>204:1952</t>
  </si>
  <si>
    <t>204:19191</t>
  </si>
  <si>
    <t>204:123318</t>
  </si>
  <si>
    <t>204:232982</t>
  </si>
  <si>
    <t>204:158853</t>
  </si>
  <si>
    <t>204:1241</t>
  </si>
  <si>
    <t>204:122633</t>
  </si>
  <si>
    <t>204:127849</t>
  </si>
  <si>
    <t>204:232963</t>
  </si>
  <si>
    <t>204:159218</t>
  </si>
  <si>
    <t>204:777</t>
  </si>
  <si>
    <t>204:124757</t>
  </si>
  <si>
    <t>204:232996</t>
  </si>
  <si>
    <t>204:124535</t>
  </si>
  <si>
    <t>204:1175</t>
  </si>
  <si>
    <t>204:980</t>
  </si>
  <si>
    <t>204:233228</t>
  </si>
  <si>
    <t>204:232902</t>
  </si>
  <si>
    <t>204:232971</t>
  </si>
  <si>
    <t>204:233232</t>
  </si>
  <si>
    <t>204:232917</t>
  </si>
  <si>
    <t>204:232984</t>
  </si>
  <si>
    <t>204:458</t>
  </si>
  <si>
    <t>204:233281</t>
  </si>
  <si>
    <t>204:232970</t>
  </si>
  <si>
    <t>204:181</t>
  </si>
  <si>
    <t>204:233319</t>
  </si>
  <si>
    <t>204:232965</t>
  </si>
  <si>
    <t>204:486</t>
  </si>
  <si>
    <t>204:233309</t>
  </si>
  <si>
    <t>204:233266</t>
  </si>
  <si>
    <t>204:232936</t>
  </si>
  <si>
    <t>204:473</t>
  </si>
  <si>
    <t>204:233316</t>
  </si>
  <si>
    <t>204:233019</t>
  </si>
  <si>
    <t>204:233355</t>
  </si>
  <si>
    <t>204:233021</t>
  </si>
  <si>
    <t>204:233049</t>
  </si>
  <si>
    <t>204:233004</t>
  </si>
  <si>
    <t>204:426</t>
  </si>
  <si>
    <t>204:233028</t>
  </si>
  <si>
    <t>204:203</t>
  </si>
  <si>
    <t>204:233295</t>
  </si>
  <si>
    <t>204:233328</t>
  </si>
  <si>
    <t>204:232988</t>
  </si>
  <si>
    <t>204:233331</t>
  </si>
  <si>
    <t>204:123</t>
  </si>
  <si>
    <t>204:233366</t>
  </si>
  <si>
    <t>204:484</t>
  </si>
  <si>
    <t>204:233306</t>
  </si>
  <si>
    <t>204:482</t>
  </si>
  <si>
    <t>204:233324</t>
  </si>
  <si>
    <t>204:232985</t>
  </si>
  <si>
    <t>204:480</t>
  </si>
  <si>
    <t>204:174</t>
  </si>
  <si>
    <t>204:119</t>
  </si>
  <si>
    <t>204:233351</t>
  </si>
  <si>
    <t>204:233047</t>
  </si>
  <si>
    <t>204:1098</t>
  </si>
  <si>
    <t>204:1177</t>
  </si>
  <si>
    <t>204:233299</t>
  </si>
  <si>
    <t>204:194515</t>
  </si>
  <si>
    <t>204:901</t>
  </si>
  <si>
    <t>204:72909</t>
  </si>
  <si>
    <t>204:64131</t>
  </si>
  <si>
    <t>204:19117</t>
  </si>
  <si>
    <t>204:231</t>
  </si>
  <si>
    <t>204:232976</t>
  </si>
  <si>
    <t>204:5888</t>
  </si>
  <si>
    <t>204:62491</t>
  </si>
  <si>
    <t>204:36773</t>
  </si>
  <si>
    <t>204:232974</t>
  </si>
  <si>
    <t>204:227</t>
  </si>
  <si>
    <t>204:19115</t>
  </si>
  <si>
    <t>204:172</t>
  </si>
  <si>
    <t>204:540</t>
  </si>
  <si>
    <t>204:176</t>
  </si>
  <si>
    <t>204:488</t>
  </si>
  <si>
    <t>204:1416</t>
  </si>
  <si>
    <t>300:23310</t>
  </si>
  <si>
    <t>204:497</t>
  </si>
  <si>
    <t>204:491</t>
  </si>
  <si>
    <t>300:23346</t>
  </si>
  <si>
    <t>204:900</t>
  </si>
  <si>
    <t>204:18891</t>
  </si>
  <si>
    <t>204:529</t>
  </si>
  <si>
    <t>300:23299</t>
  </si>
  <si>
    <t>204:19122</t>
  </si>
  <si>
    <t>300:23449</t>
  </si>
  <si>
    <t>204:133</t>
  </si>
  <si>
    <t>300:58677</t>
  </si>
  <si>
    <t>204:741</t>
  </si>
  <si>
    <t>204:1028</t>
  </si>
  <si>
    <t>300:58833</t>
  </si>
  <si>
    <t>300:58668</t>
  </si>
  <si>
    <t>204:722</t>
  </si>
  <si>
    <t>300:58999</t>
  </si>
  <si>
    <t>300:58681</t>
  </si>
  <si>
    <t>204:799</t>
  </si>
  <si>
    <t>204:1016</t>
  </si>
  <si>
    <t>300:58937</t>
  </si>
  <si>
    <t>300:58621</t>
  </si>
  <si>
    <t>204:698</t>
  </si>
  <si>
    <t>204:1093</t>
  </si>
  <si>
    <t>300:58995</t>
  </si>
  <si>
    <t>204:995</t>
  </si>
  <si>
    <t>300:58604</t>
  </si>
  <si>
    <t>204:710</t>
  </si>
  <si>
    <t>204:1102</t>
  </si>
  <si>
    <t>300:58988</t>
  </si>
  <si>
    <t>204:775</t>
  </si>
  <si>
    <t>204:1079</t>
  </si>
  <si>
    <t>300:58965</t>
  </si>
  <si>
    <t>204:792</t>
  </si>
  <si>
    <t>204:1095</t>
  </si>
  <si>
    <t>204:855</t>
  </si>
  <si>
    <t>300:58673</t>
  </si>
  <si>
    <t>204:789</t>
  </si>
  <si>
    <t>300:58963</t>
  </si>
  <si>
    <t>204:813</t>
  </si>
  <si>
    <t>300:58617</t>
  </si>
  <si>
    <t>300:58956</t>
  </si>
  <si>
    <t>204:748</t>
  </si>
  <si>
    <t>204:1049</t>
  </si>
  <si>
    <t>300:58636</t>
  </si>
  <si>
    <t>204:824</t>
  </si>
  <si>
    <t>204:899</t>
  </si>
  <si>
    <t>300:58675</t>
  </si>
  <si>
    <t>204:664</t>
  </si>
  <si>
    <t>204:1121</t>
  </si>
  <si>
    <t>300:58929</t>
  </si>
  <si>
    <t>300:58615</t>
  </si>
  <si>
    <t>204:825</t>
  </si>
  <si>
    <t>300:58969</t>
  </si>
  <si>
    <t>204:860</t>
  </si>
  <si>
    <t>204:1118</t>
  </si>
  <si>
    <t>300:58961</t>
  </si>
  <si>
    <t>300:58715</t>
  </si>
  <si>
    <t>204:874</t>
  </si>
  <si>
    <t>204:1140</t>
  </si>
  <si>
    <t>300:58935</t>
  </si>
  <si>
    <t>204:661</t>
  </si>
  <si>
    <t>204:1130</t>
  </si>
  <si>
    <t>300:58984</t>
  </si>
  <si>
    <t>300:58664</t>
  </si>
  <si>
    <t>204:953</t>
  </si>
  <si>
    <t>204:850</t>
  </si>
  <si>
    <t>204:1027</t>
  </si>
  <si>
    <t>204:764</t>
  </si>
  <si>
    <t>204:1139</t>
  </si>
  <si>
    <t>300:58640</t>
  </si>
  <si>
    <t>204:720</t>
  </si>
  <si>
    <t>204:1002</t>
  </si>
  <si>
    <t>300:24260</t>
  </si>
  <si>
    <t>300:25442</t>
  </si>
  <si>
    <t>300:24402</t>
  </si>
  <si>
    <t>300:58634</t>
  </si>
  <si>
    <t>300:28786</t>
  </si>
  <si>
    <t>300:58647</t>
  </si>
  <si>
    <t>300:21575</t>
  </si>
  <si>
    <t>Maintenance on ML1497</t>
  </si>
  <si>
    <t>Confusion over Form C?</t>
  </si>
  <si>
    <t>Wi-MAX outage</t>
  </si>
  <si>
    <t>Talked past Quebec 4S</t>
  </si>
  <si>
    <t>Replaced by 231-26</t>
  </si>
  <si>
    <t>Dispatcher error - trip ID wasn't available while init'ing at DUS</t>
  </si>
  <si>
    <t>218-26</t>
  </si>
  <si>
    <t>224-26</t>
  </si>
  <si>
    <t>225-26</t>
  </si>
  <si>
    <t>227-26</t>
  </si>
  <si>
    <t>808-26</t>
  </si>
  <si>
    <t>Early arrival</t>
  </si>
  <si>
    <t>Pena 4S STOP, cleared shortly</t>
  </si>
  <si>
    <t>Main 3 departure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</si>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</sst>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workbookViewId="0">
      <selection activeCell="P167" sqref="P167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42608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42608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145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COUNTIFS($N$13:$N$9388,"&gt;0",$AG$13:$AG$9388,I1)</f>
        <v>117</v>
      </c>
      <c r="K5" s="46"/>
      <c r="L5" s="46"/>
      <c r="M5" s="47">
        <f>AVERAGEIFS($N$13:$N$9388,$AG$13:$AG$9388,I1)</f>
        <v>44.46794871787111</v>
      </c>
      <c r="N5" s="45">
        <f t="array" ref="N5">MIN(IF($AG$13:$AG$9388=I1,IF(ISNUMBER($N$13:$N$9388),IF($N$13:$N$9388&gt;0,$N$13:$N$9388))))</f>
        <v>36.033333332743496</v>
      </c>
      <c r="O5" s="3">
        <f t="array" ref="O5">MAX(IF($AG$13:$AG$9388=I1,IF(ISNUMBER($N$13:$N$9388),IF($N$13:$N$9388&gt;0,$N$13:$N$9388))))</f>
        <v>74.916666661156341</v>
      </c>
      <c r="P5" s="2"/>
      <c r="R5" s="87" t="s">
        <v>17</v>
      </c>
      <c r="S5" s="57">
        <f>COUNTIFS($N$13:$N$9388,"&gt;0",$AG$13:$AG$9388,R1)</f>
        <v>46</v>
      </c>
      <c r="T5" s="46"/>
      <c r="U5" s="124"/>
      <c r="V5" s="47">
        <f>AVERAGEIFS($N$13:$N$9388,$AG$13:$AG$9388,R1)</f>
        <v>22.063405796627354</v>
      </c>
      <c r="W5" s="45">
        <f t="array" ref="W5">MIN(IF($AG$13:$AG$9388=R1,IF(ISNUMBER($N$13:$N$9388),IF($N$13:$N$9388&gt;0,$N$13:$N$9388))))</f>
        <v>15.01666666707024</v>
      </c>
      <c r="X5" s="116">
        <f t="array" ref="X5">MAX(IF($AG$13:$AG$9388=R1,IF(ISNUMBER($N$13:$N$9388),IF($N$13:$N$9388&gt;0,$N$13:$N$9388))))</f>
        <v>39.583333334885538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COUNT($O$13:$O$141)</f>
        <v>0</v>
      </c>
      <c r="K6" s="46"/>
      <c r="L6" s="46"/>
      <c r="M6" s="47">
        <f>IFERROR(AVERAGE($O$13:$O$141),0)</f>
        <v>0</v>
      </c>
      <c r="N6" s="45">
        <f>MIN($O$13:$O$141)</f>
        <v>0</v>
      </c>
      <c r="O6" s="3">
        <f>MAX($O$13:$O$141)</f>
        <v>0</v>
      </c>
      <c r="P6" s="2"/>
      <c r="R6" s="88" t="s">
        <v>43</v>
      </c>
      <c r="S6" s="57">
        <f>COUNT($O$13:$O$141)</f>
        <v>0</v>
      </c>
      <c r="T6" s="46"/>
      <c r="U6" s="124"/>
      <c r="V6" s="47">
        <f>IFERROR(AVERAGE($O$13:$O$141),0)</f>
        <v>0</v>
      </c>
      <c r="W6" s="45">
        <f>MIN($O$13:$O$141)</f>
        <v>0</v>
      </c>
      <c r="X6" s="116">
        <f>MAX($O$13:$O$141)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COUNTIFS($P$13:$P$9388,"&gt;0",$AG$13:$AG$9388,I1)</f>
        <v>28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COUNTIFS($P$13:$P$9388,"&gt;0",$AG$13:$AG$9388,R1)</f>
        <v>1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117</v>
      </c>
      <c r="K8" s="46"/>
      <c r="L8" s="46"/>
      <c r="M8" s="47">
        <f>M5</f>
        <v>44.46794871787111</v>
      </c>
      <c r="N8" s="45">
        <f>N5</f>
        <v>36.033333332743496</v>
      </c>
      <c r="O8" s="3">
        <f>O5</f>
        <v>74.916666661156341</v>
      </c>
      <c r="P8" s="2"/>
      <c r="R8" s="87" t="s">
        <v>16</v>
      </c>
      <c r="S8" s="57">
        <f>S5</f>
        <v>46</v>
      </c>
      <c r="T8" s="46"/>
      <c r="U8" s="124"/>
      <c r="V8" s="47">
        <f>V5</f>
        <v>22.063405796627354</v>
      </c>
      <c r="W8" s="45">
        <f>W5</f>
        <v>15.01666666707024</v>
      </c>
      <c r="X8" s="116">
        <f>X5</f>
        <v>39.583333334885538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0.80689655172413788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0.97872340425531912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- 2016-08-26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AVERAGE(S13:S85)</f>
        <v>0.98205128205128212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268</v>
      </c>
      <c r="AJ12" s="53" t="s">
        <v>269</v>
      </c>
      <c r="AK12" s="53" t="s">
        <v>241</v>
      </c>
      <c r="AL12" s="53" t="s">
        <v>270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355</v>
      </c>
      <c r="B13" s="7">
        <v>4038</v>
      </c>
      <c r="C13" s="24" t="s">
        <v>113</v>
      </c>
      <c r="D13" s="24" t="s">
        <v>572</v>
      </c>
      <c r="E13" s="15">
        <v>42608.126782407409</v>
      </c>
      <c r="F13" s="15">
        <v>42608.127604166664</v>
      </c>
      <c r="G13" s="7">
        <v>1</v>
      </c>
      <c r="H13" s="15" t="s">
        <v>573</v>
      </c>
      <c r="I13" s="15">
        <v>42608.152222222219</v>
      </c>
      <c r="J13" s="7">
        <v>0</v>
      </c>
      <c r="K13" s="132" t="str">
        <f t="shared" ref="K13:K44" si="0">IF(ISEVEN(B13),(B13-1)&amp;"/"&amp;B13,B13&amp;"/"&amp;(B13+1))</f>
        <v>4037/4038</v>
      </c>
      <c r="L13" s="24" t="str">
        <f>VLOOKUP(A13,'Trips&amp;Operators'!$C$1:$E$10000,3,FALSE)</f>
        <v>MAELZER</v>
      </c>
      <c r="M13" s="6">
        <f t="shared" ref="M13:M44" si="1">I13-F13</f>
        <v>2.4618055555038154E-2</v>
      </c>
      <c r="N13" s="7"/>
      <c r="O13" s="7"/>
      <c r="P13" s="7">
        <f>24*60*SUM($M13:$M13)</f>
        <v>35.449999999254942</v>
      </c>
      <c r="Q13" s="25"/>
      <c r="R13" s="25" t="s">
        <v>757</v>
      </c>
      <c r="S13" s="37">
        <f>SUM(U13:U13)/IF(AG13="EC",12,1)</f>
        <v>1</v>
      </c>
      <c r="T13" s="52" t="str">
        <f t="shared" ref="T13:T44" si="2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https://search-rtdc-monitor-bjffxe2xuh6vdkpspy63sjmuny.us-east-1.es.amazonaws.com/_plugin/kibana/#/discover/Steve-Slow-Train-Analysis-(2080s-and-2083s)?_g=(refreshInterval:(display:Off,section:0,value:0),time:(from:'2016-08-26 02:02:34-0600',mode:absolute,to:'2016-08-26 04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44" si="4">IF(AA13&lt;IF(AG13="EC",23,5.65),"Y","N")</f>
        <v>Y</v>
      </c>
      <c r="X13" s="120" t="e">
        <f t="shared" ref="X13:X48" si="5">VALUE(LEFT(AD13,4))-VALUE(LEFT(AD12,4))</f>
        <v>#VALUE!</v>
      </c>
      <c r="Y13" s="69">
        <f t="shared" ref="Y13:Y44" si="6">RIGHT(D13,LEN(D13)-4)/10000</f>
        <v>7.3200000000000001E-2</v>
      </c>
      <c r="Z13" s="69">
        <f t="shared" ref="Z13:Z44" si="7">RIGHT(H13,LEN(H13)-4)/10000</f>
        <v>12.4092</v>
      </c>
      <c r="AA13" s="69">
        <f t="shared" ref="AA13:AA44" si="8">ABS(Z13-Y13)</f>
        <v>12.336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4" si="9">IF(LEN(A13)=6,"0"&amp;A13,A13)</f>
        <v>0101-26</v>
      </c>
      <c r="AE13" s="99" t="str">
        <f t="shared" ref="AE13:AE76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3" s="96" t="str">
        <f t="shared" ref="AF13:AF76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/stypes="*4038*20160826*" /stext=" 09:.+((SYSTEM_STATE.+slice.+state.+changed )|(ment ac)|(system.+state.+changed )|(\|lc)|(penalty)|(\[timeout)|(PRM\|1\|D)|(kpr)|(kdp))" /e /r /s</v>
      </c>
      <c r="AG13" s="1" t="str">
        <f t="shared" ref="AG13:AG44" si="12">IFERROR(IF(VALUE(LEFT(AD13,2))&lt;=2,"EC",IF(OR(VALUE(LEFT(AD13,2))=8,VALUE(LEFT(AD13,2))=18),"NW","Other")),"Other")</f>
        <v>EC</v>
      </c>
      <c r="AH13" s="100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4038 --swversion DE.1.0.7.0 --startMP 204:732 --initTime 2016-08-26T03:02:34 --startdatetime 2016-08-26T03:03:45 --delay 1 --endMP 204:124092 --enddatetime 2016-08-26T03:39:12 --enforcementcount 0 &gt;&gt;C:\Users\stu\Documents\GitHub\eaglep3-reporting\EC\2016-08-26-refined-times.txt</v>
      </c>
      <c r="AI13" s="14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ML1497","project_id":79,"tracker_id":40,"status_id":1,"priority_id":2,"assigned_to_id":23,"start_date":"2016-08-26","description":"","custom_fields":[{"id":1,"name":"Subdivision","value":"EC"},{"id":4,"name":"Milepost","value":"12.336"},{"id":17,"name":"Train ID","value":"101-26"},{"id":16,"name":"Locomotive ID","value":"4038"},{"id":130,"name":"Impact","value":""},{"id":150,"name":"Time of Event (Mountain Time)","value":"03:39:12"},{"id":151,"name":"Denver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359</v>
      </c>
      <c r="B14" s="7">
        <v>4001</v>
      </c>
      <c r="C14" s="24" t="s">
        <v>113</v>
      </c>
      <c r="D14" s="24" t="s">
        <v>574</v>
      </c>
      <c r="E14" s="15">
        <v>42608.173217592594</v>
      </c>
      <c r="F14" s="15">
        <v>42608.173807870371</v>
      </c>
      <c r="G14" s="7">
        <v>0</v>
      </c>
      <c r="H14" s="15" t="s">
        <v>575</v>
      </c>
      <c r="I14" s="15">
        <v>42608.189363425925</v>
      </c>
      <c r="J14" s="7">
        <v>0</v>
      </c>
      <c r="K14" s="132" t="str">
        <f t="shared" si="0"/>
        <v>4001/4002</v>
      </c>
      <c r="L14" s="24" t="str">
        <f>VLOOKUP(A14,'Trips&amp;Operators'!$C$1:$E$10000,3,FALSE)</f>
        <v>MAELZER</v>
      </c>
      <c r="M14" s="6">
        <f t="shared" si="1"/>
        <v>1.5555555553874001E-2</v>
      </c>
      <c r="N14" s="7"/>
      <c r="O14" s="7"/>
      <c r="P14" s="7">
        <f>24*60*SUM($M14:$M15)</f>
        <v>43.11666666646488</v>
      </c>
      <c r="Q14" s="25"/>
      <c r="R14" s="25" t="s">
        <v>757</v>
      </c>
      <c r="S14" s="37">
        <f>SUM(U14:U15)/IF(AG14="EC",12,1)</f>
        <v>0.83333333333333337</v>
      </c>
      <c r="T14" s="52" t="str">
        <f t="shared" si="2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03:09:26-0600',mode:absolute,to:'2016-08-26 05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" s="54" t="str">
        <f t="shared" si="4"/>
        <v>Y</v>
      </c>
      <c r="X14" s="120">
        <f t="shared" si="5"/>
        <v>1</v>
      </c>
      <c r="Y14" s="69">
        <f t="shared" si="6"/>
        <v>23.269200000000001</v>
      </c>
      <c r="Z14" s="69">
        <f t="shared" si="7"/>
        <v>15.774699999999999</v>
      </c>
      <c r="AA14" s="69">
        <f t="shared" si="8"/>
        <v>7.4945000000000022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9"/>
        <v>0102-26</v>
      </c>
      <c r="AE14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" s="96" t="str">
        <f t="shared" si="11"/>
        <v>"C:\Program Files (x86)\AstroGrep\AstroGrep.exe" /spath="%USERPROFILE%\AppData\Local\Temp\OnboardLogs" /stypes="*4001*20160826*"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0" t="str">
        <f t="shared" ref="AH14:AH76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4001 --swversion DE.1.0.7.0 --startMP 204:232692 --initTime 2016-08-26T04:09:26 --startdatetime 2016-08-26T04:10:17 --delay 0 --endMP 204:157747 --enddatetime 2016-08-26T04:32:41 --enforcementcount 0 &gt;&gt;C:\Users\stu\Documents\GitHub\eaglep3-reporting\EC\2016-08-26-refined-times.txt</v>
      </c>
      <c r="AI14" s="149" t="str">
        <f t="shared" ref="AI14:AI76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ML1497","project_id":79,"tracker_id":40,"status_id":1,"priority_id":2,"assigned_to_id":23,"start_date":"2016-08-26","description":"","custom_fields":[{"id":1,"name":"Subdivision","value":"EC"},{"id":4,"name":"Milepost","value":"7.4945"},{"id":17,"name":"Train ID","value":"102-26"},{"id":16,"name":"Locomotive ID","value":"4001"},{"id":130,"name":"Impact","value":""},{"id":150,"name":"Time of Event (Mountain Time)","value":"04:32:41"},{"id":151,"name":"Denver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359</v>
      </c>
      <c r="B15" s="7">
        <v>4001</v>
      </c>
      <c r="C15" s="24" t="s">
        <v>113</v>
      </c>
      <c r="D15" s="24" t="s">
        <v>576</v>
      </c>
      <c r="E15" s="15">
        <v>42608.20113425926</v>
      </c>
      <c r="F15" s="15">
        <v>42608.201724537037</v>
      </c>
      <c r="G15" s="7">
        <v>0</v>
      </c>
      <c r="H15" s="15" t="s">
        <v>336</v>
      </c>
      <c r="I15" s="15">
        <v>42608.216111111113</v>
      </c>
      <c r="J15" s="7">
        <v>0</v>
      </c>
      <c r="K15" s="132" t="str">
        <f t="shared" si="0"/>
        <v>4001/4002</v>
      </c>
      <c r="L15" s="24" t="str">
        <f>VLOOKUP(A15,'Trips&amp;Operators'!$C$1:$E$10000,3,FALSE)</f>
        <v>MAELZER</v>
      </c>
      <c r="M15" s="6">
        <f t="shared" si="1"/>
        <v>1.4386574075615499E-2</v>
      </c>
      <c r="N15" s="7"/>
      <c r="O15" s="7"/>
      <c r="P15" s="7"/>
      <c r="Q15" s="25"/>
      <c r="R15" s="25"/>
      <c r="S15" s="37"/>
      <c r="T15" s="52" t="str">
        <f t="shared" si="2"/>
        <v>Southbound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10</v>
      </c>
      <c r="V1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03:49:38-0600',mode:absolute,to:'2016-08-26 06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" s="54" t="str">
        <f t="shared" si="4"/>
        <v>Y</v>
      </c>
      <c r="X15" s="120">
        <f t="shared" si="5"/>
        <v>0</v>
      </c>
      <c r="Y15" s="69">
        <f t="shared" si="6"/>
        <v>8.6349</v>
      </c>
      <c r="Z15" s="69">
        <f t="shared" si="7"/>
        <v>9.3700000000000006E-2</v>
      </c>
      <c r="AA15" s="69">
        <f t="shared" si="8"/>
        <v>8.5411999999999999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9"/>
        <v>0102-26</v>
      </c>
      <c r="AE15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" s="96" t="str">
        <f t="shared" si="11"/>
        <v>"C:\Program Files (x86)\AstroGrep\AstroGrep.exe" /spath="%USERPROFILE%\AppData\Local\Temp\OnboardLogs" /stypes="*4001*20160826*" /stext=" 11:.+((SYSTEM_STATE.+slice.+state.+changed )|(ment ac)|(system.+state.+changed )|(\|lc)|(penalty)|(\[timeout)|(PRM\|1\|D)|(kpr)|(kdp))" /e /r /s</v>
      </c>
      <c r="AG15" s="1" t="str">
        <f t="shared" si="12"/>
        <v>EC</v>
      </c>
      <c r="AH15" s="100" t="str">
        <f t="shared" si="15"/>
        <v>"%USERPROFILE%\Documents\GitHub\eaglep3\Utilities\RefineRTDCRunTimes.py" --tripid 102-26 --locoid 4001 --swversion DE.1.0.7.0 --startMP 204:86349 --initTime 2016-08-26T04:49:38 --startdatetime 2016-08-26T04:50:29 --delay 0 --endMP 204:937 --enddatetime 2016-08-26T05:11:12 --enforcementcount 0 &gt;&gt;C:\Users\stu\Documents\GitHub\eaglep3-reporting\EC\2016-08-26-refined-times.txt</v>
      </c>
      <c r="AI1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{"issue":{"subject":"","project_id":79,"tracker_id":40,"status_id":1,"priority_id":2,"assigned_to_id":23,"start_date":"2016-08-26","description":"","custom_fields":[{"id":1,"name":"Subdivision","value":"EC"},{"id":4,"name":"Milepost","value":"8.5412"},{"id":17,"name":"Train ID","value":"102-26"},{"id":16,"name":"Locomotive ID","value":"4001"},{"id":130,"name":"Impact","value":""},{"id":150,"name":"Time of Event (Mountain Time)","value":"05:11:12"},{"id":151,"name":"Denver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357</v>
      </c>
      <c r="B16" s="7">
        <v>4040</v>
      </c>
      <c r="C16" s="24" t="s">
        <v>113</v>
      </c>
      <c r="D16" s="24" t="s">
        <v>577</v>
      </c>
      <c r="E16" s="15">
        <v>42608.154606481483</v>
      </c>
      <c r="F16" s="15">
        <v>42608.155509259261</v>
      </c>
      <c r="G16" s="7">
        <v>1</v>
      </c>
      <c r="H16" s="15" t="s">
        <v>578</v>
      </c>
      <c r="I16" s="15">
        <v>42608.172384259262</v>
      </c>
      <c r="J16" s="7">
        <v>0</v>
      </c>
      <c r="K16" s="132" t="str">
        <f t="shared" si="0"/>
        <v>4039/4040</v>
      </c>
      <c r="L16" s="24" t="str">
        <f>VLOOKUP(A16,'Trips&amp;Operators'!$C$1:$E$10000,3,FALSE)</f>
        <v>DAVIS</v>
      </c>
      <c r="M16" s="6">
        <f t="shared" si="1"/>
        <v>1.6875000001164153E-2</v>
      </c>
      <c r="N16" s="7"/>
      <c r="O16" s="7"/>
      <c r="P16" s="7">
        <f>24*60*SUM($M16:$M16)</f>
        <v>24.300000001676381</v>
      </c>
      <c r="Q16" s="25"/>
      <c r="R16" s="25" t="s">
        <v>757</v>
      </c>
      <c r="S16" s="37">
        <f>SUM(U16:U16)/IF(AG16="EC",12,1)</f>
        <v>1</v>
      </c>
      <c r="T16" s="52" t="str">
        <f t="shared" si="2"/>
        <v>NorthBound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02:42:38-0600',mode:absolute,to:'2016-08-26 05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6" s="54" t="str">
        <f t="shared" si="4"/>
        <v>Y</v>
      </c>
      <c r="X16" s="120">
        <f t="shared" si="5"/>
        <v>1</v>
      </c>
      <c r="Y16" s="69">
        <f t="shared" si="6"/>
        <v>7.2599999999999998E-2</v>
      </c>
      <c r="Z16" s="69">
        <f t="shared" si="7"/>
        <v>12.4338</v>
      </c>
      <c r="AA16" s="69">
        <f t="shared" si="8"/>
        <v>12.3612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9"/>
        <v>0103-26</v>
      </c>
      <c r="AE16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6" s="96" t="str">
        <f t="shared" si="11"/>
        <v>"C:\Program Files (x86)\AstroGrep\AstroGrep.exe" /spath="%USERPROFILE%\AppData\Local\Temp\OnboardLogs" /stypes="*4040*20160826*" /stext=" 10:.+((SYSTEM_STATE.+slice.+state.+changed )|(ment ac)|(system.+state.+changed )|(\|lc)|(penalty)|(\[timeout)|(PRM\|1\|D)|(kpr)|(kdp))" /e /r /s</v>
      </c>
      <c r="AG16" s="1" t="str">
        <f t="shared" si="12"/>
        <v>EC</v>
      </c>
      <c r="AH16" s="100" t="str">
        <f t="shared" si="15"/>
        <v>"%USERPROFILE%\Documents\GitHub\eaglep3\Utilities\RefineRTDCRunTimes.py" --tripid 103-26 --locoid 4040 --swversion DE.1.0.7.0 --startMP 204:726 --initTime 2016-08-26T03:42:38 --startdatetime 2016-08-26T03:43:56 --delay 1 --endMP 204:124338 --enddatetime 2016-08-26T04:08:14 --enforcementcount 0 &gt;&gt;C:\Users\stu\Documents\GitHub\eaglep3-reporting\EC\2016-08-26-refined-times.txt</v>
      </c>
      <c r="AI16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ML1497","project_id":79,"tracker_id":40,"status_id":1,"priority_id":2,"assigned_to_id":23,"start_date":"2016-08-26","description":"","custom_fields":[{"id":1,"name":"Subdivision","value":"EC"},{"id":4,"name":"Milepost","value":"12.3612"},{"id":17,"name":"Train ID","value":"103-26"},{"id":16,"name":"Locomotive ID","value":"4040"},{"id":130,"name":"Impact","value":""},{"id":150,"name":"Time of Event (Mountain Time)","value":"04:08:14"},{"id":151,"name":"Denver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364</v>
      </c>
      <c r="B17" s="7">
        <v>4010</v>
      </c>
      <c r="C17" s="24" t="s">
        <v>113</v>
      </c>
      <c r="D17" s="24" t="s">
        <v>579</v>
      </c>
      <c r="E17" s="15">
        <v>42608.190601851849</v>
      </c>
      <c r="F17" s="15">
        <v>42608.191747685189</v>
      </c>
      <c r="G17" s="7">
        <v>1</v>
      </c>
      <c r="H17" s="15" t="s">
        <v>580</v>
      </c>
      <c r="I17" s="15">
        <v>42608.210601851853</v>
      </c>
      <c r="J17" s="7">
        <v>0</v>
      </c>
      <c r="K17" s="132" t="str">
        <f t="shared" si="0"/>
        <v>4009/4010</v>
      </c>
      <c r="L17" s="24" t="str">
        <f>VLOOKUP(A17,'Trips&amp;Operators'!$C$1:$E$10000,3,FALSE)</f>
        <v>DAVIS</v>
      </c>
      <c r="M17" s="6">
        <f t="shared" si="1"/>
        <v>1.8854166664823424E-2</v>
      </c>
      <c r="N17" s="7"/>
      <c r="O17" s="7"/>
      <c r="P17" s="7">
        <f>24*60*SUM($M17:$M17)</f>
        <v>27.149999997345731</v>
      </c>
      <c r="Q17" s="25"/>
      <c r="R17" s="25" t="s">
        <v>757</v>
      </c>
      <c r="S17" s="37">
        <f>SUM(U17:U17)/IF(AG17="EC",12,1)</f>
        <v>0</v>
      </c>
      <c r="T17" s="52" t="str">
        <f t="shared" si="2"/>
        <v>Southbound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03:34:28-0600',mode:absolute,to:'2016-08-26 06:03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" s="54" t="str">
        <f t="shared" si="4"/>
        <v>Y</v>
      </c>
      <c r="X17" s="120">
        <f t="shared" si="5"/>
        <v>1</v>
      </c>
      <c r="Y17" s="69">
        <f t="shared" si="6"/>
        <v>23.267499999999998</v>
      </c>
      <c r="Z17" s="69">
        <f t="shared" si="7"/>
        <v>15.8299</v>
      </c>
      <c r="AA17" s="69">
        <f t="shared" si="8"/>
        <v>7.437599999999998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9"/>
        <v>0104-26</v>
      </c>
      <c r="AE17" s="99" t="str">
        <f t="shared" si="10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7" s="96" t="str">
        <f t="shared" si="11"/>
        <v>"C:\Program Files (x86)\AstroGrep\AstroGrep.exe" /spath="%USERPROFILE%\AppData\Local\Temp\OnboardLogs" /stypes="*4010*20160826*" /stext=" 11:.+((SYSTEM_STATE.+slice.+state.+changed )|(ment ac)|(system.+state.+changed )|(\|lc)|(penalty)|(\[timeout)|(PRM\|1\|D)|(kpr)|(kdp))" /e /r /s</v>
      </c>
      <c r="AG17" s="1" t="str">
        <f t="shared" si="12"/>
        <v>EC</v>
      </c>
      <c r="AH17" s="100" t="str">
        <f t="shared" si="15"/>
        <v>"%USERPROFILE%\Documents\GitHub\eaglep3\Utilities\RefineRTDCRunTimes.py" --tripid 104-26 --locoid 4010 --swversion DE.1.0.7.0 --startMP 204:232675 --initTime 2016-08-26T04:34:28 --startdatetime 2016-08-26T04:36:07 --delay 1 --endMP 204:158299 --enddatetime 2016-08-26T05:03:16 --enforcementcount 0 &gt;&gt;C:\Users\stu\Documents\GitHub\eaglep3-reporting\EC\2016-08-26-refined-times.txt</v>
      </c>
      <c r="AI1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ML1497","project_id":79,"tracker_id":40,"status_id":1,"priority_id":2,"assigned_to_id":23,"start_date":"2016-08-26","description":"","custom_fields":[{"id":1,"name":"Subdivision","value":"EC"},{"id":4,"name":"Milepost","value":"7.4376"},{"id":17,"name":"Train ID","value":"104-26"},{"id":16,"name":"Locomotive ID","value":"4010"},{"id":130,"name":"Impact","value":""},{"id":150,"name":"Time of Event (Mountain Time)","value":"05:03:16"},{"id":151,"name":"Denver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360</v>
      </c>
      <c r="B18" s="7">
        <v>4027</v>
      </c>
      <c r="C18" s="24" t="s">
        <v>113</v>
      </c>
      <c r="D18" s="24" t="s">
        <v>229</v>
      </c>
      <c r="E18" s="15">
        <v>42608.177118055559</v>
      </c>
      <c r="F18" s="15">
        <v>42608.178171296298</v>
      </c>
      <c r="G18" s="7">
        <v>1</v>
      </c>
      <c r="H18" s="15" t="s">
        <v>581</v>
      </c>
      <c r="I18" s="15">
        <v>42608.194699074076</v>
      </c>
      <c r="J18" s="7">
        <v>0</v>
      </c>
      <c r="K18" s="132" t="str">
        <f t="shared" si="0"/>
        <v>4027/4028</v>
      </c>
      <c r="L18" s="24" t="str">
        <f>VLOOKUP(A18,'Trips&amp;Operators'!$C$1:$E$10000,3,FALSE)</f>
        <v>MALAVE</v>
      </c>
      <c r="M18" s="6">
        <f t="shared" si="1"/>
        <v>1.6527777777810115E-2</v>
      </c>
      <c r="N18" s="7"/>
      <c r="O18" s="7"/>
      <c r="P18" s="7">
        <f>24*60*SUM($M18:$M18)</f>
        <v>23.800000000046566</v>
      </c>
      <c r="Q18" s="25"/>
      <c r="R18" s="25" t="s">
        <v>757</v>
      </c>
      <c r="S18" s="37">
        <f>SUM(U18:U18)/IF(AG18="EC",12,1)</f>
        <v>1</v>
      </c>
      <c r="T18" s="52" t="str">
        <f t="shared" si="2"/>
        <v>NorthBound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03:15:03-0600',mode:absolute,to:'2016-08-26 05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8" s="54" t="str">
        <f t="shared" si="4"/>
        <v>Y</v>
      </c>
      <c r="X18" s="120">
        <f t="shared" si="5"/>
        <v>1</v>
      </c>
      <c r="Y18" s="69">
        <f t="shared" si="6"/>
        <v>9.7799999999999998E-2</v>
      </c>
      <c r="Z18" s="69">
        <f t="shared" si="7"/>
        <v>12.413399999999999</v>
      </c>
      <c r="AA18" s="69">
        <f t="shared" si="8"/>
        <v>12.3156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9"/>
        <v>0105-26</v>
      </c>
      <c r="AE18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8" s="96" t="str">
        <f t="shared" si="11"/>
        <v>"C:\Program Files (x86)\AstroGrep\AstroGrep.exe" /spath="%USERPROFILE%\AppData\Local\Temp\OnboardLogs" /stypes="*4027*20160826*" /stext=" 10:.+((SYSTEM_STATE.+slice.+state.+changed )|(ment ac)|(system.+state.+changed )|(\|lc)|(penalty)|(\[timeout)|(PRM\|1\|D)|(kpr)|(kdp))" /e /r /s</v>
      </c>
      <c r="AG18" s="1" t="str">
        <f t="shared" si="12"/>
        <v>EC</v>
      </c>
      <c r="AH18" s="100" t="str">
        <f t="shared" si="15"/>
        <v>"%USERPROFILE%\Documents\GitHub\eaglep3\Utilities\RefineRTDCRunTimes.py" --tripid 105-26 --locoid 4027 --swversion DE.1.0.7.0 --startMP 204:978 --initTime 2016-08-26T04:15:03 --startdatetime 2016-08-26T04:16:34 --delay 1 --endMP 204:124134 --enddatetime 2016-08-26T04:40:22 --enforcementcount 0 &gt;&gt;C:\Users\stu\Documents\GitHub\eaglep3-reporting\EC\2016-08-26-refined-times.txt</v>
      </c>
      <c r="AI18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ML1497","project_id":79,"tracker_id":40,"status_id":1,"priority_id":2,"assigned_to_id":23,"start_date":"2016-08-26","description":"","custom_fields":[{"id":1,"name":"Subdivision","value":"EC"},{"id":4,"name":"Milepost","value":"12.3156"},{"id":17,"name":"Train ID","value":"105-26"},{"id":16,"name":"Locomotive ID","value":"4027"},{"id":130,"name":"Impact","value":""},{"id":150,"name":"Time of Event (Mountain Time)","value":"04:40:22"},{"id":151,"name":"Denver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368</v>
      </c>
      <c r="B19" s="7">
        <v>4004</v>
      </c>
      <c r="C19" s="24" t="s">
        <v>113</v>
      </c>
      <c r="D19" s="24" t="s">
        <v>582</v>
      </c>
      <c r="E19" s="15">
        <v>42608.237858796296</v>
      </c>
      <c r="F19" s="15">
        <v>42608.238553240742</v>
      </c>
      <c r="G19" s="7">
        <v>0</v>
      </c>
      <c r="H19" s="15" t="s">
        <v>583</v>
      </c>
      <c r="I19" s="15">
        <v>42608.260428240741</v>
      </c>
      <c r="J19" s="7">
        <v>0</v>
      </c>
      <c r="K19" s="132" t="str">
        <f t="shared" si="0"/>
        <v>4003/4004</v>
      </c>
      <c r="L19" s="24" t="str">
        <f>VLOOKUP(A19,'Trips&amp;Operators'!$C$1:$E$10000,3,FALSE)</f>
        <v>MALAVE</v>
      </c>
      <c r="M19" s="6">
        <f t="shared" si="1"/>
        <v>2.1874999998544808E-2</v>
      </c>
      <c r="N19" s="7"/>
      <c r="O19" s="7"/>
      <c r="P19" s="7">
        <f>24*60*SUM($M19:$M20)</f>
        <v>49.000000002561137</v>
      </c>
      <c r="Q19" s="25"/>
      <c r="R19" s="25" t="s">
        <v>757</v>
      </c>
      <c r="S19" s="37">
        <f>SUM(U19:U20)/IF(AG19="EC",12,1)</f>
        <v>1</v>
      </c>
      <c r="T19" s="52" t="str">
        <f t="shared" si="2"/>
        <v>Southbound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04:42:31-0600',mode:absolute,to:'2016-08-26 07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9" s="54" t="str">
        <f t="shared" si="4"/>
        <v>Y</v>
      </c>
      <c r="X19" s="120">
        <f t="shared" si="5"/>
        <v>1</v>
      </c>
      <c r="Y19" s="69">
        <f t="shared" si="6"/>
        <v>12.7788</v>
      </c>
      <c r="Z19" s="69">
        <f t="shared" si="7"/>
        <v>3.5799999999999998E-2</v>
      </c>
      <c r="AA19" s="69">
        <f t="shared" si="8"/>
        <v>12.743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9"/>
        <v>0106-26</v>
      </c>
      <c r="AE19" s="99" t="str">
        <f t="shared" si="10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9" s="96" t="str">
        <f t="shared" si="11"/>
        <v>"C:\Program Files (x86)\AstroGrep\AstroGrep.exe" /spath="%USERPROFILE%\AppData\Local\Temp\OnboardLogs" /stypes="*4004*20160826*" /stext=" 12:.+((SYSTEM_STATE.+slice.+state.+changed )|(ment ac)|(system.+state.+changed )|(\|lc)|(penalty)|(\[timeout)|(PRM\|1\|D)|(kpr)|(kdp))" /e /r /s</v>
      </c>
      <c r="AG19" s="1" t="str">
        <f t="shared" si="12"/>
        <v>EC</v>
      </c>
      <c r="AH19" s="100" t="str">
        <f t="shared" si="15"/>
        <v>"%USERPROFILE%\Documents\GitHub\eaglep3\Utilities\RefineRTDCRunTimes.py" --tripid 106-26 --locoid 4004 --swversion DE.1.0.7.0 --startMP 204:127788 --initTime 2016-08-26T05:42:31 --startdatetime 2016-08-26T05:43:31 --delay 0 --endMP 204:358 --enddatetime 2016-08-26T06:15:01 --enforcementcount 0 &gt;&gt;C:\Users\stu\Documents\GitHub\eaglep3-reporting\EC\2016-08-26-refined-times.txt</v>
      </c>
      <c r="AI19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ML1497","project_id":79,"tracker_id":40,"status_id":1,"priority_id":2,"assigned_to_id":23,"start_date":"2016-08-26","description":"","custom_fields":[{"id":1,"name":"Subdivision","value":"EC"},{"id":4,"name":"Milepost","value":"12.743"},{"id":17,"name":"Train ID","value":"106-26"},{"id":16,"name":"Locomotive ID","value":"4004"},{"id":130,"name":"Impact","value":""},{"id":150,"name":"Time of Event (Mountain Time)","value":"06:15:01"},{"id":151,"name":"Denver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368</v>
      </c>
      <c r="B20" s="7">
        <v>4004</v>
      </c>
      <c r="C20" s="24" t="s">
        <v>113</v>
      </c>
      <c r="D20" s="24" t="s">
        <v>584</v>
      </c>
      <c r="E20" s="15">
        <v>42608.217187499999</v>
      </c>
      <c r="F20" s="15">
        <v>42608.218807870369</v>
      </c>
      <c r="G20" s="7">
        <v>2</v>
      </c>
      <c r="H20" s="15" t="s">
        <v>585</v>
      </c>
      <c r="I20" s="15">
        <v>42608.23096064815</v>
      </c>
      <c r="J20" s="7">
        <v>0</v>
      </c>
      <c r="K20" s="132" t="str">
        <f t="shared" si="0"/>
        <v>4003/4004</v>
      </c>
      <c r="L20" s="24" t="str">
        <f>VLOOKUP(A20,'Trips&amp;Operators'!$C$1:$E$10000,3,FALSE)</f>
        <v>MALAVE</v>
      </c>
      <c r="M20" s="6">
        <f t="shared" si="1"/>
        <v>1.2152777781011537E-2</v>
      </c>
      <c r="N20" s="7"/>
      <c r="O20" s="7"/>
      <c r="P20" s="7"/>
      <c r="Q20" s="25"/>
      <c r="R20" s="25"/>
      <c r="S20" s="37"/>
      <c r="T20" s="52" t="str">
        <f t="shared" si="2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04:12:45-0600',mode:absolute,to:'2016-08-26 06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" s="54" t="str">
        <f t="shared" si="4"/>
        <v>Y</v>
      </c>
      <c r="X20" s="120">
        <f t="shared" si="5"/>
        <v>0</v>
      </c>
      <c r="Y20" s="69">
        <f t="shared" si="6"/>
        <v>23.266200000000001</v>
      </c>
      <c r="Z20" s="69">
        <f t="shared" si="7"/>
        <v>15.849299999999999</v>
      </c>
      <c r="AA20" s="69">
        <f t="shared" si="8"/>
        <v>7.4169000000000018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9"/>
        <v>0106-26</v>
      </c>
      <c r="AE20" s="99" t="str">
        <f t="shared" si="10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0" s="96" t="str">
        <f t="shared" si="11"/>
        <v>"C:\Program Files (x86)\AstroGrep\AstroGrep.exe" /spath="%USERPROFILE%\AppData\Local\Temp\OnboardLogs" /stypes="*4004*20160826*" /stext=" 11:.+((SYSTEM_STATE.+slice.+state.+changed )|(ment ac)|(system.+state.+changed )|(\|lc)|(penalty)|(\[timeout)|(PRM\|1\|D)|(kpr)|(kdp))" /e /r /s</v>
      </c>
      <c r="AG20" s="1" t="str">
        <f t="shared" si="12"/>
        <v>EC</v>
      </c>
      <c r="AH20" s="100" t="str">
        <f t="shared" si="15"/>
        <v>"%USERPROFILE%\Documents\GitHub\eaglep3\Utilities\RefineRTDCRunTimes.py" --tripid 106-26 --locoid 4004 --swversion DE.1.0.7.0 --startMP 204:232662 --initTime 2016-08-26T05:12:45 --startdatetime 2016-08-26T05:15:05 --delay 2 --endMP 204:158493 --enddatetime 2016-08-26T05:32:35 --enforcementcount 0 &gt;&gt;C:\Users\stu\Documents\GitHub\eaglep3-reporting\EC\2016-08-26-refined-times.txt</v>
      </c>
      <c r="AI2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{"issue":{"subject":"","project_id":79,"tracker_id":40,"status_id":1,"priority_id":2,"assigned_to_id":23,"start_date":"2016-08-26","description":"","custom_fields":[{"id":1,"name":"Subdivision","value":"EC"},{"id":4,"name":"Milepost","value":"7.4169"},{"id":17,"name":"Train ID","value":"106-26"},{"id":16,"name":"Locomotive ID","value":"4004"},{"id":130,"name":"Impact","value":""},{"id":150,"name":"Time of Event (Mountain Time)","value":"05:32:35"},{"id":151,"name":"Denver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362</v>
      </c>
      <c r="B21" s="7">
        <v>4014</v>
      </c>
      <c r="C21" s="24" t="s">
        <v>113</v>
      </c>
      <c r="D21" s="24" t="s">
        <v>225</v>
      </c>
      <c r="E21" s="15">
        <v>42608.178333333337</v>
      </c>
      <c r="F21" s="15">
        <v>42608.179375</v>
      </c>
      <c r="G21" s="7">
        <v>1</v>
      </c>
      <c r="H21" s="15" t="s">
        <v>586</v>
      </c>
      <c r="I21" s="15">
        <v>42608.205254629633</v>
      </c>
      <c r="J21" s="7">
        <v>0</v>
      </c>
      <c r="K21" s="132" t="str">
        <f t="shared" si="0"/>
        <v>4013/4014</v>
      </c>
      <c r="L21" s="24" t="str">
        <f>VLOOKUP(A21,'Trips&amp;Operators'!$C$1:$E$10000,3,FALSE)</f>
        <v>BRANNON</v>
      </c>
      <c r="M21" s="6">
        <f t="shared" si="1"/>
        <v>2.587962963298196E-2</v>
      </c>
      <c r="N21" s="7"/>
      <c r="O21" s="7"/>
      <c r="P21" s="7">
        <f>24*60*SUM($M21:$M21)</f>
        <v>37.266666671494022</v>
      </c>
      <c r="Q21" s="25"/>
      <c r="R21" s="25" t="s">
        <v>757</v>
      </c>
      <c r="S21" s="37">
        <f>SUM(U21:U21)/IF(AG21="EC",12,1)</f>
        <v>1</v>
      </c>
      <c r="T21" s="52" t="str">
        <f t="shared" si="2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03:16:48-0600',mode:absolute,to:'2016-08-26 05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" s="54" t="str">
        <f t="shared" si="4"/>
        <v>Y</v>
      </c>
      <c r="X21" s="120">
        <f t="shared" si="5"/>
        <v>1</v>
      </c>
      <c r="Y21" s="69">
        <f t="shared" si="6"/>
        <v>4.4200000000000003E-2</v>
      </c>
      <c r="Z21" s="69">
        <f t="shared" si="7"/>
        <v>12.607200000000001</v>
      </c>
      <c r="AA21" s="69">
        <f t="shared" si="8"/>
        <v>12.563000000000001</v>
      </c>
      <c r="AB21" s="66">
        <f>VLOOKUP(A21,Enforcements!$C$7:$J$21,8,0)</f>
        <v>0</v>
      </c>
      <c r="AC21" s="62" t="str">
        <f>VLOOKUP(A21,Enforcements!$C$7:$E$21,3,0)</f>
        <v>PERMANENT SPEED RESTRICTION</v>
      </c>
      <c r="AD21" s="63" t="str">
        <f t="shared" si="9"/>
        <v>0107-26</v>
      </c>
      <c r="AE21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21" s="96" t="str">
        <f t="shared" si="11"/>
        <v>"C:\Program Files (x86)\AstroGrep\AstroGrep.exe" /spath="%USERPROFILE%\AppData\Local\Temp\OnboardLogs" /stypes="*4014*20160826*" /stext=" 10:.+((SYSTEM_STATE.+slice.+state.+changed )|(ment ac)|(system.+state.+changed )|(\|lc)|(penalty)|(\[timeout)|(PRM\|1\|D)|(kpr)|(kdp))" /e /r /s</v>
      </c>
      <c r="AG21" s="1" t="str">
        <f t="shared" si="12"/>
        <v>EC</v>
      </c>
      <c r="AH21" s="100" t="str">
        <f t="shared" si="15"/>
        <v>"%USERPROFILE%\Documents\GitHub\eaglep3\Utilities\RefineRTDCRunTimes.py" --tripid 107-26 --locoid 4014 --swversion DE.1.0.7.0 --startMP 204:442 --initTime 2016-08-26T04:16:48 --startdatetime 2016-08-26T04:18:18 --delay 1 --endMP 204:126072 --enddatetime 2016-08-26T04:55:34 --enforcementcount 0 &gt;&gt;C:\Users\stu\Documents\GitHub\eaglep3-reporting\EC\2016-08-26-refined-times.txt</v>
      </c>
      <c r="AI21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ML1497","project_id":79,"tracker_id":40,"status_id":1,"priority_id":2,"assigned_to_id":23,"start_date":"2016-08-26","description":"","custom_fields":[{"id":1,"name":"Subdivision","value":"EC"},{"id":4,"name":"Milepost","value":"12.563"},{"id":17,"name":"Train ID","value":"107-26"},{"id":16,"name":"Locomotive ID","value":"4014"},{"id":130,"name":"Impact","value":""},{"id":150,"name":"Time of Event (Mountain Time)","value":"04:55:34"},{"id":151,"name":"Denver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370</v>
      </c>
      <c r="B22" s="7">
        <v>4013</v>
      </c>
      <c r="C22" s="24" t="s">
        <v>113</v>
      </c>
      <c r="D22" s="24" t="s">
        <v>587</v>
      </c>
      <c r="E22" s="15">
        <v>42608.247581018521</v>
      </c>
      <c r="F22" s="15">
        <v>42608.248298611114</v>
      </c>
      <c r="G22" s="7">
        <v>1</v>
      </c>
      <c r="H22" s="15" t="s">
        <v>136</v>
      </c>
      <c r="I22" s="15">
        <v>42608.268935185188</v>
      </c>
      <c r="J22" s="7">
        <v>0</v>
      </c>
      <c r="K22" s="132" t="str">
        <f t="shared" si="0"/>
        <v>4013/4014</v>
      </c>
      <c r="L22" s="24" t="str">
        <f>VLOOKUP(A22,'Trips&amp;Operators'!$C$1:$E$10000,3,FALSE)</f>
        <v>BRANNON</v>
      </c>
      <c r="M22" s="6">
        <f t="shared" si="1"/>
        <v>2.0636574074160308E-2</v>
      </c>
      <c r="N22" s="7"/>
      <c r="O22" s="7"/>
      <c r="P22" s="7">
        <f>24*60*SUM($M22:$M23)</f>
        <v>52.566666664788499</v>
      </c>
      <c r="Q22" s="25"/>
      <c r="R22" s="25" t="s">
        <v>757</v>
      </c>
      <c r="S22" s="37">
        <f>SUM(U22:U23)/IF(AG22="EC",12,1)</f>
        <v>1</v>
      </c>
      <c r="T22" s="52" t="str">
        <f t="shared" si="2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04:56:31-0600',mode:absolute,to:'2016-08-26 07:27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2" s="54" t="str">
        <f t="shared" si="4"/>
        <v>Y</v>
      </c>
      <c r="X22" s="120">
        <f t="shared" si="5"/>
        <v>1</v>
      </c>
      <c r="Y22" s="69">
        <f t="shared" si="6"/>
        <v>12.7864</v>
      </c>
      <c r="Z22" s="69">
        <f t="shared" si="7"/>
        <v>1.49E-2</v>
      </c>
      <c r="AA22" s="69">
        <f t="shared" si="8"/>
        <v>12.7715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9"/>
        <v>0108-26</v>
      </c>
      <c r="AE22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22" s="96" t="str">
        <f t="shared" si="11"/>
        <v>"C:\Program Files (x86)\AstroGrep\AstroGrep.exe" /spath="%USERPROFILE%\AppData\Local\Temp\OnboardLogs" /stypes="*4013*20160826*"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0" t="str">
        <f t="shared" si="15"/>
        <v>"%USERPROFILE%\Documents\GitHub\eaglep3\Utilities\RefineRTDCRunTimes.py" --tripid 108-26 --locoid 4013 --swversion DE.1.0.7.0 --startMP 204:127864 --initTime 2016-08-26T05:56:31 --startdatetime 2016-08-26T05:57:33 --delay 1 --endMP 204:149 --enddatetime 2016-08-26T06:27:16 --enforcementcount 0 &gt;&gt;C:\Users\stu\Documents\GitHub\eaglep3-reporting\EC\2016-08-26-refined-times.txt</v>
      </c>
      <c r="AI22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ML1497","project_id":79,"tracker_id":40,"status_id":1,"priority_id":2,"assigned_to_id":23,"start_date":"2016-08-26","description":"","custom_fields":[{"id":1,"name":"Subdivision","value":"EC"},{"id":4,"name":"Milepost","value":"12.7715"},{"id":17,"name":"Train ID","value":"108-26"},{"id":16,"name":"Locomotive ID","value":"4013"},{"id":130,"name":"Impact","value":""},{"id":150,"name":"Time of Event (Mountain Time)","value":"06:27:16"},{"id":151,"name":"Denver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370</v>
      </c>
      <c r="B23" s="7">
        <v>4013</v>
      </c>
      <c r="C23" s="24" t="s">
        <v>113</v>
      </c>
      <c r="D23" s="24" t="s">
        <v>209</v>
      </c>
      <c r="E23" s="15">
        <v>42608.224039351851</v>
      </c>
      <c r="F23" s="15">
        <v>42608.22488425926</v>
      </c>
      <c r="G23" s="7">
        <v>1</v>
      </c>
      <c r="H23" s="15" t="s">
        <v>588</v>
      </c>
      <c r="I23" s="15">
        <v>42608.240752314814</v>
      </c>
      <c r="J23" s="7">
        <v>0</v>
      </c>
      <c r="K23" s="132" t="str">
        <f t="shared" si="0"/>
        <v>4013/4014</v>
      </c>
      <c r="L23" s="24" t="str">
        <f>VLOOKUP(A23,'Trips&amp;Operators'!$C$1:$E$10000,3,FALSE)</f>
        <v>BRANNON</v>
      </c>
      <c r="M23" s="6">
        <f t="shared" si="1"/>
        <v>1.5868055554165039E-2</v>
      </c>
      <c r="N23" s="7"/>
      <c r="O23" s="7"/>
      <c r="P23" s="7"/>
      <c r="Q23" s="25"/>
      <c r="R23" s="25"/>
      <c r="S23" s="37"/>
      <c r="T23" s="52" t="str">
        <f t="shared" si="2"/>
        <v>Southbound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04:22:37-0600',mode:absolute,to:'2016-08-26 06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3" s="54" t="str">
        <f t="shared" si="4"/>
        <v>Y</v>
      </c>
      <c r="X23" s="120">
        <f t="shared" si="5"/>
        <v>0</v>
      </c>
      <c r="Y23" s="69">
        <f t="shared" si="6"/>
        <v>23.299800000000001</v>
      </c>
      <c r="Z23" s="69">
        <f t="shared" si="7"/>
        <v>15.8429</v>
      </c>
      <c r="AA23" s="69">
        <f t="shared" si="8"/>
        <v>7.456900000000001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9"/>
        <v>0108-26</v>
      </c>
      <c r="AE23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23" s="96" t="str">
        <f t="shared" si="11"/>
        <v>"C:\Program Files (x86)\AstroGrep\AstroGrep.exe" /spath="%USERPROFILE%\AppData\Local\Temp\OnboardLogs" /stypes="*4013*20160826*"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0" t="str">
        <f t="shared" si="15"/>
        <v>"%USERPROFILE%\Documents\GitHub\eaglep3\Utilities\RefineRTDCRunTimes.py" --tripid 108-26 --locoid 4013 --swversion DE.1.0.7.0 --startMP 204:232998 --initTime 2016-08-26T05:22:37 --startdatetime 2016-08-26T05:23:50 --delay 1 --endMP 204:158429 --enddatetime 2016-08-26T05:46:41 --enforcementcount 0 &gt;&gt;C:\Users\stu\Documents\GitHub\eaglep3-reporting\EC\2016-08-26-refined-times.txt</v>
      </c>
      <c r="AI2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{"issue":{"subject":"","project_id":79,"tracker_id":40,"status_id":1,"priority_id":2,"assigned_to_id":23,"start_date":"2016-08-26","description":"","custom_fields":[{"id":1,"name":"Subdivision","value":"EC"},{"id":4,"name":"Milepost","value":"7.4569"},{"id":17,"name":"Train ID","value":"108-26"},{"id":16,"name":"Locomotive ID","value":"4013"},{"id":130,"name":"Impact","value":""},{"id":150,"name":"Time of Event (Mountain Time)","value":"05:46:41"},{"id":151,"name":"Denver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363</v>
      </c>
      <c r="B24" s="7">
        <v>4031</v>
      </c>
      <c r="C24" s="24" t="s">
        <v>113</v>
      </c>
      <c r="D24" s="24" t="s">
        <v>299</v>
      </c>
      <c r="E24" s="15">
        <v>42608.188043981485</v>
      </c>
      <c r="F24" s="15">
        <v>42608.189108796294</v>
      </c>
      <c r="G24" s="7">
        <v>1</v>
      </c>
      <c r="H24" s="15" t="s">
        <v>589</v>
      </c>
      <c r="I24" s="15">
        <v>42608.215266203704</v>
      </c>
      <c r="J24" s="7">
        <v>0</v>
      </c>
      <c r="K24" s="132" t="str">
        <f t="shared" si="0"/>
        <v>4031/4032</v>
      </c>
      <c r="L24" s="24" t="str">
        <f>VLOOKUP(A24,'Trips&amp;Operators'!$C$1:$E$10000,3,FALSE)</f>
        <v>GEBRETEKLE</v>
      </c>
      <c r="M24" s="6">
        <f t="shared" si="1"/>
        <v>2.6157407410209998E-2</v>
      </c>
      <c r="N24" s="7"/>
      <c r="O24" s="7"/>
      <c r="P24" s="7">
        <f>24*60*SUM($M24:$M24)</f>
        <v>37.666666670702398</v>
      </c>
      <c r="Q24" s="25"/>
      <c r="R24" s="25" t="s">
        <v>757</v>
      </c>
      <c r="S24" s="37">
        <f>SUM(U24:U24)/IF(AG24="EC",12,1)</f>
        <v>1</v>
      </c>
      <c r="T24" s="52" t="str">
        <f t="shared" si="2"/>
        <v>NorthBound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03:30:47-0600',mode:absolute,to:'2016-08-26 06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4" s="54" t="str">
        <f t="shared" si="4"/>
        <v>Y</v>
      </c>
      <c r="X24" s="120">
        <f t="shared" si="5"/>
        <v>1</v>
      </c>
      <c r="Y24" s="69">
        <f t="shared" si="6"/>
        <v>4.2200000000000001E-2</v>
      </c>
      <c r="Z24" s="69">
        <f t="shared" si="7"/>
        <v>12.5199</v>
      </c>
      <c r="AA24" s="69">
        <f t="shared" si="8"/>
        <v>12.4777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9"/>
        <v>0109-26</v>
      </c>
      <c r="AE24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4" s="96" t="str">
        <f t="shared" si="11"/>
        <v>"C:\Program Files (x86)\AstroGrep\AstroGrep.exe" /spath="%USERPROFILE%\AppData\Local\Temp\OnboardLogs" /stypes="*4031*20160826*" /stext=" 11:.+((SYSTEM_STATE.+slice.+state.+changed )|(ment ac)|(system.+state.+changed )|(\|lc)|(penalty)|(\[timeout)|(PRM\|1\|D)|(kpr)|(kdp))" /e /r /s</v>
      </c>
      <c r="AG24" s="1" t="str">
        <f t="shared" si="12"/>
        <v>EC</v>
      </c>
      <c r="AH24" s="100" t="str">
        <f t="shared" si="15"/>
        <v>"%USERPROFILE%\Documents\GitHub\eaglep3\Utilities\RefineRTDCRunTimes.py" --tripid 109-26 --locoid 4031 --swversion DE.1.0.7.0 --startMP 204:422 --initTime 2016-08-26T04:30:47 --startdatetime 2016-08-26T04:32:19 --delay 1 --endMP 204:125199 --enddatetime 2016-08-26T05:09:59 --enforcementcount 0 &gt;&gt;C:\Users\stu\Documents\GitHub\eaglep3-reporting\EC\2016-08-26-refined-times.txt</v>
      </c>
      <c r="AI24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ML1497","project_id":79,"tracker_id":40,"status_id":1,"priority_id":2,"assigned_to_id":23,"start_date":"2016-08-26","description":"","custom_fields":[{"id":1,"name":"Subdivision","value":"EC"},{"id":4,"name":"Milepost","value":"12.4777"},{"id":17,"name":"Train ID","value":"109-26"},{"id":16,"name":"Locomotive ID","value":"4031"},{"id":130,"name":"Impact","value":""},{"id":150,"name":"Time of Event (Mountain Time)","value":"05:09:59"},{"id":151,"name":"Denver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372</v>
      </c>
      <c r="B25" s="7">
        <v>4032</v>
      </c>
      <c r="C25" s="24" t="s">
        <v>113</v>
      </c>
      <c r="D25" s="24" t="s">
        <v>590</v>
      </c>
      <c r="E25" s="15">
        <v>42608.260312500002</v>
      </c>
      <c r="F25" s="15">
        <v>42608.261203703703</v>
      </c>
      <c r="G25" s="7">
        <v>1</v>
      </c>
      <c r="H25" s="15" t="s">
        <v>156</v>
      </c>
      <c r="I25" s="15">
        <v>42608.279131944444</v>
      </c>
      <c r="J25" s="7">
        <v>0</v>
      </c>
      <c r="K25" s="132" t="str">
        <f t="shared" si="0"/>
        <v>4031/4032</v>
      </c>
      <c r="L25" s="24" t="str">
        <f>VLOOKUP(A25,'Trips&amp;Operators'!$C$1:$E$10000,3,FALSE)</f>
        <v>GEBRETEKLE</v>
      </c>
      <c r="M25" s="6">
        <f t="shared" si="1"/>
        <v>1.7928240740729962E-2</v>
      </c>
      <c r="N25" s="7"/>
      <c r="O25" s="7"/>
      <c r="P25" s="7">
        <f>24*60*SUM($M25:$M26)</f>
        <v>53.733333331765607</v>
      </c>
      <c r="Q25" s="25"/>
      <c r="R25" s="25" t="s">
        <v>757</v>
      </c>
      <c r="S25" s="37">
        <f>SUM(U25:U26)/IF(AG25="EC",12,1)</f>
        <v>1</v>
      </c>
      <c r="T25" s="52" t="str">
        <f t="shared" si="2"/>
        <v>Southbound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05:14:51-0600',mode:absolute,to:'2016-08-26 07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5" s="54" t="str">
        <f t="shared" si="4"/>
        <v>Y</v>
      </c>
      <c r="X25" s="120">
        <f t="shared" si="5"/>
        <v>1</v>
      </c>
      <c r="Y25" s="69">
        <f t="shared" si="6"/>
        <v>12.7857</v>
      </c>
      <c r="Z25" s="69">
        <f t="shared" si="7"/>
        <v>1.54E-2</v>
      </c>
      <c r="AA25" s="69">
        <f t="shared" si="8"/>
        <v>12.770300000000001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9"/>
        <v>0110-26</v>
      </c>
      <c r="AE25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25" s="96" t="str">
        <f t="shared" si="11"/>
        <v>"C:\Program Files (x86)\AstroGrep\AstroGrep.exe" /spath="%USERPROFILE%\AppData\Local\Temp\OnboardLogs" /stypes="*4032*20160826*" /stext=" 12:.+((SYSTEM_STATE.+slice.+state.+changed )|(ment ac)|(system.+state.+changed )|(\|lc)|(penalty)|(\[timeout)|(PRM\|1\|D)|(kpr)|(kdp))" /e /r /s</v>
      </c>
      <c r="AG25" s="1" t="str">
        <f t="shared" si="12"/>
        <v>EC</v>
      </c>
      <c r="AH25" s="100" t="str">
        <f t="shared" si="15"/>
        <v>"%USERPROFILE%\Documents\GitHub\eaglep3\Utilities\RefineRTDCRunTimes.py" --tripid 110-26 --locoid 4032 --swversion DE.1.0.7.0 --startMP 204:127857 --initTime 2016-08-26T06:14:51 --startdatetime 2016-08-26T06:16:08 --delay 1 --endMP 204:154 --enddatetime 2016-08-26T06:41:57 --enforcementcount 0 &gt;&gt;C:\Users\stu\Documents\GitHub\eaglep3-reporting\EC\2016-08-26-refined-times.txt</v>
      </c>
      <c r="AI25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ML1497","project_id":79,"tracker_id":40,"status_id":1,"priority_id":2,"assigned_to_id":23,"start_date":"2016-08-26","description":"","custom_fields":[{"id":1,"name":"Subdivision","value":"EC"},{"id":4,"name":"Milepost","value":"12.7703"},{"id":17,"name":"Train ID","value":"110-26"},{"id":16,"name":"Locomotive ID","value":"4032"},{"id":130,"name":"Impact","value":""},{"id":150,"name":"Time of Event (Mountain Time)","value":"06:41:57"},{"id":151,"name":"Denver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372</v>
      </c>
      <c r="B26" s="7">
        <v>4032</v>
      </c>
      <c r="C26" s="24" t="s">
        <v>113</v>
      </c>
      <c r="D26" s="24" t="s">
        <v>134</v>
      </c>
      <c r="E26" s="15">
        <v>42608.233912037038</v>
      </c>
      <c r="F26" s="15">
        <v>42608.235115740739</v>
      </c>
      <c r="G26" s="7">
        <v>1</v>
      </c>
      <c r="H26" s="15" t="s">
        <v>591</v>
      </c>
      <c r="I26" s="15">
        <v>42608.254502314812</v>
      </c>
      <c r="J26" s="7">
        <v>0</v>
      </c>
      <c r="K26" s="132" t="str">
        <f t="shared" si="0"/>
        <v>4031/4032</v>
      </c>
      <c r="L26" s="24" t="str">
        <f>VLOOKUP(A26,'Trips&amp;Operators'!$C$1:$E$10000,3,FALSE)</f>
        <v>GEBRETEKLE</v>
      </c>
      <c r="M26" s="6">
        <f t="shared" si="1"/>
        <v>1.9386574072996154E-2</v>
      </c>
      <c r="N26" s="7"/>
      <c r="O26" s="7"/>
      <c r="P26" s="7"/>
      <c r="Q26" s="25"/>
      <c r="R26" s="25"/>
      <c r="S26" s="37"/>
      <c r="T26" s="52" t="str">
        <f t="shared" si="2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04:36:50-0600',mode:absolute,to:'2016-08-26 07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6" s="54" t="str">
        <f t="shared" si="4"/>
        <v>Y</v>
      </c>
      <c r="X26" s="120">
        <f t="shared" si="5"/>
        <v>0</v>
      </c>
      <c r="Y26" s="69">
        <f t="shared" si="6"/>
        <v>23.299399999999999</v>
      </c>
      <c r="Z26" s="69">
        <f t="shared" si="7"/>
        <v>15.8239</v>
      </c>
      <c r="AA26" s="69">
        <f t="shared" si="8"/>
        <v>7.4754999999999985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9"/>
        <v>0110-26</v>
      </c>
      <c r="AE26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26" s="96" t="str">
        <f t="shared" si="11"/>
        <v>"C:\Program Files (x86)\AstroGrep\AstroGrep.exe" /spath="%USERPROFILE%\AppData\Local\Temp\OnboardLogs" /stypes="*4032*20160826*"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0" t="str">
        <f t="shared" si="15"/>
        <v>"%USERPROFILE%\Documents\GitHub\eaglep3\Utilities\RefineRTDCRunTimes.py" --tripid 110-26 --locoid 4032 --swversion DE.1.0.7.0 --startMP 204:232994 --initTime 2016-08-26T05:36:50 --startdatetime 2016-08-26T05:38:34 --delay 1 --endMP 204:158239 --enddatetime 2016-08-26T06:06:29 --enforcementcount 0 &gt;&gt;C:\Users\stu\Documents\GitHub\eaglep3-reporting\EC\2016-08-26-refined-times.txt</v>
      </c>
      <c r="AI2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{"issue":{"subject":"","project_id":79,"tracker_id":40,"status_id":1,"priority_id":2,"assigned_to_id":23,"start_date":"2016-08-26","description":"","custom_fields":[{"id":1,"name":"Subdivision","value":"EC"},{"id":4,"name":"Milepost","value":"7.4755"},{"id":17,"name":"Train ID","value":"110-26"},{"id":16,"name":"Locomotive ID","value":"4032"},{"id":130,"name":"Impact","value":""},{"id":150,"name":"Time of Event (Mountain Time)","value":"06:06:29"},{"id":151,"name":"Denver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365</v>
      </c>
      <c r="B27" s="7">
        <v>4025</v>
      </c>
      <c r="C27" s="24" t="s">
        <v>113</v>
      </c>
      <c r="D27" s="24" t="s">
        <v>592</v>
      </c>
      <c r="E27" s="15">
        <v>42608.203217592592</v>
      </c>
      <c r="F27" s="15">
        <v>42608.204201388886</v>
      </c>
      <c r="G27" s="7">
        <v>1</v>
      </c>
      <c r="H27" s="15" t="s">
        <v>593</v>
      </c>
      <c r="I27" s="15">
        <v>42608.224942129629</v>
      </c>
      <c r="J27" s="7">
        <v>0</v>
      </c>
      <c r="K27" s="132" t="str">
        <f t="shared" si="0"/>
        <v>4025/4026</v>
      </c>
      <c r="L27" s="24" t="str">
        <f>VLOOKUP(A27,'Trips&amp;Operators'!$C$1:$E$10000,3,FALSE)</f>
        <v>SPECTOR</v>
      </c>
      <c r="M27" s="6">
        <f t="shared" si="1"/>
        <v>2.0740740743349306E-2</v>
      </c>
      <c r="N27" s="7"/>
      <c r="O27" s="7"/>
      <c r="P27" s="7">
        <f>24*60*SUM($M27:$M27)</f>
        <v>29.866666670423001</v>
      </c>
      <c r="Q27" s="25"/>
      <c r="R27" s="25" t="s">
        <v>757</v>
      </c>
      <c r="S27" s="37">
        <f>SUM(U27:U27)/IF(AG27="EC",12,1)</f>
        <v>1</v>
      </c>
      <c r="T27" s="52" t="str">
        <f t="shared" si="2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03:52:38-0600',mode:absolute,to:'2016-08-26 06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7" s="54" t="str">
        <f t="shared" si="4"/>
        <v>Y</v>
      </c>
      <c r="X27" s="120">
        <f t="shared" si="5"/>
        <v>1</v>
      </c>
      <c r="Y27" s="69">
        <f t="shared" si="6"/>
        <v>0.1154</v>
      </c>
      <c r="Z27" s="69">
        <f t="shared" si="7"/>
        <v>12.3239</v>
      </c>
      <c r="AA27" s="69">
        <f t="shared" si="8"/>
        <v>12.208500000000001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9"/>
        <v>0111-26</v>
      </c>
      <c r="AE27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7" s="96" t="str">
        <f t="shared" si="11"/>
        <v>"C:\Program Files (x86)\AstroGrep\AstroGrep.exe" /spath="%USERPROFILE%\AppData\Local\Temp\OnboardLogs" /stypes="*4025*20160826*" /stext=" 11:.+((SYSTEM_STATE.+slice.+state.+changed )|(ment ac)|(system.+state.+changed )|(\|lc)|(penalty)|(\[timeout)|(PRM\|1\|D)|(kpr)|(kdp))" /e /r /s</v>
      </c>
      <c r="AG27" s="1" t="str">
        <f t="shared" si="12"/>
        <v>EC</v>
      </c>
      <c r="AH27" s="100" t="str">
        <f t="shared" si="15"/>
        <v>"%USERPROFILE%\Documents\GitHub\eaglep3\Utilities\RefineRTDCRunTimes.py" --tripid 111-26 --locoid 4025 --swversion DE.1.0.7.0 --startMP 204:1154 --initTime 2016-08-26T04:52:38 --startdatetime 2016-08-26T04:54:03 --delay 1 --endMP 204:123239 --enddatetime 2016-08-26T05:23:55 --enforcementcount 0 &gt;&gt;C:\Users\stu\Documents\GitHub\eaglep3-reporting\EC\2016-08-26-refined-times.txt</v>
      </c>
      <c r="AI2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ML1497","project_id":79,"tracker_id":40,"status_id":1,"priority_id":2,"assigned_to_id":23,"start_date":"2016-08-26","description":"","custom_fields":[{"id":1,"name":"Subdivision","value":"EC"},{"id":4,"name":"Milepost","value":"12.2085"},{"id":17,"name":"Train ID","value":"111-26"},{"id":16,"name":"Locomotive ID","value":"4025"},{"id":130,"name":"Impact","value":""},{"id":150,"name":"Time of Event (Mountain Time)","value":"05:23:55"},{"id":151,"name":"Denver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375</v>
      </c>
      <c r="B28" s="7">
        <v>4026</v>
      </c>
      <c r="C28" s="24" t="s">
        <v>113</v>
      </c>
      <c r="D28" s="24" t="s">
        <v>594</v>
      </c>
      <c r="E28" s="15">
        <v>42608.27138888889</v>
      </c>
      <c r="F28" s="15">
        <v>42608.272048611114</v>
      </c>
      <c r="G28" s="7">
        <v>0</v>
      </c>
      <c r="H28" s="15" t="s">
        <v>217</v>
      </c>
      <c r="I28" s="15">
        <v>42608.290879629632</v>
      </c>
      <c r="J28" s="7">
        <v>0</v>
      </c>
      <c r="K28" s="132" t="str">
        <f t="shared" si="0"/>
        <v>4025/4026</v>
      </c>
      <c r="L28" s="24" t="str">
        <f>VLOOKUP(A28,'Trips&amp;Operators'!$C$1:$E$10000,3,FALSE)</f>
        <v>SPECTOR</v>
      </c>
      <c r="M28" s="6">
        <f t="shared" si="1"/>
        <v>1.8831018518540077E-2</v>
      </c>
      <c r="N28" s="7"/>
      <c r="O28" s="7"/>
      <c r="P28" s="7">
        <f>24*60*SUM($M28:$M29)</f>
        <v>49.68333333847113</v>
      </c>
      <c r="Q28" s="25"/>
      <c r="R28" s="25" t="s">
        <v>757</v>
      </c>
      <c r="S28" s="37">
        <f>SUM(U28:U29)/IF(AG28="EC",12,1)</f>
        <v>1</v>
      </c>
      <c r="T28" s="52" t="str">
        <f t="shared" si="2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05:30:48-0600',mode:absolute,to:'2016-08-26 07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8" s="54" t="str">
        <f t="shared" si="4"/>
        <v>Y</v>
      </c>
      <c r="X28" s="120">
        <f t="shared" si="5"/>
        <v>1</v>
      </c>
      <c r="Y28" s="69">
        <f t="shared" si="6"/>
        <v>12.7851</v>
      </c>
      <c r="Z28" s="69">
        <f t="shared" si="7"/>
        <v>1.38E-2</v>
      </c>
      <c r="AA28" s="69">
        <f t="shared" si="8"/>
        <v>12.7713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9"/>
        <v>0112-26</v>
      </c>
      <c r="AE28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28" s="96" t="str">
        <f t="shared" si="11"/>
        <v>"C:\Program Files (x86)\AstroGrep\AstroGrep.exe" /spath="%USERPROFILE%\AppData\Local\Temp\OnboardLogs" /stypes="*4026*20160826*" /stext=" 12:.+((SYSTEM_STATE.+slice.+state.+changed )|(ment ac)|(system.+state.+changed )|(\|lc)|(penalty)|(\[timeout)|(PRM\|1\|D)|(kpr)|(kdp))" /e /r /s</v>
      </c>
      <c r="AG28" s="1" t="str">
        <f t="shared" si="12"/>
        <v>EC</v>
      </c>
      <c r="AH28" s="100" t="str">
        <f t="shared" si="15"/>
        <v>"%USERPROFILE%\Documents\GitHub\eaglep3\Utilities\RefineRTDCRunTimes.py" --tripid 112-26 --locoid 4026 --swversion DE.1.0.7.0 --startMP 204:127851 --initTime 2016-08-26T06:30:48 --startdatetime 2016-08-26T06:31:45 --delay 0 --endMP 204:138 --enddatetime 2016-08-26T06:58:52 --enforcementcount 0 &gt;&gt;C:\Users\stu\Documents\GitHub\eaglep3-reporting\EC\2016-08-26-refined-times.txt</v>
      </c>
      <c r="AI28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ML1497","project_id":79,"tracker_id":40,"status_id":1,"priority_id":2,"assigned_to_id":23,"start_date":"2016-08-26","description":"","custom_fields":[{"id":1,"name":"Subdivision","value":"EC"},{"id":4,"name":"Milepost","value":"12.7713"},{"id":17,"name":"Train ID","value":"112-26"},{"id":16,"name":"Locomotive ID","value":"4026"},{"id":130,"name":"Impact","value":""},{"id":150,"name":"Time of Event (Mountain Time)","value":"06:58:52"},{"id":151,"name":"Denver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375</v>
      </c>
      <c r="B29" s="7">
        <v>4026</v>
      </c>
      <c r="C29" s="24" t="s">
        <v>113</v>
      </c>
      <c r="D29" s="24" t="s">
        <v>134</v>
      </c>
      <c r="E29" s="15">
        <v>42608.248055555552</v>
      </c>
      <c r="F29" s="15">
        <v>42608.249178240738</v>
      </c>
      <c r="G29" s="7">
        <v>1</v>
      </c>
      <c r="H29" s="15" t="s">
        <v>595</v>
      </c>
      <c r="I29" s="15">
        <v>42608.264849537038</v>
      </c>
      <c r="J29" s="7">
        <v>0</v>
      </c>
      <c r="K29" s="132" t="str">
        <f t="shared" si="0"/>
        <v>4025/4026</v>
      </c>
      <c r="L29" s="24" t="str">
        <f>VLOOKUP(A29,'Trips&amp;Operators'!$C$1:$E$10000,3,FALSE)</f>
        <v>SPECTOR</v>
      </c>
      <c r="M29" s="6">
        <f t="shared" si="1"/>
        <v>1.5671296299842652E-2</v>
      </c>
      <c r="N29" s="7"/>
      <c r="O29" s="7"/>
      <c r="P29" s="7"/>
      <c r="Q29" s="25"/>
      <c r="R29" s="25"/>
      <c r="S29" s="37"/>
      <c r="T29" s="52" t="str">
        <f t="shared" si="2"/>
        <v>Southbound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04:57:12-0600',mode:absolute,to:'2016-08-26 07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9" s="54" t="str">
        <f t="shared" si="4"/>
        <v>Y</v>
      </c>
      <c r="X29" s="120">
        <f t="shared" si="5"/>
        <v>0</v>
      </c>
      <c r="Y29" s="69">
        <f t="shared" si="6"/>
        <v>23.299399999999999</v>
      </c>
      <c r="Z29" s="69">
        <f t="shared" si="7"/>
        <v>15.8123</v>
      </c>
      <c r="AA29" s="69">
        <f t="shared" si="8"/>
        <v>7.4870999999999981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9"/>
        <v>0112-26</v>
      </c>
      <c r="AE29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29" s="96" t="str">
        <f t="shared" si="11"/>
        <v>"C:\Program Files (x86)\AstroGrep\AstroGrep.exe" /spath="%USERPROFILE%\AppData\Local\Temp\OnboardLogs" /stypes="*4026*20160826*"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0" t="str">
        <f t="shared" si="15"/>
        <v>"%USERPROFILE%\Documents\GitHub\eaglep3\Utilities\RefineRTDCRunTimes.py" --tripid 112-26 --locoid 4026 --swversion DE.1.0.7.0 --startMP 204:232994 --initTime 2016-08-26T05:57:12 --startdatetime 2016-08-26T05:58:49 --delay 1 --endMP 204:158123 --enddatetime 2016-08-26T06:21:23 --enforcementcount 0 &gt;&gt;C:\Users\stu\Documents\GitHub\eaglep3-reporting\EC\2016-08-26-refined-times.txt</v>
      </c>
      <c r="AI2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{"issue":{"subject":"","project_id":79,"tracker_id":40,"status_id":1,"priority_id":2,"assigned_to_id":23,"start_date":"2016-08-26","description":"","custom_fields":[{"id":1,"name":"Subdivision","value":"EC"},{"id":4,"name":"Milepost","value":"7.4871"},{"id":17,"name":"Train ID","value":"112-26"},{"id":16,"name":"Locomotive ID","value":"4026"},{"id":130,"name":"Impact","value":""},{"id":150,"name":"Time of Event (Mountain Time)","value":"06:21:23"},{"id":151,"name":"Denver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ht="16.5" customHeight="1" x14ac:dyDescent="0.25">
      <c r="A30" s="39" t="s">
        <v>369</v>
      </c>
      <c r="B30" s="7">
        <v>4038</v>
      </c>
      <c r="C30" s="24" t="s">
        <v>113</v>
      </c>
      <c r="D30" s="24" t="s">
        <v>596</v>
      </c>
      <c r="E30" s="15">
        <v>42608.219328703701</v>
      </c>
      <c r="F30" s="15">
        <v>42608.219907407409</v>
      </c>
      <c r="G30" s="7">
        <v>0</v>
      </c>
      <c r="H30" s="15" t="s">
        <v>597</v>
      </c>
      <c r="I30" s="15">
        <v>42608.221643518518</v>
      </c>
      <c r="J30" s="7">
        <v>0</v>
      </c>
      <c r="K30" s="132" t="str">
        <f t="shared" si="0"/>
        <v>4037/4038</v>
      </c>
      <c r="L30" s="24" t="str">
        <f>VLOOKUP(A30,'Trips&amp;Operators'!$C$1:$E$10000,3,FALSE)</f>
        <v>MAELZER</v>
      </c>
      <c r="M30" s="6">
        <f t="shared" si="1"/>
        <v>1.7361111094942316E-3</v>
      </c>
      <c r="N30" s="7"/>
      <c r="O30" s="7"/>
      <c r="P30" s="7">
        <f>24*60*SUM($M30:$M31)</f>
        <v>21.499999996740371</v>
      </c>
      <c r="Q30" s="25"/>
      <c r="R30" s="25" t="s">
        <v>757</v>
      </c>
      <c r="S30" s="37">
        <f>SUM(U30:U31)/IF(AG30="EC",12,1)</f>
        <v>1</v>
      </c>
      <c r="T30" s="52" t="str">
        <f t="shared" si="2"/>
        <v>NorthBound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04:15:50-0600',mode:absolute,to:'2016-08-26 06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0" s="54" t="str">
        <f t="shared" si="4"/>
        <v>Y</v>
      </c>
      <c r="X30" s="120">
        <f t="shared" si="5"/>
        <v>1</v>
      </c>
      <c r="Y30" s="69">
        <f t="shared" si="6"/>
        <v>0.1583</v>
      </c>
      <c r="Z30" s="69">
        <f t="shared" si="7"/>
        <v>0.19520000000000001</v>
      </c>
      <c r="AA30" s="69">
        <f t="shared" si="8"/>
        <v>3.6900000000000016E-2</v>
      </c>
      <c r="AB30" s="66">
        <f>VLOOKUP(A30,Enforcements!$C$7:$J$21,8,0)</f>
        <v>1692</v>
      </c>
      <c r="AC30" s="62" t="str">
        <f>VLOOKUP(A30,Enforcements!$C$7:$E$21,3,0)</f>
        <v>SIGNAL</v>
      </c>
      <c r="AD30" s="63" t="str">
        <f t="shared" si="9"/>
        <v>0113-26</v>
      </c>
      <c r="AE30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30" s="96" t="str">
        <f t="shared" si="11"/>
        <v>"C:\Program Files (x86)\AstroGrep\AstroGrep.exe" /spath="%USERPROFILE%\AppData\Local\Temp\OnboardLogs" /stypes="*4038*20160826*" /stext=" 11:.+((SYSTEM_STATE.+slice.+state.+changed )|(ment ac)|(system.+state.+changed )|(\|lc)|(penalty)|(\[timeout)|(PRM\|1\|D)|(kpr)|(kdp))" /e /r /s</v>
      </c>
      <c r="AG30" s="1" t="str">
        <f t="shared" si="12"/>
        <v>EC</v>
      </c>
      <c r="AH30" s="100" t="str">
        <f t="shared" si="15"/>
        <v>"%USERPROFILE%\Documents\GitHub\eaglep3\Utilities\RefineRTDCRunTimes.py" --tripid 113-26 --locoid 4038 --swversion DE.1.0.7.0 --startMP 204:1583 --initTime 2016-08-26T05:15:50 --startdatetime 2016-08-26T05:16:40 --delay 0 --endMP 204:1952 --enddatetime 2016-08-26T05:19:10 --enforcementcount 0 &gt;&gt;C:\Users\stu\Documents\GitHub\eaglep3-reporting\EC\2016-08-26-refined-times.txt</v>
      </c>
      <c r="AI30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ML1497","project_id":79,"tracker_id":40,"status_id":1,"priority_id":2,"assigned_to_id":23,"start_date":"2016-08-26","description":"","custom_fields":[{"id":1,"name":"Subdivision","value":"EC"},{"id":4,"name":"Milepost","value":"0.0369"},{"id":17,"name":"Train ID","value":"113-26"},{"id":16,"name":"Locomotive ID","value":"4038"},{"id":130,"name":"Impact","value":""},{"id":150,"name":"Time of Event (Mountain Time)","value":"05:19:10"},{"id":151,"name":"Denver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369</v>
      </c>
      <c r="B31" s="7">
        <v>4038</v>
      </c>
      <c r="C31" s="24" t="s">
        <v>113</v>
      </c>
      <c r="D31" s="24" t="s">
        <v>598</v>
      </c>
      <c r="E31" s="15">
        <v>42608.225115740737</v>
      </c>
      <c r="F31" s="15">
        <v>42608.225891203707</v>
      </c>
      <c r="G31" s="7">
        <v>1</v>
      </c>
      <c r="H31" s="15" t="s">
        <v>599</v>
      </c>
      <c r="I31" s="15">
        <v>42608.239085648151</v>
      </c>
      <c r="J31" s="7">
        <v>0</v>
      </c>
      <c r="K31" s="132" t="str">
        <f t="shared" si="0"/>
        <v>4037/4038</v>
      </c>
      <c r="L31" s="24" t="str">
        <f>VLOOKUP(A31,'Trips&amp;Operators'!$C$1:$E$10000,3,FALSE)</f>
        <v>MAELZER</v>
      </c>
      <c r="M31" s="6">
        <f t="shared" si="1"/>
        <v>1.3194444443797693E-2</v>
      </c>
      <c r="N31" s="7"/>
      <c r="O31" s="7"/>
      <c r="P31" s="7"/>
      <c r="Q31" s="25"/>
      <c r="R31" s="25"/>
      <c r="S31" s="37"/>
      <c r="T31" s="52" t="str">
        <f t="shared" si="2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04:24:10-0600',mode:absolute,to:'2016-08-26 06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1" s="54" t="str">
        <f t="shared" si="4"/>
        <v>Y</v>
      </c>
      <c r="X31" s="120">
        <f t="shared" si="5"/>
        <v>0</v>
      </c>
      <c r="Y31" s="69">
        <f t="shared" si="6"/>
        <v>1.9191</v>
      </c>
      <c r="Z31" s="69">
        <f t="shared" si="7"/>
        <v>12.331799999999999</v>
      </c>
      <c r="AA31" s="69">
        <f t="shared" si="8"/>
        <v>10.412699999999999</v>
      </c>
      <c r="AB31" s="66">
        <f>VLOOKUP(A31,Enforcements!$C$7:$J$21,8,0)</f>
        <v>1692</v>
      </c>
      <c r="AC31" s="62" t="str">
        <f>VLOOKUP(A31,Enforcements!$C$7:$E$21,3,0)</f>
        <v>SIGNAL</v>
      </c>
      <c r="AD31" s="63" t="str">
        <f t="shared" si="9"/>
        <v>0113-26</v>
      </c>
      <c r="AE31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31" s="96" t="str">
        <f t="shared" si="11"/>
        <v>"C:\Program Files (x86)\AstroGrep\AstroGrep.exe" /spath="%USERPROFILE%\AppData\Local\Temp\OnboardLogs" /stypes="*4038*20160826*" /stext=" 11:.+((SYSTEM_STATE.+slice.+state.+changed )|(ment ac)|(system.+state.+changed )|(\|lc)|(penalty)|(\[timeout)|(PRM\|1\|D)|(kpr)|(kdp))" /e /r /s</v>
      </c>
      <c r="AG31" s="1" t="str">
        <f t="shared" si="12"/>
        <v>EC</v>
      </c>
      <c r="AH31" s="100" t="str">
        <f t="shared" si="15"/>
        <v>"%USERPROFILE%\Documents\GitHub\eaglep3\Utilities\RefineRTDCRunTimes.py" --tripid 113-26 --locoid 4038 --swversion DE.1.0.7.0 --startMP 204:19191 --initTime 2016-08-26T05:24:10 --startdatetime 2016-08-26T05:25:17 --delay 1 --endMP 204:123318 --enddatetime 2016-08-26T05:44:17 --enforcementcount 0 &gt;&gt;C:\Users\stu\Documents\GitHub\eaglep3-reporting\EC\2016-08-26-refined-times.txt</v>
      </c>
      <c r="AI3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{"issue":{"subject":"","project_id":79,"tracker_id":40,"status_id":1,"priority_id":2,"assigned_to_id":23,"start_date":"2016-08-26","description":"","custom_fields":[{"id":1,"name":"Subdivision","value":"EC"},{"id":4,"name":"Milepost","value":"10.4127"},{"id":17,"name":"Train ID","value":"113-26"},{"id":16,"name":"Locomotive ID","value":"4038"},{"id":130,"name":"Impact","value":""},{"id":150,"name":"Time of Event (Mountain Time)","value":"05:44:17"},{"id":151,"name":"Denver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31" customFormat="1" x14ac:dyDescent="0.25">
      <c r="A32" s="39" t="s">
        <v>378</v>
      </c>
      <c r="B32" s="7">
        <v>4037</v>
      </c>
      <c r="C32" s="24" t="s">
        <v>113</v>
      </c>
      <c r="D32" s="24" t="s">
        <v>590</v>
      </c>
      <c r="E32" s="15">
        <v>42608.278298611112</v>
      </c>
      <c r="F32" s="15">
        <v>42608.278946759259</v>
      </c>
      <c r="G32" s="7">
        <v>0</v>
      </c>
      <c r="H32" s="15" t="s">
        <v>176</v>
      </c>
      <c r="I32" s="15">
        <v>42608.296400462961</v>
      </c>
      <c r="J32" s="7">
        <v>0</v>
      </c>
      <c r="K32" s="132" t="str">
        <f t="shared" si="0"/>
        <v>4037/4038</v>
      </c>
      <c r="L32" s="24" t="str">
        <f>VLOOKUP(A32,'Trips&amp;Operators'!$C$1:$E$10000,3,FALSE)</f>
        <v>MAELZER</v>
      </c>
      <c r="M32" s="6">
        <f t="shared" si="1"/>
        <v>1.7453703701903578E-2</v>
      </c>
      <c r="N32" s="7"/>
      <c r="O32" s="7"/>
      <c r="P32" s="7">
        <f>24*60*SUM($M32:$M33)</f>
        <v>42.816666659200564</v>
      </c>
      <c r="Q32" s="25"/>
      <c r="R32" s="25" t="s">
        <v>757</v>
      </c>
      <c r="S32" s="37">
        <f>SUM(U32:U33)/IF(AG32="EC",12,1)</f>
        <v>1</v>
      </c>
      <c r="T32" s="52" t="str">
        <f t="shared" si="2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05:40:45-0600',mode:absolute,to:'2016-08-26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2" s="54" t="str">
        <f t="shared" si="4"/>
        <v>Y</v>
      </c>
      <c r="X32" s="120">
        <f t="shared" si="5"/>
        <v>1</v>
      </c>
      <c r="Y32" s="69">
        <f t="shared" si="6"/>
        <v>12.7857</v>
      </c>
      <c r="Z32" s="69">
        <f t="shared" si="7"/>
        <v>1.41E-2</v>
      </c>
      <c r="AA32" s="69">
        <f t="shared" si="8"/>
        <v>12.771600000000001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9"/>
        <v>0114-26</v>
      </c>
      <c r="AE32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32" s="96" t="str">
        <f t="shared" si="11"/>
        <v>"C:\Program Files (x86)\AstroGrep\AstroGrep.exe" /spath="%USERPROFILE%\AppData\Local\Temp\OnboardLogs" /stypes="*4037*20160826*"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0" t="str">
        <f t="shared" si="15"/>
        <v>"%USERPROFILE%\Documents\GitHub\eaglep3\Utilities\RefineRTDCRunTimes.py" --tripid 114-26 --locoid 4037 --swversion DE.1.0.7.0 --startMP 204:127857 --initTime 2016-08-26T06:40:45 --startdatetime 2016-08-26T06:41:41 --delay 0 --endMP 204:141 --enddatetime 2016-08-26T07:06:49 --enforcementcount 0 &gt;&gt;C:\Users\stu\Documents\GitHub\eaglep3-reporting\EC\2016-08-26-refined-times.txt</v>
      </c>
      <c r="AI32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ML1497","project_id":79,"tracker_id":40,"status_id":1,"priority_id":2,"assigned_to_id":23,"start_date":"2016-08-26","description":"","custom_fields":[{"id":1,"name":"Subdivision","value":"EC"},{"id":4,"name":"Milepost","value":"12.7716"},{"id":17,"name":"Train ID","value":"114-26"},{"id":16,"name":"Locomotive ID","value":"4037"},{"id":130,"name":"Impact","value":""},{"id":150,"name":"Time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378</v>
      </c>
      <c r="B33" s="7">
        <v>4037</v>
      </c>
      <c r="C33" s="24" t="s">
        <v>113</v>
      </c>
      <c r="D33" s="24" t="s">
        <v>600</v>
      </c>
      <c r="E33" s="15">
        <v>42608.259502314817</v>
      </c>
      <c r="F33" s="15">
        <v>42608.260277777779</v>
      </c>
      <c r="G33" s="7">
        <v>1</v>
      </c>
      <c r="H33" s="15" t="s">
        <v>601</v>
      </c>
      <c r="I33" s="15">
        <v>42608.272557870368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MAELZER</v>
      </c>
      <c r="M33" s="6">
        <f t="shared" si="1"/>
        <v>1.2280092589207925E-2</v>
      </c>
      <c r="N33" s="7"/>
      <c r="O33" s="7"/>
      <c r="P33" s="7"/>
      <c r="Q33" s="25"/>
      <c r="R33" s="25"/>
      <c r="S33" s="37"/>
      <c r="T33" s="52" t="str">
        <f t="shared" si="2"/>
        <v>Southbound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05:13:41-0600',mode:absolute,to:'2016-08-26 07:32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3" s="54" t="str">
        <f t="shared" si="4"/>
        <v>Y</v>
      </c>
      <c r="X33" s="120">
        <f t="shared" si="5"/>
        <v>0</v>
      </c>
      <c r="Y33" s="69">
        <f t="shared" si="6"/>
        <v>23.298200000000001</v>
      </c>
      <c r="Z33" s="69">
        <f t="shared" si="7"/>
        <v>15.885300000000001</v>
      </c>
      <c r="AA33" s="69">
        <f t="shared" si="8"/>
        <v>7.4129000000000005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9"/>
        <v>0114-26</v>
      </c>
      <c r="AE33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33" s="96" t="str">
        <f t="shared" si="11"/>
        <v>"C:\Program Files (x86)\AstroGrep\AstroGrep.exe" /spath="%USERPROFILE%\AppData\Local\Temp\OnboardLogs" /stypes="*4037*20160826*"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0" t="str">
        <f t="shared" si="15"/>
        <v>"%USERPROFILE%\Documents\GitHub\eaglep3\Utilities\RefineRTDCRunTimes.py" --tripid 114-26 --locoid 4037 --swversion DE.1.0.7.0 --startMP 204:232982 --initTime 2016-08-26T06:13:41 --startdatetime 2016-08-26T06:14:48 --delay 1 --endMP 204:158853 --enddatetime 2016-08-26T06:32:29 --enforcementcount 0 &gt;&gt;C:\Users\stu\Documents\GitHub\eaglep3-reporting\EC\2016-08-26-refined-times.txt</v>
      </c>
      <c r="AI3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{"issue":{"subject":"","project_id":79,"tracker_id":40,"status_id":1,"priority_id":2,"assigned_to_id":23,"start_date":"2016-08-26","description":"","custom_fields":[{"id":1,"name":"Subdivision","value":"EC"},{"id":4,"name":"Milepost","value":"7.4129"},{"id":17,"name":"Train ID","value":"114-26"},{"id":16,"name":"Locomotive ID","value":"4037"},{"id":130,"name":"Impact","value":""},{"id":150,"name":"Time of Event (Mountain Time)","value":"06:32:29"},{"id":151,"name":"Denver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371</v>
      </c>
      <c r="B34" s="7">
        <v>4002</v>
      </c>
      <c r="C34" s="24" t="s">
        <v>113</v>
      </c>
      <c r="D34" s="24" t="s">
        <v>602</v>
      </c>
      <c r="E34" s="15">
        <v>42608.224826388891</v>
      </c>
      <c r="F34" s="15">
        <v>42608.226041666669</v>
      </c>
      <c r="G34" s="7">
        <v>1</v>
      </c>
      <c r="H34" s="15" t="s">
        <v>603</v>
      </c>
      <c r="I34" s="15">
        <v>42608.247071759259</v>
      </c>
      <c r="J34" s="7">
        <v>0</v>
      </c>
      <c r="K34" s="132" t="str">
        <f t="shared" si="0"/>
        <v>4001/4002</v>
      </c>
      <c r="L34" s="24" t="str">
        <f>VLOOKUP(A34,'Trips&amp;Operators'!$C$1:$E$10000,3,FALSE)</f>
        <v>SMITH</v>
      </c>
      <c r="M34" s="6">
        <f t="shared" si="1"/>
        <v>2.103009259008104E-2</v>
      </c>
      <c r="N34" s="7"/>
      <c r="O34" s="7"/>
      <c r="P34" s="7">
        <f>24*60*SUM($M34:$M34)</f>
        <v>30.283333329716697</v>
      </c>
      <c r="Q34" s="25"/>
      <c r="R34" s="25" t="s">
        <v>757</v>
      </c>
      <c r="S34" s="37">
        <f>SUM(U34:U34)/IF(AG34="EC",12,1)</f>
        <v>1</v>
      </c>
      <c r="T34" s="52" t="str">
        <f t="shared" si="2"/>
        <v>NorthBound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04:23:45-0600',mode:absolute,to:'2016-08-26 06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4" s="54" t="str">
        <f t="shared" si="4"/>
        <v>Y</v>
      </c>
      <c r="X34" s="120">
        <f t="shared" si="5"/>
        <v>1</v>
      </c>
      <c r="Y34" s="69">
        <f t="shared" si="6"/>
        <v>0.1241</v>
      </c>
      <c r="Z34" s="69">
        <f t="shared" si="7"/>
        <v>12.263299999999999</v>
      </c>
      <c r="AA34" s="69">
        <f t="shared" si="8"/>
        <v>12.139199999999999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9"/>
        <v>0115-26</v>
      </c>
      <c r="AE34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34" s="96" t="str">
        <f t="shared" si="11"/>
        <v>"C:\Program Files (x86)\AstroGrep\AstroGrep.exe" /spath="%USERPROFILE%\AppData\Local\Temp\OnboardLogs" /stypes="*4002*20160826*" /stext=" 11:.+((SYSTEM_STATE.+slice.+state.+changed )|(ment ac)|(system.+state.+changed )|(\|lc)|(penalty)|(\[timeout)|(PRM\|1\|D)|(kpr)|(kdp))" /e /r /s</v>
      </c>
      <c r="AG34" s="1" t="str">
        <f t="shared" si="12"/>
        <v>EC</v>
      </c>
      <c r="AH34" s="100" t="str">
        <f t="shared" si="15"/>
        <v>"%USERPROFILE%\Documents\GitHub\eaglep3\Utilities\RefineRTDCRunTimes.py" --tripid 115-26 --locoid 4002 --swversion DE.1.0.7.0 --startMP 204:1241 --initTime 2016-08-26T05:23:45 --startdatetime 2016-08-26T05:25:30 --delay 1 --endMP 204:122633 --enddatetime 2016-08-26T05:55:47 --enforcementcount 0 &gt;&gt;C:\Users\stu\Documents\GitHub\eaglep3-reporting\EC\2016-08-26-refined-times.txt</v>
      </c>
      <c r="AI34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ML1497","project_id":79,"tracker_id":40,"status_id":1,"priority_id":2,"assigned_to_id":23,"start_date":"2016-08-26","description":"","custom_fields":[{"id":1,"name":"Subdivision","value":"EC"},{"id":4,"name":"Milepost","value":"12.1392"},{"id":17,"name":"Train ID","value":"115-26"},{"id":16,"name":"Locomotive ID","value":"4002"},{"id":130,"name":"Impact","value":""},{"id":150,"name":"Time of Event (Mountain Time)","value":"05:55:47"},{"id":151,"name":"Denver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382</v>
      </c>
      <c r="B35" s="7">
        <v>4001</v>
      </c>
      <c r="C35" s="24" t="s">
        <v>113</v>
      </c>
      <c r="D35" s="24" t="s">
        <v>604</v>
      </c>
      <c r="E35" s="15">
        <v>42608.282083333332</v>
      </c>
      <c r="F35" s="15">
        <v>42608.282824074071</v>
      </c>
      <c r="G35" s="7">
        <v>1</v>
      </c>
      <c r="H35" s="15" t="s">
        <v>153</v>
      </c>
      <c r="I35" s="15">
        <v>42608.30091435185</v>
      </c>
      <c r="J35" s="7">
        <v>0</v>
      </c>
      <c r="K35" s="132" t="str">
        <f t="shared" si="0"/>
        <v>4001/4002</v>
      </c>
      <c r="L35" s="24" t="str">
        <f>VLOOKUP(A35,'Trips&amp;Operators'!$C$1:$E$10000,3,FALSE)</f>
        <v>SMITH</v>
      </c>
      <c r="M35" s="6">
        <f t="shared" si="1"/>
        <v>1.8090277779265307E-2</v>
      </c>
      <c r="N35" s="7"/>
      <c r="O35" s="7"/>
      <c r="P35" s="7">
        <f>24*60*SUM($M35:$M36)</f>
        <v>36.100000004516914</v>
      </c>
      <c r="Q35" s="25"/>
      <c r="R35" s="25" t="s">
        <v>757</v>
      </c>
      <c r="S35" s="37">
        <f>SUM(U35:U36)/IF(AG35="EC",12,1)</f>
        <v>1</v>
      </c>
      <c r="T35" s="52" t="str">
        <f t="shared" si="2"/>
        <v>Southbound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05:46:12-0600',mode:absolute,to:'2016-08-26 08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5" s="54" t="str">
        <f t="shared" si="4"/>
        <v>Y</v>
      </c>
      <c r="X35" s="120">
        <f t="shared" si="5"/>
        <v>1</v>
      </c>
      <c r="Y35" s="69">
        <f t="shared" si="6"/>
        <v>12.7849</v>
      </c>
      <c r="Z35" s="69">
        <f t="shared" si="7"/>
        <v>1.5599999999999999E-2</v>
      </c>
      <c r="AA35" s="69">
        <f t="shared" si="8"/>
        <v>12.769300000000001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9"/>
        <v>0116-26</v>
      </c>
      <c r="AE35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35" s="96" t="str">
        <f t="shared" si="11"/>
        <v>"C:\Program Files (x86)\AstroGrep\AstroGrep.exe" /spath="%USERPROFILE%\AppData\Local\Temp\OnboardLogs" /stypes="*4001*20160826*"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0" t="str">
        <f t="shared" si="15"/>
        <v>"%USERPROFILE%\Documents\GitHub\eaglep3\Utilities\RefineRTDCRunTimes.py" --tripid 116-26 --locoid 4001 --swversion DE.1.0.7.0 --startMP 204:127849 --initTime 2016-08-26T06:46:12 --startdatetime 2016-08-26T06:47:16 --delay 1 --endMP 204:156 --enddatetime 2016-08-26T07:13:19 --enforcementcount 0 &gt;&gt;C:\Users\stu\Documents\GitHub\eaglep3-reporting\EC\2016-08-26-refined-times.txt</v>
      </c>
      <c r="AI35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ML1497","project_id":79,"tracker_id":40,"status_id":1,"priority_id":2,"assigned_to_id":23,"start_date":"2016-08-26","description":"","custom_fields":[{"id":1,"name":"Subdivision","value":"EC"},{"id":4,"name":"Milepost","value":"12.7693"},{"id":17,"name":"Train ID","value":"116-26"},{"id":16,"name":"Locomotive ID","value":"4001"},{"id":130,"name":"Impact","value":""},{"id":150,"name":"Time of Event (Mountain Time)","value":"07:13:19"},{"id":151,"name":"Denver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382</v>
      </c>
      <c r="B36" s="7">
        <v>4001</v>
      </c>
      <c r="C36" s="24" t="s">
        <v>113</v>
      </c>
      <c r="D36" s="24" t="s">
        <v>605</v>
      </c>
      <c r="E36" s="15">
        <v>42608.267164351855</v>
      </c>
      <c r="F36" s="15">
        <v>42608.268333333333</v>
      </c>
      <c r="G36" s="7">
        <v>1</v>
      </c>
      <c r="H36" s="15" t="s">
        <v>606</v>
      </c>
      <c r="I36" s="15">
        <v>42608.275312500002</v>
      </c>
      <c r="J36" s="7">
        <v>0</v>
      </c>
      <c r="K36" s="132" t="str">
        <f t="shared" si="0"/>
        <v>4001/4002</v>
      </c>
      <c r="L36" s="24" t="str">
        <f>VLOOKUP(A36,'Trips&amp;Operators'!$C$1:$E$10000,3,FALSE)</f>
        <v>SMITH</v>
      </c>
      <c r="M36" s="6">
        <f t="shared" si="1"/>
        <v>6.9791666683158837E-3</v>
      </c>
      <c r="N36" s="7"/>
      <c r="O36" s="7"/>
      <c r="P36" s="7"/>
      <c r="Q36" s="25"/>
      <c r="R36" s="25"/>
      <c r="S36" s="37"/>
      <c r="T36" s="52" t="str">
        <f t="shared" si="2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05:24:43-0600',mode:absolute,to:'2016-08-26 07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6" s="54" t="str">
        <f t="shared" si="4"/>
        <v>Y</v>
      </c>
      <c r="X36" s="120">
        <f t="shared" si="5"/>
        <v>0</v>
      </c>
      <c r="Y36" s="69">
        <f t="shared" si="6"/>
        <v>23.296299999999999</v>
      </c>
      <c r="Z36" s="69">
        <f t="shared" si="7"/>
        <v>15.921799999999999</v>
      </c>
      <c r="AA36" s="69">
        <f t="shared" si="8"/>
        <v>7.3744999999999994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9"/>
        <v>0116-26</v>
      </c>
      <c r="AE36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36" s="96" t="str">
        <f t="shared" si="11"/>
        <v>"C:\Program Files (x86)\AstroGrep\AstroGrep.exe" /spath="%USERPROFILE%\AppData\Local\Temp\OnboardLogs" /stypes="*4001*20160826*" /stext=" 12:.+((SYSTEM_STATE.+slice.+state.+changed )|(ment ac)|(system.+state.+changed )|(\|lc)|(penalty)|(\[timeout)|(PRM\|1\|D)|(kpr)|(kdp))" /e /r /s</v>
      </c>
      <c r="AG36" s="1" t="str">
        <f t="shared" si="12"/>
        <v>EC</v>
      </c>
      <c r="AH36" s="100" t="str">
        <f t="shared" si="15"/>
        <v>"%USERPROFILE%\Documents\GitHub\eaglep3\Utilities\RefineRTDCRunTimes.py" --tripid 116-26 --locoid 4001 --swversion DE.1.0.7.0 --startMP 204:232963 --initTime 2016-08-26T06:24:43 --startdatetime 2016-08-26T06:26:24 --delay 1 --endMP 204:159218 --enddatetime 2016-08-26T06:36:27 --enforcementcount 0 &gt;&gt;C:\Users\stu\Documents\GitHub\eaglep3-reporting\EC\2016-08-26-refined-times.txt</v>
      </c>
      <c r="AI3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{"issue":{"subject":"","project_id":79,"tracker_id":40,"status_id":1,"priority_id":2,"assigned_to_id":23,"start_date":"2016-08-26","description":"","custom_fields":[{"id":1,"name":"Subdivision","value":"EC"},{"id":4,"name":"Milepost","value":"7.3745"},{"id":17,"name":"Train ID","value":"116-26"},{"id":16,"name":"Locomotive ID","value":"4001"},{"id":130,"name":"Impact","value":""},{"id":150,"name":"Time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ht="14.25" customHeight="1" x14ac:dyDescent="0.25">
      <c r="A37" s="39" t="s">
        <v>374</v>
      </c>
      <c r="B37" s="7">
        <v>4040</v>
      </c>
      <c r="C37" s="24" t="s">
        <v>113</v>
      </c>
      <c r="D37" s="24" t="s">
        <v>607</v>
      </c>
      <c r="E37" s="15">
        <v>42608.237453703703</v>
      </c>
      <c r="F37" s="15">
        <v>42608.238333333335</v>
      </c>
      <c r="G37" s="7">
        <v>1</v>
      </c>
      <c r="H37" s="15" t="s">
        <v>608</v>
      </c>
      <c r="I37" s="15">
        <v>42608.257280092592</v>
      </c>
      <c r="J37" s="7">
        <v>0</v>
      </c>
      <c r="K37" s="132" t="str">
        <f t="shared" si="0"/>
        <v>4039/4040</v>
      </c>
      <c r="L37" s="24" t="str">
        <f>VLOOKUP(A37,'Trips&amp;Operators'!$C$1:$E$10000,3,FALSE)</f>
        <v>DAVIS</v>
      </c>
      <c r="M37" s="6">
        <f t="shared" si="1"/>
        <v>1.894675925723277E-2</v>
      </c>
      <c r="N37" s="7"/>
      <c r="O37" s="7"/>
      <c r="P37" s="7">
        <f>24*60*SUM($M37:$M37)</f>
        <v>27.283333330415189</v>
      </c>
      <c r="Q37" s="25"/>
      <c r="R37" s="25" t="s">
        <v>757</v>
      </c>
      <c r="S37" s="37">
        <f t="shared" ref="S37:S68" si="17">SUM(U37:U37)/IF(AG37="EC",12,1)</f>
        <v>1</v>
      </c>
      <c r="T37" s="52" t="str">
        <f t="shared" si="2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04:41:56-0600',mode:absolute,to:'2016-08-26 07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37" s="54" t="str">
        <f t="shared" si="4"/>
        <v>Y</v>
      </c>
      <c r="X37" s="120">
        <f t="shared" si="5"/>
        <v>1</v>
      </c>
      <c r="Y37" s="69">
        <f t="shared" si="6"/>
        <v>7.7700000000000005E-2</v>
      </c>
      <c r="Z37" s="69">
        <f t="shared" si="7"/>
        <v>12.4757</v>
      </c>
      <c r="AA37" s="69">
        <f t="shared" si="8"/>
        <v>12.398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9"/>
        <v>0117-26</v>
      </c>
      <c r="AE37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37" s="96" t="str">
        <f t="shared" si="11"/>
        <v>"C:\Program Files (x86)\AstroGrep\AstroGrep.exe" /spath="%USERPROFILE%\AppData\Local\Temp\OnboardLogs" /stypes="*4040*20160826*" /stext=" 12:.+((SYSTEM_STATE.+slice.+state.+changed )|(ment ac)|(system.+state.+changed )|(\|lc)|(penalty)|(\[timeout)|(PRM\|1\|D)|(kpr)|(kdp))" /e /r /s</v>
      </c>
      <c r="AG37" s="1" t="str">
        <f t="shared" si="12"/>
        <v>EC</v>
      </c>
      <c r="AH37" s="100" t="str">
        <f t="shared" si="15"/>
        <v>"%USERPROFILE%\Documents\GitHub\eaglep3\Utilities\RefineRTDCRunTimes.py" --tripid 117-26 --locoid 4040 --swversion DE.1.0.7.0 --startMP 204:777 --initTime 2016-08-26T05:41:56 --startdatetime 2016-08-26T05:43:12 --delay 1 --endMP 204:124757 --enddatetime 2016-08-26T06:10:29 --enforcementcount 0 &gt;&gt;C:\Users\stu\Documents\GitHub\eaglep3-reporting\EC\2016-08-26-refined-times.txt</v>
      </c>
      <c r="AI37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ML1497","project_id":79,"tracker_id":40,"status_id":1,"priority_id":2,"assigned_to_id":23,"start_date":"2016-08-26","description":"","custom_fields":[{"id":1,"name":"Subdivision","value":"EC"},{"id":4,"name":"Milepost","value":"12.398"},{"id":17,"name":"Train ID","value":"117-26"},{"id":16,"name":"Locomotive ID","value":"4040"},{"id":130,"name":"Impact","value":""},{"id":150,"name":"Time of Event (Mountain Time)","value":"06:10:29"},{"id":151,"name":"Denver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385</v>
      </c>
      <c r="B38" s="7">
        <v>4039</v>
      </c>
      <c r="C38" s="24" t="s">
        <v>113</v>
      </c>
      <c r="D38" s="24" t="s">
        <v>609</v>
      </c>
      <c r="E38" s="15">
        <v>42608.276585648149</v>
      </c>
      <c r="F38" s="15">
        <v>42608.277650462966</v>
      </c>
      <c r="G38" s="7">
        <v>1</v>
      </c>
      <c r="H38" s="15" t="s">
        <v>288</v>
      </c>
      <c r="I38" s="15">
        <v>42608.308622685188</v>
      </c>
      <c r="J38" s="7">
        <v>0</v>
      </c>
      <c r="K38" s="132" t="str">
        <f t="shared" si="0"/>
        <v>4039/4040</v>
      </c>
      <c r="L38" s="24" t="str">
        <f>VLOOKUP(A38,'Trips&amp;Operators'!$C$1:$E$10000,3,FALSE)</f>
        <v>DAVIS</v>
      </c>
      <c r="M38" s="6">
        <f t="shared" si="1"/>
        <v>3.0972222222771961E-2</v>
      </c>
      <c r="N38" s="7">
        <f>24*60*SUM($M38:$M38)</f>
        <v>44.600000000791624</v>
      </c>
      <c r="O38" s="7"/>
      <c r="P38" s="7"/>
      <c r="Q38" s="25"/>
      <c r="R38" s="25"/>
      <c r="S38" s="37">
        <f t="shared" si="17"/>
        <v>1</v>
      </c>
      <c r="T38" s="52" t="str">
        <f t="shared" si="2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05:38:17-0600',mode:absolute,to:'2016-08-26 08:24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38" s="54" t="str">
        <f t="shared" si="4"/>
        <v>N</v>
      </c>
      <c r="X38" s="120">
        <f t="shared" si="5"/>
        <v>1</v>
      </c>
      <c r="Y38" s="69">
        <f t="shared" si="6"/>
        <v>23.299600000000002</v>
      </c>
      <c r="Z38" s="69">
        <f t="shared" si="7"/>
        <v>1.6899999999999998E-2</v>
      </c>
      <c r="AA38" s="69">
        <f t="shared" si="8"/>
        <v>23.282700000000002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9"/>
        <v>0118-26</v>
      </c>
      <c r="AE38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38" s="96" t="str">
        <f t="shared" si="11"/>
        <v>"C:\Program Files (x86)\AstroGrep\AstroGrep.exe" /spath="%USERPROFILE%\AppData\Local\Temp\OnboardLogs" /stypes="*4039*20160826*" /stext=" 13:.+((SYSTEM_STATE.+slice.+state.+changed )|(ment ac)|(system.+state.+changed )|(\|lc)|(penalty)|(\[timeout)|(PRM\|1\|D)|(kpr)|(kdp))" /e /r /s</v>
      </c>
      <c r="AG38" s="1" t="str">
        <f t="shared" si="12"/>
        <v>EC</v>
      </c>
      <c r="AH38" s="100" t="str">
        <f t="shared" si="15"/>
        <v>"%USERPROFILE%\Documents\GitHub\eaglep3\Utilities\RefineRTDCRunTimes.py" --tripid 118-26 --locoid 4039 --swversion DE.1.0.7.0 --startMP 204:232996 --initTime 2016-08-26T06:38:17 --startdatetime 2016-08-26T06:39:49 --delay 1 --endMP 204:169 --enddatetime 2016-08-26T07:24:25 --enforcementcount 0 &gt;&gt;C:\Users\stu\Documents\GitHub\eaglep3-reporting\EC\2016-08-26-refined-times.txt</v>
      </c>
      <c r="AI3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ID","value":"118-26"},{"id":16,"name":"Locomotive ID","value":"4039"},{"id":130,"name":"Impact","value":""},{"id":150,"name":"Time of Event (Mountain Time)","value":"07:24:25"},{"id":151,"name":"Denver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376</v>
      </c>
      <c r="B39" s="7">
        <v>4009</v>
      </c>
      <c r="C39" s="24" t="s">
        <v>113</v>
      </c>
      <c r="D39" s="24" t="s">
        <v>592</v>
      </c>
      <c r="E39" s="15">
        <v>42608.253321759257</v>
      </c>
      <c r="F39" s="15">
        <v>42608.254120370373</v>
      </c>
      <c r="G39" s="7">
        <v>1</v>
      </c>
      <c r="H39" s="15" t="s">
        <v>610</v>
      </c>
      <c r="I39" s="15">
        <v>42608.271249999998</v>
      </c>
      <c r="J39" s="7">
        <v>0</v>
      </c>
      <c r="K39" s="132" t="str">
        <f t="shared" si="0"/>
        <v>4009/4010</v>
      </c>
      <c r="L39" s="24" t="str">
        <f>VLOOKUP(A39,'Trips&amp;Operators'!$C$1:$E$10000,3,FALSE)</f>
        <v>GRASTON</v>
      </c>
      <c r="M39" s="6">
        <f t="shared" si="1"/>
        <v>1.7129629624832887E-2</v>
      </c>
      <c r="N39" s="7"/>
      <c r="O39" s="7"/>
      <c r="P39" s="7">
        <f>24*60*SUM($M39:$M39)</f>
        <v>24.666666659759358</v>
      </c>
      <c r="Q39" s="25"/>
      <c r="R39" s="25" t="s">
        <v>757</v>
      </c>
      <c r="S39" s="37">
        <f t="shared" si="17"/>
        <v>1</v>
      </c>
      <c r="T39" s="52" t="str">
        <f t="shared" si="2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05:04:47-0600',mode:absolute,to:'2016-08-26 07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4"/>
        <v>Y</v>
      </c>
      <c r="X39" s="120">
        <f t="shared" si="5"/>
        <v>1</v>
      </c>
      <c r="Y39" s="69">
        <f t="shared" si="6"/>
        <v>0.1154</v>
      </c>
      <c r="Z39" s="69">
        <f t="shared" si="7"/>
        <v>12.4535</v>
      </c>
      <c r="AA39" s="69">
        <f t="shared" si="8"/>
        <v>12.338100000000001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9"/>
        <v>0119-26</v>
      </c>
      <c r="AE39" s="99" t="str">
        <f t="shared" si="10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39" s="96" t="str">
        <f t="shared" si="11"/>
        <v>"C:\Program Files (x86)\AstroGrep\AstroGrep.exe" /spath="%USERPROFILE%\AppData\Local\Temp\OnboardLogs" /stypes="*4009*20160826*" /stext=" 12:.+((SYSTEM_STATE.+slice.+state.+changed )|(ment ac)|(system.+state.+changed )|(\|lc)|(penalty)|(\[timeout)|(PRM\|1\|D)|(kpr)|(kdp))" /e /r /s</v>
      </c>
      <c r="AG39" s="1" t="str">
        <f t="shared" si="12"/>
        <v>EC</v>
      </c>
      <c r="AH39" s="100" t="str">
        <f t="shared" si="15"/>
        <v>"%USERPROFILE%\Documents\GitHub\eaglep3\Utilities\RefineRTDCRunTimes.py" --tripid 119-26 --locoid 4009 --swversion DE.1.0.7.0 --startMP 204:1154 --initTime 2016-08-26T06:04:47 --startdatetime 2016-08-26T06:05:56 --delay 1 --endMP 204:124535 --enddatetime 2016-08-26T06:30:36 --enforcementcount 0 &gt;&gt;C:\Users\stu\Documents\GitHub\eaglep3-reporting\EC\2016-08-26-refined-times.txt</v>
      </c>
      <c r="AI39" s="149" t="str">
        <f t="shared" si="16"/>
        <v>echo {"issue":{"subject":"Maintenance on ML1497","project_id":79,"tracker_id":40,"status_id":1,"priority_id":2,"assigned_to_id":23,"start_date":"2016-08-26","description":"","custom_fields":[{"id":1,"name":"Subdivision","value":"EC"},{"id":4,"name":"Milepost","value":"12.3381"},{"id":17,"name":"Train ID","value":"119-26"},{"id":16,"name":"Locomotive ID","value":"4009"},{"id":130,"name":"Impact","value":""},{"id":150,"name":"Time of Event (Mountain Time)","value":"06:30:36"},{"id":151,"name":"Denver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389</v>
      </c>
      <c r="B40" s="7">
        <v>4010</v>
      </c>
      <c r="C40" s="24" t="s">
        <v>113</v>
      </c>
      <c r="D40" s="24" t="s">
        <v>313</v>
      </c>
      <c r="E40" s="15">
        <v>42608.286458333336</v>
      </c>
      <c r="F40" s="15">
        <v>42608.28738425926</v>
      </c>
      <c r="G40" s="7">
        <v>1</v>
      </c>
      <c r="H40" s="15" t="s">
        <v>611</v>
      </c>
      <c r="I40" s="15">
        <v>42608.32135416667</v>
      </c>
      <c r="J40" s="7">
        <v>0</v>
      </c>
      <c r="K40" s="132" t="str">
        <f t="shared" si="0"/>
        <v>4009/4010</v>
      </c>
      <c r="L40" s="24" t="str">
        <f>VLOOKUP(A40,'Trips&amp;Operators'!$C$1:$E$10000,3,FALSE)</f>
        <v>GRASTON</v>
      </c>
      <c r="M40" s="6">
        <f t="shared" si="1"/>
        <v>3.3969907410209998E-2</v>
      </c>
      <c r="N40" s="7">
        <f t="shared" ref="N40:N71" si="18">24*60*SUM($M40:$M40)</f>
        <v>48.916666670702398</v>
      </c>
      <c r="O40" s="7"/>
      <c r="P40" s="7"/>
      <c r="Q40" s="25"/>
      <c r="R40" s="25"/>
      <c r="S40" s="37">
        <f t="shared" si="17"/>
        <v>1</v>
      </c>
      <c r="T40" s="52" t="str">
        <f t="shared" si="2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05:52:30-0600',mode:absolute,to:'2016-08-26 08:42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4"/>
        <v>N</v>
      </c>
      <c r="X40" s="120">
        <f t="shared" si="5"/>
        <v>1</v>
      </c>
      <c r="Y40" s="69">
        <f t="shared" si="6"/>
        <v>23.300899999999999</v>
      </c>
      <c r="Z40" s="69">
        <f t="shared" si="7"/>
        <v>0.11749999999999999</v>
      </c>
      <c r="AA40" s="69">
        <f t="shared" si="8"/>
        <v>23.183399999999999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9"/>
        <v>0120-26</v>
      </c>
      <c r="AE40" s="99" t="str">
        <f t="shared" si="10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40" s="96" t="str">
        <f t="shared" si="11"/>
        <v>"C:\Program Files (x86)\AstroGrep\AstroGrep.exe" /spath="%USERPROFILE%\AppData\Local\Temp\OnboardLogs" /stypes="*4010*20160826*" /stext=" 13:.+((SYSTEM_STATE.+slice.+state.+changed )|(ment ac)|(system.+state.+changed )|(\|lc)|(penalty)|(\[timeout)|(PRM\|1\|D)|(kpr)|(kdp))" /e /r /s</v>
      </c>
      <c r="AG40" s="1" t="str">
        <f t="shared" si="12"/>
        <v>EC</v>
      </c>
      <c r="AH40" s="100" t="str">
        <f t="shared" si="15"/>
        <v>"%USERPROFILE%\Documents\GitHub\eaglep3\Utilities\RefineRTDCRunTimes.py" --tripid 120-26 --locoid 4010 --swversion DE.1.0.7.0 --startMP 204:233009 --initTime 2016-08-26T06:52:30 --startdatetime 2016-08-26T06:53:50 --delay 1 --endMP 204:1175 --enddatetime 2016-08-26T07:42:45 --enforcementcount 0 &gt;&gt;C:\Users\stu\Documents\GitHub\eaglep3-reporting\EC\2016-08-26-refined-times.txt</v>
      </c>
      <c r="AI4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{"issue":{"subject":"","project_id":79,"tracker_id":40,"status_id":1,"priority_id":2,"assigned_to_id":23,"start_date":"2016-08-26","description":"","custom_fields":[{"id":1,"name":"Subdivision","value":"EC"},{"id":4,"name":"Milepost","value":"23.1834"},{"id":17,"name":"Train ID","value":"120-26"},{"id":16,"name":"Locomotive ID","value":"4010"},{"id":130,"name":"Impact","value":""},{"id":150,"name":"Time of Event (Mountain Time)","value":"07:42:45"},{"id":151,"name":"Denver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381</v>
      </c>
      <c r="B41" s="7">
        <v>4027</v>
      </c>
      <c r="C41" s="24" t="s">
        <v>113</v>
      </c>
      <c r="D41" s="24" t="s">
        <v>612</v>
      </c>
      <c r="E41" s="15">
        <v>42608.266828703701</v>
      </c>
      <c r="F41" s="15">
        <v>42608.267777777779</v>
      </c>
      <c r="G41" s="7">
        <v>1</v>
      </c>
      <c r="H41" s="15" t="s">
        <v>613</v>
      </c>
      <c r="I41" s="15">
        <v>42608.297858796293</v>
      </c>
      <c r="J41" s="7">
        <v>0</v>
      </c>
      <c r="K41" s="132" t="str">
        <f t="shared" si="0"/>
        <v>4027/4028</v>
      </c>
      <c r="L41" s="24" t="str">
        <f>VLOOKUP(A41,'Trips&amp;Operators'!$C$1:$E$10000,3,FALSE)</f>
        <v>MALAVE</v>
      </c>
      <c r="M41" s="6">
        <f t="shared" si="1"/>
        <v>3.0081018514465541E-2</v>
      </c>
      <c r="N41" s="7">
        <f t="shared" si="18"/>
        <v>43.316666660830379</v>
      </c>
      <c r="O41" s="7"/>
      <c r="P41" s="7"/>
      <c r="Q41" s="25"/>
      <c r="R41" s="25"/>
      <c r="S41" s="37">
        <f t="shared" si="17"/>
        <v>1</v>
      </c>
      <c r="T41" s="52" t="str">
        <f t="shared" si="2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05:24:14-0600',mode:absolute,to:'2016-08-26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4"/>
        <v>N</v>
      </c>
      <c r="X41" s="120">
        <f t="shared" si="5"/>
        <v>1</v>
      </c>
      <c r="Y41" s="69">
        <f t="shared" si="6"/>
        <v>9.8000000000000004E-2</v>
      </c>
      <c r="Z41" s="69">
        <f t="shared" si="7"/>
        <v>23.322800000000001</v>
      </c>
      <c r="AA41" s="69">
        <f t="shared" si="8"/>
        <v>23.224800000000002</v>
      </c>
      <c r="AB41" s="66">
        <f>VLOOKUP(A41,Enforcements!$C$7:$J$21,8,0)</f>
        <v>116838</v>
      </c>
      <c r="AC41" s="62" t="str">
        <f>VLOOKUP(A41,Enforcements!$C$7:$E$21,3,0)</f>
        <v>PERMANENT SPEED RESTRICTION</v>
      </c>
      <c r="AD41" s="63" t="str">
        <f t="shared" si="9"/>
        <v>0121-26</v>
      </c>
      <c r="AE41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41" s="96" t="str">
        <f t="shared" si="11"/>
        <v>"C:\Program Files (x86)\AstroGrep\AstroGrep.exe" /spath="%USERPROFILE%\AppData\Local\Temp\OnboardLogs" /stypes="*4027*20160826*"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0" t="str">
        <f t="shared" si="15"/>
        <v>"%USERPROFILE%\Documents\GitHub\eaglep3\Utilities\RefineRTDCRunTimes.py" --tripid 121-26 --locoid 4027 --swversion DE.1.0.7.0 --startMP 204:980 --initTime 2016-08-26T06:24:14 --startdatetime 2016-08-26T06:25:36 --delay 1 --endMP 204:233228 --enddatetime 2016-08-26T07:08:55 --enforcementcount 0 &gt;&gt;C:\Users\stu\Documents\GitHub\eaglep3-reporting\EC\2016-08-26-refined-times.txt</v>
      </c>
      <c r="AI4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{"issue":{"subject":"","project_id":79,"tracker_id":40,"status_id":1,"priority_id":2,"assigned_to_id":23,"start_date":"2016-08-26","description":"","custom_fields":[{"id":1,"name":"Subdivision","value":"EC"},{"id":4,"name":"Milepost","value":"23.2248"},{"id":17,"name":"Train ID","value":"121-26"},{"id":16,"name":"Locomotive ID","value":"4027"},{"id":130,"name":"Impact","value":""},{"id":150,"name":"Time of Event (Mountain Time)","value":"07:08:55"},{"id":151,"name":"Denver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395</v>
      </c>
      <c r="B42" s="7">
        <v>4028</v>
      </c>
      <c r="C42" s="24" t="s">
        <v>113</v>
      </c>
      <c r="D42" s="24" t="s">
        <v>614</v>
      </c>
      <c r="E42" s="15">
        <v>42608.299629629626</v>
      </c>
      <c r="F42" s="15">
        <v>42608.300659722219</v>
      </c>
      <c r="G42" s="7">
        <v>1</v>
      </c>
      <c r="H42" s="15" t="s">
        <v>172</v>
      </c>
      <c r="I42" s="15">
        <v>42608.329189814816</v>
      </c>
      <c r="J42" s="7">
        <v>0</v>
      </c>
      <c r="K42" s="132" t="str">
        <f t="shared" si="0"/>
        <v>4027/4028</v>
      </c>
      <c r="L42" s="24" t="str">
        <f>VLOOKUP(A42,'Trips&amp;Operators'!$C$1:$E$10000,3,FALSE)</f>
        <v>MALAVE</v>
      </c>
      <c r="M42" s="6">
        <f t="shared" si="1"/>
        <v>2.8530092597065959E-2</v>
      </c>
      <c r="N42" s="7">
        <f t="shared" si="18"/>
        <v>41.083333339774981</v>
      </c>
      <c r="O42" s="7"/>
      <c r="P42" s="7"/>
      <c r="Q42" s="25"/>
      <c r="R42" s="25"/>
      <c r="S42" s="37">
        <f t="shared" si="17"/>
        <v>1</v>
      </c>
      <c r="T42" s="52" t="str">
        <f t="shared" si="2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06:11:28-0600',mode:absolute,to:'2016-08-26 08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4"/>
        <v>N</v>
      </c>
      <c r="X42" s="120">
        <f t="shared" si="5"/>
        <v>1</v>
      </c>
      <c r="Y42" s="69">
        <f t="shared" si="6"/>
        <v>23.290199999999999</v>
      </c>
      <c r="Z42" s="69">
        <f t="shared" si="7"/>
        <v>1.52E-2</v>
      </c>
      <c r="AA42" s="69">
        <f t="shared" si="8"/>
        <v>23.274999999999999</v>
      </c>
      <c r="AB42" s="66">
        <f>VLOOKUP(A42,Enforcements!$C$7:$J$21,8,0)</f>
        <v>224581</v>
      </c>
      <c r="AC42" s="62" t="str">
        <f>VLOOKUP(A42,Enforcements!$C$7:$E$21,3,0)</f>
        <v>PERMANENT SPEED RESTRICTION</v>
      </c>
      <c r="AD42" s="63" t="str">
        <f t="shared" si="9"/>
        <v>0122-26</v>
      </c>
      <c r="AE42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42" s="96" t="str">
        <f t="shared" si="11"/>
        <v>"C:\Program Files (x86)\AstroGrep\AstroGrep.exe" /spath="%USERPROFILE%\AppData\Local\Temp\OnboardLogs" /stypes="*4028*20160826*" /stext=" 13:.+((SYSTEM_STATE.+slice.+state.+changed )|(ment ac)|(system.+state.+changed )|(\|lc)|(penalty)|(\[timeout)|(PRM\|1\|D)|(kpr)|(kdp))" /e /r /s</v>
      </c>
      <c r="AG42" s="1" t="str">
        <f t="shared" si="12"/>
        <v>EC</v>
      </c>
      <c r="AH42" s="100" t="str">
        <f t="shared" si="15"/>
        <v>"%USERPROFILE%\Documents\GitHub\eaglep3\Utilities\RefineRTDCRunTimes.py" --tripid 122-26 --locoid 4028 --swversion DE.1.0.7.0 --startMP 204:232902 --initTime 2016-08-26T07:11:28 --startdatetime 2016-08-26T07:12:57 --delay 1 --endMP 204:152 --enddatetime 2016-08-26T07:54:02 --enforcementcount 0 &gt;&gt;C:\Users\stu\Documents\GitHub\eaglep3-reporting\EC\2016-08-26-refined-times.txt</v>
      </c>
      <c r="AI4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{"issue":{"subject":"","project_id":79,"tracker_id":40,"status_id":1,"priority_id":2,"assigned_to_id":23,"start_date":"2016-08-26","description":"","custom_fields":[{"id":1,"name":"Subdivision","value":"EC"},{"id":4,"name":"Milepost","value":"23.275"},{"id":17,"name":"Train ID","value":"122-26"},{"id":16,"name":"Locomotive ID","value":"4028"},{"id":130,"name":"Impact","value":""},{"id":150,"name":"Time of Event (Mountain Time)","value":"07:54:02"},{"id":151,"name":"Denver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383</v>
      </c>
      <c r="B43" s="7">
        <v>4014</v>
      </c>
      <c r="C43" s="24" t="s">
        <v>113</v>
      </c>
      <c r="D43" s="24" t="s">
        <v>133</v>
      </c>
      <c r="E43" s="15">
        <v>42608.269884259258</v>
      </c>
      <c r="F43" s="15">
        <v>42608.270787037036</v>
      </c>
      <c r="G43" s="7">
        <v>1</v>
      </c>
      <c r="H43" s="15" t="s">
        <v>307</v>
      </c>
      <c r="I43" s="15">
        <v>42608.300787037035</v>
      </c>
      <c r="J43" s="7">
        <v>0</v>
      </c>
      <c r="K43" s="132" t="str">
        <f t="shared" si="0"/>
        <v>4013/4014</v>
      </c>
      <c r="L43" s="24" t="str">
        <f>VLOOKUP(A43,'Trips&amp;Operators'!$C$1:$E$10000,3,FALSE)</f>
        <v>BRANNON</v>
      </c>
      <c r="M43" s="6">
        <f t="shared" si="1"/>
        <v>2.9999999998835847E-2</v>
      </c>
      <c r="N43" s="7">
        <f t="shared" si="18"/>
        <v>43.199999998323619</v>
      </c>
      <c r="O43" s="7"/>
      <c r="P43" s="7"/>
      <c r="Q43" s="25"/>
      <c r="R43" s="25"/>
      <c r="S43" s="37">
        <f t="shared" si="17"/>
        <v>1</v>
      </c>
      <c r="T43" s="52" t="str">
        <f t="shared" si="2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05:28:38-0600',mode:absolute,to:'2016-08-26 08:13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3" s="54" t="str">
        <f t="shared" si="4"/>
        <v>N</v>
      </c>
      <c r="X43" s="120">
        <f t="shared" si="5"/>
        <v>1</v>
      </c>
      <c r="Y43" s="69">
        <f t="shared" si="6"/>
        <v>4.53E-2</v>
      </c>
      <c r="Z43" s="69">
        <f t="shared" si="7"/>
        <v>23.330400000000001</v>
      </c>
      <c r="AA43" s="69">
        <f t="shared" si="8"/>
        <v>23.2851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9"/>
        <v>0123-26</v>
      </c>
      <c r="AE43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43" s="96" t="str">
        <f t="shared" si="11"/>
        <v>"C:\Program Files (x86)\AstroGrep\AstroGrep.exe" /spath="%USERPROFILE%\AppData\Local\Temp\OnboardLogs" /stypes="*4014*20160826*" /stext=" 13:.+((SYSTEM_STATE.+slice.+state.+changed )|(ment ac)|(system.+state.+changed )|(\|lc)|(penalty)|(\[timeout)|(PRM\|1\|D)|(kpr)|(kdp))" /e /r /s</v>
      </c>
      <c r="AG43" s="1" t="str">
        <f t="shared" si="12"/>
        <v>EC</v>
      </c>
      <c r="AH43" s="100" t="str">
        <f t="shared" si="15"/>
        <v>"%USERPROFILE%\Documents\GitHub\eaglep3\Utilities\RefineRTDCRunTimes.py" --tripid 123-26 --locoid 4014 --swversion DE.1.0.7.0 --startMP 204:453 --initTime 2016-08-26T06:28:38 --startdatetime 2016-08-26T06:29:56 --delay 1 --endMP 204:233304 --enddatetime 2016-08-26T07:13:08 --enforcementcount 0 &gt;&gt;C:\Users\stu\Documents\GitHub\eaglep3-reporting\EC\2016-08-26-refined-times.txt</v>
      </c>
      <c r="AI4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{"issue":{"subject":"","project_id":79,"tracker_id":40,"status_id":1,"priority_id":2,"assigned_to_id":23,"start_date":"2016-08-26","description":"","custom_fields":[{"id":1,"name":"Subdivision","value":"EC"},{"id":4,"name":"Milepost","value":"23.2851"},{"id":17,"name":"Train ID","value":"123-26"},{"id":16,"name":"Locomotive ID","value":"4014"},{"id":130,"name":"Impact","value":""},{"id":150,"name":"Time of Event (Mountain Time)","value":"07:13:08"},{"id":151,"name":"Denver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396</v>
      </c>
      <c r="B44" s="7">
        <v>4013</v>
      </c>
      <c r="C44" s="24" t="s">
        <v>113</v>
      </c>
      <c r="D44" s="24" t="s">
        <v>223</v>
      </c>
      <c r="E44" s="15">
        <v>42608.305243055554</v>
      </c>
      <c r="F44" s="15">
        <v>42608.306238425925</v>
      </c>
      <c r="G44" s="7">
        <v>1</v>
      </c>
      <c r="H44" s="15" t="s">
        <v>172</v>
      </c>
      <c r="I44" s="15">
        <v>42608.335868055554</v>
      </c>
      <c r="J44" s="7">
        <v>0</v>
      </c>
      <c r="K44" s="132" t="str">
        <f t="shared" si="0"/>
        <v>4013/4014</v>
      </c>
      <c r="L44" s="24" t="str">
        <f>VLOOKUP(A44,'Trips&amp;Operators'!$C$1:$E$10000,3,FALSE)</f>
        <v>BRANNON</v>
      </c>
      <c r="M44" s="6">
        <f t="shared" si="1"/>
        <v>2.9629629629198462E-2</v>
      </c>
      <c r="N44" s="7">
        <f t="shared" si="18"/>
        <v>42.666666666045785</v>
      </c>
      <c r="O44" s="7"/>
      <c r="P44" s="7"/>
      <c r="Q44" s="25"/>
      <c r="R44" s="25"/>
      <c r="S44" s="37">
        <f t="shared" si="17"/>
        <v>1</v>
      </c>
      <c r="T44" s="52" t="str">
        <f t="shared" si="2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3"/>
        <v>https://search-rtdc-monitor-bjffxe2xuh6vdkpspy63sjmuny.us-east-1.es.amazonaws.com/_plugin/kibana/#/discover/Steve-Slow-Train-Analysis-(2080s-and-2083s)?_g=(refreshInterval:(display:Off,section:0,value:0),time:(from:'2016-08-26 06:19:33-0600',mode:absolute,to:'2016-08-26 09:03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4" s="54" t="str">
        <f t="shared" si="4"/>
        <v>N</v>
      </c>
      <c r="X44" s="120">
        <f t="shared" si="5"/>
        <v>1</v>
      </c>
      <c r="Y44" s="69">
        <f t="shared" si="6"/>
        <v>23.2989</v>
      </c>
      <c r="Z44" s="69">
        <f t="shared" si="7"/>
        <v>1.52E-2</v>
      </c>
      <c r="AA44" s="69">
        <f t="shared" si="8"/>
        <v>23.2837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9"/>
        <v>0124-26</v>
      </c>
      <c r="AE44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44" s="96" t="str">
        <f t="shared" si="11"/>
        <v>"C:\Program Files (x86)\AstroGrep\AstroGrep.exe" /spath="%USERPROFILE%\AppData\Local\Temp\OnboardLogs" /stypes="*4013*20160826*" /stext=" 14:.+((SYSTEM_STATE.+slice.+state.+changed )|(ment ac)|(system.+state.+changed )|(\|lc)|(penalty)|(\[timeout)|(PRM\|1\|D)|(kpr)|(kdp))" /e /r /s</v>
      </c>
      <c r="AG44" s="1" t="str">
        <f t="shared" si="12"/>
        <v>EC</v>
      </c>
      <c r="AH44" s="100" t="str">
        <f t="shared" si="15"/>
        <v>"%USERPROFILE%\Documents\GitHub\eaglep3\Utilities\RefineRTDCRunTimes.py" --tripid 124-26 --locoid 4013 --swversion DE.1.0.7.0 --startMP 204:232989 --initTime 2016-08-26T07:19:33 --startdatetime 2016-08-26T07:20:59 --delay 1 --endMP 204:152 --enddatetime 2016-08-26T08:03:39 --enforcementcount 0 &gt;&gt;C:\Users\stu\Documents\GitHub\eaglep3-reporting\EC\2016-08-26-refined-times.txt</v>
      </c>
      <c r="AI4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{"issue":{"subject":"","project_id":79,"tracker_id":40,"status_id":1,"priority_id":2,"assigned_to_id":23,"start_date":"2016-08-26","description":"","custom_fields":[{"id":1,"name":"Subdivision","value":"EC"},{"id":4,"name":"Milepost","value":"23.2837"},{"id":17,"name":"Train ID","value":"124-26"},{"id":16,"name":"Locomotive ID","value":"4013"},{"id":130,"name":"Impact","value":""},{"id":150,"name":"Time of Event (Mountain Time)","value":"08:03:39"},{"id":151,"name":"Denver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388</v>
      </c>
      <c r="B45" s="7">
        <v>4031</v>
      </c>
      <c r="C45" s="24" t="s">
        <v>113</v>
      </c>
      <c r="D45" s="24" t="s">
        <v>226</v>
      </c>
      <c r="E45" s="15">
        <v>42608.280624999999</v>
      </c>
      <c r="F45" s="15">
        <v>42608.281597222223</v>
      </c>
      <c r="G45" s="7">
        <v>1</v>
      </c>
      <c r="H45" s="15" t="s">
        <v>309</v>
      </c>
      <c r="I45" s="15">
        <v>42608.308055555557</v>
      </c>
      <c r="J45" s="7">
        <v>0</v>
      </c>
      <c r="K45" s="132" t="str">
        <f t="shared" ref="K45:K76" si="19">IF(ISEVEN(B45),(B45-1)&amp;"/"&amp;B45,B45&amp;"/"&amp;(B45+1))</f>
        <v>4031/4032</v>
      </c>
      <c r="L45" s="24" t="str">
        <f>VLOOKUP(A45,'Trips&amp;Operators'!$C$1:$E$10000,3,FALSE)</f>
        <v>GEBRETEKLE</v>
      </c>
      <c r="M45" s="6">
        <f t="shared" ref="M45:M76" si="20">I45-F45</f>
        <v>2.6458333333721384E-2</v>
      </c>
      <c r="N45" s="7">
        <f t="shared" si="18"/>
        <v>38.100000000558794</v>
      </c>
      <c r="O45" s="7"/>
      <c r="P45" s="7"/>
      <c r="Q45" s="25"/>
      <c r="R45" s="25"/>
      <c r="S45" s="37">
        <f t="shared" si="17"/>
        <v>1</v>
      </c>
      <c r="T45" s="52" t="str">
        <f t="shared" ref="T45:T76" si="21">IF(ISEVEN(LEFT(AD45,4)),"Southbound","NorthBound")</f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2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https://search-rtdc-monitor-bjffxe2xuh6vdkpspy63sjmuny.us-east-1.es.amazonaws.com/_plugin/kibana/#/discover/Steve-Slow-Train-Analysis-(2080s-and-2083s)?_g=(refreshInterval:(display:Off,section:0,value:0),time:(from:'2016-08-26 05:44:06-0600',mode:absolute,to:'2016-08-26 08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5" s="54" t="str">
        <f t="shared" ref="W45:W76" si="23">IF(AA45&lt;IF(AG45="EC",23,5.65),"Y","N")</f>
        <v>N</v>
      </c>
      <c r="X45" s="120">
        <f t="shared" si="5"/>
        <v>1</v>
      </c>
      <c r="Y45" s="69">
        <f t="shared" ref="Y45:Y76" si="24">RIGHT(D45,LEN(D45)-4)/10000</f>
        <v>4.7800000000000002E-2</v>
      </c>
      <c r="Z45" s="69">
        <f t="shared" ref="Z45:Z78" si="25">RIGHT(H45,LEN(H45)-4)/10000</f>
        <v>23.328199999999999</v>
      </c>
      <c r="AA45" s="69">
        <f t="shared" ref="AA45:AA76" si="26">ABS(Z45-Y45)</f>
        <v>23.2804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ref="AD45:AD76" si="27">IF(LEN(A45)=6,"0"&amp;A45,A45)</f>
        <v>0125-26</v>
      </c>
      <c r="AE45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45" s="96" t="str">
        <f t="shared" si="11"/>
        <v>"C:\Program Files (x86)\AstroGrep\AstroGrep.exe" /spath="%USERPROFILE%\AppData\Local\Temp\OnboardLogs" /stypes="*4031*20160826*" /stext=" 13:.+((SYSTEM_STATE.+slice.+state.+changed )|(ment ac)|(system.+state.+changed )|(\|lc)|(penalty)|(\[timeout)|(PRM\|1\|D)|(kpr)|(kdp))" /e /r /s</v>
      </c>
      <c r="AG45" s="1" t="str">
        <f t="shared" ref="AG45:AG76" si="28">IFERROR(IF(VALUE(LEFT(AD45,2))&lt;=2,"EC",IF(OR(VALUE(LEFT(AD45,2))=8,VALUE(LEFT(AD45,2))=18),"NW","Other")),"Other")</f>
        <v>EC</v>
      </c>
      <c r="AH45" s="100" t="str">
        <f t="shared" si="15"/>
        <v>"%USERPROFILE%\Documents\GitHub\eaglep3\Utilities\RefineRTDCRunTimes.py" --tripid 125-26 --locoid 4031 --swversion DE.1.0.7.0 --startMP 204:478 --initTime 2016-08-26T06:44:06 --startdatetime 2016-08-26T06:45:30 --delay 1 --endMP 204:233282 --enddatetime 2016-08-26T07:23:36 --enforcementcount 0 &gt;&gt;C:\Users\stu\Documents\GitHub\eaglep3-reporting\EC\2016-08-26-refined-times.txt</v>
      </c>
      <c r="AI4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{"issue":{"subject":"","project_id":79,"tracker_id":40,"status_id":1,"priority_id":2,"assigned_to_id":23,"start_date":"2016-08-26","description":"","custom_fields":[{"id":1,"name":"Subdivision","value":"EC"},{"id":4,"name":"Milepost","value":"23.2804"},{"id":17,"name":"Train ID","value":"125-26"},{"id":16,"name":"Locomotive ID","value":"4031"},{"id":130,"name":"Impact","value":""},{"id":150,"name":"Time of Event (Mountain Time)","value":"07:23:36"},{"id":151,"name":"Denver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399</v>
      </c>
      <c r="B46" s="7">
        <v>4032</v>
      </c>
      <c r="C46" s="24" t="s">
        <v>113</v>
      </c>
      <c r="D46" s="24" t="s">
        <v>615</v>
      </c>
      <c r="E46" s="15">
        <v>42608.318159722221</v>
      </c>
      <c r="F46" s="15">
        <v>42608.319166666668</v>
      </c>
      <c r="G46" s="7">
        <v>1</v>
      </c>
      <c r="H46" s="15" t="s">
        <v>131</v>
      </c>
      <c r="I46" s="15">
        <v>42608.347881944443</v>
      </c>
      <c r="J46" s="7">
        <v>0</v>
      </c>
      <c r="K46" s="132" t="str">
        <f t="shared" si="19"/>
        <v>4031/4032</v>
      </c>
      <c r="L46" s="24" t="str">
        <f>VLOOKUP(A46,'Trips&amp;Operators'!$C$1:$E$10000,3,FALSE)</f>
        <v>GEBRETEKLE</v>
      </c>
      <c r="M46" s="6">
        <f t="shared" si="20"/>
        <v>2.8715277774608694E-2</v>
      </c>
      <c r="N46" s="7">
        <f t="shared" si="18"/>
        <v>41.349999995436519</v>
      </c>
      <c r="O46" s="7"/>
      <c r="P46" s="7"/>
      <c r="Q46" s="25"/>
      <c r="R46" s="25"/>
      <c r="S46" s="37">
        <f t="shared" si="17"/>
        <v>1</v>
      </c>
      <c r="T46" s="52" t="str">
        <f t="shared" si="21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06:38:09-0600',mode:absolute,to:'2016-08-26 09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6" s="54" t="str">
        <f t="shared" si="23"/>
        <v>N</v>
      </c>
      <c r="X46" s="120">
        <f t="shared" si="5"/>
        <v>1</v>
      </c>
      <c r="Y46" s="69">
        <f t="shared" si="24"/>
        <v>23.2971</v>
      </c>
      <c r="Z46" s="69">
        <f t="shared" si="25"/>
        <v>1.5800000000000002E-2</v>
      </c>
      <c r="AA46" s="69">
        <f t="shared" si="26"/>
        <v>23.281300000000002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27"/>
        <v>0126-26</v>
      </c>
      <c r="AE46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46" s="96" t="str">
        <f t="shared" si="11"/>
        <v>"C:\Program Files (x86)\AstroGrep\AstroGrep.exe" /spath="%USERPROFILE%\AppData\Local\Temp\OnboardLogs" /stypes="*4032*20160826*" /stext=" 14:.+((SYSTEM_STATE.+slice.+state.+changed )|(ment ac)|(system.+state.+changed )|(\|lc)|(penalty)|(\[timeout)|(PRM\|1\|D)|(kpr)|(kdp))" /e /r /s</v>
      </c>
      <c r="AG46" s="1" t="str">
        <f t="shared" si="28"/>
        <v>EC</v>
      </c>
      <c r="AH46" s="100" t="str">
        <f t="shared" si="15"/>
        <v>"%USERPROFILE%\Documents\GitHub\eaglep3\Utilities\RefineRTDCRunTimes.py" --tripid 126-26 --locoid 4032 --swversion DE.1.0.7.0 --startMP 204:232971 --initTime 2016-08-26T07:38:09 --startdatetime 2016-08-26T07:39:36 --delay 1 --endMP 204:158 --enddatetime 2016-08-26T08:20:57 --enforcementcount 0 &gt;&gt;C:\Users\stu\Documents\GitHub\eaglep3-reporting\EC\2016-08-26-refined-times.txt</v>
      </c>
      <c r="AI4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ID","value":"126-26"},{"id":16,"name":"Locomotive ID","value":"4032"},{"id":130,"name":"Impact","value":""},{"id":150,"name":"Time of Event (Mountain Time)","value":"08:20:57"},{"id":151,"name":"Denver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391</v>
      </c>
      <c r="B47" s="7">
        <v>4025</v>
      </c>
      <c r="C47" s="24" t="s">
        <v>113</v>
      </c>
      <c r="D47" s="24" t="s">
        <v>125</v>
      </c>
      <c r="E47" s="15">
        <v>42608.293043981481</v>
      </c>
      <c r="F47" s="15">
        <v>42608.293888888889</v>
      </c>
      <c r="G47" s="7">
        <v>1</v>
      </c>
      <c r="H47" s="15" t="s">
        <v>616</v>
      </c>
      <c r="I47" s="15">
        <v>42608.32271990741</v>
      </c>
      <c r="J47" s="7">
        <v>0</v>
      </c>
      <c r="K47" s="132" t="str">
        <f t="shared" si="19"/>
        <v>4025/4026</v>
      </c>
      <c r="L47" s="24" t="str">
        <f>VLOOKUP(A47,'Trips&amp;Operators'!$C$1:$E$10000,3,FALSE)</f>
        <v>SPECTOR</v>
      </c>
      <c r="M47" s="6">
        <f t="shared" si="20"/>
        <v>2.8831018520577345E-2</v>
      </c>
      <c r="N47" s="7">
        <f t="shared" si="18"/>
        <v>41.516666669631377</v>
      </c>
      <c r="O47" s="7"/>
      <c r="P47" s="7"/>
      <c r="Q47" s="25"/>
      <c r="R47" s="25"/>
      <c r="S47" s="37">
        <f t="shared" si="17"/>
        <v>1</v>
      </c>
      <c r="T47" s="52" t="str">
        <f t="shared" si="21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06:01:59-0600',mode:absolute,to:'2016-08-26 08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7" s="54" t="str">
        <f t="shared" si="23"/>
        <v>N</v>
      </c>
      <c r="X47" s="120">
        <f t="shared" si="5"/>
        <v>1</v>
      </c>
      <c r="Y47" s="69">
        <f t="shared" si="24"/>
        <v>4.5499999999999999E-2</v>
      </c>
      <c r="Z47" s="69">
        <f t="shared" si="25"/>
        <v>23.3232</v>
      </c>
      <c r="AA47" s="69">
        <f t="shared" si="26"/>
        <v>23.277699999999999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27"/>
        <v>0127-26</v>
      </c>
      <c r="AE47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47" s="96" t="str">
        <f t="shared" si="11"/>
        <v>"C:\Program Files (x86)\AstroGrep\AstroGrep.exe" /spath="%USERPROFILE%\AppData\Local\Temp\OnboardLogs" /stypes="*4025*20160826*" /stext=" 13:.+((SYSTEM_STATE.+slice.+state.+changed )|(ment ac)|(system.+state.+changed )|(\|lc)|(penalty)|(\[timeout)|(PRM\|1\|D)|(kpr)|(kdp))" /e /r /s</v>
      </c>
      <c r="AG47" s="1" t="str">
        <f t="shared" si="28"/>
        <v>EC</v>
      </c>
      <c r="AH47" s="100" t="str">
        <f t="shared" si="15"/>
        <v>"%USERPROFILE%\Documents\GitHub\eaglep3\Utilities\RefineRTDCRunTimes.py" --tripid 127-26 --locoid 4025 --swversion DE.1.0.7.0 --startMP 204:455 --initTime 2016-08-26T07:01:59 --startdatetime 2016-08-26T07:03:12 --delay 1 --endMP 204:233232 --enddatetime 2016-08-26T07:44:43 --enforcementcount 0 &gt;&gt;C:\Users\stu\Documents\GitHub\eaglep3-reporting\EC\2016-08-26-refined-times.txt</v>
      </c>
      <c r="AI4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{"issue":{"subject":"","project_id":79,"tracker_id":40,"status_id":1,"priority_id":2,"assigned_to_id":23,"start_date":"2016-08-26","description":"","custom_fields":[{"id":1,"name":"Subdivision","value":"EC"},{"id":4,"name":"Milepost","value":"23.2777"},{"id":17,"name":"Train ID","value":"127-26"},{"id":16,"name":"Locomotive ID","value":"4025"},{"id":130,"name":"Impact","value":""},{"id":150,"name":"Time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401</v>
      </c>
      <c r="B48" s="7">
        <v>4026</v>
      </c>
      <c r="C48" s="24" t="s">
        <v>113</v>
      </c>
      <c r="D48" s="24" t="s">
        <v>617</v>
      </c>
      <c r="E48" s="15">
        <v>42608.328958333332</v>
      </c>
      <c r="F48" s="15">
        <v>42608.33</v>
      </c>
      <c r="G48" s="7">
        <v>1</v>
      </c>
      <c r="H48" s="15" t="s">
        <v>207</v>
      </c>
      <c r="I48" s="15">
        <v>42608.358217592591</v>
      </c>
      <c r="J48" s="7">
        <v>0</v>
      </c>
      <c r="K48" s="132" t="str">
        <f t="shared" si="19"/>
        <v>4025/4026</v>
      </c>
      <c r="L48" s="24" t="str">
        <f>VLOOKUP(A48,'Trips&amp;Operators'!$C$1:$E$10000,3,FALSE)</f>
        <v>SPECTOR</v>
      </c>
      <c r="M48" s="6">
        <f t="shared" si="20"/>
        <v>2.8217592589498963E-2</v>
      </c>
      <c r="N48" s="7">
        <f t="shared" si="18"/>
        <v>40.633333328878507</v>
      </c>
      <c r="O48" s="7"/>
      <c r="P48" s="7"/>
      <c r="Q48" s="25"/>
      <c r="R48" s="25"/>
      <c r="S48" s="37">
        <f t="shared" si="17"/>
        <v>1</v>
      </c>
      <c r="T48" s="52" t="str">
        <f t="shared" si="21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06:53:42-0600',mode:absolute,to:'2016-08-26 09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8" s="54" t="str">
        <f t="shared" si="23"/>
        <v>N</v>
      </c>
      <c r="X48" s="120">
        <f t="shared" si="5"/>
        <v>1</v>
      </c>
      <c r="Y48" s="69">
        <f t="shared" si="24"/>
        <v>23.291699999999999</v>
      </c>
      <c r="Z48" s="69">
        <f t="shared" si="25"/>
        <v>1.3899999999999999E-2</v>
      </c>
      <c r="AA48" s="69">
        <f t="shared" si="26"/>
        <v>23.277799999999999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27"/>
        <v>0128-26</v>
      </c>
      <c r="AE48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48" s="96" t="str">
        <f t="shared" si="11"/>
        <v>"C:\Program Files (x86)\AstroGrep\AstroGrep.exe" /spath="%USERPROFILE%\AppData\Local\Temp\OnboardLogs" /stypes="*4026*20160826*" /stext=" 14:.+((SYSTEM_STATE.+slice.+state.+changed )|(ment ac)|(system.+state.+changed )|(\|lc)|(penalty)|(\[timeout)|(PRM\|1\|D)|(kpr)|(kdp))" /e /r /s</v>
      </c>
      <c r="AG48" s="1" t="str">
        <f t="shared" si="28"/>
        <v>EC</v>
      </c>
      <c r="AH48" s="100" t="str">
        <f t="shared" si="15"/>
        <v>"%USERPROFILE%\Documents\GitHub\eaglep3\Utilities\RefineRTDCRunTimes.py" --tripid 128-26 --locoid 4026 --swversion DE.1.0.7.0 --startMP 204:232917 --initTime 2016-08-26T07:53:42 --startdatetime 2016-08-26T07:55:12 --delay 1 --endMP 204:139 --enddatetime 2016-08-26T08:35:50 --enforcementcount 0 &gt;&gt;C:\Users\stu\Documents\GitHub\eaglep3-reporting\EC\2016-08-26-refined-times.txt</v>
      </c>
      <c r="AI4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{"issue":{"subject":"","project_id":79,"tracker_id":40,"status_id":1,"priority_id":2,"assigned_to_id":23,"start_date":"2016-08-26","description":"","custom_fields":[{"id":1,"name":"Subdivision","value":"EC"},{"id":4,"name":"Milepost","value":"23.2778"},{"id":17,"name":"Train ID","value":"128-26"},{"id":16,"name":"Locomotive ID","value":"4026"},{"id":130,"name":"Impact","value":""},{"id":150,"name":"Time of Event (Mountain Time)","value":"08:35:50"},{"id":151,"name":"Denver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393</v>
      </c>
      <c r="B49" s="7">
        <v>4038</v>
      </c>
      <c r="C49" s="24" t="s">
        <v>113</v>
      </c>
      <c r="D49" s="24" t="s">
        <v>133</v>
      </c>
      <c r="E49" s="15">
        <v>42608.29859953704</v>
      </c>
      <c r="F49" s="15">
        <v>42608.299745370372</v>
      </c>
      <c r="G49" s="7">
        <v>1</v>
      </c>
      <c r="H49" s="15" t="s">
        <v>179</v>
      </c>
      <c r="I49" s="15">
        <v>42608.328703703701</v>
      </c>
      <c r="J49" s="7">
        <v>0</v>
      </c>
      <c r="K49" s="132" t="str">
        <f t="shared" si="19"/>
        <v>4037/4038</v>
      </c>
      <c r="L49" s="24" t="str">
        <f>VLOOKUP(A49,'Trips&amp;Operators'!$C$1:$E$10000,3,FALSE)</f>
        <v>MAELZER</v>
      </c>
      <c r="M49" s="6">
        <f t="shared" si="20"/>
        <v>2.8958333328773733E-2</v>
      </c>
      <c r="N49" s="7">
        <f t="shared" si="18"/>
        <v>41.699999993434176</v>
      </c>
      <c r="O49" s="7"/>
      <c r="P49" s="7"/>
      <c r="Q49" s="25"/>
      <c r="R49" s="25"/>
      <c r="S49" s="37">
        <f t="shared" si="17"/>
        <v>1</v>
      </c>
      <c r="T49" s="52" t="str">
        <f t="shared" si="21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06:09:59-0600',mode:absolute,to:'2016-08-26 08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9" s="54" t="str">
        <f t="shared" si="23"/>
        <v>N</v>
      </c>
      <c r="X49" s="120">
        <f t="shared" ref="X49:X55" si="29">VALUE(LEFT(AD49,4))-VALUE(LEFT(AD48,4))</f>
        <v>1</v>
      </c>
      <c r="Y49" s="69">
        <f t="shared" si="24"/>
        <v>4.53E-2</v>
      </c>
      <c r="Z49" s="69">
        <f t="shared" si="25"/>
        <v>23.331399999999999</v>
      </c>
      <c r="AA49" s="69">
        <f t="shared" si="26"/>
        <v>23.286099999999998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27"/>
        <v>0129-26</v>
      </c>
      <c r="AE49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49" s="96" t="str">
        <f t="shared" si="11"/>
        <v>"C:\Program Files (x86)\AstroGrep\AstroGrep.exe" /spath="%USERPROFILE%\AppData\Local\Temp\OnboardLogs" /stypes="*4038*20160826*" /stext=" 13:.+((SYSTEM_STATE.+slice.+state.+changed )|(ment ac)|(system.+state.+changed )|(\|lc)|(penalty)|(\[timeout)|(PRM\|1\|D)|(kpr)|(kdp))" /e /r /s</v>
      </c>
      <c r="AG49" s="1" t="str">
        <f t="shared" si="28"/>
        <v>EC</v>
      </c>
      <c r="AH49" s="100" t="str">
        <f t="shared" si="15"/>
        <v>"%USERPROFILE%\Documents\GitHub\eaglep3\Utilities\RefineRTDCRunTimes.py" --tripid 129-26 --locoid 4038 --swversion DE.1.0.7.0 --startMP 204:453 --initTime 2016-08-26T07:09:59 --startdatetime 2016-08-26T07:11:38 --delay 1 --endMP 204:233314 --enddatetime 2016-08-26T07:53:20 --enforcementcount 0 &gt;&gt;C:\Users\stu\Documents\GitHub\eaglep3-reporting\EC\2016-08-26-refined-times.txt</v>
      </c>
      <c r="AI4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ID","value":"129-26"},{"id":16,"name":"Locomotive ID","value":"4038"},{"id":130,"name":"Impact","value":""},{"id":150,"name":"Time of Event (Mountain Time)","value":"07:53:20"},{"id":151,"name":"Denver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403</v>
      </c>
      <c r="B50" s="7">
        <v>4037</v>
      </c>
      <c r="C50" s="24" t="s">
        <v>113</v>
      </c>
      <c r="D50" s="24" t="s">
        <v>618</v>
      </c>
      <c r="E50" s="15">
        <v>42608.335914351854</v>
      </c>
      <c r="F50" s="15">
        <v>42608.336851851855</v>
      </c>
      <c r="G50" s="7">
        <v>1</v>
      </c>
      <c r="H50" s="15" t="s">
        <v>210</v>
      </c>
      <c r="I50" s="15">
        <v>42608.369317129633</v>
      </c>
      <c r="J50" s="7">
        <v>0</v>
      </c>
      <c r="K50" s="132" t="str">
        <f t="shared" si="19"/>
        <v>4037/4038</v>
      </c>
      <c r="L50" s="24" t="str">
        <f>VLOOKUP(A50,'Trips&amp;Operators'!$C$1:$E$10000,3,FALSE)</f>
        <v>MAELZER</v>
      </c>
      <c r="M50" s="6">
        <f t="shared" si="20"/>
        <v>3.2465277778101154E-2</v>
      </c>
      <c r="N50" s="7">
        <f t="shared" si="18"/>
        <v>46.750000000465661</v>
      </c>
      <c r="O50" s="7"/>
      <c r="P50" s="7"/>
      <c r="Q50" s="25"/>
      <c r="R50" s="25"/>
      <c r="S50" s="37">
        <f t="shared" si="17"/>
        <v>1</v>
      </c>
      <c r="T50" s="52" t="str">
        <f t="shared" si="21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07:03:43-0600',mode:absolute,to:'2016-08-26 09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0" s="54" t="str">
        <f t="shared" si="23"/>
        <v>N</v>
      </c>
      <c r="X50" s="120">
        <f t="shared" si="29"/>
        <v>1</v>
      </c>
      <c r="Y50" s="69">
        <f t="shared" si="24"/>
        <v>23.298400000000001</v>
      </c>
      <c r="Z50" s="69">
        <f t="shared" si="25"/>
        <v>1.61E-2</v>
      </c>
      <c r="AA50" s="69">
        <f t="shared" si="26"/>
        <v>23.282299999999999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27"/>
        <v>0130-26</v>
      </c>
      <c r="AE50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50" s="96" t="str">
        <f t="shared" si="11"/>
        <v>"C:\Program Files (x86)\AstroGrep\AstroGrep.exe" /spath="%USERPROFILE%\AppData\Local\Temp\OnboardLogs" /stypes="*4037*20160826*" /stext=" 14:.+((SYSTEM_STATE.+slice.+state.+changed )|(ment ac)|(system.+state.+changed )|(\|lc)|(penalty)|(\[timeout)|(PRM\|1\|D)|(kpr)|(kdp))" /e /r /s</v>
      </c>
      <c r="AG50" s="1" t="str">
        <f t="shared" si="28"/>
        <v>EC</v>
      </c>
      <c r="AH50" s="100" t="str">
        <f t="shared" si="15"/>
        <v>"%USERPROFILE%\Documents\GitHub\eaglep3\Utilities\RefineRTDCRunTimes.py" --tripid 130-26 --locoid 4037 --swversion DE.1.0.7.0 --startMP 204:232984 --initTime 2016-08-26T08:03:43 --startdatetime 2016-08-26T08:05:04 --delay 1 --endMP 204:161 --enddatetime 2016-08-26T08:51:49 --enforcementcount 0 &gt;&gt;C:\Users\stu\Documents\GitHub\eaglep3-reporting\EC\2016-08-26-refined-times.txt</v>
      </c>
      <c r="AI5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{"issue":{"subject":"","project_id":79,"tracker_id":40,"status_id":1,"priority_id":2,"assigned_to_id":23,"start_date":"2016-08-26","description":"","custom_fields":[{"id":1,"name":"Subdivision","value":"EC"},{"id":4,"name":"Milepost","value":"23.2823"},{"id":17,"name":"Train ID","value":"130-26"},{"id":16,"name":"Locomotive ID","value":"4037"},{"id":130,"name":"Impact","value":""},{"id":150,"name":"Time of Event (Mountain Time)","value":"08:51:49"},{"id":151,"name":"Denver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398</v>
      </c>
      <c r="B51" s="7">
        <v>4002</v>
      </c>
      <c r="C51" s="24" t="s">
        <v>113</v>
      </c>
      <c r="D51" s="24" t="s">
        <v>619</v>
      </c>
      <c r="E51" s="15">
        <v>42608.311099537037</v>
      </c>
      <c r="F51" s="15">
        <v>42608.3122337963</v>
      </c>
      <c r="G51" s="7">
        <v>1</v>
      </c>
      <c r="H51" s="15" t="s">
        <v>312</v>
      </c>
      <c r="I51" s="15">
        <v>42608.338541666664</v>
      </c>
      <c r="J51" s="7">
        <v>0</v>
      </c>
      <c r="K51" s="132" t="str">
        <f t="shared" si="19"/>
        <v>4001/4002</v>
      </c>
      <c r="L51" s="24" t="str">
        <f>VLOOKUP(A51,'Trips&amp;Operators'!$C$1:$E$10000,3,FALSE)</f>
        <v>SMITH</v>
      </c>
      <c r="M51" s="6">
        <f t="shared" si="20"/>
        <v>2.6307870364689734E-2</v>
      </c>
      <c r="N51" s="7">
        <f t="shared" si="18"/>
        <v>37.883333325153217</v>
      </c>
      <c r="O51" s="7"/>
      <c r="P51" s="7"/>
      <c r="Q51" s="25"/>
      <c r="R51" s="25"/>
      <c r="S51" s="37">
        <f t="shared" si="17"/>
        <v>1</v>
      </c>
      <c r="T51" s="52" t="str">
        <f t="shared" si="21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06:27:59-0600',mode:absolute,to:'2016-08-26 09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1" s="54" t="str">
        <f t="shared" si="23"/>
        <v>N</v>
      </c>
      <c r="X51" s="120">
        <f t="shared" si="29"/>
        <v>1</v>
      </c>
      <c r="Y51" s="69">
        <f t="shared" si="24"/>
        <v>4.58E-2</v>
      </c>
      <c r="Z51" s="69">
        <f t="shared" si="25"/>
        <v>23.305900000000001</v>
      </c>
      <c r="AA51" s="69">
        <f t="shared" si="26"/>
        <v>23.260100000000001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27"/>
        <v>0131-26</v>
      </c>
      <c r="AE51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51" s="96" t="str">
        <f t="shared" si="11"/>
        <v>"C:\Program Files (x86)\AstroGrep\AstroGrep.exe" /spath="%USERPROFILE%\AppData\Local\Temp\OnboardLogs" /stypes="*4002*20160826*" /stext=" 14:.+((SYSTEM_STATE.+slice.+state.+changed )|(ment ac)|(system.+state.+changed )|(\|lc)|(penalty)|(\[timeout)|(PRM\|1\|D)|(kpr)|(kdp))" /e /r /s</v>
      </c>
      <c r="AG51" s="1" t="str">
        <f t="shared" si="28"/>
        <v>EC</v>
      </c>
      <c r="AH51" s="100" t="str">
        <f t="shared" si="15"/>
        <v>"%USERPROFILE%\Documents\GitHub\eaglep3\Utilities\RefineRTDCRunTimes.py" --tripid 131-26 --locoid 4002 --swversion DE.1.0.7.0 --startMP 204:458 --initTime 2016-08-26T07:27:59 --startdatetime 2016-08-26T07:29:37 --delay 1 --endMP 204:233059 --enddatetime 2016-08-26T08:07:30 --enforcementcount 0 &gt;&gt;C:\Users\stu\Documents\GitHub\eaglep3-reporting\EC\2016-08-26-refined-times.txt</v>
      </c>
      <c r="AI5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{"issue":{"subject":"","project_id":79,"tracker_id":40,"status_id":1,"priority_id":2,"assigned_to_id":23,"start_date":"2016-08-26","description":"","custom_fields":[{"id":1,"name":"Subdivision","value":"EC"},{"id":4,"name":"Milepost","value":"23.2601"},{"id":17,"name":"Train ID","value":"131-26"},{"id":16,"name":"Locomotive ID","value":"4002"},{"id":130,"name":"Impact","value":""},{"id":150,"name":"Time of Event (Mountain Time)","value":"08:07:30"},{"id":151,"name":"Denver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406</v>
      </c>
      <c r="B52" s="7">
        <v>4001</v>
      </c>
      <c r="C52" s="24" t="s">
        <v>113</v>
      </c>
      <c r="D52" s="24" t="s">
        <v>310</v>
      </c>
      <c r="E52" s="15">
        <v>42608.342430555553</v>
      </c>
      <c r="F52" s="15">
        <v>42608.343680555554</v>
      </c>
      <c r="G52" s="7">
        <v>1</v>
      </c>
      <c r="H52" s="15" t="s">
        <v>221</v>
      </c>
      <c r="I52" s="15">
        <v>42608.381655092591</v>
      </c>
      <c r="J52" s="7">
        <v>0</v>
      </c>
      <c r="K52" s="132" t="str">
        <f t="shared" si="19"/>
        <v>4001/4002</v>
      </c>
      <c r="L52" s="24" t="str">
        <f>VLOOKUP(A52,'Trips&amp;Operators'!$C$1:$E$10000,3,FALSE)</f>
        <v>SMITH</v>
      </c>
      <c r="M52" s="6">
        <f t="shared" si="20"/>
        <v>3.7974537037371192E-2</v>
      </c>
      <c r="N52" s="7">
        <f t="shared" si="18"/>
        <v>54.683333333814517</v>
      </c>
      <c r="O52" s="7"/>
      <c r="P52" s="7"/>
      <c r="Q52" s="25"/>
      <c r="R52" s="25"/>
      <c r="S52" s="37">
        <f t="shared" si="17"/>
        <v>1</v>
      </c>
      <c r="T52" s="52" t="str">
        <f t="shared" si="21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07:13:06-0600',mode:absolute,to:'2016-08-26 10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2" s="54" t="str">
        <f t="shared" si="23"/>
        <v>N</v>
      </c>
      <c r="X52" s="120">
        <f t="shared" si="29"/>
        <v>1</v>
      </c>
      <c r="Y52" s="69">
        <f t="shared" si="24"/>
        <v>23.296800000000001</v>
      </c>
      <c r="Z52" s="69">
        <f t="shared" si="25"/>
        <v>1.34E-2</v>
      </c>
      <c r="AA52" s="69">
        <f t="shared" si="26"/>
        <v>23.2834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27"/>
        <v>0132-26</v>
      </c>
      <c r="AE52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52" s="96" t="str">
        <f t="shared" si="11"/>
        <v>"C:\Program Files (x86)\AstroGrep\AstroGrep.exe" /spath="%USERPROFILE%\AppData\Local\Temp\OnboardLogs" /stypes="*4001*20160826*" /stext=" 15:.+((SYSTEM_STATE.+slice.+state.+changed )|(ment ac)|(system.+state.+changed )|(\|lc)|(penalty)|(\[timeout)|(PRM\|1\|D)|(kpr)|(kdp))" /e /r /s</v>
      </c>
      <c r="AG52" s="1" t="str">
        <f t="shared" si="28"/>
        <v>EC</v>
      </c>
      <c r="AH52" s="100" t="str">
        <f t="shared" si="15"/>
        <v>"%USERPROFILE%\Documents\GitHub\eaglep3\Utilities\RefineRTDCRunTimes.py" --tripid 132-26 --locoid 4001 --swversion DE.1.0.7.0 --startMP 204:232968 --initTime 2016-08-26T08:13:06 --startdatetime 2016-08-26T08:14:54 --delay 1 --endMP 204:134 --enddatetime 2016-08-26T09:09:35 --enforcementcount 0 &gt;&gt;C:\Users\stu\Documents\GitHub\eaglep3-reporting\EC\2016-08-26-refined-times.txt</v>
      </c>
      <c r="AI5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ID","value":"132-26"},{"id":16,"name":"Locomotive ID","value":"4001"},{"id":130,"name":"Impact","value":""},{"id":150,"name":"Time of Event (Mountain Time)","value":"09:09:35"},{"id":151,"name":"Denver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397</v>
      </c>
      <c r="B53" s="7">
        <v>4040</v>
      </c>
      <c r="C53" s="24" t="s">
        <v>113</v>
      </c>
      <c r="D53" s="24" t="s">
        <v>125</v>
      </c>
      <c r="E53" s="15">
        <v>42608.309675925928</v>
      </c>
      <c r="F53" s="15">
        <v>42608.31145833333</v>
      </c>
      <c r="G53" s="7">
        <v>2</v>
      </c>
      <c r="H53" s="15" t="s">
        <v>283</v>
      </c>
      <c r="I53" s="15">
        <v>42608.348726851851</v>
      </c>
      <c r="J53" s="7">
        <v>0</v>
      </c>
      <c r="K53" s="132" t="str">
        <f t="shared" si="19"/>
        <v>4039/4040</v>
      </c>
      <c r="L53" s="24" t="str">
        <f>VLOOKUP(A53,'Trips&amp;Operators'!$C$1:$E$10000,3,FALSE)</f>
        <v>DAVIS</v>
      </c>
      <c r="M53" s="6">
        <f t="shared" si="20"/>
        <v>3.7268518521159422E-2</v>
      </c>
      <c r="N53" s="7">
        <f t="shared" si="18"/>
        <v>53.666666670469567</v>
      </c>
      <c r="O53" s="7"/>
      <c r="P53" s="7"/>
      <c r="Q53" s="25"/>
      <c r="R53" s="25"/>
      <c r="S53" s="37">
        <f t="shared" si="17"/>
        <v>1</v>
      </c>
      <c r="T53" s="52" t="str">
        <f t="shared" si="21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06:25:56-0600',mode:absolute,to:'2016-08-26 09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53" s="54" t="str">
        <f t="shared" si="23"/>
        <v>N</v>
      </c>
      <c r="X53" s="120">
        <f t="shared" si="29"/>
        <v>1</v>
      </c>
      <c r="Y53" s="69">
        <f t="shared" si="24"/>
        <v>4.5499999999999999E-2</v>
      </c>
      <c r="Z53" s="69">
        <f t="shared" si="25"/>
        <v>23.328900000000001</v>
      </c>
      <c r="AA53" s="69">
        <f t="shared" si="26"/>
        <v>23.2834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27"/>
        <v>0133-26</v>
      </c>
      <c r="AE53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53" s="96" t="str">
        <f t="shared" si="11"/>
        <v>"C:\Program Files (x86)\AstroGrep\AstroGrep.exe" /spath="%USERPROFILE%\AppData\Local\Temp\OnboardLogs" /stypes="*4040*20160826*" /stext=" 14:.+((SYSTEM_STATE.+slice.+state.+changed )|(ment ac)|(system.+state.+changed )|(\|lc)|(penalty)|(\[timeout)|(PRM\|1\|D)|(kpr)|(kdp))" /e /r /s</v>
      </c>
      <c r="AG53" s="1" t="str">
        <f t="shared" si="28"/>
        <v>EC</v>
      </c>
      <c r="AH53" s="100" t="str">
        <f t="shared" si="15"/>
        <v>"%USERPROFILE%\Documents\GitHub\eaglep3\Utilities\RefineRTDCRunTimes.py" --tripid 133-26 --locoid 4040 --swversion DE.1.0.7.0 --startMP 204:455 --initTime 2016-08-26T07:25:56 --startdatetime 2016-08-26T07:28:30 --delay 2 --endMP 204:233289 --enddatetime 2016-08-26T08:22:10 --enforcementcount 0 &gt;&gt;C:\Users\stu\Documents\GitHub\eaglep3-reporting\EC\2016-08-26-refined-times.txt</v>
      </c>
      <c r="AI5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ID","value":"133-26"},{"id":16,"name":"Locomotive ID","value":"4040"},{"id":130,"name":"Impact","value":""},{"id":150,"name":"Time of Event (Mountain Time)","value":"08:22:10"},{"id":151,"name":"Denver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410</v>
      </c>
      <c r="B54" s="7">
        <v>4039</v>
      </c>
      <c r="C54" s="24" t="s">
        <v>113</v>
      </c>
      <c r="D54" s="24" t="s">
        <v>192</v>
      </c>
      <c r="E54" s="15">
        <v>42608.356342592589</v>
      </c>
      <c r="F54" s="15">
        <v>42608.357245370367</v>
      </c>
      <c r="G54" s="7">
        <v>1</v>
      </c>
      <c r="H54" s="15" t="s">
        <v>89</v>
      </c>
      <c r="I54" s="15">
        <v>42608.388993055552</v>
      </c>
      <c r="J54" s="7">
        <v>0</v>
      </c>
      <c r="K54" s="132" t="str">
        <f t="shared" si="19"/>
        <v>4039/4040</v>
      </c>
      <c r="L54" s="24" t="str">
        <f>VLOOKUP(A54,'Trips&amp;Operators'!$C$1:$E$10000,3,FALSE)</f>
        <v>DAVIS</v>
      </c>
      <c r="M54" s="6">
        <f t="shared" si="20"/>
        <v>3.1747685185109731E-2</v>
      </c>
      <c r="N54" s="7">
        <f t="shared" si="18"/>
        <v>45.716666666558012</v>
      </c>
      <c r="O54" s="7"/>
      <c r="P54" s="7"/>
      <c r="Q54" s="25"/>
      <c r="R54" s="25"/>
      <c r="S54" s="37">
        <f t="shared" si="17"/>
        <v>1</v>
      </c>
      <c r="T54" s="52" t="str">
        <f t="shared" si="21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07:33:08-0600',mode:absolute,to:'2016-08-26 10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54" s="54" t="str">
        <f t="shared" si="23"/>
        <v>N</v>
      </c>
      <c r="X54" s="120">
        <f t="shared" si="29"/>
        <v>1</v>
      </c>
      <c r="Y54" s="69">
        <f t="shared" si="24"/>
        <v>23.297499999999999</v>
      </c>
      <c r="Z54" s="69">
        <f t="shared" si="25"/>
        <v>1.43E-2</v>
      </c>
      <c r="AA54" s="69">
        <f t="shared" si="26"/>
        <v>23.283200000000001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27"/>
        <v>0134-26</v>
      </c>
      <c r="AE54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54" s="96" t="str">
        <f t="shared" si="11"/>
        <v>"C:\Program Files (x86)\AstroGrep\AstroGrep.exe" /spath="%USERPROFILE%\AppData\Local\Temp\OnboardLogs" /stypes="*4039*20160826*" /stext=" 15:.+((SYSTEM_STATE.+slice.+state.+changed )|(ment ac)|(system.+state.+changed )|(\|lc)|(penalty)|(\[timeout)|(PRM\|1\|D)|(kpr)|(kdp))" /e /r /s</v>
      </c>
      <c r="AG54" s="1" t="str">
        <f t="shared" si="28"/>
        <v>EC</v>
      </c>
      <c r="AH54" s="100" t="str">
        <f t="shared" si="15"/>
        <v>"%USERPROFILE%\Documents\GitHub\eaglep3\Utilities\RefineRTDCRunTimes.py" --tripid 134-26 --locoid 4039 --swversion DE.1.0.7.0 --startMP 204:232975 --initTime 2016-08-26T08:33:08 --startdatetime 2016-08-26T08:34:26 --delay 1 --endMP 204:143 --enddatetime 2016-08-26T09:20:09 --enforcementcount 0 &gt;&gt;C:\Users\stu\Documents\GitHub\eaglep3-reporting\EC\2016-08-26-refined-times.txt</v>
      </c>
      <c r="AI5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ID","value":"134-26"},{"id":16,"name":"Locomotive ID","value":"4039"},{"id":130,"name":"Impact","value":""},{"id":150,"name":"Time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402</v>
      </c>
      <c r="B55" s="7">
        <v>4027</v>
      </c>
      <c r="C55" s="24" t="s">
        <v>113</v>
      </c>
      <c r="D55" s="24" t="s">
        <v>154</v>
      </c>
      <c r="E55" s="15">
        <v>42608.333067129628</v>
      </c>
      <c r="F55" s="15">
        <v>42608.334050925929</v>
      </c>
      <c r="G55" s="7">
        <v>1</v>
      </c>
      <c r="H55" s="15" t="s">
        <v>620</v>
      </c>
      <c r="I55" s="15">
        <v>42608.361678240741</v>
      </c>
      <c r="J55" s="7">
        <v>0</v>
      </c>
      <c r="K55" s="132" t="str">
        <f t="shared" si="19"/>
        <v>4027/4028</v>
      </c>
      <c r="L55" s="24" t="str">
        <f>VLOOKUP(A55,'Trips&amp;Operators'!$C$1:$E$10000,3,FALSE)</f>
        <v>MALAVE</v>
      </c>
      <c r="M55" s="6">
        <f t="shared" si="20"/>
        <v>2.7627314811979886E-2</v>
      </c>
      <c r="N55" s="7">
        <f t="shared" si="18"/>
        <v>39.783333329251036</v>
      </c>
      <c r="O55" s="7"/>
      <c r="P55" s="7"/>
      <c r="Q55" s="25"/>
      <c r="R55" s="25"/>
      <c r="S55" s="37">
        <f t="shared" si="17"/>
        <v>1</v>
      </c>
      <c r="T55" s="52" t="str">
        <f t="shared" si="21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06:59:37-0600',mode:absolute,to:'2016-08-26 09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5" s="54" t="str">
        <f t="shared" si="23"/>
        <v>N</v>
      </c>
      <c r="X55" s="120">
        <f t="shared" si="29"/>
        <v>1</v>
      </c>
      <c r="Y55" s="69">
        <f t="shared" si="24"/>
        <v>4.5100000000000001E-2</v>
      </c>
      <c r="Z55" s="69">
        <f t="shared" si="25"/>
        <v>23.328099999999999</v>
      </c>
      <c r="AA55" s="69">
        <f t="shared" si="26"/>
        <v>23.282999999999998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27"/>
        <v>0135-26</v>
      </c>
      <c r="AE55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55" s="96" t="str">
        <f t="shared" si="11"/>
        <v>"C:\Program Files (x86)\AstroGrep\AstroGrep.exe" /spath="%USERPROFILE%\AppData\Local\Temp\OnboardLogs" /stypes="*4027*20160826*" /stext=" 14:.+((SYSTEM_STATE.+slice.+state.+changed )|(ment ac)|(system.+state.+changed )|(\|lc)|(penalty)|(\[timeout)|(PRM\|1\|D)|(kpr)|(kdp))" /e /r /s</v>
      </c>
      <c r="AG55" s="1" t="str">
        <f t="shared" si="28"/>
        <v>EC</v>
      </c>
      <c r="AH55" s="100" t="str">
        <f t="shared" si="15"/>
        <v>"%USERPROFILE%\Documents\GitHub\eaglep3\Utilities\RefineRTDCRunTimes.py" --tripid 135-26 --locoid 4027 --swversion DE.1.0.7.0 --startMP 204:451 --initTime 2016-08-26T07:59:37 --startdatetime 2016-08-26T08:01:02 --delay 1 --endMP 204:233281 --enddatetime 2016-08-26T08:40:49 --enforcementcount 0 &gt;&gt;C:\Users\stu\Documents\GitHub\eaglep3-reporting\EC\2016-08-26-refined-times.txt</v>
      </c>
      <c r="AI5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{"issue":{"subject":"","project_id":79,"tracker_id":40,"status_id":1,"priority_id":2,"assigned_to_id":23,"start_date":"2016-08-26","description":"","custom_fields":[{"id":1,"name":"Subdivision","value":"EC"},{"id":4,"name":"Milepost","value":"23.283"},{"id":17,"name":"Train ID","value":"135-26"},{"id":16,"name":"Locomotive ID","value":"4027"},{"id":130,"name":"Impact","value":""},{"id":150,"name":"Time of Event (Mountain Time)","value":"08:40:49"},{"id":151,"name":"Denver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413</v>
      </c>
      <c r="B56" s="7">
        <v>4028</v>
      </c>
      <c r="C56" s="24" t="s">
        <v>113</v>
      </c>
      <c r="D56" s="24" t="s">
        <v>621</v>
      </c>
      <c r="E56" s="15">
        <v>42608.366712962961</v>
      </c>
      <c r="F56" s="15">
        <v>42608.367766203701</v>
      </c>
      <c r="G56" s="7">
        <v>1</v>
      </c>
      <c r="H56" s="15" t="s">
        <v>622</v>
      </c>
      <c r="I56" s="15">
        <v>42608.399467592593</v>
      </c>
      <c r="J56" s="7">
        <v>0</v>
      </c>
      <c r="K56" s="132" t="str">
        <f t="shared" si="19"/>
        <v>4027/4028</v>
      </c>
      <c r="L56" s="24" t="str">
        <f>VLOOKUP(A56,'Trips&amp;Operators'!$C$1:$E$10000,3,FALSE)</f>
        <v>MALAVE</v>
      </c>
      <c r="M56" s="6">
        <f t="shared" si="20"/>
        <v>3.1701388892543036E-2</v>
      </c>
      <c r="N56" s="7">
        <f t="shared" si="18"/>
        <v>45.650000005261973</v>
      </c>
      <c r="O56" s="7"/>
      <c r="P56" s="7"/>
      <c r="Q56" s="25"/>
      <c r="R56" s="25"/>
      <c r="S56" s="37">
        <f t="shared" si="17"/>
        <v>1</v>
      </c>
      <c r="T56" s="52" t="str">
        <f t="shared" si="21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07:48:04-0600',mode:absolute,to:'2016-08-26 10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23"/>
        <v>N</v>
      </c>
      <c r="X56" s="120">
        <f t="shared" ref="X56:X87" si="30">VALUE(LEFT(AD56,4))-VALUE(LEFT(AD55,4))</f>
        <v>1</v>
      </c>
      <c r="Y56" s="69">
        <f t="shared" si="24"/>
        <v>23.297000000000001</v>
      </c>
      <c r="Z56" s="69">
        <f t="shared" si="25"/>
        <v>1.8100000000000002E-2</v>
      </c>
      <c r="AA56" s="69">
        <f t="shared" si="26"/>
        <v>23.2789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27"/>
        <v>0136-26</v>
      </c>
      <c r="AE56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56" s="96" t="str">
        <f t="shared" si="11"/>
        <v>"C:\Program Files (x86)\AstroGrep\AstroGrep.exe" /spath="%USERPROFILE%\AppData\Local\Temp\OnboardLogs" /stypes="*4028*20160826*" /stext=" 15:.+((SYSTEM_STATE.+slice.+state.+changed )|(ment ac)|(system.+state.+changed )|(\|lc)|(penalty)|(\[timeout)|(PRM\|1\|D)|(kpr)|(kdp))" /e /r /s</v>
      </c>
      <c r="AG56" s="1" t="str">
        <f t="shared" si="28"/>
        <v>EC</v>
      </c>
      <c r="AH56" s="100" t="str">
        <f t="shared" si="15"/>
        <v>"%USERPROFILE%\Documents\GitHub\eaglep3\Utilities\RefineRTDCRunTimes.py" --tripid 136-26 --locoid 4028 --swversion DE.1.0.7.0 --startMP 204:232970 --initTime 2016-08-26T08:48:04 --startdatetime 2016-08-26T08:49:35 --delay 1 --endMP 204:181 --enddatetime 2016-08-26T09:35:14 --enforcementcount 0 &gt;&gt;C:\Users\stu\Documents\GitHub\eaglep3-reporting\EC\2016-08-26-refined-times.txt</v>
      </c>
      <c r="AI5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{"issue":{"subject":"","project_id":79,"tracker_id":40,"status_id":1,"priority_id":2,"assigned_to_id":23,"start_date":"2016-08-26","description":"","custom_fields":[{"id":1,"name":"Subdivision","value":"EC"},{"id":4,"name":"Milepost","value":"23.2789"},{"id":17,"name":"Train ID","value":"136-26"},{"id":16,"name":"Locomotive ID","value":"4028"},{"id":130,"name":"Impact","value":""},{"id":150,"name":"Time of Event (Mountain Time)","value":"09:35:14"},{"id":151,"name":"Denver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404</v>
      </c>
      <c r="B57" s="7">
        <v>4014</v>
      </c>
      <c r="C57" s="24" t="s">
        <v>113</v>
      </c>
      <c r="D57" s="24" t="s">
        <v>225</v>
      </c>
      <c r="E57" s="15">
        <v>42608.337013888886</v>
      </c>
      <c r="F57" s="15">
        <v>42608.337754629632</v>
      </c>
      <c r="G57" s="7">
        <v>1</v>
      </c>
      <c r="H57" s="15" t="s">
        <v>191</v>
      </c>
      <c r="I57" s="15">
        <v>42608.368946759256</v>
      </c>
      <c r="J57" s="7">
        <v>0</v>
      </c>
      <c r="K57" s="132" t="str">
        <f t="shared" si="19"/>
        <v>4013/4014</v>
      </c>
      <c r="L57" s="24" t="str">
        <f>VLOOKUP(A57,'Trips&amp;Operators'!$C$1:$E$10000,3,FALSE)</f>
        <v>BRANNON</v>
      </c>
      <c r="M57" s="6">
        <f t="shared" si="20"/>
        <v>3.1192129623377696E-2</v>
      </c>
      <c r="N57" s="7">
        <f t="shared" si="18"/>
        <v>44.916666657663882</v>
      </c>
      <c r="O57" s="7"/>
      <c r="P57" s="7"/>
      <c r="Q57" s="25"/>
      <c r="R57" s="25"/>
      <c r="S57" s="37">
        <f t="shared" si="17"/>
        <v>1</v>
      </c>
      <c r="T57" s="52" t="str">
        <f t="shared" si="21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07:05:18-0600',mode:absolute,to:'2016-08-26 09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7" s="54" t="str">
        <f t="shared" si="23"/>
        <v>N</v>
      </c>
      <c r="X57" s="120">
        <f t="shared" si="30"/>
        <v>1</v>
      </c>
      <c r="Y57" s="69">
        <f t="shared" si="24"/>
        <v>4.4200000000000003E-2</v>
      </c>
      <c r="Z57" s="69">
        <f t="shared" si="25"/>
        <v>23.3293</v>
      </c>
      <c r="AA57" s="69">
        <f t="shared" si="26"/>
        <v>23.2851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27"/>
        <v>0137-26</v>
      </c>
      <c r="AE57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57" s="96" t="str">
        <f t="shared" si="11"/>
        <v>"C:\Program Files (x86)\AstroGrep\AstroGrep.exe" /spath="%USERPROFILE%\AppData\Local\Temp\OnboardLogs" /stypes="*4014*20160826*" /stext=" 14:.+((SYSTEM_STATE.+slice.+state.+changed )|(ment ac)|(system.+state.+changed )|(\|lc)|(penalty)|(\[timeout)|(PRM\|1\|D)|(kpr)|(kdp))" /e /r /s</v>
      </c>
      <c r="AG57" s="1" t="str">
        <f t="shared" si="28"/>
        <v>EC</v>
      </c>
      <c r="AH57" s="100" t="str">
        <f t="shared" si="15"/>
        <v>"%USERPROFILE%\Documents\GitHub\eaglep3\Utilities\RefineRTDCRunTimes.py" --tripid 137-26 --locoid 4014 --swversion DE.1.0.7.0 --startMP 204:442 --initTime 2016-08-26T08:05:18 --startdatetime 2016-08-26T08:06:22 --delay 1 --endMP 204:233293 --enddatetime 2016-08-26T08:51:17 --enforcementcount 0 &gt;&gt;C:\Users\stu\Documents\GitHub\eaglep3-reporting\EC\2016-08-26-refined-times.txt</v>
      </c>
      <c r="AI5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{"issue":{"subject":"","project_id":79,"tracker_id":40,"status_id":1,"priority_id":2,"assigned_to_id":23,"start_date":"2016-08-26","description":"","custom_fields":[{"id":1,"name":"Subdivision","value":"EC"},{"id":4,"name":"Milepost","value":"23.2851"},{"id":17,"name":"Train ID","value":"137-26"},{"id":16,"name":"Locomotive ID","value":"4014"},{"id":130,"name":"Impact","value":""},{"id":150,"name":"Time of Event (Mountain Time)","value":"08:51:17"},{"id":151,"name":"Denver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415</v>
      </c>
      <c r="B58" s="7">
        <v>4013</v>
      </c>
      <c r="C58" s="24" t="s">
        <v>113</v>
      </c>
      <c r="D58" s="24" t="s">
        <v>286</v>
      </c>
      <c r="E58" s="15">
        <v>42608.378657407404</v>
      </c>
      <c r="F58" s="15">
        <v>42608.379652777781</v>
      </c>
      <c r="G58" s="7">
        <v>1</v>
      </c>
      <c r="H58" s="15" t="s">
        <v>185</v>
      </c>
      <c r="I58" s="15">
        <v>42608.409988425927</v>
      </c>
      <c r="J58" s="7">
        <v>0</v>
      </c>
      <c r="K58" s="132" t="str">
        <f t="shared" si="19"/>
        <v>4013/4014</v>
      </c>
      <c r="L58" s="24" t="str">
        <f>VLOOKUP(A58,'Trips&amp;Operators'!$C$1:$E$10000,3,FALSE)</f>
        <v>BRANNON</v>
      </c>
      <c r="M58" s="6">
        <f t="shared" si="20"/>
        <v>3.0335648145410232E-2</v>
      </c>
      <c r="N58" s="7">
        <f t="shared" si="18"/>
        <v>43.683333329390734</v>
      </c>
      <c r="O58" s="7"/>
      <c r="P58" s="7"/>
      <c r="Q58" s="25"/>
      <c r="R58" s="25"/>
      <c r="S58" s="37">
        <f t="shared" si="17"/>
        <v>1</v>
      </c>
      <c r="T58" s="52" t="str">
        <f t="shared" si="21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08:05:16-0600',mode:absolute,to:'2016-08-26 10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8" s="54" t="str">
        <f t="shared" si="23"/>
        <v>N</v>
      </c>
      <c r="X58" s="120">
        <f t="shared" si="30"/>
        <v>1</v>
      </c>
      <c r="Y58" s="69">
        <f t="shared" si="24"/>
        <v>23.297699999999999</v>
      </c>
      <c r="Z58" s="69">
        <f t="shared" si="25"/>
        <v>1.4500000000000001E-2</v>
      </c>
      <c r="AA58" s="69">
        <f t="shared" si="26"/>
        <v>23.283199999999997</v>
      </c>
      <c r="AB58" s="66">
        <f>VLOOKUP(A58,Enforcements!$C$7:$J$21,8,0)</f>
        <v>191723</v>
      </c>
      <c r="AC58" s="62" t="str">
        <f>VLOOKUP(A58,Enforcements!$C$7:$E$21,3,0)</f>
        <v>SIGNAL</v>
      </c>
      <c r="AD58" s="63" t="str">
        <f t="shared" si="27"/>
        <v>0138-26</v>
      </c>
      <c r="AE58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58" s="96" t="str">
        <f t="shared" si="11"/>
        <v>"C:\Program Files (x86)\AstroGrep\AstroGrep.exe" /spath="%USERPROFILE%\AppData\Local\Temp\OnboardLogs" /stypes="*4013*20160826*" /stext=" 15:.+((SYSTEM_STATE.+slice.+state.+changed )|(ment ac)|(system.+state.+changed )|(\|lc)|(penalty)|(\[timeout)|(PRM\|1\|D)|(kpr)|(kdp))" /e /r /s</v>
      </c>
      <c r="AG58" s="1" t="str">
        <f t="shared" si="28"/>
        <v>EC</v>
      </c>
      <c r="AH58" s="100" t="str">
        <f t="shared" si="15"/>
        <v>"%USERPROFILE%\Documents\GitHub\eaglep3\Utilities\RefineRTDCRunTimes.py" --tripid 138-26 --locoid 4013 --swversion DE.1.0.7.0 --startMP 204:232977 --initTime 2016-08-26T09:05:16 --startdatetime 2016-08-26T09:06:42 --delay 1 --endMP 204:145 --enddatetime 2016-08-26T09:50:23 --enforcementcount 0 &gt;&gt;C:\Users\stu\Documents\GitHub\eaglep3-reporting\EC\2016-08-26-refined-times.txt</v>
      </c>
      <c r="AI5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ID","value":"138-26"},{"id":16,"name":"Locomotive ID","value":"4013"},{"id":130,"name":"Impact","value":""},{"id":150,"name":"Time of Event (Mountain Time)","value":"09:50:23"},{"id":151,"name":"Denver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408</v>
      </c>
      <c r="B59" s="7">
        <v>4031</v>
      </c>
      <c r="C59" s="24" t="s">
        <v>113</v>
      </c>
      <c r="D59" s="24" t="s">
        <v>109</v>
      </c>
      <c r="E59" s="15">
        <v>42608.350925925923</v>
      </c>
      <c r="F59" s="15">
        <v>42608.3518287037</v>
      </c>
      <c r="G59" s="7">
        <v>1</v>
      </c>
      <c r="H59" s="15" t="s">
        <v>623</v>
      </c>
      <c r="I59" s="15">
        <v>42608.379965277774</v>
      </c>
      <c r="J59" s="7">
        <v>0</v>
      </c>
      <c r="K59" s="132" t="str">
        <f t="shared" si="19"/>
        <v>4031/4032</v>
      </c>
      <c r="L59" s="24" t="str">
        <f>VLOOKUP(A59,'Trips&amp;Operators'!$C$1:$E$10000,3,FALSE)</f>
        <v>GEBRETEKLE</v>
      </c>
      <c r="M59" s="6">
        <f t="shared" si="20"/>
        <v>2.8136574073869269E-2</v>
      </c>
      <c r="N59" s="7">
        <f t="shared" si="18"/>
        <v>40.516666666371748</v>
      </c>
      <c r="O59" s="7"/>
      <c r="P59" s="7"/>
      <c r="Q59" s="25"/>
      <c r="R59" s="25"/>
      <c r="S59" s="37">
        <f t="shared" si="17"/>
        <v>1</v>
      </c>
      <c r="T59" s="52" t="str">
        <f t="shared" si="21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07:25:20-0600',mode:absolute,to:'2016-08-26 10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9" s="54" t="str">
        <f t="shared" si="23"/>
        <v>N</v>
      </c>
      <c r="X59" s="120">
        <f t="shared" si="30"/>
        <v>1</v>
      </c>
      <c r="Y59" s="69">
        <f t="shared" si="24"/>
        <v>4.6199999999999998E-2</v>
      </c>
      <c r="Z59" s="69">
        <f t="shared" si="25"/>
        <v>23.331900000000001</v>
      </c>
      <c r="AA59" s="69">
        <f t="shared" si="26"/>
        <v>23.285700000000002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27"/>
        <v>0139-26</v>
      </c>
      <c r="AE59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59" s="96" t="str">
        <f t="shared" si="11"/>
        <v>"C:\Program Files (x86)\AstroGrep\AstroGrep.exe" /spath="%USERPROFILE%\AppData\Local\Temp\OnboardLogs" /stypes="*4031*20160826*" /stext=" 15:.+((SYSTEM_STATE.+slice.+state.+changed )|(ment ac)|(system.+state.+changed )|(\|lc)|(penalty)|(\[timeout)|(PRM\|1\|D)|(kpr)|(kdp))" /e /r /s</v>
      </c>
      <c r="AG59" s="1" t="str">
        <f t="shared" si="28"/>
        <v>EC</v>
      </c>
      <c r="AH59" s="100" t="str">
        <f t="shared" si="15"/>
        <v>"%USERPROFILE%\Documents\GitHub\eaglep3\Utilities\RefineRTDCRunTimes.py" --tripid 139-26 --locoid 4031 --swversion DE.1.0.7.0 --startMP 204:462 --initTime 2016-08-26T08:25:20 --startdatetime 2016-08-26T08:26:38 --delay 1 --endMP 204:233319 --enddatetime 2016-08-26T09:07:09 --enforcementcount 0 &gt;&gt;C:\Users\stu\Documents\GitHub\eaglep3-reporting\EC\2016-08-26-refined-times.txt</v>
      </c>
      <c r="AI5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ID","value":"139-26"},{"id":16,"name":"Locomotive ID","value":"4031"},{"id":130,"name":"Impact","value":""},{"id":150,"name":"Time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418</v>
      </c>
      <c r="B60" s="7">
        <v>4032</v>
      </c>
      <c r="C60" s="24" t="s">
        <v>113</v>
      </c>
      <c r="D60" s="24" t="s">
        <v>134</v>
      </c>
      <c r="E60" s="15">
        <v>42608.388842592591</v>
      </c>
      <c r="F60" s="15">
        <v>42608.38989583333</v>
      </c>
      <c r="G60" s="7">
        <v>1</v>
      </c>
      <c r="H60" s="15" t="s">
        <v>221</v>
      </c>
      <c r="I60" s="15">
        <v>42608.420277777775</v>
      </c>
      <c r="J60" s="7">
        <v>0</v>
      </c>
      <c r="K60" s="132" t="str">
        <f t="shared" si="19"/>
        <v>4031/4032</v>
      </c>
      <c r="L60" s="24" t="str">
        <f>VLOOKUP(A60,'Trips&amp;Operators'!$C$1:$E$10000,3,FALSE)</f>
        <v>GEBRETEKLE</v>
      </c>
      <c r="M60" s="6">
        <f t="shared" si="20"/>
        <v>3.0381944445252884E-2</v>
      </c>
      <c r="N60" s="7">
        <f t="shared" si="18"/>
        <v>43.750000001164153</v>
      </c>
      <c r="O60" s="7"/>
      <c r="P60" s="7"/>
      <c r="Q60" s="25"/>
      <c r="R60" s="25"/>
      <c r="S60" s="37">
        <f t="shared" si="17"/>
        <v>1</v>
      </c>
      <c r="T60" s="52" t="str">
        <f t="shared" si="21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08:19:56-0600',mode:absolute,to:'2016-08-26 11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0" s="54" t="str">
        <f t="shared" si="23"/>
        <v>N</v>
      </c>
      <c r="X60" s="120">
        <f t="shared" si="30"/>
        <v>1</v>
      </c>
      <c r="Y60" s="69">
        <f t="shared" si="24"/>
        <v>23.299399999999999</v>
      </c>
      <c r="Z60" s="69">
        <f t="shared" si="25"/>
        <v>1.34E-2</v>
      </c>
      <c r="AA60" s="69">
        <f t="shared" si="26"/>
        <v>23.285999999999998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27"/>
        <v>0140-26</v>
      </c>
      <c r="AE60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60" s="96" t="str">
        <f t="shared" si="11"/>
        <v>"C:\Program Files (x86)\AstroGrep\AstroGrep.exe" /spath="%USERPROFILE%\AppData\Local\Temp\OnboardLogs" /stypes="*4032*20160826*" /stext=" 16:.+((SYSTEM_STATE.+slice.+state.+changed )|(ment ac)|(system.+state.+changed )|(\|lc)|(penalty)|(\[timeout)|(PRM\|1\|D)|(kpr)|(kdp))" /e /r /s</v>
      </c>
      <c r="AG60" s="1" t="str">
        <f t="shared" si="28"/>
        <v>EC</v>
      </c>
      <c r="AH60" s="100" t="str">
        <f t="shared" si="15"/>
        <v>"%USERPROFILE%\Documents\GitHub\eaglep3\Utilities\RefineRTDCRunTimes.py" --tripid 140-26 --locoid 4032 --swversion DE.1.0.7.0 --startMP 204:232994 --initTime 2016-08-26T09:19:56 --startdatetime 2016-08-26T09:21:27 --delay 1 --endMP 204:134 --enddatetime 2016-08-26T10:05:12 --enforcementcount 0 &gt;&gt;C:\Users\stu\Documents\GitHub\eaglep3-reporting\EC\2016-08-26-refined-times.txt</v>
      </c>
      <c r="AI6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ID","value":"140-26"},{"id":16,"name":"Locomotive ID","value":"4032"},{"id":130,"name":"Impact","value":""},{"id":150,"name":"Time of Event (Mountain Time)","value":"10:05:12"},{"id":151,"name":"Denver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411</v>
      </c>
      <c r="B61" s="7">
        <v>4025</v>
      </c>
      <c r="C61" s="24" t="s">
        <v>113</v>
      </c>
      <c r="D61" s="24" t="s">
        <v>135</v>
      </c>
      <c r="E61" s="15">
        <v>42608.360474537039</v>
      </c>
      <c r="F61" s="15">
        <v>42608.361481481479</v>
      </c>
      <c r="G61" s="7">
        <v>1</v>
      </c>
      <c r="H61" s="15" t="s">
        <v>301</v>
      </c>
      <c r="I61" s="15">
        <v>42608.390497685185</v>
      </c>
      <c r="J61" s="7">
        <v>0</v>
      </c>
      <c r="K61" s="132" t="str">
        <f t="shared" si="19"/>
        <v>4025/4026</v>
      </c>
      <c r="L61" s="24" t="str">
        <f>VLOOKUP(A61,'Trips&amp;Operators'!$C$1:$E$10000,3,FALSE)</f>
        <v>SPECTOR</v>
      </c>
      <c r="M61" s="6">
        <f t="shared" si="20"/>
        <v>2.9016203705396038E-2</v>
      </c>
      <c r="N61" s="7">
        <f t="shared" si="18"/>
        <v>41.783333335770294</v>
      </c>
      <c r="O61" s="7"/>
      <c r="P61" s="7"/>
      <c r="Q61" s="25"/>
      <c r="R61" s="25"/>
      <c r="S61" s="37">
        <f t="shared" si="17"/>
        <v>1</v>
      </c>
      <c r="T61" s="52" t="str">
        <f t="shared" si="21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07:39:05-0600',mode:absolute,to:'2016-08-26 10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1" s="54" t="str">
        <f t="shared" si="23"/>
        <v>N</v>
      </c>
      <c r="X61" s="120">
        <f t="shared" si="30"/>
        <v>1</v>
      </c>
      <c r="Y61" s="69">
        <f t="shared" si="24"/>
        <v>4.4900000000000002E-2</v>
      </c>
      <c r="Z61" s="69">
        <f t="shared" si="25"/>
        <v>23.327400000000001</v>
      </c>
      <c r="AA61" s="69">
        <f t="shared" si="26"/>
        <v>23.282500000000002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27"/>
        <v>0141-26</v>
      </c>
      <c r="AE61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61" s="96" t="str">
        <f t="shared" si="11"/>
        <v>"C:\Program Files (x86)\AstroGrep\AstroGrep.exe" /spath="%USERPROFILE%\AppData\Local\Temp\OnboardLogs" /stypes="*4025*20160826*" /stext=" 15:.+((SYSTEM_STATE.+slice.+state.+changed )|(ment ac)|(system.+state.+changed )|(\|lc)|(penalty)|(\[timeout)|(PRM\|1\|D)|(kpr)|(kdp))" /e /r /s</v>
      </c>
      <c r="AG61" s="1" t="str">
        <f t="shared" si="28"/>
        <v>EC</v>
      </c>
      <c r="AH61" s="100" t="str">
        <f t="shared" si="15"/>
        <v>"%USERPROFILE%\Documents\GitHub\eaglep3\Utilities\RefineRTDCRunTimes.py" --tripid 141-26 --locoid 4025 --swversion DE.1.0.7.0 --startMP 204:449 --initTime 2016-08-26T08:39:05 --startdatetime 2016-08-26T08:40:32 --delay 1 --endMP 204:233274 --enddatetime 2016-08-26T09:22:19 --enforcementcount 0 &gt;&gt;C:\Users\stu\Documents\GitHub\eaglep3-reporting\EC\2016-08-26-refined-times.txt</v>
      </c>
      <c r="AI6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ID","value":"141-26"},{"id":16,"name":"Locomotive ID","value":"4025"},{"id":130,"name":"Impact","value":""},{"id":150,"name":"Time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420</v>
      </c>
      <c r="B62" s="7">
        <v>4026</v>
      </c>
      <c r="C62" s="24" t="s">
        <v>113</v>
      </c>
      <c r="D62" s="24" t="s">
        <v>624</v>
      </c>
      <c r="E62" s="15">
        <v>42608.401678240742</v>
      </c>
      <c r="F62" s="15">
        <v>42608.402638888889</v>
      </c>
      <c r="G62" s="7">
        <v>1</v>
      </c>
      <c r="H62" s="15" t="s">
        <v>132</v>
      </c>
      <c r="I62" s="15">
        <v>42608.431122685186</v>
      </c>
      <c r="J62" s="7">
        <v>0</v>
      </c>
      <c r="K62" s="132" t="str">
        <f t="shared" si="19"/>
        <v>4025/4026</v>
      </c>
      <c r="L62" s="24" t="str">
        <f>VLOOKUP(A62,'Trips&amp;Operators'!$C$1:$E$10000,3,FALSE)</f>
        <v>SPECTOR</v>
      </c>
      <c r="M62" s="6">
        <f t="shared" si="20"/>
        <v>2.8483796297223307E-2</v>
      </c>
      <c r="N62" s="7">
        <f t="shared" si="18"/>
        <v>41.016666668001562</v>
      </c>
      <c r="O62" s="7"/>
      <c r="P62" s="7"/>
      <c r="Q62" s="25"/>
      <c r="R62" s="25"/>
      <c r="S62" s="37">
        <f t="shared" si="17"/>
        <v>1</v>
      </c>
      <c r="T62" s="52" t="str">
        <f t="shared" si="21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08:38:25-0600',mode:absolute,to:'2016-08-26 11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2" s="54" t="str">
        <f t="shared" si="23"/>
        <v>N</v>
      </c>
      <c r="X62" s="120">
        <f t="shared" si="30"/>
        <v>1</v>
      </c>
      <c r="Y62" s="69">
        <f t="shared" si="24"/>
        <v>23.296500000000002</v>
      </c>
      <c r="Z62" s="69">
        <f t="shared" si="25"/>
        <v>1.47E-2</v>
      </c>
      <c r="AA62" s="69">
        <f t="shared" si="26"/>
        <v>23.2818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27"/>
        <v>0142-26</v>
      </c>
      <c r="AE62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62" s="96" t="str">
        <f t="shared" si="11"/>
        <v>"C:\Program Files (x86)\AstroGrep\AstroGrep.exe" /spath="%USERPROFILE%\AppData\Local\Temp\OnboardLogs" /stypes="*4026*20160826*" /stext=" 16:.+((SYSTEM_STATE.+slice.+state.+changed )|(ment ac)|(system.+state.+changed )|(\|lc)|(penalty)|(\[timeout)|(PRM\|1\|D)|(kpr)|(kdp))" /e /r /s</v>
      </c>
      <c r="AG62" s="1" t="str">
        <f t="shared" si="28"/>
        <v>EC</v>
      </c>
      <c r="AH62" s="100" t="str">
        <f t="shared" si="15"/>
        <v>"%USERPROFILE%\Documents\GitHub\eaglep3\Utilities\RefineRTDCRunTimes.py" --tripid 142-26 --locoid 4026 --swversion DE.1.0.7.0 --startMP 204:232965 --initTime 2016-08-26T09:38:25 --startdatetime 2016-08-26T09:39:48 --delay 1 --endMP 204:147 --enddatetime 2016-08-26T10:20:49 --enforcementcount 0 &gt;&gt;C:\Users\stu\Documents\GitHub\eaglep3-reporting\EC\2016-08-26-refined-times.txt</v>
      </c>
      <c r="AI6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{"issue":{"subject":"","project_id":79,"tracker_id":40,"status_id":1,"priority_id":2,"assigned_to_id":23,"start_date":"2016-08-26","description":"","custom_fields":[{"id":1,"name":"Subdivision","value":"EC"},{"id":4,"name":"Milepost","value":"23.2818"},{"id":17,"name":"Train ID","value":"142-26"},{"id":16,"name":"Locomotive ID","value":"4026"},{"id":130,"name":"Impact","value":""},{"id":150,"name":"Time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414</v>
      </c>
      <c r="B63" s="7">
        <v>4038</v>
      </c>
      <c r="C63" s="24" t="s">
        <v>113</v>
      </c>
      <c r="D63" s="24" t="s">
        <v>625</v>
      </c>
      <c r="E63" s="15">
        <v>42608.372314814813</v>
      </c>
      <c r="F63" s="15">
        <v>42608.373310185183</v>
      </c>
      <c r="G63" s="7">
        <v>1</v>
      </c>
      <c r="H63" s="15" t="s">
        <v>300</v>
      </c>
      <c r="I63" s="15">
        <v>42608.400381944448</v>
      </c>
      <c r="J63" s="7">
        <v>0</v>
      </c>
      <c r="K63" s="132" t="str">
        <f t="shared" si="19"/>
        <v>4037/4038</v>
      </c>
      <c r="L63" s="24" t="str">
        <f>VLOOKUP(A63,'Trips&amp;Operators'!$C$1:$E$10000,3,FALSE)</f>
        <v>MAELZER</v>
      </c>
      <c r="M63" s="6">
        <f t="shared" si="20"/>
        <v>2.7071759264799766E-2</v>
      </c>
      <c r="N63" s="7">
        <f t="shared" si="18"/>
        <v>38.983333341311663</v>
      </c>
      <c r="O63" s="7"/>
      <c r="P63" s="7"/>
      <c r="Q63" s="25"/>
      <c r="R63" s="25"/>
      <c r="S63" s="37">
        <f t="shared" si="17"/>
        <v>1</v>
      </c>
      <c r="T63" s="52" t="str">
        <f t="shared" si="21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07:56:08-0600',mode:absolute,to:'2016-08-26 10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3" s="54" t="str">
        <f t="shared" si="23"/>
        <v>N</v>
      </c>
      <c r="X63" s="120">
        <f t="shared" si="30"/>
        <v>1</v>
      </c>
      <c r="Y63" s="69">
        <f t="shared" si="24"/>
        <v>4.8599999999999997E-2</v>
      </c>
      <c r="Z63" s="69">
        <f t="shared" si="25"/>
        <v>23.330200000000001</v>
      </c>
      <c r="AA63" s="69">
        <f t="shared" si="26"/>
        <v>23.281600000000001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27"/>
        <v>0143-26</v>
      </c>
      <c r="AE63" s="99" t="str">
        <f t="shared" si="10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63" s="96" t="str">
        <f t="shared" si="11"/>
        <v>"C:\Program Files (x86)\AstroGrep\AstroGrep.exe" /spath="%USERPROFILE%\AppData\Local\Temp\OnboardLogs" /stypes="*4038*20160826*" /stext=" 15:.+((SYSTEM_STATE.+slice.+state.+changed )|(ment ac)|(system.+state.+changed )|(\|lc)|(penalty)|(\[timeout)|(PRM\|1\|D)|(kpr)|(kdp))" /e /r /s</v>
      </c>
      <c r="AG63" s="1" t="str">
        <f t="shared" si="28"/>
        <v>EC</v>
      </c>
      <c r="AH63" s="100" t="str">
        <f t="shared" si="15"/>
        <v>"%USERPROFILE%\Documents\GitHub\eaglep3\Utilities\RefineRTDCRunTimes.py" --tripid 143-26 --locoid 4038 --swversion DE.1.0.7.0 --startMP 204:486 --initTime 2016-08-26T08:56:08 --startdatetime 2016-08-26T08:57:34 --delay 1 --endMP 204:233302 --enddatetime 2016-08-26T09:36:33 --enforcementcount 0 &gt;&gt;C:\Users\stu\Documents\GitHub\eaglep3-reporting\EC\2016-08-26-refined-times.txt</v>
      </c>
      <c r="AI6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{"issue":{"subject":"","project_id":79,"tracker_id":40,"status_id":1,"priority_id":2,"assigned_to_id":23,"start_date":"2016-08-26","description":"","custom_fields":[{"id":1,"name":"Subdivision","value":"EC"},{"id":4,"name":"Milepost","value":"23.2816"},{"id":17,"name":"Train ID","value":"143-26"},{"id":16,"name":"Locomotive ID","value":"4038"},{"id":130,"name":"Impact","value":""},{"id":150,"name":"Time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423</v>
      </c>
      <c r="B64" s="7">
        <v>4037</v>
      </c>
      <c r="C64" s="24" t="s">
        <v>113</v>
      </c>
      <c r="D64" s="24" t="s">
        <v>218</v>
      </c>
      <c r="E64" s="15">
        <v>42608.407916666663</v>
      </c>
      <c r="F64" s="15">
        <v>42608.408680555556</v>
      </c>
      <c r="G64" s="7">
        <v>1</v>
      </c>
      <c r="H64" s="15" t="s">
        <v>291</v>
      </c>
      <c r="I64" s="15">
        <v>42608.440439814818</v>
      </c>
      <c r="J64" s="7">
        <v>0</v>
      </c>
      <c r="K64" s="132" t="str">
        <f t="shared" si="19"/>
        <v>4037/4038</v>
      </c>
      <c r="L64" s="24" t="str">
        <f>VLOOKUP(A64,'Trips&amp;Operators'!$C$1:$E$10000,3,FALSE)</f>
        <v>MAELZER</v>
      </c>
      <c r="M64" s="6">
        <f t="shared" si="20"/>
        <v>3.1759259261889383E-2</v>
      </c>
      <c r="N64" s="7">
        <f t="shared" si="18"/>
        <v>45.733333337120712</v>
      </c>
      <c r="O64" s="7"/>
      <c r="P64" s="7"/>
      <c r="Q64" s="25"/>
      <c r="R64" s="25"/>
      <c r="S64" s="37">
        <f t="shared" si="17"/>
        <v>1</v>
      </c>
      <c r="T64" s="52" t="str">
        <f t="shared" si="21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08:47:24-0600',mode:absolute,to:'2016-08-26 11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4" s="54" t="str">
        <f t="shared" si="23"/>
        <v>N</v>
      </c>
      <c r="X64" s="120">
        <f t="shared" si="30"/>
        <v>1</v>
      </c>
      <c r="Y64" s="69">
        <f t="shared" si="24"/>
        <v>23.3002</v>
      </c>
      <c r="Z64" s="69">
        <f t="shared" si="25"/>
        <v>1.7000000000000001E-2</v>
      </c>
      <c r="AA64" s="69">
        <f t="shared" si="26"/>
        <v>23.283200000000001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27"/>
        <v>0144-26</v>
      </c>
      <c r="AE64" s="99" t="str">
        <f t="shared" si="10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64" s="96" t="str">
        <f t="shared" si="11"/>
        <v>"C:\Program Files (x86)\AstroGrep\AstroGrep.exe" /spath="%USERPROFILE%\AppData\Local\Temp\OnboardLogs" /stypes="*4037*20160826*" /stext=" 16:.+((SYSTEM_STATE.+slice.+state.+changed )|(ment ac)|(system.+state.+changed )|(\|lc)|(penalty)|(\[timeout)|(PRM\|1\|D)|(kpr)|(kdp))" /e /r /s</v>
      </c>
      <c r="AG64" s="1" t="str">
        <f t="shared" si="28"/>
        <v>EC</v>
      </c>
      <c r="AH64" s="100" t="str">
        <f t="shared" si="15"/>
        <v>"%USERPROFILE%\Documents\GitHub\eaglep3\Utilities\RefineRTDCRunTimes.py" --tripid 144-26 --locoid 4037 --swversion DE.1.0.7.0 --startMP 204:233002 --initTime 2016-08-26T09:47:24 --startdatetime 2016-08-26T09:48:30 --delay 1 --endMP 204:170 --enddatetime 2016-08-26T10:34:14 --enforcementcount 0 &gt;&gt;C:\Users\stu\Documents\GitHub\eaglep3-reporting\EC\2016-08-26-refined-times.txt</v>
      </c>
      <c r="AI6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{"issue":{"subject":"","project_id":79,"tracker_id":40,"status_id":1,"priority_id":2,"assigned_to_id":23,"start_date":"2016-08-26","description":"","custom_fields":[{"id":1,"name":"Subdivision","value":"EC"},{"id":4,"name":"Milepost","value":"23.2832"},{"id":17,"name":"Train ID","value":"144-26"},{"id":16,"name":"Locomotive ID","value":"4037"},{"id":130,"name":"Impact","value":""},{"id":150,"name":"Time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416</v>
      </c>
      <c r="B65" s="7">
        <v>4002</v>
      </c>
      <c r="C65" s="24" t="s">
        <v>113</v>
      </c>
      <c r="D65" s="24" t="s">
        <v>154</v>
      </c>
      <c r="E65" s="15">
        <v>42608.383912037039</v>
      </c>
      <c r="F65" s="15">
        <v>42608.385000000002</v>
      </c>
      <c r="G65" s="7">
        <v>1</v>
      </c>
      <c r="H65" s="15" t="s">
        <v>626</v>
      </c>
      <c r="I65" s="15">
        <v>42608.411874999998</v>
      </c>
      <c r="J65" s="7">
        <v>0</v>
      </c>
      <c r="K65" s="132" t="str">
        <f t="shared" si="19"/>
        <v>4001/4002</v>
      </c>
      <c r="L65" s="24" t="str">
        <f>VLOOKUP(A65,'Trips&amp;Operators'!$C$1:$E$10000,3,FALSE)</f>
        <v>SMITH</v>
      </c>
      <c r="M65" s="6">
        <f t="shared" si="20"/>
        <v>2.6874999995925464E-2</v>
      </c>
      <c r="N65" s="7">
        <f t="shared" si="18"/>
        <v>38.699999994132668</v>
      </c>
      <c r="O65" s="7"/>
      <c r="P65" s="7"/>
      <c r="Q65" s="25"/>
      <c r="R65" s="25"/>
      <c r="S65" s="37">
        <f t="shared" si="17"/>
        <v>1</v>
      </c>
      <c r="T65" s="52" t="str">
        <f t="shared" si="21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08:12:50-0600',mode:absolute,to:'2016-08-26 10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5" s="54" t="str">
        <f t="shared" si="23"/>
        <v>N</v>
      </c>
      <c r="X65" s="120">
        <f t="shared" si="30"/>
        <v>1</v>
      </c>
      <c r="Y65" s="69">
        <f t="shared" si="24"/>
        <v>4.5100000000000001E-2</v>
      </c>
      <c r="Z65" s="69">
        <f t="shared" si="25"/>
        <v>23.3309</v>
      </c>
      <c r="AA65" s="69">
        <f t="shared" si="26"/>
        <v>23.285799999999998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27"/>
        <v>0145-26</v>
      </c>
      <c r="AE65" s="99" t="str">
        <f t="shared" si="10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65" s="96" t="str">
        <f t="shared" si="11"/>
        <v>"C:\Program Files (x86)\AstroGrep\AstroGrep.exe" /spath="%USERPROFILE%\AppData\Local\Temp\OnboardLogs" /stypes="*4002*20160826*" /stext=" 15:.+((SYSTEM_STATE.+slice.+state.+changed )|(ment ac)|(system.+state.+changed )|(\|lc)|(penalty)|(\[timeout)|(PRM\|1\|D)|(kpr)|(kdp))" /e /r /s</v>
      </c>
      <c r="AG65" s="1" t="str">
        <f t="shared" si="28"/>
        <v>EC</v>
      </c>
      <c r="AH65" s="100" t="str">
        <f t="shared" si="15"/>
        <v>"%USERPROFILE%\Documents\GitHub\eaglep3\Utilities\RefineRTDCRunTimes.py" --tripid 145-26 --locoid 4002 --swversion DE.1.0.7.0 --startMP 204:451 --initTime 2016-08-26T09:12:50 --startdatetime 2016-08-26T09:14:24 --delay 1 --endMP 204:233309 --enddatetime 2016-08-26T09:53:06 --enforcementcount 0 &gt;&gt;C:\Users\stu\Documents\GitHub\eaglep3-reporting\EC\2016-08-26-refined-times.txt</v>
      </c>
      <c r="AI6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{"issue":{"subject":"","project_id":79,"tracker_id":40,"status_id":1,"priority_id":2,"assigned_to_id":23,"start_date":"2016-08-26","description":"","custom_fields":[{"id":1,"name":"Subdivision","value":"EC"},{"id":4,"name":"Milepost","value":"23.2858"},{"id":17,"name":"Train ID","value":"145-26"},{"id":16,"name":"Locomotive ID","value":"4002"},{"id":130,"name":"Impact","value":""},{"id":150,"name":"Time of Event (Mountain Time)","value":"09:53:06"},{"id":151,"name":"Denver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425</v>
      </c>
      <c r="B66" s="7">
        <v>4001</v>
      </c>
      <c r="C66" s="24" t="s">
        <v>113</v>
      </c>
      <c r="D66" s="24" t="s">
        <v>198</v>
      </c>
      <c r="E66" s="15">
        <v>42608.418055555558</v>
      </c>
      <c r="F66" s="15">
        <v>42608.41920138889</v>
      </c>
      <c r="G66" s="7">
        <v>1</v>
      </c>
      <c r="H66" s="15" t="s">
        <v>185</v>
      </c>
      <c r="I66" s="15">
        <v>42608.452627314815</v>
      </c>
      <c r="J66" s="7">
        <v>0</v>
      </c>
      <c r="K66" s="132" t="str">
        <f t="shared" si="19"/>
        <v>4001/4002</v>
      </c>
      <c r="L66" s="24" t="str">
        <f>VLOOKUP(A66,'Trips&amp;Operators'!$C$1:$E$10000,3,FALSE)</f>
        <v>SMITH</v>
      </c>
      <c r="M66" s="6">
        <f t="shared" si="20"/>
        <v>3.3425925925257616E-2</v>
      </c>
      <c r="N66" s="7">
        <f t="shared" si="18"/>
        <v>48.133333332370967</v>
      </c>
      <c r="O66" s="7"/>
      <c r="P66" s="7"/>
      <c r="Q66" s="25"/>
      <c r="R66" s="25"/>
      <c r="S66" s="37">
        <f t="shared" si="17"/>
        <v>1</v>
      </c>
      <c r="T66" s="52" t="str">
        <f t="shared" si="21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09:02:00-0600',mode:absolute,to:'2016-08-26 11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6" s="54" t="str">
        <f t="shared" si="23"/>
        <v>N</v>
      </c>
      <c r="X66" s="120">
        <f t="shared" si="30"/>
        <v>1</v>
      </c>
      <c r="Y66" s="69">
        <f t="shared" si="24"/>
        <v>23.299199999999999</v>
      </c>
      <c r="Z66" s="69">
        <f t="shared" si="25"/>
        <v>1.4500000000000001E-2</v>
      </c>
      <c r="AA66" s="69">
        <f t="shared" si="26"/>
        <v>23.284699999999997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27"/>
        <v>0146-26</v>
      </c>
      <c r="AE66" s="99" t="str">
        <f t="shared" si="10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66" s="96" t="str">
        <f t="shared" si="11"/>
        <v>"C:\Program Files (x86)\AstroGrep\AstroGrep.exe" /spath="%USERPROFILE%\AppData\Local\Temp\OnboardLogs" /stypes="*4001*20160826*" /stext=" 16:.+((SYSTEM_STATE.+slice.+state.+changed )|(ment ac)|(system.+state.+changed )|(\|lc)|(penalty)|(\[timeout)|(PRM\|1\|D)|(kpr)|(kdp))" /e /r /s</v>
      </c>
      <c r="AG66" s="1" t="str">
        <f t="shared" si="28"/>
        <v>EC</v>
      </c>
      <c r="AH66" s="100" t="str">
        <f t="shared" si="15"/>
        <v>"%USERPROFILE%\Documents\GitHub\eaglep3\Utilities\RefineRTDCRunTimes.py" --tripid 146-26 --locoid 4001 --swversion DE.1.0.7.0 --startMP 204:232992 --initTime 2016-08-26T10:02:00 --startdatetime 2016-08-26T10:03:39 --delay 1 --endMP 204:145 --enddatetime 2016-08-26T10:51:47 --enforcementcount 0 &gt;&gt;C:\Users\stu\Documents\GitHub\eaglep3-reporting\EC\2016-08-26-refined-times.txt</v>
      </c>
      <c r="AI6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{"issue":{"subject":"","project_id":79,"tracker_id":40,"status_id":1,"priority_id":2,"assigned_to_id":23,"start_date":"2016-08-26","description":"","custom_fields":[{"id":1,"name":"Subdivision","value":"EC"},{"id":4,"name":"Milepost","value":"23.2847"},{"id":17,"name":"Train ID","value":"146-26"},{"id":16,"name":"Locomotive ID","value":"4001"},{"id":130,"name":"Impact","value":""},{"id":150,"name":"Time of Event (Mountain Time)","value":"10:51:47"},{"id":151,"name":"Denver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x14ac:dyDescent="0.25">
      <c r="A67" s="39" t="s">
        <v>419</v>
      </c>
      <c r="B67" s="7">
        <v>4040</v>
      </c>
      <c r="C67" s="24" t="s">
        <v>113</v>
      </c>
      <c r="D67" s="24" t="s">
        <v>125</v>
      </c>
      <c r="E67" s="15">
        <v>42608.390601851854</v>
      </c>
      <c r="F67" s="15">
        <v>42608.391724537039</v>
      </c>
      <c r="G67" s="7">
        <v>1</v>
      </c>
      <c r="H67" s="15" t="s">
        <v>205</v>
      </c>
      <c r="I67" s="15">
        <v>42608.421122685184</v>
      </c>
      <c r="J67" s="7">
        <v>0</v>
      </c>
      <c r="K67" s="132" t="str">
        <f t="shared" si="19"/>
        <v>4039/4040</v>
      </c>
      <c r="L67" s="24" t="str">
        <f>VLOOKUP(A67,'Trips&amp;Operators'!$C$1:$E$10000,3,FALSE)</f>
        <v>DAVIS</v>
      </c>
      <c r="M67" s="6">
        <f t="shared" si="20"/>
        <v>2.9398148144537117E-2</v>
      </c>
      <c r="N67" s="7">
        <f t="shared" si="18"/>
        <v>42.333333328133449</v>
      </c>
      <c r="O67" s="7"/>
      <c r="P67" s="7"/>
      <c r="Q67" s="25"/>
      <c r="R67" s="25"/>
      <c r="S67" s="37">
        <f t="shared" si="17"/>
        <v>1</v>
      </c>
      <c r="T67" s="52" t="str">
        <f t="shared" si="21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08:22:28-0600',mode:absolute,to:'2016-08-26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67" s="54" t="str">
        <f t="shared" si="23"/>
        <v>N</v>
      </c>
      <c r="X67" s="120">
        <f t="shared" si="30"/>
        <v>1</v>
      </c>
      <c r="Y67" s="69">
        <f t="shared" si="24"/>
        <v>4.5499999999999999E-2</v>
      </c>
      <c r="Z67" s="69">
        <f t="shared" si="25"/>
        <v>23.331199999999999</v>
      </c>
      <c r="AA67" s="69">
        <f t="shared" si="26"/>
        <v>23.285699999999999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27"/>
        <v>0147-26</v>
      </c>
      <c r="AE67" s="99" t="str">
        <f t="shared" si="10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67" s="96" t="str">
        <f t="shared" si="11"/>
        <v>"C:\Program Files (x86)\AstroGrep\AstroGrep.exe" /spath="%USERPROFILE%\AppData\Local\Temp\OnboardLogs" /stypes="*4040*20160826*" /stext=" 16:.+((SYSTEM_STATE.+slice.+state.+changed )|(ment ac)|(system.+state.+changed )|(\|lc)|(penalty)|(\[timeout)|(PRM\|1\|D)|(kpr)|(kdp))" /e /r /s</v>
      </c>
      <c r="AG67" s="1" t="str">
        <f t="shared" si="28"/>
        <v>EC</v>
      </c>
      <c r="AH67" s="100" t="str">
        <f t="shared" si="15"/>
        <v>"%USERPROFILE%\Documents\GitHub\eaglep3\Utilities\RefineRTDCRunTimes.py" --tripid 147-26 --locoid 4040 --swversion DE.1.0.7.0 --startMP 204:455 --initTime 2016-08-26T09:22:28 --startdatetime 2016-08-26T09:24:05 --delay 1 --endMP 204:233312 --enddatetime 2016-08-26T10:06:25 --enforcementcount 0 &gt;&gt;C:\Users\stu\Documents\GitHub\eaglep3-reporting\EC\2016-08-26-refined-times.txt</v>
      </c>
      <c r="AI67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ID","value":"147-26"},{"id":16,"name":"Locomotive ID","value":"4040"},{"id":130,"name":"Impact","value":""},{"id":150,"name":"Time of Event (Mountain Time)","value":"10:06:25"},{"id":151,"name":"Denver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427</v>
      </c>
      <c r="B68" s="7">
        <v>4039</v>
      </c>
      <c r="C68" s="24" t="s">
        <v>113</v>
      </c>
      <c r="D68" s="24" t="s">
        <v>219</v>
      </c>
      <c r="E68" s="15">
        <v>42608.427847222221</v>
      </c>
      <c r="F68" s="15">
        <v>42608.428680555553</v>
      </c>
      <c r="G68" s="7">
        <v>1</v>
      </c>
      <c r="H68" s="15" t="s">
        <v>210</v>
      </c>
      <c r="I68" s="15">
        <v>42608.461527777778</v>
      </c>
      <c r="J68" s="7">
        <v>0</v>
      </c>
      <c r="K68" s="132" t="str">
        <f t="shared" si="19"/>
        <v>4039/4040</v>
      </c>
      <c r="L68" s="24" t="str">
        <f>VLOOKUP(A68,'Trips&amp;Operators'!$C$1:$E$10000,3,FALSE)</f>
        <v>DAVIS</v>
      </c>
      <c r="M68" s="6">
        <f t="shared" si="20"/>
        <v>3.2847222224518191E-2</v>
      </c>
      <c r="N68" s="7">
        <f t="shared" si="18"/>
        <v>47.300000003306195</v>
      </c>
      <c r="O68" s="7"/>
      <c r="P68" s="7"/>
      <c r="Q68" s="25"/>
      <c r="R68" s="25"/>
      <c r="S68" s="37">
        <f t="shared" si="17"/>
        <v>1</v>
      </c>
      <c r="T68" s="52" t="str">
        <f t="shared" si="21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09:16:06-0600',mode:absolute,to:'2016-08-26 12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68" s="54" t="str">
        <f t="shared" si="23"/>
        <v>N</v>
      </c>
      <c r="X68" s="120">
        <f t="shared" si="30"/>
        <v>1</v>
      </c>
      <c r="Y68" s="69">
        <f t="shared" si="24"/>
        <v>23.301100000000002</v>
      </c>
      <c r="Z68" s="69">
        <f t="shared" si="25"/>
        <v>1.61E-2</v>
      </c>
      <c r="AA68" s="69">
        <f t="shared" si="26"/>
        <v>23.285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27"/>
        <v>0148-26</v>
      </c>
      <c r="AE68" s="99" t="str">
        <f t="shared" si="10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68" s="96" t="str">
        <f t="shared" si="11"/>
        <v>"C:\Program Files (x86)\AstroGrep\AstroGrep.exe" /spath="%USERPROFILE%\AppData\Local\Temp\OnboardLogs" /stypes="*4039*20160826*" /stext=" 17:.+((SYSTEM_STATE.+slice.+state.+changed )|(ment ac)|(system.+state.+changed )|(\|lc)|(penalty)|(\[timeout)|(PRM\|1\|D)|(kpr)|(kdp))" /e /r /s</v>
      </c>
      <c r="AG68" s="1" t="str">
        <f t="shared" si="28"/>
        <v>EC</v>
      </c>
      <c r="AH68" s="100" t="str">
        <f t="shared" si="15"/>
        <v>"%USERPROFILE%\Documents\GitHub\eaglep3\Utilities\RefineRTDCRunTimes.py" --tripid 148-26 --locoid 4039 --swversion DE.1.0.7.0 --startMP 204:233011 --initTime 2016-08-26T10:16:06 --startdatetime 2016-08-26T10:17:18 --delay 1 --endMP 204:161 --enddatetime 2016-08-26T11:04:36 --enforcementcount 0 &gt;&gt;C:\Users\stu\Documents\GitHub\eaglep3-reporting\EC\2016-08-26-refined-times.txt</v>
      </c>
      <c r="AI68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{"issue":{"subject":"","project_id":79,"tracker_id":40,"status_id":1,"priority_id":2,"assigned_to_id":23,"start_date":"2016-08-26","description":"","custom_fields":[{"id":1,"name":"Subdivision","value":"EC"},{"id":4,"name":"Milepost","value":"23.285"},{"id":17,"name":"Train ID","value":"148-26"},{"id":16,"name":"Locomotive ID","value":"4039"},{"id":130,"name":"Impact","value":""},{"id":150,"name":"Time of Event (Mountain Time)","value":"11:04:36"},{"id":151,"name":"Denver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422</v>
      </c>
      <c r="B69" s="7">
        <v>4027</v>
      </c>
      <c r="C69" s="24" t="s">
        <v>113</v>
      </c>
      <c r="D69" s="24" t="s">
        <v>139</v>
      </c>
      <c r="E69" s="15">
        <v>42608.402962962966</v>
      </c>
      <c r="F69" s="15">
        <v>42608.404027777775</v>
      </c>
      <c r="G69" s="7">
        <v>1</v>
      </c>
      <c r="H69" s="15" t="s">
        <v>627</v>
      </c>
      <c r="I69" s="15">
        <v>42608.432546296295</v>
      </c>
      <c r="J69" s="7">
        <v>0</v>
      </c>
      <c r="K69" s="132" t="str">
        <f t="shared" si="19"/>
        <v>4027/4028</v>
      </c>
      <c r="L69" s="24" t="str">
        <f>VLOOKUP(A69,'Trips&amp;Operators'!$C$1:$E$10000,3,FALSE)</f>
        <v>MALAVE</v>
      </c>
      <c r="M69" s="6">
        <f t="shared" si="20"/>
        <v>2.8518518520286307E-2</v>
      </c>
      <c r="N69" s="7">
        <f t="shared" si="18"/>
        <v>41.066666669212282</v>
      </c>
      <c r="O69" s="7"/>
      <c r="P69" s="7"/>
      <c r="Q69" s="25"/>
      <c r="R69" s="25"/>
      <c r="S69" s="37">
        <f t="shared" ref="S69:S100" si="31">SUM(U69:U69)/IF(AG69="EC",12,1)</f>
        <v>1</v>
      </c>
      <c r="T69" s="52" t="str">
        <f t="shared" si="21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08:40:16-0600',mode:absolute,to:'2016-08-26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9" s="54" t="str">
        <f t="shared" si="23"/>
        <v>N</v>
      </c>
      <c r="X69" s="120">
        <f t="shared" si="30"/>
        <v>1</v>
      </c>
      <c r="Y69" s="69">
        <f t="shared" si="24"/>
        <v>4.6699999999999998E-2</v>
      </c>
      <c r="Z69" s="69">
        <f t="shared" si="25"/>
        <v>23.326599999999999</v>
      </c>
      <c r="AA69" s="69">
        <f t="shared" si="26"/>
        <v>23.279899999999998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27"/>
        <v>0149-26</v>
      </c>
      <c r="AE69" s="99" t="str">
        <f t="shared" si="10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69" s="96" t="str">
        <f t="shared" si="11"/>
        <v>"C:\Program Files (x86)\AstroGrep\AstroGrep.exe" /spath="%USERPROFILE%\AppData\Local\Temp\OnboardLogs" /stypes="*4027*20160826*" /stext=" 16:.+((SYSTEM_STATE.+slice.+state.+changed )|(ment ac)|(system.+state.+changed )|(\|lc)|(penalty)|(\[timeout)|(PRM\|1\|D)|(kpr)|(kdp))" /e /r /s</v>
      </c>
      <c r="AG69" s="1" t="str">
        <f t="shared" si="28"/>
        <v>EC</v>
      </c>
      <c r="AH69" s="100" t="str">
        <f t="shared" si="15"/>
        <v>"%USERPROFILE%\Documents\GitHub\eaglep3\Utilities\RefineRTDCRunTimes.py" --tripid 149-26 --locoid 4027 --swversion DE.1.0.7.0 --startMP 204:467 --initTime 2016-08-26T09:40:16 --startdatetime 2016-08-26T09:41:48 --delay 1 --endMP 204:233266 --enddatetime 2016-08-26T10:22:52 --enforcementcount 0 &gt;&gt;C:\Users\stu\Documents\GitHub\eaglep3-reporting\EC\2016-08-26-refined-times.txt</v>
      </c>
      <c r="AI69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{"issue":{"subject":"","project_id":79,"tracker_id":40,"status_id":1,"priority_id":2,"assigned_to_id":23,"start_date":"2016-08-26","description":"","custom_fields":[{"id":1,"name":"Subdivision","value":"EC"},{"id":4,"name":"Milepost","value":"23.2799"},{"id":17,"name":"Train ID","value":"149-26"},{"id":16,"name":"Locomotive ID","value":"4027"},{"id":130,"name":"Impact","value":""},{"id":150,"name":"Time of Event (Mountain Time)","value":"10:22:52"},{"id":151,"name":"Denver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432</v>
      </c>
      <c r="B70" s="7">
        <v>4028</v>
      </c>
      <c r="C70" s="24" t="s">
        <v>113</v>
      </c>
      <c r="D70" s="24" t="s">
        <v>628</v>
      </c>
      <c r="E70" s="15">
        <v>42608.442604166667</v>
      </c>
      <c r="F70" s="15">
        <v>42608.443530092591</v>
      </c>
      <c r="G70" s="7">
        <v>1</v>
      </c>
      <c r="H70" s="15" t="s">
        <v>131</v>
      </c>
      <c r="I70" s="15">
        <v>42608.471631944441</v>
      </c>
      <c r="J70" s="7">
        <v>0</v>
      </c>
      <c r="K70" s="132" t="str">
        <f t="shared" si="19"/>
        <v>4027/4028</v>
      </c>
      <c r="L70" s="24" t="str">
        <f>VLOOKUP(A70,'Trips&amp;Operators'!$C$1:$E$10000,3,FALSE)</f>
        <v>MALAVE</v>
      </c>
      <c r="M70" s="6">
        <f t="shared" si="20"/>
        <v>2.810185185080627E-2</v>
      </c>
      <c r="N70" s="7">
        <f t="shared" si="18"/>
        <v>40.466666665161029</v>
      </c>
      <c r="O70" s="7"/>
      <c r="P70" s="7"/>
      <c r="Q70" s="25"/>
      <c r="R70" s="25"/>
      <c r="S70" s="37">
        <f t="shared" si="31"/>
        <v>1</v>
      </c>
      <c r="T70" s="52" t="str">
        <f t="shared" si="21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09:37:21-0600',mode:absolute,to:'2016-08-26 12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0" s="54" t="str">
        <f t="shared" si="23"/>
        <v>N</v>
      </c>
      <c r="X70" s="120">
        <f t="shared" si="30"/>
        <v>1</v>
      </c>
      <c r="Y70" s="69">
        <f t="shared" si="24"/>
        <v>23.293600000000001</v>
      </c>
      <c r="Z70" s="69">
        <f t="shared" si="25"/>
        <v>1.5800000000000002E-2</v>
      </c>
      <c r="AA70" s="69">
        <f t="shared" si="26"/>
        <v>23.277800000000003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27"/>
        <v>0150-26</v>
      </c>
      <c r="AE70" s="99" t="str">
        <f t="shared" si="10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70" s="96" t="str">
        <f t="shared" si="11"/>
        <v>"C:\Program Files (x86)\AstroGrep\AstroGrep.exe" /spath="%USERPROFILE%\AppData\Local\Temp\OnboardLogs" /stypes="*4028*20160826*" /stext=" 17:.+((SYSTEM_STATE.+slice.+state.+changed )|(ment ac)|(system.+state.+changed )|(\|lc)|(penalty)|(\[timeout)|(PRM\|1\|D)|(kpr)|(kdp))" /e /r /s</v>
      </c>
      <c r="AG70" s="1" t="str">
        <f t="shared" si="28"/>
        <v>EC</v>
      </c>
      <c r="AH70" s="100" t="str">
        <f t="shared" si="15"/>
        <v>"%USERPROFILE%\Documents\GitHub\eaglep3\Utilities\RefineRTDCRunTimes.py" --tripid 150-26 --locoid 4028 --swversion DE.1.0.7.0 --startMP 204:232936 --initTime 2016-08-26T10:37:21 --startdatetime 2016-08-26T10:38:41 --delay 1 --endMP 204:158 --enddatetime 2016-08-26T11:19:09 --enforcementcount 0 &gt;&gt;C:\Users\stu\Documents\GitHub\eaglep3-reporting\EC\2016-08-26-refined-times.txt</v>
      </c>
      <c r="AI70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{"issue":{"subject":"","project_id":79,"tracker_id":40,"status_id":1,"priority_id":2,"assigned_to_id":23,"start_date":"2016-08-26","description":"","custom_fields":[{"id":1,"name":"Subdivision","value":"EC"},{"id":4,"name":"Milepost","value":"23.2778"},{"id":17,"name":"Train ID","value":"150-26"},{"id":16,"name":"Locomotive ID","value":"4028"},{"id":130,"name":"Impact","value":""},{"id":150,"name":"Time of Event (Mountain Time)","value":"11:19:09"},{"id":151,"name":"Denver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x14ac:dyDescent="0.25">
      <c r="A71" s="39" t="s">
        <v>424</v>
      </c>
      <c r="B71" s="7">
        <v>4014</v>
      </c>
      <c r="C71" s="24" t="s">
        <v>113</v>
      </c>
      <c r="D71" s="24" t="s">
        <v>226</v>
      </c>
      <c r="E71" s="15">
        <v>42608.410995370374</v>
      </c>
      <c r="F71" s="15">
        <v>42608.411944444444</v>
      </c>
      <c r="G71" s="7">
        <v>1</v>
      </c>
      <c r="H71" s="15" t="s">
        <v>300</v>
      </c>
      <c r="I71" s="15">
        <v>42608.44153935185</v>
      </c>
      <c r="J71" s="7">
        <v>0</v>
      </c>
      <c r="K71" s="132" t="str">
        <f t="shared" si="19"/>
        <v>4013/4014</v>
      </c>
      <c r="L71" s="24" t="str">
        <f>VLOOKUP(A71,'Trips&amp;Operators'!$C$1:$E$10000,3,FALSE)</f>
        <v>BRANNON</v>
      </c>
      <c r="M71" s="6">
        <f t="shared" si="20"/>
        <v>2.9594907406135462E-2</v>
      </c>
      <c r="N71" s="7">
        <f t="shared" si="18"/>
        <v>42.616666664835066</v>
      </c>
      <c r="O71" s="7"/>
      <c r="P71" s="7"/>
      <c r="Q71" s="25"/>
      <c r="R71" s="25"/>
      <c r="S71" s="37">
        <f t="shared" si="31"/>
        <v>1</v>
      </c>
      <c r="T71" s="52" t="str">
        <f t="shared" si="21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08:51:50-0600',mode:absolute,to:'2016-08-26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4" t="str">
        <f t="shared" si="23"/>
        <v>N</v>
      </c>
      <c r="X71" s="120">
        <f t="shared" si="30"/>
        <v>1</v>
      </c>
      <c r="Y71" s="69">
        <f t="shared" si="24"/>
        <v>4.7800000000000002E-2</v>
      </c>
      <c r="Z71" s="69">
        <f t="shared" si="25"/>
        <v>23.330200000000001</v>
      </c>
      <c r="AA71" s="69">
        <f t="shared" si="26"/>
        <v>23.282400000000003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27"/>
        <v>0151-26</v>
      </c>
      <c r="AE71" s="99" t="str">
        <f t="shared" si="10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71" s="96" t="str">
        <f t="shared" si="11"/>
        <v>"C:\Program Files (x86)\AstroGrep\AstroGrep.exe" /spath="%USERPROFILE%\AppData\Local\Temp\OnboardLogs" /stypes="*4014*20160826*" /stext=" 16:.+((SYSTEM_STATE.+slice.+state.+changed )|(ment ac)|(system.+state.+changed )|(\|lc)|(penalty)|(\[timeout)|(PRM\|1\|D)|(kpr)|(kdp))" /e /r /s</v>
      </c>
      <c r="AG71" s="1" t="str">
        <f t="shared" si="28"/>
        <v>EC</v>
      </c>
      <c r="AH71" s="100" t="str">
        <f t="shared" si="15"/>
        <v>"%USERPROFILE%\Documents\GitHub\eaglep3\Utilities\RefineRTDCRunTimes.py" --tripid 151-26 --locoid 4014 --swversion DE.1.0.7.0 --startMP 204:478 --initTime 2016-08-26T09:51:50 --startdatetime 2016-08-26T09:53:12 --delay 1 --endMP 204:233302 --enddatetime 2016-08-26T10:35:49 --enforcementcount 0 &gt;&gt;C:\Users\stu\Documents\GitHub\eaglep3-reporting\EC\2016-08-26-refined-times.txt</v>
      </c>
      <c r="AI71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{"issue":{"subject":"","project_id":79,"tracker_id":40,"status_id":1,"priority_id":2,"assigned_to_id":23,"start_date":"2016-08-26","description":"","custom_fields":[{"id":1,"name":"Subdivision","value":"EC"},{"id":4,"name":"Milepost","value":"23.2824"},{"id":17,"name":"Train ID","value":"151-26"},{"id":16,"name":"Locomotive ID","value":"4014"},{"id":130,"name":"Impact","value":""},{"id":150,"name":"Time of Event (Mountain Time)","value":"10:35:49"},{"id":151,"name":"Denver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23" customFormat="1" x14ac:dyDescent="0.25">
      <c r="A72" s="39" t="s">
        <v>435</v>
      </c>
      <c r="B72" s="7">
        <v>4013</v>
      </c>
      <c r="C72" s="24" t="s">
        <v>113</v>
      </c>
      <c r="D72" s="24" t="s">
        <v>303</v>
      </c>
      <c r="E72" s="15">
        <v>42608.452581018515</v>
      </c>
      <c r="F72" s="15">
        <v>42608.453379629631</v>
      </c>
      <c r="G72" s="7">
        <v>1</v>
      </c>
      <c r="H72" s="15" t="s">
        <v>132</v>
      </c>
      <c r="I72" s="15">
        <v>42608.485451388886</v>
      </c>
      <c r="J72" s="7">
        <v>0</v>
      </c>
      <c r="K72" s="132" t="str">
        <f t="shared" si="19"/>
        <v>4013/4014</v>
      </c>
      <c r="L72" s="24" t="str">
        <f>VLOOKUP(A72,'Trips&amp;Operators'!$C$1:$E$10000,3,FALSE)</f>
        <v>BRANNON</v>
      </c>
      <c r="M72" s="6">
        <f t="shared" si="20"/>
        <v>3.2071759254904464E-2</v>
      </c>
      <c r="N72" s="7">
        <f t="shared" ref="N72:N103" si="32">24*60*SUM($M72:$M72)</f>
        <v>46.183333327062428</v>
      </c>
      <c r="O72" s="7"/>
      <c r="P72" s="7"/>
      <c r="Q72" s="25"/>
      <c r="R72" s="25"/>
      <c r="S72" s="37">
        <f t="shared" si="31"/>
        <v>1</v>
      </c>
      <c r="T72" s="52" t="str">
        <f t="shared" si="21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09:51:43-0600',mode:absolute,to:'2016-08-26 12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4" t="str">
        <f t="shared" si="23"/>
        <v>N</v>
      </c>
      <c r="X72" s="120">
        <f t="shared" si="30"/>
        <v>1</v>
      </c>
      <c r="Y72" s="69">
        <f t="shared" si="24"/>
        <v>23.299299999999999</v>
      </c>
      <c r="Z72" s="69">
        <f t="shared" si="25"/>
        <v>1.47E-2</v>
      </c>
      <c r="AA72" s="69">
        <f t="shared" si="26"/>
        <v>23.284599999999998</v>
      </c>
      <c r="AB72" s="66">
        <f>VLOOKUP(A72,Enforcements!$C$7:$J$21,8,0)</f>
        <v>191723</v>
      </c>
      <c r="AC72" s="62" t="str">
        <f>VLOOKUP(A72,Enforcements!$C$7:$E$21,3,0)</f>
        <v>SIGNAL</v>
      </c>
      <c r="AD72" s="63" t="str">
        <f t="shared" si="27"/>
        <v>0152-26</v>
      </c>
      <c r="AE72" s="99" t="str">
        <f t="shared" si="10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72" s="96" t="str">
        <f t="shared" si="11"/>
        <v>"C:\Program Files (x86)\AstroGrep\AstroGrep.exe" /spath="%USERPROFILE%\AppData\Local\Temp\OnboardLogs" /stypes="*4013*20160826*" /stext=" 17:.+((SYSTEM_STATE.+slice.+state.+changed )|(ment ac)|(system.+state.+changed )|(\|lc)|(penalty)|(\[timeout)|(PRM\|1\|D)|(kpr)|(kdp))" /e /r /s</v>
      </c>
      <c r="AG72" s="1" t="str">
        <f t="shared" si="28"/>
        <v>EC</v>
      </c>
      <c r="AH72" s="100" t="str">
        <f t="shared" si="15"/>
        <v>"%USERPROFILE%\Documents\GitHub\eaglep3\Utilities\RefineRTDCRunTimes.py" --tripid 152-26 --locoid 4013 --swversion DE.1.0.7.0 --startMP 204:232993 --initTime 2016-08-26T10:51:43 --startdatetime 2016-08-26T10:52:52 --delay 1 --endMP 204:147 --enddatetime 2016-08-26T11:39:03 --enforcementcount 0 &gt;&gt;C:\Users\stu\Documents\GitHub\eaglep3-reporting\EC\2016-08-26-refined-times.txt</v>
      </c>
      <c r="AI72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{"issue":{"subject":"","project_id":79,"tracker_id":40,"status_id":1,"priority_id":2,"assigned_to_id":23,"start_date":"2016-08-26","description":"","custom_fields":[{"id":1,"name":"Subdivision","value":"EC"},{"id":4,"name":"Milepost","value":"23.2846"},{"id":17,"name":"Train ID","value":"152-26"},{"id":16,"name":"Locomotive ID","value":"4013"},{"id":130,"name":"Impact","value":""},{"id":150,"name":"Time of Event (Mountain Time)","value":"11:39:03"},{"id":151,"name":"Denver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x14ac:dyDescent="0.25">
      <c r="A73" s="39" t="s">
        <v>426</v>
      </c>
      <c r="B73" s="7">
        <v>4031</v>
      </c>
      <c r="C73" s="24" t="s">
        <v>113</v>
      </c>
      <c r="D73" s="24" t="s">
        <v>222</v>
      </c>
      <c r="E73" s="15">
        <v>42608.422592592593</v>
      </c>
      <c r="F73" s="15">
        <v>42608.423807870371</v>
      </c>
      <c r="G73" s="7">
        <v>1</v>
      </c>
      <c r="H73" s="15" t="s">
        <v>220</v>
      </c>
      <c r="I73" s="15">
        <v>42608.451851851853</v>
      </c>
      <c r="J73" s="7">
        <v>0</v>
      </c>
      <c r="K73" s="132" t="str">
        <f t="shared" si="19"/>
        <v>4031/4032</v>
      </c>
      <c r="L73" s="24" t="str">
        <f>VLOOKUP(A73,'Trips&amp;Operators'!$C$1:$E$10000,3,FALSE)</f>
        <v>GEBRETEKLE</v>
      </c>
      <c r="M73" s="6">
        <f t="shared" si="20"/>
        <v>2.8043981481459923E-2</v>
      </c>
      <c r="N73" s="7">
        <f t="shared" si="32"/>
        <v>40.383333333302289</v>
      </c>
      <c r="O73" s="7"/>
      <c r="P73" s="7"/>
      <c r="Q73" s="25"/>
      <c r="R73" s="25"/>
      <c r="S73" s="37">
        <f t="shared" si="31"/>
        <v>1</v>
      </c>
      <c r="T73" s="52" t="str">
        <f t="shared" si="21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09:08:32-0600',mode:absolute,to:'2016-08-26 11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3" s="54" t="str">
        <f t="shared" si="23"/>
        <v>N</v>
      </c>
      <c r="X73" s="120">
        <f t="shared" si="30"/>
        <v>1</v>
      </c>
      <c r="Y73" s="69">
        <f t="shared" si="24"/>
        <v>4.6399999999999997E-2</v>
      </c>
      <c r="Z73" s="69">
        <f t="shared" si="25"/>
        <v>23.332000000000001</v>
      </c>
      <c r="AA73" s="69">
        <f t="shared" si="26"/>
        <v>23.285600000000002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27"/>
        <v>0153-26</v>
      </c>
      <c r="AE73" s="99" t="str">
        <f t="shared" si="10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73" s="96" t="str">
        <f t="shared" si="11"/>
        <v>"C:\Program Files (x86)\AstroGrep\AstroGrep.exe" /spath="%USERPROFILE%\AppData\Local\Temp\OnboardLogs" /stypes="*4031*20160826*" /stext=" 16:.+((SYSTEM_STATE.+slice.+state.+changed )|(ment ac)|(system.+state.+changed )|(\|lc)|(penalty)|(\[timeout)|(PRM\|1\|D)|(kpr)|(kdp))" /e /r /s</v>
      </c>
      <c r="AG73" s="1" t="str">
        <f t="shared" si="28"/>
        <v>EC</v>
      </c>
      <c r="AH73" s="100" t="str">
        <f t="shared" si="15"/>
        <v>"%USERPROFILE%\Documents\GitHub\eaglep3\Utilities\RefineRTDCRunTimes.py" --tripid 153-26 --locoid 4031 --swversion DE.1.0.7.0 --startMP 204:464 --initTime 2016-08-26T10:08:32 --startdatetime 2016-08-26T10:10:17 --delay 1 --endMP 204:233320 --enddatetime 2016-08-26T10:50:40 --enforcementcount 0 &gt;&gt;C:\Users\stu\Documents\GitHub\eaglep3-reporting\EC\2016-08-26-refined-times.txt</v>
      </c>
      <c r="AI73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{"issue":{"subject":"","project_id":79,"tracker_id":40,"status_id":1,"priority_id":2,"assigned_to_id":23,"start_date":"2016-08-26","description":"","custom_fields":[{"id":1,"name":"Subdivision","value":"EC"},{"id":4,"name":"Milepost","value":"23.2856"},{"id":17,"name":"Train ID","value":"153-26"},{"id":16,"name":"Locomotive ID","value":"4031"},{"id":130,"name":"Impact","value":""},{"id":150,"name":"Time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x14ac:dyDescent="0.25">
      <c r="A74" s="39" t="s">
        <v>437</v>
      </c>
      <c r="B74" s="7">
        <v>4032</v>
      </c>
      <c r="C74" s="24" t="s">
        <v>113</v>
      </c>
      <c r="D74" s="24" t="s">
        <v>286</v>
      </c>
      <c r="E74" s="15">
        <v>42608.459953703707</v>
      </c>
      <c r="F74" s="15">
        <v>42608.4609375</v>
      </c>
      <c r="G74" s="7">
        <v>1</v>
      </c>
      <c r="H74" s="15" t="s">
        <v>152</v>
      </c>
      <c r="I74" s="15">
        <v>42608.494039351855</v>
      </c>
      <c r="J74" s="7">
        <v>0</v>
      </c>
      <c r="K74" s="132" t="str">
        <f t="shared" si="19"/>
        <v>4031/4032</v>
      </c>
      <c r="L74" s="24" t="str">
        <f>VLOOKUP(A74,'Trips&amp;Operators'!$C$1:$E$10000,3,FALSE)</f>
        <v>GEBRETEKLE</v>
      </c>
      <c r="M74" s="6">
        <f t="shared" si="20"/>
        <v>3.3101851855462883E-2</v>
      </c>
      <c r="N74" s="7">
        <f t="shared" si="32"/>
        <v>47.666666671866551</v>
      </c>
      <c r="O74" s="7"/>
      <c r="P74" s="7"/>
      <c r="Q74" s="25"/>
      <c r="R74" s="25"/>
      <c r="S74" s="37">
        <f t="shared" si="31"/>
        <v>1</v>
      </c>
      <c r="T74" s="52" t="str">
        <f t="shared" si="21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10:02:20-0600',mode:absolute,to:'2016-08-26 12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4" s="54" t="str">
        <f t="shared" si="23"/>
        <v>N</v>
      </c>
      <c r="X74" s="120">
        <f t="shared" si="30"/>
        <v>1</v>
      </c>
      <c r="Y74" s="69">
        <f t="shared" si="24"/>
        <v>23.297699999999999</v>
      </c>
      <c r="Z74" s="69">
        <f t="shared" si="25"/>
        <v>1.4999999999999999E-2</v>
      </c>
      <c r="AA74" s="69">
        <f t="shared" si="26"/>
        <v>23.282699999999998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27"/>
        <v>0154-26</v>
      </c>
      <c r="AE74" s="99" t="str">
        <f t="shared" si="10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74" s="96" t="str">
        <f t="shared" si="11"/>
        <v>"C:\Program Files (x86)\AstroGrep\AstroGrep.exe" /spath="%USERPROFILE%\AppData\Local\Temp\OnboardLogs" /stypes="*4032*20160826*" /stext=" 17:.+((SYSTEM_STATE.+slice.+state.+changed )|(ment ac)|(system.+state.+changed )|(\|lc)|(penalty)|(\[timeout)|(PRM\|1\|D)|(kpr)|(kdp))" /e /r /s</v>
      </c>
      <c r="AG74" s="1" t="str">
        <f t="shared" si="28"/>
        <v>EC</v>
      </c>
      <c r="AH74" s="100" t="str">
        <f t="shared" si="15"/>
        <v>"%USERPROFILE%\Documents\GitHub\eaglep3\Utilities\RefineRTDCRunTimes.py" --tripid 154-26 --locoid 4032 --swversion DE.1.0.7.0 --startMP 204:232977 --initTime 2016-08-26T11:02:20 --startdatetime 2016-08-26T11:03:45 --delay 1 --endMP 204:150 --enddatetime 2016-08-26T11:51:25 --enforcementcount 0 &gt;&gt;C:\Users\stu\Documents\GitHub\eaglep3-reporting\EC\2016-08-26-refined-times.txt</v>
      </c>
      <c r="AI74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ID","value":"154-26"},{"id":16,"name":"Locomotive ID","value":"4032"},{"id":130,"name":"Impact","value":""},{"id":150,"name":"Time of Event (Mountain Time)","value":"11:51:25"},{"id":151,"name":"Denver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x14ac:dyDescent="0.25">
      <c r="A75" s="39" t="s">
        <v>429</v>
      </c>
      <c r="B75" s="7">
        <v>4025</v>
      </c>
      <c r="C75" s="24" t="s">
        <v>113</v>
      </c>
      <c r="D75" s="24" t="s">
        <v>135</v>
      </c>
      <c r="E75" s="15">
        <v>42608.432881944442</v>
      </c>
      <c r="F75" s="15">
        <v>42608.434305555558</v>
      </c>
      <c r="G75" s="7">
        <v>2</v>
      </c>
      <c r="H75" s="15" t="s">
        <v>142</v>
      </c>
      <c r="I75" s="15">
        <v>42608.464247685188</v>
      </c>
      <c r="J75" s="7">
        <v>0</v>
      </c>
      <c r="K75" s="132" t="str">
        <f t="shared" si="19"/>
        <v>4025/4026</v>
      </c>
      <c r="L75" s="24" t="str">
        <f>VLOOKUP(A75,'Trips&amp;Operators'!$C$1:$E$10000,3,FALSE)</f>
        <v>STRICKLAND</v>
      </c>
      <c r="M75" s="6">
        <f t="shared" si="20"/>
        <v>2.99421296294895E-2</v>
      </c>
      <c r="N75" s="7">
        <f t="shared" si="32"/>
        <v>43.11666666646488</v>
      </c>
      <c r="O75" s="7"/>
      <c r="P75" s="7"/>
      <c r="Q75" s="25"/>
      <c r="R75" s="25"/>
      <c r="S75" s="37">
        <f t="shared" si="31"/>
        <v>1</v>
      </c>
      <c r="T75" s="52" t="str">
        <f t="shared" si="21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09:23:21-0600',mode:absolute,to:'2016-08-26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5" s="54" t="str">
        <f t="shared" si="23"/>
        <v>N</v>
      </c>
      <c r="X75" s="120">
        <f t="shared" si="30"/>
        <v>1</v>
      </c>
      <c r="Y75" s="69">
        <f t="shared" si="24"/>
        <v>4.4900000000000002E-2</v>
      </c>
      <c r="Z75" s="69">
        <f t="shared" si="25"/>
        <v>23.331</v>
      </c>
      <c r="AA75" s="69">
        <f t="shared" si="26"/>
        <v>23.286100000000001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27"/>
        <v>0155-26</v>
      </c>
      <c r="AE75" s="99" t="str">
        <f t="shared" si="10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75" s="96" t="str">
        <f t="shared" si="11"/>
        <v>"C:\Program Files (x86)\AstroGrep\AstroGrep.exe" /spath="%USERPROFILE%\AppData\Local\Temp\OnboardLogs" /stypes="*4025*20160826*" /stext=" 17:.+((SYSTEM_STATE.+slice.+state.+changed )|(ment ac)|(system.+state.+changed )|(\|lc)|(penalty)|(\[timeout)|(PRM\|1\|D)|(kpr)|(kdp))" /e /r /s</v>
      </c>
      <c r="AG75" s="1" t="str">
        <f t="shared" si="28"/>
        <v>EC</v>
      </c>
      <c r="AH75" s="100" t="str">
        <f t="shared" si="15"/>
        <v>"%USERPROFILE%\Documents\GitHub\eaglep3\Utilities\RefineRTDCRunTimes.py" --tripid 155-26 --locoid 4025 --swversion DE.1.0.7.0 --startMP 204:449 --initTime 2016-08-26T10:23:21 --startdatetime 2016-08-26T10:25:24 --delay 2 --endMP 204:233310 --enddatetime 2016-08-26T11:08:31 --enforcementcount 0 &gt;&gt;C:\Users\stu\Documents\GitHub\eaglep3-reporting\EC\2016-08-26-refined-times.txt</v>
      </c>
      <c r="AI75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ID","value":"155-26"},{"id":16,"name":"Locomotive ID","value":"4025"},{"id":130,"name":"Impact","value":""},{"id":150,"name":"Time of Event (Mountain Time)","value":"11:08:31"},{"id":151,"name":"Denver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23" customFormat="1" x14ac:dyDescent="0.25">
      <c r="A76" s="39" t="s">
        <v>440</v>
      </c>
      <c r="B76" s="7">
        <v>4026</v>
      </c>
      <c r="C76" s="24" t="s">
        <v>113</v>
      </c>
      <c r="D76" s="24" t="s">
        <v>303</v>
      </c>
      <c r="E76" s="15">
        <v>42608.471273148149</v>
      </c>
      <c r="F76" s="15">
        <v>42608.472581018519</v>
      </c>
      <c r="G76" s="7">
        <v>1</v>
      </c>
      <c r="H76" s="15" t="s">
        <v>190</v>
      </c>
      <c r="I76" s="15">
        <v>42608.506504629629</v>
      </c>
      <c r="J76" s="7">
        <v>0</v>
      </c>
      <c r="K76" s="132" t="str">
        <f t="shared" si="19"/>
        <v>4025/4026</v>
      </c>
      <c r="L76" s="24" t="str">
        <f>VLOOKUP(A76,'Trips&amp;Operators'!$C$1:$E$10000,3,FALSE)</f>
        <v>STRICKLAND</v>
      </c>
      <c r="M76" s="6">
        <f t="shared" si="20"/>
        <v>3.3923611110367347E-2</v>
      </c>
      <c r="N76" s="7">
        <f t="shared" si="32"/>
        <v>48.849999998928979</v>
      </c>
      <c r="O76" s="7"/>
      <c r="P76" s="7"/>
      <c r="Q76" s="25"/>
      <c r="R76" s="25"/>
      <c r="S76" s="37">
        <f t="shared" si="31"/>
        <v>1</v>
      </c>
      <c r="T76" s="52" t="str">
        <f t="shared" si="21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2"/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6" s="54" t="str">
        <f t="shared" si="23"/>
        <v>N</v>
      </c>
      <c r="X76" s="120">
        <f t="shared" si="30"/>
        <v>1</v>
      </c>
      <c r="Y76" s="69">
        <f t="shared" si="24"/>
        <v>23.299299999999999</v>
      </c>
      <c r="Z76" s="69">
        <f t="shared" si="25"/>
        <v>1.6E-2</v>
      </c>
      <c r="AA76" s="69">
        <f t="shared" si="26"/>
        <v>23.283300000000001</v>
      </c>
      <c r="AB76" s="66">
        <f>VLOOKUP(A76,Enforcements!$C$7:$J$21,8,0)</f>
        <v>21848</v>
      </c>
      <c r="AC76" s="62" t="str">
        <f>VLOOKUP(A76,Enforcements!$C$7:$E$21,3,0)</f>
        <v>PERMANENT SPEED RESTRICTION</v>
      </c>
      <c r="AD76" s="63" t="str">
        <f t="shared" si="27"/>
        <v>0156-26</v>
      </c>
      <c r="AE76" s="99" t="str">
        <f t="shared" si="10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76" s="96" t="str">
        <f t="shared" si="11"/>
        <v>"C:\Program Files (x86)\AstroGrep\AstroGrep.exe" /spath="%USERPROFILE%\AppData\Local\Temp\OnboardLogs" /stypes="*4026*20160826*" /stext=" 18:.+((SYSTEM_STATE.+slice.+state.+changed )|(ment ac)|(system.+state.+changed )|(\|lc)|(penalty)|(\[timeout)|(PRM\|1\|D)|(kpr)|(kdp))" /e /r /s</v>
      </c>
      <c r="AG76" s="1" t="str">
        <f t="shared" si="28"/>
        <v>EC</v>
      </c>
      <c r="AH76" s="100" t="str">
        <f t="shared" si="15"/>
        <v>"%USERPROFILE%\Documents\GitHub\eaglep3\Utilities\RefineRTDCRunTimes.py" --tripid 156-26 --locoid 4026 --swversion DE.1.0.7.0 --startMP 204:232993 --initTime 2016-08-26T11:18:38 --startdatetime 2016-08-26T11:20:31 --delay 1 --endMP 204:160 --enddatetime 2016-08-26T12:09:22 --enforcementcount 0 &gt;&gt;C:\Users\stu\Documents\GitHub\eaglep3-reporting\EC\2016-08-26-refined-times.txt</v>
      </c>
      <c r="AI76" s="149" t="str">
        <f t="shared" si="16"/>
        <v>echo {"issue":{"subject":"","project_id":79,"tracker_id":40,"status_id":1,"priority_id":2,"assigned_to_id":23,"start_date":"2016-08-26","description":"","custom_fields":[{"id":1,"name":"Subdivision","value":"EC"},{"id":4,"name":"Milepost","value":"23.2833"},{"id":17,"name":"Train ID","value":"156-26"},{"id":16,"name":"Locomotive ID","value":"4026"},{"id":130,"name":"Impact","value":""},{"id":150,"name":"Time of Event (Mountain Time)","value":"12:09:22"},{"id":151,"name":"Denver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x14ac:dyDescent="0.25">
      <c r="A77" s="39" t="s">
        <v>434</v>
      </c>
      <c r="B77" s="7">
        <v>4038</v>
      </c>
      <c r="C77" s="24" t="s">
        <v>113</v>
      </c>
      <c r="D77" s="24" t="s">
        <v>125</v>
      </c>
      <c r="E77" s="15">
        <v>42608.446122685185</v>
      </c>
      <c r="F77" s="15">
        <v>42608.447962962964</v>
      </c>
      <c r="G77" s="7">
        <v>2</v>
      </c>
      <c r="H77" s="15" t="s">
        <v>191</v>
      </c>
      <c r="I77" s="15">
        <v>42608.473692129628</v>
      </c>
      <c r="J77" s="7">
        <v>0</v>
      </c>
      <c r="K77" s="132" t="str">
        <f t="shared" ref="K77:K108" si="33">IF(ISEVEN(B77),(B77-1)&amp;"/"&amp;B77,B77&amp;"/"&amp;(B77+1))</f>
        <v>4037/4038</v>
      </c>
      <c r="L77" s="24" t="str">
        <f>VLOOKUP(A77,'Trips&amp;Operators'!$C$1:$E$10000,3,FALSE)</f>
        <v>GRASTON</v>
      </c>
      <c r="M77" s="6">
        <f t="shared" ref="M77:M108" si="34">I77-F77</f>
        <v>2.5729166663950309E-2</v>
      </c>
      <c r="N77" s="7">
        <f t="shared" si="32"/>
        <v>37.049999996088445</v>
      </c>
      <c r="O77" s="7"/>
      <c r="P77" s="7"/>
      <c r="Q77" s="25"/>
      <c r="R77" s="25"/>
      <c r="S77" s="37">
        <f t="shared" si="31"/>
        <v>1</v>
      </c>
      <c r="T77" s="52" t="str">
        <f t="shared" ref="T77:T108" si="35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3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https://search-rtdc-monitor-bjffxe2xuh6vdkpspy63sjmuny.us-east-1.es.amazonaws.com/_plugin/kibana/#/discover/Steve-Slow-Train-Analysis-(2080s-and-2083s)?_g=(refreshInterval:(display:Off,section:0,value:0),time:(from:'2016-08-26 09:42:25-0600',mode:absolute,to:'2016-08-26 12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7" s="54" t="str">
        <f t="shared" ref="W77:W108" si="37">IF(AA77&lt;IF(AG77="EC",23,5.65),"Y","N")</f>
        <v>N</v>
      </c>
      <c r="X77" s="120">
        <f t="shared" si="30"/>
        <v>1</v>
      </c>
      <c r="Y77" s="69">
        <f t="shared" ref="Y77:Y108" si="38">RIGHT(D77,LEN(D77)-4)/10000</f>
        <v>4.5499999999999999E-2</v>
      </c>
      <c r="Z77" s="69">
        <f t="shared" si="25"/>
        <v>23.3293</v>
      </c>
      <c r="AA77" s="69">
        <f t="shared" ref="AA77:AA108" si="39">ABS(Z77-Y77)</f>
        <v>23.283799999999999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08" si="40">IF(LEN(A77)=6,"0"&amp;A77,A77)</f>
        <v>0157-26</v>
      </c>
      <c r="AE77" s="99" t="str">
        <f t="shared" ref="AE77:AE140" si="41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77" s="96" t="str">
        <f t="shared" ref="AF77:AF140" si="42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/stypes="*4038*20160826*" /stext=" 17:.+((SYSTEM_STATE.+slice.+state.+changed )|(ment ac)|(system.+state.+changed )|(\|lc)|(penalty)|(\[timeout)|(PRM\|1\|D)|(kpr)|(kdp))" /e /r /s</v>
      </c>
      <c r="AG77" s="1" t="str">
        <f t="shared" ref="AG77:AG108" si="43">IFERROR(IF(VALUE(LEFT(AD77,2))&lt;=2,"EC",IF(OR(VALUE(LEFT(AD77,2))=8,VALUE(LEFT(AD77,2))=18),"NW","Other")),"Other")</f>
        <v>EC</v>
      </c>
      <c r="AH77" s="100" t="str">
        <f t="shared" ref="AH77:AH140" si="4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157-26 --locoid 4038 --swversion DE.1.0.7.0 --startMP 204:455 --initTime 2016-08-26T10:42:25 --startdatetime 2016-08-26T10:45:04 --delay 2 --endMP 204:233293 --enddatetime 2016-08-26T11:22:07 --enforcementcount 0 &gt;&gt;C:\Users\stu\Documents\GitHub\eaglep3-reporting\EC\2016-08-26-refined-times.txt</v>
      </c>
      <c r="AI77" s="149" t="str">
        <f t="shared" ref="AI77:AI140" si="4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{"issue":{"subject":"","project_id":79,"tracker_id":40,"status_id":1,"priority_id":2,"assigned_to_id":23,"start_date":"2016-08-26","description":"","custom_fields":[{"id":1,"name":"Subdivision","value":"EC"},{"id":4,"name":"Milepost","value":"23.2838"},{"id":17,"name":"Train ID","value":"157-26"},{"id":16,"name":"Locomotive ID","value":"4038"},{"id":130,"name":"Impact","value":""},{"id":150,"name":"Time of Event (Mountain Time)","value":"11:22:07"},{"id":151,"name":"Denver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x14ac:dyDescent="0.25">
      <c r="A78" s="39" t="s">
        <v>442</v>
      </c>
      <c r="B78" s="7">
        <v>4037</v>
      </c>
      <c r="C78" s="24" t="s">
        <v>113</v>
      </c>
      <c r="D78" s="24" t="s">
        <v>282</v>
      </c>
      <c r="E78" s="15">
        <v>42608.483981481484</v>
      </c>
      <c r="F78" s="15">
        <v>42608.484861111108</v>
      </c>
      <c r="G78" s="7">
        <v>1</v>
      </c>
      <c r="H78" s="15" t="s">
        <v>153</v>
      </c>
      <c r="I78" s="15">
        <v>42608.517500000002</v>
      </c>
      <c r="J78" s="7">
        <v>0</v>
      </c>
      <c r="K78" s="132" t="str">
        <f t="shared" si="33"/>
        <v>4037/4038</v>
      </c>
      <c r="L78" s="24" t="str">
        <f>VLOOKUP(A78,'Trips&amp;Operators'!$C$1:$E$10000,3,FALSE)</f>
        <v>GRASTON</v>
      </c>
      <c r="M78" s="6">
        <f t="shared" si="34"/>
        <v>3.2638888893416151E-2</v>
      </c>
      <c r="N78" s="7">
        <f t="shared" si="32"/>
        <v>47.000000006519258</v>
      </c>
      <c r="O78" s="7"/>
      <c r="P78" s="7"/>
      <c r="Q78" s="25"/>
      <c r="R78" s="25"/>
      <c r="S78" s="37">
        <f t="shared" si="31"/>
        <v>1</v>
      </c>
      <c r="T78" s="52" t="str">
        <f t="shared" si="35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10:36:56-0600',mode:absolute,to:'2016-08-26 13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8" s="54" t="str">
        <f t="shared" si="37"/>
        <v>N</v>
      </c>
      <c r="X78" s="120">
        <f t="shared" si="30"/>
        <v>1</v>
      </c>
      <c r="Y78" s="69">
        <f t="shared" si="38"/>
        <v>23.297999999999998</v>
      </c>
      <c r="Z78" s="69">
        <f t="shared" si="25"/>
        <v>1.5599999999999999E-2</v>
      </c>
      <c r="AA78" s="69">
        <f t="shared" si="39"/>
        <v>23.282399999999999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40"/>
        <v>0158-26</v>
      </c>
      <c r="AE78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78" s="96" t="str">
        <f t="shared" si="42"/>
        <v>"C:\Program Files (x86)\AstroGrep\AstroGrep.exe" /spath="%USERPROFILE%\AppData\Local\Temp\OnboardLogs" /stypes="*4037*20160826*" /stext=" 18:.+((SYSTEM_STATE.+slice.+state.+changed )|(ment ac)|(system.+state.+changed )|(\|lc)|(penalty)|(\[timeout)|(PRM\|1\|D)|(kpr)|(kdp))" /e /r /s</v>
      </c>
      <c r="AG78" s="1" t="str">
        <f t="shared" si="43"/>
        <v>EC</v>
      </c>
      <c r="AH78" s="100" t="str">
        <f t="shared" si="44"/>
        <v>"%USERPROFILE%\Documents\GitHub\eaglep3\Utilities\RefineRTDCRunTimes.py" --tripid 158-26 --locoid 4037 --swversion DE.1.0.7.0 --startMP 204:232980 --initTime 2016-08-26T11:36:56 --startdatetime 2016-08-26T11:38:12 --delay 1 --endMP 204:156 --enddatetime 2016-08-26T12:25:12 --enforcementcount 0 &gt;&gt;C:\Users\stu\Documents\GitHub\eaglep3-reporting\EC\2016-08-26-refined-times.txt</v>
      </c>
      <c r="AI7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{"issue":{"subject":"","project_id":79,"tracker_id":40,"status_id":1,"priority_id":2,"assigned_to_id":23,"start_date":"2016-08-26","description":"","custom_fields":[{"id":1,"name":"Subdivision","value":"EC"},{"id":4,"name":"Milepost","value":"23.2824"},{"id":17,"name":"Train ID","value":"158-26"},{"id":16,"name":"Locomotive ID","value":"4037"},{"id":130,"name":"Impact","value":""},{"id":150,"name":"Time of Event (Mountain Time)","value":"12:25:12"},{"id":151,"name":"Denver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436</v>
      </c>
      <c r="B79" s="7">
        <v>4002</v>
      </c>
      <c r="C79" s="24" t="s">
        <v>113</v>
      </c>
      <c r="D79" s="24" t="s">
        <v>280</v>
      </c>
      <c r="E79" s="15">
        <v>42608.457824074074</v>
      </c>
      <c r="F79" s="15">
        <v>42608.459050925929</v>
      </c>
      <c r="G79" s="7">
        <v>1</v>
      </c>
      <c r="H79" s="15" t="s">
        <v>138</v>
      </c>
      <c r="I79" s="15">
        <v>42608.485914351855</v>
      </c>
      <c r="J79" s="7">
        <v>0</v>
      </c>
      <c r="K79" s="132" t="str">
        <f t="shared" si="33"/>
        <v>4001/4002</v>
      </c>
      <c r="L79" s="24" t="str">
        <f>VLOOKUP(A79,'Trips&amp;Operators'!$C$1:$E$10000,3,FALSE)</f>
        <v>SANTIZO</v>
      </c>
      <c r="M79" s="6">
        <f t="shared" si="34"/>
        <v>2.6863425926421769E-2</v>
      </c>
      <c r="N79" s="7">
        <f t="shared" si="32"/>
        <v>38.683333334047347</v>
      </c>
      <c r="O79" s="7"/>
      <c r="P79" s="7"/>
      <c r="Q79" s="25"/>
      <c r="R79" s="25"/>
      <c r="S79" s="37">
        <f t="shared" si="31"/>
        <v>1</v>
      </c>
      <c r="T79" s="52" t="str">
        <f t="shared" si="35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09:59:16-0600',mode:absolute,to:'2016-08-26 12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37"/>
        <v>N</v>
      </c>
      <c r="X79" s="120">
        <f t="shared" si="30"/>
        <v>1</v>
      </c>
      <c r="Y79" s="69">
        <f t="shared" si="38"/>
        <v>4.4600000000000001E-2</v>
      </c>
      <c r="Z79" s="69">
        <v>23.3</v>
      </c>
      <c r="AA79" s="69">
        <f t="shared" si="39"/>
        <v>23.255400000000002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0"/>
        <v>0159-26</v>
      </c>
      <c r="AE79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79" s="96" t="str">
        <f t="shared" si="42"/>
        <v>"C:\Program Files (x86)\AstroGrep\AstroGrep.exe" /spath="%USERPROFILE%\AppData\Local\Temp\OnboardLogs" /stypes="*4002*20160826*" /stext=" 17:.+((SYSTEM_STATE.+slice.+state.+changed )|(ment ac)|(system.+state.+changed )|(\|lc)|(penalty)|(\[timeout)|(PRM\|1\|D)|(kpr)|(kdp))" /e /r /s</v>
      </c>
      <c r="AG79" s="1" t="str">
        <f t="shared" si="43"/>
        <v>EC</v>
      </c>
      <c r="AH79" s="100" t="str">
        <f t="shared" si="44"/>
        <v>"%USERPROFILE%\Documents\GitHub\eaglep3\Utilities\RefineRTDCRunTimes.py" --tripid 159-26 --locoid 4002 --swversion DE.1.0.7.0 --startMP 204:446 --initTime 2016-08-26T10:59:16 --startdatetime 2016-08-26T11:01:02 --delay 1 --endMP 204:469 --enddatetime 2016-08-26T11:39:43 --enforcementcount 0 &gt;&gt;C:\Users\stu\Documents\GitHub\eaglep3-reporting\EC\2016-08-26-refined-times.txt</v>
      </c>
      <c r="AI7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{"issue":{"subject":"","project_id":79,"tracker_id":40,"status_id":1,"priority_id":2,"assigned_to_id":23,"start_date":"2016-08-26","description":"","custom_fields":[{"id":1,"name":"Subdivision","value":"EC"},{"id":4,"name":"Milepost","value":"23.2554"},{"id":17,"name":"Train ID","value":"159-26"},{"id":16,"name":"Locomotive ID","value":"4002"},{"id":130,"name":"Impact","value":""},{"id":150,"name":"Time of Event (Mountain Time)","value":"11:39:43"},{"id":151,"name":"Denver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444</v>
      </c>
      <c r="B80" s="7">
        <v>4001</v>
      </c>
      <c r="C80" s="24" t="s">
        <v>113</v>
      </c>
      <c r="D80" s="24" t="s">
        <v>609</v>
      </c>
      <c r="E80" s="15">
        <v>42608.487326388888</v>
      </c>
      <c r="F80" s="15">
        <v>42608.488356481481</v>
      </c>
      <c r="G80" s="7">
        <v>1</v>
      </c>
      <c r="H80" s="15" t="s">
        <v>89</v>
      </c>
      <c r="I80" s="15">
        <v>42608.526585648149</v>
      </c>
      <c r="J80" s="7">
        <v>0</v>
      </c>
      <c r="K80" s="132" t="str">
        <f t="shared" si="33"/>
        <v>4001/4002</v>
      </c>
      <c r="L80" s="24" t="str">
        <f>VLOOKUP(A80,'Trips&amp;Operators'!$C$1:$E$10000,3,FALSE)</f>
        <v>SANTIZO</v>
      </c>
      <c r="M80" s="6">
        <f t="shared" si="34"/>
        <v>3.8229166668315884E-2</v>
      </c>
      <c r="N80" s="7">
        <f t="shared" si="32"/>
        <v>55.050000002374873</v>
      </c>
      <c r="O80" s="7"/>
      <c r="P80" s="7"/>
      <c r="Q80" s="25"/>
      <c r="R80" s="25"/>
      <c r="S80" s="37">
        <f t="shared" si="31"/>
        <v>1</v>
      </c>
      <c r="T80" s="52" t="str">
        <f t="shared" si="35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10:41:45-0600',mode:absolute,to:'2016-08-26 13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37"/>
        <v>N</v>
      </c>
      <c r="X80" s="120">
        <f t="shared" si="30"/>
        <v>1</v>
      </c>
      <c r="Y80" s="69">
        <f t="shared" si="38"/>
        <v>23.299600000000002</v>
      </c>
      <c r="Z80" s="69">
        <f t="shared" ref="Z80:Z111" si="46">RIGHT(H80,LEN(H80)-4)/10000</f>
        <v>1.43E-2</v>
      </c>
      <c r="AA80" s="69">
        <f t="shared" si="39"/>
        <v>23.285300000000003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0"/>
        <v>0160-26</v>
      </c>
      <c r="AE80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80" s="96" t="str">
        <f t="shared" si="42"/>
        <v>"C:\Program Files (x86)\AstroGrep\AstroGrep.exe" /spath="%USERPROFILE%\AppData\Local\Temp\OnboardLogs" /stypes="*4001*20160826*" /stext=" 18:.+((SYSTEM_STATE.+slice.+state.+changed )|(ment ac)|(system.+state.+changed )|(\|lc)|(penalty)|(\[timeout)|(PRM\|1\|D)|(kpr)|(kdp))" /e /r /s</v>
      </c>
      <c r="AG80" s="1" t="str">
        <f t="shared" si="43"/>
        <v>EC</v>
      </c>
      <c r="AH80" s="100" t="str">
        <f t="shared" si="44"/>
        <v>"%USERPROFILE%\Documents\GitHub\eaglep3\Utilities\RefineRTDCRunTimes.py" --tripid 160-26 --locoid 4001 --swversion DE.1.0.7.0 --startMP 204:232996 --initTime 2016-08-26T11:41:45 --startdatetime 2016-08-26T11:43:14 --delay 1 --endMP 204:143 --enddatetime 2016-08-26T12:38:17 --enforcementcount 0 &gt;&gt;C:\Users\stu\Documents\GitHub\eaglep3-reporting\EC\2016-08-26-refined-times.txt</v>
      </c>
      <c r="AI8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{"issue":{"subject":"","project_id":79,"tracker_id":40,"status_id":1,"priority_id":2,"assigned_to_id":23,"start_date":"2016-08-26","description":"","custom_fields":[{"id":1,"name":"Subdivision","value":"EC"},{"id":4,"name":"Milepost","value":"23.2853"},{"id":17,"name":"Train ID","value":"160-26"},{"id":16,"name":"Locomotive ID","value":"4001"},{"id":130,"name":"Impact","value":""},{"id":150,"name":"Time of Event (Mountain Time)","value":"12:38:17"},{"id":151,"name":"Denver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439</v>
      </c>
      <c r="B81" s="7">
        <v>4040</v>
      </c>
      <c r="C81" s="24" t="s">
        <v>113</v>
      </c>
      <c r="D81" s="24" t="s">
        <v>629</v>
      </c>
      <c r="E81" s="15">
        <v>42608.469618055555</v>
      </c>
      <c r="F81" s="15">
        <v>42608.470775462964</v>
      </c>
      <c r="G81" s="7">
        <v>1</v>
      </c>
      <c r="H81" s="15" t="s">
        <v>630</v>
      </c>
      <c r="I81" s="15">
        <v>42608.498043981483</v>
      </c>
      <c r="J81" s="7">
        <v>0</v>
      </c>
      <c r="K81" s="132" t="str">
        <f t="shared" si="33"/>
        <v>4039/4040</v>
      </c>
      <c r="L81" s="24" t="str">
        <f>VLOOKUP(A81,'Trips&amp;Operators'!$C$1:$E$10000,3,FALSE)</f>
        <v>CLARK</v>
      </c>
      <c r="M81" s="6">
        <f t="shared" si="34"/>
        <v>2.7268518519122154E-2</v>
      </c>
      <c r="N81" s="7">
        <f t="shared" si="32"/>
        <v>39.266666667535901</v>
      </c>
      <c r="O81" s="7"/>
      <c r="P81" s="7"/>
      <c r="Q81" s="25"/>
      <c r="R81" s="25"/>
      <c r="S81" s="37">
        <f t="shared" si="31"/>
        <v>1</v>
      </c>
      <c r="T81" s="52" t="str">
        <f t="shared" si="35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10:16:15-0600',mode:absolute,to:'2016-08-26 12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81" s="54" t="str">
        <f t="shared" si="37"/>
        <v>N</v>
      </c>
      <c r="X81" s="120">
        <f t="shared" si="30"/>
        <v>1</v>
      </c>
      <c r="Y81" s="69">
        <f t="shared" si="38"/>
        <v>4.7300000000000002E-2</v>
      </c>
      <c r="Z81" s="69">
        <f t="shared" si="46"/>
        <v>23.331600000000002</v>
      </c>
      <c r="AA81" s="69">
        <f t="shared" si="39"/>
        <v>23.284300000000002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0"/>
        <v>0161-26</v>
      </c>
      <c r="AE81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81" s="96" t="str">
        <f t="shared" si="42"/>
        <v>"C:\Program Files (x86)\AstroGrep\AstroGrep.exe" /spath="%USERPROFILE%\AppData\Local\Temp\OnboardLogs" /stypes="*4040*20160826*" /stext=" 17:.+((SYSTEM_STATE.+slice.+state.+changed )|(ment ac)|(system.+state.+changed )|(\|lc)|(penalty)|(\[timeout)|(PRM\|1\|D)|(kpr)|(kdp))" /e /r /s</v>
      </c>
      <c r="AG81" s="1" t="str">
        <f t="shared" si="43"/>
        <v>EC</v>
      </c>
      <c r="AH81" s="100" t="str">
        <f t="shared" si="44"/>
        <v>"%USERPROFILE%\Documents\GitHub\eaglep3\Utilities\RefineRTDCRunTimes.py" --tripid 161-26 --locoid 4040 --swversion DE.1.0.7.0 --startMP 204:473 --initTime 2016-08-26T11:16:15 --startdatetime 2016-08-26T11:17:55 --delay 1 --endMP 204:233316 --enddatetime 2016-08-26T11:57:11 --enforcementcount 0 &gt;&gt;C:\Users\stu\Documents\GitHub\eaglep3-reporting\EC\2016-08-26-refined-times.txt</v>
      </c>
      <c r="AI8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{"issue":{"subject":"","project_id":79,"tracker_id":40,"status_id":1,"priority_id":2,"assigned_to_id":23,"start_date":"2016-08-26","description":"","custom_fields":[{"id":1,"name":"Subdivision","value":"EC"},{"id":4,"name":"Milepost","value":"23.2843"},{"id":17,"name":"Train ID","value":"161-26"},{"id":16,"name":"Locomotive ID","value":"4040"},{"id":130,"name":"Impact","value":""},{"id":150,"name":"Time of Event (Mountain Time)","value":"11:57:11"},{"id":151,"name":"Denver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447</v>
      </c>
      <c r="B82" s="7">
        <v>4039</v>
      </c>
      <c r="C82" s="24" t="s">
        <v>113</v>
      </c>
      <c r="D82" s="24" t="s">
        <v>206</v>
      </c>
      <c r="E82" s="15">
        <v>42608.499247685184</v>
      </c>
      <c r="F82" s="15">
        <v>42608.500405092593</v>
      </c>
      <c r="G82" s="7">
        <v>1</v>
      </c>
      <c r="H82" s="15" t="s">
        <v>281</v>
      </c>
      <c r="I82" s="15">
        <v>42608.536504629628</v>
      </c>
      <c r="J82" s="7">
        <v>0</v>
      </c>
      <c r="K82" s="132" t="str">
        <f t="shared" si="33"/>
        <v>4039/4040</v>
      </c>
      <c r="L82" s="24" t="str">
        <f>VLOOKUP(A82,'Trips&amp;Operators'!$C$1:$E$10000,3,FALSE)</f>
        <v>CLARK</v>
      </c>
      <c r="M82" s="6">
        <f t="shared" si="34"/>
        <v>3.6099537035624962E-2</v>
      </c>
      <c r="N82" s="7">
        <f t="shared" si="32"/>
        <v>51.983333331299946</v>
      </c>
      <c r="O82" s="7"/>
      <c r="P82" s="7"/>
      <c r="Q82" s="25"/>
      <c r="R82" s="25"/>
      <c r="S82" s="37">
        <f t="shared" si="31"/>
        <v>1</v>
      </c>
      <c r="T82" s="52" t="str">
        <f t="shared" si="35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10:58:55-0600',mode:absolute,to:'2016-08-26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82" s="54" t="str">
        <f t="shared" si="37"/>
        <v>N</v>
      </c>
      <c r="X82" s="120">
        <f t="shared" si="30"/>
        <v>1</v>
      </c>
      <c r="Y82" s="69">
        <f t="shared" si="38"/>
        <v>23.3</v>
      </c>
      <c r="Z82" s="69">
        <f t="shared" si="46"/>
        <v>1.2999999999999999E-2</v>
      </c>
      <c r="AA82" s="69">
        <f t="shared" si="39"/>
        <v>23.286999999999999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0"/>
        <v>0162-26</v>
      </c>
      <c r="AE82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82" s="96" t="str">
        <f t="shared" si="42"/>
        <v>"C:\Program Files (x86)\AstroGrep\AstroGrep.exe" /spath="%USERPROFILE%\AppData\Local\Temp\OnboardLogs" /stypes="*4039*20160826*" /stext=" 18:.+((SYSTEM_STATE.+slice.+state.+changed )|(ment ac)|(system.+state.+changed )|(\|lc)|(penalty)|(\[timeout)|(PRM\|1\|D)|(kpr)|(kdp))" /e /r /s</v>
      </c>
      <c r="AG82" s="1" t="str">
        <f t="shared" si="43"/>
        <v>EC</v>
      </c>
      <c r="AH82" s="100" t="str">
        <f t="shared" si="44"/>
        <v>"%USERPROFILE%\Documents\GitHub\eaglep3\Utilities\RefineRTDCRunTimes.py" --tripid 162-26 --locoid 4039 --swversion DE.1.0.7.0 --startMP 204:233000 --initTime 2016-08-26T11:58:55 --startdatetime 2016-08-26T12:00:35 --delay 1 --endMP 204:130 --enddatetime 2016-08-26T12:52:34 --enforcementcount 0 &gt;&gt;C:\Users\stu\Documents\GitHub\eaglep3-reporting\EC\2016-08-26-refined-times.txt</v>
      </c>
      <c r="AI8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{"issue":{"subject":"","project_id":79,"tracker_id":40,"status_id":1,"priority_id":2,"assigned_to_id":23,"start_date":"2016-08-26","description":"","custom_fields":[{"id":1,"name":"Subdivision","value":"EC"},{"id":4,"name":"Milepost","value":"23.287"},{"id":17,"name":"Train ID","value":"162-26"},{"id":16,"name":"Locomotive ID","value":"4039"},{"id":130,"name":"Impact","value":""},{"id":150,"name":"Time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441</v>
      </c>
      <c r="B83" s="7">
        <v>4027</v>
      </c>
      <c r="C83" s="24" t="s">
        <v>113</v>
      </c>
      <c r="D83" s="24" t="s">
        <v>138</v>
      </c>
      <c r="E83" s="15">
        <v>42608.473634259259</v>
      </c>
      <c r="F83" s="15">
        <v>42608.475092592591</v>
      </c>
      <c r="G83" s="7">
        <v>2</v>
      </c>
      <c r="H83" s="15" t="s">
        <v>306</v>
      </c>
      <c r="I83" s="15">
        <v>42608.507696759261</v>
      </c>
      <c r="J83" s="7">
        <v>0</v>
      </c>
      <c r="K83" s="132" t="str">
        <f t="shared" si="33"/>
        <v>4027/4028</v>
      </c>
      <c r="L83" s="24" t="str">
        <f>VLOOKUP(A83,'Trips&amp;Operators'!$C$1:$E$10000,3,FALSE)</f>
        <v>ROBINSON</v>
      </c>
      <c r="M83" s="6">
        <f t="shared" si="34"/>
        <v>3.2604166670353152E-2</v>
      </c>
      <c r="N83" s="7">
        <f t="shared" si="32"/>
        <v>46.950000005308539</v>
      </c>
      <c r="O83" s="7"/>
      <c r="P83" s="7"/>
      <c r="Q83" s="25"/>
      <c r="R83" s="25"/>
      <c r="S83" s="37">
        <f t="shared" si="31"/>
        <v>1</v>
      </c>
      <c r="T83" s="52" t="str">
        <f t="shared" si="35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10:22:02-0600',mode:absolute,to:'2016-08-26 13:11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3" s="54" t="str">
        <f t="shared" si="37"/>
        <v>N</v>
      </c>
      <c r="X83" s="120">
        <f t="shared" si="30"/>
        <v>1</v>
      </c>
      <c r="Y83" s="69">
        <f t="shared" si="38"/>
        <v>4.6899999999999997E-2</v>
      </c>
      <c r="Z83" s="69">
        <f t="shared" si="46"/>
        <v>23.332100000000001</v>
      </c>
      <c r="AA83" s="69">
        <f t="shared" si="39"/>
        <v>23.2852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0"/>
        <v>0163-26</v>
      </c>
      <c r="AE83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83" s="96" t="str">
        <f t="shared" si="42"/>
        <v>"C:\Program Files (x86)\AstroGrep\AstroGrep.exe" /spath="%USERPROFILE%\AppData\Local\Temp\OnboardLogs" /stypes="*4027*20160826*" /stext=" 18:.+((SYSTEM_STATE.+slice.+state.+changed )|(ment ac)|(system.+state.+changed )|(\|lc)|(penalty)|(\[timeout)|(PRM\|1\|D)|(kpr)|(kdp))" /e /r /s</v>
      </c>
      <c r="AG83" s="1" t="str">
        <f t="shared" si="43"/>
        <v>EC</v>
      </c>
      <c r="AH83" s="100" t="str">
        <f t="shared" si="44"/>
        <v>"%USERPROFILE%\Documents\GitHub\eaglep3\Utilities\RefineRTDCRunTimes.py" --tripid 163-26 --locoid 4027 --swversion DE.1.0.7.0 --startMP 204:469 --initTime 2016-08-26T11:22:02 --startdatetime 2016-08-26T11:24:08 --delay 2 --endMP 204:233321 --enddatetime 2016-08-26T12:11:05 --enforcementcount 0 &gt;&gt;C:\Users\stu\Documents\GitHub\eaglep3-reporting\EC\2016-08-26-refined-times.txt</v>
      </c>
      <c r="AI8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{"issue":{"subject":"","project_id":79,"tracker_id":40,"status_id":1,"priority_id":2,"assigned_to_id":23,"start_date":"2016-08-26","description":"","custom_fields":[{"id":1,"name":"Subdivision","value":"EC"},{"id":4,"name":"Milepost","value":"23.2852"},{"id":17,"name":"Train ID","value":"163-26"},{"id":16,"name":"Locomotive ID","value":"4027"},{"id":130,"name":"Impact","value":""},{"id":150,"name":"Time of Event (Mountain Time)","value":"12:11:05"},{"id":151,"name":"Denver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450</v>
      </c>
      <c r="B84" s="7">
        <v>4028</v>
      </c>
      <c r="C84" s="24" t="s">
        <v>113</v>
      </c>
      <c r="D84" s="24" t="s">
        <v>302</v>
      </c>
      <c r="E84" s="15">
        <v>42608.512349537035</v>
      </c>
      <c r="F84" s="15">
        <v>42608.51353009259</v>
      </c>
      <c r="G84" s="7">
        <v>1</v>
      </c>
      <c r="H84" s="15" t="s">
        <v>281</v>
      </c>
      <c r="I84" s="15">
        <v>42608.546875</v>
      </c>
      <c r="J84" s="7">
        <v>0</v>
      </c>
      <c r="K84" s="132" t="str">
        <f t="shared" si="33"/>
        <v>4027/4028</v>
      </c>
      <c r="L84" s="24" t="str">
        <f>VLOOKUP(A84,'Trips&amp;Operators'!$C$1:$E$10000,3,FALSE)</f>
        <v>ROBINSON</v>
      </c>
      <c r="M84" s="6">
        <f t="shared" si="34"/>
        <v>3.3344907409627922E-2</v>
      </c>
      <c r="N84" s="7">
        <f t="shared" si="32"/>
        <v>48.016666669864208</v>
      </c>
      <c r="O84" s="7"/>
      <c r="P84" s="7"/>
      <c r="Q84" s="25"/>
      <c r="R84" s="25"/>
      <c r="S84" s="37">
        <f t="shared" si="31"/>
        <v>1</v>
      </c>
      <c r="T84" s="52" t="str">
        <f t="shared" si="35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11:17:47-0600',mode:absolute,to:'2016-08-26 14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4" s="54" t="str">
        <f t="shared" si="37"/>
        <v>N</v>
      </c>
      <c r="X84" s="120">
        <f t="shared" si="30"/>
        <v>1</v>
      </c>
      <c r="Y84" s="69">
        <f t="shared" si="38"/>
        <v>23.300999999999998</v>
      </c>
      <c r="Z84" s="69">
        <f t="shared" si="46"/>
        <v>1.2999999999999999E-2</v>
      </c>
      <c r="AA84" s="69">
        <f t="shared" si="39"/>
        <v>23.287999999999997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0"/>
        <v>0164-26</v>
      </c>
      <c r="AE84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84" s="96" t="str">
        <f t="shared" si="42"/>
        <v>"C:\Program Files (x86)\AstroGrep\AstroGrep.exe" /spath="%USERPROFILE%\AppData\Local\Temp\OnboardLogs" /stypes="*4028*20160826*" /stext=" 19:.+((SYSTEM_STATE.+slice.+state.+changed )|(ment ac)|(system.+state.+changed )|(\|lc)|(penalty)|(\[timeout)|(PRM\|1\|D)|(kpr)|(kdp))" /e /r /s</v>
      </c>
      <c r="AG84" s="1" t="str">
        <f t="shared" si="43"/>
        <v>EC</v>
      </c>
      <c r="AH84" s="100" t="str">
        <f t="shared" si="44"/>
        <v>"%USERPROFILE%\Documents\GitHub\eaglep3\Utilities\RefineRTDCRunTimes.py" --tripid 164-26 --locoid 4028 --swversion DE.1.0.7.0 --startMP 204:233010 --initTime 2016-08-26T12:17:47 --startdatetime 2016-08-26T12:19:29 --delay 1 --endMP 204:130 --enddatetime 2016-08-26T13:07:30 --enforcementcount 0 &gt;&gt;C:\Users\stu\Documents\GitHub\eaglep3-reporting\EC\2016-08-26-refined-times.txt</v>
      </c>
      <c r="AI8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{"issue":{"subject":"","project_id":79,"tracker_id":40,"status_id":1,"priority_id":2,"assigned_to_id":23,"start_date":"2016-08-26","description":"","custom_fields":[{"id":1,"name":"Subdivision","value":"EC"},{"id":4,"name":"Milepost","value":"23.288"},{"id":17,"name":"Train ID","value":"164-26"},{"id":16,"name":"Locomotive ID","value":"4028"},{"id":130,"name":"Impact","value":""},{"id":150,"name":"Time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445</v>
      </c>
      <c r="B85" s="7">
        <v>4014</v>
      </c>
      <c r="C85" s="24" t="s">
        <v>113</v>
      </c>
      <c r="D85" s="24" t="s">
        <v>109</v>
      </c>
      <c r="E85" s="15">
        <v>42608.48846064815</v>
      </c>
      <c r="F85" s="15">
        <v>42608.489722222221</v>
      </c>
      <c r="G85" s="7">
        <v>1</v>
      </c>
      <c r="H85" s="15" t="s">
        <v>285</v>
      </c>
      <c r="I85" s="15">
        <v>42608.516087962962</v>
      </c>
      <c r="J85" s="7">
        <v>0</v>
      </c>
      <c r="K85" s="132" t="str">
        <f t="shared" si="33"/>
        <v>4013/4014</v>
      </c>
      <c r="L85" s="24" t="str">
        <f>VLOOKUP(A85,'Trips&amp;Operators'!$C$1:$E$10000,3,FALSE)</f>
        <v>MOSES</v>
      </c>
      <c r="M85" s="6">
        <f t="shared" si="34"/>
        <v>2.6365740741312038E-2</v>
      </c>
      <c r="N85" s="7">
        <f t="shared" si="32"/>
        <v>37.966666667489335</v>
      </c>
      <c r="O85" s="7"/>
      <c r="P85" s="7"/>
      <c r="Q85" s="25"/>
      <c r="R85" s="25"/>
      <c r="S85" s="37">
        <f t="shared" si="31"/>
        <v>1</v>
      </c>
      <c r="T85" s="52" t="str">
        <f t="shared" si="35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10:43:23-0600',mode:absolute,to:'2016-08-26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4" t="str">
        <f t="shared" si="37"/>
        <v>N</v>
      </c>
      <c r="X85" s="120">
        <f t="shared" si="30"/>
        <v>1</v>
      </c>
      <c r="Y85" s="69">
        <f t="shared" si="38"/>
        <v>4.6199999999999998E-2</v>
      </c>
      <c r="Z85" s="69">
        <f t="shared" si="46"/>
        <v>23.333200000000001</v>
      </c>
      <c r="AA85" s="69">
        <f t="shared" si="39"/>
        <v>23.287000000000003</v>
      </c>
      <c r="AB85" s="66">
        <f>VLOOKUP(A85,Enforcements!$C$7:$J$21,8,0)</f>
        <v>222090</v>
      </c>
      <c r="AC85" s="62" t="str">
        <f>VLOOKUP(A85,Enforcements!$C$7:$E$21,3,0)</f>
        <v>PERMANENT SPEED RESTRICTION</v>
      </c>
      <c r="AD85" s="63" t="str">
        <f t="shared" si="40"/>
        <v>0165-26</v>
      </c>
      <c r="AE85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85" s="96" t="str">
        <f t="shared" si="42"/>
        <v>"C:\Program Files (x86)\AstroGrep\AstroGrep.exe" /spath="%USERPROFILE%\AppData\Local\Temp\OnboardLogs" /stypes="*4014*20160826*" /stext=" 18:.+((SYSTEM_STATE.+slice.+state.+changed )|(ment ac)|(system.+state.+changed )|(\|lc)|(penalty)|(\[timeout)|(PRM\|1\|D)|(kpr)|(kdp))" /e /r /s</v>
      </c>
      <c r="AG85" s="1" t="str">
        <f t="shared" si="43"/>
        <v>EC</v>
      </c>
      <c r="AH85" s="100" t="str">
        <f t="shared" si="44"/>
        <v>"%USERPROFILE%\Documents\GitHub\eaglep3\Utilities\RefineRTDCRunTimes.py" --tripid 165-26 --locoid 4014 --swversion DE.1.0.7.0 --startMP 204:462 --initTime 2016-08-26T11:43:23 --startdatetime 2016-08-26T11:45:12 --delay 1 --endMP 204:233332 --enddatetime 2016-08-26T12:23:10 --enforcementcount 0 &gt;&gt;C:\Users\stu\Documents\GitHub\eaglep3-reporting\EC\2016-08-26-refined-times.txt</v>
      </c>
      <c r="AI8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{"issue":{"subject":"","project_id":79,"tracker_id":40,"status_id":1,"priority_id":2,"assigned_to_id":23,"start_date":"2016-08-26","description":"","custom_fields":[{"id":1,"name":"Subdivision","value":"EC"},{"id":4,"name":"Milepost","value":"23.287"},{"id":17,"name":"Train ID","value":"165-26"},{"id":16,"name":"Locomotive ID","value":"4014"},{"id":130,"name":"Impact","value":""},{"id":150,"name":"Time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452</v>
      </c>
      <c r="B86" s="7">
        <v>4013</v>
      </c>
      <c r="C86" s="24" t="s">
        <v>113</v>
      </c>
      <c r="D86" s="24" t="s">
        <v>631</v>
      </c>
      <c r="E86" s="15">
        <v>42608.523784722223</v>
      </c>
      <c r="F86" s="15">
        <v>42608.524756944447</v>
      </c>
      <c r="G86" s="7">
        <v>1</v>
      </c>
      <c r="H86" s="15" t="s">
        <v>132</v>
      </c>
      <c r="I86" s="15">
        <v>42608.556469907409</v>
      </c>
      <c r="J86" s="7">
        <v>0</v>
      </c>
      <c r="K86" s="132" t="str">
        <f t="shared" si="33"/>
        <v>4013/4014</v>
      </c>
      <c r="L86" s="24" t="str">
        <f>VLOOKUP(A86,'Trips&amp;Operators'!$C$1:$E$10000,3,FALSE)</f>
        <v>MOSES</v>
      </c>
      <c r="M86" s="6">
        <f t="shared" si="34"/>
        <v>3.1712962962046731E-2</v>
      </c>
      <c r="N86" s="7">
        <f t="shared" si="32"/>
        <v>45.666666665347293</v>
      </c>
      <c r="O86" s="7"/>
      <c r="P86" s="7"/>
      <c r="Q86" s="25"/>
      <c r="R86" s="25"/>
      <c r="S86" s="37">
        <f t="shared" si="31"/>
        <v>1</v>
      </c>
      <c r="T86" s="52" t="str">
        <f t="shared" si="35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11:34:15-0600',mode:absolute,to:'2016-08-26 14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4" t="str">
        <f t="shared" si="37"/>
        <v>N</v>
      </c>
      <c r="X86" s="120">
        <f t="shared" si="30"/>
        <v>1</v>
      </c>
      <c r="Y86" s="69">
        <f t="shared" si="38"/>
        <v>23.3019</v>
      </c>
      <c r="Z86" s="69">
        <f t="shared" si="46"/>
        <v>1.47E-2</v>
      </c>
      <c r="AA86" s="69">
        <f t="shared" si="39"/>
        <v>23.287199999999999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40"/>
        <v>0166-26</v>
      </c>
      <c r="AE86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86" s="96" t="str">
        <f t="shared" si="42"/>
        <v>"C:\Program Files (x86)\AstroGrep\AstroGrep.exe" /spath="%USERPROFILE%\AppData\Local\Temp\OnboardLogs" /stypes="*4013*20160826*" /stext=" 19:.+((SYSTEM_STATE.+slice.+state.+changed )|(ment ac)|(system.+state.+changed )|(\|lc)|(penalty)|(\[timeout)|(PRM\|1\|D)|(kpr)|(kdp))" /e /r /s</v>
      </c>
      <c r="AG86" s="1" t="str">
        <f t="shared" si="43"/>
        <v>EC</v>
      </c>
      <c r="AH86" s="100" t="str">
        <f t="shared" si="44"/>
        <v>"%USERPROFILE%\Documents\GitHub\eaglep3\Utilities\RefineRTDCRunTimes.py" --tripid 166-26 --locoid 4013 --swversion DE.1.0.7.0 --startMP 204:233019 --initTime 2016-08-26T12:34:15 --startdatetime 2016-08-26T12:35:39 --delay 1 --endMP 204:147 --enddatetime 2016-08-26T13:21:19 --enforcementcount 0 &gt;&gt;C:\Users\stu\Documents\GitHub\eaglep3-reporting\EC\2016-08-26-refined-times.txt</v>
      </c>
      <c r="AI8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{"issue":{"subject":"","project_id":79,"tracker_id":40,"status_id":1,"priority_id":2,"assigned_to_id":23,"start_date":"2016-08-26","description":"","custom_fields":[{"id":1,"name":"Subdivision","value":"EC"},{"id":4,"name":"Milepost","value":"23.2872"},{"id":17,"name":"Train ID","value":"166-26"},{"id":16,"name":"Locomotive ID","value":"4013"},{"id":130,"name":"Impact","value":""},{"id":150,"name":"Time of Event (Mountain Time)","value":"13:21:19"},{"id":151,"name":"Denver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x14ac:dyDescent="0.25">
      <c r="A87" s="39" t="s">
        <v>446</v>
      </c>
      <c r="B87" s="7">
        <v>4031</v>
      </c>
      <c r="C87" s="24" t="s">
        <v>113</v>
      </c>
      <c r="D87" s="24" t="s">
        <v>180</v>
      </c>
      <c r="E87" s="15">
        <v>42608.496331018519</v>
      </c>
      <c r="F87" s="15">
        <v>42608.497384259259</v>
      </c>
      <c r="G87" s="7">
        <v>1</v>
      </c>
      <c r="H87" s="15" t="s">
        <v>632</v>
      </c>
      <c r="I87" s="15">
        <v>42608.524722222224</v>
      </c>
      <c r="J87" s="7">
        <v>0</v>
      </c>
      <c r="K87" s="132" t="str">
        <f t="shared" si="33"/>
        <v>4031/4032</v>
      </c>
      <c r="L87" s="24" t="str">
        <f>VLOOKUP(A87,'Trips&amp;Operators'!$C$1:$E$10000,3,FALSE)</f>
        <v>STAMBAUGH</v>
      </c>
      <c r="M87" s="6">
        <f t="shared" si="34"/>
        <v>2.7337962965248153E-2</v>
      </c>
      <c r="N87" s="7">
        <f t="shared" si="32"/>
        <v>39.36666666995734</v>
      </c>
      <c r="O87" s="7"/>
      <c r="P87" s="7"/>
      <c r="Q87" s="25"/>
      <c r="R87" s="25"/>
      <c r="S87" s="37">
        <f t="shared" si="31"/>
        <v>1</v>
      </c>
      <c r="T87" s="52" t="str">
        <f t="shared" si="35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10:54:43-0600',mode:absolute,to:'2016-08-26 13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7" s="54" t="str">
        <f t="shared" si="37"/>
        <v>N</v>
      </c>
      <c r="X87" s="120">
        <f t="shared" si="30"/>
        <v>1</v>
      </c>
      <c r="Y87" s="69">
        <f t="shared" si="38"/>
        <v>4.7100000000000003E-2</v>
      </c>
      <c r="Z87" s="69">
        <f t="shared" si="46"/>
        <v>23.3355</v>
      </c>
      <c r="AA87" s="69">
        <f t="shared" si="39"/>
        <v>23.288399999999999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0"/>
        <v>0167-26</v>
      </c>
      <c r="AE87" s="99" t="str">
        <f t="shared" si="41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87" s="96" t="str">
        <f t="shared" si="42"/>
        <v>"C:\Program Files (x86)\AstroGrep\AstroGrep.exe" /spath="%USERPROFILE%\AppData\Local\Temp\OnboardLogs" /stypes="*4031*20160826*" /stext=" 18:.+((SYSTEM_STATE.+slice.+state.+changed )|(ment ac)|(system.+state.+changed )|(\|lc)|(penalty)|(\[timeout)|(PRM\|1\|D)|(kpr)|(kdp))" /e /r /s</v>
      </c>
      <c r="AG87" s="1" t="str">
        <f t="shared" si="43"/>
        <v>EC</v>
      </c>
      <c r="AH87" s="100" t="str">
        <f t="shared" si="44"/>
        <v>"%USERPROFILE%\Documents\GitHub\eaglep3\Utilities\RefineRTDCRunTimes.py" --tripid 167-26 --locoid 4031 --swversion DE.1.0.7.0 --startMP 204:471 --initTime 2016-08-26T11:54:43 --startdatetime 2016-08-26T11:56:14 --delay 1 --endMP 204:233355 --enddatetime 2016-08-26T12:35:36 --enforcementcount 0 &gt;&gt;C:\Users\stu\Documents\GitHub\eaglep3-reporting\EC\2016-08-26-refined-times.txt</v>
      </c>
      <c r="AI8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{"issue":{"subject":"","project_id":79,"tracker_id":40,"status_id":1,"priority_id":2,"assigned_to_id":23,"start_date":"2016-08-26","description":"","custom_fields":[{"id":1,"name":"Subdivision","value":"EC"},{"id":4,"name":"Milepost","value":"23.2884"},{"id":17,"name":"Train ID","value":"167-26"},{"id":16,"name":"Locomotive ID","value":"4031"},{"id":130,"name":"Impact","value":""},{"id":150,"name":"Time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455</v>
      </c>
      <c r="B88" s="7">
        <v>4032</v>
      </c>
      <c r="C88" s="24" t="s">
        <v>113</v>
      </c>
      <c r="D88" s="24" t="s">
        <v>633</v>
      </c>
      <c r="E88" s="15">
        <v>42608.535000000003</v>
      </c>
      <c r="F88" s="15">
        <v>42608.53634259259</v>
      </c>
      <c r="G88" s="7">
        <v>1</v>
      </c>
      <c r="H88" s="15" t="s">
        <v>290</v>
      </c>
      <c r="I88" s="15">
        <v>42608.566886574074</v>
      </c>
      <c r="J88" s="7">
        <v>0</v>
      </c>
      <c r="K88" s="132" t="str">
        <f t="shared" si="33"/>
        <v>4031/4032</v>
      </c>
      <c r="L88" s="24" t="str">
        <f>VLOOKUP(A88,'Trips&amp;Operators'!$C$1:$E$10000,3,FALSE)</f>
        <v>STAMBAUGH</v>
      </c>
      <c r="M88" s="6">
        <f t="shared" si="34"/>
        <v>3.054398148378823E-2</v>
      </c>
      <c r="N88" s="7">
        <f t="shared" si="32"/>
        <v>43.983333336655051</v>
      </c>
      <c r="O88" s="7"/>
      <c r="P88" s="7"/>
      <c r="Q88" s="25"/>
      <c r="R88" s="25"/>
      <c r="S88" s="37">
        <f t="shared" si="31"/>
        <v>1</v>
      </c>
      <c r="T88" s="52" t="str">
        <f t="shared" si="35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11:50:24-0600',mode:absolute,to:'2016-08-26 14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8" s="54" t="str">
        <f t="shared" si="37"/>
        <v>N</v>
      </c>
      <c r="X88" s="120">
        <f t="shared" ref="X88:X119" si="47">VALUE(LEFT(AD88,4))-VALUE(LEFT(AD87,4))</f>
        <v>1</v>
      </c>
      <c r="Y88" s="69">
        <f t="shared" si="38"/>
        <v>23.302099999999999</v>
      </c>
      <c r="Z88" s="69">
        <f t="shared" si="46"/>
        <v>1.32E-2</v>
      </c>
      <c r="AA88" s="69">
        <f t="shared" si="39"/>
        <v>23.288899999999998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0"/>
        <v>0168-26</v>
      </c>
      <c r="AE88" s="99" t="str">
        <f t="shared" si="41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88" s="96" t="str">
        <f t="shared" si="42"/>
        <v>"C:\Program Files (x86)\AstroGrep\AstroGrep.exe" /spath="%USERPROFILE%\AppData\Local\Temp\OnboardLogs" /stypes="*4032*20160826*" /stext=" 19:.+((SYSTEM_STATE.+slice.+state.+changed )|(ment ac)|(system.+state.+changed )|(\|lc)|(penalty)|(\[timeout)|(PRM\|1\|D)|(kpr)|(kdp))" /e /r /s</v>
      </c>
      <c r="AG88" s="1" t="str">
        <f t="shared" si="43"/>
        <v>EC</v>
      </c>
      <c r="AH88" s="100" t="str">
        <f t="shared" si="44"/>
        <v>"%USERPROFILE%\Documents\GitHub\eaglep3\Utilities\RefineRTDCRunTimes.py" --tripid 168-26 --locoid 4032 --swversion DE.1.0.7.0 --startMP 204:233021 --initTime 2016-08-26T12:50:24 --startdatetime 2016-08-26T12:52:20 --delay 1 --endMP 204:132 --enddatetime 2016-08-26T13:36:19 --enforcementcount 0 &gt;&gt;C:\Users\stu\Documents\GitHub\eaglep3-reporting\EC\2016-08-26-refined-times.txt</v>
      </c>
      <c r="AI8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{"issue":{"subject":"","project_id":79,"tracker_id":40,"status_id":1,"priority_id":2,"assigned_to_id":23,"start_date":"2016-08-26","description":"","custom_fields":[{"id":1,"name":"Subdivision","value":"EC"},{"id":4,"name":"Milepost","value":"23.2889"},{"id":17,"name":"Train ID","value":"168-26"},{"id":16,"name":"Locomotive ID","value":"4032"},{"id":130,"name":"Impact","value":""},{"id":150,"name":"Time of Event (Mountain Time)","value":"13:36:19"},{"id":151,"name":"Denver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448</v>
      </c>
      <c r="B89" s="7">
        <v>4025</v>
      </c>
      <c r="C89" s="24" t="s">
        <v>113</v>
      </c>
      <c r="D89" s="24" t="s">
        <v>139</v>
      </c>
      <c r="E89" s="15">
        <v>42608.508437500001</v>
      </c>
      <c r="F89" s="15">
        <v>42608.510104166664</v>
      </c>
      <c r="G89" s="7">
        <v>2</v>
      </c>
      <c r="H89" s="15" t="s">
        <v>216</v>
      </c>
      <c r="I89" s="15">
        <v>42608.536550925928</v>
      </c>
      <c r="J89" s="7">
        <v>0</v>
      </c>
      <c r="K89" s="132" t="str">
        <f t="shared" si="33"/>
        <v>4025/4026</v>
      </c>
      <c r="L89" s="24" t="str">
        <f>VLOOKUP(A89,'Trips&amp;Operators'!$C$1:$E$10000,3,FALSE)</f>
        <v>SHOOK</v>
      </c>
      <c r="M89" s="6">
        <f t="shared" si="34"/>
        <v>2.644675926421769E-2</v>
      </c>
      <c r="N89" s="7">
        <f t="shared" si="32"/>
        <v>38.083333340473473</v>
      </c>
      <c r="O89" s="7"/>
      <c r="P89" s="7"/>
      <c r="Q89" s="25"/>
      <c r="R89" s="25"/>
      <c r="S89" s="37">
        <f t="shared" si="31"/>
        <v>1</v>
      </c>
      <c r="T89" s="52" t="str">
        <f t="shared" si="35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11:12:09-0600',mode:absolute,to:'2016-08-26 13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9" s="54" t="str">
        <f t="shared" si="37"/>
        <v>N</v>
      </c>
      <c r="X89" s="120">
        <f t="shared" si="47"/>
        <v>1</v>
      </c>
      <c r="Y89" s="69">
        <f t="shared" si="38"/>
        <v>4.6699999999999998E-2</v>
      </c>
      <c r="Z89" s="69">
        <f t="shared" si="46"/>
        <v>23.3368</v>
      </c>
      <c r="AA89" s="69">
        <f t="shared" si="39"/>
        <v>23.290099999999999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0"/>
        <v>0169-26</v>
      </c>
      <c r="AE89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89" s="96" t="str">
        <f t="shared" si="42"/>
        <v>"C:\Program Files (x86)\AstroGrep\AstroGrep.exe" /spath="%USERPROFILE%\AppData\Local\Temp\OnboardLogs" /stypes="*4025*20160826*" /stext=" 18:.+((SYSTEM_STATE.+slice.+state.+changed )|(ment ac)|(system.+state.+changed )|(\|lc)|(penalty)|(\[timeout)|(PRM\|1\|D)|(kpr)|(kdp))" /e /r /s</v>
      </c>
      <c r="AG89" s="1" t="str">
        <f t="shared" si="43"/>
        <v>EC</v>
      </c>
      <c r="AH89" s="100" t="str">
        <f t="shared" si="44"/>
        <v>"%USERPROFILE%\Documents\GitHub\eaglep3\Utilities\RefineRTDCRunTimes.py" --tripid 169-26 --locoid 4025 --swversion DE.1.0.7.0 --startMP 204:467 --initTime 2016-08-26T12:12:09 --startdatetime 2016-08-26T12:14:33 --delay 2 --endMP 204:233368 --enddatetime 2016-08-26T12:52:38 --enforcementcount 0 &gt;&gt;C:\Users\stu\Documents\GitHub\eaglep3-reporting\EC\2016-08-26-refined-times.txt</v>
      </c>
      <c r="AI8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{"issue":{"subject":"","project_id":79,"tracker_id":40,"status_id":1,"priority_id":2,"assigned_to_id":23,"start_date":"2016-08-26","description":"","custom_fields":[{"id":1,"name":"Subdivision","value":"EC"},{"id":4,"name":"Milepost","value":"23.2901"},{"id":17,"name":"Train ID","value":"169-26"},{"id":16,"name":"Locomotive ID","value":"4025"},{"id":130,"name":"Impact","value":""},{"id":150,"name":"Time of Event (Mountain Time)","value":"12:52:38"},{"id":151,"name":"Denver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457</v>
      </c>
      <c r="B90" s="7">
        <v>4026</v>
      </c>
      <c r="C90" s="24" t="s">
        <v>113</v>
      </c>
      <c r="D90" s="24" t="s">
        <v>634</v>
      </c>
      <c r="E90" s="15">
        <v>42608.544594907406</v>
      </c>
      <c r="F90" s="15">
        <v>42608.545636574076</v>
      </c>
      <c r="G90" s="7">
        <v>1</v>
      </c>
      <c r="H90" s="15" t="s">
        <v>89</v>
      </c>
      <c r="I90" s="15">
        <v>42608.579293981478</v>
      </c>
      <c r="J90" s="7">
        <v>0</v>
      </c>
      <c r="K90" s="132" t="str">
        <f t="shared" si="33"/>
        <v>4025/4026</v>
      </c>
      <c r="L90" s="24" t="str">
        <f>VLOOKUP(A90,'Trips&amp;Operators'!$C$1:$E$10000,3,FALSE)</f>
        <v>SHOOK</v>
      </c>
      <c r="M90" s="6">
        <f t="shared" si="34"/>
        <v>3.3657407402643003E-2</v>
      </c>
      <c r="N90" s="7">
        <f t="shared" si="32"/>
        <v>48.466666659805924</v>
      </c>
      <c r="O90" s="7"/>
      <c r="P90" s="7"/>
      <c r="Q90" s="25"/>
      <c r="R90" s="25"/>
      <c r="S90" s="37">
        <f t="shared" si="31"/>
        <v>1</v>
      </c>
      <c r="T90" s="52" t="str">
        <f t="shared" si="35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12:04:13-0600',mode:absolute,to:'2016-08-26 14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0" s="54" t="str">
        <f t="shared" si="37"/>
        <v>N</v>
      </c>
      <c r="X90" s="120">
        <f t="shared" si="47"/>
        <v>1</v>
      </c>
      <c r="Y90" s="69">
        <f t="shared" si="38"/>
        <v>23.3049</v>
      </c>
      <c r="Z90" s="69">
        <f t="shared" si="46"/>
        <v>1.43E-2</v>
      </c>
      <c r="AA90" s="69">
        <f t="shared" si="39"/>
        <v>23.290600000000001</v>
      </c>
      <c r="AB90" s="66">
        <f>VLOOKUP(A90,Enforcements!$C$7:$J$21,8,0)</f>
        <v>42961</v>
      </c>
      <c r="AC90" s="62" t="str">
        <f>VLOOKUP(A90,Enforcements!$C$7:$E$21,3,0)</f>
        <v>GRADE CROSSING</v>
      </c>
      <c r="AD90" s="63" t="str">
        <f t="shared" si="40"/>
        <v>0170-26</v>
      </c>
      <c r="AE90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90" s="96" t="str">
        <f t="shared" si="42"/>
        <v>"C:\Program Files (x86)\AstroGrep\AstroGrep.exe" /spath="%USERPROFILE%\AppData\Local\Temp\OnboardLogs" /stypes="*4026*20160826*" /stext=" 19:.+((SYSTEM_STATE.+slice.+state.+changed )|(ment ac)|(system.+state.+changed )|(\|lc)|(penalty)|(\[timeout)|(PRM\|1\|D)|(kpr)|(kdp))" /e /r /s</v>
      </c>
      <c r="AG90" s="1" t="str">
        <f t="shared" si="43"/>
        <v>EC</v>
      </c>
      <c r="AH90" s="100" t="str">
        <f t="shared" si="44"/>
        <v>"%USERPROFILE%\Documents\GitHub\eaglep3\Utilities\RefineRTDCRunTimes.py" --tripid 170-26 --locoid 4026 --swversion DE.1.0.7.0 --startMP 204:233049 --initTime 2016-08-26T13:04:13 --startdatetime 2016-08-26T13:05:43 --delay 1 --endMP 204:143 --enddatetime 2016-08-26T13:54:11 --enforcementcount 0 &gt;&gt;C:\Users\stu\Documents\GitHub\eaglep3-reporting\EC\2016-08-26-refined-times.txt</v>
      </c>
      <c r="AI9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{"issue":{"subject":"","project_id":79,"tracker_id":40,"status_id":1,"priority_id":2,"assigned_to_id":23,"start_date":"2016-08-26","description":"","custom_fields":[{"id":1,"name":"Subdivision","value":"EC"},{"id":4,"name":"Milepost","value":"23.2906"},{"id":17,"name":"Train ID","value":"170-26"},{"id":16,"name":"Locomotive ID","value":"4026"},{"id":130,"name":"Impact","value":""},{"id":150,"name":"Time of Event (Mountain Time)","value":"13:54:11"},{"id":151,"name":"Denver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451</v>
      </c>
      <c r="B91" s="7">
        <v>4038</v>
      </c>
      <c r="C91" s="24" t="s">
        <v>113</v>
      </c>
      <c r="D91" s="24" t="s">
        <v>222</v>
      </c>
      <c r="E91" s="15">
        <v>42608.519583333335</v>
      </c>
      <c r="F91" s="15">
        <v>42608.52107638889</v>
      </c>
      <c r="G91" s="7">
        <v>2</v>
      </c>
      <c r="H91" s="15" t="s">
        <v>179</v>
      </c>
      <c r="I91" s="15">
        <v>42608.547673611109</v>
      </c>
      <c r="J91" s="7">
        <v>0</v>
      </c>
      <c r="K91" s="132" t="str">
        <f t="shared" si="33"/>
        <v>4037/4038</v>
      </c>
      <c r="L91" s="24" t="str">
        <f>VLOOKUP(A91,'Trips&amp;Operators'!$C$1:$E$10000,3,FALSE)</f>
        <v>WEBSTER</v>
      </c>
      <c r="M91" s="6">
        <f t="shared" si="34"/>
        <v>2.6597222218697425E-2</v>
      </c>
      <c r="N91" s="7">
        <f t="shared" si="32"/>
        <v>38.299999994924292</v>
      </c>
      <c r="O91" s="7"/>
      <c r="P91" s="7"/>
      <c r="Q91" s="25"/>
      <c r="R91" s="25"/>
      <c r="S91" s="37">
        <f t="shared" si="31"/>
        <v>1</v>
      </c>
      <c r="T91" s="52" t="str">
        <f t="shared" si="35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11:28:12-0600',mode:absolute,to:'2016-08-26 14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1" s="54" t="str">
        <f t="shared" si="37"/>
        <v>N</v>
      </c>
      <c r="X91" s="120">
        <f t="shared" si="47"/>
        <v>1</v>
      </c>
      <c r="Y91" s="69">
        <f t="shared" si="38"/>
        <v>4.6399999999999997E-2</v>
      </c>
      <c r="Z91" s="69">
        <f t="shared" si="46"/>
        <v>23.331399999999999</v>
      </c>
      <c r="AA91" s="69">
        <f t="shared" si="39"/>
        <v>23.285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0"/>
        <v>0171-26</v>
      </c>
      <c r="AE91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91" s="96" t="str">
        <f t="shared" si="42"/>
        <v>"C:\Program Files (x86)\AstroGrep\AstroGrep.exe" /spath="%USERPROFILE%\AppData\Local\Temp\OnboardLogs" /stypes="*4038*20160826*" /stext=" 19:.+((SYSTEM_STATE.+slice.+state.+changed )|(ment ac)|(system.+state.+changed )|(\|lc)|(penalty)|(\[timeout)|(PRM\|1\|D)|(kpr)|(kdp))" /e /r /s</v>
      </c>
      <c r="AG91" s="1" t="str">
        <f t="shared" si="43"/>
        <v>EC</v>
      </c>
      <c r="AH91" s="100" t="str">
        <f t="shared" si="44"/>
        <v>"%USERPROFILE%\Documents\GitHub\eaglep3\Utilities\RefineRTDCRunTimes.py" --tripid 171-26 --locoid 4038 --swversion DE.1.0.7.0 --startMP 204:464 --initTime 2016-08-26T12:28:12 --startdatetime 2016-08-26T12:30:21 --delay 2 --endMP 204:233314 --enddatetime 2016-08-26T13:08:39 --enforcementcount 0 &gt;&gt;C:\Users\stu\Documents\GitHub\eaglep3-reporting\EC\2016-08-26-refined-times.txt</v>
      </c>
      <c r="AI9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{"issue":{"subject":"","project_id":79,"tracker_id":40,"status_id":1,"priority_id":2,"assigned_to_id":23,"start_date":"2016-08-26","description":"","custom_fields":[{"id":1,"name":"Subdivision","value":"EC"},{"id":4,"name":"Milepost","value":"23.285"},{"id":17,"name":"Train ID","value":"171-26"},{"id":16,"name":"Locomotive ID","value":"4038"},{"id":130,"name":"Impact","value":""},{"id":150,"name":"Time of Event (Mountain Time)","value":"13:08:39"},{"id":151,"name":"Denver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460</v>
      </c>
      <c r="B92" s="7">
        <v>4037</v>
      </c>
      <c r="C92" s="24" t="s">
        <v>113</v>
      </c>
      <c r="D92" s="24" t="s">
        <v>206</v>
      </c>
      <c r="E92" s="15">
        <v>42608.556018518517</v>
      </c>
      <c r="F92" s="15">
        <v>42608.557187500002</v>
      </c>
      <c r="G92" s="7">
        <v>1</v>
      </c>
      <c r="H92" s="15" t="s">
        <v>290</v>
      </c>
      <c r="I92" s="15">
        <v>42608.588865740741</v>
      </c>
      <c r="J92" s="7">
        <v>0</v>
      </c>
      <c r="K92" s="132" t="str">
        <f t="shared" si="33"/>
        <v>4037/4038</v>
      </c>
      <c r="L92" s="24" t="str">
        <f>VLOOKUP(A92,'Trips&amp;Operators'!$C$1:$E$10000,3,FALSE)</f>
        <v>WEBSTER</v>
      </c>
      <c r="M92" s="6">
        <f t="shared" si="34"/>
        <v>3.1678240738983732E-2</v>
      </c>
      <c r="N92" s="7">
        <f t="shared" si="32"/>
        <v>45.616666664136574</v>
      </c>
      <c r="O92" s="7"/>
      <c r="P92" s="7"/>
      <c r="Q92" s="25"/>
      <c r="R92" s="25"/>
      <c r="S92" s="37">
        <f t="shared" si="31"/>
        <v>1</v>
      </c>
      <c r="T92" s="52" t="str">
        <f t="shared" si="35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12:20:40-0600',mode:absolute,to:'2016-08-26 15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2" s="54" t="str">
        <f t="shared" si="37"/>
        <v>N</v>
      </c>
      <c r="X92" s="120">
        <f t="shared" si="47"/>
        <v>1</v>
      </c>
      <c r="Y92" s="69">
        <f t="shared" si="38"/>
        <v>23.3</v>
      </c>
      <c r="Z92" s="69">
        <f t="shared" si="46"/>
        <v>1.32E-2</v>
      </c>
      <c r="AA92" s="69">
        <f t="shared" si="39"/>
        <v>23.286799999999999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0"/>
        <v>0172-26</v>
      </c>
      <c r="AE92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92" s="96" t="str">
        <f t="shared" si="42"/>
        <v>"C:\Program Files (x86)\AstroGrep\AstroGrep.exe" /spath="%USERPROFILE%\AppData\Local\Temp\OnboardLogs" /stypes="*4037*20160826*" /stext=" 20:.+((SYSTEM_STATE.+slice.+state.+changed )|(ment ac)|(system.+state.+changed )|(\|lc)|(penalty)|(\[timeout)|(PRM\|1\|D)|(kpr)|(kdp))" /e /r /s</v>
      </c>
      <c r="AG92" s="1" t="str">
        <f t="shared" si="43"/>
        <v>EC</v>
      </c>
      <c r="AH92" s="100" t="str">
        <f t="shared" si="44"/>
        <v>"%USERPROFILE%\Documents\GitHub\eaglep3\Utilities\RefineRTDCRunTimes.py" --tripid 172-26 --locoid 4037 --swversion DE.1.0.7.0 --startMP 204:233000 --initTime 2016-08-26T13:20:40 --startdatetime 2016-08-26T13:22:21 --delay 1 --endMP 204:132 --enddatetime 2016-08-26T14:07:58 --enforcementcount 0 &gt;&gt;C:\Users\stu\Documents\GitHub\eaglep3-reporting\EC\2016-08-26-refined-times.txt</v>
      </c>
      <c r="AI9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{"issue":{"subject":"","project_id":79,"tracker_id":40,"status_id":1,"priority_id":2,"assigned_to_id":23,"start_date":"2016-08-26","description":"","custom_fields":[{"id":1,"name":"Subdivision","value":"EC"},{"id":4,"name":"Milepost","value":"23.2868"},{"id":17,"name":"Train ID","value":"172-26"},{"id":16,"name":"Locomotive ID","value":"4037"},{"id":130,"name":"Impact","value":""},{"id":150,"name":"Time of Event (Mountain Time)","value":"14:07:58"},{"id":151,"name":"Denver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454</v>
      </c>
      <c r="B93" s="7">
        <v>4002</v>
      </c>
      <c r="C93" s="24" t="s">
        <v>113</v>
      </c>
      <c r="D93" s="24" t="s">
        <v>203</v>
      </c>
      <c r="E93" s="15">
        <v>42608.528657407405</v>
      </c>
      <c r="F93" s="15">
        <v>42608.529965277776</v>
      </c>
      <c r="G93" s="7">
        <v>1</v>
      </c>
      <c r="H93" s="15" t="s">
        <v>283</v>
      </c>
      <c r="I93" s="15">
        <v>42608.557986111111</v>
      </c>
      <c r="J93" s="7">
        <v>0</v>
      </c>
      <c r="K93" s="132" t="str">
        <f t="shared" si="33"/>
        <v>4001/4002</v>
      </c>
      <c r="L93" s="24" t="str">
        <f>VLOOKUP(A93,'Trips&amp;Operators'!$C$1:$E$10000,3,FALSE)</f>
        <v>STEWART</v>
      </c>
      <c r="M93" s="6">
        <f t="shared" si="34"/>
        <v>2.8020833335176576E-2</v>
      </c>
      <c r="N93" s="7">
        <f t="shared" si="32"/>
        <v>40.350000002654269</v>
      </c>
      <c r="O93" s="7"/>
      <c r="P93" s="7"/>
      <c r="Q93" s="25"/>
      <c r="R93" s="25"/>
      <c r="S93" s="37">
        <f t="shared" si="31"/>
        <v>1</v>
      </c>
      <c r="T93" s="52" t="str">
        <f t="shared" si="35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11:41:16-0600',mode:absolute,to:'2016-08-26 14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3" s="54" t="str">
        <f t="shared" si="37"/>
        <v>N</v>
      </c>
      <c r="X93" s="120">
        <f t="shared" si="47"/>
        <v>1</v>
      </c>
      <c r="Y93" s="69">
        <f t="shared" si="38"/>
        <v>4.3499999999999997E-2</v>
      </c>
      <c r="Z93" s="69">
        <f t="shared" si="46"/>
        <v>23.328900000000001</v>
      </c>
      <c r="AA93" s="69">
        <f t="shared" si="39"/>
        <v>23.285399999999999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0"/>
        <v>0173-26</v>
      </c>
      <c r="AE93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93" s="96" t="str">
        <f t="shared" si="42"/>
        <v>"C:\Program Files (x86)\AstroGrep\AstroGrep.exe" /spath="%USERPROFILE%\AppData\Local\Temp\OnboardLogs" /stypes="*4002*20160826*" /stext=" 19:.+((SYSTEM_STATE.+slice.+state.+changed )|(ment ac)|(system.+state.+changed )|(\|lc)|(penalty)|(\[timeout)|(PRM\|1\|D)|(kpr)|(kdp))" /e /r /s</v>
      </c>
      <c r="AG93" s="1" t="str">
        <f t="shared" si="43"/>
        <v>EC</v>
      </c>
      <c r="AH93" s="100" t="str">
        <f t="shared" si="44"/>
        <v>"%USERPROFILE%\Documents\GitHub\eaglep3\Utilities\RefineRTDCRunTimes.py" --tripid 173-26 --locoid 4002 --swversion DE.1.0.7.0 --startMP 204:435 --initTime 2016-08-26T12:41:16 --startdatetime 2016-08-26T12:43:09 --delay 1 --endMP 204:233289 --enddatetime 2016-08-26T13:23:30 --enforcementcount 0 &gt;&gt;C:\Users\stu\Documents\GitHub\eaglep3-reporting\EC\2016-08-26-refined-times.txt</v>
      </c>
      <c r="AI9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{"issue":{"subject":"","project_id":79,"tracker_id":40,"status_id":1,"priority_id":2,"assigned_to_id":23,"start_date":"2016-08-26","description":"","custom_fields":[{"id":1,"name":"Subdivision","value":"EC"},{"id":4,"name":"Milepost","value":"23.2854"},{"id":17,"name":"Train ID","value":"173-26"},{"id":16,"name":"Locomotive ID","value":"4002"},{"id":130,"name":"Impact","value":""},{"id":150,"name":"Time of Event (Mountain Time)","value":"13:23:30"},{"id":151,"name":"Denver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465</v>
      </c>
      <c r="B94" s="7">
        <v>4001</v>
      </c>
      <c r="C94" s="24" t="s">
        <v>113</v>
      </c>
      <c r="D94" s="24" t="s">
        <v>286</v>
      </c>
      <c r="E94" s="15">
        <v>42608.571550925924</v>
      </c>
      <c r="F94" s="15">
        <v>42608.572581018518</v>
      </c>
      <c r="G94" s="7">
        <v>1</v>
      </c>
      <c r="H94" s="15" t="s">
        <v>131</v>
      </c>
      <c r="I94" s="15">
        <v>42608.600682870368</v>
      </c>
      <c r="J94" s="7">
        <v>0</v>
      </c>
      <c r="K94" s="132" t="str">
        <f t="shared" si="33"/>
        <v>4001/4002</v>
      </c>
      <c r="L94" s="24" t="str">
        <f>VLOOKUP(A94,'Trips&amp;Operators'!$C$1:$E$10000,3,FALSE)</f>
        <v>STEWART</v>
      </c>
      <c r="M94" s="6">
        <f t="shared" si="34"/>
        <v>2.810185185080627E-2</v>
      </c>
      <c r="N94" s="7">
        <f t="shared" si="32"/>
        <v>40.466666665161029</v>
      </c>
      <c r="O94" s="7"/>
      <c r="P94" s="7"/>
      <c r="Q94" s="25"/>
      <c r="R94" s="25"/>
      <c r="S94" s="37">
        <f t="shared" si="31"/>
        <v>1</v>
      </c>
      <c r="T94" s="52" t="str">
        <f t="shared" si="35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12:43:02-0600',mode:absolute,to:'2016-08-26 15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4" s="54" t="str">
        <f t="shared" si="37"/>
        <v>N</v>
      </c>
      <c r="X94" s="120">
        <f t="shared" si="47"/>
        <v>1</v>
      </c>
      <c r="Y94" s="69">
        <f t="shared" si="38"/>
        <v>23.297699999999999</v>
      </c>
      <c r="Z94" s="69">
        <f t="shared" si="46"/>
        <v>1.5800000000000002E-2</v>
      </c>
      <c r="AA94" s="69">
        <f t="shared" si="39"/>
        <v>23.2819</v>
      </c>
      <c r="AB94" s="66">
        <f>VLOOKUP(A94,Enforcements!$C$7:$J$21,8,0)</f>
        <v>228668</v>
      </c>
      <c r="AC94" s="62" t="str">
        <f>VLOOKUP(A94,Enforcements!$C$7:$E$21,3,0)</f>
        <v>PERMANENT SPEED RESTRICTION</v>
      </c>
      <c r="AD94" s="63" t="str">
        <f t="shared" si="40"/>
        <v>0174-26</v>
      </c>
      <c r="AE94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94" s="96" t="str">
        <f t="shared" si="42"/>
        <v>"C:\Program Files (x86)\AstroGrep\AstroGrep.exe" /spath="%USERPROFILE%\AppData\Local\Temp\OnboardLogs" /stypes="*4001*20160826*" /stext=" 20:.+((SYSTEM_STATE.+slice.+state.+changed )|(ment ac)|(system.+state.+changed )|(\|lc)|(penalty)|(\[timeout)|(PRM\|1\|D)|(kpr)|(kdp))" /e /r /s</v>
      </c>
      <c r="AG94" s="1" t="str">
        <f t="shared" si="43"/>
        <v>EC</v>
      </c>
      <c r="AH94" s="100" t="str">
        <f t="shared" si="44"/>
        <v>"%USERPROFILE%\Documents\GitHub\eaglep3\Utilities\RefineRTDCRunTimes.py" --tripid 174-26 --locoid 4001 --swversion DE.1.0.7.0 --startMP 204:232977 --initTime 2016-08-26T13:43:02 --startdatetime 2016-08-26T13:44:31 --delay 1 --endMP 204:158 --enddatetime 2016-08-26T14:24:59 --enforcementcount 0 &gt;&gt;C:\Users\stu\Documents\GitHub\eaglep3-reporting\EC\2016-08-26-refined-times.txt</v>
      </c>
      <c r="AI9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{"issue":{"subject":"","project_id":79,"tracker_id":40,"status_id":1,"priority_id":2,"assigned_to_id":23,"start_date":"2016-08-26","description":"","custom_fields":[{"id":1,"name":"Subdivision","value":"EC"},{"id":4,"name":"Milepost","value":"23.2819"},{"id":17,"name":"Train ID","value":"174-26"},{"id":16,"name":"Locomotive ID","value":"4001"},{"id":130,"name":"Impact","value":""},{"id":150,"name":"Time of Event (Mountain Time)","value":"14:24:59"},{"id":151,"name":"Denver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456</v>
      </c>
      <c r="B95" s="7">
        <v>4040</v>
      </c>
      <c r="C95" s="24" t="s">
        <v>113</v>
      </c>
      <c r="D95" s="24" t="s">
        <v>135</v>
      </c>
      <c r="E95" s="15">
        <v>42608.538101851853</v>
      </c>
      <c r="F95" s="15">
        <v>42608.539120370369</v>
      </c>
      <c r="G95" s="7">
        <v>1</v>
      </c>
      <c r="H95" s="15" t="s">
        <v>289</v>
      </c>
      <c r="I95" s="15">
        <v>42608.569444444445</v>
      </c>
      <c r="J95" s="7">
        <v>0</v>
      </c>
      <c r="K95" s="132" t="str">
        <f t="shared" si="33"/>
        <v>4039/4040</v>
      </c>
      <c r="L95" s="24" t="str">
        <f>VLOOKUP(A95,'Trips&amp;Operators'!$C$1:$E$10000,3,FALSE)</f>
        <v>CLARK</v>
      </c>
      <c r="M95" s="6">
        <f t="shared" si="34"/>
        <v>3.0324074075906537E-2</v>
      </c>
      <c r="N95" s="7">
        <f t="shared" si="32"/>
        <v>43.666666669305414</v>
      </c>
      <c r="O95" s="7"/>
      <c r="P95" s="7"/>
      <c r="Q95" s="25"/>
      <c r="R95" s="25"/>
      <c r="S95" s="37">
        <f t="shared" si="31"/>
        <v>1</v>
      </c>
      <c r="T95" s="52" t="str">
        <f t="shared" si="35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11:54:52-0600',mode:absolute,to:'2016-08-26 14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95" s="54" t="str">
        <f t="shared" si="37"/>
        <v>N</v>
      </c>
      <c r="X95" s="120">
        <f t="shared" si="47"/>
        <v>1</v>
      </c>
      <c r="Y95" s="69">
        <f t="shared" si="38"/>
        <v>4.4900000000000002E-2</v>
      </c>
      <c r="Z95" s="69">
        <f t="shared" si="46"/>
        <v>23.334199999999999</v>
      </c>
      <c r="AA95" s="69">
        <f t="shared" si="39"/>
        <v>23.289300000000001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0"/>
        <v>0175-26</v>
      </c>
      <c r="AE95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95" s="96" t="str">
        <f t="shared" si="42"/>
        <v>"C:\Program Files (x86)\AstroGrep\AstroGrep.exe" /spath="%USERPROFILE%\AppData\Local\Temp\OnboardLogs" /stypes="*4040*20160826*" /stext=" 19:.+((SYSTEM_STATE.+slice.+state.+changed )|(ment ac)|(system.+state.+changed )|(\|lc)|(penalty)|(\[timeout)|(PRM\|1\|D)|(kpr)|(kdp))" /e /r /s</v>
      </c>
      <c r="AG95" s="1" t="str">
        <f t="shared" si="43"/>
        <v>EC</v>
      </c>
      <c r="AH95" s="100" t="str">
        <f t="shared" si="44"/>
        <v>"%USERPROFILE%\Documents\GitHub\eaglep3\Utilities\RefineRTDCRunTimes.py" --tripid 175-26 --locoid 4040 --swversion DE.1.0.7.0 --startMP 204:449 --initTime 2016-08-26T12:54:52 --startdatetime 2016-08-26T12:56:20 --delay 1 --endMP 204:233342 --enddatetime 2016-08-26T13:40:00 --enforcementcount 0 &gt;&gt;C:\Users\stu\Documents\GitHub\eaglep3-reporting\EC\2016-08-26-refined-times.txt</v>
      </c>
      <c r="AI9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{"issue":{"subject":"","project_id":79,"tracker_id":40,"status_id":1,"priority_id":2,"assigned_to_id":23,"start_date":"2016-08-26","description":"","custom_fields":[{"id":1,"name":"Subdivision","value":"EC"},{"id":4,"name":"Milepost","value":"23.2893"},{"id":17,"name":"Train ID","value":"175-26"},{"id":16,"name":"Locomotive ID","value":"4040"},{"id":130,"name":"Impact","value":""},{"id":150,"name":"Time of Event (Mountain Time)","value":"13:40:00"},{"id":151,"name":"Denver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464</v>
      </c>
      <c r="B96" s="7">
        <v>4039</v>
      </c>
      <c r="C96" s="24" t="s">
        <v>113</v>
      </c>
      <c r="D96" s="24" t="s">
        <v>635</v>
      </c>
      <c r="E96" s="15">
        <v>42608.570486111108</v>
      </c>
      <c r="F96" s="15">
        <v>42608.571469907409</v>
      </c>
      <c r="G96" s="7">
        <v>1</v>
      </c>
      <c r="H96" s="15" t="s">
        <v>217</v>
      </c>
      <c r="I96" s="15">
        <v>42608.612662037034</v>
      </c>
      <c r="J96" s="7">
        <v>0</v>
      </c>
      <c r="K96" s="132" t="str">
        <f t="shared" si="33"/>
        <v>4039/4040</v>
      </c>
      <c r="L96" s="24" t="str">
        <f>VLOOKUP(A96,'Trips&amp;Operators'!$C$1:$E$10000,3,FALSE)</f>
        <v>CLARK</v>
      </c>
      <c r="M96" s="6">
        <f t="shared" si="34"/>
        <v>4.1192129625414964E-2</v>
      </c>
      <c r="N96" s="7">
        <f t="shared" si="32"/>
        <v>59.316666660597548</v>
      </c>
      <c r="O96" s="7"/>
      <c r="P96" s="7"/>
      <c r="Q96" s="25"/>
      <c r="R96" s="25"/>
      <c r="S96" s="37">
        <f t="shared" si="31"/>
        <v>1</v>
      </c>
      <c r="T96" s="52" t="str">
        <f t="shared" si="35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12:41:30-0600',mode:absolute,to:'2016-08-26 15:42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96" s="54" t="str">
        <f t="shared" si="37"/>
        <v>N</v>
      </c>
      <c r="X96" s="120">
        <f t="shared" si="47"/>
        <v>1</v>
      </c>
      <c r="Y96" s="69">
        <f t="shared" si="38"/>
        <v>23.3004</v>
      </c>
      <c r="Z96" s="69">
        <f t="shared" si="46"/>
        <v>1.38E-2</v>
      </c>
      <c r="AA96" s="69">
        <f t="shared" si="39"/>
        <v>23.2866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0"/>
        <v>0176-26</v>
      </c>
      <c r="AE96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96" s="96" t="str">
        <f t="shared" si="42"/>
        <v>"C:\Program Files (x86)\AstroGrep\AstroGrep.exe" /spath="%USERPROFILE%\AppData\Local\Temp\OnboardLogs" /stypes="*4039*20160826*" /stext=" 20:.+((SYSTEM_STATE.+slice.+state.+changed )|(ment ac)|(system.+state.+changed )|(\|lc)|(penalty)|(\[timeout)|(PRM\|1\|D)|(kpr)|(kdp))" /e /r /s</v>
      </c>
      <c r="AG96" s="1" t="str">
        <f t="shared" si="43"/>
        <v>EC</v>
      </c>
      <c r="AH96" s="100" t="str">
        <f t="shared" si="44"/>
        <v>"%USERPROFILE%\Documents\GitHub\eaglep3\Utilities\RefineRTDCRunTimes.py" --tripid 176-26 --locoid 4039 --swversion DE.1.0.7.0 --startMP 204:233004 --initTime 2016-08-26T13:41:30 --startdatetime 2016-08-26T13:42:55 --delay 1 --endMP 204:138 --enddatetime 2016-08-26T14:42:14 --enforcementcount 0 &gt;&gt;C:\Users\stu\Documents\GitHub\eaglep3-reporting\EC\2016-08-26-refined-times.txt</v>
      </c>
      <c r="AI9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{"issue":{"subject":"","project_id":79,"tracker_id":40,"status_id":1,"priority_id":2,"assigned_to_id":23,"start_date":"2016-08-26","description":"","custom_fields":[{"id":1,"name":"Subdivision","value":"EC"},{"id":4,"name":"Milepost","value":"23.2866"},{"id":17,"name":"Train ID","value":"176-26"},{"id":16,"name":"Locomotive ID","value":"4039"},{"id":130,"name":"Impact","value":""},{"id":150,"name":"Time of Event (Mountain Time)","value":"14:42:14"},{"id":151,"name":"Denver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459</v>
      </c>
      <c r="B97" s="7">
        <v>4027</v>
      </c>
      <c r="C97" s="24" t="s">
        <v>113</v>
      </c>
      <c r="D97" s="24" t="s">
        <v>636</v>
      </c>
      <c r="E97" s="15">
        <v>42608.548935185187</v>
      </c>
      <c r="F97" s="15">
        <v>42608.550243055557</v>
      </c>
      <c r="G97" s="7">
        <v>1</v>
      </c>
      <c r="H97" s="15" t="s">
        <v>284</v>
      </c>
      <c r="I97" s="15">
        <v>42608.578101851854</v>
      </c>
      <c r="J97" s="7">
        <v>0</v>
      </c>
      <c r="K97" s="132" t="str">
        <f t="shared" si="33"/>
        <v>4027/4028</v>
      </c>
      <c r="L97" s="24" t="str">
        <f>VLOOKUP(A97,'Trips&amp;Operators'!$C$1:$E$10000,3,FALSE)</f>
        <v>ROBINSON</v>
      </c>
      <c r="M97" s="6">
        <f t="shared" si="34"/>
        <v>2.7858796296641231E-2</v>
      </c>
      <c r="N97" s="7">
        <f t="shared" si="32"/>
        <v>40.116666667163372</v>
      </c>
      <c r="O97" s="7"/>
      <c r="P97" s="7"/>
      <c r="Q97" s="25"/>
      <c r="R97" s="25"/>
      <c r="S97" s="37">
        <f t="shared" si="31"/>
        <v>1</v>
      </c>
      <c r="T97" s="52" t="str">
        <f t="shared" si="35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12:10:28-0600',mode:absolute,to:'2016-08-26 14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7" s="54" t="str">
        <f t="shared" si="37"/>
        <v>N</v>
      </c>
      <c r="X97" s="120">
        <f t="shared" si="47"/>
        <v>1</v>
      </c>
      <c r="Y97" s="69">
        <f t="shared" si="38"/>
        <v>4.2599999999999999E-2</v>
      </c>
      <c r="Z97" s="69">
        <f t="shared" si="46"/>
        <v>23.3307</v>
      </c>
      <c r="AA97" s="69">
        <f t="shared" si="39"/>
        <v>23.2881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0"/>
        <v>0177-26</v>
      </c>
      <c r="AE97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97" s="96" t="str">
        <f t="shared" si="42"/>
        <v>"C:\Program Files (x86)\AstroGrep\AstroGrep.exe" /spath="%USERPROFILE%\AppData\Local\Temp\OnboardLogs" /stypes="*4027*20160826*" /stext=" 19:.+((SYSTEM_STATE.+slice.+state.+changed )|(ment ac)|(system.+state.+changed )|(\|lc)|(penalty)|(\[timeout)|(PRM\|1\|D)|(kpr)|(kdp))" /e /r /s</v>
      </c>
      <c r="AG97" s="1" t="str">
        <f t="shared" si="43"/>
        <v>EC</v>
      </c>
      <c r="AH97" s="100" t="str">
        <f t="shared" si="44"/>
        <v>"%USERPROFILE%\Documents\GitHub\eaglep3\Utilities\RefineRTDCRunTimes.py" --tripid 177-26 --locoid 4027 --swversion DE.1.0.7.0 --startMP 204:426 --initTime 2016-08-26T13:10:28 --startdatetime 2016-08-26T13:12:21 --delay 1 --endMP 204:233307 --enddatetime 2016-08-26T13:52:28 --enforcementcount 0 &gt;&gt;C:\Users\stu\Documents\GitHub\eaglep3-reporting\EC\2016-08-26-refined-times.txt</v>
      </c>
      <c r="AI9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{"issue":{"subject":"","project_id":79,"tracker_id":40,"status_id":1,"priority_id":2,"assigned_to_id":23,"start_date":"2016-08-26","description":"","custom_fields":[{"id":1,"name":"Subdivision","value":"EC"},{"id":4,"name":"Milepost","value":"23.2881"},{"id":17,"name":"Train ID","value":"177-26"},{"id":16,"name":"Locomotive ID","value":"4027"},{"id":130,"name":"Impact","value":""},{"id":150,"name":"Time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468</v>
      </c>
      <c r="B98" s="7">
        <v>4028</v>
      </c>
      <c r="C98" s="24" t="s">
        <v>113</v>
      </c>
      <c r="D98" s="24" t="s">
        <v>282</v>
      </c>
      <c r="E98" s="15">
        <v>42608.586226851854</v>
      </c>
      <c r="F98" s="15">
        <v>42608.587048611109</v>
      </c>
      <c r="G98" s="7">
        <v>1</v>
      </c>
      <c r="H98" s="15" t="s">
        <v>185</v>
      </c>
      <c r="I98" s="15">
        <v>42608.619293981479</v>
      </c>
      <c r="J98" s="7">
        <v>0</v>
      </c>
      <c r="K98" s="132" t="str">
        <f t="shared" si="33"/>
        <v>4027/4028</v>
      </c>
      <c r="L98" s="24" t="str">
        <f>VLOOKUP(A98,'Trips&amp;Operators'!$C$1:$E$10000,3,FALSE)</f>
        <v>ROBINSON</v>
      </c>
      <c r="M98" s="6">
        <f t="shared" si="34"/>
        <v>3.2245370370219462E-2</v>
      </c>
      <c r="N98" s="7">
        <f t="shared" si="32"/>
        <v>46.433333333116025</v>
      </c>
      <c r="O98" s="7"/>
      <c r="P98" s="7"/>
      <c r="Q98" s="25"/>
      <c r="R98" s="25"/>
      <c r="S98" s="37">
        <f t="shared" si="31"/>
        <v>1</v>
      </c>
      <c r="T98" s="52" t="str">
        <f t="shared" si="35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13:04:10-0600',mode:absolute,to:'2016-08-26 15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8" s="54" t="str">
        <f t="shared" si="37"/>
        <v>N</v>
      </c>
      <c r="X98" s="120">
        <f t="shared" si="47"/>
        <v>1</v>
      </c>
      <c r="Y98" s="69">
        <f t="shared" si="38"/>
        <v>23.297999999999998</v>
      </c>
      <c r="Z98" s="69">
        <f t="shared" si="46"/>
        <v>1.4500000000000001E-2</v>
      </c>
      <c r="AA98" s="69">
        <f t="shared" si="39"/>
        <v>23.283499999999997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0"/>
        <v>0178-26</v>
      </c>
      <c r="AE98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98" s="96" t="str">
        <f t="shared" si="42"/>
        <v>"C:\Program Files (x86)\AstroGrep\AstroGrep.exe" /spath="%USERPROFILE%\AppData\Local\Temp\OnboardLogs" /stypes="*4028*20160826*" /stext=" 20:.+((SYSTEM_STATE.+slice.+state.+changed )|(ment ac)|(system.+state.+changed )|(\|lc)|(penalty)|(\[timeout)|(PRM\|1\|D)|(kpr)|(kdp))" /e /r /s</v>
      </c>
      <c r="AG98" s="1" t="str">
        <f t="shared" si="43"/>
        <v>EC</v>
      </c>
      <c r="AH98" s="100" t="str">
        <f t="shared" si="44"/>
        <v>"%USERPROFILE%\Documents\GitHub\eaglep3\Utilities\RefineRTDCRunTimes.py" --tripid 178-26 --locoid 4028 --swversion DE.1.0.7.0 --startMP 204:232980 --initTime 2016-08-26T14:04:10 --startdatetime 2016-08-26T14:05:21 --delay 1 --endMP 204:145 --enddatetime 2016-08-26T14:51:47 --enforcementcount 0 &gt;&gt;C:\Users\stu\Documents\GitHub\eaglep3-reporting\EC\2016-08-26-refined-times.txt</v>
      </c>
      <c r="AI9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{"issue":{"subject":"","project_id":79,"tracker_id":40,"status_id":1,"priority_id":2,"assigned_to_id":23,"start_date":"2016-08-26","description":"","custom_fields":[{"id":1,"name":"Subdivision","value":"EC"},{"id":4,"name":"Milepost","value":"23.2835"},{"id":17,"name":"Train ID","value":"178-26"},{"id":16,"name":"Locomotive ID","value":"4028"},{"id":130,"name":"Impact","value":""},{"id":150,"name":"Time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461</v>
      </c>
      <c r="B99" s="7">
        <v>4014</v>
      </c>
      <c r="C99" s="24" t="s">
        <v>113</v>
      </c>
      <c r="D99" s="24" t="s">
        <v>225</v>
      </c>
      <c r="E99" s="15">
        <v>42608.559363425928</v>
      </c>
      <c r="F99" s="15">
        <v>42608.560671296298</v>
      </c>
      <c r="G99" s="7">
        <v>1</v>
      </c>
      <c r="H99" s="15" t="s">
        <v>155</v>
      </c>
      <c r="I99" s="15">
        <v>42608.589050925926</v>
      </c>
      <c r="J99" s="7">
        <v>0</v>
      </c>
      <c r="K99" s="132" t="str">
        <f t="shared" si="33"/>
        <v>4013/4014</v>
      </c>
      <c r="L99" s="24" t="str">
        <f>VLOOKUP(A99,'Trips&amp;Operators'!$C$1:$E$10000,3,FALSE)</f>
        <v>MOSES</v>
      </c>
      <c r="M99" s="6">
        <f t="shared" si="34"/>
        <v>2.8379629628034309E-2</v>
      </c>
      <c r="N99" s="7">
        <f t="shared" si="32"/>
        <v>40.866666664369404</v>
      </c>
      <c r="O99" s="7"/>
      <c r="P99" s="7"/>
      <c r="Q99" s="25"/>
      <c r="R99" s="25"/>
      <c r="S99" s="37">
        <f t="shared" si="31"/>
        <v>1</v>
      </c>
      <c r="T99" s="52" t="str">
        <f t="shared" si="35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12:25:29-0600',mode:absolute,to:'2016-08-26 15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4" t="str">
        <f t="shared" si="37"/>
        <v>N</v>
      </c>
      <c r="X99" s="120">
        <f t="shared" si="47"/>
        <v>1</v>
      </c>
      <c r="Y99" s="69">
        <f t="shared" si="38"/>
        <v>4.4200000000000003E-2</v>
      </c>
      <c r="Z99" s="69">
        <f t="shared" si="46"/>
        <v>23.3291</v>
      </c>
      <c r="AA99" s="69">
        <f t="shared" si="39"/>
        <v>23.2849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0"/>
        <v>0179-26</v>
      </c>
      <c r="AE99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99" s="96" t="str">
        <f t="shared" si="42"/>
        <v>"C:\Program Files (x86)\AstroGrep\AstroGrep.exe" /spath="%USERPROFILE%\AppData\Local\Temp\OnboardLogs" /stypes="*4014*20160826*" /stext=" 20:.+((SYSTEM_STATE.+slice.+state.+changed )|(ment ac)|(system.+state.+changed )|(\|lc)|(penalty)|(\[timeout)|(PRM\|1\|D)|(kpr)|(kdp))" /e /r /s</v>
      </c>
      <c r="AG99" s="1" t="str">
        <f t="shared" si="43"/>
        <v>EC</v>
      </c>
      <c r="AH99" s="100" t="str">
        <f t="shared" si="44"/>
        <v>"%USERPROFILE%\Documents\GitHub\eaglep3\Utilities\RefineRTDCRunTimes.py" --tripid 179-26 --locoid 4014 --swversion DE.1.0.7.0 --startMP 204:442 --initTime 2016-08-26T13:25:29 --startdatetime 2016-08-26T13:27:22 --delay 1 --endMP 204:233291 --enddatetime 2016-08-26T14:08:14 --enforcementcount 0 &gt;&gt;C:\Users\stu\Documents\GitHub\eaglep3-reporting\EC\2016-08-26-refined-times.txt</v>
      </c>
      <c r="AI9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{"issue":{"subject":"","project_id":79,"tracker_id":40,"status_id":1,"priority_id":2,"assigned_to_id":23,"start_date":"2016-08-26","description":"","custom_fields":[{"id":1,"name":"Subdivision","value":"EC"},{"id":4,"name":"Milepost","value":"23.2849"},{"id":17,"name":"Train ID","value":"179-26"},{"id":16,"name":"Locomotive ID","value":"4014"},{"id":130,"name":"Impact","value":""},{"id":150,"name":"Time of Event (Mountain Time)","value":"14:08:14"},{"id":151,"name":"Denver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470</v>
      </c>
      <c r="B100" s="7">
        <v>4013</v>
      </c>
      <c r="C100" s="24" t="s">
        <v>113</v>
      </c>
      <c r="D100" s="24" t="s">
        <v>224</v>
      </c>
      <c r="E100" s="15">
        <v>42608.59878472222</v>
      </c>
      <c r="F100" s="15">
        <v>42608.600115740737</v>
      </c>
      <c r="G100" s="7">
        <v>1</v>
      </c>
      <c r="H100" s="15" t="s">
        <v>136</v>
      </c>
      <c r="I100" s="15">
        <v>42608.629803240743</v>
      </c>
      <c r="J100" s="7">
        <v>0</v>
      </c>
      <c r="K100" s="132" t="str">
        <f t="shared" si="33"/>
        <v>4013/4014</v>
      </c>
      <c r="L100" s="24" t="str">
        <f>VLOOKUP(A100,'Trips&amp;Operators'!$C$1:$E$10000,3,FALSE)</f>
        <v>MOSES</v>
      </c>
      <c r="M100" s="6">
        <f t="shared" si="34"/>
        <v>2.9687500005820766E-2</v>
      </c>
      <c r="N100" s="7">
        <f t="shared" si="32"/>
        <v>42.750000008381903</v>
      </c>
      <c r="O100" s="7"/>
      <c r="P100" s="7"/>
      <c r="Q100" s="25"/>
      <c r="R100" s="25"/>
      <c r="S100" s="37">
        <f t="shared" si="31"/>
        <v>1</v>
      </c>
      <c r="T100" s="52" t="str">
        <f t="shared" si="35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13:22:15-0600',mode:absolute,to:'2016-08-26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0" s="54" t="str">
        <f t="shared" si="37"/>
        <v>N</v>
      </c>
      <c r="X100" s="120">
        <f t="shared" si="47"/>
        <v>1</v>
      </c>
      <c r="Y100" s="69">
        <f t="shared" si="38"/>
        <v>23.2987</v>
      </c>
      <c r="Z100" s="69">
        <f t="shared" si="46"/>
        <v>1.49E-2</v>
      </c>
      <c r="AA100" s="69">
        <f t="shared" si="39"/>
        <v>23.283799999999999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0"/>
        <v>0180-26</v>
      </c>
      <c r="AE100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00" s="96" t="str">
        <f t="shared" si="42"/>
        <v>"C:\Program Files (x86)\AstroGrep\AstroGrep.exe" /spath="%USERPROFILE%\AppData\Local\Temp\OnboardLogs" /stypes="*4013*20160826*" /stext=" 21:.+((SYSTEM_STATE.+slice.+state.+changed )|(ment ac)|(system.+state.+changed )|(\|lc)|(penalty)|(\[timeout)|(PRM\|1\|D)|(kpr)|(kdp))" /e /r /s</v>
      </c>
      <c r="AG100" s="1" t="str">
        <f t="shared" si="43"/>
        <v>EC</v>
      </c>
      <c r="AH100" s="100" t="str">
        <f t="shared" si="44"/>
        <v>"%USERPROFILE%\Documents\GitHub\eaglep3\Utilities\RefineRTDCRunTimes.py" --tripid 180-26 --locoid 4013 --swversion DE.1.0.7.0 --startMP 204:232987 --initTime 2016-08-26T14:22:15 --startdatetime 2016-08-26T14:24:10 --delay 1 --endMP 204:149 --enddatetime 2016-08-26T15:06:55 --enforcementcount 0 &gt;&gt;C:\Users\stu\Documents\GitHub\eaglep3-reporting\EC\2016-08-26-refined-times.txt</v>
      </c>
      <c r="AI10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{"issue":{"subject":"","project_id":79,"tracker_id":40,"status_id":1,"priority_id":2,"assigned_to_id":23,"start_date":"2016-08-26","description":"","custom_fields":[{"id":1,"name":"Subdivision","value":"EC"},{"id":4,"name":"Milepost","value":"23.2838"},{"id":17,"name":"Train ID","value":"180-26"},{"id":16,"name":"Locomotive ID","value":"4013"},{"id":130,"name":"Impact","value":""},{"id":150,"name":"Time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462</v>
      </c>
      <c r="B101" s="7">
        <v>4031</v>
      </c>
      <c r="C101" s="24" t="s">
        <v>113</v>
      </c>
      <c r="D101" s="24" t="s">
        <v>308</v>
      </c>
      <c r="E101" s="15">
        <v>42608.568194444444</v>
      </c>
      <c r="F101" s="15">
        <v>42608.568923611114</v>
      </c>
      <c r="G101" s="7">
        <v>1</v>
      </c>
      <c r="H101" s="15" t="s">
        <v>632</v>
      </c>
      <c r="I101" s="15">
        <v>42608.597766203704</v>
      </c>
      <c r="J101" s="7">
        <v>0</v>
      </c>
      <c r="K101" s="132" t="str">
        <f t="shared" si="33"/>
        <v>4031/4032</v>
      </c>
      <c r="L101" s="24" t="str">
        <f>VLOOKUP(A101,'Trips&amp;Operators'!$C$1:$E$10000,3,FALSE)</f>
        <v>STAMBAUGH</v>
      </c>
      <c r="M101" s="6">
        <f t="shared" si="34"/>
        <v>2.884259259008104E-2</v>
      </c>
      <c r="N101" s="7">
        <f t="shared" si="32"/>
        <v>41.533333329716697</v>
      </c>
      <c r="O101" s="7"/>
      <c r="P101" s="7"/>
      <c r="Q101" s="25"/>
      <c r="R101" s="25"/>
      <c r="S101" s="37">
        <f t="shared" ref="S101:S132" si="48">SUM(U101:U101)/IF(AG101="EC",12,1)</f>
        <v>1</v>
      </c>
      <c r="T101" s="52" t="str">
        <f t="shared" si="35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12:38:12-0600',mode:absolute,to:'2016-08-26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1" s="54" t="str">
        <f t="shared" si="37"/>
        <v>N</v>
      </c>
      <c r="X101" s="120">
        <f t="shared" si="47"/>
        <v>1</v>
      </c>
      <c r="Y101" s="69">
        <f t="shared" si="38"/>
        <v>4.2900000000000001E-2</v>
      </c>
      <c r="Z101" s="69">
        <f t="shared" si="46"/>
        <v>23.3355</v>
      </c>
      <c r="AA101" s="69">
        <f t="shared" si="39"/>
        <v>23.2926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0"/>
        <v>0181-26</v>
      </c>
      <c r="AE101" s="99" t="str">
        <f t="shared" si="41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101" s="96" t="str">
        <f t="shared" si="42"/>
        <v>"C:\Program Files (x86)\AstroGrep\AstroGrep.exe" /spath="%USERPROFILE%\AppData\Local\Temp\OnboardLogs" /stypes="*4031*20160826*" /stext=" 20:.+((SYSTEM_STATE.+slice.+state.+changed )|(ment ac)|(system.+state.+changed )|(\|lc)|(penalty)|(\[timeout)|(PRM\|1\|D)|(kpr)|(kdp))" /e /r /s</v>
      </c>
      <c r="AG101" s="1" t="str">
        <f t="shared" si="43"/>
        <v>EC</v>
      </c>
      <c r="AH101" s="100" t="str">
        <f t="shared" si="44"/>
        <v>"%USERPROFILE%\Documents\GitHub\eaglep3\Utilities\RefineRTDCRunTimes.py" --tripid 181-26 --locoid 4031 --swversion DE.1.0.7.0 --startMP 204:429 --initTime 2016-08-26T13:38:12 --startdatetime 2016-08-26T13:39:15 --delay 1 --endMP 204:233355 --enddatetime 2016-08-26T14:20:47 --enforcementcount 0 &gt;&gt;C:\Users\stu\Documents\GitHub\eaglep3-reporting\EC\2016-08-26-refined-times.txt</v>
      </c>
      <c r="AI10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{"issue":{"subject":"","project_id":79,"tracker_id":40,"status_id":1,"priority_id":2,"assigned_to_id":23,"start_date":"2016-08-26","description":"","custom_fields":[{"id":1,"name":"Subdivision","value":"EC"},{"id":4,"name":"Milepost","value":"23.2926"},{"id":17,"name":"Train ID","value":"181-26"},{"id":16,"name":"Locomotive ID","value":"4031"},{"id":130,"name":"Impact","value":""},{"id":150,"name":"Time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472</v>
      </c>
      <c r="B102" s="7">
        <v>4032</v>
      </c>
      <c r="C102" s="24" t="s">
        <v>113</v>
      </c>
      <c r="D102" s="24" t="s">
        <v>637</v>
      </c>
      <c r="E102" s="15">
        <v>42608.607141203705</v>
      </c>
      <c r="F102" s="15">
        <v>42608.608055555553</v>
      </c>
      <c r="G102" s="7">
        <v>1</v>
      </c>
      <c r="H102" s="15" t="s">
        <v>638</v>
      </c>
      <c r="I102" s="15">
        <v>42608.640277777777</v>
      </c>
      <c r="J102" s="7">
        <v>0</v>
      </c>
      <c r="K102" s="132" t="str">
        <f t="shared" si="33"/>
        <v>4031/4032</v>
      </c>
      <c r="L102" s="24" t="str">
        <f>VLOOKUP(A102,'Trips&amp;Operators'!$C$1:$E$10000,3,FALSE)</f>
        <v>STAMBAUGH</v>
      </c>
      <c r="M102" s="6">
        <f t="shared" si="34"/>
        <v>3.2222222223936114E-2</v>
      </c>
      <c r="N102" s="7">
        <f t="shared" si="32"/>
        <v>46.400000002468005</v>
      </c>
      <c r="O102" s="7"/>
      <c r="P102" s="7"/>
      <c r="Q102" s="25"/>
      <c r="R102" s="25"/>
      <c r="S102" s="37">
        <f t="shared" si="48"/>
        <v>1</v>
      </c>
      <c r="T102" s="52" t="str">
        <f t="shared" si="35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13:34:17-0600',mode:absolute,to:'2016-08-26 16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2" s="54" t="str">
        <f t="shared" si="37"/>
        <v>N</v>
      </c>
      <c r="X102" s="120">
        <f t="shared" si="47"/>
        <v>1</v>
      </c>
      <c r="Y102" s="69">
        <f t="shared" si="38"/>
        <v>23.302800000000001</v>
      </c>
      <c r="Z102" s="69">
        <f t="shared" si="46"/>
        <v>2.0299999999999999E-2</v>
      </c>
      <c r="AA102" s="69">
        <f t="shared" si="39"/>
        <v>23.282500000000002</v>
      </c>
      <c r="AB102" s="66">
        <f>VLOOKUP(A102,Enforcements!$C$7:$J$21,8,0)</f>
        <v>190834</v>
      </c>
      <c r="AC102" s="62" t="str">
        <f>VLOOKUP(A102,Enforcements!$C$7:$E$21,3,0)</f>
        <v>PERMANENT SPEED RESTRICTION</v>
      </c>
      <c r="AD102" s="63" t="str">
        <f t="shared" si="40"/>
        <v>0182-26</v>
      </c>
      <c r="AE102" s="99" t="str">
        <f t="shared" si="41"/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AF102" s="96" t="str">
        <f t="shared" si="42"/>
        <v>"C:\Program Files (x86)\AstroGrep\AstroGrep.exe" /spath="%USERPROFILE%\AppData\Local\Temp\OnboardLogs" /stypes="*4032*20160826*" /stext=" 21:.+((SYSTEM_STATE.+slice.+state.+changed )|(ment ac)|(system.+state.+changed )|(\|lc)|(penalty)|(\[timeout)|(PRM\|1\|D)|(kpr)|(kdp))" /e /r /s</v>
      </c>
      <c r="AG102" s="1" t="str">
        <f t="shared" si="43"/>
        <v>EC</v>
      </c>
      <c r="AH102" s="100" t="str">
        <f t="shared" si="44"/>
        <v>"%USERPROFILE%\Documents\GitHub\eaglep3\Utilities\RefineRTDCRunTimes.py" --tripid 182-26 --locoid 4032 --swversion DE.1.0.7.0 --startMP 204:233028 --initTime 2016-08-26T14:34:17 --startdatetime 2016-08-26T14:35:36 --delay 1 --endMP 204:203 --enddatetime 2016-08-26T15:22:00 --enforcementcount 0 &gt;&gt;C:\Users\stu\Documents\GitHub\eaglep3-reporting\EC\2016-08-26-refined-times.txt</v>
      </c>
      <c r="AI10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ID","value":"182-26"},{"id":16,"name":"Locomotive ID","value":"4032"},{"id":130,"name":"Impact","value":""},{"id":150,"name":"Time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466</v>
      </c>
      <c r="B103" s="7">
        <v>4025</v>
      </c>
      <c r="C103" s="24" t="s">
        <v>113</v>
      </c>
      <c r="D103" s="24" t="s">
        <v>222</v>
      </c>
      <c r="E103" s="15">
        <v>42608.58017361111</v>
      </c>
      <c r="F103" s="15">
        <v>42608.581111111111</v>
      </c>
      <c r="G103" s="7">
        <v>1</v>
      </c>
      <c r="H103" s="15" t="s">
        <v>142</v>
      </c>
      <c r="I103" s="15">
        <v>42608.609502314815</v>
      </c>
      <c r="J103" s="7">
        <v>0</v>
      </c>
      <c r="K103" s="132" t="str">
        <f t="shared" si="33"/>
        <v>4025/4026</v>
      </c>
      <c r="L103" s="24" t="str">
        <f>VLOOKUP(A103,'Trips&amp;Operators'!$C$1:$E$10000,3,FALSE)</f>
        <v>SHOOK</v>
      </c>
      <c r="M103" s="6">
        <f t="shared" si="34"/>
        <v>2.8391203704813961E-2</v>
      </c>
      <c r="N103" s="7">
        <f t="shared" si="32"/>
        <v>40.883333334932104</v>
      </c>
      <c r="O103" s="7"/>
      <c r="P103" s="7"/>
      <c r="Q103" s="25"/>
      <c r="R103" s="25"/>
      <c r="S103" s="37">
        <f t="shared" si="48"/>
        <v>1</v>
      </c>
      <c r="T103" s="52" t="str">
        <f t="shared" si="35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12:55:27-0600',mode:absolute,to:'2016-08-26 15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3" s="54" t="str">
        <f t="shared" si="37"/>
        <v>N</v>
      </c>
      <c r="X103" s="120">
        <f t="shared" si="47"/>
        <v>1</v>
      </c>
      <c r="Y103" s="69">
        <f t="shared" si="38"/>
        <v>4.6399999999999997E-2</v>
      </c>
      <c r="Z103" s="69">
        <f t="shared" si="46"/>
        <v>23.331</v>
      </c>
      <c r="AA103" s="69">
        <f t="shared" si="39"/>
        <v>23.284600000000001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0"/>
        <v>0183-26</v>
      </c>
      <c r="AE103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03" s="96" t="str">
        <f t="shared" si="42"/>
        <v>"C:\Program Files (x86)\AstroGrep\AstroGrep.exe" /spath="%USERPROFILE%\AppData\Local\Temp\OnboardLogs" /stypes="*4025*20160826*" /stext=" 20:.+((SYSTEM_STATE.+slice.+state.+changed )|(ment ac)|(system.+state.+changed )|(\|lc)|(penalty)|(\[timeout)|(PRM\|1\|D)|(kpr)|(kdp))" /e /r /s</v>
      </c>
      <c r="AG103" s="1" t="str">
        <f t="shared" si="43"/>
        <v>EC</v>
      </c>
      <c r="AH103" s="100" t="str">
        <f t="shared" si="44"/>
        <v>"%USERPROFILE%\Documents\GitHub\eaglep3\Utilities\RefineRTDCRunTimes.py" --tripid 183-26 --locoid 4025 --swversion DE.1.0.7.0 --startMP 204:464 --initTime 2016-08-26T13:55:27 --startdatetime 2016-08-26T13:56:48 --delay 1 --endMP 204:233310 --enddatetime 2016-08-26T14:37:41 --enforcementcount 0 &gt;&gt;C:\Users\stu\Documents\GitHub\eaglep3-reporting\EC\2016-08-26-refined-times.txt</v>
      </c>
      <c r="AI10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{"issue":{"subject":"","project_id":79,"tracker_id":40,"status_id":1,"priority_id":2,"assigned_to_id":23,"start_date":"2016-08-26","description":"","custom_fields":[{"id":1,"name":"Subdivision","value":"EC"},{"id":4,"name":"Milepost","value":"23.2846"},{"id":17,"name":"Train ID","value":"183-26"},{"id":16,"name":"Locomotive ID","value":"4025"},{"id":130,"name":"Impact","value":""},{"id":150,"name":"Time of Event (Mountain Time)","value":"14:37:41"},{"id":151,"name":"Denver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475</v>
      </c>
      <c r="B104" s="7">
        <v>4026</v>
      </c>
      <c r="C104" s="24" t="s">
        <v>113</v>
      </c>
      <c r="D104" s="24" t="s">
        <v>224</v>
      </c>
      <c r="E104" s="15">
        <v>42608.617222222223</v>
      </c>
      <c r="F104" s="15">
        <v>42608.61917824074</v>
      </c>
      <c r="G104" s="7">
        <v>2</v>
      </c>
      <c r="H104" s="15" t="s">
        <v>132</v>
      </c>
      <c r="I104" s="15">
        <v>42608.653124999997</v>
      </c>
      <c r="J104" s="7">
        <v>0</v>
      </c>
      <c r="K104" s="132" t="str">
        <f t="shared" si="33"/>
        <v>4025/4026</v>
      </c>
      <c r="L104" s="24" t="str">
        <f>VLOOKUP(A104,'Trips&amp;Operators'!$C$1:$E$10000,3,FALSE)</f>
        <v>SHOOK</v>
      </c>
      <c r="M104" s="6">
        <f t="shared" si="34"/>
        <v>3.3946759256650694E-2</v>
      </c>
      <c r="N104" s="7">
        <f t="shared" ref="N104:N135" si="49">24*60*SUM($M104:$M104)</f>
        <v>48.883333329576999</v>
      </c>
      <c r="O104" s="7"/>
      <c r="P104" s="7"/>
      <c r="Q104" s="25"/>
      <c r="R104" s="25"/>
      <c r="S104" s="37">
        <f t="shared" si="48"/>
        <v>1</v>
      </c>
      <c r="T104" s="52" t="str">
        <f t="shared" si="35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13:48:48-0600',mode:absolute,to:'2016-08-26 16:40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4" s="54" t="str">
        <f t="shared" si="37"/>
        <v>N</v>
      </c>
      <c r="X104" s="120">
        <f t="shared" si="47"/>
        <v>1</v>
      </c>
      <c r="Y104" s="69">
        <f t="shared" si="38"/>
        <v>23.2987</v>
      </c>
      <c r="Z104" s="69">
        <f t="shared" si="46"/>
        <v>1.47E-2</v>
      </c>
      <c r="AA104" s="69">
        <f t="shared" si="39"/>
        <v>23.283999999999999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0"/>
        <v>0184-26</v>
      </c>
      <c r="AE104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04" s="96" t="str">
        <f t="shared" si="42"/>
        <v>"C:\Program Files (x86)\AstroGrep\AstroGrep.exe" /spath="%USERPROFILE%\AppData\Local\Temp\OnboardLogs" /stypes="*4026*20160826*" /stext=" 21:.+((SYSTEM_STATE.+slice.+state.+changed )|(ment ac)|(system.+state.+changed )|(\|lc)|(penalty)|(\[timeout)|(PRM\|1\|D)|(kpr)|(kdp))" /e /r /s</v>
      </c>
      <c r="AG104" s="1" t="str">
        <f t="shared" si="43"/>
        <v>EC</v>
      </c>
      <c r="AH104" s="100" t="str">
        <f t="shared" si="44"/>
        <v>"%USERPROFILE%\Documents\GitHub\eaglep3\Utilities\RefineRTDCRunTimes.py" --tripid 184-26 --locoid 4026 --swversion DE.1.0.7.0 --startMP 204:232987 --initTime 2016-08-26T14:48:48 --startdatetime 2016-08-26T14:51:37 --delay 2 --endMP 204:147 --enddatetime 2016-08-26T15:40:30 --enforcementcount 0 &gt;&gt;C:\Users\stu\Documents\GitHub\eaglep3-reporting\EC\2016-08-26-refined-times.txt</v>
      </c>
      <c r="AI10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{"issue":{"subject":"","project_id":79,"tracker_id":40,"status_id":1,"priority_id":2,"assigned_to_id":23,"start_date":"2016-08-26","description":"","custom_fields":[{"id":1,"name":"Subdivision","value":"EC"},{"id":4,"name":"Milepost","value":"23.284"},{"id":17,"name":"Train ID","value":"184-26"},{"id":16,"name":"Locomotive ID","value":"4026"},{"id":130,"name":"Impact","value":""},{"id":150,"name":"Time of Event (Mountain Time)","value":"15:40:30"},{"id":151,"name":"Denver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469</v>
      </c>
      <c r="B105" s="7">
        <v>4038</v>
      </c>
      <c r="C105" s="24" t="s">
        <v>113</v>
      </c>
      <c r="D105" s="24" t="s">
        <v>203</v>
      </c>
      <c r="E105" s="15">
        <v>42608.590902777774</v>
      </c>
      <c r="F105" s="15">
        <v>42608.591898148145</v>
      </c>
      <c r="G105" s="7">
        <v>1</v>
      </c>
      <c r="H105" s="15" t="s">
        <v>639</v>
      </c>
      <c r="I105" s="15">
        <v>42608.620428240742</v>
      </c>
      <c r="J105" s="7">
        <v>0</v>
      </c>
      <c r="K105" s="132" t="str">
        <f t="shared" si="33"/>
        <v>4037/4038</v>
      </c>
      <c r="L105" s="24" t="str">
        <f>VLOOKUP(A105,'Trips&amp;Operators'!$C$1:$E$10000,3,FALSE)</f>
        <v>WEBSTER</v>
      </c>
      <c r="M105" s="6">
        <f t="shared" si="34"/>
        <v>2.8530092597065959E-2</v>
      </c>
      <c r="N105" s="7">
        <f t="shared" si="49"/>
        <v>41.083333339774981</v>
      </c>
      <c r="O105" s="7"/>
      <c r="P105" s="7"/>
      <c r="Q105" s="25"/>
      <c r="R105" s="25"/>
      <c r="S105" s="37">
        <f t="shared" si="48"/>
        <v>1</v>
      </c>
      <c r="T105" s="52" t="str">
        <f t="shared" si="35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13:10:54-0600',mode:absolute,to:'2016-08-26 15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5" s="54" t="str">
        <f t="shared" si="37"/>
        <v>N</v>
      </c>
      <c r="X105" s="120">
        <f t="shared" si="47"/>
        <v>1</v>
      </c>
      <c r="Y105" s="69">
        <f t="shared" si="38"/>
        <v>4.3499999999999997E-2</v>
      </c>
      <c r="Z105" s="69">
        <f t="shared" si="46"/>
        <v>23.329499999999999</v>
      </c>
      <c r="AA105" s="69">
        <f t="shared" si="39"/>
        <v>23.285999999999998</v>
      </c>
      <c r="AB105" s="66">
        <f>VLOOKUP(A105,Enforcements!$C$7:$J$21,8,0)</f>
        <v>232080</v>
      </c>
      <c r="AC105" s="62" t="str">
        <f>VLOOKUP(A105,Enforcements!$C$7:$E$21,3,0)</f>
        <v>PERMANENT SPEED RESTRICTION</v>
      </c>
      <c r="AD105" s="63" t="str">
        <f t="shared" si="40"/>
        <v>0185-26</v>
      </c>
      <c r="AE105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05" s="96" t="str">
        <f t="shared" si="42"/>
        <v>"C:\Program Files (x86)\AstroGrep\AstroGrep.exe" /spath="%USERPROFILE%\AppData\Local\Temp\OnboardLogs" /stypes="*4038*20160826*" /stext=" 20:.+((SYSTEM_STATE.+slice.+state.+changed )|(ment ac)|(system.+state.+changed )|(\|lc)|(penalty)|(\[timeout)|(PRM\|1\|D)|(kpr)|(kdp))" /e /r /s</v>
      </c>
      <c r="AG105" s="1" t="str">
        <f t="shared" si="43"/>
        <v>EC</v>
      </c>
      <c r="AH105" s="100" t="str">
        <f t="shared" si="44"/>
        <v>"%USERPROFILE%\Documents\GitHub\eaglep3\Utilities\RefineRTDCRunTimes.py" --tripid 185-26 --locoid 4038 --swversion DE.1.0.7.0 --startMP 204:435 --initTime 2016-08-26T14:10:54 --startdatetime 2016-08-26T14:12:20 --delay 1 --endMP 204:233295 --enddatetime 2016-08-26T14:53:25 --enforcementcount 0 &gt;&gt;C:\Users\stu\Documents\GitHub\eaglep3-reporting\EC\2016-08-26-refined-times.txt</v>
      </c>
      <c r="AI10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ID","value":"185-26"},{"id":16,"name":"Locomotive ID","value":"4038"},{"id":130,"name":"Impact","value":""},{"id":150,"name":"Time of Event (Mountain Time)","value":"14:53:25"},{"id":151,"name":"Denver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477</v>
      </c>
      <c r="B106" s="7">
        <v>4037</v>
      </c>
      <c r="C106" s="24" t="s">
        <v>113</v>
      </c>
      <c r="D106" s="24" t="s">
        <v>615</v>
      </c>
      <c r="E106" s="15">
        <v>42608.625821759262</v>
      </c>
      <c r="F106" s="15">
        <v>42608.626863425925</v>
      </c>
      <c r="G106" s="7">
        <v>1</v>
      </c>
      <c r="H106" s="15" t="s">
        <v>202</v>
      </c>
      <c r="I106" s="15">
        <v>42608.664201388892</v>
      </c>
      <c r="J106" s="7">
        <v>0</v>
      </c>
      <c r="K106" s="132" t="str">
        <f t="shared" si="33"/>
        <v>4037/4038</v>
      </c>
      <c r="L106" s="24" t="str">
        <f>VLOOKUP(A106,'Trips&amp;Operators'!$C$1:$E$10000,3,FALSE)</f>
        <v>WEBSTER</v>
      </c>
      <c r="M106" s="6">
        <f t="shared" si="34"/>
        <v>3.7337962967285421E-2</v>
      </c>
      <c r="N106" s="7">
        <f t="shared" si="49"/>
        <v>53.766666672891006</v>
      </c>
      <c r="O106" s="7"/>
      <c r="P106" s="7"/>
      <c r="Q106" s="25"/>
      <c r="R106" s="25"/>
      <c r="S106" s="37">
        <f t="shared" si="48"/>
        <v>1</v>
      </c>
      <c r="T106" s="52" t="str">
        <f t="shared" si="35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14:01:11-0600',mode:absolute,to:'2016-08-26 16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6" s="54" t="str">
        <f t="shared" si="37"/>
        <v>N</v>
      </c>
      <c r="X106" s="120">
        <f t="shared" si="47"/>
        <v>1</v>
      </c>
      <c r="Y106" s="69">
        <f t="shared" si="38"/>
        <v>23.2971</v>
      </c>
      <c r="Z106" s="69">
        <f t="shared" si="46"/>
        <v>1.6500000000000001E-2</v>
      </c>
      <c r="AA106" s="69">
        <f t="shared" si="39"/>
        <v>23.2806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0"/>
        <v>0186-26</v>
      </c>
      <c r="AE106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106" s="96" t="str">
        <f t="shared" si="42"/>
        <v>"C:\Program Files (x86)\AstroGrep\AstroGrep.exe" /spath="%USERPROFILE%\AppData\Local\Temp\OnboardLogs" /stypes="*4037*20160826*" /stext=" 21:.+((SYSTEM_STATE.+slice.+state.+changed )|(ment ac)|(system.+state.+changed )|(\|lc)|(penalty)|(\[timeout)|(PRM\|1\|D)|(kpr)|(kdp))" /e /r /s</v>
      </c>
      <c r="AG106" s="1" t="str">
        <f t="shared" si="43"/>
        <v>EC</v>
      </c>
      <c r="AH106" s="100" t="str">
        <f t="shared" si="44"/>
        <v>"%USERPROFILE%\Documents\GitHub\eaglep3\Utilities\RefineRTDCRunTimes.py" --tripid 186-26 --locoid 4037 --swversion DE.1.0.7.0 --startMP 204:232971 --initTime 2016-08-26T15:01:11 --startdatetime 2016-08-26T15:02:41 --delay 1 --endMP 204:165 --enddatetime 2016-08-26T15:56:27 --enforcementcount 0 &gt;&gt;C:\Users\stu\Documents\GitHub\eaglep3-reporting\EC\2016-08-26-refined-times.txt</v>
      </c>
      <c r="AI10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{"issue":{"subject":"","project_id":79,"tracker_id":40,"status_id":1,"priority_id":2,"assigned_to_id":23,"start_date":"2016-08-26","description":"","custom_fields":[{"id":1,"name":"Subdivision","value":"EC"},{"id":4,"name":"Milepost","value":"23.2806"},{"id":17,"name":"Train ID","value":"186-26"},{"id":16,"name":"Locomotive ID","value":"4037"},{"id":130,"name":"Impact","value":""},{"id":150,"name":"Time of Event (Mountain Time)","value":"15:56:27"},{"id":151,"name":"Denver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471</v>
      </c>
      <c r="B107" s="7">
        <v>4009</v>
      </c>
      <c r="C107" s="24" t="s">
        <v>113</v>
      </c>
      <c r="D107" s="24" t="s">
        <v>154</v>
      </c>
      <c r="E107" s="15">
        <v>42608.60496527778</v>
      </c>
      <c r="F107" s="15">
        <v>42608.606724537036</v>
      </c>
      <c r="G107" s="7">
        <v>2</v>
      </c>
      <c r="H107" s="15" t="s">
        <v>155</v>
      </c>
      <c r="I107" s="15">
        <v>42608.633437500001</v>
      </c>
      <c r="J107" s="7">
        <v>0</v>
      </c>
      <c r="K107" s="132" t="str">
        <f t="shared" si="33"/>
        <v>4009/4010</v>
      </c>
      <c r="L107" s="24" t="str">
        <f>VLOOKUP(A107,'Trips&amp;Operators'!$C$1:$E$10000,3,FALSE)</f>
        <v>STEWART</v>
      </c>
      <c r="M107" s="6">
        <f t="shared" si="34"/>
        <v>2.6712962964666076E-2</v>
      </c>
      <c r="N107" s="7">
        <f t="shared" si="49"/>
        <v>38.466666669119149</v>
      </c>
      <c r="O107" s="7"/>
      <c r="P107" s="7"/>
      <c r="Q107" s="25"/>
      <c r="R107" s="25"/>
      <c r="S107" s="37">
        <f t="shared" si="48"/>
        <v>1</v>
      </c>
      <c r="T107" s="52" t="str">
        <f t="shared" si="35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13:31:09-0600',mode:absolute,to:'2016-08-26 16:12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7" s="54" t="str">
        <f t="shared" si="37"/>
        <v>N</v>
      </c>
      <c r="X107" s="120">
        <f t="shared" si="47"/>
        <v>1</v>
      </c>
      <c r="Y107" s="69">
        <f t="shared" si="38"/>
        <v>4.5100000000000001E-2</v>
      </c>
      <c r="Z107" s="69">
        <f t="shared" si="46"/>
        <v>23.3291</v>
      </c>
      <c r="AA107" s="69">
        <f t="shared" si="39"/>
        <v>23.283999999999999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0"/>
        <v>0187-26</v>
      </c>
      <c r="AE107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07" s="96" t="str">
        <f t="shared" si="42"/>
        <v>"C:\Program Files (x86)\AstroGrep\AstroGrep.exe" /spath="%USERPROFILE%\AppData\Local\Temp\OnboardLogs" /stypes="*4009*20160826*" /stext=" 21:.+((SYSTEM_STATE.+slice.+state.+changed )|(ment ac)|(system.+state.+changed )|(\|lc)|(penalty)|(\[timeout)|(PRM\|1\|D)|(kpr)|(kdp))" /e /r /s</v>
      </c>
      <c r="AG107" s="1" t="str">
        <f t="shared" si="43"/>
        <v>EC</v>
      </c>
      <c r="AH107" s="100" t="str">
        <f t="shared" si="44"/>
        <v>"%USERPROFILE%\Documents\GitHub\eaglep3\Utilities\RefineRTDCRunTimes.py" --tripid 187-26 --locoid 4009 --swversion DE.1.0.7.0 --startMP 204:451 --initTime 2016-08-26T14:31:09 --startdatetime 2016-08-26T14:33:41 --delay 2 --endMP 204:233291 --enddatetime 2016-08-26T15:12:09 --enforcementcount 0 &gt;&gt;C:\Users\stu\Documents\GitHub\eaglep3-reporting\EC\2016-08-26-refined-times.txt</v>
      </c>
      <c r="AI10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{"issue":{"subject":"","project_id":79,"tracker_id":40,"status_id":1,"priority_id":2,"assigned_to_id":23,"start_date":"2016-08-26","description":"","custom_fields":[{"id":1,"name":"Subdivision","value":"EC"},{"id":4,"name":"Milepost","value":"23.284"},{"id":17,"name":"Train ID","value":"187-26"},{"id":16,"name":"Locomotive ID","value":"4009"},{"id":130,"name":"Impact","value":""},{"id":150,"name":"Time of Event (Mountain Time)","value":"15:12:09"},{"id":151,"name":"Denver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481</v>
      </c>
      <c r="B108" s="7">
        <v>4010</v>
      </c>
      <c r="C108" s="24" t="s">
        <v>113</v>
      </c>
      <c r="D108" s="24" t="s">
        <v>286</v>
      </c>
      <c r="E108" s="15">
        <v>42608.6403587963</v>
      </c>
      <c r="F108" s="15">
        <v>42608.641412037039</v>
      </c>
      <c r="G108" s="7">
        <v>1</v>
      </c>
      <c r="H108" s="15" t="s">
        <v>152</v>
      </c>
      <c r="I108" s="15">
        <v>42608.672083333331</v>
      </c>
      <c r="J108" s="7">
        <v>0</v>
      </c>
      <c r="K108" s="132" t="str">
        <f t="shared" si="33"/>
        <v>4009/4010</v>
      </c>
      <c r="L108" s="24" t="str">
        <f>VLOOKUP(A108,'Trips&amp;Operators'!$C$1:$E$10000,3,FALSE)</f>
        <v>STEWART</v>
      </c>
      <c r="M108" s="6">
        <f t="shared" si="34"/>
        <v>3.0671296291984618E-2</v>
      </c>
      <c r="N108" s="7">
        <f t="shared" si="49"/>
        <v>44.16666666045785</v>
      </c>
      <c r="O108" s="7"/>
      <c r="P108" s="7"/>
      <c r="Q108" s="25"/>
      <c r="R108" s="25"/>
      <c r="S108" s="37">
        <f t="shared" si="48"/>
        <v>1</v>
      </c>
      <c r="T108" s="52" t="str">
        <f t="shared" si="35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6"/>
        <v>https://search-rtdc-monitor-bjffxe2xuh6vdkpspy63sjmuny.us-east-1.es.amazonaws.com/_plugin/kibana/#/discover/Steve-Slow-Train-Analysis-(2080s-and-2083s)?_g=(refreshInterval:(display:Off,section:0,value:0),time:(from:'2016-08-26 14:22:07-0600',mode:absolute,to:'2016-08-26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8" s="54" t="str">
        <f t="shared" si="37"/>
        <v>N</v>
      </c>
      <c r="X108" s="120">
        <f t="shared" si="47"/>
        <v>1</v>
      </c>
      <c r="Y108" s="69">
        <f t="shared" si="38"/>
        <v>23.297699999999999</v>
      </c>
      <c r="Z108" s="69">
        <f t="shared" si="46"/>
        <v>1.4999999999999999E-2</v>
      </c>
      <c r="AA108" s="69">
        <f t="shared" si="39"/>
        <v>23.282699999999998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0"/>
        <v>0188-26</v>
      </c>
      <c r="AE108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08" s="96" t="str">
        <f t="shared" si="42"/>
        <v>"C:\Program Files (x86)\AstroGrep\AstroGrep.exe" /spath="%USERPROFILE%\AppData\Local\Temp\OnboardLogs" /stypes="*4010*20160826*" /stext=" 22:.+((SYSTEM_STATE.+slice.+state.+changed )|(ment ac)|(system.+state.+changed )|(\|lc)|(penalty)|(\[timeout)|(PRM\|1\|D)|(kpr)|(kdp))" /e /r /s</v>
      </c>
      <c r="AG108" s="1" t="str">
        <f t="shared" si="43"/>
        <v>EC</v>
      </c>
      <c r="AH108" s="100" t="str">
        <f t="shared" si="44"/>
        <v>"%USERPROFILE%\Documents\GitHub\eaglep3\Utilities\RefineRTDCRunTimes.py" --tripid 188-26 --locoid 4010 --swversion DE.1.0.7.0 --startMP 204:232977 --initTime 2016-08-26T15:22:07 --startdatetime 2016-08-26T15:23:38 --delay 1 --endMP 204:150 --enddatetime 2016-08-26T16:07:48 --enforcementcount 0 &gt;&gt;C:\Users\stu\Documents\GitHub\eaglep3-reporting\EC\2016-08-26-refined-times.txt</v>
      </c>
      <c r="AI10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{"issue":{"subject":"","project_id":79,"tracker_id":40,"status_id":1,"priority_id":2,"assigned_to_id":23,"start_date":"2016-08-26","description":"","custom_fields":[{"id":1,"name":"Subdivision","value":"EC"},{"id":4,"name":"Milepost","value":"23.2827"},{"id":17,"name":"Train ID","value":"188-26"},{"id":16,"name":"Locomotive ID","value":"4010"},{"id":130,"name":"Impact","value":""},{"id":150,"name":"Time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474</v>
      </c>
      <c r="B109" s="7">
        <v>4040</v>
      </c>
      <c r="C109" s="24" t="s">
        <v>113</v>
      </c>
      <c r="D109" s="24" t="s">
        <v>225</v>
      </c>
      <c r="E109" s="15">
        <v>42608.614155092589</v>
      </c>
      <c r="F109" s="15">
        <v>42608.615185185183</v>
      </c>
      <c r="G109" s="7">
        <v>1</v>
      </c>
      <c r="H109" s="15" t="s">
        <v>640</v>
      </c>
      <c r="I109" s="15">
        <v>42608.644270833334</v>
      </c>
      <c r="J109" s="7">
        <v>0</v>
      </c>
      <c r="K109" s="132" t="str">
        <f t="shared" ref="K109:K144" si="50">IF(ISEVEN(B109),(B109-1)&amp;"/"&amp;B109,B109&amp;"/"&amp;(B109+1))</f>
        <v>4039/4040</v>
      </c>
      <c r="L109" s="24" t="str">
        <f>VLOOKUP(A109,'Trips&amp;Operators'!$C$1:$E$10000,3,FALSE)</f>
        <v>CLARK</v>
      </c>
      <c r="M109" s="6">
        <f t="shared" ref="M109:M144" si="51">I109-F109</f>
        <v>2.9085648151522037E-2</v>
      </c>
      <c r="N109" s="7">
        <f t="shared" si="49"/>
        <v>41.883333338191733</v>
      </c>
      <c r="O109" s="7"/>
      <c r="P109" s="7"/>
      <c r="Q109" s="25"/>
      <c r="R109" s="25"/>
      <c r="S109" s="37">
        <f t="shared" si="48"/>
        <v>1</v>
      </c>
      <c r="T109" s="52" t="str">
        <f t="shared" ref="T109:T144" si="52">IF(ISEVEN(LEFT(AD109,4)),"Southbound","NorthBound")</f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4" si="53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https://search-rtdc-monitor-bjffxe2xuh6vdkpspy63sjmuny.us-east-1.es.amazonaws.com/_plugin/kibana/#/discover/Steve-Slow-Train-Analysis-(2080s-and-2083s)?_g=(refreshInterval:(display:Off,section:0,value:0),time:(from:'2016-08-26 13:44:23-0600',mode:absolute,to:'2016-08-26 16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09" s="54" t="str">
        <f t="shared" ref="W109:W144" si="54">IF(AA109&lt;IF(AG109="EC",23,5.65),"Y","N")</f>
        <v>N</v>
      </c>
      <c r="X109" s="120">
        <f t="shared" si="47"/>
        <v>1</v>
      </c>
      <c r="Y109" s="69">
        <f t="shared" ref="Y109:Y144" si="55">RIGHT(D109,LEN(D109)-4)/10000</f>
        <v>4.4200000000000003E-2</v>
      </c>
      <c r="Z109" s="69">
        <f t="shared" si="46"/>
        <v>23.332799999999999</v>
      </c>
      <c r="AA109" s="69">
        <f t="shared" ref="AA109:AA140" si="56">ABS(Z109-Y109)</f>
        <v>23.288599999999999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ref="AD109:AD144" si="57">IF(LEN(A109)=6,"0"&amp;A109,A109)</f>
        <v>0189-26</v>
      </c>
      <c r="AE109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09" s="96" t="str">
        <f t="shared" si="42"/>
        <v>"C:\Program Files (x86)\AstroGrep\AstroGrep.exe" /spath="%USERPROFILE%\AppData\Local\Temp\OnboardLogs" /stypes="*4040*20160826*" /stext=" 21:.+((SYSTEM_STATE.+slice.+state.+changed )|(ment ac)|(system.+state.+changed )|(\|lc)|(penalty)|(\[timeout)|(PRM\|1\|D)|(kpr)|(kdp))" /e /r /s</v>
      </c>
      <c r="AG109" s="1" t="str">
        <f t="shared" ref="AG109:AG144" si="58">IFERROR(IF(VALUE(LEFT(AD109,2))&lt;=2,"EC",IF(OR(VALUE(LEFT(AD109,2))=8,VALUE(LEFT(AD109,2))=18),"NW","Other")),"Other")</f>
        <v>EC</v>
      </c>
      <c r="AH109" s="100" t="str">
        <f t="shared" si="44"/>
        <v>"%USERPROFILE%\Documents\GitHub\eaglep3\Utilities\RefineRTDCRunTimes.py" --tripid 189-26 --locoid 4040 --swversion DE.1.0.7.0 --startMP 204:442 --initTime 2016-08-26T14:44:23 --startdatetime 2016-08-26T14:45:52 --delay 1 --endMP 204:233328 --enddatetime 2016-08-26T15:27:45 --enforcementcount 0 &gt;&gt;C:\Users\stu\Documents\GitHub\eaglep3-reporting\EC\2016-08-26-refined-times.txt</v>
      </c>
      <c r="AI10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{"issue":{"subject":"","project_id":79,"tracker_id":40,"status_id":1,"priority_id":2,"assigned_to_id":23,"start_date":"2016-08-26","description":"","custom_fields":[{"id":1,"name":"Subdivision","value":"EC"},{"id":4,"name":"Milepost","value":"23.2886"},{"id":17,"name":"Train ID","value":"189-26"},{"id":16,"name":"Locomotive ID","value":"4040"},{"id":130,"name":"Impact","value":""},{"id":150,"name":"Time of Event (Mountain Time)","value":"15:27:45"},{"id":151,"name":"Denver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485</v>
      </c>
      <c r="B110" s="7">
        <v>4039</v>
      </c>
      <c r="C110" s="24" t="s">
        <v>113</v>
      </c>
      <c r="D110" s="24" t="s">
        <v>641</v>
      </c>
      <c r="E110" s="15">
        <v>42608.648946759262</v>
      </c>
      <c r="F110" s="15">
        <v>42608.649930555555</v>
      </c>
      <c r="G110" s="7">
        <v>1</v>
      </c>
      <c r="H110" s="15" t="s">
        <v>201</v>
      </c>
      <c r="I110" s="15">
        <v>42608.683854166666</v>
      </c>
      <c r="J110" s="7">
        <v>0</v>
      </c>
      <c r="K110" s="132" t="str">
        <f t="shared" si="50"/>
        <v>4039/4040</v>
      </c>
      <c r="L110" s="24" t="str">
        <f>VLOOKUP(A110,'Trips&amp;Operators'!$C$1:$E$10000,3,FALSE)</f>
        <v>CLARK</v>
      </c>
      <c r="M110" s="6">
        <f t="shared" si="51"/>
        <v>3.3923611110367347E-2</v>
      </c>
      <c r="N110" s="7">
        <f t="shared" si="49"/>
        <v>48.849999998928979</v>
      </c>
      <c r="O110" s="7"/>
      <c r="P110" s="7"/>
      <c r="Q110" s="25"/>
      <c r="R110" s="25"/>
      <c r="S110" s="37">
        <f t="shared" si="48"/>
        <v>1</v>
      </c>
      <c r="T110" s="52" t="str">
        <f t="shared" si="52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14:34:29-0600',mode:absolute,to:'2016-08-26 17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10" s="54" t="str">
        <f t="shared" si="54"/>
        <v>N</v>
      </c>
      <c r="X110" s="120">
        <f t="shared" si="47"/>
        <v>1</v>
      </c>
      <c r="Y110" s="69">
        <f t="shared" si="55"/>
        <v>23.2988</v>
      </c>
      <c r="Z110" s="69">
        <f t="shared" si="46"/>
        <v>1.3599999999999999E-2</v>
      </c>
      <c r="AA110" s="69">
        <f t="shared" si="56"/>
        <v>23.2852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57"/>
        <v>0190-26</v>
      </c>
      <c r="AE110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10" s="96" t="str">
        <f t="shared" si="42"/>
        <v>"C:\Program Files (x86)\AstroGrep\AstroGrep.exe" /spath="%USERPROFILE%\AppData\Local\Temp\OnboardLogs" /stypes="*4039*20160826*" /stext=" 22:.+((SYSTEM_STATE.+slice.+state.+changed )|(ment ac)|(system.+state.+changed )|(\|lc)|(penalty)|(\[timeout)|(PRM\|1\|D)|(kpr)|(kdp))" /e /r /s</v>
      </c>
      <c r="AG110" s="1" t="str">
        <f t="shared" si="58"/>
        <v>EC</v>
      </c>
      <c r="AH110" s="100" t="str">
        <f t="shared" si="44"/>
        <v>"%USERPROFILE%\Documents\GitHub\eaglep3\Utilities\RefineRTDCRunTimes.py" --tripid 190-26 --locoid 4039 --swversion DE.1.0.7.0 --startMP 204:232988 --initTime 2016-08-26T15:34:29 --startdatetime 2016-08-26T15:35:54 --delay 1 --endMP 204:136 --enddatetime 2016-08-26T16:24:45 --enforcementcount 0 &gt;&gt;C:\Users\stu\Documents\GitHub\eaglep3-reporting\EC\2016-08-26-refined-times.txt</v>
      </c>
      <c r="AI11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{"issue":{"subject":"","project_id":79,"tracker_id":40,"status_id":1,"priority_id":2,"assigned_to_id":23,"start_date":"2016-08-26","description":"","custom_fields":[{"id":1,"name":"Subdivision","value":"EC"},{"id":4,"name":"Milepost","value":"23.2852"},{"id":17,"name":"Train ID","value":"190-26"},{"id":16,"name":"Locomotive ID","value":"4039"},{"id":130,"name":"Impact","value":""},{"id":150,"name":"Time of Event (Mountain Time)","value":"16:24:45"},{"id":151,"name":"Denver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476</v>
      </c>
      <c r="B111" s="7">
        <v>4027</v>
      </c>
      <c r="C111" s="24" t="s">
        <v>113</v>
      </c>
      <c r="D111" s="24" t="s">
        <v>135</v>
      </c>
      <c r="E111" s="15">
        <v>42608.620497685188</v>
      </c>
      <c r="F111" s="15">
        <v>42608.62190972222</v>
      </c>
      <c r="G111" s="7">
        <v>2</v>
      </c>
      <c r="H111" s="15" t="s">
        <v>142</v>
      </c>
      <c r="I111" s="15">
        <v>42608.652627314812</v>
      </c>
      <c r="J111" s="7">
        <v>0</v>
      </c>
      <c r="K111" s="132" t="str">
        <f t="shared" si="50"/>
        <v>4027/4028</v>
      </c>
      <c r="L111" s="24" t="str">
        <f>VLOOKUP(A111,'Trips&amp;Operators'!$C$1:$E$10000,3,FALSE)</f>
        <v>ROBINSON</v>
      </c>
      <c r="M111" s="6">
        <f t="shared" si="51"/>
        <v>3.071759259182727E-2</v>
      </c>
      <c r="N111" s="7">
        <f t="shared" si="49"/>
        <v>44.233333332231268</v>
      </c>
      <c r="O111" s="7"/>
      <c r="P111" s="7"/>
      <c r="Q111" s="25"/>
      <c r="R111" s="25"/>
      <c r="S111" s="37">
        <f t="shared" si="48"/>
        <v>1</v>
      </c>
      <c r="T111" s="52" t="str">
        <f t="shared" si="52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13:53:31-0600',mode:absolute,to:'2016-08-26 16:39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1" s="54" t="str">
        <f t="shared" si="54"/>
        <v>N</v>
      </c>
      <c r="X111" s="120">
        <f t="shared" si="47"/>
        <v>1</v>
      </c>
      <c r="Y111" s="69">
        <f t="shared" si="55"/>
        <v>4.4900000000000002E-2</v>
      </c>
      <c r="Z111" s="69">
        <f t="shared" si="46"/>
        <v>23.331</v>
      </c>
      <c r="AA111" s="69">
        <f t="shared" si="56"/>
        <v>23.286100000000001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57"/>
        <v>0191-26</v>
      </c>
      <c r="AE111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11" s="96" t="str">
        <f t="shared" si="42"/>
        <v>"C:\Program Files (x86)\AstroGrep\AstroGrep.exe" /spath="%USERPROFILE%\AppData\Local\Temp\OnboardLogs" /stypes="*4027*20160826*" /stext=" 21:.+((SYSTEM_STATE.+slice.+state.+changed )|(ment ac)|(system.+state.+changed )|(\|lc)|(penalty)|(\[timeout)|(PRM\|1\|D)|(kpr)|(kdp))" /e /r /s</v>
      </c>
      <c r="AG111" s="1" t="str">
        <f t="shared" si="58"/>
        <v>EC</v>
      </c>
      <c r="AH111" s="100" t="str">
        <f t="shared" si="44"/>
        <v>"%USERPROFILE%\Documents\GitHub\eaglep3\Utilities\RefineRTDCRunTimes.py" --tripid 191-26 --locoid 4027 --swversion DE.1.0.7.0 --startMP 204:449 --initTime 2016-08-26T14:53:31 --startdatetime 2016-08-26T14:55:33 --delay 2 --endMP 204:233310 --enddatetime 2016-08-26T15:39:47 --enforcementcount 0 &gt;&gt;C:\Users\stu\Documents\GitHub\eaglep3-reporting\EC\2016-08-26-refined-times.txt</v>
      </c>
      <c r="AI11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{"issue":{"subject":"","project_id":79,"tracker_id":40,"status_id":1,"priority_id":2,"assigned_to_id":23,"start_date":"2016-08-26","description":"","custom_fields":[{"id":1,"name":"Subdivision","value":"EC"},{"id":4,"name":"Milepost","value":"23.2861"},{"id":17,"name":"Train ID","value":"191-26"},{"id":16,"name":"Locomotive ID","value":"4027"},{"id":130,"name":"Impact","value":""},{"id":150,"name":"Time of Event (Mountain Time)","value":"15:39:47"},{"id":151,"name":"Denver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488</v>
      </c>
      <c r="B112" s="7">
        <v>4028</v>
      </c>
      <c r="C112" s="24" t="s">
        <v>113</v>
      </c>
      <c r="D112" s="24" t="s">
        <v>303</v>
      </c>
      <c r="E112" s="15">
        <v>42608.658402777779</v>
      </c>
      <c r="F112" s="15">
        <v>42608.659259259257</v>
      </c>
      <c r="G112" s="7">
        <v>1</v>
      </c>
      <c r="H112" s="15" t="s">
        <v>156</v>
      </c>
      <c r="I112" s="15">
        <v>42608.693460648145</v>
      </c>
      <c r="J112" s="7">
        <v>0</v>
      </c>
      <c r="K112" s="132" t="str">
        <f t="shared" si="50"/>
        <v>4027/4028</v>
      </c>
      <c r="L112" s="24" t="str">
        <f>VLOOKUP(A112,'Trips&amp;Operators'!$C$1:$E$10000,3,FALSE)</f>
        <v>ROBINSON</v>
      </c>
      <c r="M112" s="6">
        <f t="shared" si="51"/>
        <v>3.4201388887595385E-2</v>
      </c>
      <c r="N112" s="7">
        <f t="shared" si="49"/>
        <v>49.249999998137355</v>
      </c>
      <c r="O112" s="7"/>
      <c r="P112" s="7"/>
      <c r="Q112" s="25"/>
      <c r="R112" s="25"/>
      <c r="S112" s="37">
        <f t="shared" si="48"/>
        <v>1</v>
      </c>
      <c r="T112" s="52" t="str">
        <f t="shared" si="52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14:48:06-0600',mode:absolute,to:'2016-08-26 17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2" s="54" t="str">
        <f t="shared" si="54"/>
        <v>N</v>
      </c>
      <c r="X112" s="120">
        <f t="shared" si="47"/>
        <v>1</v>
      </c>
      <c r="Y112" s="69">
        <f t="shared" si="55"/>
        <v>23.299299999999999</v>
      </c>
      <c r="Z112" s="69">
        <f t="shared" ref="Z112:Z137" si="59">RIGHT(H112,LEN(H112)-4)/10000</f>
        <v>1.54E-2</v>
      </c>
      <c r="AA112" s="69">
        <f t="shared" si="56"/>
        <v>23.283899999999999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57"/>
        <v>0192-26</v>
      </c>
      <c r="AE112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12" s="96" t="str">
        <f t="shared" si="42"/>
        <v>"C:\Program Files (x86)\AstroGrep\AstroGrep.exe" /spath="%USERPROFILE%\AppData\Local\Temp\OnboardLogs" /stypes="*4028*20160826*" /stext=" 22:.+((SYSTEM_STATE.+slice.+state.+changed )|(ment ac)|(system.+state.+changed )|(\|lc)|(penalty)|(\[timeout)|(PRM\|1\|D)|(kpr)|(kdp))" /e /r /s</v>
      </c>
      <c r="AG112" s="1" t="str">
        <f t="shared" si="58"/>
        <v>EC</v>
      </c>
      <c r="AH112" s="100" t="str">
        <f t="shared" si="44"/>
        <v>"%USERPROFILE%\Documents\GitHub\eaglep3\Utilities\RefineRTDCRunTimes.py" --tripid 192-26 --locoid 4028 --swversion DE.1.0.7.0 --startMP 204:232993 --initTime 2016-08-26T15:48:06 --startdatetime 2016-08-26T15:49:20 --delay 1 --endMP 204:154 --enddatetime 2016-08-26T16:38:35 --enforcementcount 0 &gt;&gt;C:\Users\stu\Documents\GitHub\eaglep3-reporting\EC\2016-08-26-refined-times.txt</v>
      </c>
      <c r="AI11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{"issue":{"subject":"","project_id":79,"tracker_id":40,"status_id":1,"priority_id":2,"assigned_to_id":23,"start_date":"2016-08-26","description":"","custom_fields":[{"id":1,"name":"Subdivision","value":"EC"},{"id":4,"name":"Milepost","value":"23.2839"},{"id":17,"name":"Train ID","value":"192-26"},{"id":16,"name":"Locomotive ID","value":"4028"},{"id":130,"name":"Impact","value":""},{"id":150,"name":"Time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478</v>
      </c>
      <c r="B113" s="7">
        <v>4014</v>
      </c>
      <c r="C113" s="24" t="s">
        <v>113</v>
      </c>
      <c r="D113" s="24" t="s">
        <v>133</v>
      </c>
      <c r="E113" s="15">
        <v>42608.632615740738</v>
      </c>
      <c r="F113" s="15">
        <v>42608.634039351855</v>
      </c>
      <c r="G113" s="7">
        <v>2</v>
      </c>
      <c r="H113" s="15" t="s">
        <v>311</v>
      </c>
      <c r="I113" s="15">
        <v>42608.662222222221</v>
      </c>
      <c r="J113" s="7">
        <v>0</v>
      </c>
      <c r="K113" s="132" t="str">
        <f t="shared" si="50"/>
        <v>4013/4014</v>
      </c>
      <c r="L113" s="24" t="str">
        <f>VLOOKUP(A113,'Trips&amp;Operators'!$C$1:$E$10000,3,FALSE)</f>
        <v>MOSES</v>
      </c>
      <c r="M113" s="6">
        <f t="shared" si="51"/>
        <v>2.8182870366435964E-2</v>
      </c>
      <c r="N113" s="7">
        <f t="shared" si="49"/>
        <v>40.583333327667788</v>
      </c>
      <c r="O113" s="7"/>
      <c r="P113" s="7"/>
      <c r="Q113" s="25"/>
      <c r="R113" s="25"/>
      <c r="S113" s="37">
        <f t="shared" si="48"/>
        <v>1</v>
      </c>
      <c r="T113" s="52" t="str">
        <f t="shared" si="52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14:10:58-0600',mode:absolute,to:'2016-08-26 16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3" s="54" t="str">
        <f t="shared" si="54"/>
        <v>N</v>
      </c>
      <c r="X113" s="120">
        <f t="shared" si="47"/>
        <v>1</v>
      </c>
      <c r="Y113" s="69">
        <f t="shared" si="55"/>
        <v>4.53E-2</v>
      </c>
      <c r="Z113" s="69">
        <f t="shared" si="59"/>
        <v>23.332599999999999</v>
      </c>
      <c r="AA113" s="69">
        <f t="shared" si="56"/>
        <v>23.287299999999998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57"/>
        <v>0193-26</v>
      </c>
      <c r="AE113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13" s="96" t="str">
        <f t="shared" si="42"/>
        <v>"C:\Program Files (x86)\AstroGrep\AstroGrep.exe" /spath="%USERPROFILE%\AppData\Local\Temp\OnboardLogs" /stypes="*4014*20160826*" /stext=" 21:.+((SYSTEM_STATE.+slice.+state.+changed )|(ment ac)|(system.+state.+changed )|(\|lc)|(penalty)|(\[timeout)|(PRM\|1\|D)|(kpr)|(kdp))" /e /r /s</v>
      </c>
      <c r="AG113" s="1" t="str">
        <f t="shared" si="58"/>
        <v>EC</v>
      </c>
      <c r="AH113" s="100" t="str">
        <f t="shared" si="44"/>
        <v>"%USERPROFILE%\Documents\GitHub\eaglep3\Utilities\RefineRTDCRunTimes.py" --tripid 193-26 --locoid 4014 --swversion DE.1.0.7.0 --startMP 204:453 --initTime 2016-08-26T15:10:58 --startdatetime 2016-08-26T15:13:01 --delay 2 --endMP 204:233326 --enddatetime 2016-08-26T15:53:36 --enforcementcount 0 &gt;&gt;C:\Users\stu\Documents\GitHub\eaglep3-reporting\EC\2016-08-26-refined-times.txt</v>
      </c>
      <c r="AI11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{"issue":{"subject":"","project_id":79,"tracker_id":40,"status_id":1,"priority_id":2,"assigned_to_id":23,"start_date":"2016-08-26","description":"","custom_fields":[{"id":1,"name":"Subdivision","value":"EC"},{"id":4,"name":"Milepost","value":"23.2873"},{"id":17,"name":"Train ID","value":"193-26"},{"id":16,"name":"Locomotive ID","value":"4014"},{"id":130,"name":"Impact","value":""},{"id":150,"name":"Time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491</v>
      </c>
      <c r="B114" s="7">
        <v>4013</v>
      </c>
      <c r="C114" s="24" t="s">
        <v>113</v>
      </c>
      <c r="D114" s="24" t="s">
        <v>199</v>
      </c>
      <c r="E114" s="15">
        <v>42608.671666666669</v>
      </c>
      <c r="F114" s="15">
        <v>42608.672731481478</v>
      </c>
      <c r="G114" s="7">
        <v>1</v>
      </c>
      <c r="H114" s="15" t="s">
        <v>89</v>
      </c>
      <c r="I114" s="15">
        <v>42608.704479166663</v>
      </c>
      <c r="J114" s="7">
        <v>0</v>
      </c>
      <c r="K114" s="132" t="str">
        <f t="shared" si="50"/>
        <v>4013/4014</v>
      </c>
      <c r="L114" s="24" t="str">
        <f>VLOOKUP(A114,'Trips&amp;Operators'!$C$1:$E$10000,3,FALSE)</f>
        <v>MOSES</v>
      </c>
      <c r="M114" s="6">
        <f t="shared" si="51"/>
        <v>3.1747685185109731E-2</v>
      </c>
      <c r="N114" s="7">
        <f t="shared" si="49"/>
        <v>45.716666666558012</v>
      </c>
      <c r="O114" s="7"/>
      <c r="P114" s="7"/>
      <c r="Q114" s="25"/>
      <c r="R114" s="25"/>
      <c r="S114" s="37">
        <f t="shared" si="48"/>
        <v>1</v>
      </c>
      <c r="T114" s="52" t="str">
        <f t="shared" si="52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15:07:12-0600',mode:absolute,to:'2016-08-26 17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4" s="54" t="str">
        <f t="shared" si="54"/>
        <v>N</v>
      </c>
      <c r="X114" s="120">
        <f t="shared" si="47"/>
        <v>1</v>
      </c>
      <c r="Y114" s="69">
        <f t="shared" si="55"/>
        <v>23.2986</v>
      </c>
      <c r="Z114" s="69">
        <f t="shared" si="59"/>
        <v>1.43E-2</v>
      </c>
      <c r="AA114" s="69">
        <f t="shared" si="56"/>
        <v>23.284300000000002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57"/>
        <v>0194-26</v>
      </c>
      <c r="AE114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14" s="96" t="str">
        <f t="shared" si="42"/>
        <v>"C:\Program Files (x86)\AstroGrep\AstroGrep.exe" /spath="%USERPROFILE%\AppData\Local\Temp\OnboardLogs" /stypes="*4013*20160826*" /stext=" 22:.+((SYSTEM_STATE.+slice.+state.+changed )|(ment ac)|(system.+state.+changed )|(\|lc)|(penalty)|(\[timeout)|(PRM\|1\|D)|(kpr)|(kdp))" /e /r /s</v>
      </c>
      <c r="AG114" s="1" t="str">
        <f t="shared" si="58"/>
        <v>EC</v>
      </c>
      <c r="AH114" s="100" t="str">
        <f t="shared" si="44"/>
        <v>"%USERPROFILE%\Documents\GitHub\eaglep3\Utilities\RefineRTDCRunTimes.py" --tripid 194-26 --locoid 4013 --swversion DE.1.0.7.0 --startMP 204:232986 --initTime 2016-08-26T16:07:12 --startdatetime 2016-08-26T16:08:44 --delay 1 --endMP 204:143 --enddatetime 2016-08-26T16:54:27 --enforcementcount 0 &gt;&gt;C:\Users\stu\Documents\GitHub\eaglep3-reporting\EC\2016-08-26-refined-times.txt</v>
      </c>
      <c r="AI11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{"issue":{"subject":"","project_id":79,"tracker_id":40,"status_id":1,"priority_id":2,"assigned_to_id":23,"start_date":"2016-08-26","description":"","custom_fields":[{"id":1,"name":"Subdivision","value":"EC"},{"id":4,"name":"Milepost","value":"23.2843"},{"id":17,"name":"Train ID","value":"194-26"},{"id":16,"name":"Locomotive ID","value":"4013"},{"id":130,"name":"Impact","value":""},{"id":150,"name":"Time of Event (Mountain Time)","value":"16:54:27"},{"id":151,"name":"Denver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483</v>
      </c>
      <c r="B115" s="7">
        <v>4002</v>
      </c>
      <c r="C115" s="24" t="s">
        <v>113</v>
      </c>
      <c r="D115" s="24" t="s">
        <v>625</v>
      </c>
      <c r="E115" s="15">
        <v>42608.645370370374</v>
      </c>
      <c r="F115" s="15">
        <v>42608.64644675926</v>
      </c>
      <c r="G115" s="7">
        <v>1</v>
      </c>
      <c r="H115" s="15" t="s">
        <v>642</v>
      </c>
      <c r="I115" s="15">
        <v>42608.672071759262</v>
      </c>
      <c r="J115" s="7">
        <v>0</v>
      </c>
      <c r="K115" s="132" t="str">
        <f t="shared" si="50"/>
        <v>4001/4002</v>
      </c>
      <c r="L115" s="24" t="str">
        <f>VLOOKUP(A115,'Trips&amp;Operators'!$C$1:$E$10000,3,FALSE)</f>
        <v>STAMBAUGH</v>
      </c>
      <c r="M115" s="6">
        <f t="shared" si="51"/>
        <v>2.5625000002037268E-2</v>
      </c>
      <c r="N115" s="7">
        <f t="shared" si="49"/>
        <v>36.900000002933666</v>
      </c>
      <c r="O115" s="7"/>
      <c r="P115" s="7"/>
      <c r="Q115" s="25"/>
      <c r="R115" s="25"/>
      <c r="S115" s="37">
        <f t="shared" si="48"/>
        <v>1</v>
      </c>
      <c r="T115" s="52" t="str">
        <f t="shared" si="52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14:29:20-0600',mode:absolute,to:'2016-08-26 17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54"/>
        <v>N</v>
      </c>
      <c r="X115" s="120">
        <f t="shared" si="47"/>
        <v>1</v>
      </c>
      <c r="Y115" s="69">
        <f t="shared" si="55"/>
        <v>4.8599999999999997E-2</v>
      </c>
      <c r="Z115" s="69">
        <f t="shared" si="59"/>
        <v>23.333100000000002</v>
      </c>
      <c r="AA115" s="69">
        <f t="shared" si="56"/>
        <v>23.284500000000001</v>
      </c>
      <c r="AB115" s="66">
        <f>VLOOKUP(A115,Enforcements!$C$7:$J$21,8,0)</f>
        <v>222090</v>
      </c>
      <c r="AC115" s="62" t="str">
        <f>VLOOKUP(A115,Enforcements!$C$7:$E$21,3,0)</f>
        <v>PERMANENT SPEED RESTRICTION</v>
      </c>
      <c r="AD115" s="63" t="str">
        <f t="shared" si="57"/>
        <v>0195-26</v>
      </c>
      <c r="AE115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15" s="96" t="str">
        <f t="shared" si="42"/>
        <v>"C:\Program Files (x86)\AstroGrep\AstroGrep.exe" /spath="%USERPROFILE%\AppData\Local\Temp\OnboardLogs" /stypes="*4002*20160826*" /stext=" 22:.+((SYSTEM_STATE.+slice.+state.+changed )|(ment ac)|(system.+state.+changed )|(\|lc)|(penalty)|(\[timeout)|(PRM\|1\|D)|(kpr)|(kdp))" /e /r /s</v>
      </c>
      <c r="AG115" s="1" t="str">
        <f t="shared" si="58"/>
        <v>EC</v>
      </c>
      <c r="AH115" s="100" t="str">
        <f t="shared" si="44"/>
        <v>"%USERPROFILE%\Documents\GitHub\eaglep3\Utilities\RefineRTDCRunTimes.py" --tripid 195-26 --locoid 4002 --swversion DE.1.0.7.0 --startMP 204:486 --initTime 2016-08-26T15:29:20 --startdatetime 2016-08-26T15:30:53 --delay 1 --endMP 204:233331 --enddatetime 2016-08-26T16:07:47 --enforcementcount 0 &gt;&gt;C:\Users\stu\Documents\GitHub\eaglep3-reporting\EC\2016-08-26-refined-times.txt</v>
      </c>
      <c r="AI11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{"issue":{"subject":"","project_id":79,"tracker_id":40,"status_id":1,"priority_id":2,"assigned_to_id":23,"start_date":"2016-08-26","description":"","custom_fields":[{"id":1,"name":"Subdivision","value":"EC"},{"id":4,"name":"Milepost","value":"23.2845"},{"id":17,"name":"Train ID","value":"195-26"},{"id":16,"name":"Locomotive ID","value":"4002"},{"id":130,"name":"Impact","value":""},{"id":150,"name":"Time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494</v>
      </c>
      <c r="B116" s="7">
        <v>4001</v>
      </c>
      <c r="C116" s="24" t="s">
        <v>113</v>
      </c>
      <c r="D116" s="24" t="s">
        <v>219</v>
      </c>
      <c r="E116" s="15">
        <v>42608.684652777774</v>
      </c>
      <c r="F116" s="15">
        <v>42608.68577546296</v>
      </c>
      <c r="G116" s="7">
        <v>1</v>
      </c>
      <c r="H116" s="15" t="s">
        <v>643</v>
      </c>
      <c r="I116" s="15">
        <v>42608.712858796294</v>
      </c>
      <c r="J116" s="7">
        <v>0</v>
      </c>
      <c r="K116" s="132" t="str">
        <f t="shared" si="50"/>
        <v>4001/4002</v>
      </c>
      <c r="L116" s="24" t="str">
        <f>VLOOKUP(A116,'Trips&amp;Operators'!$C$1:$E$10000,3,FALSE)</f>
        <v>STAMBAUGH</v>
      </c>
      <c r="M116" s="6">
        <f t="shared" si="51"/>
        <v>2.7083333334303461E-2</v>
      </c>
      <c r="N116" s="7">
        <f t="shared" si="49"/>
        <v>39.000000001396984</v>
      </c>
      <c r="O116" s="7"/>
      <c r="P116" s="7"/>
      <c r="Q116" s="25"/>
      <c r="R116" s="25"/>
      <c r="S116" s="37">
        <f t="shared" si="48"/>
        <v>1</v>
      </c>
      <c r="T116" s="52" t="str">
        <f t="shared" si="52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15:25:54-0600',mode:absolute,to:'2016-08-26 18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54"/>
        <v>N</v>
      </c>
      <c r="X116" s="120">
        <f t="shared" si="47"/>
        <v>1</v>
      </c>
      <c r="Y116" s="69">
        <f t="shared" si="55"/>
        <v>23.301100000000002</v>
      </c>
      <c r="Z116" s="69">
        <f t="shared" si="59"/>
        <v>1.23E-2</v>
      </c>
      <c r="AA116" s="69">
        <f t="shared" si="56"/>
        <v>23.288800000000002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57"/>
        <v>0196-26</v>
      </c>
      <c r="AE116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16" s="96" t="str">
        <f t="shared" si="42"/>
        <v>"C:\Program Files (x86)\AstroGrep\AstroGrep.exe" /spath="%USERPROFILE%\AppData\Local\Temp\OnboardLogs" /stypes="*4001*20160826*" /stext=" 23:.+((SYSTEM_STATE.+slice.+state.+changed )|(ment ac)|(system.+state.+changed )|(\|lc)|(penalty)|(\[timeout)|(PRM\|1\|D)|(kpr)|(kdp))" /e /r /s</v>
      </c>
      <c r="AG116" s="1" t="str">
        <f t="shared" si="58"/>
        <v>EC</v>
      </c>
      <c r="AH116" s="100" t="str">
        <f t="shared" si="44"/>
        <v>"%USERPROFILE%\Documents\GitHub\eaglep3\Utilities\RefineRTDCRunTimes.py" --tripid 196-26 --locoid 4001 --swversion DE.1.0.7.0 --startMP 204:233011 --initTime 2016-08-26T16:25:54 --startdatetime 2016-08-26T16:27:31 --delay 1 --endMP 204:123 --enddatetime 2016-08-26T17:06:31 --enforcementcount 0 &gt;&gt;C:\Users\stu\Documents\GitHub\eaglep3-reporting\EC\2016-08-26-refined-times.txt</v>
      </c>
      <c r="AI11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{"issue":{"subject":"","project_id":79,"tracker_id":40,"status_id":1,"priority_id":2,"assigned_to_id":23,"start_date":"2016-08-26","description":"","custom_fields":[{"id":1,"name":"Subdivision","value":"EC"},{"id":4,"name":"Milepost","value":"23.2888"},{"id":17,"name":"Train ID","value":"196-26"},{"id":16,"name":"Locomotive ID","value":"4001"},{"id":130,"name":"Impact","value":""},{"id":150,"name":"Time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487</v>
      </c>
      <c r="B117" s="7">
        <v>4025</v>
      </c>
      <c r="C117" s="24" t="s">
        <v>113</v>
      </c>
      <c r="D117" s="24" t="s">
        <v>139</v>
      </c>
      <c r="E117" s="15">
        <v>42608.654224537036</v>
      </c>
      <c r="F117" s="15">
        <v>42608.655243055553</v>
      </c>
      <c r="G117" s="7">
        <v>1</v>
      </c>
      <c r="H117" s="15" t="s">
        <v>644</v>
      </c>
      <c r="I117" s="15">
        <v>42608.682372685187</v>
      </c>
      <c r="J117" s="7">
        <v>0</v>
      </c>
      <c r="K117" s="132" t="str">
        <f t="shared" si="50"/>
        <v>4025/4026</v>
      </c>
      <c r="L117" s="24" t="str">
        <f>VLOOKUP(A117,'Trips&amp;Operators'!$C$1:$E$10000,3,FALSE)</f>
        <v>SHOOK</v>
      </c>
      <c r="M117" s="6">
        <f t="shared" si="51"/>
        <v>2.7129629634146113E-2</v>
      </c>
      <c r="N117" s="7">
        <f t="shared" si="49"/>
        <v>39.066666673170403</v>
      </c>
      <c r="O117" s="7"/>
      <c r="P117" s="7"/>
      <c r="Q117" s="25"/>
      <c r="R117" s="25"/>
      <c r="S117" s="37">
        <f t="shared" si="48"/>
        <v>1</v>
      </c>
      <c r="T117" s="52" t="str">
        <f t="shared" si="52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14:42:05-0600',mode:absolute,to:'2016-08-26 17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7" s="54" t="str">
        <f t="shared" si="54"/>
        <v>N</v>
      </c>
      <c r="X117" s="120">
        <f t="shared" si="47"/>
        <v>1</v>
      </c>
      <c r="Y117" s="69">
        <f t="shared" si="55"/>
        <v>4.6699999999999998E-2</v>
      </c>
      <c r="Z117" s="69">
        <f t="shared" si="59"/>
        <v>23.336600000000001</v>
      </c>
      <c r="AA117" s="69">
        <f t="shared" si="56"/>
        <v>23.289899999999999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57"/>
        <v>0197-26</v>
      </c>
      <c r="AE117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17" s="96" t="str">
        <f t="shared" si="42"/>
        <v>"C:\Program Files (x86)\AstroGrep\AstroGrep.exe" /spath="%USERPROFILE%\AppData\Local\Temp\OnboardLogs" /stypes="*4025*20160826*" /stext=" 22:.+((SYSTEM_STATE.+slice.+state.+changed )|(ment ac)|(system.+state.+changed )|(\|lc)|(penalty)|(\[timeout)|(PRM\|1\|D)|(kpr)|(kdp))" /e /r /s</v>
      </c>
      <c r="AG117" s="1" t="str">
        <f t="shared" si="58"/>
        <v>EC</v>
      </c>
      <c r="AH117" s="100" t="str">
        <f t="shared" si="44"/>
        <v>"%USERPROFILE%\Documents\GitHub\eaglep3\Utilities\RefineRTDCRunTimes.py" --tripid 197-26 --locoid 4025 --swversion DE.1.0.7.0 --startMP 204:467 --initTime 2016-08-26T15:42:05 --startdatetime 2016-08-26T15:43:33 --delay 1 --endMP 204:233366 --enddatetime 2016-08-26T16:22:37 --enforcementcount 0 &gt;&gt;C:\Users\stu\Documents\GitHub\eaglep3-reporting\EC\2016-08-26-refined-times.txt</v>
      </c>
      <c r="AI11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{"issue":{"subject":"","project_id":79,"tracker_id":40,"status_id":1,"priority_id":2,"assigned_to_id":23,"start_date":"2016-08-26","description":"","custom_fields":[{"id":1,"name":"Subdivision","value":"EC"},{"id":4,"name":"Milepost","value":"23.2899"},{"id":17,"name":"Train ID","value":"197-26"},{"id":16,"name":"Locomotive ID","value":"4025"},{"id":130,"name":"Impact","value":""},{"id":150,"name":"Time of Event (Mountain Time)","value":"16:22:37"},{"id":151,"name":"Denver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497</v>
      </c>
      <c r="B118" s="7">
        <v>4026</v>
      </c>
      <c r="C118" s="24" t="s">
        <v>113</v>
      </c>
      <c r="D118" s="24" t="s">
        <v>312</v>
      </c>
      <c r="E118" s="15">
        <v>42608.691307870373</v>
      </c>
      <c r="F118" s="15">
        <v>42608.692048611112</v>
      </c>
      <c r="G118" s="7">
        <v>1</v>
      </c>
      <c r="H118" s="15" t="s">
        <v>288</v>
      </c>
      <c r="I118" s="15">
        <v>42608.725706018522</v>
      </c>
      <c r="J118" s="7">
        <v>0</v>
      </c>
      <c r="K118" s="132" t="str">
        <f t="shared" si="50"/>
        <v>4025/4026</v>
      </c>
      <c r="L118" s="24" t="str">
        <f>VLOOKUP(A118,'Trips&amp;Operators'!$C$1:$E$10000,3,FALSE)</f>
        <v>SHOOK</v>
      </c>
      <c r="M118" s="6">
        <f t="shared" si="51"/>
        <v>3.365740740991896E-2</v>
      </c>
      <c r="N118" s="7">
        <f t="shared" si="49"/>
        <v>48.466666670283303</v>
      </c>
      <c r="O118" s="7"/>
      <c r="P118" s="7"/>
      <c r="Q118" s="25"/>
      <c r="R118" s="25"/>
      <c r="S118" s="37">
        <f t="shared" si="48"/>
        <v>1</v>
      </c>
      <c r="T118" s="52" t="str">
        <f t="shared" si="52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15:35:29-0600',mode:absolute,to:'2016-08-26 18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8" s="54" t="str">
        <f t="shared" si="54"/>
        <v>N</v>
      </c>
      <c r="X118" s="120">
        <f t="shared" si="47"/>
        <v>1</v>
      </c>
      <c r="Y118" s="69">
        <f t="shared" si="55"/>
        <v>23.305900000000001</v>
      </c>
      <c r="Z118" s="69">
        <f t="shared" si="59"/>
        <v>1.6899999999999998E-2</v>
      </c>
      <c r="AA118" s="69">
        <f t="shared" si="56"/>
        <v>23.289000000000001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57"/>
        <v>0198-26</v>
      </c>
      <c r="AE118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18" s="96" t="str">
        <f t="shared" si="42"/>
        <v>"C:\Program Files (x86)\AstroGrep\AstroGrep.exe" /spath="%USERPROFILE%\AppData\Local\Temp\OnboardLogs" /stypes="*4026*20160826*" /stext=" 23:.+((SYSTEM_STATE.+slice.+state.+changed )|(ment ac)|(system.+state.+changed )|(\|lc)|(penalty)|(\[timeout)|(PRM\|1\|D)|(kpr)|(kdp))" /e /r /s</v>
      </c>
      <c r="AG118" s="1" t="str">
        <f t="shared" si="58"/>
        <v>EC</v>
      </c>
      <c r="AH118" s="100" t="str">
        <f t="shared" si="44"/>
        <v>"%USERPROFILE%\Documents\GitHub\eaglep3\Utilities\RefineRTDCRunTimes.py" --tripid 198-26 --locoid 4026 --swversion DE.1.0.7.0 --startMP 204:233059 --initTime 2016-08-26T16:35:29 --startdatetime 2016-08-26T16:36:33 --delay 1 --endMP 204:169 --enddatetime 2016-08-26T17:25:01 --enforcementcount 0 &gt;&gt;C:\Users\stu\Documents\GitHub\eaglep3-reporting\EC\2016-08-26-refined-times.txt</v>
      </c>
      <c r="AI11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{"issue":{"subject":"","project_id":79,"tracker_id":40,"status_id":1,"priority_id":2,"assigned_to_id":23,"start_date":"2016-08-26","description":"","custom_fields":[{"id":1,"name":"Subdivision","value":"EC"},{"id":4,"name":"Milepost","value":"23.289"},{"id":17,"name":"Train ID","value":"198-26"},{"id":16,"name":"Locomotive ID","value":"4026"},{"id":130,"name":"Impact","value":""},{"id":150,"name":"Time of Event (Mountain Time)","value":"17:25:01"},{"id":151,"name":"Denver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489</v>
      </c>
      <c r="B119" s="7">
        <v>4038</v>
      </c>
      <c r="C119" s="24" t="s">
        <v>113</v>
      </c>
      <c r="D119" s="24" t="s">
        <v>645</v>
      </c>
      <c r="E119" s="15">
        <v>42608.665937500002</v>
      </c>
      <c r="F119" s="15">
        <v>42608.666967592595</v>
      </c>
      <c r="G119" s="7">
        <v>1</v>
      </c>
      <c r="H119" s="15" t="s">
        <v>646</v>
      </c>
      <c r="I119" s="15">
        <v>42608.693043981482</v>
      </c>
      <c r="J119" s="7">
        <v>0</v>
      </c>
      <c r="K119" s="132" t="str">
        <f t="shared" si="50"/>
        <v>4037/4038</v>
      </c>
      <c r="L119" s="24" t="str">
        <f>VLOOKUP(A119,'Trips&amp;Operators'!$C$1:$E$10000,3,FALSE)</f>
        <v>WEBSTER</v>
      </c>
      <c r="M119" s="6">
        <f t="shared" si="51"/>
        <v>2.6076388887304347E-2</v>
      </c>
      <c r="N119" s="7">
        <f t="shared" si="49"/>
        <v>37.54999999771826</v>
      </c>
      <c r="O119" s="7"/>
      <c r="P119" s="7"/>
      <c r="Q119" s="25"/>
      <c r="R119" s="25"/>
      <c r="S119" s="37">
        <f t="shared" si="48"/>
        <v>1</v>
      </c>
      <c r="T119" s="52" t="str">
        <f t="shared" si="52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14:58:57-0600',mode:absolute,to:'2016-08-26 17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9" s="54" t="str">
        <f t="shared" si="54"/>
        <v>N</v>
      </c>
      <c r="X119" s="120">
        <f t="shared" si="47"/>
        <v>1</v>
      </c>
      <c r="Y119" s="69">
        <f t="shared" si="55"/>
        <v>4.8399999999999999E-2</v>
      </c>
      <c r="Z119" s="69">
        <f t="shared" si="59"/>
        <v>23.3306</v>
      </c>
      <c r="AA119" s="69">
        <f t="shared" si="56"/>
        <v>23.2822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57"/>
        <v>0199-26</v>
      </c>
      <c r="AE119" s="99" t="str">
        <f t="shared" si="41"/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AF119" s="96" t="str">
        <f t="shared" si="42"/>
        <v>"C:\Program Files (x86)\AstroGrep\AstroGrep.exe" /spath="%USERPROFILE%\AppData\Local\Temp\OnboardLogs" /stypes="*4038*20160826*" /stext=" 22:.+((SYSTEM_STATE.+slice.+state.+changed )|(ment ac)|(system.+state.+changed )|(\|lc)|(penalty)|(\[timeout)|(PRM\|1\|D)|(kpr)|(kdp))" /e /r /s</v>
      </c>
      <c r="AG119" s="1" t="str">
        <f t="shared" si="58"/>
        <v>EC</v>
      </c>
      <c r="AH119" s="100" t="str">
        <f t="shared" si="44"/>
        <v>"%USERPROFILE%\Documents\GitHub\eaglep3\Utilities\RefineRTDCRunTimes.py" --tripid 199-26 --locoid 4038 --swversion DE.1.0.7.0 --startMP 204:484 --initTime 2016-08-26T15:58:57 --startdatetime 2016-08-26T16:00:26 --delay 1 --endMP 204:233306 --enddatetime 2016-08-26T16:37:59 --enforcementcount 0 &gt;&gt;C:\Users\stu\Documents\GitHub\eaglep3-reporting\EC\2016-08-26-refined-times.txt</v>
      </c>
      <c r="AI11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{"issue":{"subject":"","project_id":79,"tracker_id":40,"status_id":1,"priority_id":2,"assigned_to_id":23,"start_date":"2016-08-26","description":"","custom_fields":[{"id":1,"name":"Subdivision","value":"EC"},{"id":4,"name":"Milepost","value":"23.2822"},{"id":17,"name":"Train ID","value":"199-26"},{"id":16,"name":"Locomotive ID","value":"4038"},{"id":130,"name":"Impact","value":""},{"id":150,"name":"Time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500</v>
      </c>
      <c r="B120" s="7">
        <v>4037</v>
      </c>
      <c r="C120" s="24" t="s">
        <v>113</v>
      </c>
      <c r="D120" s="24" t="s">
        <v>134</v>
      </c>
      <c r="E120" s="15">
        <v>42608.702499999999</v>
      </c>
      <c r="F120" s="15">
        <v>42608.703321759262</v>
      </c>
      <c r="G120" s="7">
        <v>1</v>
      </c>
      <c r="H120" s="15" t="s">
        <v>190</v>
      </c>
      <c r="I120" s="15">
        <v>42608.737407407411</v>
      </c>
      <c r="J120" s="7">
        <v>0</v>
      </c>
      <c r="K120" s="132" t="str">
        <f t="shared" si="50"/>
        <v>4037/4038</v>
      </c>
      <c r="L120" s="24" t="str">
        <f>VLOOKUP(A120,'Trips&amp;Operators'!$C$1:$E$10000,3,FALSE)</f>
        <v>WEBSTER</v>
      </c>
      <c r="M120" s="6">
        <f t="shared" si="51"/>
        <v>3.4085648148902692E-2</v>
      </c>
      <c r="N120" s="7">
        <f t="shared" si="49"/>
        <v>49.083333334419876</v>
      </c>
      <c r="O120" s="7"/>
      <c r="P120" s="7"/>
      <c r="Q120" s="25"/>
      <c r="R120" s="25"/>
      <c r="S120" s="37">
        <f t="shared" si="48"/>
        <v>1</v>
      </c>
      <c r="T120" s="52" t="str">
        <f t="shared" si="52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15:51:36-0600',mode:absolute,to:'2016-08-26 18:41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0" s="54" t="str">
        <f t="shared" si="54"/>
        <v>N</v>
      </c>
      <c r="X120" s="120">
        <f t="shared" ref="X120:X133" si="60">VALUE(LEFT(AD120,4))-VALUE(LEFT(AD119,4))</f>
        <v>1</v>
      </c>
      <c r="Y120" s="69">
        <f t="shared" si="55"/>
        <v>23.299399999999999</v>
      </c>
      <c r="Z120" s="69">
        <f t="shared" si="59"/>
        <v>1.6E-2</v>
      </c>
      <c r="AA120" s="69">
        <f t="shared" si="56"/>
        <v>23.2834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57"/>
        <v>0200-26</v>
      </c>
      <c r="AE120" s="99" t="str">
        <f t="shared" si="41"/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AF120" s="96" t="str">
        <f t="shared" si="42"/>
        <v>"C:\Program Files (x86)\AstroGrep\AstroGrep.exe" /spath="%USERPROFILE%\AppData\Local\Temp\OnboardLogs" /stypes="*4037*20160826*" /stext=" 23:.+((SYSTEM_STATE.+slice.+state.+changed )|(ment ac)|(system.+state.+changed )|(\|lc)|(penalty)|(\[timeout)|(PRM\|1\|D)|(kpr)|(kdp))" /e /r /s</v>
      </c>
      <c r="AG120" s="1" t="str">
        <f t="shared" si="58"/>
        <v>EC</v>
      </c>
      <c r="AH120" s="100" t="str">
        <f t="shared" si="44"/>
        <v>"%USERPROFILE%\Documents\GitHub\eaglep3\Utilities\RefineRTDCRunTimes.py" --tripid 200-26 --locoid 4037 --swversion DE.1.0.7.0 --startMP 204:232994 --initTime 2016-08-26T16:51:36 --startdatetime 2016-08-26T16:52:47 --delay 1 --endMP 204:160 --enddatetime 2016-08-26T17:41:52 --enforcementcount 0 &gt;&gt;C:\Users\stu\Documents\GitHub\eaglep3-reporting\EC\2016-08-26-refined-times.txt</v>
      </c>
      <c r="AI12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ID","value":"200-26"},{"id":16,"name":"Locomotive ID","value":"4037"},{"id":130,"name":"Impact","value":""},{"id":150,"name":"Time of Event (Mountain Time)","value":"17:41:52"},{"id":151,"name":"Denver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492</v>
      </c>
      <c r="B121" s="7">
        <v>4009</v>
      </c>
      <c r="C121" s="24" t="s">
        <v>113</v>
      </c>
      <c r="D121" s="24" t="s">
        <v>647</v>
      </c>
      <c r="E121" s="15">
        <v>42608.675358796296</v>
      </c>
      <c r="F121" s="15">
        <v>42608.676215277781</v>
      </c>
      <c r="G121" s="7">
        <v>1</v>
      </c>
      <c r="H121" s="15" t="s">
        <v>648</v>
      </c>
      <c r="I121" s="15">
        <v>42608.704965277779</v>
      </c>
      <c r="J121" s="7">
        <v>0</v>
      </c>
      <c r="K121" s="132" t="str">
        <f t="shared" si="50"/>
        <v>4009/4010</v>
      </c>
      <c r="L121" s="24" t="str">
        <f>VLOOKUP(A121,'Trips&amp;Operators'!$C$1:$E$10000,3,FALSE)</f>
        <v>STEWART</v>
      </c>
      <c r="M121" s="6">
        <f t="shared" si="51"/>
        <v>2.8749999997671694E-2</v>
      </c>
      <c r="N121" s="7">
        <f t="shared" si="49"/>
        <v>41.399999996647239</v>
      </c>
      <c r="O121" s="7"/>
      <c r="P121" s="7"/>
      <c r="Q121" s="25"/>
      <c r="R121" s="25"/>
      <c r="S121" s="37">
        <f t="shared" si="48"/>
        <v>1</v>
      </c>
      <c r="T121" s="52" t="str">
        <f t="shared" si="52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15:12:31-0600',mode:absolute,to:'2016-08-26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1" s="54" t="str">
        <f t="shared" si="54"/>
        <v>N</v>
      </c>
      <c r="X121" s="120">
        <f t="shared" si="60"/>
        <v>1</v>
      </c>
      <c r="Y121" s="69">
        <f t="shared" si="55"/>
        <v>4.82E-2</v>
      </c>
      <c r="Z121" s="69">
        <f t="shared" si="59"/>
        <v>23.3324</v>
      </c>
      <c r="AA121" s="69">
        <f t="shared" si="56"/>
        <v>23.284199999999998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57"/>
        <v>0201-26</v>
      </c>
      <c r="AE121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21" s="96" t="str">
        <f t="shared" si="42"/>
        <v>"C:\Program Files (x86)\AstroGrep\AstroGrep.exe" /spath="%USERPROFILE%\AppData\Local\Temp\OnboardLogs" /stypes="*4009*20160826*" /stext=" 22:.+((SYSTEM_STATE.+slice.+state.+changed )|(ment ac)|(system.+state.+changed )|(\|lc)|(penalty)|(\[timeout)|(PRM\|1\|D)|(kpr)|(kdp))" /e /r /s</v>
      </c>
      <c r="AG121" s="1" t="str">
        <f t="shared" si="58"/>
        <v>EC</v>
      </c>
      <c r="AH121" s="100" t="str">
        <f t="shared" si="44"/>
        <v>"%USERPROFILE%\Documents\GitHub\eaglep3\Utilities\RefineRTDCRunTimes.py" --tripid 201-26 --locoid 4009 --swversion DE.1.0.7.0 --startMP 204:482 --initTime 2016-08-26T16:12:31 --startdatetime 2016-08-26T16:13:45 --delay 1 --endMP 204:233324 --enddatetime 2016-08-26T16:55:09 --enforcementcount 0 &gt;&gt;C:\Users\stu\Documents\GitHub\eaglep3-reporting\EC\2016-08-26-refined-times.txt</v>
      </c>
      <c r="AI12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{"issue":{"subject":"","project_id":79,"tracker_id":40,"status_id":1,"priority_id":2,"assigned_to_id":23,"start_date":"2016-08-26","description":"","custom_fields":[{"id":1,"name":"Subdivision","value":"EC"},{"id":4,"name":"Milepost","value":"23.2842"},{"id":17,"name":"Train ID","value":"201-26"},{"id":16,"name":"Locomotive ID","value":"4009"},{"id":130,"name":"Impact","value":""},{"id":150,"name":"Time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503</v>
      </c>
      <c r="B122" s="7">
        <v>4010</v>
      </c>
      <c r="C122" s="24" t="s">
        <v>113</v>
      </c>
      <c r="D122" s="24" t="s">
        <v>199</v>
      </c>
      <c r="E122" s="15">
        <v>42608.71365740741</v>
      </c>
      <c r="F122" s="15">
        <v>42608.71466435185</v>
      </c>
      <c r="G122" s="7">
        <v>1</v>
      </c>
      <c r="H122" s="15" t="s">
        <v>210</v>
      </c>
      <c r="I122" s="15">
        <v>42608.746296296296</v>
      </c>
      <c r="J122" s="7">
        <v>0</v>
      </c>
      <c r="K122" s="132" t="str">
        <f t="shared" si="50"/>
        <v>4009/4010</v>
      </c>
      <c r="L122" s="24" t="str">
        <f>VLOOKUP(A122,'Trips&amp;Operators'!$C$1:$E$10000,3,FALSE)</f>
        <v>STEWART</v>
      </c>
      <c r="M122" s="6">
        <f t="shared" si="51"/>
        <v>3.1631944446417037E-2</v>
      </c>
      <c r="N122" s="7">
        <f t="shared" si="49"/>
        <v>45.550000002840534</v>
      </c>
      <c r="O122" s="7"/>
      <c r="P122" s="7"/>
      <c r="Q122" s="25"/>
      <c r="R122" s="25"/>
      <c r="S122" s="37">
        <f t="shared" si="48"/>
        <v>1</v>
      </c>
      <c r="T122" s="52" t="str">
        <f t="shared" si="52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16:07:40-0600',mode:absolute,to:'2016-08-26 18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2" s="54" t="str">
        <f t="shared" si="54"/>
        <v>N</v>
      </c>
      <c r="X122" s="120">
        <f t="shared" si="60"/>
        <v>1</v>
      </c>
      <c r="Y122" s="69">
        <f t="shared" si="55"/>
        <v>23.2986</v>
      </c>
      <c r="Z122" s="69">
        <f t="shared" si="59"/>
        <v>1.61E-2</v>
      </c>
      <c r="AA122" s="69">
        <f t="shared" si="56"/>
        <v>23.282499999999999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57"/>
        <v>0202-26</v>
      </c>
      <c r="AE122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22" s="96" t="str">
        <f t="shared" si="42"/>
        <v>"C:\Program Files (x86)\AstroGrep\AstroGrep.exe" /spath="%USERPROFILE%\AppData\Local\Temp\OnboardLogs" /stypes="*4010*20160826*" /stext=" 23:.+((SYSTEM_STATE.+slice.+state.+changed )|(ment ac)|(system.+state.+changed )|(\|lc)|(penalty)|(\[timeout)|(PRM\|1\|D)|(kpr)|(kdp))" /e /r /s</v>
      </c>
      <c r="AG122" s="1" t="str">
        <f t="shared" si="58"/>
        <v>EC</v>
      </c>
      <c r="AH122" s="100" t="str">
        <f t="shared" si="44"/>
        <v>"%USERPROFILE%\Documents\GitHub\eaglep3\Utilities\RefineRTDCRunTimes.py" --tripid 202-26 --locoid 4010 --swversion DE.1.0.7.0 --startMP 204:232986 --initTime 2016-08-26T17:07:40 --startdatetime 2016-08-26T17:09:07 --delay 1 --endMP 204:161 --enddatetime 2016-08-26T17:54:40 --enforcementcount 0 &gt;&gt;C:\Users\stu\Documents\GitHub\eaglep3-reporting\EC\2016-08-26-refined-times.txt</v>
      </c>
      <c r="AI12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{"issue":{"subject":"","project_id":79,"tracker_id":40,"status_id":1,"priority_id":2,"assigned_to_id":23,"start_date":"2016-08-26","description":"","custom_fields":[{"id":1,"name":"Subdivision","value":"EC"},{"id":4,"name":"Milepost","value":"23.2825"},{"id":17,"name":"Train ID","value":"202-26"},{"id":16,"name":"Locomotive ID","value":"4010"},{"id":130,"name":"Impact","value":""},{"id":150,"name":"Time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495</v>
      </c>
      <c r="B123" s="7">
        <v>4040</v>
      </c>
      <c r="C123" s="24" t="s">
        <v>113</v>
      </c>
      <c r="D123" s="24" t="s">
        <v>197</v>
      </c>
      <c r="E123" s="15">
        <v>42608.685115740744</v>
      </c>
      <c r="F123" s="15">
        <v>42608.686284722222</v>
      </c>
      <c r="G123" s="7">
        <v>1</v>
      </c>
      <c r="H123" s="15" t="s">
        <v>204</v>
      </c>
      <c r="I123" s="15">
        <v>42608.716840277775</v>
      </c>
      <c r="J123" s="7">
        <v>0</v>
      </c>
      <c r="K123" s="132" t="str">
        <f t="shared" si="50"/>
        <v>4039/4040</v>
      </c>
      <c r="L123" s="24" t="str">
        <f>VLOOKUP(A123,'Trips&amp;Operators'!$C$1:$E$10000,3,FALSE)</f>
        <v>CLARK</v>
      </c>
      <c r="M123" s="6">
        <f t="shared" si="51"/>
        <v>3.0555555553291924E-2</v>
      </c>
      <c r="N123" s="7">
        <f t="shared" si="49"/>
        <v>43.999999996740371</v>
      </c>
      <c r="O123" s="7"/>
      <c r="P123" s="7"/>
      <c r="Q123" s="25"/>
      <c r="R123" s="25"/>
      <c r="S123" s="37">
        <f t="shared" si="48"/>
        <v>1</v>
      </c>
      <c r="T123" s="52" t="str">
        <f t="shared" si="52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15:26:34-0600',mode:absolute,to:'2016-08-26 18:12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23" s="54" t="str">
        <f t="shared" si="54"/>
        <v>N</v>
      </c>
      <c r="X123" s="120">
        <f t="shared" si="60"/>
        <v>1</v>
      </c>
      <c r="Y123" s="69">
        <f t="shared" si="55"/>
        <v>4.5999999999999999E-2</v>
      </c>
      <c r="Z123" s="69">
        <f t="shared" si="59"/>
        <v>23.332699999999999</v>
      </c>
      <c r="AA123" s="69">
        <f t="shared" si="56"/>
        <v>23.2867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57"/>
        <v>0203-26</v>
      </c>
      <c r="AE123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23" s="96" t="str">
        <f t="shared" si="42"/>
        <v>"C:\Program Files (x86)\AstroGrep\AstroGrep.exe" /spath="%USERPROFILE%\AppData\Local\Temp\OnboardLogs" /stypes="*4040*20160826*" /stext=" 23:.+((SYSTEM_STATE.+slice.+state.+changed )|(ment ac)|(system.+state.+changed )|(\|lc)|(penalty)|(\[timeout)|(PRM\|1\|D)|(kpr)|(kdp))" /e /r /s</v>
      </c>
      <c r="AG123" s="1" t="str">
        <f t="shared" si="58"/>
        <v>EC</v>
      </c>
      <c r="AH123" s="100" t="str">
        <f t="shared" si="44"/>
        <v>"%USERPROFILE%\Documents\GitHub\eaglep3\Utilities\RefineRTDCRunTimes.py" --tripid 203-26 --locoid 4040 --swversion DE.1.0.7.0 --startMP 204:460 --initTime 2016-08-26T16:26:34 --startdatetime 2016-08-26T16:28:15 --delay 1 --endMP 204:233327 --enddatetime 2016-08-26T17:12:15 --enforcementcount 0 &gt;&gt;C:\Users\stu\Documents\GitHub\eaglep3-reporting\EC\2016-08-26-refined-times.txt</v>
      </c>
      <c r="AI12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{"issue":{"subject":"","project_id":79,"tracker_id":40,"status_id":1,"priority_id":2,"assigned_to_id":23,"start_date":"2016-08-26","description":"","custom_fields":[{"id":1,"name":"Subdivision","value":"EC"},{"id":4,"name":"Milepost","value":"23.2867"},{"id":17,"name":"Train ID","value":"203-26"},{"id":16,"name":"Locomotive ID","value":"4040"},{"id":130,"name":"Impact","value":""},{"id":150,"name":"Time of Event (Mountain Time)","value":"17:12:15"},{"id":151,"name":"Denver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507</v>
      </c>
      <c r="B124" s="7">
        <v>4039</v>
      </c>
      <c r="C124" s="24" t="s">
        <v>113</v>
      </c>
      <c r="D124" s="24" t="s">
        <v>649</v>
      </c>
      <c r="E124" s="15">
        <v>42608.723310185182</v>
      </c>
      <c r="F124" s="15">
        <v>42608.724363425928</v>
      </c>
      <c r="G124" s="7">
        <v>1</v>
      </c>
      <c r="H124" s="15" t="s">
        <v>281</v>
      </c>
      <c r="I124" s="15">
        <v>42608.758356481485</v>
      </c>
      <c r="J124" s="7">
        <v>0</v>
      </c>
      <c r="K124" s="132" t="str">
        <f t="shared" si="50"/>
        <v>4039/4040</v>
      </c>
      <c r="L124" s="24" t="str">
        <f>VLOOKUP(A124,'Trips&amp;Operators'!$C$1:$E$10000,3,FALSE)</f>
        <v>CLARK</v>
      </c>
      <c r="M124" s="6">
        <f t="shared" si="51"/>
        <v>3.3993055556493346E-2</v>
      </c>
      <c r="N124" s="7">
        <f t="shared" si="49"/>
        <v>48.950000001350418</v>
      </c>
      <c r="O124" s="7"/>
      <c r="P124" s="7"/>
      <c r="Q124" s="25"/>
      <c r="R124" s="25"/>
      <c r="S124" s="37">
        <f t="shared" si="48"/>
        <v>1</v>
      </c>
      <c r="T124" s="52" t="str">
        <f t="shared" si="52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16:21:34-0600',mode:absolute,to:'2016-08-26 19:12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24" s="54" t="str">
        <f t="shared" si="54"/>
        <v>N</v>
      </c>
      <c r="X124" s="120">
        <f t="shared" si="60"/>
        <v>1</v>
      </c>
      <c r="Y124" s="69">
        <f t="shared" si="55"/>
        <v>23.298500000000001</v>
      </c>
      <c r="Z124" s="69">
        <f t="shared" si="59"/>
        <v>1.2999999999999999E-2</v>
      </c>
      <c r="AA124" s="69">
        <f t="shared" si="56"/>
        <v>23.285499999999999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57"/>
        <v>0204-26</v>
      </c>
      <c r="AE124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24" s="96" t="str">
        <f t="shared" si="42"/>
        <v>"C:\Program Files (x86)\AstroGrep\AstroGrep.exe" /spath="%USERPROFILE%\AppData\Local\Temp\OnboardLogs" /stypes="*4039*20160827*" /stext=" 00:.+((SYSTEM_STATE.+slice.+state.+changed )|(ment ac)|(system.+state.+changed )|(\|lc)|(penalty)|(\[timeout)|(PRM\|1\|D)|(kpr)|(kdp))" /e /r /s</v>
      </c>
      <c r="AG124" s="1" t="str">
        <f t="shared" si="58"/>
        <v>EC</v>
      </c>
      <c r="AH124" s="100" t="str">
        <f t="shared" si="44"/>
        <v>"%USERPROFILE%\Documents\GitHub\eaglep3\Utilities\RefineRTDCRunTimes.py" --tripid 204-26 --locoid 4039 --swversion DE.1.0.7.0 --startMP 204:232985 --initTime 2016-08-26T17:21:34 --startdatetime 2016-08-26T17:23:05 --delay 1 --endMP 204:130 --enddatetime 2016-08-26T18:12:02 --enforcementcount 0 &gt;&gt;C:\Users\stu\Documents\GitHub\eaglep3-reporting\EC\2016-08-26-refined-times.txt</v>
      </c>
      <c r="AI12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{"issue":{"subject":"","project_id":79,"tracker_id":40,"status_id":1,"priority_id":2,"assigned_to_id":23,"start_date":"2016-08-26","description":"","custom_fields":[{"id":1,"name":"Subdivision","value":"EC"},{"id":4,"name":"Milepost","value":"23.2855"},{"id":17,"name":"Train ID","value":"204-26"},{"id":16,"name":"Locomotive ID","value":"4039"},{"id":130,"name":"Impact","value":""},{"id":150,"name":"Time of Event (Mountain Time)","value":"18:12:02"},{"id":151,"name":"Denver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499</v>
      </c>
      <c r="B125" s="7">
        <v>4027</v>
      </c>
      <c r="C125" s="24" t="s">
        <v>113</v>
      </c>
      <c r="D125" s="24" t="s">
        <v>650</v>
      </c>
      <c r="E125" s="15">
        <v>42608.695162037038</v>
      </c>
      <c r="F125" s="15">
        <v>42608.696145833332</v>
      </c>
      <c r="G125" s="7">
        <v>1</v>
      </c>
      <c r="H125" s="15" t="s">
        <v>293</v>
      </c>
      <c r="I125" s="15">
        <v>42608.724895833337</v>
      </c>
      <c r="J125" s="7">
        <v>0</v>
      </c>
      <c r="K125" s="132" t="str">
        <f t="shared" si="50"/>
        <v>4027/4028</v>
      </c>
      <c r="L125" s="24" t="str">
        <f>VLOOKUP(A125,'Trips&amp;Operators'!$C$1:$E$10000,3,FALSE)</f>
        <v>ROBINSON</v>
      </c>
      <c r="M125" s="6">
        <f t="shared" si="51"/>
        <v>2.8750000004947651E-2</v>
      </c>
      <c r="N125" s="7">
        <f t="shared" si="49"/>
        <v>41.400000007124618</v>
      </c>
      <c r="O125" s="7"/>
      <c r="P125" s="7"/>
      <c r="Q125" s="25"/>
      <c r="R125" s="25"/>
      <c r="S125" s="37">
        <f t="shared" si="48"/>
        <v>1</v>
      </c>
      <c r="T125" s="52" t="str">
        <f t="shared" si="52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15:41:02-0600',mode:absolute,to:'2016-08-26 18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5" s="54" t="str">
        <f t="shared" si="54"/>
        <v>N</v>
      </c>
      <c r="X125" s="120">
        <f t="shared" si="60"/>
        <v>1</v>
      </c>
      <c r="Y125" s="69">
        <f t="shared" si="55"/>
        <v>4.8000000000000001E-2</v>
      </c>
      <c r="Z125" s="69">
        <f t="shared" si="59"/>
        <v>23.328600000000002</v>
      </c>
      <c r="AA125" s="69">
        <f t="shared" si="56"/>
        <v>23.280600000000003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57"/>
        <v>0205-26</v>
      </c>
      <c r="AE125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25" s="96" t="str">
        <f t="shared" si="42"/>
        <v>"C:\Program Files (x86)\AstroGrep\AstroGrep.exe" /spath="%USERPROFILE%\AppData\Local\Temp\OnboardLogs" /stypes="*4027*20160826*" /stext=" 23:.+((SYSTEM_STATE.+slice.+state.+changed )|(ment ac)|(system.+state.+changed )|(\|lc)|(penalty)|(\[timeout)|(PRM\|1\|D)|(kpr)|(kdp))" /e /r /s</v>
      </c>
      <c r="AG125" s="1" t="str">
        <f t="shared" si="58"/>
        <v>EC</v>
      </c>
      <c r="AH125" s="100" t="str">
        <f t="shared" si="44"/>
        <v>"%USERPROFILE%\Documents\GitHub\eaglep3\Utilities\RefineRTDCRunTimes.py" --tripid 205-26 --locoid 4027 --swversion DE.1.0.7.0 --startMP 204:480 --initTime 2016-08-26T16:41:02 --startdatetime 2016-08-26T16:42:27 --delay 1 --endMP 204:233286 --enddatetime 2016-08-26T17:23:51 --enforcementcount 0 &gt;&gt;C:\Users\stu\Documents\GitHub\eaglep3-reporting\EC\2016-08-26-refined-times.txt</v>
      </c>
      <c r="AI12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{"issue":{"subject":"","project_id":79,"tracker_id":40,"status_id":1,"priority_id":2,"assigned_to_id":23,"start_date":"2016-08-26","description":"","custom_fields":[{"id":1,"name":"Subdivision","value":"EC"},{"id":4,"name":"Milepost","value":"23.2806"},{"id":17,"name":"Train ID","value":"205-26"},{"id":16,"name":"Locomotive ID","value":"4027"},{"id":130,"name":"Impact","value":""},{"id":150,"name":"Time of Event (Mountain Time)","value":"17:23:51"},{"id":151,"name":"Denver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509</v>
      </c>
      <c r="B126" s="7">
        <v>4028</v>
      </c>
      <c r="C126" s="24" t="s">
        <v>113</v>
      </c>
      <c r="D126" s="24" t="s">
        <v>316</v>
      </c>
      <c r="E126" s="15">
        <v>42608.733067129629</v>
      </c>
      <c r="F126" s="15">
        <v>42608.733900462961</v>
      </c>
      <c r="G126" s="7">
        <v>1</v>
      </c>
      <c r="H126" s="15" t="s">
        <v>89</v>
      </c>
      <c r="I126" s="15">
        <v>42608.767025462963</v>
      </c>
      <c r="J126" s="7">
        <v>0</v>
      </c>
      <c r="K126" s="132" t="str">
        <f t="shared" si="50"/>
        <v>4027/4028</v>
      </c>
      <c r="L126" s="24" t="str">
        <f>VLOOKUP(A126,'Trips&amp;Operators'!$C$1:$E$10000,3,FALSE)</f>
        <v>ROBINSON</v>
      </c>
      <c r="M126" s="6">
        <f t="shared" si="51"/>
        <v>3.312500000174623E-2</v>
      </c>
      <c r="N126" s="7">
        <f t="shared" si="49"/>
        <v>47.700000002514571</v>
      </c>
      <c r="O126" s="7"/>
      <c r="P126" s="7"/>
      <c r="Q126" s="25"/>
      <c r="R126" s="25"/>
      <c r="S126" s="37">
        <f t="shared" si="48"/>
        <v>1</v>
      </c>
      <c r="T126" s="52" t="str">
        <f t="shared" si="52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16:35:37-0600',mode:absolute,to:'2016-08-26 19:24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6" s="54" t="str">
        <f t="shared" si="54"/>
        <v>N</v>
      </c>
      <c r="X126" s="120">
        <f t="shared" si="60"/>
        <v>1</v>
      </c>
      <c r="Y126" s="69">
        <f t="shared" si="55"/>
        <v>23.296900000000001</v>
      </c>
      <c r="Z126" s="69">
        <f t="shared" si="59"/>
        <v>1.43E-2</v>
      </c>
      <c r="AA126" s="69">
        <f t="shared" si="56"/>
        <v>23.282600000000002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57"/>
        <v>0206-26</v>
      </c>
      <c r="AE126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26" s="96" t="str">
        <f t="shared" si="42"/>
        <v>"C:\Program Files (x86)\AstroGrep\AstroGrep.exe" /spath="%USERPROFILE%\AppData\Local\Temp\OnboardLogs" /stypes="*4028*20160827*" /stext=" 00:.+((SYSTEM_STATE.+slice.+state.+changed )|(ment ac)|(system.+state.+changed )|(\|lc)|(penalty)|(\[timeout)|(PRM\|1\|D)|(kpr)|(kdp))" /e /r /s</v>
      </c>
      <c r="AG126" s="1" t="str">
        <f t="shared" si="58"/>
        <v>EC</v>
      </c>
      <c r="AH126" s="100" t="str">
        <f t="shared" si="44"/>
        <v>"%USERPROFILE%\Documents\GitHub\eaglep3\Utilities\RefineRTDCRunTimes.py" --tripid 206-26 --locoid 4028 --swversion DE.1.0.7.0 --startMP 204:232969 --initTime 2016-08-26T17:35:37 --startdatetime 2016-08-26T17:36:49 --delay 1 --endMP 204:143 --enddatetime 2016-08-26T18:24:31 --enforcementcount 0 &gt;&gt;C:\Users\stu\Documents\GitHub\eaglep3-reporting\EC\2016-08-26-refined-times.txt</v>
      </c>
      <c r="AI126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{"issue":{"subject":"","project_id":79,"tracker_id":40,"status_id":1,"priority_id":2,"assigned_to_id":23,"start_date":"2016-08-26","description":"","custom_fields":[{"id":1,"name":"Subdivision","value":"EC"},{"id":4,"name":"Milepost","value":"23.2826"},{"id":17,"name":"Train ID","value":"206-26"},{"id":16,"name":"Locomotive ID","value":"4028"},{"id":130,"name":"Impact","value":""},{"id":150,"name":"Time of Event (Mountain Time)","value":"18:24:31"},{"id":151,"name":"Denver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501</v>
      </c>
      <c r="B127" s="7">
        <v>4014</v>
      </c>
      <c r="C127" s="24" t="s">
        <v>113</v>
      </c>
      <c r="D127" s="24" t="s">
        <v>186</v>
      </c>
      <c r="E127" s="15">
        <v>42608.705949074072</v>
      </c>
      <c r="F127" s="15">
        <v>42608.706863425927</v>
      </c>
      <c r="G127" s="7">
        <v>1</v>
      </c>
      <c r="H127" s="15" t="s">
        <v>142</v>
      </c>
      <c r="I127" s="15">
        <v>42608.736145833333</v>
      </c>
      <c r="J127" s="7">
        <v>0</v>
      </c>
      <c r="K127" s="132" t="str">
        <f t="shared" si="50"/>
        <v>4013/4014</v>
      </c>
      <c r="L127" s="24" t="str">
        <f>VLOOKUP(A127,'Trips&amp;Operators'!$C$1:$E$10000,3,FALSE)</f>
        <v>MOSES</v>
      </c>
      <c r="M127" s="6">
        <f t="shared" si="51"/>
        <v>2.9282407405844424E-2</v>
      </c>
      <c r="N127" s="7">
        <f t="shared" si="49"/>
        <v>42.16666666441597</v>
      </c>
      <c r="O127" s="7"/>
      <c r="P127" s="7"/>
      <c r="Q127" s="25"/>
      <c r="R127" s="25"/>
      <c r="S127" s="37">
        <f t="shared" si="48"/>
        <v>1</v>
      </c>
      <c r="T127" s="52" t="str">
        <f t="shared" si="52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15:56:34-0600',mode:absolute,to:'2016-08-26 18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7" s="54" t="str">
        <f t="shared" si="54"/>
        <v>N</v>
      </c>
      <c r="X127" s="120">
        <f t="shared" si="60"/>
        <v>1</v>
      </c>
      <c r="Y127" s="69">
        <f t="shared" si="55"/>
        <v>4.4699999999999997E-2</v>
      </c>
      <c r="Z127" s="69">
        <f t="shared" si="59"/>
        <v>23.331</v>
      </c>
      <c r="AA127" s="69">
        <f t="shared" si="56"/>
        <v>23.286300000000001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57"/>
        <v>0207-26</v>
      </c>
      <c r="AE127" s="99" t="str">
        <f t="shared" si="41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27" s="96" t="str">
        <f t="shared" si="42"/>
        <v>"C:\Program Files (x86)\AstroGrep\AstroGrep.exe" /spath="%USERPROFILE%\AppData\Local\Temp\OnboardLogs" /stypes="*4014*20160826*" /stext=" 23:.+((SYSTEM_STATE.+slice.+state.+changed )|(ment ac)|(system.+state.+changed )|(\|lc)|(penalty)|(\[timeout)|(PRM\|1\|D)|(kpr)|(kdp))" /e /r /s</v>
      </c>
      <c r="AG127" s="1" t="str">
        <f t="shared" si="58"/>
        <v>EC</v>
      </c>
      <c r="AH127" s="100" t="str">
        <f t="shared" si="44"/>
        <v>"%USERPROFILE%\Documents\GitHub\eaglep3\Utilities\RefineRTDCRunTimes.py" --tripid 207-26 --locoid 4014 --swversion DE.1.0.7.0 --startMP 204:447 --initTime 2016-08-26T16:56:34 --startdatetime 2016-08-26T16:57:53 --delay 1 --endMP 204:233310 --enddatetime 2016-08-26T17:40:03 --enforcementcount 0 &gt;&gt;C:\Users\stu\Documents\GitHub\eaglep3-reporting\EC\2016-08-26-refined-times.txt</v>
      </c>
      <c r="AI12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{"issue":{"subject":"","project_id":79,"tracker_id":40,"status_id":1,"priority_id":2,"assigned_to_id":23,"start_date":"2016-08-26","description":"","custom_fields":[{"id":1,"name":"Subdivision","value":"EC"},{"id":4,"name":"Milepost","value":"23.2863"},{"id":17,"name":"Train ID","value":"207-26"},{"id":16,"name":"Locomotive ID","value":"4014"},{"id":130,"name":"Impact","value":""},{"id":150,"name":"Time of Event (Mountain Time)","value":"17:40:03"},{"id":151,"name":"Denver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513</v>
      </c>
      <c r="B128" s="7">
        <v>4013</v>
      </c>
      <c r="C128" s="24" t="s">
        <v>113</v>
      </c>
      <c r="D128" s="24" t="s">
        <v>649</v>
      </c>
      <c r="E128" s="15">
        <v>42608.742986111109</v>
      </c>
      <c r="F128" s="15">
        <v>42608.744837962964</v>
      </c>
      <c r="G128" s="7">
        <v>2</v>
      </c>
      <c r="H128" s="15" t="s">
        <v>651</v>
      </c>
      <c r="I128" s="15">
        <v>42608.777685185189</v>
      </c>
      <c r="J128" s="7">
        <v>0</v>
      </c>
      <c r="K128" s="132" t="str">
        <f t="shared" si="50"/>
        <v>4013/4014</v>
      </c>
      <c r="L128" s="24" t="str">
        <f>VLOOKUP(A128,'Trips&amp;Operators'!$C$1:$E$10000,3,FALSE)</f>
        <v>MOSES</v>
      </c>
      <c r="M128" s="6">
        <f t="shared" si="51"/>
        <v>3.2847222224518191E-2</v>
      </c>
      <c r="N128" s="7">
        <f t="shared" si="49"/>
        <v>47.300000003306195</v>
      </c>
      <c r="O128" s="7"/>
      <c r="P128" s="7"/>
      <c r="Q128" s="25"/>
      <c r="R128" s="25"/>
      <c r="S128" s="37">
        <f t="shared" si="48"/>
        <v>1</v>
      </c>
      <c r="T128" s="52" t="str">
        <f t="shared" si="52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16:49:54-0600',mode:absolute,to:'2016-08-26 19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8" s="54" t="str">
        <f t="shared" si="54"/>
        <v>N</v>
      </c>
      <c r="X128" s="120">
        <f t="shared" si="60"/>
        <v>1</v>
      </c>
      <c r="Y128" s="69">
        <f t="shared" si="55"/>
        <v>23.298500000000001</v>
      </c>
      <c r="Z128" s="69">
        <f t="shared" si="59"/>
        <v>1.7399999999999999E-2</v>
      </c>
      <c r="AA128" s="69">
        <f t="shared" si="56"/>
        <v>23.281100000000002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57"/>
        <v>0208-26</v>
      </c>
      <c r="AE128" s="99" t="str">
        <f t="shared" si="41"/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AF128" s="96" t="str">
        <f t="shared" si="42"/>
        <v>"C:\Program Files (x86)\AstroGrep\AstroGrep.exe" /spath="%USERPROFILE%\AppData\Local\Temp\OnboardLogs" /stypes="*4013*20160827*" /stext=" 00:.+((SYSTEM_STATE.+slice.+state.+changed )|(ment ac)|(system.+state.+changed )|(\|lc)|(penalty)|(\[timeout)|(PRM\|1\|D)|(kpr)|(kdp))" /e /r /s</v>
      </c>
      <c r="AG128" s="1" t="str">
        <f t="shared" si="58"/>
        <v>EC</v>
      </c>
      <c r="AH128" s="100" t="str">
        <f t="shared" si="44"/>
        <v>"%USERPROFILE%\Documents\GitHub\eaglep3\Utilities\RefineRTDCRunTimes.py" --tripid 208-26 --locoid 4013 --swversion DE.1.0.7.0 --startMP 204:232985 --initTime 2016-08-26T17:49:54 --startdatetime 2016-08-26T17:52:34 --delay 2 --endMP 204:174 --enddatetime 2016-08-26T18:39:52 --enforcementcount 0 &gt;&gt;C:\Users\stu\Documents\GitHub\eaglep3-reporting\EC\2016-08-26-refined-times.txt</v>
      </c>
      <c r="AI128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{"issue":{"subject":"","project_id":79,"tracker_id":40,"status_id":1,"priority_id":2,"assigned_to_id":23,"start_date":"2016-08-26","description":"","custom_fields":[{"id":1,"name":"Subdivision","value":"EC"},{"id":4,"name":"Milepost","value":"23.2811"},{"id":17,"name":"Train ID","value":"208-26"},{"id":16,"name":"Locomotive ID","value":"4013"},{"id":130,"name":"Impact","value":""},{"id":150,"name":"Time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505</v>
      </c>
      <c r="B129" s="7">
        <v>4002</v>
      </c>
      <c r="C129" s="24" t="s">
        <v>113</v>
      </c>
      <c r="D129" s="24" t="s">
        <v>304</v>
      </c>
      <c r="E129" s="15">
        <v>42608.715266203704</v>
      </c>
      <c r="F129" s="15">
        <v>42608.716435185182</v>
      </c>
      <c r="G129" s="7">
        <v>1</v>
      </c>
      <c r="H129" s="15" t="s">
        <v>626</v>
      </c>
      <c r="I129" s="15">
        <v>42608.744456018518</v>
      </c>
      <c r="J129" s="7">
        <v>0</v>
      </c>
      <c r="K129" s="132" t="str">
        <f t="shared" si="50"/>
        <v>4001/4002</v>
      </c>
      <c r="L129" s="24" t="str">
        <f>VLOOKUP(A129,'Trips&amp;Operators'!$C$1:$E$10000,3,FALSE)</f>
        <v>STAMBAUGH</v>
      </c>
      <c r="M129" s="6">
        <f t="shared" si="51"/>
        <v>2.8020833335176576E-2</v>
      </c>
      <c r="N129" s="7">
        <f t="shared" si="49"/>
        <v>40.350000002654269</v>
      </c>
      <c r="O129" s="7"/>
      <c r="P129" s="7"/>
      <c r="Q129" s="25"/>
      <c r="R129" s="25"/>
      <c r="S129" s="37">
        <f t="shared" si="48"/>
        <v>1</v>
      </c>
      <c r="T129" s="52" t="str">
        <f t="shared" si="52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16:09:59-0600',mode:absolute,to:'2016-08-26 18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54"/>
        <v>N</v>
      </c>
      <c r="X129" s="120">
        <f t="shared" si="60"/>
        <v>1</v>
      </c>
      <c r="Y129" s="69">
        <f t="shared" si="55"/>
        <v>4.3799999999999999E-2</v>
      </c>
      <c r="Z129" s="69">
        <f t="shared" si="59"/>
        <v>23.3309</v>
      </c>
      <c r="AA129" s="69">
        <f t="shared" si="56"/>
        <v>23.287099999999999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57"/>
        <v>0209-26</v>
      </c>
      <c r="AE129" s="99" t="str">
        <f t="shared" si="41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29" s="96" t="str">
        <f t="shared" si="42"/>
        <v>"C:\Program Files (x86)\AstroGrep\AstroGrep.exe" /spath="%USERPROFILE%\AppData\Local\Temp\OnboardLogs" /stypes="*4002*20160826*" /stext=" 23:.+((SYSTEM_STATE.+slice.+state.+changed )|(ment ac)|(system.+state.+changed )|(\|lc)|(penalty)|(\[timeout)|(PRM\|1\|D)|(kpr)|(kdp))" /e /r /s</v>
      </c>
      <c r="AG129" s="1" t="str">
        <f t="shared" si="58"/>
        <v>EC</v>
      </c>
      <c r="AH129" s="100" t="str">
        <f t="shared" si="44"/>
        <v>"%USERPROFILE%\Documents\GitHub\eaglep3\Utilities\RefineRTDCRunTimes.py" --tripid 209-26 --locoid 4002 --swversion DE.1.0.7.0 --startMP 204:438 --initTime 2016-08-26T17:09:59 --startdatetime 2016-08-26T17:11:40 --delay 1 --endMP 204:233309 --enddatetime 2016-08-26T17:52:01 --enforcementcount 0 &gt;&gt;C:\Users\stu\Documents\GitHub\eaglep3-reporting\EC\2016-08-26-refined-times.txt</v>
      </c>
      <c r="AI12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{"issue":{"subject":"","project_id":79,"tracker_id":40,"status_id":1,"priority_id":2,"assigned_to_id":23,"start_date":"2016-08-26","description":"","custom_fields":[{"id":1,"name":"Subdivision","value":"EC"},{"id":4,"name":"Milepost","value":"23.2871"},{"id":17,"name":"Train ID","value":"209-26"},{"id":16,"name":"Locomotive ID","value":"4002"},{"id":130,"name":"Impact","value":""},{"id":150,"name":"Time of Event (Mountain Time)","value":"17:52:01"},{"id":151,"name":"Denver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517</v>
      </c>
      <c r="B130" s="7">
        <v>4001</v>
      </c>
      <c r="C130" s="24" t="s">
        <v>113</v>
      </c>
      <c r="D130" s="24" t="s">
        <v>134</v>
      </c>
      <c r="E130" s="15">
        <v>42608.756006944444</v>
      </c>
      <c r="F130" s="15">
        <v>42608.756689814814</v>
      </c>
      <c r="G130" s="7">
        <v>0</v>
      </c>
      <c r="H130" s="15" t="s">
        <v>652</v>
      </c>
      <c r="I130" s="15">
        <v>42608.786886574075</v>
      </c>
      <c r="J130" s="7">
        <v>0</v>
      </c>
      <c r="K130" s="132" t="str">
        <f t="shared" si="50"/>
        <v>4001/4002</v>
      </c>
      <c r="L130" s="24" t="str">
        <f>VLOOKUP(A130,'Trips&amp;Operators'!$C$1:$E$10000,3,FALSE)</f>
        <v>STAMBAUGH</v>
      </c>
      <c r="M130" s="6">
        <f t="shared" si="51"/>
        <v>3.0196759260434192E-2</v>
      </c>
      <c r="N130" s="7">
        <f t="shared" si="49"/>
        <v>43.483333335025236</v>
      </c>
      <c r="O130" s="7"/>
      <c r="P130" s="7"/>
      <c r="Q130" s="25"/>
      <c r="R130" s="25"/>
      <c r="S130" s="37">
        <f t="shared" si="48"/>
        <v>1</v>
      </c>
      <c r="T130" s="52" t="str">
        <f t="shared" si="52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17:08:39-0600',mode:absolute,to:'2016-08-26 19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54"/>
        <v>N</v>
      </c>
      <c r="X130" s="120">
        <f t="shared" si="60"/>
        <v>1</v>
      </c>
      <c r="Y130" s="69">
        <f t="shared" si="55"/>
        <v>23.299399999999999</v>
      </c>
      <c r="Z130" s="69">
        <f t="shared" si="59"/>
        <v>1.1900000000000001E-2</v>
      </c>
      <c r="AA130" s="69">
        <f t="shared" si="56"/>
        <v>23.287499999999998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57"/>
        <v>0210-26</v>
      </c>
      <c r="AE130" s="99" t="str">
        <f t="shared" si="41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30" s="96" t="str">
        <f t="shared" si="42"/>
        <v>"C:\Program Files (x86)\AstroGrep\AstroGrep.exe" /spath="%USERPROFILE%\AppData\Local\Temp\OnboardLogs" /stypes="*4001*20160827*" /stext=" 00:.+((SYSTEM_STATE.+slice.+state.+changed )|(ment ac)|(system.+state.+changed )|(\|lc)|(penalty)|(\[timeout)|(PRM\|1\|D)|(kpr)|(kdp))" /e /r /s</v>
      </c>
      <c r="AG130" s="1" t="str">
        <f t="shared" si="58"/>
        <v>EC</v>
      </c>
      <c r="AH130" s="100" t="str">
        <f t="shared" si="44"/>
        <v>"%USERPROFILE%\Documents\GitHub\eaglep3\Utilities\RefineRTDCRunTimes.py" --tripid 210-26 --locoid 4001 --swversion DE.1.0.7.0 --startMP 204:232994 --initTime 2016-08-26T18:08:39 --startdatetime 2016-08-26T18:09:38 --delay 0 --endMP 204:119 --enddatetime 2016-08-26T18:53:07 --enforcementcount 0 &gt;&gt;C:\Users\stu\Documents\GitHub\eaglep3-reporting\EC\2016-08-26-refined-times.txt</v>
      </c>
      <c r="AI13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{"issue":{"subject":"","project_id":79,"tracker_id":40,"status_id":1,"priority_id":2,"assigned_to_id":23,"start_date":"2016-08-26","description":"","custom_fields":[{"id":1,"name":"Subdivision","value":"EC"},{"id":4,"name":"Milepost","value":"23.2875"},{"id":17,"name":"Train ID","value":"210-26"},{"id":16,"name":"Locomotive ID","value":"4001"},{"id":130,"name":"Impact","value":""},{"id":150,"name":"Time of Event (Mountain Time)","value":"18:53:07"},{"id":151,"name":"Denver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508</v>
      </c>
      <c r="B131" s="7">
        <v>4025</v>
      </c>
      <c r="C131" s="24" t="s">
        <v>113</v>
      </c>
      <c r="D131" s="24" t="s">
        <v>650</v>
      </c>
      <c r="E131" s="15">
        <v>42608.727106481485</v>
      </c>
      <c r="F131" s="15">
        <v>42608.728437500002</v>
      </c>
      <c r="G131" s="7">
        <v>1</v>
      </c>
      <c r="H131" s="15" t="s">
        <v>653</v>
      </c>
      <c r="I131" s="15">
        <v>42608.756967592592</v>
      </c>
      <c r="J131" s="7">
        <v>0</v>
      </c>
      <c r="K131" s="132" t="str">
        <f t="shared" si="50"/>
        <v>4025/4026</v>
      </c>
      <c r="L131" s="24" t="str">
        <f>VLOOKUP(A131,'Trips&amp;Operators'!$C$1:$E$10000,3,FALSE)</f>
        <v>SHOOK</v>
      </c>
      <c r="M131" s="6">
        <f t="shared" si="51"/>
        <v>2.8530092589790002E-2</v>
      </c>
      <c r="N131" s="7">
        <f t="shared" si="49"/>
        <v>41.083333329297602</v>
      </c>
      <c r="O131" s="7"/>
      <c r="P131" s="7"/>
      <c r="Q131" s="25"/>
      <c r="R131" s="25"/>
      <c r="S131" s="37">
        <f t="shared" si="48"/>
        <v>1</v>
      </c>
      <c r="T131" s="52" t="str">
        <f t="shared" si="52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16:27:02-0600',mode:absolute,to:'2016-08-26 19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1" s="54" t="str">
        <f t="shared" si="54"/>
        <v>N</v>
      </c>
      <c r="X131" s="120">
        <f t="shared" si="60"/>
        <v>1</v>
      </c>
      <c r="Y131" s="69">
        <f t="shared" si="55"/>
        <v>4.8000000000000001E-2</v>
      </c>
      <c r="Z131" s="69">
        <f t="shared" si="59"/>
        <v>23.335100000000001</v>
      </c>
      <c r="AA131" s="69">
        <f t="shared" si="56"/>
        <v>23.287100000000002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57"/>
        <v>0211-26</v>
      </c>
      <c r="AE131" s="99" t="str">
        <f t="shared" si="41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131" s="96" t="str">
        <f t="shared" si="42"/>
        <v>"C:\Program Files (x86)\AstroGrep\AstroGrep.exe" /spath="%USERPROFILE%\AppData\Local\Temp\OnboardLogs" /stypes="*4025*20160827*" /stext=" 00:.+((SYSTEM_STATE.+slice.+state.+changed )|(ment ac)|(system.+state.+changed )|(\|lc)|(penalty)|(\[timeout)|(PRM\|1\|D)|(kpr)|(kdp))" /e /r /s</v>
      </c>
      <c r="AG131" s="1" t="str">
        <f t="shared" si="58"/>
        <v>EC</v>
      </c>
      <c r="AH131" s="100" t="str">
        <f t="shared" si="44"/>
        <v>"%USERPROFILE%\Documents\GitHub\eaglep3\Utilities\RefineRTDCRunTimes.py" --tripid 211-26 --locoid 4025 --swversion DE.1.0.7.0 --startMP 204:480 --initTime 2016-08-26T17:27:02 --startdatetime 2016-08-26T17:28:57 --delay 1 --endMP 204:233351 --enddatetime 2016-08-26T18:10:02 --enforcementcount 0 &gt;&gt;C:\Users\stu\Documents\GitHub\eaglep3-reporting\EC\2016-08-26-refined-times.txt</v>
      </c>
      <c r="AI131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{"issue":{"subject":"","project_id":79,"tracker_id":40,"status_id":1,"priority_id":2,"assigned_to_id":23,"start_date":"2016-08-26","description":"","custom_fields":[{"id":1,"name":"Subdivision","value":"EC"},{"id":4,"name":"Milepost","value":"23.2871"},{"id":17,"name":"Train ID","value":"211-26"},{"id":16,"name":"Locomotive ID","value":"4025"},{"id":130,"name":"Impact","value":""},{"id":150,"name":"Time of Event (Mountain Time)","value":"18:10:02"},{"id":151,"name":"Denver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520</v>
      </c>
      <c r="B132" s="7">
        <v>4026</v>
      </c>
      <c r="C132" s="24" t="s">
        <v>113</v>
      </c>
      <c r="D132" s="24" t="s">
        <v>654</v>
      </c>
      <c r="E132" s="15">
        <v>42608.762083333335</v>
      </c>
      <c r="F132" s="15">
        <v>42608.764247685183</v>
      </c>
      <c r="G132" s="7">
        <v>3</v>
      </c>
      <c r="H132" s="15" t="s">
        <v>655</v>
      </c>
      <c r="I132" s="15">
        <v>42608.803530092591</v>
      </c>
      <c r="J132" s="7">
        <v>0</v>
      </c>
      <c r="K132" s="132" t="str">
        <f t="shared" si="50"/>
        <v>4025/4026</v>
      </c>
      <c r="L132" s="24" t="str">
        <f>VLOOKUP(A132,'Trips&amp;Operators'!$C$1:$E$10000,3,FALSE)</f>
        <v>SHOOK</v>
      </c>
      <c r="M132" s="6">
        <f t="shared" si="51"/>
        <v>3.9282407407881692E-2</v>
      </c>
      <c r="N132" s="7">
        <f t="shared" si="49"/>
        <v>56.566666667349637</v>
      </c>
      <c r="O132" s="7"/>
      <c r="P132" s="7"/>
      <c r="Q132" s="25"/>
      <c r="R132" s="25"/>
      <c r="S132" s="37">
        <f t="shared" si="48"/>
        <v>1</v>
      </c>
      <c r="T132" s="52" t="str">
        <f t="shared" si="52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17:17:24-0600',mode:absolute,to:'2016-08-26 20:17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2" s="54" t="str">
        <f t="shared" si="54"/>
        <v>N</v>
      </c>
      <c r="X132" s="120">
        <f t="shared" si="60"/>
        <v>1</v>
      </c>
      <c r="Y132" s="69">
        <f t="shared" si="55"/>
        <v>23.3047</v>
      </c>
      <c r="Z132" s="69">
        <f t="shared" si="59"/>
        <v>0.10979999999999999</v>
      </c>
      <c r="AA132" s="69">
        <f t="shared" si="56"/>
        <v>23.194900000000001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57"/>
        <v>0212-26</v>
      </c>
      <c r="AE132" s="99" t="str">
        <f t="shared" si="41"/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AF132" s="96" t="str">
        <f t="shared" si="42"/>
        <v>"C:\Program Files (x86)\AstroGrep\AstroGrep.exe" /spath="%USERPROFILE%\AppData\Local\Temp\OnboardLogs" /stypes="*4026*20160827*" /stext=" 01:.+((SYSTEM_STATE.+slice.+state.+changed )|(ment ac)|(system.+state.+changed )|(\|lc)|(penalty)|(\[timeout)|(PRM\|1\|D)|(kpr)|(kdp))" /e /r /s</v>
      </c>
      <c r="AG132" s="1" t="str">
        <f t="shared" si="58"/>
        <v>EC</v>
      </c>
      <c r="AH132" s="100" t="str">
        <f t="shared" si="44"/>
        <v>"%USERPROFILE%\Documents\GitHub\eaglep3\Utilities\RefineRTDCRunTimes.py" --tripid 212-26 --locoid 4026 --swversion DE.1.0.7.0 --startMP 204:233047 --initTime 2016-08-26T18:17:24 --startdatetime 2016-08-26T18:20:31 --delay 3 --endMP 204:1098 --enddatetime 2016-08-26T19:17:05 --enforcementcount 0 &gt;&gt;C:\Users\stu\Documents\GitHub\eaglep3-reporting\EC\2016-08-26-refined-times.txt</v>
      </c>
      <c r="AI132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{"issue":{"subject":"","project_id":79,"tracker_id":40,"status_id":1,"priority_id":2,"assigned_to_id":23,"start_date":"2016-08-26","description":"","custom_fields":[{"id":1,"name":"Subdivision","value":"EC"},{"id":4,"name":"Milepost","value":"23.1949"},{"id":17,"name":"Train ID","value":"212-26"},{"id":16,"name":"Locomotive ID","value":"4026"},{"id":130,"name":"Impact","value":""},{"id":150,"name":"Time of Event (Mountain Time)","value":"19:17:05"},{"id":151,"name":"Denver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511</v>
      </c>
      <c r="B133" s="7">
        <v>4003</v>
      </c>
      <c r="C133" s="24" t="s">
        <v>113</v>
      </c>
      <c r="D133" s="24" t="s">
        <v>656</v>
      </c>
      <c r="E133" s="15">
        <v>42608.737627314818</v>
      </c>
      <c r="F133" s="15">
        <v>42608.73914351852</v>
      </c>
      <c r="G133" s="7">
        <v>2</v>
      </c>
      <c r="H133" s="15" t="s">
        <v>657</v>
      </c>
      <c r="I133" s="15">
        <v>42608.765428240738</v>
      </c>
      <c r="J133" s="7">
        <v>0</v>
      </c>
      <c r="K133" s="132" t="str">
        <f t="shared" si="50"/>
        <v>4003/4004</v>
      </c>
      <c r="L133" s="24" t="str">
        <f>VLOOKUP(A133,'Trips&amp;Operators'!$C$1:$E$10000,3,FALSE)</f>
        <v>YANAI</v>
      </c>
      <c r="M133" s="6">
        <f t="shared" si="51"/>
        <v>2.6284722218406387E-2</v>
      </c>
      <c r="N133" s="7">
        <f t="shared" si="49"/>
        <v>37.849999994505197</v>
      </c>
      <c r="O133" s="7"/>
      <c r="P133" s="7"/>
      <c r="Q133" s="25"/>
      <c r="R133" s="25"/>
      <c r="S133" s="37">
        <f t="shared" ref="S133:S141" si="61">SUM(U133:U133)/IF(AG133="EC",12,1)</f>
        <v>1</v>
      </c>
      <c r="T133" s="52" t="str">
        <f t="shared" si="52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16:42:11-0600',mode:absolute,to:'2016-08-26 19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33" s="54" t="str">
        <f t="shared" si="54"/>
        <v>N</v>
      </c>
      <c r="X133" s="120">
        <f t="shared" si="60"/>
        <v>1</v>
      </c>
      <c r="Y133" s="69">
        <f t="shared" si="55"/>
        <v>0.1177</v>
      </c>
      <c r="Z133" s="69">
        <f t="shared" si="59"/>
        <v>23.329899999999999</v>
      </c>
      <c r="AA133" s="69">
        <f t="shared" si="56"/>
        <v>23.212199999999999</v>
      </c>
      <c r="AB133" s="66">
        <f>VLOOKUP(A133,Enforcements!$C$7:$J$21,8,0)</f>
        <v>33137</v>
      </c>
      <c r="AC133" s="62" t="str">
        <f>VLOOKUP(A133,Enforcements!$C$7:$E$21,3,0)</f>
        <v>GRADE CROSSING</v>
      </c>
      <c r="AD133" s="63" t="str">
        <f t="shared" si="57"/>
        <v>0213-26</v>
      </c>
      <c r="AE133" s="99" t="str">
        <f t="shared" si="41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33" s="96" t="str">
        <f t="shared" si="42"/>
        <v>"C:\Program Files (x86)\AstroGrep\AstroGrep.exe" /spath="%USERPROFILE%\AppData\Local\Temp\OnboardLogs" /stypes="*4003*20160827*" /stext=" 00:.+((SYSTEM_STATE.+slice.+state.+changed )|(ment ac)|(system.+state.+changed )|(\|lc)|(penalty)|(\[timeout)|(PRM\|1\|D)|(kpr)|(kdp))" /e /r /s</v>
      </c>
      <c r="AG133" s="1" t="str">
        <f t="shared" si="58"/>
        <v>EC</v>
      </c>
      <c r="AH133" s="100" t="str">
        <f t="shared" si="44"/>
        <v>"%USERPROFILE%\Documents\GitHub\eaglep3\Utilities\RefineRTDCRunTimes.py" --tripid 213-26 --locoid 4003 --swversion DE.1.0.7.0 --startMP 204:1177 --initTime 2016-08-26T17:42:11 --startdatetime 2016-08-26T17:44:22 --delay 2 --endMP 204:233299 --enddatetime 2016-08-26T18:22:13 --enforcementcount 0 &gt;&gt;C:\Users\stu\Documents\GitHub\eaglep3-reporting\EC\2016-08-26-refined-times.txt</v>
      </c>
      <c r="AI133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{"issue":{"subject":"","project_id":79,"tracker_id":40,"status_id":1,"priority_id":2,"assigned_to_id":23,"start_date":"2016-08-26","description":"","custom_fields":[{"id":1,"name":"Subdivision","value":"EC"},{"id":4,"name":"Milepost","value":"23.2122"},{"id":17,"name":"Train ID","value":"213-26"},{"id":16,"name":"Locomotive ID","value":"4003"},{"id":130,"name":"Impact","value":""},{"id":150,"name":"Time of Event (Mountain Time)","value":"18:22:13"},{"id":151,"name":"Denver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525</v>
      </c>
      <c r="B134" s="7">
        <v>4004</v>
      </c>
      <c r="C134" s="24" t="s">
        <v>113</v>
      </c>
      <c r="D134" s="24" t="s">
        <v>618</v>
      </c>
      <c r="E134" s="15">
        <v>42608.776469907411</v>
      </c>
      <c r="F134" s="15">
        <v>42608.777731481481</v>
      </c>
      <c r="G134" s="7">
        <v>1</v>
      </c>
      <c r="H134" s="15" t="s">
        <v>152</v>
      </c>
      <c r="I134" s="15">
        <v>42608.814074074071</v>
      </c>
      <c r="J134" s="7">
        <v>0</v>
      </c>
      <c r="K134" s="132" t="str">
        <f t="shared" si="50"/>
        <v>4003/4004</v>
      </c>
      <c r="L134" s="24" t="str">
        <f>VLOOKUP(A134,'Trips&amp;Operators'!$C$1:$E$10000,3,FALSE)</f>
        <v>YANAI</v>
      </c>
      <c r="M134" s="6">
        <f t="shared" si="51"/>
        <v>3.6342592589790002E-2</v>
      </c>
      <c r="N134" s="7">
        <f t="shared" si="49"/>
        <v>52.333333329297602</v>
      </c>
      <c r="O134" s="7"/>
      <c r="P134" s="7"/>
      <c r="Q134" s="25"/>
      <c r="R134" s="25"/>
      <c r="S134" s="37">
        <f t="shared" si="61"/>
        <v>1</v>
      </c>
      <c r="T134" s="52" t="str">
        <f t="shared" si="52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17:38:07-0600',mode:absolute,to:'2016-08-26 20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4" s="54" t="str">
        <f t="shared" si="54"/>
        <v>N</v>
      </c>
      <c r="X134" s="120">
        <f t="shared" ref="X134:X151" si="62">VALUE(LEFT(AD134,4))-VALUE(LEFT(AD133,4))</f>
        <v>1</v>
      </c>
      <c r="Y134" s="69">
        <f t="shared" si="55"/>
        <v>23.298400000000001</v>
      </c>
      <c r="Z134" s="69">
        <f t="shared" si="59"/>
        <v>1.4999999999999999E-2</v>
      </c>
      <c r="AA134" s="69">
        <f t="shared" si="56"/>
        <v>23.2834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57"/>
        <v>0214-26</v>
      </c>
      <c r="AE134" s="99" t="str">
        <f t="shared" si="41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34" s="96" t="str">
        <f t="shared" si="42"/>
        <v>"C:\Program Files (x86)\AstroGrep\AstroGrep.exe" /spath="%USERPROFILE%\AppData\Local\Temp\OnboardLogs" /stypes="*4004*20160827*" /stext=" 01:.+((SYSTEM_STATE.+slice.+state.+changed )|(ment ac)|(system.+state.+changed )|(\|lc)|(penalty)|(\[timeout)|(PRM\|1\|D)|(kpr)|(kdp))" /e /r /s</v>
      </c>
      <c r="AG134" s="1" t="str">
        <f t="shared" si="58"/>
        <v>EC</v>
      </c>
      <c r="AH134" s="100" t="str">
        <f t="shared" si="44"/>
        <v>"%USERPROFILE%\Documents\GitHub\eaglep3\Utilities\RefineRTDCRunTimes.py" --tripid 214-26 --locoid 4004 --swversion DE.1.0.7.0 --startMP 204:232984 --initTime 2016-08-26T18:38:07 --startdatetime 2016-08-26T18:39:56 --delay 1 --endMP 204:150 --enddatetime 2016-08-26T19:32:16 --enforcementcount 0 &gt;&gt;C:\Users\stu\Documents\GitHub\eaglep3-reporting\EC\2016-08-26-refined-times.txt</v>
      </c>
      <c r="AI134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{"issue":{"subject":"","project_id":79,"tracker_id":40,"status_id":1,"priority_id":2,"assigned_to_id":23,"start_date":"2016-08-26","description":"","custom_fields":[{"id":1,"name":"Subdivision","value":"EC"},{"id":4,"name":"Milepost","value":"23.2834"},{"id":17,"name":"Train ID","value":"214-26"},{"id":16,"name":"Locomotive ID","value":"4004"},{"id":130,"name":"Impact","value":""},{"id":150,"name":"Time of Event (Mountain Time)","value":"19:32:16"},{"id":151,"name":"Denver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514</v>
      </c>
      <c r="B135" s="7">
        <v>4009</v>
      </c>
      <c r="C135" s="24" t="s">
        <v>113</v>
      </c>
      <c r="D135" s="24" t="s">
        <v>292</v>
      </c>
      <c r="E135" s="15">
        <v>42608.748761574076</v>
      </c>
      <c r="F135" s="15">
        <v>42608.749861111108</v>
      </c>
      <c r="G135" s="7">
        <v>1</v>
      </c>
      <c r="H135" s="15" t="s">
        <v>149</v>
      </c>
      <c r="I135" s="15">
        <v>42608.777233796296</v>
      </c>
      <c r="J135" s="7">
        <v>0</v>
      </c>
      <c r="K135" s="132" t="str">
        <f t="shared" si="50"/>
        <v>4009/4010</v>
      </c>
      <c r="L135" s="24" t="str">
        <f>VLOOKUP(A135,'Trips&amp;Operators'!$C$1:$E$10000,3,FALSE)</f>
        <v>WEBSTER</v>
      </c>
      <c r="M135" s="6">
        <f t="shared" si="51"/>
        <v>2.7372685188311152E-2</v>
      </c>
      <c r="N135" s="7">
        <f t="shared" si="49"/>
        <v>39.416666671168059</v>
      </c>
      <c r="O135" s="7"/>
      <c r="P135" s="7"/>
      <c r="Q135" s="25"/>
      <c r="R135" s="25"/>
      <c r="S135" s="37">
        <f t="shared" si="61"/>
        <v>1</v>
      </c>
      <c r="T135" s="52" t="str">
        <f t="shared" si="52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16:58:13-0600',mode:absolute,to:'2016-08-26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5" s="54" t="str">
        <f t="shared" si="54"/>
        <v>N</v>
      </c>
      <c r="X135" s="120">
        <f t="shared" si="62"/>
        <v>1</v>
      </c>
      <c r="Y135" s="69">
        <f t="shared" si="55"/>
        <v>4.3999999999999997E-2</v>
      </c>
      <c r="Z135" s="69">
        <f t="shared" si="59"/>
        <v>23.33</v>
      </c>
      <c r="AA135" s="69">
        <f t="shared" si="56"/>
        <v>23.285999999999998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57"/>
        <v>0215-26</v>
      </c>
      <c r="AE135" s="99" t="str">
        <f t="shared" si="41"/>
        <v>aws s3 cp s3://rtdc.mdm.uploadarchive/RTDC4009/2016-08-26/ "%USERPROFILE%\AppData\Local\Temp\OnboardLogs"\RTDC4009\2016-08-26 --recursive &amp; "%USERPROFILE%\Documents\GitHub\mrs-test-scripts\Headless Mode &amp; Sideloading\WalkAndUnGZ.bat" "%USERPROFILE%\AppData\Local\Temp\OnboardLogs"\RTDC4009\2016-08-26 &amp; 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</v>
      </c>
      <c r="AF135" s="96" t="str">
        <f t="shared" si="42"/>
        <v>"C:\Program Files (x86)\AstroGrep\AstroGrep.exe" /spath="%USERPROFILE%\AppData\Local\Temp\OnboardLogs" /stypes="*4009*20160827*" /stext=" 00:.+((SYSTEM_STATE.+slice.+state.+changed )|(ment ac)|(system.+state.+changed )|(\|lc)|(penalty)|(\[timeout)|(PRM\|1\|D)|(kpr)|(kdp))" /e /r /s</v>
      </c>
      <c r="AG135" s="1" t="str">
        <f t="shared" si="58"/>
        <v>EC</v>
      </c>
      <c r="AH135" s="100" t="str">
        <f t="shared" si="44"/>
        <v>"%USERPROFILE%\Documents\GitHub\eaglep3\Utilities\RefineRTDCRunTimes.py" --tripid 215-26 --locoid 4009 --swversion DE.1.0.7.0 --startMP 204:440 --initTime 2016-08-26T17:58:13 --startdatetime 2016-08-26T17:59:48 --delay 1 --endMP 204:233300 --enddatetime 2016-08-26T18:39:13 --enforcementcount 0 &gt;&gt;C:\Users\stu\Documents\GitHub\eaglep3-reporting\EC\2016-08-26-refined-times.txt</v>
      </c>
      <c r="AI135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ID","value":"215-26"},{"id":16,"name":"Locomotive ID","value":"4009"},{"id":130,"name":"Impact","value":""},{"id":150,"name":"Time of Event (Mountain Time)","value":"18:39:13"},{"id":151,"name":"Denver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526</v>
      </c>
      <c r="B136" s="7">
        <v>4010</v>
      </c>
      <c r="C136" s="24" t="s">
        <v>113</v>
      </c>
      <c r="D136" s="24" t="s">
        <v>658</v>
      </c>
      <c r="E136" s="15">
        <v>42608.784629629627</v>
      </c>
      <c r="F136" s="15">
        <v>42608.796249999999</v>
      </c>
      <c r="G136" s="7">
        <v>16</v>
      </c>
      <c r="H136" s="15" t="s">
        <v>659</v>
      </c>
      <c r="I136" s="15">
        <v>42608.830474537041</v>
      </c>
      <c r="J136" s="7">
        <v>0</v>
      </c>
      <c r="K136" s="132" t="str">
        <f t="shared" si="50"/>
        <v>4009/4010</v>
      </c>
      <c r="L136" s="24" t="str">
        <f>VLOOKUP(A136,'Trips&amp;Operators'!$C$1:$E$10000,3,FALSE)</f>
        <v>WEBSTER</v>
      </c>
      <c r="M136" s="6">
        <f t="shared" si="51"/>
        <v>3.422453704115469E-2</v>
      </c>
      <c r="N136" s="7"/>
      <c r="O136" s="7"/>
      <c r="P136" s="7">
        <f>24*60*SUM($M136:$M136)</f>
        <v>49.283333339262754</v>
      </c>
      <c r="Q136" s="25"/>
      <c r="R136" s="25" t="s">
        <v>178</v>
      </c>
      <c r="S136" s="37">
        <f t="shared" si="61"/>
        <v>1</v>
      </c>
      <c r="T136" s="52" t="str">
        <f t="shared" si="52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17:49:52-0600',mode:absolute,to:'2016-08-26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6" s="54" t="str">
        <f t="shared" si="54"/>
        <v>Y</v>
      </c>
      <c r="X136" s="120">
        <f t="shared" si="62"/>
        <v>1</v>
      </c>
      <c r="Y136" s="69">
        <f t="shared" si="55"/>
        <v>19.451499999999999</v>
      </c>
      <c r="Z136" s="69">
        <f t="shared" si="59"/>
        <v>9.01E-2</v>
      </c>
      <c r="AA136" s="69">
        <f t="shared" si="56"/>
        <v>19.3614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57"/>
        <v>0216-26</v>
      </c>
      <c r="AE136" s="99" t="str">
        <f t="shared" si="41"/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AF136" s="96" t="str">
        <f t="shared" si="42"/>
        <v>"C:\Program Files (x86)\AstroGrep\AstroGrep.exe" /spath="%USERPROFILE%\AppData\Local\Temp\OnboardLogs" /stypes="*4010*20160827*" /stext=" 01:.+((SYSTEM_STATE.+slice.+state.+changed )|(ment ac)|(system.+state.+changed )|(\|lc)|(penalty)|(\[timeout)|(PRM\|1\|D)|(kpr)|(kdp))" /e /r /s</v>
      </c>
      <c r="AG136" s="1" t="str">
        <f t="shared" si="58"/>
        <v>EC</v>
      </c>
      <c r="AH136" s="100" t="str">
        <f t="shared" si="44"/>
        <v>"%USERPROFILE%\Documents\GitHub\eaglep3\Utilities\RefineRTDCRunTimes.py" --tripid 216-26 --locoid 4010 --swversion DE.1.0.7.0 --startMP 204:194515 --initTime 2016-08-26T18:49:52 --startdatetime 2016-08-26T19:06:36 --delay 16 --endMP 204:901 --enddatetime 2016-08-26T19:55:53 --enforcementcount 0 &gt;&gt;C:\Users\stu\Documents\GitHub\eaglep3-reporting\EC\2016-08-26-refined-times.txt</v>
      </c>
      <c r="AI136" s="149" t="str">
        <f t="shared" si="45"/>
        <v>echo {"issue":{"subject":"Onboard in-route failure","project_id":79,"tracker_id":40,"status_id":1,"priority_id":2,"assigned_to_id":23,"start_date":"2016-08-26","description":"","custom_fields":[{"id":1,"name":"Subdivision","value":"EC"},{"id":4,"name":"Milepost","value":"19.3614"},{"id":17,"name":"Train ID","value":"216-26"},{"id":16,"name":"Locomotive ID","value":"4010"},{"id":130,"name":"Impact","value":""},{"id":150,"name":"Time of Event (Mountain Time)","value":"19:55:53"},{"id":151,"name":"Denver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519</v>
      </c>
      <c r="B137" s="7">
        <v>4040</v>
      </c>
      <c r="C137" s="24" t="s">
        <v>113</v>
      </c>
      <c r="D137" s="24" t="s">
        <v>184</v>
      </c>
      <c r="E137" s="15">
        <v>42608.761516203704</v>
      </c>
      <c r="F137" s="15">
        <v>42608.762557870374</v>
      </c>
      <c r="G137" s="7">
        <v>1</v>
      </c>
      <c r="H137" s="15" t="s">
        <v>314</v>
      </c>
      <c r="I137" s="15">
        <v>42608.792037037034</v>
      </c>
      <c r="J137" s="7">
        <v>0</v>
      </c>
      <c r="K137" s="132" t="str">
        <f t="shared" si="50"/>
        <v>4039/4040</v>
      </c>
      <c r="L137" s="24" t="str">
        <f>VLOOKUP(A137,'Trips&amp;Operators'!$C$1:$E$10000,3,FALSE)</f>
        <v>CHANDLER</v>
      </c>
      <c r="M137" s="6">
        <f t="shared" si="51"/>
        <v>2.9479166660166811E-2</v>
      </c>
      <c r="N137" s="7">
        <f>24*60*SUM($M137:$M137)</f>
        <v>42.449999990640208</v>
      </c>
      <c r="O137" s="7"/>
      <c r="P137" s="7"/>
      <c r="Q137" s="25"/>
      <c r="R137" s="25"/>
      <c r="S137" s="37">
        <f t="shared" si="61"/>
        <v>1</v>
      </c>
      <c r="T137" s="52" t="str">
        <f t="shared" si="52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17:16:35-0600',mode:absolute,to:'2016-08-26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37" s="54" t="str">
        <f t="shared" si="54"/>
        <v>N</v>
      </c>
      <c r="X137" s="120">
        <f t="shared" si="62"/>
        <v>1</v>
      </c>
      <c r="Y137" s="69">
        <f t="shared" si="55"/>
        <v>4.4400000000000002E-2</v>
      </c>
      <c r="Z137" s="69">
        <f t="shared" si="59"/>
        <v>23.330100000000002</v>
      </c>
      <c r="AA137" s="69">
        <f t="shared" si="56"/>
        <v>23.285700000000002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57"/>
        <v>0217-26</v>
      </c>
      <c r="AE137" s="99" t="str">
        <f t="shared" si="41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37" s="96" t="str">
        <f t="shared" si="42"/>
        <v>"C:\Program Files (x86)\AstroGrep\AstroGrep.exe" /spath="%USERPROFILE%\AppData\Local\Temp\OnboardLogs" /stypes="*4040*20160827*" /stext=" 01:.+((SYSTEM_STATE.+slice.+state.+changed )|(ment ac)|(system.+state.+changed )|(\|lc)|(penalty)|(\[timeout)|(PRM\|1\|D)|(kpr)|(kdp))" /e /r /s</v>
      </c>
      <c r="AG137" s="1" t="str">
        <f t="shared" si="58"/>
        <v>EC</v>
      </c>
      <c r="AH137" s="100" t="str">
        <f t="shared" si="44"/>
        <v>"%USERPROFILE%\Documents\GitHub\eaglep3\Utilities\RefineRTDCRunTimes.py" --tripid 217-26 --locoid 4040 --swversion DE.1.0.7.0 --startMP 204:444 --initTime 2016-08-26T18:16:35 --startdatetime 2016-08-26T18:18:05 --delay 1 --endMP 204:233301 --enddatetime 2016-08-26T19:00:32 --enforcementcount 0 &gt;&gt;C:\Users\stu\Documents\GitHub\eaglep3-reporting\EC\2016-08-26-refined-times.txt</v>
      </c>
      <c r="AI137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{"issue":{"subject":"","project_id":79,"tracker_id":40,"status_id":1,"priority_id":2,"assigned_to_id":23,"start_date":"2016-08-26","description":"","custom_fields":[{"id":1,"name":"Subdivision","value":"EC"},{"id":4,"name":"Milepost","value":"23.2857"},{"id":17,"name":"Train ID","value":"217-26"},{"id":16,"name":"Locomotive ID","value":"4040"},{"id":130,"name":"Impact","value":""},{"id":150,"name":"Time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763</v>
      </c>
      <c r="B138" s="7">
        <v>4039</v>
      </c>
      <c r="C138" s="24" t="s">
        <v>113</v>
      </c>
      <c r="D138" s="24" t="s">
        <v>184</v>
      </c>
      <c r="E138" s="15">
        <v>42608.761516203704</v>
      </c>
      <c r="F138" s="15">
        <v>42608.762557870374</v>
      </c>
      <c r="G138" s="7">
        <v>1</v>
      </c>
      <c r="H138" s="15" t="s">
        <v>314</v>
      </c>
      <c r="I138" s="15">
        <v>42608.792037037034</v>
      </c>
      <c r="J138" s="7">
        <v>0</v>
      </c>
      <c r="K138" s="132" t="str">
        <f t="shared" si="50"/>
        <v>4039/4040</v>
      </c>
      <c r="L138" s="24" t="e">
        <f>VLOOKUP(A138,'Trips&amp;Operators'!$C$1:$E$10000,3,FALSE)</f>
        <v>#N/A</v>
      </c>
      <c r="M138" s="6">
        <f t="shared" si="51"/>
        <v>2.9479166660166811E-2</v>
      </c>
      <c r="N138" s="7"/>
      <c r="O138" s="7"/>
      <c r="P138" s="7">
        <v>1</v>
      </c>
      <c r="Q138" s="25"/>
      <c r="R138" s="25" t="s">
        <v>348</v>
      </c>
      <c r="S138" s="37">
        <f t="shared" si="61"/>
        <v>0</v>
      </c>
      <c r="T138" s="52" t="str">
        <f t="shared" si="52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17:16:35-0600',mode:absolute,to:'2016-08-26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38" s="54" t="str">
        <f t="shared" si="54"/>
        <v>Y</v>
      </c>
      <c r="X138" s="120">
        <f t="shared" si="62"/>
        <v>1</v>
      </c>
      <c r="Y138" s="69">
        <f t="shared" si="55"/>
        <v>4.4400000000000002E-2</v>
      </c>
      <c r="Z138" s="69">
        <f>Y138</f>
        <v>4.4400000000000002E-2</v>
      </c>
      <c r="AA138" s="69">
        <f t="shared" si="56"/>
        <v>0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57"/>
        <v>0218-26</v>
      </c>
      <c r="AE138" s="99" t="str">
        <f t="shared" si="41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38" s="96" t="str">
        <f t="shared" si="42"/>
        <v>"C:\Program Files (x86)\AstroGrep\AstroGrep.exe" /spath="%USERPROFILE%\AppData\Local\Temp\OnboardLogs" /stypes="*4039*20160827*" /stext=" 01:.+((SYSTEM_STATE.+slice.+state.+changed )|(ment ac)|(system.+state.+changed )|(\|lc)|(penalty)|(\[timeout)|(PRM\|1\|D)|(kpr)|(kdp))" /e /r /s</v>
      </c>
      <c r="AG138" s="1" t="str">
        <f t="shared" si="58"/>
        <v>EC</v>
      </c>
      <c r="AH138" s="100" t="str">
        <f t="shared" ref="AH138" si="63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218-26 --locoid 4039 --swversion DE.1.0.7.0 --startMP 204:444 --initTime 2016-08-26T18:16:35 --startdatetime 2016-08-26T18:18:05 --delay 1 --endMP 204:233301 --enddatetime 2016-08-26T19:00:32 --enforcementcount 0 &gt;&gt;C:\Users\stu\Documents\GitHub\eaglep3-reporting\EC\2016-08-26-refined-times.txt</v>
      </c>
      <c r="AI138" s="149" t="str">
        <f t="shared" ref="AI138" si="64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AA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initialize","project_id":79,"tracker_id":40,"status_id":1,"priority_id":2,"assigned_to_id":23,"start_date":"2016-08-26","description":"","custom_fields":[{"id":1,"name":"Subdivision","value":"EC"},{"id":4,"name":"Milepost","value":"0"},{"id":17,"name":"Train ID","value":"218-26"},{"id":16,"name":"Locomotive ID","value":"4039"},{"id":130,"name":"Impact","value":""},{"id":150,"name":"Time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522</v>
      </c>
      <c r="B139" s="7">
        <v>4027</v>
      </c>
      <c r="C139" s="24" t="s">
        <v>113</v>
      </c>
      <c r="D139" s="24" t="s">
        <v>226</v>
      </c>
      <c r="E139" s="15">
        <v>42608.768958333334</v>
      </c>
      <c r="F139" s="15">
        <v>42608.771180555559</v>
      </c>
      <c r="G139" s="7">
        <v>3</v>
      </c>
      <c r="H139" s="15" t="s">
        <v>155</v>
      </c>
      <c r="I139" s="15">
        <v>42608.803148148145</v>
      </c>
      <c r="J139" s="7">
        <v>0</v>
      </c>
      <c r="K139" s="132" t="str">
        <f t="shared" si="50"/>
        <v>4027/4028</v>
      </c>
      <c r="L139" s="24" t="str">
        <f>VLOOKUP(A139,'Trips&amp;Operators'!$C$1:$E$10000,3,FALSE)</f>
        <v>ARVIDSON</v>
      </c>
      <c r="M139" s="6">
        <f t="shared" si="51"/>
        <v>3.1967592585715465E-2</v>
      </c>
      <c r="N139" s="7">
        <f>24*60*SUM($M139:$M139)</f>
        <v>46.03333332343027</v>
      </c>
      <c r="O139" s="7"/>
      <c r="P139" s="7"/>
      <c r="Q139" s="25"/>
      <c r="R139" s="25"/>
      <c r="S139" s="37">
        <f t="shared" si="61"/>
        <v>1</v>
      </c>
      <c r="T139" s="52" t="str">
        <f t="shared" si="52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17:27:18-0600',mode:absolute,to:'2016-08-26 20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39" s="54" t="str">
        <f t="shared" si="54"/>
        <v>N</v>
      </c>
      <c r="X139" s="120">
        <f t="shared" si="62"/>
        <v>1</v>
      </c>
      <c r="Y139" s="69">
        <f t="shared" si="55"/>
        <v>4.7800000000000002E-2</v>
      </c>
      <c r="Z139" s="69">
        <f t="shared" ref="Z139:Z144" si="65">RIGHT(H139,LEN(H139)-4)/10000</f>
        <v>23.3291</v>
      </c>
      <c r="AA139" s="69">
        <f t="shared" si="56"/>
        <v>23.281300000000002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57"/>
        <v>0219-26</v>
      </c>
      <c r="AE139" s="99" t="str">
        <f t="shared" si="41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39" s="96" t="str">
        <f t="shared" si="42"/>
        <v>"C:\Program Files (x86)\AstroGrep\AstroGrep.exe" /spath="%USERPROFILE%\AppData\Local\Temp\OnboardLogs" /stypes="*4027*20160827*" /stext=" 01:.+((SYSTEM_STATE.+slice.+state.+changed )|(ment ac)|(system.+state.+changed )|(\|lc)|(penalty)|(\[timeout)|(PRM\|1\|D)|(kpr)|(kdp))" /e /r /s</v>
      </c>
      <c r="AG139" s="1" t="str">
        <f t="shared" si="58"/>
        <v>EC</v>
      </c>
      <c r="AH139" s="100" t="str">
        <f t="shared" si="44"/>
        <v>"%USERPROFILE%\Documents\GitHub\eaglep3\Utilities\RefineRTDCRunTimes.py" --tripid 219-26 --locoid 4027 --swversion DE.1.0.7.0 --startMP 204:478 --initTime 2016-08-26T18:27:18 --startdatetime 2016-08-26T18:30:30 --delay 3 --endMP 204:233291 --enddatetime 2016-08-26T19:16:32 --enforcementcount 0 &gt;&gt;C:\Users\stu\Documents\GitHub\eaglep3-reporting\EC\2016-08-26-refined-times.txt</v>
      </c>
      <c r="AI139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ID","value":"219-26"},{"id":16,"name":"Locomotive ID","value":"4027"},{"id":130,"name":"Impact","value":""},{"id":150,"name":"Time of Event (Mountain Time)","value":"19:16:32"},{"id":151,"name":"Denver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533</v>
      </c>
      <c r="B140" s="7">
        <v>4028</v>
      </c>
      <c r="C140" s="24" t="s">
        <v>113</v>
      </c>
      <c r="D140" s="24" t="s">
        <v>305</v>
      </c>
      <c r="E140" s="15">
        <v>42608.8046875</v>
      </c>
      <c r="F140" s="15">
        <v>42608.806284722225</v>
      </c>
      <c r="G140" s="7">
        <v>2</v>
      </c>
      <c r="H140" s="15" t="s">
        <v>131</v>
      </c>
      <c r="I140" s="15">
        <v>42608.858310185184</v>
      </c>
      <c r="J140" s="7">
        <v>0</v>
      </c>
      <c r="K140" s="132" t="str">
        <f t="shared" si="50"/>
        <v>4027/4028</v>
      </c>
      <c r="L140" s="24" t="str">
        <f>VLOOKUP(A140,'Trips&amp;Operators'!$C$1:$E$10000,3,FALSE)</f>
        <v>ARVIDSON</v>
      </c>
      <c r="M140" s="6">
        <f t="shared" si="51"/>
        <v>5.2025462959136348E-2</v>
      </c>
      <c r="N140" s="7">
        <f>24*60*SUM($M140:$M140)</f>
        <v>74.916666661156341</v>
      </c>
      <c r="O140" s="7"/>
      <c r="P140" s="7"/>
      <c r="Q140" s="25"/>
      <c r="R140" s="25"/>
      <c r="S140" s="37">
        <f t="shared" si="61"/>
        <v>1</v>
      </c>
      <c r="T140" s="52" t="str">
        <f t="shared" si="52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18:18:45-0600',mode:absolute,to:'2016-08-26 21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0" s="54" t="str">
        <f t="shared" si="54"/>
        <v>N</v>
      </c>
      <c r="X140" s="120">
        <f t="shared" si="62"/>
        <v>1</v>
      </c>
      <c r="Y140" s="69">
        <f t="shared" si="55"/>
        <v>23.299099999999999</v>
      </c>
      <c r="Z140" s="69">
        <f t="shared" si="65"/>
        <v>1.5800000000000002E-2</v>
      </c>
      <c r="AA140" s="69">
        <f t="shared" si="56"/>
        <v>23.283300000000001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57"/>
        <v>0220-26</v>
      </c>
      <c r="AE140" s="99" t="str">
        <f t="shared" si="41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40" s="96" t="str">
        <f t="shared" si="42"/>
        <v>"C:\Program Files (x86)\AstroGrep\AstroGrep.exe" /spath="%USERPROFILE%\AppData\Local\Temp\OnboardLogs" /stypes="*4028*20160827*" /stext=" 02:.+((SYSTEM_STATE.+slice.+state.+changed )|(ment ac)|(system.+state.+changed )|(\|lc)|(penalty)|(\[timeout)|(PRM\|1\|D)|(kpr)|(kdp))" /e /r /s</v>
      </c>
      <c r="AG140" s="1" t="str">
        <f t="shared" si="58"/>
        <v>EC</v>
      </c>
      <c r="AH140" s="100" t="str">
        <f t="shared" si="44"/>
        <v>"%USERPROFILE%\Documents\GitHub\eaglep3\Utilities\RefineRTDCRunTimes.py" --tripid 220-26 --locoid 4028 --swversion DE.1.0.7.0 --startMP 204:232991 --initTime 2016-08-26T19:18:45 --startdatetime 2016-08-26T19:21:03 --delay 2 --endMP 204:158 --enddatetime 2016-08-26T20:35:58 --enforcementcount 0 &gt;&gt;C:\Users\stu\Documents\GitHub\eaglep3-reporting\EC\2016-08-26-refined-times.txt</v>
      </c>
      <c r="AI140" s="149" t="str">
        <f t="shared" si="45"/>
        <v>echo {"issue":{"subject":"","project_id":79,"tracker_id":40,"status_id":1,"priority_id":2,"assigned_to_id":23,"start_date":"2016-08-26","description":"","custom_fields":[{"id":1,"name":"Subdivision","value":"EC"},{"id":4,"name":"Milepost","value":"23.2833"},{"id":17,"name":"Train ID","value":"220-26"},{"id":16,"name":"Locomotive ID","value":"4028"},{"id":130,"name":"Impact","value":""},{"id":150,"name":"Time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528</v>
      </c>
      <c r="B141" s="7">
        <v>4002</v>
      </c>
      <c r="C141" s="24" t="s">
        <v>113</v>
      </c>
      <c r="D141" s="24" t="s">
        <v>280</v>
      </c>
      <c r="E141" s="15">
        <v>42608.789571759262</v>
      </c>
      <c r="F141" s="15">
        <v>42608.79173611111</v>
      </c>
      <c r="G141" s="7">
        <v>3</v>
      </c>
      <c r="H141" s="15" t="s">
        <v>646</v>
      </c>
      <c r="I141" s="15">
        <v>42608.823935185188</v>
      </c>
      <c r="J141" s="7">
        <v>0</v>
      </c>
      <c r="K141" s="132" t="str">
        <f t="shared" si="50"/>
        <v>4001/4002</v>
      </c>
      <c r="L141" s="24" t="str">
        <f>VLOOKUP(A141,'Trips&amp;Operators'!$C$1:$E$10000,3,FALSE)</f>
        <v>HAITHCOX</v>
      </c>
      <c r="M141" s="6">
        <f t="shared" si="51"/>
        <v>3.2199074077652767E-2</v>
      </c>
      <c r="N141" s="7">
        <f>24*60*SUM($M141:$M141)</f>
        <v>46.366666671819985</v>
      </c>
      <c r="O141" s="7"/>
      <c r="P141" s="7"/>
      <c r="Q141" s="25"/>
      <c r="R141" s="25"/>
      <c r="S141" s="37">
        <f t="shared" si="61"/>
        <v>1</v>
      </c>
      <c r="T141" s="52" t="str">
        <f t="shared" si="52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17:56:59-0600',mode:absolute,to:'2016-08-26 20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1" s="54" t="str">
        <f t="shared" si="54"/>
        <v>N</v>
      </c>
      <c r="X141" s="120">
        <f t="shared" si="62"/>
        <v>1</v>
      </c>
      <c r="Y141" s="69">
        <f t="shared" si="55"/>
        <v>4.4600000000000001E-2</v>
      </c>
      <c r="Z141" s="69">
        <f t="shared" si="65"/>
        <v>23.3306</v>
      </c>
      <c r="AA141" s="69">
        <f t="shared" ref="AA141:AA172" si="66">ABS(Z141-Y141)</f>
        <v>23.286000000000001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57"/>
        <v>0221-26</v>
      </c>
      <c r="AE141" s="99" t="str">
        <f t="shared" ref="AE141:AE204" si="6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41" s="96" t="str">
        <f t="shared" ref="AF141:AF204" si="68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/stypes="*4002*20160827*" /stext=" 01:.+((SYSTEM_STATE.+slice.+state.+changed )|(ment ac)|(system.+state.+changed )|(\|lc)|(penalty)|(\[timeout)|(PRM\|1\|D)|(kpr)|(kdp))" /e /r /s</v>
      </c>
      <c r="AG141" s="1" t="str">
        <f t="shared" si="58"/>
        <v>EC</v>
      </c>
      <c r="AH141" s="100" t="str">
        <f t="shared" ref="AH141:AH204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221-26 --locoid 4002 --swversion DE.1.0.7.0 --startMP 204:446 --initTime 2016-08-26T18:56:59 --startdatetime 2016-08-26T19:00:06 --delay 3 --endMP 204:233306 --enddatetime 2016-08-26T19:46:28 --enforcementcount 0 &gt;&gt;C:\Users\stu\Documents\GitHub\eaglep3-reporting\EC\2016-08-26-refined-times.txt</v>
      </c>
      <c r="AI141" s="149" t="str">
        <f t="shared" ref="AI141:AI204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ID","value":"221-26"},{"id":16,"name":"Locomotive ID","value":"4002"},{"id":130,"name":"Impact","value":""},{"id":150,"name":"Time of Event (Mountain Time)","value":"19:46:28"},{"id":151,"name":"Denver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537</v>
      </c>
      <c r="B142" s="7">
        <v>4001</v>
      </c>
      <c r="C142" s="24" t="s">
        <v>113</v>
      </c>
      <c r="D142" s="24" t="s">
        <v>649</v>
      </c>
      <c r="E142" s="15">
        <v>42608.835381944446</v>
      </c>
      <c r="F142" s="15">
        <v>42608.836793981478</v>
      </c>
      <c r="G142" s="7">
        <v>2</v>
      </c>
      <c r="H142" s="15" t="s">
        <v>660</v>
      </c>
      <c r="I142" s="15">
        <v>42608.859895833331</v>
      </c>
      <c r="J142" s="7">
        <v>0</v>
      </c>
      <c r="K142" s="132" t="str">
        <f t="shared" si="50"/>
        <v>4001/4002</v>
      </c>
      <c r="L142" s="24" t="str">
        <f>VLOOKUP(A142,'Trips&amp;Operators'!$C$1:$E$10000,3,FALSE)</f>
        <v>HAITHCOX</v>
      </c>
      <c r="M142" s="6">
        <f t="shared" si="51"/>
        <v>2.3101851853425615E-2</v>
      </c>
      <c r="N142" s="7"/>
      <c r="O142" s="7"/>
      <c r="P142" s="7">
        <f>24*60*SUM($M142:$M143)</f>
        <v>58.816666669445112</v>
      </c>
      <c r="Q142" s="25"/>
      <c r="R142" s="25" t="s">
        <v>758</v>
      </c>
      <c r="S142" s="37">
        <f>SUM(U142:U143)/IF(AG142="EC",12,1)</f>
        <v>1</v>
      </c>
      <c r="T142" s="52" t="str">
        <f t="shared" si="52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3</v>
      </c>
      <c r="V14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19:02:57-0600',mode:absolute,to:'2016-08-26 21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2" s="54" t="str">
        <f t="shared" si="54"/>
        <v>Y</v>
      </c>
      <c r="X142" s="120">
        <f t="shared" si="62"/>
        <v>1</v>
      </c>
      <c r="Y142" s="69">
        <f t="shared" si="55"/>
        <v>23.298500000000001</v>
      </c>
      <c r="Z142" s="69">
        <f t="shared" si="65"/>
        <v>7.2908999999999997</v>
      </c>
      <c r="AA142" s="69">
        <f t="shared" si="66"/>
        <v>16.0076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57"/>
        <v>0222-26</v>
      </c>
      <c r="AE142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2" s="96" t="str">
        <f t="shared" si="68"/>
        <v>"C:\Program Files (x86)\AstroGrep\AstroGrep.exe" /spath="%USERPROFILE%\AppData\Local\Temp\OnboardLogs" /stypes="*4001*20160827*" /stext=" 02:.+((SYSTEM_STATE.+slice.+state.+changed )|(ment ac)|(system.+state.+changed )|(\|lc)|(penalty)|(\[timeout)|(PRM\|1\|D)|(kpr)|(kdp))" /e /r /s</v>
      </c>
      <c r="AG142" s="1" t="str">
        <f t="shared" si="58"/>
        <v>EC</v>
      </c>
      <c r="AH142" s="100" t="str">
        <f t="shared" si="69"/>
        <v>"%USERPROFILE%\Documents\GitHub\eaglep3\Utilities\RefineRTDCRunTimes.py" --tripid 222-26 --locoid 4001 --swversion DE.1.0.7.0 --startMP 204:232985 --initTime 2016-08-26T20:02:57 --startdatetime 2016-08-26T20:04:59 --delay 2 --endMP 204:72909 --enddatetime 2016-08-26T20:38:15 --enforcementcount 0 &gt;&gt;C:\Users\stu\Documents\GitHub\eaglep3-reporting\EC\2016-08-26-refined-times.txt</v>
      </c>
      <c r="AI142" s="149" t="str">
        <f t="shared" si="70"/>
        <v>echo {"issue":{"subject":"Confusion over Form C?","project_id":79,"tracker_id":40,"status_id":1,"priority_id":2,"assigned_to_id":23,"start_date":"2016-08-26","description":"","custom_fields":[{"id":1,"name":"Subdivision","value":"EC"},{"id":4,"name":"Milepost","value":"16.0076"},{"id":17,"name":"Train ID","value":"222-26"},{"id":16,"name":"Locomotive ID","value":"4001"},{"id":130,"name":"Impact","value":""},{"id":150,"name":"Time of Event (Mountain Time)","value":"20:38:15"},{"id":151,"name":"Denver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537</v>
      </c>
      <c r="B143" s="7">
        <v>4001</v>
      </c>
      <c r="C143" s="24" t="s">
        <v>113</v>
      </c>
      <c r="D143" s="24" t="s">
        <v>661</v>
      </c>
      <c r="E143" s="15">
        <v>42608.862303240741</v>
      </c>
      <c r="F143" s="15">
        <v>42608.86309027778</v>
      </c>
      <c r="G143" s="7">
        <v>1</v>
      </c>
      <c r="H143" s="15" t="s">
        <v>190</v>
      </c>
      <c r="I143" s="15">
        <v>42608.880833333336</v>
      </c>
      <c r="J143" s="7">
        <v>0</v>
      </c>
      <c r="K143" s="132" t="str">
        <f t="shared" si="50"/>
        <v>4001/4002</v>
      </c>
      <c r="L143" s="24" t="str">
        <f>VLOOKUP(A143,'Trips&amp;Operators'!$C$1:$E$10000,3,FALSE)</f>
        <v>HAITHCOX</v>
      </c>
      <c r="M143" s="6">
        <f t="shared" si="51"/>
        <v>1.7743055555911269E-2</v>
      </c>
      <c r="N143" s="7"/>
      <c r="O143" s="7"/>
      <c r="P143" s="7"/>
      <c r="Q143" s="25"/>
      <c r="R143" s="25"/>
      <c r="S143" s="37"/>
      <c r="T143" s="52" t="str">
        <f t="shared" si="52"/>
        <v>Southbound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9</v>
      </c>
      <c r="V14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19:41:43-0600',mode:absolute,to:'2016-08-26 22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3" s="54" t="str">
        <f t="shared" si="54"/>
        <v>Y</v>
      </c>
      <c r="X143" s="120">
        <f t="shared" si="62"/>
        <v>0</v>
      </c>
      <c r="Y143" s="69">
        <f t="shared" si="55"/>
        <v>6.4131</v>
      </c>
      <c r="Z143" s="69">
        <f t="shared" si="65"/>
        <v>1.6E-2</v>
      </c>
      <c r="AA143" s="69">
        <f t="shared" si="66"/>
        <v>6.3971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57"/>
        <v>0222-26</v>
      </c>
      <c r="AE143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43" s="96" t="str">
        <f t="shared" si="68"/>
        <v>"C:\Program Files (x86)\AstroGrep\AstroGrep.exe" /spath="%USERPROFILE%\AppData\Local\Temp\OnboardLogs" /stypes="*4001*20160827*" /stext=" 03:.+((SYSTEM_STATE.+slice.+state.+changed )|(ment ac)|(system.+state.+changed )|(\|lc)|(penalty)|(\[timeout)|(PRM\|1\|D)|(kpr)|(kdp))" /e /r /s</v>
      </c>
      <c r="AG143" s="1" t="str">
        <f t="shared" si="58"/>
        <v>EC</v>
      </c>
      <c r="AH143" s="100" t="str">
        <f t="shared" si="69"/>
        <v>"%USERPROFILE%\Documents\GitHub\eaglep3\Utilities\RefineRTDCRunTimes.py" --tripid 222-26 --locoid 4001 --swversion DE.1.0.7.0 --startMP 204:64131 --initTime 2016-08-26T20:41:43 --startdatetime 2016-08-26T20:42:51 --delay 1 --endMP 204:160 --enddatetime 2016-08-26T21:08:24 --enforcementcount 0 &gt;&gt;C:\Users\stu\Documents\GitHub\eaglep3-reporting\EC\2016-08-26-refined-times.txt</v>
      </c>
      <c r="AI143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{"issue":{"subject":"","project_id":79,"tracker_id":40,"status_id":1,"priority_id":2,"assigned_to_id":23,"start_date":"2016-08-26","description":"","custom_fields":[{"id":1,"name":"Subdivision","value":"EC"},{"id":4,"name":"Milepost","value":"6.3971"},{"id":17,"name":"Train ID","value":"222-26"},{"id":16,"name":"Locomotive ID","value":"4001"},{"id":130,"name":"Impact","value":""},{"id":150,"name":"Time of Event (Mountain Time)","value":"21:08:24"},{"id":151,"name":"Denver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535</v>
      </c>
      <c r="B144" s="7">
        <v>4003</v>
      </c>
      <c r="C144" s="24" t="s">
        <v>113</v>
      </c>
      <c r="D144" s="24" t="s">
        <v>184</v>
      </c>
      <c r="E144" s="15">
        <v>42608.824212962965</v>
      </c>
      <c r="F144" s="15">
        <v>42608.824988425928</v>
      </c>
      <c r="G144" s="7">
        <v>1</v>
      </c>
      <c r="H144" s="15" t="s">
        <v>662</v>
      </c>
      <c r="I144" s="15">
        <v>42608.829039351855</v>
      </c>
      <c r="J144" s="7">
        <v>0</v>
      </c>
      <c r="K144" s="132" t="str">
        <f t="shared" si="50"/>
        <v>4003/4004</v>
      </c>
      <c r="L144" s="24" t="str">
        <f>VLOOKUP(A144,'Trips&amp;Operators'!$C$1:$E$10000,3,FALSE)</f>
        <v>YANAI</v>
      </c>
      <c r="M144" s="6">
        <f t="shared" si="51"/>
        <v>4.0509259270038456E-3</v>
      </c>
      <c r="N144" s="7"/>
      <c r="O144" s="7"/>
      <c r="P144" s="7">
        <f>24*60*SUM($M144:$M144)</f>
        <v>5.8333333348855376</v>
      </c>
      <c r="Q144" s="25"/>
      <c r="R144" s="25" t="s">
        <v>759</v>
      </c>
      <c r="S144" s="37">
        <f>SUM(U144:U144)/IF(AG144="EC",12,1)</f>
        <v>0</v>
      </c>
      <c r="T144" s="52" t="str">
        <f t="shared" si="52"/>
        <v>NorthBound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4" s="54" t="str">
        <f t="shared" si="54"/>
        <v>Y</v>
      </c>
      <c r="X144" s="120">
        <f t="shared" si="62"/>
        <v>1</v>
      </c>
      <c r="Y144" s="69">
        <f t="shared" si="55"/>
        <v>4.4400000000000002E-2</v>
      </c>
      <c r="Z144" s="69">
        <f t="shared" si="65"/>
        <v>1.9117</v>
      </c>
      <c r="AA144" s="69">
        <f t="shared" si="66"/>
        <v>1.8673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57"/>
        <v>0223-26</v>
      </c>
      <c r="AE144" s="99" t="str">
        <f t="shared" si="67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44" s="96" t="str">
        <f t="shared" si="68"/>
        <v>"C:\Program Files (x86)\AstroGrep\AstroGrep.exe" /spath="%USERPROFILE%\AppData\Local\Temp\OnboardLogs" /stypes="*4003*20160827*" /stext=" 01:.+((SYSTEM_STATE.+slice.+state.+changed )|(ment ac)|(system.+state.+changed )|(\|lc)|(penalty)|(\[timeout)|(PRM\|1\|D)|(kpr)|(kdp))" /e /r /s</v>
      </c>
      <c r="AG144" s="1" t="str">
        <f t="shared" si="58"/>
        <v>EC</v>
      </c>
      <c r="AH144" s="100" t="str">
        <f t="shared" si="69"/>
        <v>"%USERPROFILE%\Documents\GitHub\eaglep3\Utilities\RefineRTDCRunTimes.py" --tripid 223-26 --locoid 4003 --swversion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4" s="149" t="str">
        <f t="shared" si="70"/>
        <v>echo {"issue":{"subject":"Wi-MAX outage","project_id":79,"tracker_id":40,"status_id":1,"priority_id":2,"assigned_to_id":23,"start_date":"2016-08-26","description":"","custom_fields":[{"id":1,"name":"Subdivision","value":"EC"},{"id":4,"name":"Milepost","value":"1.8673"},{"id":17,"name":"Train ID","value":"223-26"},{"id":16,"name":"Locomotive ID","value":"4003"},{"id":130,"name":"Impact","value":""},{"id":150,"name":"Time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764</v>
      </c>
      <c r="B145" s="7">
        <v>4004</v>
      </c>
      <c r="C145" s="24" t="s">
        <v>113</v>
      </c>
      <c r="D145" s="24" t="s">
        <v>184</v>
      </c>
      <c r="E145" s="15">
        <v>42608.824212962965</v>
      </c>
      <c r="F145" s="15">
        <v>42608.824988425928</v>
      </c>
      <c r="G145" s="7">
        <v>1</v>
      </c>
      <c r="H145" s="15" t="s">
        <v>662</v>
      </c>
      <c r="I145" s="15">
        <v>42608.829039351855</v>
      </c>
      <c r="J145" s="7">
        <v>0</v>
      </c>
      <c r="K145" s="132" t="str">
        <f t="shared" ref="K145:K146" si="71">IF(ISEVEN(B145),(B145-1)&amp;"/"&amp;B145,B145&amp;"/"&amp;(B145+1))</f>
        <v>4003/4004</v>
      </c>
      <c r="L145" s="24" t="e">
        <f>VLOOKUP(A145,'Trips&amp;Operators'!$C$1:$E$10000,3,FALSE)</f>
        <v>#N/A</v>
      </c>
      <c r="M145" s="6">
        <f t="shared" ref="M145:M146" si="72">I145-F145</f>
        <v>4.0509259270038456E-3</v>
      </c>
      <c r="N145" s="7"/>
      <c r="O145" s="7"/>
      <c r="P145" s="7">
        <f>24*60*SUM($M145:$M145)</f>
        <v>5.8333333348855376</v>
      </c>
      <c r="Q145" s="25"/>
      <c r="R145" s="25" t="s">
        <v>348</v>
      </c>
      <c r="S145" s="37">
        <f t="shared" ref="S145:S146" si="73">SUM(U145:U145)/IF(AG145="EC",12,1)</f>
        <v>0</v>
      </c>
      <c r="T145" s="52" t="str">
        <f t="shared" ref="T145:T146" si="74">IF(ISEVEN(LEFT(AD145,4)),"Southbound","NorthBound")</f>
        <v>Southbound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06" t="str">
        <f t="shared" ref="V145:V146" si="75"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45" s="54" t="str">
        <f t="shared" ref="W145:W146" si="76">IF(AA145&lt;IF(AG145="EC",23,5.65),"Y","N")</f>
        <v>Y</v>
      </c>
      <c r="X145" s="120">
        <f t="shared" si="62"/>
        <v>1</v>
      </c>
      <c r="Y145" s="69">
        <f t="shared" ref="Y145:Y146" si="77">RIGHT(D145,LEN(D145)-4)/10000</f>
        <v>4.4400000000000002E-2</v>
      </c>
      <c r="Z145" s="69">
        <f t="shared" ref="Z145:Z146" si="78">RIGHT(H145,LEN(H145)-4)/10000</f>
        <v>1.9117</v>
      </c>
      <c r="AA145" s="69">
        <f t="shared" ref="AA145:AA146" si="79">ABS(Z145-Y145)</f>
        <v>1.8673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ref="AD145:AD146" si="80">IF(LEN(A145)=6,"0"&amp;A145,A145)</f>
        <v>0224-26</v>
      </c>
      <c r="AE145" s="99" t="str">
        <f t="shared" si="67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145" s="96" t="str">
        <f t="shared" si="68"/>
        <v>"C:\Program Files (x86)\AstroGrep\AstroGrep.exe" /spath="%USERPROFILE%\AppData\Local\Temp\OnboardLogs" /stypes="*4004*20160827*" /stext=" 01:.+((SYSTEM_STATE.+slice.+state.+changed )|(ment ac)|(system.+state.+changed )|(\|lc)|(penalty)|(\[timeout)|(PRM\|1\|D)|(kpr)|(kdp))" /e /r /s</v>
      </c>
      <c r="AG145" s="1" t="str">
        <f t="shared" ref="AG145:AG146" si="81">IFERROR(IF(VALUE(LEFT(AD145,2))&lt;=2,"EC",IF(OR(VALUE(LEFT(AD145,2))=8,VALUE(LEFT(AD145,2))=18),"NW","Other")),"Other")</f>
        <v>EC</v>
      </c>
      <c r="AH145" s="100" t="str">
        <f t="shared" ref="AH145:AH146" si="8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224-26 --locoid 4004 --swversion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5" s="149" t="str">
        <f t="shared" ref="AI145:AI146" si="8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AA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initialize","project_id":79,"tracker_id":40,"status_id":1,"priority_id":2,"assigned_to_id":23,"start_date":"2016-08-26","description":"","custom_fields":[{"id":1,"name":"Subdivision","value":"EC"},{"id":4,"name":"Milepost","value":"1.8673"},{"id":17,"name":"Train ID","value":"224-26"},{"id":16,"name":"Locomotive ID","value":"4004"},{"id":130,"name":"Impact","value":""},{"id":150,"name":"Time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765</v>
      </c>
      <c r="B146" s="7">
        <v>4003</v>
      </c>
      <c r="C146" s="24" t="s">
        <v>113</v>
      </c>
      <c r="D146" s="24" t="s">
        <v>184</v>
      </c>
      <c r="E146" s="15">
        <v>42608.824212962965</v>
      </c>
      <c r="F146" s="15">
        <v>42608.824988425928</v>
      </c>
      <c r="G146" s="7">
        <v>1</v>
      </c>
      <c r="H146" s="15" t="s">
        <v>662</v>
      </c>
      <c r="I146" s="15">
        <v>42608.829039351855</v>
      </c>
      <c r="J146" s="7">
        <v>0</v>
      </c>
      <c r="K146" s="132" t="str">
        <f t="shared" si="71"/>
        <v>4003/4004</v>
      </c>
      <c r="L146" s="24" t="e">
        <f>VLOOKUP(A146,'Trips&amp;Operators'!$C$1:$E$10000,3,FALSE)</f>
        <v>#N/A</v>
      </c>
      <c r="M146" s="6">
        <f t="shared" si="72"/>
        <v>4.0509259270038456E-3</v>
      </c>
      <c r="N146" s="7"/>
      <c r="O146" s="7"/>
      <c r="P146" s="7">
        <f>24*60*SUM($M146:$M146)</f>
        <v>5.8333333348855376</v>
      </c>
      <c r="Q146" s="25"/>
      <c r="R146" s="25" t="s">
        <v>348</v>
      </c>
      <c r="S146" s="37">
        <f t="shared" si="73"/>
        <v>0</v>
      </c>
      <c r="T146" s="52" t="str">
        <f t="shared" si="74"/>
        <v>NorthBound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https://search-rtdc-monitor-bjffxe2xuh6vdkpspy63sjmuny.us-east-1.es.amazonaws.com/_plugin/kibana/#/discover/Steve-Slow-Train-Analysis-(2080s-and-2083s)?_g=(refreshInterval:(display:Off,section:0,value:0),time:(from:'2016-08-26 18:46:52-0600',mode:absolute,to:'2016-08-26 20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6" s="54" t="str">
        <f t="shared" si="76"/>
        <v>Y</v>
      </c>
      <c r="X146" s="120">
        <f t="shared" si="62"/>
        <v>1</v>
      </c>
      <c r="Y146" s="69">
        <f t="shared" si="77"/>
        <v>4.4400000000000002E-2</v>
      </c>
      <c r="Z146" s="69">
        <f t="shared" si="78"/>
        <v>1.9117</v>
      </c>
      <c r="AA146" s="69">
        <f t="shared" si="79"/>
        <v>1.8673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80"/>
        <v>0225-26</v>
      </c>
      <c r="AE146" s="99" t="str">
        <f t="shared" si="67"/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AF146" s="96" t="str">
        <f t="shared" si="68"/>
        <v>"C:\Program Files (x86)\AstroGrep\AstroGrep.exe" /spath="%USERPROFILE%\AppData\Local\Temp\OnboardLogs" /stypes="*4003*20160827*" /stext=" 01:.+((SYSTEM_STATE.+slice.+state.+changed )|(ment ac)|(system.+state.+changed )|(\|lc)|(penalty)|(\[timeout)|(PRM\|1\|D)|(kpr)|(kdp))" /e /r /s</v>
      </c>
      <c r="AG146" s="1" t="str">
        <f t="shared" si="81"/>
        <v>EC</v>
      </c>
      <c r="AH146" s="100" t="str">
        <f t="shared" si="82"/>
        <v>"%USERPROFILE%\Documents\GitHub\eaglep3\Utilities\RefineRTDCRunTimes.py" --tripid 225-26 --locoid 4003 --swversion DE.1.0.7.0 --startMP 204:444 --initTime 2016-08-26T19:46:52 --startdatetime 2016-08-26T19:47:59 --delay 1 --endMP 204:19117 --enddatetime 2016-08-26T19:53:49 --enforcementcount 0 &gt;&gt;C:\Users\stu\Documents\GitHub\eaglep3-reporting\EC\2016-08-26-refined-times.txt</v>
      </c>
      <c r="AI146" s="149" t="str">
        <f t="shared" si="83"/>
        <v>echo {"issue":{"subject":"Did not initialize","project_id":79,"tracker_id":40,"status_id":1,"priority_id":2,"assigned_to_id":23,"start_date":"2016-08-26","description":"","custom_fields":[{"id":1,"name":"Subdivision","value":"EC"},{"id":4,"name":"Milepost","value":"1.8673"},{"id":17,"name":"Train ID","value":"225-26"},{"id":16,"name":"Locomotive ID","value":"4003"},{"id":130,"name":"Impact","value":""},{"id":150,"name":"Time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542</v>
      </c>
      <c r="B147" s="7">
        <v>4039</v>
      </c>
      <c r="C147" s="24" t="s">
        <v>113</v>
      </c>
      <c r="D147" s="24" t="s">
        <v>316</v>
      </c>
      <c r="E147" s="15">
        <v>42608.875162037039</v>
      </c>
      <c r="F147" s="15">
        <v>42608.876273148147</v>
      </c>
      <c r="G147" s="7">
        <v>1</v>
      </c>
      <c r="H147" s="15" t="s">
        <v>663</v>
      </c>
      <c r="I147" s="15">
        <v>42608.905891203707</v>
      </c>
      <c r="J147" s="7">
        <v>0</v>
      </c>
      <c r="K147" s="132" t="str">
        <f t="shared" ref="K147:K178" si="84">IF(ISEVEN(B147),(B147-1)&amp;"/"&amp;B147,B147&amp;"/"&amp;(B147+1))</f>
        <v>4039/4040</v>
      </c>
      <c r="L147" s="24" t="str">
        <f>VLOOKUP(A147,'Trips&amp;Operators'!$C$1:$E$10000,3,FALSE)</f>
        <v>CHANDLER</v>
      </c>
      <c r="M147" s="6">
        <f t="shared" ref="M147:M178" si="85">I147-F147</f>
        <v>2.9618055559694767E-2</v>
      </c>
      <c r="N147" s="7">
        <f>24*60*SUM($M147:$M147)</f>
        <v>42.650000005960464</v>
      </c>
      <c r="O147" s="7"/>
      <c r="P147" s="7"/>
      <c r="Q147" s="25"/>
      <c r="R147" s="25"/>
      <c r="S147" s="37">
        <f t="shared" ref="S147:S152" si="86">SUM(U147:U147)/IF(AG147="EC",12,1)</f>
        <v>1</v>
      </c>
      <c r="T147" s="52" t="str">
        <f t="shared" ref="T147:T178" si="87">IF(ISEVEN(LEFT(AD147,4)),"Southbound","NorthBound")</f>
        <v>Southbound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ref="V147:V178" si="88"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47" s="54" t="str">
        <f>IF(AA147&lt;IF(AG147="EC",23,5.65),"Y","N")</f>
        <v>N</v>
      </c>
      <c r="X147" s="120">
        <f t="shared" si="62"/>
        <v>1</v>
      </c>
      <c r="Y147" s="69">
        <f>RIGHT(D147,LEN(D147)-4)/10000</f>
        <v>23.296900000000001</v>
      </c>
      <c r="Z147" s="69">
        <f>RIGHT(H147,LEN(H147)-4)/10000</f>
        <v>2.3099999999999999E-2</v>
      </c>
      <c r="AA147" s="69">
        <f t="shared" ref="AA147:AA178" si="89">ABS(Z147-Y147)</f>
        <v>23.273800000000001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ref="AD147:AD178" si="90">IF(LEN(A147)=6,"0"&amp;A147,A147)</f>
        <v>0226-26</v>
      </c>
      <c r="AE147" s="99" t="str">
        <f t="shared" si="67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47" s="96" t="str">
        <f t="shared" si="68"/>
        <v>"C:\Program Files (x86)\AstroGrep\AstroGrep.exe" /spath="%USERPROFILE%\AppData\Local\Temp\OnboardLogs" /stypes="*4039*20160827*" /stext=" 03:.+((SYSTEM_STATE.+slice.+state.+changed )|(ment ac)|(system.+state.+changed )|(\|lc)|(penalty)|(\[timeout)|(PRM\|1\|D)|(kpr)|(kdp))" /e /r /s</v>
      </c>
      <c r="AG147" s="1" t="str">
        <f t="shared" ref="AG147:AG178" si="91">IFERROR(IF(VALUE(LEFT(AD147,2))&lt;=2,"EC",IF(OR(VALUE(LEFT(AD147,2))=8,VALUE(LEFT(AD147,2))=18),"NW","Other")),"Other")</f>
        <v>EC</v>
      </c>
      <c r="AH147" s="100" t="str">
        <f t="shared" si="69"/>
        <v>"%USERPROFILE%\Documents\GitHub\eaglep3\Utilities\RefineRTDCRunTimes.py" --tripid 226-26 --locoid 4039 --swversion DE.1.0.7.0 --startMP 204:232969 --initTime 2016-08-26T21:00:14 --startdatetime 2016-08-26T21:01:50 --delay 1 --endMP 204:231 --enddatetime 2016-08-26T21:44:29 --enforcementcount 0 &gt;&gt;C:\Users\stu\Documents\GitHub\eaglep3-reporting\EC\2016-08-26-refined-times.txt</v>
      </c>
      <c r="AI147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{"issue":{"subject":"","project_id":79,"tracker_id":40,"status_id":1,"priority_id":2,"assigned_to_id":23,"start_date":"2016-08-26","description":"","custom_fields":[{"id":1,"name":"Subdivision","value":"EC"},{"id":4,"name":"Milepost","value":"23.2738"},{"id":17,"name":"Train ID","value":"226-26"},{"id":16,"name":"Locomotive ID","value":"4039"},{"id":130,"name":"Impact","value":""},{"id":150,"name":"Time of Event (Mountain Time)","value":"21:44:29"},{"id":151,"name":"Denver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766</v>
      </c>
      <c r="B148" s="7">
        <v>4040</v>
      </c>
      <c r="C148" s="24" t="s">
        <v>113</v>
      </c>
      <c r="D148" s="24" t="s">
        <v>316</v>
      </c>
      <c r="E148" s="15">
        <v>42608.875162037039</v>
      </c>
      <c r="F148" s="15">
        <v>42608.876273148147</v>
      </c>
      <c r="G148" s="7">
        <v>1</v>
      </c>
      <c r="H148" s="15" t="s">
        <v>663</v>
      </c>
      <c r="I148" s="15">
        <v>42608.905891203707</v>
      </c>
      <c r="J148" s="7">
        <v>0</v>
      </c>
      <c r="K148" s="132" t="str">
        <f t="shared" si="84"/>
        <v>4039/4040</v>
      </c>
      <c r="L148" s="24" t="e">
        <f>VLOOKUP(A148,'Trips&amp;Operators'!$C$1:$E$10000,3,FALSE)</f>
        <v>#N/A</v>
      </c>
      <c r="M148" s="6">
        <f t="shared" si="85"/>
        <v>2.9618055559694767E-2</v>
      </c>
      <c r="N148" s="7"/>
      <c r="O148" s="7"/>
      <c r="P148" s="7">
        <v>1</v>
      </c>
      <c r="Q148" s="25"/>
      <c r="R148" s="25" t="s">
        <v>348</v>
      </c>
      <c r="S148" s="37">
        <f t="shared" si="86"/>
        <v>0</v>
      </c>
      <c r="T148" s="52" t="str">
        <f t="shared" si="87"/>
        <v>NorthBound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48" s="54" t="str">
        <f>IF(AA148&lt;IF(AG148="EC",23,5.65),"Y","N")</f>
        <v>N</v>
      </c>
      <c r="X148" s="120">
        <f t="shared" si="62"/>
        <v>1</v>
      </c>
      <c r="Y148" s="69">
        <f>RIGHT(D148,LEN(D148)-4)/10000</f>
        <v>23.296900000000001</v>
      </c>
      <c r="Z148" s="69">
        <f>RIGHT(H148,LEN(H148)-4)/10000</f>
        <v>2.3099999999999999E-2</v>
      </c>
      <c r="AA148" s="69">
        <f t="shared" si="89"/>
        <v>23.273800000000001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90"/>
        <v>0227-26</v>
      </c>
      <c r="AE148" s="99" t="str">
        <f t="shared" si="67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48" s="96" t="str">
        <f t="shared" si="68"/>
        <v>"C:\Program Files (x86)\AstroGrep\AstroGrep.exe" /spath="%USERPROFILE%\AppData\Local\Temp\OnboardLogs" /stypes="*4040*20160827*" /stext=" 03:.+((SYSTEM_STATE.+slice.+state.+changed )|(ment ac)|(system.+state.+changed )|(\|lc)|(penalty)|(\[timeout)|(PRM\|1\|D)|(kpr)|(kdp))" /e /r /s</v>
      </c>
      <c r="AG148" s="1" t="str">
        <f t="shared" si="91"/>
        <v>EC</v>
      </c>
      <c r="AH148" s="100" t="str">
        <f t="shared" ref="AH148" si="92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227-26 --locoid 4040 --swversion DE.1.0.7.0 --startMP 204:232969 --initTime 2016-08-26T21:00:14 --startdatetime 2016-08-26T21:01:50 --delay 1 --endMP 204:231 --enddatetime 2016-08-26T21:44:29 --enforcementcount 0 &gt;&gt;C:\Users\stu\Documents\GitHub\eaglep3-reporting\EC\2016-08-26-refined-times.txt</v>
      </c>
      <c r="AI148" s="149" t="str">
        <f t="shared" ref="AI148" si="93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AA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initialize","project_id":79,"tracker_id":40,"status_id":1,"priority_id":2,"assigned_to_id":23,"start_date":"2016-08-26","description":"","custom_fields":[{"id":1,"name":"Subdivision","value":"EC"},{"id":4,"name":"Milepost","value":"23.2738"},{"id":17,"name":"Train ID","value":"227-26"},{"id":16,"name":"Locomotive ID","value":"4040"},{"id":130,"name":"Impact","value":""},{"id":150,"name":"Time of Event (Mountain Time)","value":"21:44:29"},{"id":151,"name":"Denver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547</v>
      </c>
      <c r="B149" s="7">
        <v>4028</v>
      </c>
      <c r="C149" s="24" t="s">
        <v>113</v>
      </c>
      <c r="D149" s="24" t="s">
        <v>209</v>
      </c>
      <c r="E149" s="15">
        <v>42608.906342592592</v>
      </c>
      <c r="F149" s="15">
        <v>42608.907395833332</v>
      </c>
      <c r="G149" s="7">
        <v>1</v>
      </c>
      <c r="H149" s="15" t="s">
        <v>291</v>
      </c>
      <c r="I149" s="15">
        <v>42608.941250000003</v>
      </c>
      <c r="J149" s="7">
        <v>0</v>
      </c>
      <c r="K149" s="132" t="str">
        <f t="shared" si="84"/>
        <v>4027/4028</v>
      </c>
      <c r="L149" s="24" t="str">
        <f>VLOOKUP(A149,'Trips&amp;Operators'!$C$1:$E$10000,3,FALSE)</f>
        <v>ARVIDSON</v>
      </c>
      <c r="M149" s="6">
        <f t="shared" si="85"/>
        <v>3.3854166671517305E-2</v>
      </c>
      <c r="N149" s="7">
        <f>24*60*SUM($M149:$M149)</f>
        <v>48.750000006984919</v>
      </c>
      <c r="O149" s="7"/>
      <c r="P149" s="7"/>
      <c r="Q149" s="25"/>
      <c r="R149" s="25"/>
      <c r="S149" s="37">
        <f t="shared" si="86"/>
        <v>1</v>
      </c>
      <c r="T149" s="52" t="str">
        <f t="shared" si="87"/>
        <v>Southbound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20:45:08-0600',mode:absolute,to:'2016-08-26 23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9" s="54" t="str">
        <f>IF(AA149&lt;IF(AG149="EC",23,5.65),"Y","N")</f>
        <v>N</v>
      </c>
      <c r="X149" s="120">
        <f t="shared" si="62"/>
        <v>1</v>
      </c>
      <c r="Y149" s="69">
        <f>RIGHT(D149,LEN(D149)-4)/10000</f>
        <v>23.299800000000001</v>
      </c>
      <c r="Z149" s="69">
        <f>RIGHT(H149,LEN(H149)-4)/10000</f>
        <v>1.7000000000000001E-2</v>
      </c>
      <c r="AA149" s="69">
        <f t="shared" si="89"/>
        <v>23.282800000000002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90"/>
        <v>0228-26</v>
      </c>
      <c r="AE149" s="99" t="str">
        <f t="shared" si="67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49" s="96" t="str">
        <f t="shared" si="68"/>
        <v>"C:\Program Files (x86)\AstroGrep\AstroGrep.exe" /spath="%USERPROFILE%\AppData\Local\Temp\OnboardLogs" /stypes="*4028*20160827*" /stext=" 04:.+((SYSTEM_STATE.+slice.+state.+changed )|(ment ac)|(system.+state.+changed )|(\|lc)|(penalty)|(\[timeout)|(PRM\|1\|D)|(kpr)|(kdp))" /e /r /s</v>
      </c>
      <c r="AG149" s="1" t="str">
        <f t="shared" si="91"/>
        <v>EC</v>
      </c>
      <c r="AH149" s="100" t="str">
        <f t="shared" si="69"/>
        <v>"%USERPROFILE%\Documents\GitHub\eaglep3\Utilities\RefineRTDCRunTimes.py" --tripid 228-26 --locoid 4028 --swversion DE.1.0.7.0 --startMP 204:232998 --initTime 2016-08-26T21:45:08 --startdatetime 2016-08-26T21:46:39 --delay 1 --endMP 204:170 --enddatetime 2016-08-26T22:35:24 --enforcementcount 0 &gt;&gt;C:\Users\stu\Documents\GitHub\eaglep3-reporting\EC\2016-08-26-refined-times.txt</v>
      </c>
      <c r="AI149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{"issue":{"subject":"","project_id":79,"tracker_id":40,"status_id":1,"priority_id":2,"assigned_to_id":23,"start_date":"2016-08-26","description":"","custom_fields":[{"id":1,"name":"Subdivision","value":"EC"},{"id":4,"name":"Milepost","value":"23.2828"},{"id":17,"name":"Train ID","value":"228-26"},{"id":16,"name":"Locomotive ID","value":"4028"},{"id":130,"name":"Impact","value":""},{"id":150,"name":"Time of Event (Mountain Time)","value":"22:35:24"},{"id":151,"name":"Denver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540</v>
      </c>
      <c r="B150" s="7">
        <v>4027</v>
      </c>
      <c r="C150" s="24" t="s">
        <v>113</v>
      </c>
      <c r="D150" s="24" t="s">
        <v>109</v>
      </c>
      <c r="E150" s="15">
        <v>42608.868935185186</v>
      </c>
      <c r="F150" s="15">
        <v>42608.870057870372</v>
      </c>
      <c r="G150" s="7">
        <v>1</v>
      </c>
      <c r="H150" s="15" t="s">
        <v>287</v>
      </c>
      <c r="I150" s="15">
        <v>42608.904687499999</v>
      </c>
      <c r="J150" s="7">
        <v>0</v>
      </c>
      <c r="K150" s="132" t="str">
        <f t="shared" si="84"/>
        <v>4027/4028</v>
      </c>
      <c r="L150" s="24" t="str">
        <f>VLOOKUP(A150,'Trips&amp;Operators'!$C$1:$E$10000,3,FALSE)</f>
        <v>ARVIDSON</v>
      </c>
      <c r="M150" s="6">
        <f t="shared" si="85"/>
        <v>3.4629629626579117E-2</v>
      </c>
      <c r="N150" s="7">
        <f>24*60*SUM($M150:$M150)</f>
        <v>49.866666662273929</v>
      </c>
      <c r="O150" s="7"/>
      <c r="P150" s="7"/>
      <c r="Q150" s="25"/>
      <c r="R150" s="25"/>
      <c r="S150" s="37">
        <f t="shared" si="86"/>
        <v>1</v>
      </c>
      <c r="T150" s="52" t="str">
        <f t="shared" si="87"/>
        <v>NorthBound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19:51:16-0600',mode:absolute,to:'2016-08-26 22:42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0" s="54" t="str">
        <f>IF(AA150&lt;IF(AG150="EC",23,5.65),"Y","N")</f>
        <v>N</v>
      </c>
      <c r="X150" s="120">
        <f t="shared" si="62"/>
        <v>1</v>
      </c>
      <c r="Y150" s="69">
        <f>RIGHT(D150,LEN(D150)-4)/10000</f>
        <v>4.6199999999999998E-2</v>
      </c>
      <c r="Z150" s="69">
        <f>RIGHT(H150,LEN(H150)-4)/10000</f>
        <v>23.3322</v>
      </c>
      <c r="AA150" s="69">
        <f t="shared" si="89"/>
        <v>23.286000000000001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90"/>
        <v>0229-26</v>
      </c>
      <c r="AE150" s="99" t="str">
        <f t="shared" si="67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50" s="96" t="str">
        <f t="shared" si="68"/>
        <v>"C:\Program Files (x86)\AstroGrep\AstroGrep.exe" /spath="%USERPROFILE%\AppData\Local\Temp\OnboardLogs" /stypes="*4027*20160827*" /stext=" 03:.+((SYSTEM_STATE.+slice.+state.+changed )|(ment ac)|(system.+state.+changed )|(\|lc)|(penalty)|(\[timeout)|(PRM\|1\|D)|(kpr)|(kdp))" /e /r /s</v>
      </c>
      <c r="AG150" s="1" t="str">
        <f t="shared" si="91"/>
        <v>EC</v>
      </c>
      <c r="AH150" s="100" t="str">
        <f t="shared" si="69"/>
        <v>"%USERPROFILE%\Documents\GitHub\eaglep3\Utilities\RefineRTDCRunTimes.py" --tripid 229-26 --locoid 4027 --swversion DE.1.0.7.0 --startMP 204:462 --initTime 2016-08-26T20:51:16 --startdatetime 2016-08-26T20:52:53 --delay 1 --endMP 204:233322 --enddatetime 2016-08-26T21:42:45 --enforcementcount 0 &gt;&gt;C:\Users\stu\Documents\GitHub\eaglep3-reporting\EC\2016-08-26-refined-times.txt</v>
      </c>
      <c r="AI150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{"issue":{"subject":"","project_id":79,"tracker_id":40,"status_id":1,"priority_id":2,"assigned_to_id":23,"start_date":"2016-08-26","description":"","custom_fields":[{"id":1,"name":"Subdivision","value":"EC"},{"id":4,"name":"Milepost","value":"23.286"},{"id":17,"name":"Train ID","value":"229-26"},{"id":16,"name":"Locomotive ID","value":"4027"},{"id":130,"name":"Impact","value":""},{"id":150,"name":"Time of Event (Mountain Time)","value":"21:42:45"},{"id":151,"name":"Denver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549</v>
      </c>
      <c r="B151" s="7">
        <v>4043</v>
      </c>
      <c r="C151" s="24" t="s">
        <v>113</v>
      </c>
      <c r="D151" s="24" t="s">
        <v>664</v>
      </c>
      <c r="E151" s="15">
        <v>42608.919444444444</v>
      </c>
      <c r="F151" s="15">
        <v>42608.920949074076</v>
      </c>
      <c r="G151" s="7">
        <v>2</v>
      </c>
      <c r="H151" s="15" t="s">
        <v>208</v>
      </c>
      <c r="I151" s="15">
        <v>42608.946319444447</v>
      </c>
      <c r="J151" s="7">
        <v>0</v>
      </c>
      <c r="K151" s="132" t="str">
        <f t="shared" si="84"/>
        <v>4043/4044</v>
      </c>
      <c r="L151" s="24" t="str">
        <f>VLOOKUP(A151,'Trips&amp;Operators'!$C$1:$E$10000,3,FALSE)</f>
        <v>YANAI</v>
      </c>
      <c r="M151" s="6">
        <f t="shared" si="85"/>
        <v>2.5370370371092577E-2</v>
      </c>
      <c r="N151" s="7">
        <f>24*60*SUM($M151:$M151)</f>
        <v>36.53333333437331</v>
      </c>
      <c r="O151" s="7"/>
      <c r="P151" s="7"/>
      <c r="Q151" s="25"/>
      <c r="R151" s="25"/>
      <c r="S151" s="37">
        <f t="shared" si="86"/>
        <v>1</v>
      </c>
      <c r="T151" s="52" t="str">
        <f t="shared" si="87"/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21:04:00-0600',mode:absolute,to:'2016-08-26 23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1" s="54" t="str">
        <f t="shared" ref="W151:W157" si="94">IF(AA151&lt;IF(AG151="EC",23,5.65),"Y","N")</f>
        <v>N</v>
      </c>
      <c r="X151" s="120">
        <f t="shared" si="62"/>
        <v>1</v>
      </c>
      <c r="Y151" s="69">
        <f>RIGHT(D151,LEN(D151)-4)/10000</f>
        <v>23.297599999999999</v>
      </c>
      <c r="Z151" s="69">
        <f>RIGHT(H151,LEN(H151)-4)/10000</f>
        <v>1.6299999999999999E-2</v>
      </c>
      <c r="AA151" s="69">
        <f t="shared" si="89"/>
        <v>23.281299999999998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90"/>
        <v>0230-26</v>
      </c>
      <c r="AE151" s="99" t="str">
        <f t="shared" si="67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1" s="96" t="str">
        <f t="shared" si="68"/>
        <v>"C:\Program Files (x86)\AstroGrep\AstroGrep.exe" /spath="%USERPROFILE%\AppData\Local\Temp\OnboardLogs" /stypes="*4043*20160827*" /stext=" 04:.+((SYSTEM_STATE.+slice.+state.+changed )|(ment ac)|(system.+state.+changed )|(\|lc)|(penalty)|(\[timeout)|(PRM\|1\|D)|(kpr)|(kdp))" /e /r /s</v>
      </c>
      <c r="AG151" s="1" t="str">
        <f t="shared" si="91"/>
        <v>EC</v>
      </c>
      <c r="AH151" s="100" t="str">
        <f t="shared" si="69"/>
        <v>"%USERPROFILE%\Documents\GitHub\eaglep3\Utilities\RefineRTDCRunTimes.py" --tripid 230-26 --locoid 4043 --swversion DE.1.0.7.0 --startMP 204:232976 --initTime 2016-08-26T22:04:00 --startdatetime 2016-08-26T22:06:10 --delay 2 --endMP 204:163 --enddatetime 2016-08-26T22:42:42 --enforcementcount 0 &gt;&gt;C:\Users\stu\Documents\GitHub\eaglep3-reporting\EC\2016-08-26-refined-times.txt</v>
      </c>
      <c r="AI151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{"issue":{"subject":"","project_id":79,"tracker_id":40,"status_id":1,"priority_id":2,"assigned_to_id":23,"start_date":"2016-08-26","description":"","custom_fields":[{"id":1,"name":"Subdivision","value":"EC"},{"id":4,"name":"Milepost","value":"23.2813"},{"id":17,"name":"Train ID","value":"230-26"},{"id":16,"name":"Locomotive ID","value":"4043"},{"id":130,"name":"Impact","value":""},{"id":150,"name":"Time of Event (Mountain Time)","value":"22:42:42"},{"id":151,"name":"Denver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541</v>
      </c>
      <c r="B152" s="7">
        <v>4002</v>
      </c>
      <c r="C152" s="24" t="s">
        <v>113</v>
      </c>
      <c r="D152" s="24" t="s">
        <v>664</v>
      </c>
      <c r="E152" s="15">
        <v>42608.919444444444</v>
      </c>
      <c r="F152" s="15">
        <v>42608.895729166667</v>
      </c>
      <c r="G152" s="7">
        <v>2</v>
      </c>
      <c r="H152" s="15" t="s">
        <v>208</v>
      </c>
      <c r="I152" s="15">
        <v>42608.904826388891</v>
      </c>
      <c r="J152" s="7">
        <v>0</v>
      </c>
      <c r="K152" s="132" t="str">
        <f t="shared" si="84"/>
        <v>4001/4002</v>
      </c>
      <c r="L152" s="24" t="str">
        <f>VLOOKUP(A152,'Trips&amp;Operators'!$C$1:$E$10000,3,FALSE)</f>
        <v>YANAI</v>
      </c>
      <c r="M152" s="6">
        <f t="shared" si="85"/>
        <v>9.0972222242271528E-3</v>
      </c>
      <c r="N152" s="7"/>
      <c r="O152" s="7"/>
      <c r="P152" s="7">
        <f>24*60*SUM($M152:$M152)</f>
        <v>13.1000000028871</v>
      </c>
      <c r="Q152" s="25"/>
      <c r="R152" s="25" t="s">
        <v>178</v>
      </c>
      <c r="S152" s="37">
        <f t="shared" si="86"/>
        <v>0.25</v>
      </c>
      <c r="T152" s="52" t="str">
        <f t="shared" si="87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21:04:00-0600',mode:absolute,to:'2016-08-26 22:42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2" s="54" t="str">
        <f t="shared" ref="W152" si="95">IF(AA152&lt;IF(AG152="EC",23,5.65),"Y","N")</f>
        <v>Y</v>
      </c>
      <c r="X152" s="120">
        <f t="shared" ref="X152:X156" si="96">VALUE(LEFT(AD152,4))-VALUE(LEFT(AD151,4))</f>
        <v>1</v>
      </c>
      <c r="Y152" s="69">
        <v>0.04</v>
      </c>
      <c r="Z152" s="69">
        <v>3.4</v>
      </c>
      <c r="AA152" s="69">
        <f t="shared" si="89"/>
        <v>3.36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90"/>
        <v>0231-26</v>
      </c>
      <c r="AE152" s="99" t="str">
        <f t="shared" si="67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52" s="96" t="str">
        <f t="shared" si="68"/>
        <v>"C:\Program Files (x86)\AstroGrep\AstroGrep.exe" /spath="%USERPROFILE%\AppData\Local\Temp\OnboardLogs" /stypes="*4002*20160827*" /stext=" 03:.+((SYSTEM_STATE.+slice.+state.+changed )|(ment ac)|(system.+state.+changed )|(\|lc)|(penalty)|(\[timeout)|(PRM\|1\|D)|(kpr)|(kdp))" /e /r /s</v>
      </c>
      <c r="AG152" s="1" t="str">
        <f t="shared" si="91"/>
        <v>EC</v>
      </c>
      <c r="AH152" s="100" t="str">
        <f t="shared" ref="AH152" si="97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231-26 --locoid 4002 --swversion DE.1.0.7.0 --startMP 204:232976 --initTime 2016-08-26T22:04:00 --startdatetime 2016-08-26T21:29:51 --delay 2 --endMP 204:163 --enddatetime 2016-08-26T21:42:57 --enforcementcount 0 &gt;&gt;C:\Users\stu\Documents\GitHub\eaglep3-reporting\EC\2016-08-26-refined-times.txt</v>
      </c>
      <c r="AI152" s="149" t="str">
        <f t="shared" ref="AI152" si="98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AA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failure","project_id":79,"tracker_id":40,"status_id":1,"priority_id":2,"assigned_to_id":23,"start_date":"2016-08-26","description":"","custom_fields":[{"id":1,"name":"Subdivision","value":"EC"},{"id":4,"name":"Milepost","value":"3.36"},{"id":17,"name":"Train ID","value":"231-26"},{"id":16,"name":"Locomotive ID","value":"4002"},{"id":130,"name":"Impact","value":""},{"id":150,"name":"Time of Event (Mountain Time)","value":"21:42:57"},{"id":151,"name":"Denver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551</v>
      </c>
      <c r="B153" s="7">
        <v>4001</v>
      </c>
      <c r="C153" s="24" t="s">
        <v>113</v>
      </c>
      <c r="D153" s="24" t="s">
        <v>641</v>
      </c>
      <c r="E153" s="15">
        <v>42608.943333333336</v>
      </c>
      <c r="F153" s="15">
        <v>42608.944490740738</v>
      </c>
      <c r="G153" s="7">
        <v>1</v>
      </c>
      <c r="H153" s="15" t="s">
        <v>666</v>
      </c>
      <c r="I153" s="15">
        <v>42608.964178240742</v>
      </c>
      <c r="J153" s="7">
        <v>0</v>
      </c>
      <c r="K153" s="132" t="str">
        <f t="shared" si="84"/>
        <v>4001/4002</v>
      </c>
      <c r="L153" s="24" t="str">
        <f>VLOOKUP(A153,'Trips&amp;Operators'!$C$1:$E$10000,3,FALSE)</f>
        <v>HAITHCOX</v>
      </c>
      <c r="M153" s="6">
        <f t="shared" si="85"/>
        <v>1.9687500003783498E-2</v>
      </c>
      <c r="N153" s="7"/>
      <c r="O153" s="7"/>
      <c r="P153" s="7">
        <f>24*60*SUM($M153:$M154)</f>
        <v>40.783333342988044</v>
      </c>
      <c r="Q153" s="25"/>
      <c r="R153" s="25" t="s">
        <v>760</v>
      </c>
      <c r="S153" s="37">
        <f>SUM(U153:U154)/IF(AG153="EC",12,1)</f>
        <v>0.58333333333333337</v>
      </c>
      <c r="T153" s="52" t="str">
        <f t="shared" si="87"/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4</v>
      </c>
      <c r="V15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21:38:24-0600',mode:absolute,to:'2016-08-27 00:08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3" s="54" t="str">
        <f t="shared" si="94"/>
        <v>Y</v>
      </c>
      <c r="X153" s="120">
        <f t="shared" si="96"/>
        <v>1</v>
      </c>
      <c r="Y153" s="69">
        <f t="shared" ref="Y153:Y184" si="99">RIGHT(D153,LEN(D153)-4)/10000</f>
        <v>23.2988</v>
      </c>
      <c r="Z153" s="69">
        <f t="shared" ref="Z153:Z184" si="100">RIGHT(H153,LEN(H153)-4)/10000</f>
        <v>6.2491000000000003</v>
      </c>
      <c r="AA153" s="69">
        <f t="shared" si="89"/>
        <v>17.049700000000001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90"/>
        <v>0232-26</v>
      </c>
      <c r="AE153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3" s="96" t="str">
        <f t="shared" si="68"/>
        <v>"C:\Program Files (x86)\AstroGrep\AstroGrep.exe" /spath="%USERPROFILE%\AppData\Local\Temp\OnboardLogs" /stypes="*4001*20160827*" /stext=" 05:.+((SYSTEM_STATE.+slice.+state.+changed )|(ment ac)|(system.+state.+changed )|(\|lc)|(penalty)|(\[timeout)|(PRM\|1\|D)|(kpr)|(kdp))" /e /r /s</v>
      </c>
      <c r="AG153" s="1" t="str">
        <f t="shared" si="91"/>
        <v>EC</v>
      </c>
      <c r="AH153" s="100" t="str">
        <f t="shared" si="69"/>
        <v>"%USERPROFILE%\Documents\GitHub\eaglep3\Utilities\RefineRTDCRunTimes.py" --tripid 232-26 --locoid 4001 --swversion DE.1.0.7.0 --startMP 204:232988 --initTime 2016-08-26T22:38:24 --startdatetime 2016-08-26T22:40:04 --delay 1 --endMP 204:62491 --enddatetime 2016-08-26T23:08:25 --enforcementcount 0 &gt;&gt;C:\Users\stu\Documents\GitHub\eaglep3-reporting\EC\2016-08-26-refined-times.txt</v>
      </c>
      <c r="AI153" s="149" t="str">
        <f t="shared" si="70"/>
        <v>echo {"issue":{"subject":"Talked past Quebec 4S","project_id":79,"tracker_id":40,"status_id":1,"priority_id":2,"assigned_to_id":23,"start_date":"2016-08-26","description":"","custom_fields":[{"id":1,"name":"Subdivision","value":"EC"},{"id":4,"name":"Milepost","value":"17.0497"},{"id":17,"name":"Train ID","value":"232-26"},{"id":16,"name":"Locomotive ID","value":"4001"},{"id":130,"name":"Impact","value":""},{"id":150,"name":"Time of Event (Mountain Time)","value":"23:08:25"},{"id":151,"name":"Denver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551</v>
      </c>
      <c r="B154" s="7">
        <v>4001</v>
      </c>
      <c r="C154" s="24" t="s">
        <v>113</v>
      </c>
      <c r="D154" s="24" t="s">
        <v>667</v>
      </c>
      <c r="E154" s="15">
        <v>42608.968275462961</v>
      </c>
      <c r="F154" s="15">
        <v>42608.969212962962</v>
      </c>
      <c r="G154" s="7">
        <v>1</v>
      </c>
      <c r="H154" s="15" t="s">
        <v>153</v>
      </c>
      <c r="I154" s="15">
        <v>42608.977847222224</v>
      </c>
      <c r="J154" s="7">
        <v>0</v>
      </c>
      <c r="K154" s="132" t="str">
        <f t="shared" si="84"/>
        <v>4001/4002</v>
      </c>
      <c r="L154" s="24" t="str">
        <f>VLOOKUP(A154,'Trips&amp;Operators'!$C$1:$E$10000,3,FALSE)</f>
        <v>HAITHCOX</v>
      </c>
      <c r="M154" s="6">
        <f t="shared" si="85"/>
        <v>8.6342592621804215E-3</v>
      </c>
      <c r="N154" s="7"/>
      <c r="O154" s="7"/>
      <c r="P154" s="7"/>
      <c r="Q154" s="25"/>
      <c r="R154" s="25"/>
      <c r="S154" s="37"/>
      <c r="T154" s="52" t="str">
        <f t="shared" si="87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22:14:19-0600',mode:absolute,to:'2016-08-27 00:28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94"/>
        <v>Y</v>
      </c>
      <c r="X154" s="120">
        <f t="shared" si="96"/>
        <v>0</v>
      </c>
      <c r="Y154" s="69">
        <f t="shared" si="99"/>
        <v>3.6772999999999998</v>
      </c>
      <c r="Z154" s="69">
        <f t="shared" si="100"/>
        <v>1.5599999999999999E-2</v>
      </c>
      <c r="AA154" s="69">
        <f t="shared" si="89"/>
        <v>3.6616999999999997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90"/>
        <v>0232-26</v>
      </c>
      <c r="AE154" s="99" t="str">
        <f t="shared" si="67"/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AF154" s="96" t="str">
        <f t="shared" si="68"/>
        <v>"C:\Program Files (x86)\AstroGrep\AstroGrep.exe" /spath="%USERPROFILE%\AppData\Local\Temp\OnboardLogs" /stypes="*4001*20160827*" /stext=" 05:.+((SYSTEM_STATE.+slice.+state.+changed )|(ment ac)|(system.+state.+changed )|(\|lc)|(penalty)|(\[timeout)|(PRM\|1\|D)|(kpr)|(kdp))" /e /r /s</v>
      </c>
      <c r="AG154" s="1" t="str">
        <f t="shared" si="91"/>
        <v>EC</v>
      </c>
      <c r="AH154" s="100" t="str">
        <f t="shared" si="69"/>
        <v>"%USERPROFILE%\Documents\GitHub\eaglep3\Utilities\RefineRTDCRunTimes.py" --tripid 232-26 --locoid 4001 --swversion DE.1.0.7.0 --startMP 204:36773 --initTime 2016-08-26T23:14:19 --startdatetime 2016-08-26T23:15:40 --delay 1 --endMP 204:156 --enddatetime 2016-08-26T23:28:06 --enforcementcount 0 &gt;&gt;C:\Users\stu\Documents\GitHub\eaglep3-reporting\EC\2016-08-26-refined-times.txt</v>
      </c>
      <c r="AI154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{"issue":{"subject":"","project_id":79,"tracker_id":40,"status_id":1,"priority_id":2,"assigned_to_id":23,"start_date":"2016-08-26","description":"","custom_fields":[{"id":1,"name":"Subdivision","value":"EC"},{"id":4,"name":"Milepost","value":"3.6617"},{"id":17,"name":"Train ID","value":"232-26"},{"id":16,"name":"Locomotive ID","value":"4001"},{"id":130,"name":"Impact","value":""},{"id":150,"name":"Time of Event (Mountain Time)","value":"23:28:06"},{"id":151,"name":"Denver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554</v>
      </c>
      <c r="B155" s="7">
        <v>4039</v>
      </c>
      <c r="C155" s="24" t="s">
        <v>113</v>
      </c>
      <c r="D155" s="24" t="s">
        <v>668</v>
      </c>
      <c r="E155" s="15">
        <v>42608.955266203702</v>
      </c>
      <c r="F155" s="15">
        <v>42608.956342592595</v>
      </c>
      <c r="G155" s="7">
        <v>1</v>
      </c>
      <c r="H155" s="15" t="s">
        <v>669</v>
      </c>
      <c r="I155" s="15">
        <v>42608.983414351853</v>
      </c>
      <c r="J155" s="7">
        <v>0</v>
      </c>
      <c r="K155" s="132" t="str">
        <f t="shared" si="84"/>
        <v>4039/4040</v>
      </c>
      <c r="L155" s="24" t="str">
        <f>VLOOKUP(A155,'Trips&amp;Operators'!$C$1:$E$10000,3,FALSE)</f>
        <v>CHANDLER</v>
      </c>
      <c r="M155" s="6">
        <f t="shared" si="85"/>
        <v>2.7071759257523809E-2</v>
      </c>
      <c r="N155" s="7">
        <f>24*60*SUM($M155:$M155)</f>
        <v>38.983333330834284</v>
      </c>
      <c r="O155" s="7"/>
      <c r="P155" s="7"/>
      <c r="Q155" s="25"/>
      <c r="R155" s="25"/>
      <c r="S155" s="37">
        <f t="shared" ref="S155:S186" si="101">SUM(U155:U155)/IF(AG155="EC",12,1)</f>
        <v>1</v>
      </c>
      <c r="T155" s="52" t="str">
        <f t="shared" si="87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21:55:35-0600',mode:absolute,to:'2016-08-27 00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55" s="54" t="str">
        <f t="shared" si="94"/>
        <v>N</v>
      </c>
      <c r="X155" s="120">
        <f>VALUE(LEFT(AD155,4))-VALUE(LEFT(AD154,4))</f>
        <v>2</v>
      </c>
      <c r="Y155" s="69">
        <f t="shared" si="99"/>
        <v>23.2974</v>
      </c>
      <c r="Z155" s="69">
        <f t="shared" si="100"/>
        <v>2.2700000000000001E-2</v>
      </c>
      <c r="AA155" s="69">
        <f t="shared" si="89"/>
        <v>23.274699999999999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90"/>
        <v>0234-26</v>
      </c>
      <c r="AE155" s="99" t="str">
        <f t="shared" si="67"/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AF155" s="96" t="str">
        <f t="shared" si="68"/>
        <v>"C:\Program Files (x86)\AstroGrep\AstroGrep.exe" /spath="%USERPROFILE%\AppData\Local\Temp\OnboardLogs" /stypes="*4039*20160827*" /stext=" 05:.+((SYSTEM_STATE.+slice.+state.+changed )|(ment ac)|(system.+state.+changed )|(\|lc)|(penalty)|(\[timeout)|(PRM\|1\|D)|(kpr)|(kdp))" /e /r /s</v>
      </c>
      <c r="AG155" s="1" t="str">
        <f t="shared" si="91"/>
        <v>EC</v>
      </c>
      <c r="AH155" s="100" t="str">
        <f t="shared" si="69"/>
        <v>"%USERPROFILE%\Documents\GitHub\eaglep3\Utilities\RefineRTDCRunTimes.py" --tripid 234-26 --locoid 4039 --swversion DE.1.0.7.0 --startMP 204:232974 --initTime 2016-08-26T22:55:35 --startdatetime 2016-08-26T22:57:08 --delay 1 --endMP 204:227 --enddatetime 2016-08-26T23:36:07 --enforcementcount 0 &gt;&gt;C:\Users\stu\Documents\GitHub\eaglep3-reporting\EC\2016-08-26-refined-times.txt</v>
      </c>
      <c r="AI155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{"issue":{"subject":"","project_id":79,"tracker_id":40,"status_id":1,"priority_id":2,"assigned_to_id":23,"start_date":"2016-08-26","description":"","custom_fields":[{"id":1,"name":"Subdivision","value":"EC"},{"id":4,"name":"Milepost","value":"23.2747"},{"id":17,"name":"Train ID","value":"234-26"},{"id":16,"name":"Locomotive ID","value":"4039"},{"id":130,"name":"Impact","value":""},{"id":150,"name":"Time of Event (Mountain Time)","value":"23:36:07"},{"id":151,"name":"Denver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552</v>
      </c>
      <c r="B156" s="7">
        <v>4027</v>
      </c>
      <c r="C156" s="24" t="s">
        <v>113</v>
      </c>
      <c r="D156" s="24" t="s">
        <v>670</v>
      </c>
      <c r="E156" s="15">
        <v>42608.948495370372</v>
      </c>
      <c r="F156" s="15">
        <v>42608.949594907404</v>
      </c>
      <c r="G156" s="7">
        <v>1</v>
      </c>
      <c r="H156" s="15" t="s">
        <v>639</v>
      </c>
      <c r="I156" s="15">
        <v>42608.972881944443</v>
      </c>
      <c r="J156" s="7">
        <v>0</v>
      </c>
      <c r="K156" s="132" t="str">
        <f t="shared" si="84"/>
        <v>4027/4028</v>
      </c>
      <c r="L156" s="24" t="str">
        <f>VLOOKUP(A156,'Trips&amp;Operators'!$C$1:$E$10000,3,FALSE)</f>
        <v>STURGEON</v>
      </c>
      <c r="M156" s="6">
        <f t="shared" si="85"/>
        <v>2.3287037038244307E-2</v>
      </c>
      <c r="N156" s="7"/>
      <c r="O156" s="7"/>
      <c r="P156" s="7">
        <f>24*60*SUM($M156:$M156)</f>
        <v>33.533333335071802</v>
      </c>
      <c r="Q156" s="25"/>
      <c r="R156" s="25" t="s">
        <v>762</v>
      </c>
      <c r="S156" s="37">
        <f t="shared" si="101"/>
        <v>1</v>
      </c>
      <c r="T156" s="52" t="str">
        <f t="shared" si="87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21:45:50-0600',mode:absolute,to:'2016-08-27 00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56" s="54" t="str">
        <f t="shared" si="94"/>
        <v>Y</v>
      </c>
      <c r="X156" s="120">
        <f t="shared" si="96"/>
        <v>1</v>
      </c>
      <c r="Y156" s="69">
        <f t="shared" si="99"/>
        <v>1.9115</v>
      </c>
      <c r="Z156" s="69">
        <f t="shared" si="100"/>
        <v>23.329499999999999</v>
      </c>
      <c r="AA156" s="69">
        <f t="shared" si="89"/>
        <v>21.417999999999999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90"/>
        <v>0235-26</v>
      </c>
      <c r="AE156" s="99" t="str">
        <f t="shared" si="67"/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AF156" s="96" t="str">
        <f t="shared" si="68"/>
        <v>"C:\Program Files (x86)\AstroGrep\AstroGrep.exe" /spath="%USERPROFILE%\AppData\Local\Temp\OnboardLogs" /stypes="*4027*20160827*" /stext=" 05:.+((SYSTEM_STATE.+slice.+state.+changed )|(ment ac)|(system.+state.+changed )|(\|lc)|(penalty)|(\[timeout)|(PRM\|1\|D)|(kpr)|(kdp))" /e /r /s</v>
      </c>
      <c r="AG156" s="1" t="str">
        <f t="shared" si="91"/>
        <v>EC</v>
      </c>
      <c r="AH156" s="100" t="str">
        <f t="shared" si="69"/>
        <v>"%USERPROFILE%\Documents\GitHub\eaglep3\Utilities\RefineRTDCRunTimes.py" --tripid 235-26 --locoid 4027 --swversion DE.1.0.7.0 --startMP 204:19115 --initTime 2016-08-26T22:45:50 --startdatetime 2016-08-26T22:47:25 --delay 1 --endMP 204:233295 --enddatetime 2016-08-26T23:20:57 --enforcementcount 0 &gt;&gt;C:\Users\stu\Documents\GitHub\eaglep3-reporting\EC\2016-08-26-refined-times.txt</v>
      </c>
      <c r="AI156" s="149" t="str">
        <f t="shared" si="70"/>
        <v>echo {"issue":{"subject":"Dispatcher error - trip ID wasn't available while init'ing at DUS","project_id":79,"tracker_id":40,"status_id":1,"priority_id":2,"assigned_to_id":23,"start_date":"2016-08-26","description":"","custom_fields":[{"id":1,"name":"Subdivision","value":"EC"},{"id":4,"name":"Milepost","value":"21.418"},{"id":17,"name":"Train ID","value":"235-26"},{"id":16,"name":"Locomotive ID","value":"4027"},{"id":130,"name":"Impact","value":""},{"id":150,"name":"Time of Event (Mountain Time)","value":"23:20:57"},{"id":151,"name":"Denver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555</v>
      </c>
      <c r="B157" s="7">
        <v>4028</v>
      </c>
      <c r="C157" s="24" t="s">
        <v>113</v>
      </c>
      <c r="D157" s="24" t="s">
        <v>192</v>
      </c>
      <c r="E157" s="15">
        <v>42608.974699074075</v>
      </c>
      <c r="F157" s="15">
        <v>42608.975636574076</v>
      </c>
      <c r="G157" s="7">
        <v>1</v>
      </c>
      <c r="H157" s="15" t="s">
        <v>671</v>
      </c>
      <c r="I157" s="15">
        <v>42609.004780092589</v>
      </c>
      <c r="J157" s="7">
        <v>0</v>
      </c>
      <c r="K157" s="132" t="str">
        <f t="shared" si="84"/>
        <v>4027/4028</v>
      </c>
      <c r="L157" s="24" t="str">
        <f>VLOOKUP(A157,'Trips&amp;Operators'!$C$1:$E$10000,3,FALSE)</f>
        <v>STURGEON</v>
      </c>
      <c r="M157" s="6">
        <f t="shared" si="85"/>
        <v>2.9143518513592426E-2</v>
      </c>
      <c r="N157" s="7">
        <f t="shared" ref="N157:N175" si="102">24*60*SUM($M157:$M157)</f>
        <v>41.966666659573093</v>
      </c>
      <c r="O157" s="7"/>
      <c r="P157" s="7"/>
      <c r="Q157" s="25"/>
      <c r="R157" s="25"/>
      <c r="S157" s="37">
        <f t="shared" si="101"/>
        <v>1</v>
      </c>
      <c r="T157" s="52" t="str">
        <f t="shared" si="87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22:23:34-0600',mode:absolute,to:'2016-08-27 01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57" s="54" t="str">
        <f t="shared" si="94"/>
        <v>N</v>
      </c>
      <c r="X157" s="120">
        <f t="shared" ref="X157" si="103">VALUE(LEFT(AD157,4))-VALUE(LEFT(AD156,4))</f>
        <v>1</v>
      </c>
      <c r="Y157" s="69">
        <f t="shared" si="99"/>
        <v>23.297499999999999</v>
      </c>
      <c r="Z157" s="69">
        <f t="shared" si="100"/>
        <v>1.72E-2</v>
      </c>
      <c r="AA157" s="69">
        <f t="shared" si="89"/>
        <v>23.2803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90"/>
        <v>0236-26</v>
      </c>
      <c r="AE157" s="99" t="str">
        <f t="shared" si="67"/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AF157" s="96" t="str">
        <f t="shared" si="68"/>
        <v>"C:\Program Files (x86)\AstroGrep\AstroGrep.exe" /spath="%USERPROFILE%\AppData\Local\Temp\OnboardLogs" /stypes="*4028*20160827*" /stext=" 06:.+((SYSTEM_STATE.+slice.+state.+changed )|(ment ac)|(system.+state.+changed )|(\|lc)|(penalty)|(\[timeout)|(PRM\|1\|D)|(kpr)|(kdp))" /e /r /s</v>
      </c>
      <c r="AG157" s="1" t="str">
        <f t="shared" si="91"/>
        <v>EC</v>
      </c>
      <c r="AH157" s="100" t="str">
        <f t="shared" si="69"/>
        <v>"%USERPROFILE%\Documents\GitHub\eaglep3\Utilities\RefineRTDCRunTimes.py" --tripid 236-26 --locoid 4028 --swversion DE.1.0.7.0 --startMP 204:232975 --initTime 2016-08-26T23:23:34 --startdatetime 2016-08-26T23:24:55 --delay 1 --endMP 204:172 --enddatetime 2016-08-27T00:06:53 --enforcementcount 0 &gt;&gt;C:\Users\stu\Documents\GitHub\eaglep3-reporting\EC\2016-08-26-refined-times.txt</v>
      </c>
      <c r="AI157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ID","value":"236-26"},{"id":16,"name":"Locomotive ID","value":"4028"},{"id":130,"name":"Impact","value":""},{"id":150,"name":"Time of Event (Mountain Time)","value":"00:06:53"},{"id":151,"name":"Denver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553</v>
      </c>
      <c r="B158" s="7">
        <v>4044</v>
      </c>
      <c r="C158" s="24" t="s">
        <v>113</v>
      </c>
      <c r="D158" s="24" t="s">
        <v>141</v>
      </c>
      <c r="E158" s="15">
        <v>42608.952743055554</v>
      </c>
      <c r="F158" s="15">
        <v>42608.956956018519</v>
      </c>
      <c r="G158" s="7">
        <v>6</v>
      </c>
      <c r="H158" s="15" t="s">
        <v>194</v>
      </c>
      <c r="I158" s="15">
        <v>42608.984814814816</v>
      </c>
      <c r="J158" s="7">
        <v>0</v>
      </c>
      <c r="K158" s="132" t="str">
        <f t="shared" si="84"/>
        <v>4043/4044</v>
      </c>
      <c r="L158" s="24" t="str">
        <f>VLOOKUP(A158,'Trips&amp;Operators'!$C$1:$E$10000,3,FALSE)</f>
        <v>OUN</v>
      </c>
      <c r="M158" s="6">
        <f t="shared" si="85"/>
        <v>2.7858796296641231E-2</v>
      </c>
      <c r="N158" s="7">
        <f t="shared" si="102"/>
        <v>40.116666667163372</v>
      </c>
      <c r="O158" s="7"/>
      <c r="P158" s="7"/>
      <c r="Q158" s="25"/>
      <c r="R158" s="25"/>
      <c r="S158" s="37">
        <f t="shared" si="101"/>
        <v>1</v>
      </c>
      <c r="T158" s="52" t="str">
        <f t="shared" si="87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21:51:57-0600',mode:absolute,to:'2016-08-27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8" s="54" t="str">
        <f t="shared" ref="W158:W189" si="104">IF(AA158&lt;IF(AG158="EC",23,5.65),"Y","N")</f>
        <v>N</v>
      </c>
      <c r="X158" s="120">
        <f t="shared" ref="X158:X164" si="105">VALUE(LEFT(AD158,4))-VALUE(LEFT(AD157,4))</f>
        <v>1</v>
      </c>
      <c r="Y158" s="69">
        <f t="shared" si="99"/>
        <v>4.5699999999999998E-2</v>
      </c>
      <c r="Z158" s="69">
        <f t="shared" si="100"/>
        <v>23.329799999999999</v>
      </c>
      <c r="AA158" s="69">
        <f t="shared" si="89"/>
        <v>23.284099999999999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90"/>
        <v>0237-26</v>
      </c>
      <c r="AE158" s="99" t="str">
        <f t="shared" si="67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158" s="96" t="str">
        <f t="shared" si="68"/>
        <v>"C:\Program Files (x86)\AstroGrep\AstroGrep.exe" /spath="%USERPROFILE%\AppData\Local\Temp\OnboardLogs" /stypes="*4044*20160827*" /stext=" 05:.+((SYSTEM_STATE.+slice.+state.+changed )|(ment ac)|(system.+state.+changed )|(\|lc)|(penalty)|(\[timeout)|(PRM\|1\|D)|(kpr)|(kdp))" /e /r /s</v>
      </c>
      <c r="AG158" s="1" t="str">
        <f t="shared" si="91"/>
        <v>EC</v>
      </c>
      <c r="AH158" s="100" t="str">
        <f t="shared" si="69"/>
        <v>"%USERPROFILE%\Documents\GitHub\eaglep3\Utilities\RefineRTDCRunTimes.py" --tripid 237-26 --locoid 4044 --swversion DE.1.0.7.0 --startMP 204:457 --initTime 2016-08-26T22:51:57 --startdatetime 2016-08-26T22:58:01 --delay 6 --endMP 204:233298 --enddatetime 2016-08-26T23:38:08 --enforcementcount 0 &gt;&gt;C:\Users\stu\Documents\GitHub\eaglep3-reporting\EC\2016-08-26-refined-times.txt</v>
      </c>
      <c r="AI158" s="149" t="str">
        <f t="shared" si="70"/>
        <v>echo {"issue":{"subject":"","project_id":79,"tracker_id":40,"status_id":1,"priority_id":2,"assigned_to_id":23,"start_date":"2016-08-26","description":"","custom_fields":[{"id":1,"name":"Subdivision","value":"EC"},{"id":4,"name":"Milepost","value":"23.2841"},{"id":17,"name":"Train ID","value":"237-26"},{"id":16,"name":"Locomotive ID","value":"4044"},{"id":130,"name":"Impact","value":""},{"id":150,"name":"Time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557</v>
      </c>
      <c r="B159" s="7">
        <v>4043</v>
      </c>
      <c r="C159" s="24" t="s">
        <v>113</v>
      </c>
      <c r="D159" s="24" t="s">
        <v>649</v>
      </c>
      <c r="E159" s="15">
        <v>42608.994768518518</v>
      </c>
      <c r="F159" s="15">
        <v>42608.996030092596</v>
      </c>
      <c r="G159" s="7">
        <v>1</v>
      </c>
      <c r="H159" s="15" t="s">
        <v>322</v>
      </c>
      <c r="I159" s="15">
        <v>42609.027349537035</v>
      </c>
      <c r="J159" s="7">
        <v>0</v>
      </c>
      <c r="K159" s="132" t="str">
        <f t="shared" si="84"/>
        <v>4043/4044</v>
      </c>
      <c r="L159" s="24" t="str">
        <f>VLOOKUP(A159,'Trips&amp;Operators'!$C$1:$E$10000,3,FALSE)</f>
        <v>OUN</v>
      </c>
      <c r="M159" s="6">
        <f t="shared" si="85"/>
        <v>3.1319444438850041E-2</v>
      </c>
      <c r="N159" s="7">
        <f t="shared" si="102"/>
        <v>45.09999999194406</v>
      </c>
      <c r="O159" s="7"/>
      <c r="P159" s="7"/>
      <c r="Q159" s="25"/>
      <c r="R159" s="25"/>
      <c r="S159" s="37">
        <f t="shared" si="101"/>
        <v>1</v>
      </c>
      <c r="T159" s="52" t="str">
        <f t="shared" si="87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22:52:28-0600',mode:absolute,to:'2016-08-27 01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9" s="54" t="str">
        <f t="shared" si="104"/>
        <v>N</v>
      </c>
      <c r="X159" s="120">
        <f t="shared" si="105"/>
        <v>1</v>
      </c>
      <c r="Y159" s="69">
        <f t="shared" si="99"/>
        <v>23.298500000000001</v>
      </c>
      <c r="Z159" s="69">
        <f t="shared" si="100"/>
        <v>8.6900000000000005E-2</v>
      </c>
      <c r="AA159" s="69">
        <f t="shared" si="89"/>
        <v>23.211600000000001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90"/>
        <v>0238-26</v>
      </c>
      <c r="AE159" s="99" t="str">
        <f t="shared" si="67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159" s="96" t="str">
        <f t="shared" si="68"/>
        <v>"C:\Program Files (x86)\AstroGrep\AstroGrep.exe" /spath="%USERPROFILE%\AppData\Local\Temp\OnboardLogs" /stypes="*4043*20160827*" /stext=" 06:.+((SYSTEM_STATE.+slice.+state.+changed )|(ment ac)|(system.+state.+changed )|(\|lc)|(penalty)|(\[timeout)|(PRM\|1\|D)|(kpr)|(kdp))" /e /r /s</v>
      </c>
      <c r="AG159" s="1" t="str">
        <f t="shared" si="91"/>
        <v>EC</v>
      </c>
      <c r="AH159" s="100" t="str">
        <f t="shared" si="69"/>
        <v>"%USERPROFILE%\Documents\GitHub\eaglep3\Utilities\RefineRTDCRunTimes.py" --tripid 238-26 --locoid 4043 --swversion DE.1.0.7.0 --startMP 204:232985 --initTime 2016-08-26T23:52:28 --startdatetime 2016-08-26T23:54:17 --delay 1 --endMP 204:869 --enddatetime 2016-08-27T00:39:23 --enforcementcount 0 &gt;&gt;C:\Users\stu\Documents\GitHub\eaglep3-reporting\EC\2016-08-26-refined-times.txt</v>
      </c>
      <c r="AI159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{"issue":{"subject":"","project_id":79,"tracker_id":40,"status_id":1,"priority_id":2,"assigned_to_id":23,"start_date":"2016-08-27","description":"","custom_fields":[{"id":1,"name":"Subdivision","value":"EC"},{"id":4,"name":"Milepost","value":"23.2116"},{"id":17,"name":"Train ID","value":"238-26"},{"id":16,"name":"Locomotive ID","value":"4043"},{"id":130,"name":"Impact","value":""},{"id":150,"name":"Time of Event (Mountain Time)","value":"00:39:23"},{"id":151,"name":"Denver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556</v>
      </c>
      <c r="B160" s="7">
        <v>4002</v>
      </c>
      <c r="C160" s="24" t="s">
        <v>113</v>
      </c>
      <c r="D160" s="24" t="s">
        <v>180</v>
      </c>
      <c r="E160" s="15">
        <v>42608.978425925925</v>
      </c>
      <c r="F160" s="15">
        <v>42608.97960648148</v>
      </c>
      <c r="G160" s="7">
        <v>1</v>
      </c>
      <c r="H160" s="15" t="s">
        <v>314</v>
      </c>
      <c r="I160" s="15">
        <v>42609.004629629628</v>
      </c>
      <c r="J160" s="7">
        <v>0</v>
      </c>
      <c r="K160" s="132" t="str">
        <f t="shared" si="84"/>
        <v>4001/4002</v>
      </c>
      <c r="L160" s="24" t="str">
        <f>VLOOKUP(A160,'Trips&amp;Operators'!$C$1:$E$10000,3,FALSE)</f>
        <v>YANAI</v>
      </c>
      <c r="M160" s="6">
        <f t="shared" si="85"/>
        <v>2.5023148147738539E-2</v>
      </c>
      <c r="N160" s="7">
        <f t="shared" si="102"/>
        <v>36.033333332743496</v>
      </c>
      <c r="O160" s="7"/>
      <c r="P160" s="7"/>
      <c r="Q160" s="25"/>
      <c r="R160" s="25"/>
      <c r="S160" s="37">
        <f t="shared" si="101"/>
        <v>1</v>
      </c>
      <c r="T160" s="52" t="str">
        <f t="shared" si="87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22:28:56-0600',mode:absolute,to:'2016-08-27 01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104"/>
        <v>N</v>
      </c>
      <c r="X160" s="120">
        <f t="shared" si="105"/>
        <v>1</v>
      </c>
      <c r="Y160" s="69">
        <f t="shared" si="99"/>
        <v>4.7100000000000003E-2</v>
      </c>
      <c r="Z160" s="69">
        <f t="shared" si="100"/>
        <v>23.330100000000002</v>
      </c>
      <c r="AA160" s="69">
        <f t="shared" si="89"/>
        <v>23.283000000000001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90"/>
        <v>0239-26</v>
      </c>
      <c r="AE160" s="99" t="str">
        <f t="shared" si="67"/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AF160" s="96" t="str">
        <f t="shared" si="68"/>
        <v>"C:\Program Files (x86)\AstroGrep\AstroGrep.exe" /spath="%USERPROFILE%\AppData\Local\Temp\OnboardLogs" /stypes="*4002*20160827*" /stext=" 06:.+((SYSTEM_STATE.+slice.+state.+changed )|(ment ac)|(system.+state.+changed )|(\|lc)|(penalty)|(\[timeout)|(PRM\|1\|D)|(kpr)|(kdp))" /e /r /s</v>
      </c>
      <c r="AG160" s="1" t="str">
        <f t="shared" si="91"/>
        <v>EC</v>
      </c>
      <c r="AH160" s="100" t="str">
        <f t="shared" si="69"/>
        <v>"%USERPROFILE%\Documents\GitHub\eaglep3\Utilities\RefineRTDCRunTimes.py" --tripid 239-26 --locoid 4002 --swversion DE.1.0.7.0 --startMP 204:471 --initTime 2016-08-26T23:28:56 --startdatetime 2016-08-26T23:30:38 --delay 1 --endMP 204:233301 --enddatetime 2016-08-27T00:06:40 --enforcementcount 0 &gt;&gt;C:\Users\stu\Documents\GitHub\eaglep3-reporting\EC\2016-08-26-refined-times.txt</v>
      </c>
      <c r="AI160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ID","value":"239-26"},{"id":16,"name":"Locomotive ID","value":"4002"},{"id":130,"name":"Impact","value":""},{"id":150,"name":"Time of Event (Mountain Time)","value":"00:06:40"},{"id":151,"name":"Denver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560</v>
      </c>
      <c r="B161" s="7">
        <v>4001</v>
      </c>
      <c r="C161" s="24" t="s">
        <v>113</v>
      </c>
      <c r="D161" s="24" t="s">
        <v>200</v>
      </c>
      <c r="E161" s="15">
        <v>42609.013865740744</v>
      </c>
      <c r="F161" s="15">
        <v>42609.014999999999</v>
      </c>
      <c r="G161" s="7">
        <v>1</v>
      </c>
      <c r="H161" s="15" t="s">
        <v>291</v>
      </c>
      <c r="I161" s="15">
        <v>42609.048587962963</v>
      </c>
      <c r="J161" s="7">
        <v>0</v>
      </c>
      <c r="K161" s="132" t="str">
        <f t="shared" si="84"/>
        <v>4001/4002</v>
      </c>
      <c r="L161" s="24" t="str">
        <f>VLOOKUP(A161,'Trips&amp;Operators'!$C$1:$E$10000,3,FALSE)</f>
        <v>YANAI</v>
      </c>
      <c r="M161" s="6">
        <f t="shared" si="85"/>
        <v>3.3587962963792961E-2</v>
      </c>
      <c r="N161" s="7">
        <f t="shared" si="102"/>
        <v>48.366666667861864</v>
      </c>
      <c r="O161" s="7"/>
      <c r="P161" s="7"/>
      <c r="Q161" s="25"/>
      <c r="R161" s="25"/>
      <c r="S161" s="37">
        <f t="shared" si="101"/>
        <v>1</v>
      </c>
      <c r="T161" s="52" t="str">
        <f t="shared" si="87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23:19:58-0600',mode:absolute,to:'2016-08-27 02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104"/>
        <v>N</v>
      </c>
      <c r="X161" s="120">
        <f t="shared" si="105"/>
        <v>1</v>
      </c>
      <c r="Y161" s="69">
        <f t="shared" si="99"/>
        <v>23.297799999999999</v>
      </c>
      <c r="Z161" s="69">
        <f t="shared" si="100"/>
        <v>1.7000000000000001E-2</v>
      </c>
      <c r="AA161" s="69">
        <f t="shared" si="89"/>
        <v>23.280799999999999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90"/>
        <v>0240-26</v>
      </c>
      <c r="AE161" s="99" t="str">
        <f t="shared" si="67"/>
        <v>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 &amp; aws s3 cp s3://rtdc.mdm.uploadarchive/RTDC4001/2016-08-28/ "%USERPROFILE%\AppData\Local\Temp\OnboardLogs"\RTDC4001\2016-08-28 --recursive &amp; "%USERPROFILE%\Documents\GitHub\mrs-test-scripts\Headless Mode &amp; Sideloading\WalkAndUnGZ.bat" "%USERPROFILE%\AppData\Local\Temp\OnboardLogs"\RTDC4001\2016-08-28</v>
      </c>
      <c r="AF161" s="96" t="str">
        <f t="shared" si="68"/>
        <v>"C:\Program Files (x86)\AstroGrep\AstroGrep.exe" /spath="%USERPROFILE%\AppData\Local\Temp\OnboardLogs" /stypes="*4001*20160827*" /stext=" 07:.+((SYSTEM_STATE.+slice.+state.+changed )|(ment ac)|(system.+state.+changed )|(\|lc)|(penalty)|(\[timeout)|(PRM\|1\|D)|(kpr)|(kdp))" /e /r /s</v>
      </c>
      <c r="AG161" s="1" t="str">
        <f t="shared" si="91"/>
        <v>EC</v>
      </c>
      <c r="AH161" s="100" t="str">
        <f t="shared" si="69"/>
        <v>"%USERPROFILE%\Documents\GitHub\eaglep3\Utilities\RefineRTDCRunTimes.py" --tripid 240-26 --locoid 4001 --swversion DE.1.0.7.0 --startMP 204:232978 --initTime 2016-08-27T00:19:58 --startdatetime 2016-08-27T00:21:36 --delay 1 --endMP 204:170 --enddatetime 2016-08-27T01:09:58 --enforcementcount 0 &gt;&gt;C:\Users\stu\Documents\GitHub\eaglep3-reporting\EC\2016-08-26-refined-times.txt</v>
      </c>
      <c r="AI161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ID","value":"240-26"},{"id":16,"name":"Locomotive ID","value":"4001"},{"id":130,"name":"Impact","value":""},{"id":150,"name":"Time of Event (Mountain Time)","value":"01:09:58"},{"id":151,"name":"Denver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558</v>
      </c>
      <c r="B162" s="7">
        <v>4040</v>
      </c>
      <c r="C162" s="24" t="s">
        <v>113</v>
      </c>
      <c r="D162" s="24" t="s">
        <v>672</v>
      </c>
      <c r="E162" s="15">
        <v>42608.997696759259</v>
      </c>
      <c r="F162" s="15">
        <v>42608.998807870368</v>
      </c>
      <c r="G162" s="7">
        <v>1</v>
      </c>
      <c r="H162" s="15" t="s">
        <v>657</v>
      </c>
      <c r="I162" s="15">
        <v>42609.029108796298</v>
      </c>
      <c r="J162" s="7">
        <v>0</v>
      </c>
      <c r="K162" s="132" t="str">
        <f t="shared" si="84"/>
        <v>4039/4040</v>
      </c>
      <c r="L162" s="24" t="str">
        <f>VLOOKUP(A162,'Trips&amp;Operators'!$C$1:$E$10000,3,FALSE)</f>
        <v>CHANDLER</v>
      </c>
      <c r="M162" s="6">
        <f t="shared" si="85"/>
        <v>3.030092592962319E-2</v>
      </c>
      <c r="N162" s="7">
        <f t="shared" si="102"/>
        <v>43.633333338657394</v>
      </c>
      <c r="O162" s="7"/>
      <c r="P162" s="7"/>
      <c r="Q162" s="25"/>
      <c r="R162" s="25"/>
      <c r="S162" s="37">
        <f t="shared" si="101"/>
        <v>1</v>
      </c>
      <c r="T162" s="52" t="str">
        <f t="shared" si="87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22:56:41-0600',mode:absolute,to:'2016-08-27 01:41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62" s="54" t="str">
        <f t="shared" si="104"/>
        <v>N</v>
      </c>
      <c r="X162" s="120">
        <f t="shared" si="105"/>
        <v>1</v>
      </c>
      <c r="Y162" s="69">
        <f t="shared" si="99"/>
        <v>5.3999999999999999E-2</v>
      </c>
      <c r="Z162" s="69">
        <f t="shared" si="100"/>
        <v>23.329899999999999</v>
      </c>
      <c r="AA162" s="69">
        <f t="shared" si="89"/>
        <v>23.2759</v>
      </c>
      <c r="AB162" s="66">
        <f>VLOOKUP(A162,Enforcements!$C$7:$J$21,8,0)</f>
        <v>116838</v>
      </c>
      <c r="AC162" s="62" t="str">
        <f>VLOOKUP(A162,Enforcements!$C$7:$E$21,3,0)</f>
        <v>PERMANENT SPEED RESTRICTION</v>
      </c>
      <c r="AD162" s="63" t="str">
        <f t="shared" si="90"/>
        <v>0241-26</v>
      </c>
      <c r="AE162" s="99" t="str">
        <f t="shared" si="67"/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AF162" s="96" t="str">
        <f t="shared" si="68"/>
        <v>"C:\Program Files (x86)\AstroGrep\AstroGrep.exe" /spath="%USERPROFILE%\AppData\Local\Temp\OnboardLogs" /stypes="*4040*20160827*" /stext=" 06:.+((SYSTEM_STATE.+slice.+state.+changed )|(ment ac)|(system.+state.+changed )|(\|lc)|(penalty)|(\[timeout)|(PRM\|1\|D)|(kpr)|(kdp))" /e /r /s</v>
      </c>
      <c r="AG162" s="1" t="str">
        <f t="shared" si="91"/>
        <v>EC</v>
      </c>
      <c r="AH162" s="100" t="str">
        <f t="shared" si="69"/>
        <v>"%USERPROFILE%\Documents\GitHub\eaglep3\Utilities\RefineRTDCRunTimes.py" --tripid 241-26 --locoid 4040 --swversion DE.1.0.7.0 --startMP 204:540 --initTime 2016-08-26T23:56:41 --startdatetime 2016-08-26T23:58:17 --delay 1 --endMP 204:233299 --enddatetime 2016-08-27T00:41:55 --enforcementcount 0 &gt;&gt;C:\Users\stu\Documents\GitHub\eaglep3-reporting\EC\2016-08-26-refined-times.txt</v>
      </c>
      <c r="AI162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{"issue":{"subject":"","project_id":79,"tracker_id":40,"status_id":1,"priority_id":2,"assigned_to_id":23,"start_date":"2016-08-27","description":"","custom_fields":[{"id":1,"name":"Subdivision","value":"EC"},{"id":4,"name":"Milepost","value":"23.2759"},{"id":17,"name":"Train ID","value":"241-26"},{"id":16,"name":"Locomotive ID","value":"4040"},{"id":130,"name":"Impact","value":""},{"id":150,"name":"Time of Event (Mountain Time)","value":"00:41:55"},{"id":151,"name":"Denver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562</v>
      </c>
      <c r="B163" s="7">
        <v>4039</v>
      </c>
      <c r="C163" s="24" t="s">
        <v>113</v>
      </c>
      <c r="D163" s="24" t="s">
        <v>605</v>
      </c>
      <c r="E163" s="15">
        <v>42609.035868055558</v>
      </c>
      <c r="F163" s="15">
        <v>42609.036805555559</v>
      </c>
      <c r="G163" s="7">
        <v>1</v>
      </c>
      <c r="H163" s="15" t="s">
        <v>673</v>
      </c>
      <c r="I163" s="15">
        <v>42609.068854166668</v>
      </c>
      <c r="J163" s="7">
        <v>0</v>
      </c>
      <c r="K163" s="132" t="str">
        <f t="shared" si="84"/>
        <v>4039/4040</v>
      </c>
      <c r="L163" s="24" t="str">
        <f>VLOOKUP(A163,'Trips&amp;Operators'!$C$1:$E$10000,3,FALSE)</f>
        <v>CHANDLER</v>
      </c>
      <c r="M163" s="6">
        <f t="shared" si="85"/>
        <v>3.2048611108621117E-2</v>
      </c>
      <c r="N163" s="7">
        <f t="shared" si="102"/>
        <v>46.149999996414408</v>
      </c>
      <c r="O163" s="7"/>
      <c r="P163" s="7"/>
      <c r="Q163" s="25"/>
      <c r="R163" s="25"/>
      <c r="S163" s="37">
        <f t="shared" si="101"/>
        <v>1</v>
      </c>
      <c r="T163" s="52" t="str">
        <f t="shared" si="87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23:51:39-0600',mode:absolute,to:'2016-08-27 02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63" s="54" t="str">
        <f t="shared" si="104"/>
        <v>N</v>
      </c>
      <c r="X163" s="120">
        <f t="shared" si="105"/>
        <v>1</v>
      </c>
      <c r="Y163" s="69">
        <f t="shared" si="99"/>
        <v>23.296299999999999</v>
      </c>
      <c r="Z163" s="69">
        <f t="shared" si="100"/>
        <v>1.7600000000000001E-2</v>
      </c>
      <c r="AA163" s="69">
        <f t="shared" si="89"/>
        <v>23.278699999999997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90"/>
        <v>0242-26</v>
      </c>
      <c r="AE163" s="99" t="str">
        <f t="shared" si="67"/>
        <v>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 &amp; aws s3 cp s3://rtdc.mdm.uploadarchive/RTDC4039/2016-08-28/ "%USERPROFILE%\AppData\Local\Temp\OnboardLogs"\RTDC4039\2016-08-28 --recursive &amp; "%USERPROFILE%\Documents\GitHub\mrs-test-scripts\Headless Mode &amp; Sideloading\WalkAndUnGZ.bat" "%USERPROFILE%\AppData\Local\Temp\OnboardLogs"\RTDC4039\2016-08-28</v>
      </c>
      <c r="AF163" s="96" t="str">
        <f t="shared" si="68"/>
        <v>"C:\Program Files (x86)\AstroGrep\AstroGrep.exe" /spath="%USERPROFILE%\AppData\Local\Temp\OnboardLogs" /stypes="*4039*20160827*" /stext=" 07:.+((SYSTEM_STATE.+slice.+state.+changed )|(ment ac)|(system.+state.+changed )|(\|lc)|(penalty)|(\[timeout)|(PRM\|1\|D)|(kpr)|(kdp))" /e /r /s</v>
      </c>
      <c r="AG163" s="1" t="str">
        <f t="shared" si="91"/>
        <v>EC</v>
      </c>
      <c r="AH163" s="100" t="str">
        <f t="shared" si="69"/>
        <v>"%USERPROFILE%\Documents\GitHub\eaglep3\Utilities\RefineRTDCRunTimes.py" --tripid 242-26 --locoid 4039 --swversion DE.1.0.7.0 --startMP 204:232963 --initTime 2016-08-27T00:51:39 --startdatetime 2016-08-27T00:53:00 --delay 1 --endMP 204:176 --enddatetime 2016-08-27T01:39:09 --enforcementcount 0 &gt;&gt;C:\Users\stu\Documents\GitHub\eaglep3-reporting\EC\2016-08-26-refined-times.txt</v>
      </c>
      <c r="AI163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{"issue":{"subject":"","project_id":79,"tracker_id":40,"status_id":1,"priority_id":2,"assigned_to_id":23,"start_date":"2016-08-27","description":"","custom_fields":[{"id":1,"name":"Subdivision","value":"EC"},{"id":4,"name":"Milepost","value":"23.2787"},{"id":17,"name":"Train ID","value":"242-26"},{"id":16,"name":"Locomotive ID","value":"4039"},{"id":130,"name":"Impact","value":""},{"id":150,"name":"Time of Event (Mountain Time)","value":"01:39:09"},{"id":151,"name":"Denver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559</v>
      </c>
      <c r="B164" s="7">
        <v>4027</v>
      </c>
      <c r="C164" s="24" t="s">
        <v>113</v>
      </c>
      <c r="D164" s="24" t="s">
        <v>222</v>
      </c>
      <c r="E164" s="15">
        <v>42609.013692129629</v>
      </c>
      <c r="F164" s="15">
        <v>42609.014884259261</v>
      </c>
      <c r="G164" s="7">
        <v>1</v>
      </c>
      <c r="H164" s="15" t="s">
        <v>640</v>
      </c>
      <c r="I164" s="15">
        <v>42609.065775462965</v>
      </c>
      <c r="J164" s="7">
        <v>0</v>
      </c>
      <c r="K164" s="132" t="str">
        <f t="shared" si="84"/>
        <v>4027/4028</v>
      </c>
      <c r="L164" s="24" t="str">
        <f>VLOOKUP(A164,'Trips&amp;Operators'!$C$1:$E$10000,3,FALSE)</f>
        <v>ARVIDSON</v>
      </c>
      <c r="M164" s="6">
        <f t="shared" si="85"/>
        <v>5.0891203703940846E-2</v>
      </c>
      <c r="N164" s="7">
        <f t="shared" si="102"/>
        <v>73.283333333674818</v>
      </c>
      <c r="O164" s="7"/>
      <c r="P164" s="7"/>
      <c r="Q164" s="25"/>
      <c r="R164" s="25"/>
      <c r="S164" s="37">
        <f t="shared" si="101"/>
        <v>1</v>
      </c>
      <c r="T164" s="52" t="str">
        <f t="shared" si="87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23:19:43-0600',mode:absolute,to:'2016-08-27 02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64" s="54" t="str">
        <f t="shared" si="104"/>
        <v>N</v>
      </c>
      <c r="X164" s="120">
        <f t="shared" si="105"/>
        <v>1</v>
      </c>
      <c r="Y164" s="69">
        <f t="shared" si="99"/>
        <v>4.6399999999999997E-2</v>
      </c>
      <c r="Z164" s="69">
        <f t="shared" si="100"/>
        <v>23.332799999999999</v>
      </c>
      <c r="AA164" s="69">
        <f t="shared" si="89"/>
        <v>23.2864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90"/>
        <v>0243-26</v>
      </c>
      <c r="AE164" s="99" t="str">
        <f t="shared" si="67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164" s="96" t="str">
        <f t="shared" si="68"/>
        <v>"C:\Program Files (x86)\AstroGrep\AstroGrep.exe" /spath="%USERPROFILE%\AppData\Local\Temp\OnboardLogs" /stypes="*4027*20160827*" /stext=" 07:.+((SYSTEM_STATE.+slice.+state.+changed )|(ment ac)|(system.+state.+changed )|(\|lc)|(penalty)|(\[timeout)|(PRM\|1\|D)|(kpr)|(kdp))" /e /r /s</v>
      </c>
      <c r="AG164" s="1" t="str">
        <f t="shared" si="91"/>
        <v>EC</v>
      </c>
      <c r="AH164" s="100" t="str">
        <f t="shared" si="69"/>
        <v>"%USERPROFILE%\Documents\GitHub\eaglep3\Utilities\RefineRTDCRunTimes.py" --tripid 243-26 --locoid 4027 --swversion DE.1.0.7.0 --startMP 204:464 --initTime 2016-08-27T00:19:43 --startdatetime 2016-08-27T00:21:26 --delay 1 --endMP 204:233328 --enddatetime 2016-08-27T01:34:43 --enforcementcount 0 &gt;&gt;C:\Users\stu\Documents\GitHub\eaglep3-reporting\EC\2016-08-26-refined-times.txt</v>
      </c>
      <c r="AI164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{"issue":{"subject":"","project_id":79,"tracker_id":40,"status_id":1,"priority_id":2,"assigned_to_id":23,"start_date":"2016-08-27","description":"","custom_fields":[{"id":1,"name":"Subdivision","value":"EC"},{"id":4,"name":"Milepost","value":"23.2864"},{"id":17,"name":"Train ID","value":"243-26"},{"id":16,"name":"Locomotive ID","value":"4027"},{"id":130,"name":"Impact","value":""},{"id":150,"name":"Time of Event (Mountain Time)","value":"01:34:43"},{"id":151,"name":"Denver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564</v>
      </c>
      <c r="B165" s="7">
        <v>4028</v>
      </c>
      <c r="C165" s="24" t="s">
        <v>113</v>
      </c>
      <c r="D165" s="24" t="s">
        <v>609</v>
      </c>
      <c r="E165" s="15">
        <v>42609.067615740743</v>
      </c>
      <c r="F165" s="15">
        <v>42609.069166666668</v>
      </c>
      <c r="G165" s="7">
        <v>2</v>
      </c>
      <c r="H165" s="15" t="s">
        <v>217</v>
      </c>
      <c r="I165" s="15">
        <v>42609.102164351854</v>
      </c>
      <c r="J165" s="7">
        <v>0</v>
      </c>
      <c r="K165" s="132" t="str">
        <f t="shared" si="84"/>
        <v>4027/4028</v>
      </c>
      <c r="L165" s="24" t="str">
        <f>VLOOKUP(A165,'Trips&amp;Operators'!$C$1:$E$10000,3,FALSE)</f>
        <v>ARVIDSON</v>
      </c>
      <c r="M165" s="6">
        <f t="shared" si="85"/>
        <v>3.2997685186273884E-2</v>
      </c>
      <c r="N165" s="7">
        <f t="shared" si="102"/>
        <v>47.516666668234393</v>
      </c>
      <c r="O165" s="7"/>
      <c r="P165" s="7"/>
      <c r="Q165" s="25"/>
      <c r="R165" s="25"/>
      <c r="S165" s="37">
        <f t="shared" si="101"/>
        <v>1</v>
      </c>
      <c r="T165" s="52" t="str">
        <f t="shared" si="87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https://search-rtdc-monitor-bjffxe2xuh6vdkpspy63sjmuny.us-east-1.es.amazonaws.com/_plugin/kibana/#/discover/Steve-Slow-Train-Analysis-(2080s-and-2083s)?_g=(refreshInterval:(display:Off,section:0,value:0),time:(from:'2016-08-27 00:37:22-0600',mode:absolute,to:'2016-08-27 03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65" s="54" t="str">
        <f t="shared" si="104"/>
        <v>N</v>
      </c>
      <c r="X165" s="120">
        <f t="shared" ref="X165:X168" si="106">VALUE(LEFT(AD165,4))-VALUE(LEFT(AD164,4))</f>
        <v>1</v>
      </c>
      <c r="Y165" s="69">
        <f t="shared" si="99"/>
        <v>23.299600000000002</v>
      </c>
      <c r="Z165" s="69">
        <f t="shared" si="100"/>
        <v>1.38E-2</v>
      </c>
      <c r="AA165" s="69">
        <f t="shared" si="89"/>
        <v>23.285800000000002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90"/>
        <v>0244-26</v>
      </c>
      <c r="AE165" s="99" t="str">
        <f t="shared" si="67"/>
        <v>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 &amp; aws s3 cp s3://rtdc.mdm.uploadarchive/RTDC4028/2016-08-28/ "%USERPROFILE%\AppData\Local\Temp\OnboardLogs"\RTDC4028\2016-08-28 --recursive &amp; "%USERPROFILE%\Documents\GitHub\mrs-test-scripts\Headless Mode &amp; Sideloading\WalkAndUnGZ.bat" "%USERPROFILE%\AppData\Local\Temp\OnboardLogs"\RTDC4028\2016-08-28</v>
      </c>
      <c r="AF165" s="96" t="str">
        <f t="shared" si="68"/>
        <v>"C:\Program Files (x86)\AstroGrep\AstroGrep.exe" /spath="%USERPROFILE%\AppData\Local\Temp\OnboardLogs" /stypes="*4028*20160827*" /stext=" 08:.+((SYSTEM_STATE.+slice.+state.+changed )|(ment ac)|(system.+state.+changed )|(\|lc)|(penalty)|(\[timeout)|(PRM\|1\|D)|(kpr)|(kdp))" /e /r /s</v>
      </c>
      <c r="AG165" s="1" t="str">
        <f t="shared" si="91"/>
        <v>EC</v>
      </c>
      <c r="AH165" s="100" t="str">
        <f t="shared" si="69"/>
        <v>"%USERPROFILE%\Documents\GitHub\eaglep3\Utilities\RefineRTDCRunTimes.py" --tripid 244-26 --locoid 4028 --swversion DE.1.0.7.0 --startMP 204:232996 --initTime 2016-08-27T01:37:22 --startdatetime 2016-08-27T01:39:36 --delay 2 --endMP 204:138 --enddatetime 2016-08-27T02:27:07 --enforcementcount 0 &gt;&gt;C:\Users\stu\Documents\GitHub\eaglep3-reporting\EC\2016-08-26-refined-times.txt</v>
      </c>
      <c r="AI165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{"issue":{"subject":"","project_id":79,"tracker_id":40,"status_id":1,"priority_id":2,"assigned_to_id":23,"start_date":"2016-08-27","description":"","custom_fields":[{"id":1,"name":"Subdivision","value":"EC"},{"id":4,"name":"Milepost","value":"23.2858"},{"id":17,"name":"Train ID","value":"244-26"},{"id":16,"name":"Locomotive ID","value":"4028"},{"id":130,"name":"Impact","value":""},{"id":150,"name":"Time of Event (Mountain Time)","value":"02:27:07"},{"id":151,"name":"Denver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561</v>
      </c>
      <c r="B166" s="7">
        <v>4003</v>
      </c>
      <c r="C166" s="24" t="s">
        <v>113</v>
      </c>
      <c r="D166" s="24" t="s">
        <v>619</v>
      </c>
      <c r="E166" s="15">
        <v>42609.039351851854</v>
      </c>
      <c r="F166" s="15">
        <v>42609.040300925924</v>
      </c>
      <c r="G166" s="7">
        <v>1</v>
      </c>
      <c r="H166" s="15" t="s">
        <v>193</v>
      </c>
      <c r="I166" s="15">
        <v>42609.069930555554</v>
      </c>
      <c r="J166" s="7">
        <v>0</v>
      </c>
      <c r="K166" s="132" t="str">
        <f t="shared" si="84"/>
        <v>4003/4004</v>
      </c>
      <c r="L166" s="24" t="str">
        <f>VLOOKUP(A166,'Trips&amp;Operators'!$C$1:$E$10000,3,FALSE)</f>
        <v>HAITHCOX</v>
      </c>
      <c r="M166" s="6">
        <f t="shared" si="85"/>
        <v>2.9629629629198462E-2</v>
      </c>
      <c r="N166" s="7">
        <f t="shared" si="102"/>
        <v>42.666666666045785</v>
      </c>
      <c r="O166" s="7"/>
      <c r="P166" s="7"/>
      <c r="Q166" s="25"/>
      <c r="R166" s="25"/>
      <c r="S166" s="37">
        <f t="shared" si="101"/>
        <v>1</v>
      </c>
      <c r="T166" s="52" t="str">
        <f t="shared" si="87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23:56:40-0600',mode:absolute,to:'2016-08-27 02:40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6" s="54" t="str">
        <f t="shared" si="104"/>
        <v>N</v>
      </c>
      <c r="X166" s="120">
        <f t="shared" si="106"/>
        <v>1</v>
      </c>
      <c r="Y166" s="69">
        <f t="shared" si="99"/>
        <v>4.58E-2</v>
      </c>
      <c r="Z166" s="69">
        <f t="shared" si="100"/>
        <v>23.3308</v>
      </c>
      <c r="AA166" s="69">
        <f t="shared" si="89"/>
        <v>23.285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90"/>
        <v>0245-26</v>
      </c>
      <c r="AE166" s="99" t="str">
        <f t="shared" si="67"/>
        <v>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 &amp; aws s3 cp s3://rtdc.mdm.uploadarchive/RTDC4003/2016-08-28/ "%USERPROFILE%\AppData\Local\Temp\OnboardLogs"\RTDC4003\2016-08-28 --recursive &amp; "%USERPROFILE%\Documents\GitHub\mrs-test-scripts\Headless Mode &amp; Sideloading\WalkAndUnGZ.bat" "%USERPROFILE%\AppData\Local\Temp\OnboardLogs"\RTDC4003\2016-08-28</v>
      </c>
      <c r="AF166" s="96" t="str">
        <f t="shared" si="68"/>
        <v>"C:\Program Files (x86)\AstroGrep\AstroGrep.exe" /spath="%USERPROFILE%\AppData\Local\Temp\OnboardLogs" /stypes="*4003*20160827*" /stext=" 07:.+((SYSTEM_STATE.+slice.+state.+changed )|(ment ac)|(system.+state.+changed )|(\|lc)|(penalty)|(\[timeout)|(PRM\|1\|D)|(kpr)|(kdp))" /e /r /s</v>
      </c>
      <c r="AG166" s="1" t="str">
        <f t="shared" si="91"/>
        <v>EC</v>
      </c>
      <c r="AH166" s="100" t="str">
        <f t="shared" si="69"/>
        <v>"%USERPROFILE%\Documents\GitHub\eaglep3\Utilities\RefineRTDCRunTimes.py" --tripid 245-26 --locoid 4003 --swversion DE.1.0.7.0 --startMP 204:458 --initTime 2016-08-27T00:56:40 --startdatetime 2016-08-27T00:58:02 --delay 1 --endMP 204:233308 --enddatetime 2016-08-27T01:40:42 --enforcementcount 0 &gt;&gt;C:\Users\stu\Documents\GitHub\eaglep3-reporting\EC\2016-08-26-refined-times.txt</v>
      </c>
      <c r="AI166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{"issue":{"subject":"","project_id":79,"tracker_id":40,"status_id":1,"priority_id":2,"assigned_to_id":23,"start_date":"2016-08-27","description":"","custom_fields":[{"id":1,"name":"Subdivision","value":"EC"},{"id":4,"name":"Milepost","value":"23.285"},{"id":17,"name":"Train ID","value":"245-26"},{"id":16,"name":"Locomotive ID","value":"4003"},{"id":130,"name":"Impact","value":""},{"id":150,"name":"Time of Event (Mountain Time)","value":"01:40:42"},{"id":151,"name":"Denver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566</v>
      </c>
      <c r="B167" s="7">
        <v>4004</v>
      </c>
      <c r="C167" s="24" t="s">
        <v>113</v>
      </c>
      <c r="D167" s="24" t="s">
        <v>134</v>
      </c>
      <c r="E167" s="15">
        <v>42609.07603009259</v>
      </c>
      <c r="F167" s="15">
        <v>42609.077256944445</v>
      </c>
      <c r="G167" s="7">
        <v>1</v>
      </c>
      <c r="H167" s="15" t="s">
        <v>152</v>
      </c>
      <c r="I167" s="15">
        <v>42609.113518518519</v>
      </c>
      <c r="J167" s="7">
        <v>0</v>
      </c>
      <c r="K167" s="132" t="str">
        <f t="shared" si="84"/>
        <v>4003/4004</v>
      </c>
      <c r="L167" s="24" t="str">
        <f>VLOOKUP(A167,'Trips&amp;Operators'!$C$1:$E$10000,3,FALSE)</f>
        <v>HAITHCOX</v>
      </c>
      <c r="M167" s="6">
        <f t="shared" si="85"/>
        <v>3.6261574074160308E-2</v>
      </c>
      <c r="N167" s="7">
        <f t="shared" si="102"/>
        <v>52.216666666790843</v>
      </c>
      <c r="O167" s="7"/>
      <c r="P167" s="7"/>
      <c r="Q167" s="25"/>
      <c r="R167" s="25"/>
      <c r="S167" s="37">
        <f t="shared" si="101"/>
        <v>1</v>
      </c>
      <c r="T167" s="52" t="str">
        <f t="shared" si="87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12</v>
      </c>
      <c r="V16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https://search-rtdc-monitor-bjffxe2xuh6vdkpspy63sjmuny.us-east-1.es.amazonaws.com/_plugin/kibana/#/discover/Steve-Slow-Train-Analysis-(2080s-and-2083s)?_g=(refreshInterval:(display:Off,section:0,value:0),time:(from:'2016-08-27 00:49:29-0600',mode:absolute,to:'2016-08-27 03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67" s="54" t="str">
        <f t="shared" si="104"/>
        <v>N</v>
      </c>
      <c r="X167" s="120">
        <f t="shared" si="106"/>
        <v>1</v>
      </c>
      <c r="Y167" s="69">
        <f t="shared" si="99"/>
        <v>23.299399999999999</v>
      </c>
      <c r="Z167" s="69">
        <f t="shared" si="100"/>
        <v>1.4999999999999999E-2</v>
      </c>
      <c r="AA167" s="69">
        <f t="shared" si="89"/>
        <v>23.284399999999998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90"/>
        <v>0246-26</v>
      </c>
      <c r="AE167" s="99" t="str">
        <f t="shared" si="67"/>
        <v>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 &amp; aws s3 cp s3://rtdc.mdm.uploadarchive/RTDC4004/2016-08-28/ "%USERPROFILE%\AppData\Local\Temp\OnboardLogs"\RTDC4004\2016-08-28 --recursive &amp; "%USERPROFILE%\Documents\GitHub\mrs-test-scripts\Headless Mode &amp; Sideloading\WalkAndUnGZ.bat" "%USERPROFILE%\AppData\Local\Temp\OnboardLogs"\RTDC4004\2016-08-28</v>
      </c>
      <c r="AF167" s="96" t="str">
        <f t="shared" si="68"/>
        <v>"C:\Program Files (x86)\AstroGrep\AstroGrep.exe" /spath="%USERPROFILE%\AppData\Local\Temp\OnboardLogs" /stypes="*4004*20160827*" /stext=" 08:.+((SYSTEM_STATE.+slice.+state.+changed )|(ment ac)|(system.+state.+changed )|(\|lc)|(penalty)|(\[timeout)|(PRM\|1\|D)|(kpr)|(kdp))" /e /r /s</v>
      </c>
      <c r="AG167" s="1" t="str">
        <f t="shared" si="91"/>
        <v>EC</v>
      </c>
      <c r="AH167" s="100" t="str">
        <f t="shared" si="69"/>
        <v>"%USERPROFILE%\Documents\GitHub\eaglep3\Utilities\RefineRTDCRunTimes.py" --tripid 246-26 --locoid 4004 --swversion DE.1.0.7.0 --startMP 204:232994 --initTime 2016-08-27T01:49:29 --startdatetime 2016-08-27T01:51:15 --delay 1 --endMP 204:150 --enddatetime 2016-08-27T02:43:28 --enforcementcount 0 &gt;&gt;C:\Users\stu\Documents\GitHub\eaglep3-reporting\EC\2016-08-26-refined-times.txt</v>
      </c>
      <c r="AI167" s="149" t="str">
        <f t="shared" si="70"/>
        <v>echo {"issue":{"subject":"","project_id":79,"tracker_id":40,"status_id":1,"priority_id":2,"assigned_to_id":23,"start_date":"2016-08-27","description":"","custom_fields":[{"id":1,"name":"Subdivision","value":"EC"},{"id":4,"name":"Milepost","value":"23.2844"},{"id":17,"name":"Train ID","value":"246-26"},{"id":16,"name":"Locomotive ID","value":"4004"},{"id":130,"name":"Impact","value":""},{"id":150,"name":"Time of Event (Mountain Time)","value":"02:43:28"},{"id":151,"name":"Denver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366</v>
      </c>
      <c r="B168" s="7">
        <v>4019</v>
      </c>
      <c r="C168" s="24" t="s">
        <v>113</v>
      </c>
      <c r="D168" s="24" t="s">
        <v>687</v>
      </c>
      <c r="E168" s="15">
        <v>42608.204571759263</v>
      </c>
      <c r="F168" s="15">
        <v>42608.205729166664</v>
      </c>
      <c r="G168" s="7">
        <v>1</v>
      </c>
      <c r="H168" s="15" t="s">
        <v>688</v>
      </c>
      <c r="I168" s="15">
        <v>42608.233217592591</v>
      </c>
      <c r="J168" s="7">
        <v>0</v>
      </c>
      <c r="K168" s="132" t="str">
        <f t="shared" si="84"/>
        <v>4019/4020</v>
      </c>
      <c r="L168" s="24" t="str">
        <f>VLOOKUP(A168,'Trips&amp;Operators'!$C$1:$E$10000,3,FALSE)</f>
        <v>STRICKLAND</v>
      </c>
      <c r="M168" s="6">
        <f t="shared" si="85"/>
        <v>2.7488425927003846E-2</v>
      </c>
      <c r="N168" s="7">
        <f t="shared" si="102"/>
        <v>39.583333334885538</v>
      </c>
      <c r="O168" s="7"/>
      <c r="P168" s="7"/>
      <c r="Q168" s="25"/>
      <c r="R168" s="25"/>
      <c r="S168" s="37">
        <f t="shared" si="101"/>
        <v>1</v>
      </c>
      <c r="T168" s="52" t="str">
        <f t="shared" si="87"/>
        <v>Southbound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03:54:35-0600',mode:absolute,to:'2016-08-26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68" s="54" t="str">
        <f t="shared" si="104"/>
        <v>N</v>
      </c>
      <c r="X168" s="120">
        <f t="shared" si="106"/>
        <v>554</v>
      </c>
      <c r="Y168" s="69">
        <f t="shared" si="99"/>
        <v>5.8677000000000001</v>
      </c>
      <c r="Z168" s="69">
        <f t="shared" si="100"/>
        <v>7.4099999999999999E-2</v>
      </c>
      <c r="AA168" s="69">
        <f t="shared" si="89"/>
        <v>5.7936000000000005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90"/>
        <v>0800-26</v>
      </c>
      <c r="AE168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68" s="96" t="str">
        <f t="shared" si="68"/>
        <v>"C:\Program Files (x86)\AstroGrep\AstroGrep.exe" /spath="%USERPROFILE%\AppData\Local\Temp\OnboardLogs" /stypes="*4019*20160826*" /stext=" 11:.+((SYSTEM_STATE.+slice.+state.+changed )|(ment ac)|(system.+state.+changed )|(\|lc)|(penalty)|(\[timeout)|(PRM\|1\|D)|(kpr)|(kdp))" /e /r /s</v>
      </c>
      <c r="AG168" s="1" t="str">
        <f t="shared" si="91"/>
        <v>NW</v>
      </c>
      <c r="AH168" s="100" t="str">
        <f t="shared" si="69"/>
        <v>"%USERPROFILE%\Documents\GitHub\eaglep3\Utilities\RefineRTDCRunTimes.py" --tripid 800-26 --locoid 4019 --swversion DE.1.0.7.0 --startMP 300:58677 --initTime 2016-08-26T04:54:35 --startdatetime 2016-08-26T04:56:15 --delay 1 --endMP 204:741 --enddatetime 2016-08-26T05:35:50 --enforcementcount 0 &gt;&gt;C:\Users\stu\Documents\GitHub\eaglep3-reporting\EC\2016-08-26-refined-times.txt</v>
      </c>
      <c r="AI16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{"issue":{"subject":"","project_id":79,"tracker_id":40,"status_id":1,"priority_id":2,"assigned_to_id":23,"start_date":"2016-08-26","description":"","custom_fields":[{"id":1,"name":"Subdivision","value":"NW"},{"id":4,"name":"Milepost","value":"5.7936"},{"id":17,"name":"Train ID","value":"800-26"},{"id":16,"name":"Locomotive ID","value":"4019"},{"id":130,"name":"Impact","value":""},{"id":150,"name":"Time of Event (Mountain Time)","value":"05:35:50"},{"id":151,"name":"Denver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373</v>
      </c>
      <c r="B169" s="7">
        <v>4020</v>
      </c>
      <c r="C169" s="24" t="s">
        <v>113</v>
      </c>
      <c r="D169" s="24" t="s">
        <v>689</v>
      </c>
      <c r="E169" s="15">
        <v>42608.236215277779</v>
      </c>
      <c r="F169" s="15">
        <v>42608.237557870372</v>
      </c>
      <c r="G169" s="7">
        <v>1</v>
      </c>
      <c r="H169" s="15" t="s">
        <v>690</v>
      </c>
      <c r="I169" s="15">
        <v>42608.256689814814</v>
      </c>
      <c r="J169" s="7">
        <v>0</v>
      </c>
      <c r="K169" s="132" t="str">
        <f t="shared" si="84"/>
        <v>4019/4020</v>
      </c>
      <c r="L169" s="24" t="str">
        <f>VLOOKUP(A169,'Trips&amp;Operators'!$C$1:$E$10000,3,FALSE)</f>
        <v>STRICKLAND</v>
      </c>
      <c r="M169" s="6">
        <f t="shared" si="85"/>
        <v>1.9131944442051463E-2</v>
      </c>
      <c r="N169" s="7">
        <f t="shared" si="102"/>
        <v>27.549999996554106</v>
      </c>
      <c r="O169" s="7"/>
      <c r="P169" s="7"/>
      <c r="Q169" s="25"/>
      <c r="R169" s="25"/>
      <c r="S169" s="37">
        <f t="shared" si="101"/>
        <v>1</v>
      </c>
      <c r="T169" s="52" t="str">
        <f t="shared" si="87"/>
        <v>NorthBound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104"/>
        <v>N</v>
      </c>
      <c r="X169" s="120">
        <f t="shared" ref="X169:X175" si="107">VALUE(LEFT(AD169,4))-VALUE(LEFT(AD168,4))</f>
        <v>1</v>
      </c>
      <c r="Y169" s="69">
        <f t="shared" si="99"/>
        <v>0.1028</v>
      </c>
      <c r="Z169" s="69">
        <f t="shared" si="100"/>
        <v>5.8833000000000002</v>
      </c>
      <c r="AA169" s="69">
        <f t="shared" si="89"/>
        <v>5.7805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90"/>
        <v>0801-26</v>
      </c>
      <c r="AE169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69" s="96" t="str">
        <f t="shared" si="68"/>
        <v>"C:\Program Files (x86)\AstroGrep\AstroGrep.exe" /spath="%USERPROFILE%\AppData\Local\Temp\OnboardLogs" /stypes="*4020*20160826*" /stext=" 12:.+((SYSTEM_STATE.+slice.+state.+changed )|(ment ac)|(system.+state.+changed )|(\|lc)|(penalty)|(\[timeout)|(PRM\|1\|D)|(kpr)|(kdp))" /e /r /s</v>
      </c>
      <c r="AG169" s="1" t="str">
        <f t="shared" si="91"/>
        <v>NW</v>
      </c>
      <c r="AH169" s="100" t="str">
        <f t="shared" si="69"/>
        <v>"%USERPROFILE%\Documents\GitHub\eaglep3\Utilities\RefineRTDCRunTimes.py" --tripid 801-26 --locoid 4020 --swversion DE.1.0.7.0 --startMP 204:1028 --initTime 2016-08-26T05:40:09 --startdatetime 2016-08-26T05:42:05 --delay 1 --endMP 300:58833 --enddatetime 2016-08-26T06:09:38 --enforcementcount 0 &gt;&gt;C:\Users\stu\Documents\GitHub\eaglep3-reporting\EC\2016-08-26-refined-times.txt</v>
      </c>
      <c r="AI16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{"issue":{"subject":"","project_id":79,"tracker_id":40,"status_id":1,"priority_id":2,"assigned_to_id":23,"start_date":"2016-08-26","description":"","custom_fields":[{"id":1,"name":"Subdivision","value":"NW"},{"id":4,"name":"Milepost","value":"5.7805"},{"id":17,"name":"Train ID","value":"801-26"},{"id":16,"name":"Locomotive ID","value":"4020"},{"id":130,"name":"Impact","value":""},{"id":150,"name":"Time of Event (Mountain Time)","value":"06:09:38"},{"id":151,"name":"Denver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379</v>
      </c>
      <c r="B170" s="7">
        <v>4019</v>
      </c>
      <c r="C170" s="24" t="s">
        <v>113</v>
      </c>
      <c r="D170" s="24" t="s">
        <v>691</v>
      </c>
      <c r="E170" s="15">
        <v>42608.257743055554</v>
      </c>
      <c r="F170" s="15">
        <v>42608.258680555555</v>
      </c>
      <c r="G170" s="7">
        <v>1</v>
      </c>
      <c r="H170" s="15" t="s">
        <v>692</v>
      </c>
      <c r="I170" s="15">
        <v>42608.269328703704</v>
      </c>
      <c r="J170" s="7">
        <v>0</v>
      </c>
      <c r="K170" s="132" t="str">
        <f t="shared" si="84"/>
        <v>4019/4020</v>
      </c>
      <c r="L170" s="24" t="str">
        <f>VLOOKUP(A170,'Trips&amp;Operators'!$C$1:$E$10000,3,FALSE)</f>
        <v>STRICKLAND</v>
      </c>
      <c r="M170" s="6">
        <f t="shared" si="85"/>
        <v>1.0648148148902692E-2</v>
      </c>
      <c r="N170" s="7">
        <f t="shared" si="102"/>
        <v>15.333333334419876</v>
      </c>
      <c r="O170" s="7"/>
      <c r="P170" s="7"/>
      <c r="Q170" s="25"/>
      <c r="R170" s="25"/>
      <c r="S170" s="37">
        <f t="shared" si="101"/>
        <v>1</v>
      </c>
      <c r="T170" s="52" t="str">
        <f t="shared" si="87"/>
        <v>Southbound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104"/>
        <v>N</v>
      </c>
      <c r="X170" s="120">
        <f t="shared" si="107"/>
        <v>1</v>
      </c>
      <c r="Y170" s="69">
        <f t="shared" si="99"/>
        <v>5.8667999999999996</v>
      </c>
      <c r="Z170" s="69">
        <f t="shared" si="100"/>
        <v>7.22E-2</v>
      </c>
      <c r="AA170" s="69">
        <f t="shared" si="89"/>
        <v>5.7946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90"/>
        <v>0802-26</v>
      </c>
      <c r="AE170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0" s="96" t="str">
        <f t="shared" si="68"/>
        <v>"C:\Program Files (x86)\AstroGrep\AstroGrep.exe" /spath="%USERPROFILE%\AppData\Local\Temp\OnboardLogs" /stypes="*4019*20160826*" /stext=" 12:.+((SYSTEM_STATE.+slice.+state.+changed )|(ment ac)|(system.+state.+changed )|(\|lc)|(penalty)|(\[timeout)|(PRM\|1\|D)|(kpr)|(kdp))" /e /r /s</v>
      </c>
      <c r="AG170" s="1" t="str">
        <f t="shared" si="91"/>
        <v>NW</v>
      </c>
      <c r="AH170" s="100" t="str">
        <f t="shared" si="69"/>
        <v>"%USERPROFILE%\Documents\GitHub\eaglep3\Utilities\RefineRTDCRunTimes.py" --tripid 802-26 --locoid 4019 --swversion DE.1.0.7.0 --startMP 300:58668 --initTime 2016-08-26T06:11:09 --startdatetime 2016-08-26T06:12:30 --delay 1 --endMP 204:722 --enddatetime 2016-08-26T06:27:50 --enforcementcount 0 &gt;&gt;C:\Users\stu\Documents\GitHub\eaglep3-reporting\EC\2016-08-26-refined-times.txt</v>
      </c>
      <c r="AI17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{"issue":{"subject":"","project_id":79,"tracker_id":40,"status_id":1,"priority_id":2,"assigned_to_id":23,"start_date":"2016-08-26","description":"","custom_fields":[{"id":1,"name":"Subdivision","value":"NW"},{"id":4,"name":"Milepost","value":"5.7946"},{"id":17,"name":"Train ID","value":"802-26"},{"id":16,"name":"Locomotive ID","value":"4019"},{"id":130,"name":"Impact","value":""},{"id":150,"name":"Time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380</v>
      </c>
      <c r="B171" s="7">
        <v>4011</v>
      </c>
      <c r="C171" s="24" t="s">
        <v>113</v>
      </c>
      <c r="D171" s="24" t="s">
        <v>332</v>
      </c>
      <c r="E171" s="15">
        <v>42608.261782407404</v>
      </c>
      <c r="F171" s="15">
        <v>42608.262962962966</v>
      </c>
      <c r="G171" s="7">
        <v>1</v>
      </c>
      <c r="H171" s="15" t="s">
        <v>693</v>
      </c>
      <c r="I171" s="15">
        <v>42608.275509259256</v>
      </c>
      <c r="J171" s="7">
        <v>0</v>
      </c>
      <c r="K171" s="132" t="str">
        <f t="shared" si="84"/>
        <v>4011/4012</v>
      </c>
      <c r="L171" s="24" t="str">
        <f>VLOOKUP(A171,'Trips&amp;Operators'!$C$1:$E$10000,3,FALSE)</f>
        <v>MAHAN</v>
      </c>
      <c r="M171" s="6">
        <f t="shared" si="85"/>
        <v>1.2546296289656311E-2</v>
      </c>
      <c r="N171" s="7">
        <f t="shared" si="102"/>
        <v>18.066666657105088</v>
      </c>
      <c r="O171" s="7"/>
      <c r="P171" s="7"/>
      <c r="Q171" s="25"/>
      <c r="R171" s="25"/>
      <c r="S171" s="37">
        <f t="shared" si="101"/>
        <v>1</v>
      </c>
      <c r="T171" s="52" t="str">
        <f t="shared" si="87"/>
        <v>NorthBound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05:16:58-0600',mode:absolute,to:'2016-08-26 07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1" s="54" t="str">
        <f t="shared" si="104"/>
        <v>N</v>
      </c>
      <c r="X171" s="120">
        <f t="shared" si="107"/>
        <v>1</v>
      </c>
      <c r="Y171" s="69">
        <f t="shared" si="99"/>
        <v>0.1055</v>
      </c>
      <c r="Z171" s="69">
        <f t="shared" si="100"/>
        <v>5.8998999999999997</v>
      </c>
      <c r="AA171" s="69">
        <f t="shared" si="89"/>
        <v>5.7943999999999996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90"/>
        <v>0803-26</v>
      </c>
      <c r="AE17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1" s="96" t="str">
        <f t="shared" si="68"/>
        <v>"C:\Program Files (x86)\AstroGrep\AstroGrep.exe" /spath="%USERPROFILE%\AppData\Local\Temp\OnboardLogs" /stypes="*4011*20160826*" /stext=" 12:.+((SYSTEM_STATE.+slice.+state.+changed )|(ment ac)|(system.+state.+changed )|(\|lc)|(penalty)|(\[timeout)|(PRM\|1\|D)|(kpr)|(kdp))" /e /r /s</v>
      </c>
      <c r="AG171" s="1" t="str">
        <f t="shared" si="91"/>
        <v>NW</v>
      </c>
      <c r="AH171" s="100" t="str">
        <f t="shared" si="69"/>
        <v>"%USERPROFILE%\Documents\GitHub\eaglep3\Utilities\RefineRTDCRunTimes.py" --tripid 803-26 --locoid 4011 --swversion DE.1.0.7.0 --startMP 204:1055 --initTime 2016-08-26T06:16:58 --startdatetime 2016-08-26T06:18:40 --delay 1 --endMP 300:58999 --enddatetime 2016-08-26T06:36:44 --enforcementcount 0 &gt;&gt;C:\Users\stu\Documents\GitHub\eaglep3-reporting\EC\2016-08-26-refined-times.txt</v>
      </c>
      <c r="AI17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{"issue":{"subject":"","project_id":79,"tracker_id":40,"status_id":1,"priority_id":2,"assigned_to_id":23,"start_date":"2016-08-26","description":"","custom_fields":[{"id":1,"name":"Subdivision","value":"NW"},{"id":4,"name":"Milepost","value":"5.7944"},{"id":17,"name":"Train ID","value":"803-26"},{"id":16,"name":"Locomotive ID","value":"4011"},{"id":130,"name":"Impact","value":""},{"id":150,"name":"Time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386</v>
      </c>
      <c r="B172" s="7">
        <v>4012</v>
      </c>
      <c r="C172" s="24" t="s">
        <v>113</v>
      </c>
      <c r="D172" s="24" t="s">
        <v>694</v>
      </c>
      <c r="E172" s="15">
        <v>42608.276956018519</v>
      </c>
      <c r="F172" s="15">
        <v>42608.277812499997</v>
      </c>
      <c r="G172" s="7">
        <v>1</v>
      </c>
      <c r="H172" s="15" t="s">
        <v>695</v>
      </c>
      <c r="I172" s="15">
        <v>42608.290243055555</v>
      </c>
      <c r="J172" s="7">
        <v>0</v>
      </c>
      <c r="K172" s="132" t="str">
        <f t="shared" si="84"/>
        <v>4011/4012</v>
      </c>
      <c r="L172" s="24" t="str">
        <f>VLOOKUP(A172,'Trips&amp;Operators'!$C$1:$E$10000,3,FALSE)</f>
        <v>MAHAN</v>
      </c>
      <c r="M172" s="6">
        <f t="shared" si="85"/>
        <v>1.2430555558239575E-2</v>
      </c>
      <c r="N172" s="7">
        <f t="shared" si="102"/>
        <v>17.900000003864989</v>
      </c>
      <c r="O172" s="7"/>
      <c r="P172" s="7"/>
      <c r="Q172" s="25"/>
      <c r="R172" s="25"/>
      <c r="S172" s="37">
        <f t="shared" si="101"/>
        <v>1</v>
      </c>
      <c r="T172" s="52" t="str">
        <f t="shared" si="87"/>
        <v>Southbound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05:38:49-0600',mode:absolute,to:'2016-08-26 07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72" s="54" t="str">
        <f t="shared" si="104"/>
        <v>N</v>
      </c>
      <c r="X172" s="120">
        <f t="shared" si="107"/>
        <v>1</v>
      </c>
      <c r="Y172" s="69">
        <f t="shared" si="99"/>
        <v>5.8681000000000001</v>
      </c>
      <c r="Z172" s="69">
        <f t="shared" si="100"/>
        <v>7.9899999999999999E-2</v>
      </c>
      <c r="AA172" s="69">
        <f t="shared" si="89"/>
        <v>5.7881999999999998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90"/>
        <v>0804-26</v>
      </c>
      <c r="AE17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72" s="96" t="str">
        <f t="shared" si="68"/>
        <v>"C:\Program Files (x86)\AstroGrep\AstroGrep.exe" /spath="%USERPROFILE%\AppData\Local\Temp\OnboardLogs" /stypes="*4012*20160826*" /stext=" 12:.+((SYSTEM_STATE.+slice.+state.+changed )|(ment ac)|(system.+state.+changed )|(\|lc)|(penalty)|(\[timeout)|(PRM\|1\|D)|(kpr)|(kdp))" /e /r /s</v>
      </c>
      <c r="AG172" s="1" t="str">
        <f t="shared" si="91"/>
        <v>NW</v>
      </c>
      <c r="AH172" s="100" t="str">
        <f t="shared" si="69"/>
        <v>"%USERPROFILE%\Documents\GitHub\eaglep3\Utilities\RefineRTDCRunTimes.py" --tripid 804-26 --locoid 4012 --swversion DE.1.0.7.0 --startMP 300:58681 --initTime 2016-08-26T06:38:49 --startdatetime 2016-08-26T06:40:03 --delay 1 --endMP 204:799 --enddatetime 2016-08-26T06:57:57 --enforcementcount 0 &gt;&gt;C:\Users\stu\Documents\GitHub\eaglep3-reporting\EC\2016-08-26-refined-times.txt</v>
      </c>
      <c r="AI17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{"issue":{"subject":"","project_id":79,"tracker_id":40,"status_id":1,"priority_id":2,"assigned_to_id":23,"start_date":"2016-08-26","description":"","custom_fields":[{"id":1,"name":"Subdivision","value":"NW"},{"id":4,"name":"Milepost","value":"5.7882"},{"id":17,"name":"Train ID","value":"804-26"},{"id":16,"name":"Locomotive ID","value":"4012"},{"id":130,"name":"Impact","value":""},{"id":150,"name":"Time of Event (Mountain Time)","value":"06:57:57"},{"id":151,"name":"Denver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387</v>
      </c>
      <c r="B173" s="7">
        <v>4020</v>
      </c>
      <c r="C173" s="24" t="s">
        <v>113</v>
      </c>
      <c r="D173" s="24" t="s">
        <v>696</v>
      </c>
      <c r="E173" s="15">
        <v>42608.279907407406</v>
      </c>
      <c r="F173" s="15">
        <v>42608.281481481485</v>
      </c>
      <c r="G173" s="7">
        <v>2</v>
      </c>
      <c r="H173" s="15" t="s">
        <v>697</v>
      </c>
      <c r="I173" s="15">
        <v>42608.297858796293</v>
      </c>
      <c r="J173" s="7">
        <v>0</v>
      </c>
      <c r="K173" s="132" t="str">
        <f t="shared" si="84"/>
        <v>4019/4020</v>
      </c>
      <c r="L173" s="24" t="str">
        <f>VLOOKUP(A173,'Trips&amp;Operators'!$C$1:$E$10000,3,FALSE)</f>
        <v>STRICKLAND</v>
      </c>
      <c r="M173" s="6">
        <f t="shared" si="85"/>
        <v>1.6377314808778465E-2</v>
      </c>
      <c r="N173" s="7">
        <f t="shared" si="102"/>
        <v>23.583333324640989</v>
      </c>
      <c r="O173" s="7"/>
      <c r="P173" s="7"/>
      <c r="Q173" s="25"/>
      <c r="R173" s="25"/>
      <c r="S173" s="37">
        <f t="shared" si="101"/>
        <v>1</v>
      </c>
      <c r="T173" s="52" t="str">
        <f t="shared" si="87"/>
        <v>NorthBound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05:43:04-0600',mode:absolute,to:'2016-08-26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104"/>
        <v>N</v>
      </c>
      <c r="X173" s="120">
        <f t="shared" si="107"/>
        <v>1</v>
      </c>
      <c r="Y173" s="69">
        <f t="shared" si="99"/>
        <v>0.1016</v>
      </c>
      <c r="Z173" s="69">
        <f t="shared" si="100"/>
        <v>5.8936999999999999</v>
      </c>
      <c r="AA173" s="69">
        <f t="shared" si="89"/>
        <v>5.7920999999999996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90"/>
        <v>0805-26</v>
      </c>
      <c r="AE173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73" s="96" t="str">
        <f t="shared" si="68"/>
        <v>"C:\Program Files (x86)\AstroGrep\AstroGrep.exe" /spath="%USERPROFILE%\AppData\Local\Temp\OnboardLogs" /stypes="*4020*20160826*" /stext=" 13:.+((SYSTEM_STATE.+slice.+state.+changed )|(ment ac)|(system.+state.+changed )|(\|lc)|(penalty)|(\[timeout)|(PRM\|1\|D)|(kpr)|(kdp))" /e /r /s</v>
      </c>
      <c r="AG173" s="1" t="str">
        <f t="shared" si="91"/>
        <v>NW</v>
      </c>
      <c r="AH173" s="100" t="str">
        <f t="shared" si="69"/>
        <v>"%USERPROFILE%\Documents\GitHub\eaglep3\Utilities\RefineRTDCRunTimes.py" --tripid 805-26 --locoid 4020 --swversion DE.1.0.7.0 --startMP 204:1016 --initTime 2016-08-26T06:43:04 --startdatetime 2016-08-26T06:45:20 --delay 2 --endMP 300:58937 --enddatetime 2016-08-26T07:08:55 --enforcementcount 0 &gt;&gt;C:\Users\stu\Documents\GitHub\eaglep3-reporting\EC\2016-08-26-refined-times.txt</v>
      </c>
      <c r="AI17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{"issue":{"subject":"","project_id":79,"tracker_id":40,"status_id":1,"priority_id":2,"assigned_to_id":23,"start_date":"2016-08-26","description":"","custom_fields":[{"id":1,"name":"Subdivision","value":"NW"},{"id":4,"name":"Milepost","value":"5.7921"},{"id":17,"name":"Train ID","value":"805-26"},{"id":16,"name":"Locomotive ID","value":"4020"},{"id":130,"name":"Impact","value":""},{"id":150,"name":"Time of Event (Mountain Time)","value":"07:08:55"},{"id":151,"name":"Denver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392</v>
      </c>
      <c r="B174" s="7">
        <v>4019</v>
      </c>
      <c r="C174" s="24" t="s">
        <v>113</v>
      </c>
      <c r="D174" s="24" t="s">
        <v>698</v>
      </c>
      <c r="E174" s="15">
        <v>42608.298344907409</v>
      </c>
      <c r="F174" s="15">
        <v>42608.29923611111</v>
      </c>
      <c r="G174" s="7">
        <v>1</v>
      </c>
      <c r="H174" s="15" t="s">
        <v>699</v>
      </c>
      <c r="I174" s="15">
        <v>42608.310208333336</v>
      </c>
      <c r="J174" s="7">
        <v>0</v>
      </c>
      <c r="K174" s="132" t="str">
        <f t="shared" si="84"/>
        <v>4019/4020</v>
      </c>
      <c r="L174" s="24" t="str">
        <f>VLOOKUP(A174,'Trips&amp;Operators'!$C$1:$E$10000,3,FALSE)</f>
        <v>STRICKLAND</v>
      </c>
      <c r="M174" s="6">
        <f t="shared" si="85"/>
        <v>1.0972222225973383E-2</v>
      </c>
      <c r="N174" s="7">
        <f t="shared" si="102"/>
        <v>15.800000005401671</v>
      </c>
      <c r="O174" s="7"/>
      <c r="P174" s="7"/>
      <c r="Q174" s="25"/>
      <c r="R174" s="25"/>
      <c r="S174" s="37">
        <f t="shared" si="101"/>
        <v>1</v>
      </c>
      <c r="T174" s="52" t="str">
        <f t="shared" si="87"/>
        <v>Southbound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06:09:37-0600',mode:absolute,to:'2016-08-26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104"/>
        <v>N</v>
      </c>
      <c r="X174" s="120">
        <f t="shared" si="107"/>
        <v>1</v>
      </c>
      <c r="Y174" s="69">
        <f t="shared" si="99"/>
        <v>5.8620999999999999</v>
      </c>
      <c r="Z174" s="69">
        <f t="shared" si="100"/>
        <v>6.9800000000000001E-2</v>
      </c>
      <c r="AA174" s="69">
        <f t="shared" si="89"/>
        <v>5.7923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90"/>
        <v>0806-26</v>
      </c>
      <c r="AE174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4" s="96" t="str">
        <f t="shared" si="68"/>
        <v>"C:\Program Files (x86)\AstroGrep\AstroGrep.exe" /spath="%USERPROFILE%\AppData\Local\Temp\OnboardLogs" /stypes="*4019*20160826*" /stext=" 13:.+((SYSTEM_STATE.+slice.+state.+changed )|(ment ac)|(system.+state.+changed )|(\|lc)|(penalty)|(\[timeout)|(PRM\|1\|D)|(kpr)|(kdp))" /e /r /s</v>
      </c>
      <c r="AG174" s="1" t="str">
        <f t="shared" si="91"/>
        <v>NW</v>
      </c>
      <c r="AH174" s="100" t="str">
        <f t="shared" si="69"/>
        <v>"%USERPROFILE%\Documents\GitHub\eaglep3\Utilities\RefineRTDCRunTimes.py" --tripid 806-26 --locoid 4019 --swversion DE.1.0.7.0 --startMP 300:58621 --initTime 2016-08-26T07:09:37 --startdatetime 2016-08-26T07:10:54 --delay 1 --endMP 204:698 --enddatetime 2016-08-26T07:26:42 --enforcementcount 0 &gt;&gt;C:\Users\stu\Documents\GitHub\eaglep3-reporting\EC\2016-08-26-refined-times.txt</v>
      </c>
      <c r="AI17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{"issue":{"subject":"","project_id":79,"tracker_id":40,"status_id":1,"priority_id":2,"assigned_to_id":23,"start_date":"2016-08-26","description":"","custom_fields":[{"id":1,"name":"Subdivision","value":"NW"},{"id":4,"name":"Milepost","value":"5.7923"},{"id":17,"name":"Train ID","value":"806-26"},{"id":16,"name":"Locomotive ID","value":"4019"},{"id":130,"name":"Impact","value":""},{"id":150,"name":"Time of Event (Mountain Time)","value":"07:26:42"},{"id":151,"name":"Denver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390</v>
      </c>
      <c r="B175" s="7">
        <v>4011</v>
      </c>
      <c r="C175" s="24" t="s">
        <v>113</v>
      </c>
      <c r="D175" s="24" t="s">
        <v>700</v>
      </c>
      <c r="E175" s="15">
        <v>42608.291527777779</v>
      </c>
      <c r="F175" s="15">
        <v>42608.292442129627</v>
      </c>
      <c r="G175" s="7">
        <v>1</v>
      </c>
      <c r="H175" s="15" t="s">
        <v>701</v>
      </c>
      <c r="I175" s="15">
        <v>42608.318761574075</v>
      </c>
      <c r="J175" s="7">
        <v>0</v>
      </c>
      <c r="K175" s="132" t="str">
        <f t="shared" si="84"/>
        <v>4011/4012</v>
      </c>
      <c r="L175" s="24" t="str">
        <f>VLOOKUP(A175,'Trips&amp;Operators'!$C$1:$E$10000,3,FALSE)</f>
        <v>MAHAN</v>
      </c>
      <c r="M175" s="6">
        <f t="shared" si="85"/>
        <v>2.6319444448745344E-2</v>
      </c>
      <c r="N175" s="7">
        <f t="shared" si="102"/>
        <v>37.900000006193295</v>
      </c>
      <c r="O175" s="7"/>
      <c r="P175" s="7"/>
      <c r="Q175" s="25"/>
      <c r="R175" s="25"/>
      <c r="S175" s="37">
        <f t="shared" si="101"/>
        <v>1</v>
      </c>
      <c r="T175" s="52" t="str">
        <f t="shared" si="87"/>
        <v>NorthBound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5" s="54" t="str">
        <f t="shared" si="104"/>
        <v>N</v>
      </c>
      <c r="X175" s="120">
        <f t="shared" si="107"/>
        <v>1</v>
      </c>
      <c r="Y175" s="69">
        <f t="shared" si="99"/>
        <v>0.10929999999999999</v>
      </c>
      <c r="Z175" s="69">
        <f t="shared" si="100"/>
        <v>5.8994999999999997</v>
      </c>
      <c r="AA175" s="69">
        <f t="shared" si="89"/>
        <v>5.7901999999999996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90"/>
        <v>0807-26</v>
      </c>
      <c r="AE175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5" s="96" t="str">
        <f t="shared" si="68"/>
        <v>"C:\Program Files (x86)\AstroGrep\AstroGrep.exe" /spath="%USERPROFILE%\AppData\Local\Temp\OnboardLogs" /stypes="*4011*20160826*" /stext=" 13:.+((SYSTEM_STATE.+slice.+state.+changed )|(ment ac)|(system.+state.+changed )|(\|lc)|(penalty)|(\[timeout)|(PRM\|1\|D)|(kpr)|(kdp))" /e /r /s</v>
      </c>
      <c r="AG175" s="1" t="str">
        <f t="shared" si="91"/>
        <v>NW</v>
      </c>
      <c r="AH175" s="100" t="str">
        <f t="shared" si="69"/>
        <v>"%USERPROFILE%\Documents\GitHub\eaglep3\Utilities\RefineRTDCRunTimes.py" --tripid 807-26 --locoid 4011 --swversion DE.1.0.7.0 --startMP 204:1093 --initTime 2016-08-26T06:59:48 --startdatetime 2016-08-26T07:01:07 --delay 1 --endMP 300:58995 --enddatetime 2016-08-26T07:39:01 --enforcementcount 0 &gt;&gt;C:\Users\stu\Documents\GitHub\eaglep3-reporting\EC\2016-08-26-refined-times.txt</v>
      </c>
      <c r="AI17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{"issue":{"subject":"","project_id":79,"tracker_id":40,"status_id":1,"priority_id":2,"assigned_to_id":23,"start_date":"2016-08-26","description":"","custom_fields":[{"id":1,"name":"Subdivision","value":"NW"},{"id":4,"name":"Milepost","value":"5.7902"},{"id":17,"name":"Train ID","value":"807-26"},{"id":16,"name":"Locomotive ID","value":"4011"},{"id":130,"name":"Impact","value":""},{"id":150,"name":"Time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767</v>
      </c>
      <c r="B176" s="7">
        <v>4012</v>
      </c>
      <c r="C176" s="24" t="s">
        <v>113</v>
      </c>
      <c r="D176" s="24" t="s">
        <v>700</v>
      </c>
      <c r="E176" s="15">
        <v>42608.291527777779</v>
      </c>
      <c r="F176" s="15">
        <v>42608.292442129627</v>
      </c>
      <c r="G176" s="7">
        <v>1</v>
      </c>
      <c r="H176" s="15" t="s">
        <v>701</v>
      </c>
      <c r="I176" s="15">
        <v>42608.318761574075</v>
      </c>
      <c r="J176" s="7">
        <v>0</v>
      </c>
      <c r="K176" s="132" t="str">
        <f t="shared" si="84"/>
        <v>4011/4012</v>
      </c>
      <c r="L176" s="24" t="e">
        <f>VLOOKUP(A176,'Trips&amp;Operators'!$C$1:$E$10000,3,FALSE)</f>
        <v>#N/A</v>
      </c>
      <c r="M176" s="6">
        <f t="shared" si="85"/>
        <v>2.6319444448745344E-2</v>
      </c>
      <c r="N176" s="7"/>
      <c r="O176" s="7"/>
      <c r="P176" s="7">
        <f>24*60*SUM($M176:$M176)</f>
        <v>37.900000006193295</v>
      </c>
      <c r="Q176" s="25"/>
      <c r="R176" s="25" t="s">
        <v>348</v>
      </c>
      <c r="S176" s="37">
        <f t="shared" si="101"/>
        <v>0</v>
      </c>
      <c r="T176" s="52" t="str">
        <f t="shared" si="87"/>
        <v>Southbound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76" s="54" t="str">
        <f t="shared" si="104"/>
        <v>N</v>
      </c>
      <c r="X176" s="120">
        <f t="shared" ref="X176:X179" si="108">VALUE(LEFT(AD176,4))-VALUE(LEFT(AD175,4))</f>
        <v>1</v>
      </c>
      <c r="Y176" s="69">
        <f t="shared" si="99"/>
        <v>0.10929999999999999</v>
      </c>
      <c r="Z176" s="69">
        <f t="shared" si="100"/>
        <v>5.8994999999999997</v>
      </c>
      <c r="AA176" s="69">
        <f t="shared" si="89"/>
        <v>5.7901999999999996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90"/>
        <v>0808-26</v>
      </c>
      <c r="AE176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76" s="96" t="str">
        <f t="shared" si="68"/>
        <v>"C:\Program Files (x86)\AstroGrep\AstroGrep.exe" /spath="%USERPROFILE%\AppData\Local\Temp\OnboardLogs" /stypes="*4012*20160826*" /stext=" 13:.+((SYSTEM_STATE.+slice.+state.+changed )|(ment ac)|(system.+state.+changed )|(\|lc)|(penalty)|(\[timeout)|(PRM\|1\|D)|(kpr)|(kdp))" /e /r /s</v>
      </c>
      <c r="AG176" s="1" t="str">
        <f t="shared" si="91"/>
        <v>NW</v>
      </c>
      <c r="AH176" s="100" t="str">
        <f t="shared" ref="AH176" si="109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808-26 --locoid 4012 --swversion DE.1.0.7.0 --startMP 204:1093 --initTime 2016-08-26T06:59:48 --startdatetime 2016-08-26T07:01:07 --delay 1 --endMP 300:58995 --enddatetime 2016-08-26T07:39:01 --enforcementcount 0 &gt;&gt;C:\Users\stu\Documents\GitHub\eaglep3-reporting\EC\2016-08-26-refined-times.txt</v>
      </c>
      <c r="AI176" s="149" t="str">
        <f t="shared" ref="AI176" si="110"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AA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initialize","project_id":79,"tracker_id":40,"status_id":1,"priority_id":2,"assigned_to_id":23,"start_date":"2016-08-26","description":"","custom_fields":[{"id":1,"name":"Subdivision","value":"NW"},{"id":4,"name":"Milepost","value":"5.7902"},{"id":17,"name":"Train ID","value":"808-26"},{"id":16,"name":"Locomotive ID","value":"4012"},{"id":130,"name":"Impact","value":""},{"id":150,"name":"Time of Event (Mountain Time)","value":"07:39:01"},{"id":151,"name":"Denver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400</v>
      </c>
      <c r="B177" s="7">
        <v>4020</v>
      </c>
      <c r="C177" s="24" t="s">
        <v>113</v>
      </c>
      <c r="D177" s="24" t="s">
        <v>702</v>
      </c>
      <c r="E177" s="15">
        <v>42608.31894675926</v>
      </c>
      <c r="F177" s="15">
        <v>42608.320254629631</v>
      </c>
      <c r="G177" s="7">
        <v>1</v>
      </c>
      <c r="H177" s="15" t="s">
        <v>195</v>
      </c>
      <c r="I177" s="15">
        <v>42608.338923611111</v>
      </c>
      <c r="J177" s="7">
        <v>0</v>
      </c>
      <c r="K177" s="132" t="str">
        <f t="shared" si="84"/>
        <v>4019/4020</v>
      </c>
      <c r="L177" s="24" t="str">
        <f>VLOOKUP(A177,'Trips&amp;Operators'!$C$1:$E$10000,3,FALSE)</f>
        <v>STRICKLAND</v>
      </c>
      <c r="M177" s="6">
        <f t="shared" si="85"/>
        <v>1.8668981480004732E-2</v>
      </c>
      <c r="N177" s="7">
        <f t="shared" ref="N177:N208" si="111">24*60*SUM($M177:$M177)</f>
        <v>26.883333331206813</v>
      </c>
      <c r="O177" s="7"/>
      <c r="P177" s="7"/>
      <c r="Q177" s="25"/>
      <c r="R177" s="25"/>
      <c r="S177" s="37">
        <f t="shared" si="101"/>
        <v>1</v>
      </c>
      <c r="T177" s="52" t="str">
        <f t="shared" si="87"/>
        <v>NorthBound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77" s="54" t="str">
        <f t="shared" si="104"/>
        <v>N</v>
      </c>
      <c r="X177" s="120">
        <f t="shared" si="108"/>
        <v>1</v>
      </c>
      <c r="Y177" s="69">
        <f t="shared" si="99"/>
        <v>9.9500000000000005E-2</v>
      </c>
      <c r="Z177" s="69">
        <f t="shared" si="100"/>
        <v>5.8928000000000003</v>
      </c>
      <c r="AA177" s="69">
        <f t="shared" si="89"/>
        <v>5.7933000000000003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90"/>
        <v>0809-26</v>
      </c>
      <c r="AE177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77" s="96" t="str">
        <f t="shared" si="68"/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177" s="1" t="str">
        <f t="shared" si="91"/>
        <v>NW</v>
      </c>
      <c r="AH177" s="100" t="str">
        <f t="shared" si="69"/>
        <v>"%USERPROFILE%\Documents\GitHub\eaglep3\Utilities\RefineRTDCRunTimes.py" --tripid 809-26 --locoid 4020 --swversion DE.1.0.7.0 --startMP 204:995 --initTime 2016-08-26T07:39:17 --startdatetime 2016-08-26T07:41:10 --delay 1 --endMP 300:58928 --enddatetime 2016-08-26T08:08:03 --enforcementcount 0 &gt;&gt;C:\Users\stu\Documents\GitHub\eaglep3-reporting\EC\2016-08-26-refined-times.txt</v>
      </c>
      <c r="AI17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{"issue":{"subject":"","project_id":79,"tracker_id":40,"status_id":1,"priority_id":2,"assigned_to_id":23,"start_date":"2016-08-26","description":"","custom_fields":[{"id":1,"name":"Subdivision","value":"NW"},{"id":4,"name":"Milepost","value":"5.7933"},{"id":17,"name":"Train ID","value":"809-26"},{"id":16,"name":"Locomotive ID","value":"4020"},{"id":130,"name":"Impact","value":""},{"id":150,"name":"Time of Event (Mountain Time)","value":"08:08:03"},{"id":151,"name":"Denver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405</v>
      </c>
      <c r="B178" s="7">
        <v>4019</v>
      </c>
      <c r="C178" s="24" t="s">
        <v>113</v>
      </c>
      <c r="D178" s="24" t="s">
        <v>703</v>
      </c>
      <c r="E178" s="15">
        <v>42608.339756944442</v>
      </c>
      <c r="F178" s="15">
        <v>42608.340798611112</v>
      </c>
      <c r="G178" s="7">
        <v>1</v>
      </c>
      <c r="H178" s="15" t="s">
        <v>704</v>
      </c>
      <c r="I178" s="15">
        <v>42608.35224537037</v>
      </c>
      <c r="J178" s="7">
        <v>0</v>
      </c>
      <c r="K178" s="132" t="str">
        <f t="shared" si="84"/>
        <v>4019/4020</v>
      </c>
      <c r="L178" s="24" t="str">
        <f>VLOOKUP(A178,'Trips&amp;Operators'!$C$1:$E$10000,3,FALSE)</f>
        <v>STRICKLAND</v>
      </c>
      <c r="M178" s="6">
        <f t="shared" si="85"/>
        <v>1.1446759257523809E-2</v>
      </c>
      <c r="N178" s="7">
        <f t="shared" si="111"/>
        <v>16.483333330834284</v>
      </c>
      <c r="O178" s="7"/>
      <c r="P178" s="7"/>
      <c r="Q178" s="25"/>
      <c r="R178" s="25"/>
      <c r="S178" s="37">
        <f t="shared" si="101"/>
        <v>1</v>
      </c>
      <c r="T178" s="52" t="str">
        <f t="shared" si="87"/>
        <v>Southbound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8"/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78" s="54" t="str">
        <f t="shared" si="104"/>
        <v>N</v>
      </c>
      <c r="X178" s="120">
        <f t="shared" si="108"/>
        <v>1</v>
      </c>
      <c r="Y178" s="69">
        <f t="shared" si="99"/>
        <v>5.8604000000000003</v>
      </c>
      <c r="Z178" s="69">
        <f t="shared" si="100"/>
        <v>7.0999999999999994E-2</v>
      </c>
      <c r="AA178" s="69">
        <f t="shared" si="89"/>
        <v>5.7894000000000005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90"/>
        <v>0810-26</v>
      </c>
      <c r="AE178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78" s="96" t="str">
        <f t="shared" si="68"/>
        <v>"C:\Program Files (x86)\AstroGrep\AstroGrep.exe" /spath="%USERPROFILE%\AppData\Local\Temp\OnboardLogs" /stypes="*4019*20160826*" /stext=" 14:.+((SYSTEM_STATE.+slice.+state.+changed )|(ment ac)|(system.+state.+changed )|(\|lc)|(penalty)|(\[timeout)|(PRM\|1\|D)|(kpr)|(kdp))" /e /r /s</v>
      </c>
      <c r="AG178" s="1" t="str">
        <f t="shared" si="91"/>
        <v>NW</v>
      </c>
      <c r="AH178" s="100" t="str">
        <f t="shared" si="69"/>
        <v>"%USERPROFILE%\Documents\GitHub\eaglep3\Utilities\RefineRTDCRunTimes.py" --tripid 810-26 --locoid 4019 --swversion DE.1.0.7.0 --startMP 300:58604 --initTime 2016-08-26T08:09:15 --startdatetime 2016-08-26T08:10:45 --delay 1 --endMP 204:710 --enddatetime 2016-08-26T08:27:14 --enforcementcount 0 &gt;&gt;C:\Users\stu\Documents\GitHub\eaglep3-reporting\EC\2016-08-26-refined-times.txt</v>
      </c>
      <c r="AI17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{"issue":{"subject":"","project_id":79,"tracker_id":40,"status_id":1,"priority_id":2,"assigned_to_id":23,"start_date":"2016-08-26","description":"","custom_fields":[{"id":1,"name":"Subdivision","value":"NW"},{"id":4,"name":"Milepost","value":"5.7894"},{"id":17,"name":"Train ID","value":"810-26"},{"id":16,"name":"Locomotive ID","value":"4019"},{"id":130,"name":"Impact","value":""},{"id":150,"name":"Time of Event (Mountain Time)","value":"08:27:14"},{"id":151,"name":"Denver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407</v>
      </c>
      <c r="B179" s="7">
        <v>4011</v>
      </c>
      <c r="C179" s="24" t="s">
        <v>113</v>
      </c>
      <c r="D179" s="24" t="s">
        <v>705</v>
      </c>
      <c r="E179" s="15">
        <v>42608.345439814817</v>
      </c>
      <c r="F179" s="15">
        <v>42608.346296296295</v>
      </c>
      <c r="G179" s="7">
        <v>1</v>
      </c>
      <c r="H179" s="15" t="s">
        <v>706</v>
      </c>
      <c r="I179" s="15">
        <v>42608.359537037039</v>
      </c>
      <c r="J179" s="7">
        <v>0</v>
      </c>
      <c r="K179" s="132" t="str">
        <f t="shared" ref="K179:K210" si="112">IF(ISEVEN(B179),(B179-1)&amp;"/"&amp;B179,B179&amp;"/"&amp;(B179+1))</f>
        <v>4011/4012</v>
      </c>
      <c r="L179" s="24" t="str">
        <f>VLOOKUP(A179,'Trips&amp;Operators'!$C$1:$E$10000,3,FALSE)</f>
        <v>MAHAN</v>
      </c>
      <c r="M179" s="6">
        <f t="shared" ref="M179:M210" si="113">I179-F179</f>
        <v>1.3240740743640345E-2</v>
      </c>
      <c r="N179" s="7">
        <f t="shared" si="111"/>
        <v>19.066666670842096</v>
      </c>
      <c r="O179" s="7"/>
      <c r="P179" s="7"/>
      <c r="Q179" s="25"/>
      <c r="R179" s="25"/>
      <c r="S179" s="37">
        <f t="shared" si="101"/>
        <v>1</v>
      </c>
      <c r="T179" s="52" t="str">
        <f t="shared" ref="T179:T210" si="114">IF(ISEVEN(LEFT(AD179,4)),"Southbound","NorthBound")</f>
        <v>NorthBound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ref="V179:V210" si="115"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https://search-rtdc-monitor-bjffxe2xuh6vdkpspy63sjmuny.us-east-1.es.amazonaws.com/_plugin/kibana/#/discover/Steve-Slow-Train-Analysis-(2080s-and-2083s)?_g=(refreshInterval:(display:Off,section:0,value:0),time:(from:'2016-08-26 07:17:26-0600',mode:absolute,to:'2016-08-26 09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79" s="54" t="str">
        <f t="shared" si="104"/>
        <v>N</v>
      </c>
      <c r="X179" s="120">
        <f t="shared" si="108"/>
        <v>1</v>
      </c>
      <c r="Y179" s="69">
        <f t="shared" si="99"/>
        <v>0.11020000000000001</v>
      </c>
      <c r="Z179" s="69">
        <f t="shared" si="100"/>
        <v>5.8987999999999996</v>
      </c>
      <c r="AA179" s="69">
        <f t="shared" ref="AA179:AA210" si="116">ABS(Z179-Y179)</f>
        <v>5.7885999999999997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ref="AD179:AD210" si="117">IF(LEN(A179)=6,"0"&amp;A179,A179)</f>
        <v>0811-26</v>
      </c>
      <c r="AE179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79" s="96" t="str">
        <f t="shared" si="68"/>
        <v>"C:\Program Files (x86)\AstroGrep\AstroGrep.exe" /spath="%USERPROFILE%\AppData\Local\Temp\OnboardLogs" /stypes="*4011*20160826*" /stext=" 14:.+((SYSTEM_STATE.+slice.+state.+changed )|(ment ac)|(system.+state.+changed )|(\|lc)|(penalty)|(\[timeout)|(PRM\|1\|D)|(kpr)|(kdp))" /e /r /s</v>
      </c>
      <c r="AG179" s="1" t="str">
        <f t="shared" ref="AG179:AG210" si="118">IFERROR(IF(VALUE(LEFT(AD179,2))&lt;=2,"EC",IF(OR(VALUE(LEFT(AD179,2))=8,VALUE(LEFT(AD179,2))=18),"NW","Other")),"Other")</f>
        <v>NW</v>
      </c>
      <c r="AH179" s="100" t="str">
        <f t="shared" si="69"/>
        <v>"%USERPROFILE%\Documents\GitHub\eaglep3\Utilities\RefineRTDCRunTimes.py" --tripid 811-26 --locoid 4011 --swversion DE.1.0.7.0 --startMP 204:1102 --initTime 2016-08-26T08:17:26 --startdatetime 2016-08-26T08:18:40 --delay 1 --endMP 300:58988 --enddatetime 2016-08-26T08:37:44 --enforcementcount 0 &gt;&gt;C:\Users\stu\Documents\GitHub\eaglep3-reporting\EC\2016-08-26-refined-times.txt</v>
      </c>
      <c r="AI17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{"issue":{"subject":"","project_id":79,"tracker_id":40,"status_id":1,"priority_id":2,"assigned_to_id":23,"start_date":"2016-08-26","description":"","custom_fields":[{"id":1,"name":"Subdivision","value":"NW"},{"id":4,"name":"Milepost","value":"5.7886"},{"id":17,"name":"Train ID","value":"811-26"},{"id":16,"name":"Locomotive ID","value":"4011"},{"id":130,"name":"Impact","value":""},{"id":150,"name":"Time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412</v>
      </c>
      <c r="B180" s="7">
        <v>4012</v>
      </c>
      <c r="C180" s="24" t="s">
        <v>113</v>
      </c>
      <c r="D180" s="24" t="s">
        <v>691</v>
      </c>
      <c r="E180" s="15">
        <v>42608.360381944447</v>
      </c>
      <c r="F180" s="15">
        <v>42608.36142361111</v>
      </c>
      <c r="G180" s="7">
        <v>1</v>
      </c>
      <c r="H180" s="15" t="s">
        <v>707</v>
      </c>
      <c r="I180" s="15">
        <v>42608.373090277775</v>
      </c>
      <c r="J180" s="7">
        <v>0</v>
      </c>
      <c r="K180" s="132" t="str">
        <f t="shared" si="112"/>
        <v>4011/4012</v>
      </c>
      <c r="L180" s="24" t="str">
        <f>VLOOKUP(A180,'Trips&amp;Operators'!$C$1:$E$10000,3,FALSE)</f>
        <v>MAHAN</v>
      </c>
      <c r="M180" s="6">
        <f t="shared" si="113"/>
        <v>1.1666666665405501E-2</v>
      </c>
      <c r="N180" s="7">
        <f t="shared" si="111"/>
        <v>16.799999998183921</v>
      </c>
      <c r="O180" s="7"/>
      <c r="P180" s="7"/>
      <c r="Q180" s="25"/>
      <c r="R180" s="25"/>
      <c r="S180" s="37">
        <f t="shared" si="101"/>
        <v>1</v>
      </c>
      <c r="T180" s="52" t="str">
        <f t="shared" si="114"/>
        <v>Southbound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07:38:57-0600',mode:absolute,to:'2016-08-26 09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0" s="54" t="str">
        <f t="shared" si="104"/>
        <v>N</v>
      </c>
      <c r="X180" s="120">
        <f t="shared" ref="X180:X211" si="119">VALUE(LEFT(AD180,4))-VALUE(LEFT(AD179,4))</f>
        <v>1</v>
      </c>
      <c r="Y180" s="69">
        <f t="shared" si="99"/>
        <v>5.8667999999999996</v>
      </c>
      <c r="Z180" s="69">
        <f t="shared" si="100"/>
        <v>7.7499999999999999E-2</v>
      </c>
      <c r="AA180" s="69">
        <f t="shared" si="116"/>
        <v>5.7892999999999999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117"/>
        <v>0812-26</v>
      </c>
      <c r="AE180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0" s="96" t="str">
        <f t="shared" si="68"/>
        <v>"C:\Program Files (x86)\AstroGrep\AstroGrep.exe" /spath="%USERPROFILE%\AppData\Local\Temp\OnboardLogs" /stypes="*4012*20160826*" /stext=" 14:.+((SYSTEM_STATE.+slice.+state.+changed )|(ment ac)|(system.+state.+changed )|(\|lc)|(penalty)|(\[timeout)|(PRM\|1\|D)|(kpr)|(kdp))" /e /r /s</v>
      </c>
      <c r="AG180" s="1" t="str">
        <f t="shared" si="118"/>
        <v>NW</v>
      </c>
      <c r="AH180" s="100" t="str">
        <f t="shared" si="69"/>
        <v>"%USERPROFILE%\Documents\GitHub\eaglep3\Utilities\RefineRTDCRunTimes.py" --tripid 812-26 --locoid 4012 --swversion DE.1.0.7.0 --startMP 300:58668 --initTime 2016-08-26T08:38:57 --startdatetime 2016-08-26T08:40:27 --delay 1 --endMP 204:775 --enddatetime 2016-08-26T08:57:15 --enforcementcount 0 &gt;&gt;C:\Users\stu\Documents\GitHub\eaglep3-reporting\EC\2016-08-26-refined-times.txt</v>
      </c>
      <c r="AI18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{"issue":{"subject":"","project_id":79,"tracker_id":40,"status_id":1,"priority_id":2,"assigned_to_id":23,"start_date":"2016-08-26","description":"","custom_fields":[{"id":1,"name":"Subdivision","value":"NW"},{"id":4,"name":"Milepost","value":"5.7893"},{"id":17,"name":"Train ID","value":"812-26"},{"id":16,"name":"Locomotive ID","value":"4012"},{"id":130,"name":"Impact","value":""},{"id":150,"name":"Time of Event (Mountain Time)","value":"08:57:15"},{"id":151,"name":"Denver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417</v>
      </c>
      <c r="B181" s="7">
        <v>4011</v>
      </c>
      <c r="C181" s="24" t="s">
        <v>113</v>
      </c>
      <c r="D181" s="24" t="s">
        <v>708</v>
      </c>
      <c r="E181" s="15">
        <v>42608.387280092589</v>
      </c>
      <c r="F181" s="15">
        <v>42608.388113425928</v>
      </c>
      <c r="G181" s="7">
        <v>1</v>
      </c>
      <c r="H181" s="15" t="s">
        <v>709</v>
      </c>
      <c r="I181" s="15">
        <v>42608.400763888887</v>
      </c>
      <c r="J181" s="7">
        <v>0</v>
      </c>
      <c r="K181" s="132" t="str">
        <f t="shared" si="112"/>
        <v>4011/4012</v>
      </c>
      <c r="L181" s="24" t="str">
        <f>VLOOKUP(A181,'Trips&amp;Operators'!$C$1:$E$10000,3,FALSE)</f>
        <v>MAHAN</v>
      </c>
      <c r="M181" s="6">
        <f t="shared" si="113"/>
        <v>1.265046295884531E-2</v>
      </c>
      <c r="N181" s="7">
        <f t="shared" si="111"/>
        <v>18.216666660737246</v>
      </c>
      <c r="O181" s="7"/>
      <c r="P181" s="7"/>
      <c r="Q181" s="25"/>
      <c r="R181" s="25"/>
      <c r="S181" s="37">
        <f t="shared" si="101"/>
        <v>1</v>
      </c>
      <c r="T181" s="52" t="str">
        <f t="shared" si="114"/>
        <v>NorthBound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08:17:41-0600',mode:absolute,to:'2016-08-26 10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1" s="54" t="str">
        <f t="shared" si="104"/>
        <v>N</v>
      </c>
      <c r="X181" s="120">
        <f t="shared" si="119"/>
        <v>1</v>
      </c>
      <c r="Y181" s="69">
        <f t="shared" si="99"/>
        <v>0.1079</v>
      </c>
      <c r="Z181" s="69">
        <f t="shared" si="100"/>
        <v>5.8964999999999996</v>
      </c>
      <c r="AA181" s="69">
        <f t="shared" si="116"/>
        <v>5.7885999999999997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117"/>
        <v>0813-26</v>
      </c>
      <c r="AE18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1" s="96" t="str">
        <f t="shared" si="68"/>
        <v>"C:\Program Files (x86)\AstroGrep\AstroGrep.exe" /spath="%USERPROFILE%\AppData\Local\Temp\OnboardLogs" /stypes="*4011*20160826*" /stext=" 15:.+((SYSTEM_STATE.+slice.+state.+changed )|(ment ac)|(system.+state.+changed )|(\|lc)|(penalty)|(\[timeout)|(PRM\|1\|D)|(kpr)|(kdp))" /e /r /s</v>
      </c>
      <c r="AG181" s="1" t="str">
        <f t="shared" si="118"/>
        <v>NW</v>
      </c>
      <c r="AH181" s="100" t="str">
        <f t="shared" si="69"/>
        <v>"%USERPROFILE%\Documents\GitHub\eaglep3\Utilities\RefineRTDCRunTimes.py" --tripid 813-26 --locoid 4011 --swversion DE.1.0.7.0 --startMP 204:1079 --initTime 2016-08-26T09:17:41 --startdatetime 2016-08-26T09:18:53 --delay 1 --endMP 300:58965 --enddatetime 2016-08-26T09:37:06 --enforcementcount 0 &gt;&gt;C:\Users\stu\Documents\GitHub\eaglep3-reporting\EC\2016-08-26-refined-times.txt</v>
      </c>
      <c r="AI18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{"issue":{"subject":"","project_id":79,"tracker_id":40,"status_id":1,"priority_id":2,"assigned_to_id":23,"start_date":"2016-08-26","description":"","custom_fields":[{"id":1,"name":"Subdivision","value":"NW"},{"id":4,"name":"Milepost","value":"5.7886"},{"id":17,"name":"Train ID","value":"813-26"},{"id":16,"name":"Locomotive ID","value":"4011"},{"id":130,"name":"Impact","value":""},{"id":150,"name":"Time of Event (Mountain Time)","value":"09:37:06"},{"id":151,"name":"Denver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421</v>
      </c>
      <c r="B182" s="7">
        <v>4012</v>
      </c>
      <c r="C182" s="24" t="s">
        <v>113</v>
      </c>
      <c r="D182" s="24" t="s">
        <v>327</v>
      </c>
      <c r="E182" s="15">
        <v>42608.401770833334</v>
      </c>
      <c r="F182" s="15">
        <v>42608.402557870373</v>
      </c>
      <c r="G182" s="7">
        <v>1</v>
      </c>
      <c r="H182" s="15" t="s">
        <v>710</v>
      </c>
      <c r="I182" s="15">
        <v>42608.413437499999</v>
      </c>
      <c r="J182" s="7">
        <v>0</v>
      </c>
      <c r="K182" s="132" t="str">
        <f t="shared" si="112"/>
        <v>4011/4012</v>
      </c>
      <c r="L182" s="24" t="str">
        <f>VLOOKUP(A182,'Trips&amp;Operators'!$C$1:$E$10000,3,FALSE)</f>
        <v>MAHAN</v>
      </c>
      <c r="M182" s="6">
        <f t="shared" si="113"/>
        <v>1.0879629626288079E-2</v>
      </c>
      <c r="N182" s="7">
        <f t="shared" si="111"/>
        <v>15.666666661854833</v>
      </c>
      <c r="O182" s="7"/>
      <c r="P182" s="7"/>
      <c r="Q182" s="25"/>
      <c r="R182" s="25"/>
      <c r="S182" s="37">
        <f t="shared" si="101"/>
        <v>1</v>
      </c>
      <c r="T182" s="52" t="str">
        <f t="shared" si="114"/>
        <v>Southbound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08:38:33-0600',mode:absolute,to:'2016-08-26 10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2" s="54" t="str">
        <f t="shared" si="104"/>
        <v>N</v>
      </c>
      <c r="X182" s="120">
        <f t="shared" si="119"/>
        <v>1</v>
      </c>
      <c r="Y182" s="69">
        <f t="shared" si="99"/>
        <v>5.8648999999999996</v>
      </c>
      <c r="Z182" s="69">
        <f t="shared" si="100"/>
        <v>7.9200000000000007E-2</v>
      </c>
      <c r="AA182" s="69">
        <f t="shared" si="116"/>
        <v>5.7856999999999994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117"/>
        <v>0814-26</v>
      </c>
      <c r="AE18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2" s="96" t="str">
        <f t="shared" si="68"/>
        <v>"C:\Program Files (x86)\AstroGrep\AstroGrep.exe" /spath="%USERPROFILE%\AppData\Local\Temp\OnboardLogs" /stypes="*4012*20160826*" /stext=" 15:.+((SYSTEM_STATE.+slice.+state.+changed )|(ment ac)|(system.+state.+changed )|(\|lc)|(penalty)|(\[timeout)|(PRM\|1\|D)|(kpr)|(kdp))" /e /r /s</v>
      </c>
      <c r="AG182" s="1" t="str">
        <f t="shared" si="118"/>
        <v>NW</v>
      </c>
      <c r="AH182" s="100" t="str">
        <f t="shared" si="69"/>
        <v>"%USERPROFILE%\Documents\GitHub\eaglep3\Utilities\RefineRTDCRunTimes.py" --tripid 814-26 --locoid 4012 --swversion DE.1.0.7.0 --startMP 300:58649 --initTime 2016-08-26T09:38:33 --startdatetime 2016-08-26T09:39:41 --delay 1 --endMP 204:792 --enddatetime 2016-08-26T09:55:21 --enforcementcount 0 &gt;&gt;C:\Users\stu\Documents\GitHub\eaglep3-reporting\EC\2016-08-26-refined-times.txt</v>
      </c>
      <c r="AI18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{"issue":{"subject":"","project_id":79,"tracker_id":40,"status_id":1,"priority_id":2,"assigned_to_id":23,"start_date":"2016-08-26","description":"","custom_fields":[{"id":1,"name":"Subdivision","value":"NW"},{"id":4,"name":"Milepost","value":"5.7857"},{"id":17,"name":"Train ID","value":"814-26"},{"id":16,"name":"Locomotive ID","value":"4012"},{"id":130,"name":"Impact","value":""},{"id":150,"name":"Time of Event (Mountain Time)","value":"09:55:21"},{"id":151,"name":"Denver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428</v>
      </c>
      <c r="B183" s="7">
        <v>4011</v>
      </c>
      <c r="C183" s="24" t="s">
        <v>113</v>
      </c>
      <c r="D183" s="24" t="s">
        <v>711</v>
      </c>
      <c r="E183" s="15">
        <v>42608.428472222222</v>
      </c>
      <c r="F183" s="15">
        <v>42608.4294212963</v>
      </c>
      <c r="G183" s="7">
        <v>1</v>
      </c>
      <c r="H183" s="15" t="s">
        <v>331</v>
      </c>
      <c r="I183" s="15">
        <v>42608.442060185182</v>
      </c>
      <c r="J183" s="7">
        <v>0</v>
      </c>
      <c r="K183" s="132" t="str">
        <f t="shared" si="112"/>
        <v>4011/4012</v>
      </c>
      <c r="L183" s="24" t="str">
        <f>VLOOKUP(A183,'Trips&amp;Operators'!$C$1:$E$10000,3,FALSE)</f>
        <v>MAHAN</v>
      </c>
      <c r="M183" s="6">
        <f t="shared" si="113"/>
        <v>1.2638888882065658E-2</v>
      </c>
      <c r="N183" s="7">
        <f t="shared" si="111"/>
        <v>18.199999990174547</v>
      </c>
      <c r="O183" s="7"/>
      <c r="P183" s="7"/>
      <c r="Q183" s="25"/>
      <c r="R183" s="25"/>
      <c r="S183" s="37">
        <f t="shared" si="101"/>
        <v>1</v>
      </c>
      <c r="T183" s="52" t="str">
        <f t="shared" si="114"/>
        <v>NorthBound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09:17:00-0600',mode:absolute,to:'2016-08-26 11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3" s="54" t="str">
        <f t="shared" si="104"/>
        <v>N</v>
      </c>
      <c r="X183" s="120">
        <f t="shared" si="119"/>
        <v>1</v>
      </c>
      <c r="Y183" s="69">
        <f t="shared" si="99"/>
        <v>0.1095</v>
      </c>
      <c r="Z183" s="69">
        <f t="shared" si="100"/>
        <v>5.8986000000000001</v>
      </c>
      <c r="AA183" s="69">
        <f t="shared" si="116"/>
        <v>5.7891000000000004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117"/>
        <v>0815-26</v>
      </c>
      <c r="AE183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3" s="96" t="str">
        <f t="shared" si="68"/>
        <v>"C:\Program Files (x86)\AstroGrep\AstroGrep.exe" /spath="%USERPROFILE%\AppData\Local\Temp\OnboardLogs" /stypes="*4011*20160826*" /stext=" 16:.+((SYSTEM_STATE.+slice.+state.+changed )|(ment ac)|(system.+state.+changed )|(\|lc)|(penalty)|(\[timeout)|(PRM\|1\|D)|(kpr)|(kdp))" /e /r /s</v>
      </c>
      <c r="AG183" s="1" t="str">
        <f t="shared" si="118"/>
        <v>NW</v>
      </c>
      <c r="AH183" s="100" t="str">
        <f t="shared" si="69"/>
        <v>"%USERPROFILE%\Documents\GitHub\eaglep3\Utilities\RefineRTDCRunTimes.py" --tripid 815-26 --locoid 4011 --swversion DE.1.0.7.0 --startMP 204:1095 --initTime 2016-08-26T10:17:00 --startdatetime 2016-08-26T10:18:22 --delay 1 --endMP 300:58986 --enddatetime 2016-08-26T10:36:34 --enforcementcount 0 &gt;&gt;C:\Users\stu\Documents\GitHub\eaglep3-reporting\EC\2016-08-26-refined-times.txt</v>
      </c>
      <c r="AI18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{"issue":{"subject":"","project_id":79,"tracker_id":40,"status_id":1,"priority_id":2,"assigned_to_id":23,"start_date":"2016-08-26","description":"","custom_fields":[{"id":1,"name":"Subdivision","value":"NW"},{"id":4,"name":"Milepost","value":"5.7891"},{"id":17,"name":"Train ID","value":"815-26"},{"id":16,"name":"Locomotive ID","value":"4011"},{"id":130,"name":"Impact","value":""},{"id":150,"name":"Time of Event (Mountain Time)","value":"10:36:34"},{"id":151,"name":"Denver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433</v>
      </c>
      <c r="B184" s="7">
        <v>4012</v>
      </c>
      <c r="C184" s="24" t="s">
        <v>113</v>
      </c>
      <c r="D184" s="24" t="s">
        <v>228</v>
      </c>
      <c r="E184" s="15">
        <v>42608.443402777775</v>
      </c>
      <c r="F184" s="15">
        <v>42608.444166666668</v>
      </c>
      <c r="G184" s="7">
        <v>1</v>
      </c>
      <c r="H184" s="15" t="s">
        <v>712</v>
      </c>
      <c r="I184" s="15">
        <v>42608.457638888889</v>
      </c>
      <c r="J184" s="7">
        <v>0</v>
      </c>
      <c r="K184" s="132" t="str">
        <f t="shared" si="112"/>
        <v>4011/4012</v>
      </c>
      <c r="L184" s="24" t="str">
        <f>VLOOKUP(A184,'Trips&amp;Operators'!$C$1:$E$10000,3,FALSE)</f>
        <v>MAHAN</v>
      </c>
      <c r="M184" s="6">
        <f t="shared" si="113"/>
        <v>1.3472222221025731E-2</v>
      </c>
      <c r="N184" s="7">
        <f t="shared" si="111"/>
        <v>19.399999998277053</v>
      </c>
      <c r="O184" s="7"/>
      <c r="P184" s="7"/>
      <c r="Q184" s="25"/>
      <c r="R184" s="25"/>
      <c r="S184" s="37">
        <f t="shared" si="101"/>
        <v>1</v>
      </c>
      <c r="T184" s="52" t="str">
        <f t="shared" si="114"/>
        <v>Southbound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4" s="54" t="str">
        <f t="shared" si="104"/>
        <v>N</v>
      </c>
      <c r="X184" s="120">
        <f t="shared" si="119"/>
        <v>1</v>
      </c>
      <c r="Y184" s="69">
        <f t="shared" si="99"/>
        <v>5.8678999999999997</v>
      </c>
      <c r="Z184" s="69">
        <f t="shared" si="100"/>
        <v>8.5500000000000007E-2</v>
      </c>
      <c r="AA184" s="69">
        <f t="shared" si="116"/>
        <v>5.7824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117"/>
        <v>0816-26</v>
      </c>
      <c r="AE184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4" s="96" t="str">
        <f t="shared" si="68"/>
        <v>"C:\Program Files (x86)\AstroGrep\AstroGrep.exe" /spath="%USERPROFILE%\AppData\Local\Temp\OnboardLogs" /stypes="*4012*20160826*" /stext=" 16:.+((SYSTEM_STATE.+slice.+state.+changed )|(ment ac)|(system.+state.+changed )|(\|lc)|(penalty)|(\[timeout)|(PRM\|1\|D)|(kpr)|(kdp))" /e /r /s</v>
      </c>
      <c r="AG184" s="1" t="str">
        <f t="shared" si="118"/>
        <v>NW</v>
      </c>
      <c r="AH184" s="100" t="str">
        <f t="shared" si="69"/>
        <v>"%USERPROFILE%\Documents\GitHub\eaglep3\Utilities\RefineRTDCRunTimes.py" --tripid 816-26 --locoid 4012 --swversion DE.1.0.7.0 --startMP 300:58679 --initTime 2016-08-26T10:38:30 --startdatetime 2016-08-26T10:39:36 --delay 1 --endMP 204:855 --enddatetime 2016-08-26T10:59:00 --enforcementcount 0 &gt;&gt;C:\Users\stu\Documents\GitHub\eaglep3-reporting\EC\2016-08-26-refined-times.txt</v>
      </c>
      <c r="AI18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{"issue":{"subject":"","project_id":79,"tracker_id":40,"status_id":1,"priority_id":2,"assigned_to_id":23,"start_date":"2016-08-26","description":"","custom_fields":[{"id":1,"name":"Subdivision","value":"NW"},{"id":4,"name":"Milepost","value":"5.7824"},{"id":17,"name":"Train ID","value":"816-26"},{"id":16,"name":"Locomotive ID","value":"4012"},{"id":130,"name":"Impact","value":""},{"id":150,"name":"Time of Event (Mountain Time)","value":"10:59:00"},{"id":151,"name":"Denver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438</v>
      </c>
      <c r="B185" s="7">
        <v>4011</v>
      </c>
      <c r="C185" s="24" t="s">
        <v>113</v>
      </c>
      <c r="D185" s="24" t="s">
        <v>324</v>
      </c>
      <c r="E185" s="15">
        <v>42608.464016203703</v>
      </c>
      <c r="F185" s="15">
        <v>42608.465219907404</v>
      </c>
      <c r="G185" s="7">
        <v>1</v>
      </c>
      <c r="H185" s="15" t="s">
        <v>331</v>
      </c>
      <c r="I185" s="15">
        <v>42608.483831018515</v>
      </c>
      <c r="J185" s="7">
        <v>0</v>
      </c>
      <c r="K185" s="132" t="str">
        <f t="shared" si="112"/>
        <v>4011/4012</v>
      </c>
      <c r="L185" s="24" t="str">
        <f>VLOOKUP(A185,'Trips&amp;Operators'!$C$1:$E$10000,3,FALSE)</f>
        <v>MAHAN</v>
      </c>
      <c r="M185" s="6">
        <f t="shared" si="113"/>
        <v>1.8611111110658385E-2</v>
      </c>
      <c r="N185" s="7">
        <f t="shared" si="111"/>
        <v>26.799999999348074</v>
      </c>
      <c r="O185" s="7"/>
      <c r="P185" s="7"/>
      <c r="Q185" s="25"/>
      <c r="R185" s="25"/>
      <c r="S185" s="37">
        <f t="shared" si="101"/>
        <v>1</v>
      </c>
      <c r="T185" s="52" t="str">
        <f t="shared" si="114"/>
        <v>NorthBound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10:08:11-0600',mode:absolute,to:'2016-08-26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5" s="54" t="str">
        <f t="shared" si="104"/>
        <v>N</v>
      </c>
      <c r="X185" s="120">
        <f t="shared" si="119"/>
        <v>1</v>
      </c>
      <c r="Y185" s="69">
        <f t="shared" ref="Y185:Y216" si="120">RIGHT(D185,LEN(D185)-4)/10000</f>
        <v>0.1132</v>
      </c>
      <c r="Z185" s="69">
        <f t="shared" ref="Z185:Z216" si="121">RIGHT(H185,LEN(H185)-4)/10000</f>
        <v>5.8986000000000001</v>
      </c>
      <c r="AA185" s="69">
        <f t="shared" si="116"/>
        <v>5.7854000000000001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117"/>
        <v>0817-26</v>
      </c>
      <c r="AE185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5" s="96" t="str">
        <f t="shared" si="68"/>
        <v>"C:\Program Files (x86)\AstroGrep\AstroGrep.exe" /spath="%USERPROFILE%\AppData\Local\Temp\OnboardLogs" /stypes="*4011*20160826*" /stext=" 17:.+((SYSTEM_STATE.+slice.+state.+changed )|(ment ac)|(system.+state.+changed )|(\|lc)|(penalty)|(\[timeout)|(PRM\|1\|D)|(kpr)|(kdp))" /e /r /s</v>
      </c>
      <c r="AG185" s="1" t="str">
        <f t="shared" si="118"/>
        <v>NW</v>
      </c>
      <c r="AH185" s="100" t="str">
        <f t="shared" si="69"/>
        <v>"%USERPROFILE%\Documents\GitHub\eaglep3\Utilities\RefineRTDCRunTimes.py" --tripid 817-26 --locoid 4011 --swversion DE.1.0.7.0 --startMP 204:1132 --initTime 2016-08-26T11:08:11 --startdatetime 2016-08-26T11:09:55 --delay 1 --endMP 300:58986 --enddatetime 2016-08-26T11:36:43 --enforcementcount 0 &gt;&gt;C:\Users\stu\Documents\GitHub\eaglep3-reporting\EC\2016-08-26-refined-times.txt</v>
      </c>
      <c r="AI18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{"issue":{"subject":"","project_id":79,"tracker_id":40,"status_id":1,"priority_id":2,"assigned_to_id":23,"start_date":"2016-08-26","description":"","custom_fields":[{"id":1,"name":"Subdivision","value":"NW"},{"id":4,"name":"Milepost","value":"5.7854"},{"id":17,"name":"Train ID","value":"817-26"},{"id":16,"name":"Locomotive ID","value":"4011"},{"id":130,"name":"Impact","value":""},{"id":150,"name":"Time of Event (Mountain Time)","value":"11:36:43"},{"id":151,"name":"Denver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443</v>
      </c>
      <c r="B186" s="7">
        <v>4012</v>
      </c>
      <c r="C186" s="24" t="s">
        <v>113</v>
      </c>
      <c r="D186" s="24" t="s">
        <v>713</v>
      </c>
      <c r="E186" s="15">
        <v>42608.485023148147</v>
      </c>
      <c r="F186" s="15">
        <v>42608.485960648148</v>
      </c>
      <c r="G186" s="7">
        <v>1</v>
      </c>
      <c r="H186" s="15" t="s">
        <v>714</v>
      </c>
      <c r="I186" s="15">
        <v>42608.497453703705</v>
      </c>
      <c r="J186" s="7">
        <v>0</v>
      </c>
      <c r="K186" s="132" t="str">
        <f t="shared" si="112"/>
        <v>4011/4012</v>
      </c>
      <c r="L186" s="24" t="str">
        <f>VLOOKUP(A186,'Trips&amp;Operators'!$C$1:$E$10000,3,FALSE)</f>
        <v>MAHAN</v>
      </c>
      <c r="M186" s="6">
        <f t="shared" si="113"/>
        <v>1.1493055557366461E-2</v>
      </c>
      <c r="N186" s="7">
        <f t="shared" si="111"/>
        <v>16.550000002607703</v>
      </c>
      <c r="O186" s="7"/>
      <c r="P186" s="7"/>
      <c r="Q186" s="25"/>
      <c r="R186" s="25"/>
      <c r="S186" s="37">
        <f t="shared" si="101"/>
        <v>1</v>
      </c>
      <c r="T186" s="52" t="str">
        <f t="shared" si="114"/>
        <v>Southbound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10:38:26-0600',mode:absolute,to:'2016-08-26 12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6" s="54" t="str">
        <f t="shared" si="104"/>
        <v>N</v>
      </c>
      <c r="X186" s="120">
        <f t="shared" si="119"/>
        <v>1</v>
      </c>
      <c r="Y186" s="69">
        <f t="shared" si="120"/>
        <v>5.8673000000000002</v>
      </c>
      <c r="Z186" s="69">
        <f t="shared" si="121"/>
        <v>7.8899999999999998E-2</v>
      </c>
      <c r="AA186" s="69">
        <f t="shared" si="116"/>
        <v>5.7884000000000002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117"/>
        <v>0818-26</v>
      </c>
      <c r="AE186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6" s="96" t="str">
        <f t="shared" si="68"/>
        <v>"C:\Program Files (x86)\AstroGrep\AstroGrep.exe" /spath="%USERPROFILE%\AppData\Local\Temp\OnboardLogs" /stypes="*4012*20160826*" /stext=" 17:.+((SYSTEM_STATE.+slice.+state.+changed )|(ment ac)|(system.+state.+changed )|(\|lc)|(penalty)|(\[timeout)|(PRM\|1\|D)|(kpr)|(kdp))" /e /r /s</v>
      </c>
      <c r="AG186" s="1" t="str">
        <f t="shared" si="118"/>
        <v>NW</v>
      </c>
      <c r="AH186" s="100" t="str">
        <f t="shared" si="69"/>
        <v>"%USERPROFILE%\Documents\GitHub\eaglep3\Utilities\RefineRTDCRunTimes.py" --tripid 818-26 --locoid 4012 --swversion DE.1.0.7.0 --startMP 300:58673 --initTime 2016-08-26T11:38:26 --startdatetime 2016-08-26T11:39:47 --delay 1 --endMP 204:789 --enddatetime 2016-08-26T11:56:20 --enforcementcount 0 &gt;&gt;C:\Users\stu\Documents\GitHub\eaglep3-reporting\EC\2016-08-26-refined-times.txt</v>
      </c>
      <c r="AI186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{"issue":{"subject":"","project_id":79,"tracker_id":40,"status_id":1,"priority_id":2,"assigned_to_id":23,"start_date":"2016-08-26","description":"","custom_fields":[{"id":1,"name":"Subdivision","value":"NW"},{"id":4,"name":"Milepost","value":"5.7884"},{"id":17,"name":"Train ID","value":"818-26"},{"id":16,"name":"Locomotive ID","value":"4012"},{"id":130,"name":"Impact","value":""},{"id":150,"name":"Time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449</v>
      </c>
      <c r="B187" s="7">
        <v>4011</v>
      </c>
      <c r="C187" s="24" t="s">
        <v>113</v>
      </c>
      <c r="D187" s="24" t="s">
        <v>330</v>
      </c>
      <c r="E187" s="15">
        <v>42608.510393518518</v>
      </c>
      <c r="F187" s="15">
        <v>42608.511458333334</v>
      </c>
      <c r="G187" s="7">
        <v>1</v>
      </c>
      <c r="H187" s="15" t="s">
        <v>715</v>
      </c>
      <c r="I187" s="15">
        <v>42608.526134259257</v>
      </c>
      <c r="J187" s="7">
        <v>0</v>
      </c>
      <c r="K187" s="132" t="str">
        <f t="shared" si="112"/>
        <v>4011/4012</v>
      </c>
      <c r="L187" s="24" t="str">
        <f>VLOOKUP(A187,'Trips&amp;Operators'!$C$1:$E$10000,3,FALSE)</f>
        <v>MAHAN</v>
      </c>
      <c r="M187" s="6">
        <f t="shared" si="113"/>
        <v>1.4675925922347233E-2</v>
      </c>
      <c r="N187" s="7">
        <f t="shared" si="111"/>
        <v>21.133333328180015</v>
      </c>
      <c r="O187" s="7"/>
      <c r="P187" s="7"/>
      <c r="Q187" s="25"/>
      <c r="R187" s="25"/>
      <c r="S187" s="37">
        <f t="shared" ref="S187:S218" si="122">SUM(U187:U187)/IF(AG187="EC",12,1)</f>
        <v>1</v>
      </c>
      <c r="T187" s="52" t="str">
        <f t="shared" si="114"/>
        <v>NorthBound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11:14:58-0600',mode:absolute,to:'2016-08-26 13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7" s="54" t="str">
        <f t="shared" si="104"/>
        <v>N</v>
      </c>
      <c r="X187" s="120">
        <f t="shared" si="119"/>
        <v>1</v>
      </c>
      <c r="Y187" s="69">
        <f t="shared" si="120"/>
        <v>0.1081</v>
      </c>
      <c r="Z187" s="69">
        <f t="shared" si="121"/>
        <v>5.8963000000000001</v>
      </c>
      <c r="AA187" s="69">
        <f t="shared" si="116"/>
        <v>5.7881999999999998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117"/>
        <v>0819-26</v>
      </c>
      <c r="AE187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7" s="96" t="str">
        <f t="shared" si="68"/>
        <v>"C:\Program Files (x86)\AstroGrep\AstroGrep.exe" /spath="%USERPROFILE%\AppData\Local\Temp\OnboardLogs" /stypes="*4011*20160826*" /stext=" 18:.+((SYSTEM_STATE.+slice.+state.+changed )|(ment ac)|(system.+state.+changed )|(\|lc)|(penalty)|(\[timeout)|(PRM\|1\|D)|(kpr)|(kdp))" /e /r /s</v>
      </c>
      <c r="AG187" s="1" t="str">
        <f t="shared" si="118"/>
        <v>NW</v>
      </c>
      <c r="AH187" s="100" t="str">
        <f t="shared" si="69"/>
        <v>"%USERPROFILE%\Documents\GitHub\eaglep3\Utilities\RefineRTDCRunTimes.py" --tripid 819-26 --locoid 4011 --swversion DE.1.0.7.0 --startMP 204:1081 --initTime 2016-08-26T12:14:58 --startdatetime 2016-08-26T12:16:30 --delay 1 --endMP 300:58963 --enddatetime 2016-08-26T12:37:38 --enforcementcount 0 &gt;&gt;C:\Users\stu\Documents\GitHub\eaglep3-reporting\EC\2016-08-26-refined-times.txt</v>
      </c>
      <c r="AI18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{"issue":{"subject":"","project_id":79,"tracker_id":40,"status_id":1,"priority_id":2,"assigned_to_id":23,"start_date":"2016-08-26","description":"","custom_fields":[{"id":1,"name":"Subdivision","value":"NW"},{"id":4,"name":"Milepost","value":"5.7882"},{"id":17,"name":"Train ID","value":"819-26"},{"id":16,"name":"Locomotive ID","value":"4011"},{"id":130,"name":"Impact","value":""},{"id":150,"name":"Time of Event (Mountain Time)","value":"12:37:38"},{"id":151,"name":"Denver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453</v>
      </c>
      <c r="B188" s="7">
        <v>4012</v>
      </c>
      <c r="C188" s="24" t="s">
        <v>113</v>
      </c>
      <c r="D188" s="24" t="s">
        <v>326</v>
      </c>
      <c r="E188" s="15">
        <v>42608.527372685188</v>
      </c>
      <c r="F188" s="15">
        <v>42608.528182870374</v>
      </c>
      <c r="G188" s="7">
        <v>1</v>
      </c>
      <c r="H188" s="15" t="s">
        <v>716</v>
      </c>
      <c r="I188" s="15">
        <v>42608.539895833332</v>
      </c>
      <c r="J188" s="7">
        <v>0</v>
      </c>
      <c r="K188" s="132" t="str">
        <f t="shared" si="112"/>
        <v>4011/4012</v>
      </c>
      <c r="L188" s="24" t="str">
        <f>VLOOKUP(A188,'Trips&amp;Operators'!$C$1:$E$10000,3,FALSE)</f>
        <v>MAHAN</v>
      </c>
      <c r="M188" s="6">
        <f t="shared" si="113"/>
        <v>1.1712962957972195E-2</v>
      </c>
      <c r="N188" s="7">
        <f t="shared" si="111"/>
        <v>16.866666659479961</v>
      </c>
      <c r="O188" s="7"/>
      <c r="P188" s="7"/>
      <c r="Q188" s="25"/>
      <c r="R188" s="25"/>
      <c r="S188" s="37">
        <f t="shared" si="122"/>
        <v>1</v>
      </c>
      <c r="T188" s="52" t="str">
        <f t="shared" si="114"/>
        <v>Southbound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11:39:25-0600',mode:absolute,to:'2016-08-26 13:57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8" s="54" t="str">
        <f t="shared" si="104"/>
        <v>N</v>
      </c>
      <c r="X188" s="120">
        <f t="shared" si="119"/>
        <v>1</v>
      </c>
      <c r="Y188" s="69">
        <f t="shared" si="120"/>
        <v>5.8654999999999999</v>
      </c>
      <c r="Z188" s="69">
        <f t="shared" si="121"/>
        <v>8.1299999999999997E-2</v>
      </c>
      <c r="AA188" s="69">
        <f t="shared" si="116"/>
        <v>5.7842000000000002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117"/>
        <v>0820-26</v>
      </c>
      <c r="AE188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88" s="96" t="str">
        <f t="shared" si="68"/>
        <v>"C:\Program Files (x86)\AstroGrep\AstroGrep.exe" /spath="%USERPROFILE%\AppData\Local\Temp\OnboardLogs" /stypes="*4012*20160826*" /stext=" 18:.+((SYSTEM_STATE.+slice.+state.+changed )|(ment ac)|(system.+state.+changed )|(\|lc)|(penalty)|(\[timeout)|(PRM\|1\|D)|(kpr)|(kdp))" /e /r /s</v>
      </c>
      <c r="AG188" s="1" t="str">
        <f t="shared" si="118"/>
        <v>NW</v>
      </c>
      <c r="AH188" s="100" t="str">
        <f t="shared" si="69"/>
        <v>"%USERPROFILE%\Documents\GitHub\eaglep3\Utilities\RefineRTDCRunTimes.py" --tripid 820-26 --locoid 4012 --swversion DE.1.0.7.0 --startMP 300:58655 --initTime 2016-08-26T12:39:25 --startdatetime 2016-08-26T12:40:35 --delay 1 --endMP 204:813 --enddatetime 2016-08-26T12:57:27 --enforcementcount 0 &gt;&gt;C:\Users\stu\Documents\GitHub\eaglep3-reporting\EC\2016-08-26-refined-times.txt</v>
      </c>
      <c r="AI18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{"issue":{"subject":"","project_id":79,"tracker_id":40,"status_id":1,"priority_id":2,"assigned_to_id":23,"start_date":"2016-08-26","description":"","custom_fields":[{"id":1,"name":"Subdivision","value":"NW"},{"id":4,"name":"Milepost","value":"5.7842"},{"id":17,"name":"Train ID","value":"820-26"},{"id":16,"name":"Locomotive ID","value":"4012"},{"id":130,"name":"Impact","value":""},{"id":150,"name":"Time of Event (Mountain Time)","value":"12:57:27"},{"id":151,"name":"Denver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458</v>
      </c>
      <c r="B189" s="7">
        <v>4011</v>
      </c>
      <c r="C189" s="24" t="s">
        <v>113</v>
      </c>
      <c r="D189" s="24" t="s">
        <v>700</v>
      </c>
      <c r="E189" s="15">
        <v>42608.544930555552</v>
      </c>
      <c r="F189" s="15">
        <v>42608.547581018516</v>
      </c>
      <c r="G189" s="7">
        <v>3</v>
      </c>
      <c r="H189" s="15" t="s">
        <v>697</v>
      </c>
      <c r="I189" s="15">
        <v>42608.568530092591</v>
      </c>
      <c r="J189" s="7">
        <v>0</v>
      </c>
      <c r="K189" s="132" t="str">
        <f t="shared" si="112"/>
        <v>4011/4012</v>
      </c>
      <c r="L189" s="24" t="str">
        <f>VLOOKUP(A189,'Trips&amp;Operators'!$C$1:$E$10000,3,FALSE)</f>
        <v>BROWN</v>
      </c>
      <c r="M189" s="6">
        <f t="shared" si="113"/>
        <v>2.0949074074451346E-2</v>
      </c>
      <c r="N189" s="7">
        <f t="shared" si="111"/>
        <v>30.166666667209938</v>
      </c>
      <c r="O189" s="7"/>
      <c r="P189" s="7"/>
      <c r="Q189" s="25"/>
      <c r="R189" s="25"/>
      <c r="S189" s="37">
        <f t="shared" si="122"/>
        <v>1</v>
      </c>
      <c r="T189" s="52" t="str">
        <f t="shared" si="114"/>
        <v>NorthBound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12:04:42-0600',mode:absolute,to:'2016-08-26 14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89" s="54" t="str">
        <f t="shared" si="104"/>
        <v>N</v>
      </c>
      <c r="X189" s="120">
        <f t="shared" si="119"/>
        <v>1</v>
      </c>
      <c r="Y189" s="69">
        <f t="shared" si="120"/>
        <v>0.10929999999999999</v>
      </c>
      <c r="Z189" s="69">
        <f t="shared" si="121"/>
        <v>5.8936999999999999</v>
      </c>
      <c r="AA189" s="69">
        <f t="shared" si="116"/>
        <v>5.7843999999999998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117"/>
        <v>0821-26</v>
      </c>
      <c r="AE189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89" s="96" t="str">
        <f t="shared" si="68"/>
        <v>"C:\Program Files (x86)\AstroGrep\AstroGrep.exe" /spath="%USERPROFILE%\AppData\Local\Temp\OnboardLogs" /stypes="*4011*20160826*" /stext=" 19:.+((SYSTEM_STATE.+slice.+state.+changed )|(ment ac)|(system.+state.+changed )|(\|lc)|(penalty)|(\[timeout)|(PRM\|1\|D)|(kpr)|(kdp))" /e /r /s</v>
      </c>
      <c r="AG189" s="1" t="str">
        <f t="shared" si="118"/>
        <v>NW</v>
      </c>
      <c r="AH189" s="100" t="str">
        <f t="shared" si="69"/>
        <v>"%USERPROFILE%\Documents\GitHub\eaglep3\Utilities\RefineRTDCRunTimes.py" --tripid 821-26 --locoid 4011 --swversion DE.1.0.7.0 --startMP 204:1093 --initTime 2016-08-26T13:04:42 --startdatetime 2016-08-26T13:08:31 --delay 3 --endMP 300:58937 --enddatetime 2016-08-26T13:38:41 --enforcementcount 0 &gt;&gt;C:\Users\stu\Documents\GitHub\eaglep3-reporting\EC\2016-08-26-refined-times.txt</v>
      </c>
      <c r="AI18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{"issue":{"subject":"","project_id":79,"tracker_id":40,"status_id":1,"priority_id":2,"assigned_to_id":23,"start_date":"2016-08-26","description":"","custom_fields":[{"id":1,"name":"Subdivision","value":"NW"},{"id":4,"name":"Milepost","value":"5.7844"},{"id":17,"name":"Train ID","value":"821-26"},{"id":16,"name":"Locomotive ID","value":"4011"},{"id":130,"name":"Impact","value":""},{"id":150,"name":"Time of Event (Mountain Time)","value":"13:38:41"},{"id":151,"name":"Denver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463</v>
      </c>
      <c r="B190" s="7">
        <v>4012</v>
      </c>
      <c r="C190" s="24" t="s">
        <v>113</v>
      </c>
      <c r="D190" s="24" t="s">
        <v>717</v>
      </c>
      <c r="E190" s="15">
        <v>42608.570115740738</v>
      </c>
      <c r="F190" s="15">
        <v>42608.571168981478</v>
      </c>
      <c r="G190" s="7">
        <v>1</v>
      </c>
      <c r="H190" s="15" t="s">
        <v>333</v>
      </c>
      <c r="I190" s="15">
        <v>42608.581597222219</v>
      </c>
      <c r="J190" s="7">
        <v>0</v>
      </c>
      <c r="K190" s="132" t="str">
        <f t="shared" si="112"/>
        <v>4011/4012</v>
      </c>
      <c r="L190" s="24" t="str">
        <f>VLOOKUP(A190,'Trips&amp;Operators'!$C$1:$E$10000,3,FALSE)</f>
        <v>BROWN</v>
      </c>
      <c r="M190" s="6">
        <f t="shared" si="113"/>
        <v>1.0428240741021E-2</v>
      </c>
      <c r="N190" s="7">
        <f t="shared" si="111"/>
        <v>15.01666666707024</v>
      </c>
      <c r="O190" s="7"/>
      <c r="P190" s="7"/>
      <c r="Q190" s="25"/>
      <c r="R190" s="25"/>
      <c r="S190" s="37">
        <f t="shared" si="122"/>
        <v>1</v>
      </c>
      <c r="T190" s="52" t="str">
        <f t="shared" si="114"/>
        <v>Southbound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12:40:58-0600',mode:absolute,to:'2016-08-26 14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0" s="54" t="str">
        <f t="shared" ref="W190:W221" si="123">IF(AA190&lt;IF(AG190="EC",23,5.65),"Y","N")</f>
        <v>N</v>
      </c>
      <c r="X190" s="120">
        <f t="shared" si="119"/>
        <v>1</v>
      </c>
      <c r="Y190" s="69">
        <f t="shared" si="120"/>
        <v>5.8616999999999999</v>
      </c>
      <c r="Z190" s="69">
        <f t="shared" si="121"/>
        <v>7.4499999999999997E-2</v>
      </c>
      <c r="AA190" s="69">
        <f t="shared" si="116"/>
        <v>5.7872000000000003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117"/>
        <v>0822-26</v>
      </c>
      <c r="AE190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0" s="96" t="str">
        <f t="shared" si="68"/>
        <v>"C:\Program Files (x86)\AstroGrep\AstroGrep.exe" /spath="%USERPROFILE%\AppData\Local\Temp\OnboardLogs" /stypes="*4012*20160826*" /stext=" 19:.+((SYSTEM_STATE.+slice.+state.+changed )|(ment ac)|(system.+state.+changed )|(\|lc)|(penalty)|(\[timeout)|(PRM\|1\|D)|(kpr)|(kdp))" /e /r /s</v>
      </c>
      <c r="AG190" s="1" t="str">
        <f t="shared" si="118"/>
        <v>NW</v>
      </c>
      <c r="AH190" s="100" t="str">
        <f t="shared" si="69"/>
        <v>"%USERPROFILE%\Documents\GitHub\eaglep3\Utilities\RefineRTDCRunTimes.py" --tripid 822-26 --locoid 4012 --swversion DE.1.0.7.0 --startMP 300:58617 --initTime 2016-08-26T13:40:58 --startdatetime 2016-08-26T13:42:29 --delay 1 --endMP 204:745 --enddatetime 2016-08-26T13:57:30 --enforcementcount 0 &gt;&gt;C:\Users\stu\Documents\GitHub\eaglep3-reporting\EC\2016-08-26-refined-times.txt</v>
      </c>
      <c r="AI19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{"issue":{"subject":"","project_id":79,"tracker_id":40,"status_id":1,"priority_id":2,"assigned_to_id":23,"start_date":"2016-08-26","description":"","custom_fields":[{"id":1,"name":"Subdivision","value":"NW"},{"id":4,"name":"Milepost","value":"5.7872"},{"id":17,"name":"Train ID","value":"822-26"},{"id":16,"name":"Locomotive ID","value":"4012"},{"id":130,"name":"Impact","value":""},{"id":150,"name":"Time of Event (Mountain Time)","value":"13:57:30"},{"id":151,"name":"Denver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467</v>
      </c>
      <c r="B191" s="7">
        <v>4011</v>
      </c>
      <c r="C191" s="24" t="s">
        <v>113</v>
      </c>
      <c r="D191" s="24" t="s">
        <v>689</v>
      </c>
      <c r="E191" s="15">
        <v>42608.585821759261</v>
      </c>
      <c r="F191" s="15">
        <v>42608.586770833332</v>
      </c>
      <c r="G191" s="7">
        <v>1</v>
      </c>
      <c r="H191" s="15" t="s">
        <v>718</v>
      </c>
      <c r="I191" s="15">
        <v>42608.611296296294</v>
      </c>
      <c r="J191" s="7">
        <v>0</v>
      </c>
      <c r="K191" s="132" t="str">
        <f t="shared" si="112"/>
        <v>4011/4012</v>
      </c>
      <c r="L191" s="24" t="str">
        <f>VLOOKUP(A191,'Trips&amp;Operators'!$C$1:$E$10000,3,FALSE)</f>
        <v>BROWN</v>
      </c>
      <c r="M191" s="6">
        <f t="shared" si="113"/>
        <v>2.4525462962628808E-2</v>
      </c>
      <c r="N191" s="7">
        <f t="shared" si="111"/>
        <v>35.316666666185483</v>
      </c>
      <c r="O191" s="7"/>
      <c r="P191" s="7"/>
      <c r="Q191" s="25"/>
      <c r="R191" s="25"/>
      <c r="S191" s="37">
        <f t="shared" si="122"/>
        <v>1</v>
      </c>
      <c r="T191" s="52" t="str">
        <f t="shared" si="114"/>
        <v>NorthBound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13:03:35-0600',mode:absolute,to:'2016-08-26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1" s="54" t="str">
        <f t="shared" si="123"/>
        <v>N</v>
      </c>
      <c r="X191" s="120">
        <f t="shared" si="119"/>
        <v>1</v>
      </c>
      <c r="Y191" s="69">
        <f t="shared" si="120"/>
        <v>0.1028</v>
      </c>
      <c r="Z191" s="69">
        <f t="shared" si="121"/>
        <v>5.8956</v>
      </c>
      <c r="AA191" s="69">
        <f t="shared" si="116"/>
        <v>5.7927999999999997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117"/>
        <v>0823-26</v>
      </c>
      <c r="AE19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1" s="96" t="str">
        <f t="shared" si="68"/>
        <v>"C:\Program Files (x86)\AstroGrep\AstroGrep.exe" /spath="%USERPROFILE%\AppData\Local\Temp\OnboardLogs" /stypes="*4011*20160826*" /stext=" 20:.+((SYSTEM_STATE.+slice.+state.+changed )|(ment ac)|(system.+state.+changed )|(\|lc)|(penalty)|(\[timeout)|(PRM\|1\|D)|(kpr)|(kdp))" /e /r /s</v>
      </c>
      <c r="AG191" s="1" t="str">
        <f t="shared" si="118"/>
        <v>NW</v>
      </c>
      <c r="AH191" s="100" t="str">
        <f t="shared" si="69"/>
        <v>"%USERPROFILE%\Documents\GitHub\eaglep3\Utilities\RefineRTDCRunTimes.py" --tripid 823-26 --locoid 4011 --swversion DE.1.0.7.0 --startMP 204:1028 --initTime 2016-08-26T14:03:35 --startdatetime 2016-08-26T14:04:57 --delay 1 --endMP 300:58956 --enddatetime 2016-08-26T14:40:16 --enforcementcount 0 &gt;&gt;C:\Users\stu\Documents\GitHub\eaglep3-reporting\EC\2016-08-26-refined-times.txt</v>
      </c>
      <c r="AI19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{"issue":{"subject":"","project_id":79,"tracker_id":40,"status_id":1,"priority_id":2,"assigned_to_id":23,"start_date":"2016-08-26","description":"","custom_fields":[{"id":1,"name":"Subdivision","value":"NW"},{"id":4,"name":"Milepost","value":"5.7928"},{"id":17,"name":"Train ID","value":"823-26"},{"id":16,"name":"Locomotive ID","value":"4011"},{"id":130,"name":"Impact","value":""},{"id":150,"name":"Time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473</v>
      </c>
      <c r="B192" s="7">
        <v>4012</v>
      </c>
      <c r="C192" s="24" t="s">
        <v>113</v>
      </c>
      <c r="D192" s="24" t="s">
        <v>329</v>
      </c>
      <c r="E192" s="15">
        <v>42608.612326388888</v>
      </c>
      <c r="F192" s="15">
        <v>42608.613171296296</v>
      </c>
      <c r="G192" s="7">
        <v>1</v>
      </c>
      <c r="H192" s="15" t="s">
        <v>719</v>
      </c>
      <c r="I192" s="15">
        <v>42608.623969907407</v>
      </c>
      <c r="J192" s="7">
        <v>0</v>
      </c>
      <c r="K192" s="132" t="str">
        <f t="shared" si="112"/>
        <v>4011/4012</v>
      </c>
      <c r="L192" s="24" t="str">
        <f>VLOOKUP(A192,'Trips&amp;Operators'!$C$1:$E$10000,3,FALSE)</f>
        <v>BROWN</v>
      </c>
      <c r="M192" s="6">
        <f t="shared" si="113"/>
        <v>1.0798611110658385E-2</v>
      </c>
      <c r="N192" s="7">
        <f t="shared" si="111"/>
        <v>15.549999999348074</v>
      </c>
      <c r="O192" s="7"/>
      <c r="P192" s="7"/>
      <c r="Q192" s="25"/>
      <c r="R192" s="25"/>
      <c r="S192" s="37">
        <f t="shared" si="122"/>
        <v>1</v>
      </c>
      <c r="T192" s="52" t="str">
        <f t="shared" si="114"/>
        <v>Southbound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13:41:45-0600',mode:absolute,to:'2016-08-26 15:58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2" s="54" t="str">
        <f t="shared" si="123"/>
        <v>N</v>
      </c>
      <c r="X192" s="120">
        <f t="shared" si="119"/>
        <v>1</v>
      </c>
      <c r="Y192" s="69">
        <f t="shared" si="120"/>
        <v>5.8632</v>
      </c>
      <c r="Z192" s="69">
        <f t="shared" si="121"/>
        <v>7.4800000000000005E-2</v>
      </c>
      <c r="AA192" s="69">
        <f t="shared" si="116"/>
        <v>5.7884000000000002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117"/>
        <v>0824-26</v>
      </c>
      <c r="AE19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2" s="96" t="str">
        <f t="shared" si="68"/>
        <v>"C:\Program Files (x86)\AstroGrep\AstroGrep.exe" /spath="%USERPROFILE%\AppData\Local\Temp\OnboardLogs" /stypes="*4012*20160826*" /stext=" 20:.+((SYSTEM_STATE.+slice.+state.+changed )|(ment ac)|(system.+state.+changed )|(\|lc)|(penalty)|(\[timeout)|(PRM\|1\|D)|(kpr)|(kdp))" /e /r /s</v>
      </c>
      <c r="AG192" s="1" t="str">
        <f t="shared" si="118"/>
        <v>NW</v>
      </c>
      <c r="AH192" s="100" t="str">
        <f t="shared" si="69"/>
        <v>"%USERPROFILE%\Documents\GitHub\eaglep3\Utilities\RefineRTDCRunTimes.py" --tripid 824-26 --locoid 4012 --swversion DE.1.0.7.0 --startMP 300:58632 --initTime 2016-08-26T14:41:45 --startdatetime 2016-08-26T14:42:58 --delay 1 --endMP 204:748 --enddatetime 2016-08-26T14:58:31 --enforcementcount 0 &gt;&gt;C:\Users\stu\Documents\GitHub\eaglep3-reporting\EC\2016-08-26-refined-times.txt</v>
      </c>
      <c r="AI19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{"issue":{"subject":"","project_id":79,"tracker_id":40,"status_id":1,"priority_id":2,"assigned_to_id":23,"start_date":"2016-08-26","description":"","custom_fields":[{"id":1,"name":"Subdivision","value":"NW"},{"id":4,"name":"Milepost","value":"5.7884"},{"id":17,"name":"Train ID","value":"824-26"},{"id":16,"name":"Locomotive ID","value":"4012"},{"id":130,"name":"Impact","value":""},{"id":150,"name":"Time of Event (Mountain Time)","value":"14:58:31"},{"id":151,"name":"Denver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479</v>
      </c>
      <c r="B193" s="7">
        <v>4011</v>
      </c>
      <c r="C193" s="24" t="s">
        <v>113</v>
      </c>
      <c r="D193" s="24" t="s">
        <v>720</v>
      </c>
      <c r="E193" s="15">
        <v>42608.634583333333</v>
      </c>
      <c r="F193" s="15">
        <v>42608.635810185187</v>
      </c>
      <c r="G193" s="7">
        <v>1</v>
      </c>
      <c r="H193" s="15" t="s">
        <v>328</v>
      </c>
      <c r="I193" s="15">
        <v>42608.65016203704</v>
      </c>
      <c r="J193" s="7">
        <v>0</v>
      </c>
      <c r="K193" s="132" t="str">
        <f t="shared" si="112"/>
        <v>4011/4012</v>
      </c>
      <c r="L193" s="24" t="str">
        <f>VLOOKUP(A193,'Trips&amp;Operators'!$C$1:$E$10000,3,FALSE)</f>
        <v>BROWN</v>
      </c>
      <c r="M193" s="6">
        <f t="shared" si="113"/>
        <v>1.43518518525525E-2</v>
      </c>
      <c r="N193" s="7">
        <f t="shared" si="111"/>
        <v>20.666666667675599</v>
      </c>
      <c r="O193" s="7"/>
      <c r="P193" s="7"/>
      <c r="Q193" s="25"/>
      <c r="R193" s="25"/>
      <c r="S193" s="37">
        <f t="shared" si="122"/>
        <v>1</v>
      </c>
      <c r="T193" s="52" t="str">
        <f t="shared" si="114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14:13:48-0600',mode:absolute,to:'2016-08-26 16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3" s="54" t="str">
        <f t="shared" si="123"/>
        <v>N</v>
      </c>
      <c r="X193" s="120">
        <f t="shared" si="119"/>
        <v>1</v>
      </c>
      <c r="Y193" s="69">
        <f t="shared" si="120"/>
        <v>0.10489999999999999</v>
      </c>
      <c r="Z193" s="69">
        <f t="shared" si="121"/>
        <v>5.8949999999999996</v>
      </c>
      <c r="AA193" s="69">
        <f t="shared" si="116"/>
        <v>5.7900999999999998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117"/>
        <v>0825-26</v>
      </c>
      <c r="AE193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3" s="96" t="str">
        <f t="shared" si="68"/>
        <v>"C:\Program Files (x86)\AstroGrep\AstroGrep.exe" /spath="%USERPROFILE%\AppData\Local\Temp\OnboardLogs" /stypes="*4011*20160826*" /stext=" 21:.+((SYSTEM_STATE.+slice.+state.+changed )|(ment ac)|(system.+state.+changed )|(\|lc)|(penalty)|(\[timeout)|(PRM\|1\|D)|(kpr)|(kdp))" /e /r /s</v>
      </c>
      <c r="AG193" s="1" t="str">
        <f t="shared" si="118"/>
        <v>NW</v>
      </c>
      <c r="AH193" s="100" t="str">
        <f t="shared" si="69"/>
        <v>"%USERPROFILE%\Documents\GitHub\eaglep3\Utilities\RefineRTDCRunTimes.py" --tripid 825-26 --locoid 4011 --swversion DE.1.0.7.0 --startMP 204:1049 --initTime 2016-08-26T15:13:48 --startdatetime 2016-08-26T15:15:34 --delay 1 --endMP 300:58950 --enddatetime 2016-08-26T15:36:14 --enforcementcount 0 &gt;&gt;C:\Users\stu\Documents\GitHub\eaglep3-reporting\EC\2016-08-26-refined-times.txt</v>
      </c>
      <c r="AI19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{"issue":{"subject":"","project_id":79,"tracker_id":40,"status_id":1,"priority_id":2,"assigned_to_id":23,"start_date":"2016-08-26","description":"","custom_fields":[{"id":1,"name":"Subdivision","value":"NW"},{"id":4,"name":"Milepost","value":"5.7901"},{"id":17,"name":"Train ID","value":"825-26"},{"id":16,"name":"Locomotive ID","value":"4011"},{"id":130,"name":"Impact","value":""},{"id":150,"name":"Time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486</v>
      </c>
      <c r="B194" s="7">
        <v>4012</v>
      </c>
      <c r="C194" s="24" t="s">
        <v>113</v>
      </c>
      <c r="D194" s="24" t="s">
        <v>721</v>
      </c>
      <c r="E194" s="15">
        <v>42608.651238425926</v>
      </c>
      <c r="F194" s="15">
        <v>42608.652361111112</v>
      </c>
      <c r="G194" s="7">
        <v>1</v>
      </c>
      <c r="H194" s="15" t="s">
        <v>722</v>
      </c>
      <c r="I194" s="15">
        <v>42608.66443287037</v>
      </c>
      <c r="J194" s="7">
        <v>0</v>
      </c>
      <c r="K194" s="132" t="str">
        <f t="shared" si="112"/>
        <v>4011/4012</v>
      </c>
      <c r="L194" s="24" t="str">
        <f>VLOOKUP(A194,'Trips&amp;Operators'!$C$1:$E$10000,3,FALSE)</f>
        <v>BROWN</v>
      </c>
      <c r="M194" s="6">
        <f t="shared" si="113"/>
        <v>1.2071759258105885E-2</v>
      </c>
      <c r="N194" s="7">
        <f t="shared" si="111"/>
        <v>17.383333331672475</v>
      </c>
      <c r="O194" s="7"/>
      <c r="P194" s="7"/>
      <c r="Q194" s="25"/>
      <c r="R194" s="25"/>
      <c r="S194" s="37">
        <f t="shared" si="122"/>
        <v>1</v>
      </c>
      <c r="T194" s="52" t="str">
        <f t="shared" si="114"/>
        <v>Southbound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14:37:47-0600',mode:absolute,to:'2016-08-26 16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4" s="54" t="str">
        <f t="shared" si="123"/>
        <v>N</v>
      </c>
      <c r="X194" s="120">
        <f t="shared" si="119"/>
        <v>1</v>
      </c>
      <c r="Y194" s="69">
        <f t="shared" si="120"/>
        <v>5.8635999999999999</v>
      </c>
      <c r="Z194" s="69">
        <f t="shared" si="121"/>
        <v>8.2400000000000001E-2</v>
      </c>
      <c r="AA194" s="69">
        <f t="shared" si="116"/>
        <v>5.7812000000000001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117"/>
        <v>0826-26</v>
      </c>
      <c r="AE194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4" s="96" t="str">
        <f t="shared" si="68"/>
        <v>"C:\Program Files (x86)\AstroGrep\AstroGrep.exe" /spath="%USERPROFILE%\AppData\Local\Temp\OnboardLogs" /stypes="*4012*20160826*" /stext=" 21:.+((SYSTEM_STATE.+slice.+state.+changed )|(ment ac)|(system.+state.+changed )|(\|lc)|(penalty)|(\[timeout)|(PRM\|1\|D)|(kpr)|(kdp))" /e /r /s</v>
      </c>
      <c r="AG194" s="1" t="str">
        <f t="shared" si="118"/>
        <v>NW</v>
      </c>
      <c r="AH194" s="100" t="str">
        <f t="shared" si="69"/>
        <v>"%USERPROFILE%\Documents\GitHub\eaglep3\Utilities\RefineRTDCRunTimes.py" --tripid 826-26 --locoid 4012 --swversion DE.1.0.7.0 --startMP 300:58636 --initTime 2016-08-26T15:37:47 --startdatetime 2016-08-26T15:39:24 --delay 1 --endMP 204:824 --enddatetime 2016-08-26T15:56:47 --enforcementcount 0 &gt;&gt;C:\Users\stu\Documents\GitHub\eaglep3-reporting\EC\2016-08-26-refined-times.txt</v>
      </c>
      <c r="AI19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{"issue":{"subject":"","project_id":79,"tracker_id":40,"status_id":1,"priority_id":2,"assigned_to_id":23,"start_date":"2016-08-26","description":"","custom_fields":[{"id":1,"name":"Subdivision","value":"NW"},{"id":4,"name":"Milepost","value":"5.7812"},{"id":17,"name":"Train ID","value":"826-26"},{"id":16,"name":"Locomotive ID","value":"4012"},{"id":130,"name":"Impact","value":""},{"id":150,"name":"Time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484</v>
      </c>
      <c r="B195" s="7">
        <v>4020</v>
      </c>
      <c r="C195" s="24" t="s">
        <v>113</v>
      </c>
      <c r="D195" s="24" t="s">
        <v>723</v>
      </c>
      <c r="E195" s="15">
        <v>42608.64671296296</v>
      </c>
      <c r="F195" s="15">
        <v>42608.647905092592</v>
      </c>
      <c r="G195" s="7">
        <v>1</v>
      </c>
      <c r="H195" s="15" t="s">
        <v>706</v>
      </c>
      <c r="I195" s="15">
        <v>42608.670034722221</v>
      </c>
      <c r="J195" s="7">
        <v>0</v>
      </c>
      <c r="K195" s="132" t="str">
        <f t="shared" si="112"/>
        <v>4019/4020</v>
      </c>
      <c r="L195" s="24" t="str">
        <f>VLOOKUP(A195,'Trips&amp;Operators'!$C$1:$E$10000,3,FALSE)</f>
        <v>CRAYTON</v>
      </c>
      <c r="M195" s="6">
        <f t="shared" si="113"/>
        <v>2.21296296294895E-2</v>
      </c>
      <c r="N195" s="7">
        <f t="shared" si="111"/>
        <v>31.86666666646488</v>
      </c>
      <c r="O195" s="7"/>
      <c r="P195" s="7"/>
      <c r="Q195" s="25"/>
      <c r="R195" s="25"/>
      <c r="S195" s="37">
        <f t="shared" si="122"/>
        <v>1</v>
      </c>
      <c r="T195" s="52" t="str">
        <f t="shared" si="114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14:31:16-0600',mode:absolute,to:'2016-08-26 17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5" s="54" t="str">
        <f t="shared" si="123"/>
        <v>N</v>
      </c>
      <c r="X195" s="120">
        <f t="shared" si="119"/>
        <v>1</v>
      </c>
      <c r="Y195" s="69">
        <f t="shared" si="120"/>
        <v>8.9899999999999994E-2</v>
      </c>
      <c r="Z195" s="69">
        <f t="shared" si="121"/>
        <v>5.8987999999999996</v>
      </c>
      <c r="AA195" s="69">
        <f t="shared" si="116"/>
        <v>5.8088999999999995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117"/>
        <v>0827-26</v>
      </c>
      <c r="AE195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95" s="96" t="str">
        <f t="shared" si="68"/>
        <v>"C:\Program Files (x86)\AstroGrep\AstroGrep.exe" /spath="%USERPROFILE%\AppData\Local\Temp\OnboardLogs" /stypes="*4020*20160826*" /stext=" 22:.+((SYSTEM_STATE.+slice.+state.+changed )|(ment ac)|(system.+state.+changed )|(\|lc)|(penalty)|(\[timeout)|(PRM\|1\|D)|(kpr)|(kdp))" /e /r /s</v>
      </c>
      <c r="AG195" s="1" t="str">
        <f t="shared" si="118"/>
        <v>NW</v>
      </c>
      <c r="AH195" s="100" t="str">
        <f t="shared" si="69"/>
        <v>"%USERPROFILE%\Documents\GitHub\eaglep3\Utilities\RefineRTDCRunTimes.py" --tripid 827-26 --locoid 4020 --swversion DE.1.0.7.0 --startMP 204:899 --initTime 2016-08-26T15:31:16 --startdatetime 2016-08-26T15:32:59 --delay 1 --endMP 300:58988 --enddatetime 2016-08-26T16:04:51 --enforcementcount 0 &gt;&gt;C:\Users\stu\Documents\GitHub\eaglep3-reporting\EC\2016-08-26-refined-times.txt</v>
      </c>
      <c r="AI195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{"issue":{"subject":"","project_id":79,"tracker_id":40,"status_id":1,"priority_id":2,"assigned_to_id":23,"start_date":"2016-08-26","description":"","custom_fields":[{"id":1,"name":"Subdivision","value":"NW"},{"id":4,"name":"Milepost","value":"5.8089"},{"id":17,"name":"Train ID","value":"827-26"},{"id":16,"name":"Locomotive ID","value":"4020"},{"id":130,"name":"Impact","value":""},{"id":150,"name":"Time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490</v>
      </c>
      <c r="B196" s="7">
        <v>4019</v>
      </c>
      <c r="C196" s="24" t="s">
        <v>113</v>
      </c>
      <c r="D196" s="24" t="s">
        <v>724</v>
      </c>
      <c r="E196" s="15">
        <v>42608.671307870369</v>
      </c>
      <c r="F196" s="15">
        <v>42608.672592592593</v>
      </c>
      <c r="G196" s="7">
        <v>1</v>
      </c>
      <c r="H196" s="15" t="s">
        <v>725</v>
      </c>
      <c r="I196" s="15">
        <v>42608.685150462959</v>
      </c>
      <c r="J196" s="7">
        <v>0</v>
      </c>
      <c r="K196" s="132" t="str">
        <f t="shared" si="112"/>
        <v>4019/4020</v>
      </c>
      <c r="L196" s="24" t="str">
        <f>VLOOKUP(A196,'Trips&amp;Operators'!$C$1:$E$10000,3,FALSE)</f>
        <v>CRAYTON</v>
      </c>
      <c r="M196" s="6">
        <f t="shared" si="113"/>
        <v>1.2557870366435964E-2</v>
      </c>
      <c r="N196" s="7">
        <f t="shared" si="111"/>
        <v>18.083333327667788</v>
      </c>
      <c r="O196" s="7"/>
      <c r="P196" s="7"/>
      <c r="Q196" s="25"/>
      <c r="R196" s="25"/>
      <c r="S196" s="37">
        <f t="shared" si="122"/>
        <v>1</v>
      </c>
      <c r="T196" s="52" t="str">
        <f t="shared" si="114"/>
        <v>Southbound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15:06:41-0600',mode:absolute,to:'2016-08-26 17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96" s="54" t="str">
        <f t="shared" si="123"/>
        <v>N</v>
      </c>
      <c r="X196" s="120">
        <f t="shared" si="119"/>
        <v>1</v>
      </c>
      <c r="Y196" s="69">
        <f t="shared" si="120"/>
        <v>5.8674999999999997</v>
      </c>
      <c r="Z196" s="69">
        <f t="shared" si="121"/>
        <v>6.6400000000000001E-2</v>
      </c>
      <c r="AA196" s="69">
        <f t="shared" si="116"/>
        <v>5.8010999999999999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117"/>
        <v>0828-26</v>
      </c>
      <c r="AE196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196" s="96" t="str">
        <f t="shared" si="68"/>
        <v>"C:\Program Files (x86)\AstroGrep\AstroGrep.exe" /spath="%USERPROFILE%\AppData\Local\Temp\OnboardLogs" /stypes="*4019*20160826*" /stext=" 22:.+((SYSTEM_STATE.+slice.+state.+changed )|(ment ac)|(system.+state.+changed )|(\|lc)|(penalty)|(\[timeout)|(PRM\|1\|D)|(kpr)|(kdp))" /e /r /s</v>
      </c>
      <c r="AG196" s="1" t="str">
        <f t="shared" si="118"/>
        <v>NW</v>
      </c>
      <c r="AH196" s="100" t="str">
        <f t="shared" si="69"/>
        <v>"%USERPROFILE%\Documents\GitHub\eaglep3\Utilities\RefineRTDCRunTimes.py" --tripid 828-26 --locoid 4019 --swversion DE.1.0.7.0 --startMP 300:58675 --initTime 2016-08-26T16:06:41 --startdatetime 2016-08-26T16:08:32 --delay 1 --endMP 204:664 --enddatetime 2016-08-26T16:26:37 --enforcementcount 0 &gt;&gt;C:\Users\stu\Documents\GitHub\eaglep3-reporting\EC\2016-08-26-refined-times.txt</v>
      </c>
      <c r="AI196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{"issue":{"subject":"","project_id":79,"tracker_id":40,"status_id":1,"priority_id":2,"assigned_to_id":23,"start_date":"2016-08-26","description":"","custom_fields":[{"id":1,"name":"Subdivision","value":"NW"},{"id":4,"name":"Milepost","value":"5.8011"},{"id":17,"name":"Train ID","value":"828-26"},{"id":16,"name":"Locomotive ID","value":"4019"},{"id":130,"name":"Impact","value":""},{"id":150,"name":"Time of Event (Mountain Time)","value":"16:26:37"},{"id":151,"name":"Denver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493</v>
      </c>
      <c r="B197" s="7">
        <v>4011</v>
      </c>
      <c r="C197" s="24" t="s">
        <v>113</v>
      </c>
      <c r="D197" s="24" t="s">
        <v>726</v>
      </c>
      <c r="E197" s="15">
        <v>42608.678356481483</v>
      </c>
      <c r="F197" s="15">
        <v>42608.680150462962</v>
      </c>
      <c r="G197" s="7">
        <v>2</v>
      </c>
      <c r="H197" s="15" t="s">
        <v>727</v>
      </c>
      <c r="I197" s="15">
        <v>42608.692002314812</v>
      </c>
      <c r="J197" s="7">
        <v>0</v>
      </c>
      <c r="K197" s="132" t="str">
        <f t="shared" si="112"/>
        <v>4011/4012</v>
      </c>
      <c r="L197" s="24" t="str">
        <f>VLOOKUP(A197,'Trips&amp;Operators'!$C$1:$E$10000,3,FALSE)</f>
        <v>BROWN</v>
      </c>
      <c r="M197" s="6">
        <f t="shared" si="113"/>
        <v>1.1851851850224193E-2</v>
      </c>
      <c r="N197" s="7">
        <f t="shared" si="111"/>
        <v>17.066666664322838</v>
      </c>
      <c r="O197" s="7"/>
      <c r="P197" s="7"/>
      <c r="Q197" s="25"/>
      <c r="R197" s="25"/>
      <c r="S197" s="37">
        <f t="shared" si="122"/>
        <v>1</v>
      </c>
      <c r="T197" s="52" t="str">
        <f t="shared" si="114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15:16:50-0600',mode:absolute,to:'2016-08-26 17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123"/>
        <v>N</v>
      </c>
      <c r="X197" s="120">
        <f t="shared" si="119"/>
        <v>1</v>
      </c>
      <c r="Y197" s="69">
        <f t="shared" si="120"/>
        <v>0.11210000000000001</v>
      </c>
      <c r="Z197" s="69">
        <f t="shared" si="121"/>
        <v>5.8929</v>
      </c>
      <c r="AA197" s="69">
        <f t="shared" si="116"/>
        <v>5.7808000000000002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117"/>
        <v>0829-26</v>
      </c>
      <c r="AE197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197" s="96" t="str">
        <f t="shared" si="68"/>
        <v>"C:\Program Files (x86)\AstroGrep\AstroGrep.exe" /spath="%USERPROFILE%\AppData\Local\Temp\OnboardLogs" /stypes="*4011*20160826*" /stext=" 22:.+((SYSTEM_STATE.+slice.+state.+changed )|(ment ac)|(system.+state.+changed )|(\|lc)|(penalty)|(\[timeout)|(PRM\|1\|D)|(kpr)|(kdp))" /e /r /s</v>
      </c>
      <c r="AG197" s="1" t="str">
        <f t="shared" si="118"/>
        <v>NW</v>
      </c>
      <c r="AH197" s="100" t="str">
        <f t="shared" si="69"/>
        <v>"%USERPROFILE%\Documents\GitHub\eaglep3\Utilities\RefineRTDCRunTimes.py" --tripid 829-26 --locoid 4011 --swversion DE.1.0.7.0 --startMP 204:1121 --initTime 2016-08-26T16:16:50 --startdatetime 2016-08-26T16:19:25 --delay 2 --endMP 300:58929 --enddatetime 2016-08-26T16:36:29 --enforcementcount 0 &gt;&gt;C:\Users\stu\Documents\GitHub\eaglep3-reporting\EC\2016-08-26-refined-times.txt</v>
      </c>
      <c r="AI197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{"issue":{"subject":"","project_id":79,"tracker_id":40,"status_id":1,"priority_id":2,"assigned_to_id":23,"start_date":"2016-08-26","description":"","custom_fields":[{"id":1,"name":"Subdivision","value":"NW"},{"id":4,"name":"Milepost","value":"5.7808"},{"id":17,"name":"Train ID","value":"829-26"},{"id":16,"name":"Locomotive ID","value":"4011"},{"id":130,"name":"Impact","value":""},{"id":150,"name":"Time of Event (Mountain Time)","value":"16:36:29"},{"id":151,"name":"Denver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498</v>
      </c>
      <c r="B198" s="7">
        <v>4012</v>
      </c>
      <c r="C198" s="24" t="s">
        <v>113</v>
      </c>
      <c r="D198" s="24" t="s">
        <v>728</v>
      </c>
      <c r="E198" s="15">
        <v>42608.693020833336</v>
      </c>
      <c r="F198" s="15">
        <v>42608.694166666668</v>
      </c>
      <c r="G198" s="7">
        <v>1</v>
      </c>
      <c r="H198" s="15" t="s">
        <v>729</v>
      </c>
      <c r="I198" s="15">
        <v>42608.70585648148</v>
      </c>
      <c r="J198" s="7">
        <v>0</v>
      </c>
      <c r="K198" s="132" t="str">
        <f t="shared" si="112"/>
        <v>4011/4012</v>
      </c>
      <c r="L198" s="24" t="str">
        <f>VLOOKUP(A198,'Trips&amp;Operators'!$C$1:$E$10000,3,FALSE)</f>
        <v>BROWN</v>
      </c>
      <c r="M198" s="6">
        <f t="shared" si="113"/>
        <v>1.1689814811688848E-2</v>
      </c>
      <c r="N198" s="7">
        <f t="shared" si="111"/>
        <v>16.833333328831941</v>
      </c>
      <c r="O198" s="7"/>
      <c r="P198" s="7"/>
      <c r="Q198" s="25"/>
      <c r="R198" s="25"/>
      <c r="S198" s="37">
        <f t="shared" si="122"/>
        <v>1</v>
      </c>
      <c r="T198" s="52" t="str">
        <f t="shared" si="114"/>
        <v>Southbound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15:37:57-0600',mode:absolute,to:'2016-08-26 17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98" s="54" t="str">
        <f t="shared" si="123"/>
        <v>N</v>
      </c>
      <c r="X198" s="120">
        <f t="shared" si="119"/>
        <v>1</v>
      </c>
      <c r="Y198" s="69">
        <f t="shared" si="120"/>
        <v>5.8615000000000004</v>
      </c>
      <c r="Z198" s="69">
        <f t="shared" si="121"/>
        <v>8.2500000000000004E-2</v>
      </c>
      <c r="AA198" s="69">
        <f t="shared" si="116"/>
        <v>5.7790000000000008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117"/>
        <v>0830-26</v>
      </c>
      <c r="AE198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198" s="96" t="str">
        <f t="shared" si="68"/>
        <v>"C:\Program Files (x86)\AstroGrep\AstroGrep.exe" /spath="%USERPROFILE%\AppData\Local\Temp\OnboardLogs" /stypes="*4012*20160826*" /stext=" 22:.+((SYSTEM_STATE.+slice.+state.+changed )|(ment ac)|(system.+state.+changed )|(\|lc)|(penalty)|(\[timeout)|(PRM\|1\|D)|(kpr)|(kdp))" /e /r /s</v>
      </c>
      <c r="AG198" s="1" t="str">
        <f t="shared" si="118"/>
        <v>NW</v>
      </c>
      <c r="AH198" s="100" t="str">
        <f t="shared" si="69"/>
        <v>"%USERPROFILE%\Documents\GitHub\eaglep3\Utilities\RefineRTDCRunTimes.py" --tripid 830-26 --locoid 4012 --swversion DE.1.0.7.0 --startMP 300:58615 --initTime 2016-08-26T16:37:57 --startdatetime 2016-08-26T16:39:36 --delay 1 --endMP 204:825 --enddatetime 2016-08-26T16:56:26 --enforcementcount 0 &gt;&gt;C:\Users\stu\Documents\GitHub\eaglep3-reporting\EC\2016-08-26-refined-times.txt</v>
      </c>
      <c r="AI198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{"issue":{"subject":"","project_id":79,"tracker_id":40,"status_id":1,"priority_id":2,"assigned_to_id":23,"start_date":"2016-08-26","description":"","custom_fields":[{"id":1,"name":"Subdivision","value":"NW"},{"id":4,"name":"Milepost","value":"5.779"},{"id":17,"name":"Train ID","value":"830-26"},{"id":16,"name":"Locomotive ID","value":"4012"},{"id":130,"name":"Impact","value":""},{"id":150,"name":"Time of Event (Mountain Time)","value":"16:56:26"},{"id":151,"name":"Denver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496</v>
      </c>
      <c r="B199" s="7">
        <v>4020</v>
      </c>
      <c r="C199" s="24" t="s">
        <v>113</v>
      </c>
      <c r="D199" s="24" t="s">
        <v>295</v>
      </c>
      <c r="E199" s="15">
        <v>42608.686516203707</v>
      </c>
      <c r="F199" s="15">
        <v>42608.687210648146</v>
      </c>
      <c r="G199" s="7">
        <v>0</v>
      </c>
      <c r="H199" s="15" t="s">
        <v>730</v>
      </c>
      <c r="I199" s="15">
        <v>42608.714247685188</v>
      </c>
      <c r="J199" s="7">
        <v>0</v>
      </c>
      <c r="K199" s="132" t="str">
        <f t="shared" si="112"/>
        <v>4019/4020</v>
      </c>
      <c r="L199" s="24" t="str">
        <f>VLOOKUP(A199,'Trips&amp;Operators'!$C$1:$E$10000,3,FALSE)</f>
        <v>CRAYTON</v>
      </c>
      <c r="M199" s="6">
        <f t="shared" si="113"/>
        <v>2.7037037041736767E-2</v>
      </c>
      <c r="N199" s="7">
        <f t="shared" si="111"/>
        <v>38.933333340100944</v>
      </c>
      <c r="O199" s="7"/>
      <c r="P199" s="7"/>
      <c r="Q199" s="25"/>
      <c r="R199" s="25"/>
      <c r="S199" s="37">
        <f t="shared" si="122"/>
        <v>1</v>
      </c>
      <c r="T199" s="52" t="str">
        <f t="shared" si="114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15:28:35-0600',mode:absolute,to:'2016-08-26 18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123"/>
        <v>N</v>
      </c>
      <c r="X199" s="120">
        <f t="shared" si="119"/>
        <v>1</v>
      </c>
      <c r="Y199" s="69">
        <f t="shared" si="120"/>
        <v>9.6199999999999994E-2</v>
      </c>
      <c r="Z199" s="69">
        <f t="shared" si="121"/>
        <v>5.8968999999999996</v>
      </c>
      <c r="AA199" s="69">
        <f t="shared" si="116"/>
        <v>5.8007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117"/>
        <v>0831-26</v>
      </c>
      <c r="AE199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199" s="96" t="str">
        <f t="shared" si="68"/>
        <v>"C:\Program Files (x86)\AstroGrep\AstroGrep.exe" /spath="%USERPROFILE%\AppData\Local\Temp\OnboardLogs" /stypes="*4020*20160826*" /stext=" 23:.+((SYSTEM_STATE.+slice.+state.+changed )|(ment ac)|(system.+state.+changed )|(\|lc)|(penalty)|(\[timeout)|(PRM\|1\|D)|(kpr)|(kdp))" /e /r /s</v>
      </c>
      <c r="AG199" s="1" t="str">
        <f t="shared" si="118"/>
        <v>NW</v>
      </c>
      <c r="AH199" s="100" t="str">
        <f t="shared" si="69"/>
        <v>"%USERPROFILE%\Documents\GitHub\eaglep3\Utilities\RefineRTDCRunTimes.py" --tripid 831-26 --locoid 4020 --swversion DE.1.0.7.0 --startMP 204:962 --initTime 2016-08-26T16:28:35 --startdatetime 2016-08-26T16:29:35 --delay 0 --endMP 300:58969 --enddatetime 2016-08-26T17:08:31 --enforcementcount 0 &gt;&gt;C:\Users\stu\Documents\GitHub\eaglep3-reporting\EC\2016-08-26-refined-times.txt</v>
      </c>
      <c r="AI199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{"issue":{"subject":"","project_id":79,"tracker_id":40,"status_id":1,"priority_id":2,"assigned_to_id":23,"start_date":"2016-08-26","description":"","custom_fields":[{"id":1,"name":"Subdivision","value":"NW"},{"id":4,"name":"Milepost","value":"5.8007"},{"id":17,"name":"Train ID","value":"831-26"},{"id":16,"name":"Locomotive ID","value":"4020"},{"id":130,"name":"Impact","value":""},{"id":150,"name":"Time of Event (Mountain Time)","value":"17:08:31"},{"id":151,"name":"Denver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506</v>
      </c>
      <c r="B200" s="7">
        <v>4019</v>
      </c>
      <c r="C200" s="24" t="s">
        <v>113</v>
      </c>
      <c r="D200" s="24" t="s">
        <v>227</v>
      </c>
      <c r="E200" s="15">
        <v>42608.715821759259</v>
      </c>
      <c r="F200" s="15">
        <v>42608.716782407406</v>
      </c>
      <c r="G200" s="7">
        <v>1</v>
      </c>
      <c r="H200" s="15" t="s">
        <v>731</v>
      </c>
      <c r="I200" s="15">
        <v>42608.727233796293</v>
      </c>
      <c r="J200" s="7">
        <v>0</v>
      </c>
      <c r="K200" s="132" t="str">
        <f t="shared" si="112"/>
        <v>4019/4020</v>
      </c>
      <c r="L200" s="24" t="str">
        <f>VLOOKUP(A200,'Trips&amp;Operators'!$C$1:$E$10000,3,FALSE)</f>
        <v>CRAYTON</v>
      </c>
      <c r="M200" s="6">
        <f t="shared" si="113"/>
        <v>1.0451388887304347E-2</v>
      </c>
      <c r="N200" s="7">
        <f t="shared" si="111"/>
        <v>15.04999999771826</v>
      </c>
      <c r="O200" s="7"/>
      <c r="P200" s="7"/>
      <c r="Q200" s="25"/>
      <c r="R200" s="25"/>
      <c r="S200" s="37">
        <f t="shared" si="122"/>
        <v>1</v>
      </c>
      <c r="T200" s="52" t="str">
        <f t="shared" si="114"/>
        <v>Southbound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123"/>
        <v>N</v>
      </c>
      <c r="X200" s="120">
        <f t="shared" si="119"/>
        <v>1</v>
      </c>
      <c r="Y200" s="69">
        <f t="shared" si="120"/>
        <v>5.8653000000000004</v>
      </c>
      <c r="Z200" s="69">
        <f t="shared" si="121"/>
        <v>8.5999999999999993E-2</v>
      </c>
      <c r="AA200" s="69">
        <f t="shared" si="116"/>
        <v>5.7793000000000001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117"/>
        <v>0832-26</v>
      </c>
      <c r="AE200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00" s="96" t="str">
        <f t="shared" si="68"/>
        <v>"C:\Program Files (x86)\AstroGrep\AstroGrep.exe" /spath="%USERPROFILE%\AppData\Local\Temp\OnboardLogs" /stypes="*4019*20160826*" /stext=" 23:.+((SYSTEM_STATE.+slice.+state.+changed )|(ment ac)|(system.+state.+changed )|(\|lc)|(penalty)|(\[timeout)|(PRM\|1\|D)|(kpr)|(kdp))" /e /r /s</v>
      </c>
      <c r="AG200" s="1" t="str">
        <f t="shared" si="118"/>
        <v>NW</v>
      </c>
      <c r="AH200" s="100" t="str">
        <f t="shared" si="69"/>
        <v>"%USERPROFILE%\Documents\GitHub\eaglep3\Utilities\RefineRTDCRunTimes.py" --tripid 832-26 --locoid 4019 --swversion DE.1.0.7.0 --startMP 300:58653 --initTime 2016-08-26T17:10:47 --startdatetime 2016-08-26T17:12:10 --delay 1 --endMP 204:860 --enddatetime 2016-08-26T17:27:13 --enforcementcount 0 &gt;&gt;C:\Users\stu\Documents\GitHub\eaglep3-reporting\EC\2016-08-26-refined-times.txt</v>
      </c>
      <c r="AI200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{"issue":{"subject":"","project_id":79,"tracker_id":40,"status_id":1,"priority_id":2,"assigned_to_id":23,"start_date":"2016-08-26","description":"","custom_fields":[{"id":1,"name":"Subdivision","value":"NW"},{"id":4,"name":"Milepost","value":"5.7793"},{"id":17,"name":"Train ID","value":"832-26"},{"id":16,"name":"Locomotive ID","value":"4019"},{"id":130,"name":"Impact","value":""},{"id":150,"name":"Time of Event (Mountain Time)","value":"17:27:13"},{"id":151,"name":"Denver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502</v>
      </c>
      <c r="B201" s="7">
        <v>4011</v>
      </c>
      <c r="C201" s="24" t="s">
        <v>113</v>
      </c>
      <c r="D201" s="24" t="s">
        <v>732</v>
      </c>
      <c r="E201" s="15">
        <v>42608.710347222222</v>
      </c>
      <c r="F201" s="15">
        <v>42608.71125</v>
      </c>
      <c r="G201" s="7">
        <v>1</v>
      </c>
      <c r="H201" s="15" t="s">
        <v>733</v>
      </c>
      <c r="I201" s="15">
        <v>42608.733888888892</v>
      </c>
      <c r="J201" s="7">
        <v>0</v>
      </c>
      <c r="K201" s="132" t="str">
        <f t="shared" si="112"/>
        <v>4011/4012</v>
      </c>
      <c r="L201" s="24" t="str">
        <f>VLOOKUP(A201,'Trips&amp;Operators'!$C$1:$E$10000,3,FALSE)</f>
        <v>BROWN</v>
      </c>
      <c r="M201" s="6">
        <f t="shared" si="113"/>
        <v>2.2638888891378883E-2</v>
      </c>
      <c r="N201" s="7">
        <f t="shared" si="111"/>
        <v>32.600000003585592</v>
      </c>
      <c r="O201" s="7"/>
      <c r="P201" s="7"/>
      <c r="Q201" s="25"/>
      <c r="R201" s="25"/>
      <c r="S201" s="37">
        <f t="shared" si="122"/>
        <v>1</v>
      </c>
      <c r="T201" s="52" t="str">
        <f t="shared" si="114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16:02:54-0600',mode:absolute,to:'2016-08-26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1" s="54" t="str">
        <f t="shared" si="123"/>
        <v>N</v>
      </c>
      <c r="X201" s="120">
        <f t="shared" si="119"/>
        <v>1</v>
      </c>
      <c r="Y201" s="69">
        <f t="shared" si="120"/>
        <v>0.1118</v>
      </c>
      <c r="Z201" s="69">
        <f t="shared" si="121"/>
        <v>5.8960999999999997</v>
      </c>
      <c r="AA201" s="69">
        <f t="shared" si="116"/>
        <v>5.7843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117"/>
        <v>0833-26</v>
      </c>
      <c r="AE201" s="99" t="str">
        <f t="shared" si="67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1" s="96" t="str">
        <f t="shared" si="68"/>
        <v>"C:\Program Files (x86)\AstroGrep\AstroGrep.exe" /spath="%USERPROFILE%\AppData\Local\Temp\OnboardLogs" /stypes="*4011*20160826*" /stext=" 23:.+((SYSTEM_STATE.+slice.+state.+changed )|(ment ac)|(system.+state.+changed )|(\|lc)|(penalty)|(\[timeout)|(PRM\|1\|D)|(kpr)|(kdp))" /e /r /s</v>
      </c>
      <c r="AG201" s="1" t="str">
        <f t="shared" si="118"/>
        <v>NW</v>
      </c>
      <c r="AH201" s="100" t="str">
        <f t="shared" si="69"/>
        <v>"%USERPROFILE%\Documents\GitHub\eaglep3\Utilities\RefineRTDCRunTimes.py" --tripid 833-26 --locoid 4011 --swversion DE.1.0.7.0 --startMP 204:1118 --initTime 2016-08-26T17:02:54 --startdatetime 2016-08-26T17:04:12 --delay 1 --endMP 300:58961 --enddatetime 2016-08-26T17:36:48 --enforcementcount 0 &gt;&gt;C:\Users\stu\Documents\GitHub\eaglep3-reporting\EC\2016-08-26-refined-times.txt</v>
      </c>
      <c r="AI201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{"issue":{"subject":"","project_id":79,"tracker_id":40,"status_id":1,"priority_id":2,"assigned_to_id":23,"start_date":"2016-08-26","description":"","custom_fields":[{"id":1,"name":"Subdivision","value":"NW"},{"id":4,"name":"Milepost","value":"5.7843"},{"id":17,"name":"Train ID","value":"833-26"},{"id":16,"name":"Locomotive ID","value":"4011"},{"id":130,"name":"Impact","value":""},{"id":150,"name":"Time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510</v>
      </c>
      <c r="B202" s="7">
        <v>4012</v>
      </c>
      <c r="C202" s="24" t="s">
        <v>113</v>
      </c>
      <c r="D202" s="24" t="s">
        <v>734</v>
      </c>
      <c r="E202" s="15">
        <v>42608.734930555554</v>
      </c>
      <c r="F202" s="15">
        <v>42608.735960648148</v>
      </c>
      <c r="G202" s="7">
        <v>1</v>
      </c>
      <c r="H202" s="15" t="s">
        <v>735</v>
      </c>
      <c r="I202" s="15">
        <v>42608.747881944444</v>
      </c>
      <c r="J202" s="7">
        <v>0</v>
      </c>
      <c r="K202" s="132" t="str">
        <f t="shared" si="112"/>
        <v>4011/4012</v>
      </c>
      <c r="L202" s="24" t="str">
        <f>VLOOKUP(A202,'Trips&amp;Operators'!$C$1:$E$10000,3,FALSE)</f>
        <v>BROWN</v>
      </c>
      <c r="M202" s="6">
        <f t="shared" si="113"/>
        <v>1.1921296296350192E-2</v>
      </c>
      <c r="N202" s="7">
        <f t="shared" si="111"/>
        <v>17.166666666744277</v>
      </c>
      <c r="O202" s="7"/>
      <c r="P202" s="7"/>
      <c r="Q202" s="25"/>
      <c r="R202" s="25"/>
      <c r="S202" s="37">
        <f t="shared" si="122"/>
        <v>1</v>
      </c>
      <c r="T202" s="52" t="str">
        <f t="shared" si="114"/>
        <v>Southbound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16:38:18-0600',mode:absolute,to:'2016-08-26 18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2" s="54" t="str">
        <f t="shared" si="123"/>
        <v>N</v>
      </c>
      <c r="X202" s="120">
        <f t="shared" si="119"/>
        <v>1</v>
      </c>
      <c r="Y202" s="69">
        <f t="shared" si="120"/>
        <v>5.8715000000000002</v>
      </c>
      <c r="Z202" s="69">
        <f t="shared" si="121"/>
        <v>8.7400000000000005E-2</v>
      </c>
      <c r="AA202" s="69">
        <f t="shared" si="116"/>
        <v>5.7841000000000005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117"/>
        <v>0834-26</v>
      </c>
      <c r="AE202" s="99" t="str">
        <f t="shared" si="67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2" s="96" t="str">
        <f t="shared" si="68"/>
        <v>"C:\Program Files (x86)\AstroGrep\AstroGrep.exe" /spath="%USERPROFILE%\AppData\Local\Temp\OnboardLogs" /stypes="*4012*20160826*" /stext=" 23:.+((SYSTEM_STATE.+slice.+state.+changed )|(ment ac)|(system.+state.+changed )|(\|lc)|(penalty)|(\[timeout)|(PRM\|1\|D)|(kpr)|(kdp))" /e /r /s</v>
      </c>
      <c r="AG202" s="1" t="str">
        <f t="shared" si="118"/>
        <v>NW</v>
      </c>
      <c r="AH202" s="100" t="str">
        <f t="shared" si="69"/>
        <v>"%USERPROFILE%\Documents\GitHub\eaglep3\Utilities\RefineRTDCRunTimes.py" --tripid 834-26 --locoid 4012 --swversion DE.1.0.7.0 --startMP 300:58715 --initTime 2016-08-26T17:38:18 --startdatetime 2016-08-26T17:39:47 --delay 1 --endMP 204:874 --enddatetime 2016-08-26T17:56:57 --enforcementcount 0 &gt;&gt;C:\Users\stu\Documents\GitHub\eaglep3-reporting\EC\2016-08-26-refined-times.txt</v>
      </c>
      <c r="AI202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{"issue":{"subject":"","project_id":79,"tracker_id":40,"status_id":1,"priority_id":2,"assigned_to_id":23,"start_date":"2016-08-26","description":"","custom_fields":[{"id":1,"name":"Subdivision","value":"NW"},{"id":4,"name":"Milepost","value":"5.7841"},{"id":17,"name":"Train ID","value":"834-26"},{"id":16,"name":"Locomotive ID","value":"4012"},{"id":130,"name":"Impact","value":""},{"id":150,"name":"Time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504</v>
      </c>
      <c r="B203" s="7">
        <v>4020</v>
      </c>
      <c r="C203" s="24" t="s">
        <v>113</v>
      </c>
      <c r="D203" s="24" t="s">
        <v>736</v>
      </c>
      <c r="E203" s="15">
        <v>42608.728993055556</v>
      </c>
      <c r="F203" s="15">
        <v>42608.729907407411</v>
      </c>
      <c r="G203" s="7">
        <v>1</v>
      </c>
      <c r="H203" s="15" t="s">
        <v>737</v>
      </c>
      <c r="I203" s="15">
        <v>42608.75377314815</v>
      </c>
      <c r="J203" s="7">
        <v>0</v>
      </c>
      <c r="K203" s="132" t="str">
        <f t="shared" si="112"/>
        <v>4019/4020</v>
      </c>
      <c r="L203" s="24" t="str">
        <f>VLOOKUP(A203,'Trips&amp;Operators'!$C$1:$E$10000,3,FALSE)</f>
        <v>CRAYTON</v>
      </c>
      <c r="M203" s="6">
        <f t="shared" si="113"/>
        <v>2.3865740738983732E-2</v>
      </c>
      <c r="N203" s="7">
        <f t="shared" si="111"/>
        <v>34.366666664136574</v>
      </c>
      <c r="O203" s="7"/>
      <c r="P203" s="7"/>
      <c r="Q203" s="25"/>
      <c r="R203" s="25"/>
      <c r="S203" s="37">
        <f t="shared" si="122"/>
        <v>1</v>
      </c>
      <c r="T203" s="52" t="str">
        <f t="shared" si="114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16:29:45-0600',mode:absolute,to:'2016-08-26 19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123"/>
        <v>N</v>
      </c>
      <c r="X203" s="120">
        <f t="shared" si="119"/>
        <v>1</v>
      </c>
      <c r="Y203" s="69">
        <f t="shared" si="120"/>
        <v>0.114</v>
      </c>
      <c r="Z203" s="69">
        <f t="shared" si="121"/>
        <v>5.8935000000000004</v>
      </c>
      <c r="AA203" s="69">
        <f t="shared" si="116"/>
        <v>5.7795000000000005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117"/>
        <v>0835-26</v>
      </c>
      <c r="AE203" s="99" t="str">
        <f t="shared" si="67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03" s="96" t="str">
        <f t="shared" si="68"/>
        <v>"C:\Program Files (x86)\AstroGrep\AstroGrep.exe" /spath="%USERPROFILE%\AppData\Local\Temp\OnboardLogs" /stypes="*4020*20160827*" /stext=" 00:.+((SYSTEM_STATE.+slice.+state.+changed )|(ment ac)|(system.+state.+changed )|(\|lc)|(penalty)|(\[timeout)|(PRM\|1\|D)|(kpr)|(kdp))" /e /r /s</v>
      </c>
      <c r="AG203" s="1" t="str">
        <f t="shared" si="118"/>
        <v>NW</v>
      </c>
      <c r="AH203" s="100" t="str">
        <f t="shared" si="69"/>
        <v>"%USERPROFILE%\Documents\GitHub\eaglep3\Utilities\RefineRTDCRunTimes.py" --tripid 835-26 --locoid 4020 --swversion DE.1.0.7.0 --startMP 204:1140 --initTime 2016-08-26T17:29:45 --startdatetime 2016-08-26T17:31:04 --delay 1 --endMP 300:58935 --enddatetime 2016-08-26T18:05:26 --enforcementcount 0 &gt;&gt;C:\Users\stu\Documents\GitHub\eaglep3-reporting\EC\2016-08-26-refined-times.txt</v>
      </c>
      <c r="AI203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{"issue":{"subject":"","project_id":79,"tracker_id":40,"status_id":1,"priority_id":2,"assigned_to_id":23,"start_date":"2016-08-26","description":"","custom_fields":[{"id":1,"name":"Subdivision","value":"NW"},{"id":4,"name":"Milepost","value":"5.7795"},{"id":17,"name":"Train ID","value":"835-26"},{"id":16,"name":"Locomotive ID","value":"4020"},{"id":130,"name":"Impact","value":""},{"id":150,"name":"Time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516</v>
      </c>
      <c r="B204" s="7">
        <v>4019</v>
      </c>
      <c r="C204" s="24" t="s">
        <v>113</v>
      </c>
      <c r="D204" s="24" t="s">
        <v>297</v>
      </c>
      <c r="E204" s="15">
        <v>42608.754710648151</v>
      </c>
      <c r="F204" s="15">
        <v>42608.755578703705</v>
      </c>
      <c r="G204" s="7">
        <v>1</v>
      </c>
      <c r="H204" s="15" t="s">
        <v>738</v>
      </c>
      <c r="I204" s="15">
        <v>42608.768078703702</v>
      </c>
      <c r="J204" s="7">
        <v>0</v>
      </c>
      <c r="K204" s="132" t="str">
        <f t="shared" si="112"/>
        <v>4019/4020</v>
      </c>
      <c r="L204" s="24" t="str">
        <f>VLOOKUP(A204,'Trips&amp;Operators'!$C$1:$E$10000,3,FALSE)</f>
        <v>CRAYTON</v>
      </c>
      <c r="M204" s="6">
        <f t="shared" si="113"/>
        <v>1.2499999997089617E-2</v>
      </c>
      <c r="N204" s="7">
        <f t="shared" si="111"/>
        <v>17.999999995809048</v>
      </c>
      <c r="O204" s="7"/>
      <c r="P204" s="7"/>
      <c r="Q204" s="25"/>
      <c r="R204" s="25"/>
      <c r="S204" s="37">
        <f t="shared" si="122"/>
        <v>1</v>
      </c>
      <c r="T204" s="52" t="str">
        <f t="shared" si="114"/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17:06:47-0600',mode:absolute,to:'2016-08-26 19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4" s="54" t="str">
        <f t="shared" si="123"/>
        <v>N</v>
      </c>
      <c r="X204" s="120">
        <f t="shared" si="119"/>
        <v>1</v>
      </c>
      <c r="Y204" s="69">
        <f t="shared" si="120"/>
        <v>5.8625999999999996</v>
      </c>
      <c r="Z204" s="69">
        <f t="shared" si="121"/>
        <v>6.6100000000000006E-2</v>
      </c>
      <c r="AA204" s="69">
        <f t="shared" si="116"/>
        <v>5.7965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117"/>
        <v>0836-26</v>
      </c>
      <c r="AE204" s="99" t="str">
        <f t="shared" si="67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04" s="96" t="str">
        <f t="shared" si="68"/>
        <v>"C:\Program Files (x86)\AstroGrep\AstroGrep.exe" /spath="%USERPROFILE%\AppData\Local\Temp\OnboardLogs" /stypes="*4019*20160827*" /stext=" 00:.+((SYSTEM_STATE.+slice.+state.+changed )|(ment ac)|(system.+state.+changed )|(\|lc)|(penalty)|(\[timeout)|(PRM\|1\|D)|(kpr)|(kdp))" /e /r /s</v>
      </c>
      <c r="AG204" s="1" t="str">
        <f t="shared" si="118"/>
        <v>NW</v>
      </c>
      <c r="AH204" s="100" t="str">
        <f t="shared" si="69"/>
        <v>"%USERPROFILE%\Documents\GitHub\eaglep3\Utilities\RefineRTDCRunTimes.py" --tripid 836-26 --locoid 4019 --swversion DE.1.0.7.0 --startMP 300:58626 --initTime 2016-08-26T18:06:47 --startdatetime 2016-08-26T18:08:02 --delay 1 --endMP 204:661 --enddatetime 2016-08-26T18:26:02 --enforcementcount 0 &gt;&gt;C:\Users\stu\Documents\GitHub\eaglep3-reporting\EC\2016-08-26-refined-times.txt</v>
      </c>
      <c r="AI204" s="149" t="str">
        <f t="shared" si="70"/>
        <v>echo {"issue":{"subject":"","project_id":79,"tracker_id":40,"status_id":1,"priority_id":2,"assigned_to_id":23,"start_date":"2016-08-26","description":"","custom_fields":[{"id":1,"name":"Subdivision","value":"NW"},{"id":4,"name":"Milepost","value":"5.7965"},{"id":17,"name":"Train ID","value":"836-26"},{"id":16,"name":"Locomotive ID","value":"4019"},{"id":130,"name":"Impact","value":""},{"id":150,"name":"Time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518</v>
      </c>
      <c r="B205" s="7">
        <v>4011</v>
      </c>
      <c r="C205" s="24" t="s">
        <v>113</v>
      </c>
      <c r="D205" s="24" t="s">
        <v>739</v>
      </c>
      <c r="E205" s="15">
        <v>42608.760104166664</v>
      </c>
      <c r="F205" s="15">
        <v>42608.762187499997</v>
      </c>
      <c r="G205" s="7">
        <v>3</v>
      </c>
      <c r="H205" s="15" t="s">
        <v>740</v>
      </c>
      <c r="I205" s="15">
        <v>42608.775694444441</v>
      </c>
      <c r="J205" s="7">
        <v>0</v>
      </c>
      <c r="K205" s="132" t="str">
        <f t="shared" si="112"/>
        <v>4011/4012</v>
      </c>
      <c r="L205" s="24" t="str">
        <f>VLOOKUP(A205,'Trips&amp;Operators'!$C$1:$E$10000,3,FALSE)</f>
        <v>BROWN</v>
      </c>
      <c r="M205" s="6">
        <f t="shared" si="113"/>
        <v>1.3506944444088731E-2</v>
      </c>
      <c r="N205" s="7">
        <f t="shared" si="111"/>
        <v>19.449999999487773</v>
      </c>
      <c r="O205" s="7"/>
      <c r="P205" s="7"/>
      <c r="Q205" s="25"/>
      <c r="R205" s="25"/>
      <c r="S205" s="37">
        <f t="shared" si="122"/>
        <v>1</v>
      </c>
      <c r="T205" s="52" t="str">
        <f t="shared" si="114"/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17:14:33-0600',mode:absolute,to:'2016-08-26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5" s="54" t="str">
        <f t="shared" si="123"/>
        <v>N</v>
      </c>
      <c r="X205" s="120">
        <f t="shared" si="119"/>
        <v>1</v>
      </c>
      <c r="Y205" s="69">
        <f t="shared" si="120"/>
        <v>0.113</v>
      </c>
      <c r="Z205" s="69">
        <f t="shared" si="121"/>
        <v>5.8983999999999996</v>
      </c>
      <c r="AA205" s="69">
        <f t="shared" si="116"/>
        <v>5.7853999999999992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si="117"/>
        <v>0837-26</v>
      </c>
      <c r="AE205" s="99" t="str">
        <f t="shared" ref="AE205:AE230" si="12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5" s="96" t="str">
        <f t="shared" ref="AF205:AF230" si="125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/stypes="*4011*20160827*" /stext=" 00:.+((SYSTEM_STATE.+slice.+state.+changed )|(ment ac)|(system.+state.+changed )|(\|lc)|(penalty)|(\[timeout)|(PRM\|1\|D)|(kpr)|(kdp))" /e /r /s</v>
      </c>
      <c r="AG205" s="1" t="str">
        <f t="shared" si="118"/>
        <v>NW</v>
      </c>
      <c r="AH205" s="100" t="str">
        <f t="shared" ref="AH205:AH230" si="12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837-26 --locoid 4011 --swversion DE.1.0.7.0 --startMP 204:1130 --initTime 2016-08-26T18:14:33 --startdatetime 2016-08-26T18:17:33 --delay 3 --endMP 300:58984 --enddatetime 2016-08-26T18:37:00 --enforcementcount 0 &gt;&gt;C:\Users\stu\Documents\GitHub\eaglep3-reporting\EC\2016-08-26-refined-times.txt</v>
      </c>
      <c r="AI205" s="149" t="str">
        <f t="shared" ref="AI205:AI230" si="12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{"issue":{"subject":"","project_id":79,"tracker_id":40,"status_id":1,"priority_id":2,"assigned_to_id":23,"start_date":"2016-08-26","description":"","custom_fields":[{"id":1,"name":"Subdivision","value":"NW"},{"id":4,"name":"Milepost","value":"5.7854"},{"id":17,"name":"Train ID","value":"837-26"},{"id":16,"name":"Locomotive ID","value":"4011"},{"id":130,"name":"Impact","value":""},{"id":150,"name":"Time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524</v>
      </c>
      <c r="B206" s="7">
        <v>4012</v>
      </c>
      <c r="C206" s="24" t="s">
        <v>113</v>
      </c>
      <c r="D206" s="24" t="s">
        <v>741</v>
      </c>
      <c r="E206" s="15">
        <v>42608.776620370372</v>
      </c>
      <c r="F206" s="15">
        <v>42608.777384259258</v>
      </c>
      <c r="G206" s="7">
        <v>1</v>
      </c>
      <c r="H206" s="15" t="s">
        <v>577</v>
      </c>
      <c r="I206" s="15">
        <v>42608.789606481485</v>
      </c>
      <c r="J206" s="7">
        <v>0</v>
      </c>
      <c r="K206" s="132" t="str">
        <f t="shared" si="112"/>
        <v>4011/4012</v>
      </c>
      <c r="L206" s="24" t="str">
        <f>VLOOKUP(A206,'Trips&amp;Operators'!$C$1:$E$10000,3,FALSE)</f>
        <v>BROWN</v>
      </c>
      <c r="M206" s="6">
        <f t="shared" si="113"/>
        <v>1.2222222227137536E-2</v>
      </c>
      <c r="N206" s="7">
        <f t="shared" si="111"/>
        <v>17.600000007078052</v>
      </c>
      <c r="O206" s="7"/>
      <c r="P206" s="7"/>
      <c r="Q206" s="25"/>
      <c r="R206" s="25"/>
      <c r="S206" s="37">
        <f t="shared" si="122"/>
        <v>1</v>
      </c>
      <c r="T206" s="52" t="str">
        <f t="shared" si="114"/>
        <v>Southbound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17:38:20-0600',mode:absolute,to:'2016-08-26 19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6" s="54" t="str">
        <f t="shared" si="123"/>
        <v>N</v>
      </c>
      <c r="X206" s="120">
        <f t="shared" si="119"/>
        <v>1</v>
      </c>
      <c r="Y206" s="69">
        <f t="shared" si="120"/>
        <v>5.8663999999999996</v>
      </c>
      <c r="Z206" s="69">
        <f t="shared" si="121"/>
        <v>7.2599999999999998E-2</v>
      </c>
      <c r="AA206" s="69">
        <f t="shared" si="116"/>
        <v>5.7937999999999992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17"/>
        <v>0838-26</v>
      </c>
      <c r="AE206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6" s="96" t="str">
        <f t="shared" si="125"/>
        <v>"C:\Program Files (x86)\AstroGrep\AstroGrep.exe" /spath="%USERPROFILE%\AppData\Local\Temp\OnboardLogs" /stypes="*4012*20160827*" /stext=" 00:.+((SYSTEM_STATE.+slice.+state.+changed )|(ment ac)|(system.+state.+changed )|(\|lc)|(penalty)|(\[timeout)|(PRM\|1\|D)|(kpr)|(kdp))" /e /r /s</v>
      </c>
      <c r="AG206" s="1" t="str">
        <f t="shared" si="118"/>
        <v>NW</v>
      </c>
      <c r="AH206" s="100" t="str">
        <f t="shared" si="126"/>
        <v>"%USERPROFILE%\Documents\GitHub\eaglep3\Utilities\RefineRTDCRunTimes.py" --tripid 838-26 --locoid 4012 --swversion DE.1.0.7.0 --startMP 300:58664 --initTime 2016-08-26T18:38:20 --startdatetime 2016-08-26T18:39:26 --delay 1 --endMP 204:726 --enddatetime 2016-08-26T18:57:02 --enforcementcount 0 &gt;&gt;C:\Users\stu\Documents\GitHub\eaglep3-reporting\EC\2016-08-26-refined-times.txt</v>
      </c>
      <c r="AI206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{"issue":{"subject":"","project_id":79,"tracker_id":40,"status_id":1,"priority_id":2,"assigned_to_id":23,"start_date":"2016-08-26","description":"","custom_fields":[{"id":1,"name":"Subdivision","value":"NW"},{"id":4,"name":"Milepost","value":"5.7938"},{"id":17,"name":"Train ID","value":"838-26"},{"id":16,"name":"Locomotive ID","value":"4012"},{"id":130,"name":"Impact","value":""},{"id":150,"name":"Time of Event (Mountain Time)","value":"18:57:02"},{"id":151,"name":"Denver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523</v>
      </c>
      <c r="B207" s="7">
        <v>4020</v>
      </c>
      <c r="C207" s="24" t="s">
        <v>113</v>
      </c>
      <c r="D207" s="24" t="s">
        <v>742</v>
      </c>
      <c r="E207" s="15">
        <v>42608.769733796296</v>
      </c>
      <c r="F207" s="15">
        <v>42608.781018518515</v>
      </c>
      <c r="G207" s="7">
        <v>16</v>
      </c>
      <c r="H207" s="15" t="s">
        <v>296</v>
      </c>
      <c r="I207" s="15">
        <v>42608.796319444446</v>
      </c>
      <c r="J207" s="7">
        <v>0</v>
      </c>
      <c r="K207" s="132" t="str">
        <f t="shared" si="112"/>
        <v>4019/4020</v>
      </c>
      <c r="L207" s="24" t="str">
        <f>VLOOKUP(A207,'Trips&amp;Operators'!$C$1:$E$10000,3,FALSE)</f>
        <v>CRAYTON</v>
      </c>
      <c r="M207" s="6">
        <f t="shared" si="113"/>
        <v>1.5300925930205267E-2</v>
      </c>
      <c r="N207" s="7">
        <f t="shared" si="111"/>
        <v>22.033333339495584</v>
      </c>
      <c r="O207" s="7"/>
      <c r="P207" s="7"/>
      <c r="Q207" s="25"/>
      <c r="R207" s="25"/>
      <c r="S207" s="37">
        <f t="shared" si="122"/>
        <v>1</v>
      </c>
      <c r="T207" s="52" t="str">
        <f t="shared" si="114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17:28:25-0600',mode:absolute,to:'2016-08-26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7" s="54" t="str">
        <f t="shared" si="123"/>
        <v>N</v>
      </c>
      <c r="X207" s="120">
        <f t="shared" si="119"/>
        <v>1</v>
      </c>
      <c r="Y207" s="69">
        <f t="shared" si="120"/>
        <v>9.5299999999999996E-2</v>
      </c>
      <c r="Z207" s="69">
        <f t="shared" si="121"/>
        <v>5.8948</v>
      </c>
      <c r="AA207" s="69">
        <f t="shared" si="116"/>
        <v>5.7995000000000001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17"/>
        <v>0839-26</v>
      </c>
      <c r="AE207" s="99" t="str">
        <f t="shared" si="124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07" s="96" t="str">
        <f t="shared" si="125"/>
        <v>"C:\Program Files (x86)\AstroGrep\AstroGrep.exe" /spath="%USERPROFILE%\AppData\Local\Temp\OnboardLogs" /stypes="*4020*20160827*" /stext=" 01:.+((SYSTEM_STATE.+slice.+state.+changed )|(ment ac)|(system.+state.+changed )|(\|lc)|(penalty)|(\[timeout)|(PRM\|1\|D)|(kpr)|(kdp))" /e /r /s</v>
      </c>
      <c r="AG207" s="1" t="str">
        <f t="shared" si="118"/>
        <v>NW</v>
      </c>
      <c r="AH207" s="100" t="str">
        <f t="shared" si="126"/>
        <v>"%USERPROFILE%\Documents\GitHub\eaglep3\Utilities\RefineRTDCRunTimes.py" --tripid 839-26 --locoid 4020 --swversion DE.1.0.7.0 --startMP 204:953 --initTime 2016-08-26T18:28:25 --startdatetime 2016-08-26T18:44:40 --delay 16 --endMP 300:58948 --enddatetime 2016-08-26T19:06:42 --enforcementcount 0 &gt;&gt;C:\Users\stu\Documents\GitHub\eaglep3-reporting\EC\2016-08-26-refined-times.txt</v>
      </c>
      <c r="AI207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{"issue":{"subject":"","project_id":79,"tracker_id":40,"status_id":1,"priority_id":2,"assigned_to_id":23,"start_date":"2016-08-26","description":"","custom_fields":[{"id":1,"name":"Subdivision","value":"NW"},{"id":4,"name":"Milepost","value":"5.7995"},{"id":17,"name":"Train ID","value":"839-26"},{"id":16,"name":"Locomotive ID","value":"4020"},{"id":130,"name":"Impact","value":""},{"id":150,"name":"Time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534</v>
      </c>
      <c r="B208" s="7">
        <v>4012</v>
      </c>
      <c r="C208" s="24" t="s">
        <v>113</v>
      </c>
      <c r="D208" s="24" t="s">
        <v>323</v>
      </c>
      <c r="E208" s="15">
        <v>42608.819247685184</v>
      </c>
      <c r="F208" s="15">
        <v>42608.820092592592</v>
      </c>
      <c r="G208" s="7">
        <v>1</v>
      </c>
      <c r="H208" s="15" t="s">
        <v>743</v>
      </c>
      <c r="I208" s="15">
        <v>42608.831111111111</v>
      </c>
      <c r="J208" s="7">
        <v>0</v>
      </c>
      <c r="K208" s="132" t="str">
        <f t="shared" si="112"/>
        <v>4011/4012</v>
      </c>
      <c r="L208" s="24" t="str">
        <f>VLOOKUP(A208,'Trips&amp;Operators'!$C$1:$E$10000,3,FALSE)</f>
        <v>BROWN</v>
      </c>
      <c r="M208" s="6">
        <f t="shared" si="113"/>
        <v>1.1018518518540077E-2</v>
      </c>
      <c r="N208" s="7">
        <f t="shared" si="111"/>
        <v>15.866666666697711</v>
      </c>
      <c r="O208" s="7"/>
      <c r="P208" s="7"/>
      <c r="Q208" s="25"/>
      <c r="R208" s="25"/>
      <c r="S208" s="37">
        <f t="shared" si="122"/>
        <v>1</v>
      </c>
      <c r="T208" s="52" t="str">
        <f t="shared" si="114"/>
        <v>Southbound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18:39:43-0600',mode:absolute,to:'2016-08-26 20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08" s="54" t="str">
        <f t="shared" si="123"/>
        <v>N</v>
      </c>
      <c r="X208" s="120">
        <f t="shared" si="119"/>
        <v>1</v>
      </c>
      <c r="Y208" s="69">
        <f t="shared" si="120"/>
        <v>5.8628</v>
      </c>
      <c r="Z208" s="69">
        <f t="shared" si="121"/>
        <v>8.5000000000000006E-2</v>
      </c>
      <c r="AA208" s="69">
        <f t="shared" si="116"/>
        <v>5.7778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17"/>
        <v>0840-26</v>
      </c>
      <c r="AE208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08" s="96" t="str">
        <f t="shared" si="125"/>
        <v>"C:\Program Files (x86)\AstroGrep\AstroGrep.exe" /spath="%USERPROFILE%\AppData\Local\Temp\OnboardLogs" /stypes="*4012*20160827*" /stext=" 01:.+((SYSTEM_STATE.+slice.+state.+changed )|(ment ac)|(system.+state.+changed )|(\|lc)|(penalty)|(\[timeout)|(PRM\|1\|D)|(kpr)|(kdp))" /e /r /s</v>
      </c>
      <c r="AG208" s="1" t="str">
        <f t="shared" si="118"/>
        <v>NW</v>
      </c>
      <c r="AH208" s="100" t="str">
        <f t="shared" si="126"/>
        <v>"%USERPROFILE%\Documents\GitHub\eaglep3\Utilities\RefineRTDCRunTimes.py" --tripid 840-26 --locoid 4012 --swversion DE.1.0.7.0 --startMP 300:58628 --initTime 2016-08-26T19:39:43 --startdatetime 2016-08-26T19:40:56 --delay 1 --endMP 204:850 --enddatetime 2016-08-26T19:56:48 --enforcementcount 0 &gt;&gt;C:\Users\stu\Documents\GitHub\eaglep3-reporting\EC\2016-08-26-refined-times.txt</v>
      </c>
      <c r="AI208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{"issue":{"subject":"","project_id":79,"tracker_id":40,"status_id":1,"priority_id":2,"assigned_to_id":23,"start_date":"2016-08-26","description":"","custom_fields":[{"id":1,"name":"Subdivision","value":"NW"},{"id":4,"name":"Milepost","value":"5.7778"},{"id":17,"name":"Train ID","value":"840-26"},{"id":16,"name":"Locomotive ID","value":"4012"},{"id":130,"name":"Impact","value":""},{"id":150,"name":"Time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531</v>
      </c>
      <c r="B209" s="7">
        <v>4011</v>
      </c>
      <c r="C209" s="24" t="s">
        <v>113</v>
      </c>
      <c r="D209" s="24" t="s">
        <v>744</v>
      </c>
      <c r="E209" s="15">
        <v>42608.802534722221</v>
      </c>
      <c r="F209" s="15">
        <v>42608.803564814814</v>
      </c>
      <c r="G209" s="7">
        <v>1</v>
      </c>
      <c r="H209" s="15" t="s">
        <v>328</v>
      </c>
      <c r="I209" s="15">
        <v>42608.818333333336</v>
      </c>
      <c r="J209" s="7">
        <v>0</v>
      </c>
      <c r="K209" s="132" t="str">
        <f t="shared" si="112"/>
        <v>4011/4012</v>
      </c>
      <c r="L209" s="24" t="str">
        <f>VLOOKUP(A209,'Trips&amp;Operators'!$C$1:$E$10000,3,FALSE)</f>
        <v>BROWN</v>
      </c>
      <c r="M209" s="6">
        <f t="shared" si="113"/>
        <v>1.4768518522032537E-2</v>
      </c>
      <c r="N209" s="7">
        <f t="shared" ref="N209:N230" si="128">24*60*SUM($M209:$M209)</f>
        <v>21.266666671726853</v>
      </c>
      <c r="O209" s="7"/>
      <c r="P209" s="7"/>
      <c r="Q209" s="25"/>
      <c r="R209" s="25"/>
      <c r="S209" s="37">
        <f t="shared" si="122"/>
        <v>1</v>
      </c>
      <c r="T209" s="52" t="str">
        <f t="shared" si="114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18:15:39-0600',mode:absolute,to:'2016-08-26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9" s="54" t="str">
        <f t="shared" si="123"/>
        <v>N</v>
      </c>
      <c r="X209" s="120">
        <f t="shared" si="119"/>
        <v>1</v>
      </c>
      <c r="Y209" s="69">
        <f t="shared" si="120"/>
        <v>0.1027</v>
      </c>
      <c r="Z209" s="69">
        <f t="shared" si="121"/>
        <v>5.8949999999999996</v>
      </c>
      <c r="AA209" s="69">
        <f t="shared" si="116"/>
        <v>5.7923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17"/>
        <v>0841-26</v>
      </c>
      <c r="AE209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09" s="96" t="str">
        <f t="shared" si="125"/>
        <v>"C:\Program Files (x86)\AstroGrep\AstroGrep.exe" /spath="%USERPROFILE%\AppData\Local\Temp\OnboardLogs" /stypes="*4011*20160827*" /stext=" 01:.+((SYSTEM_STATE.+slice.+state.+changed )|(ment ac)|(system.+state.+changed )|(\|lc)|(penalty)|(\[timeout)|(PRM\|1\|D)|(kpr)|(kdp))" /e /r /s</v>
      </c>
      <c r="AG209" s="1" t="str">
        <f t="shared" si="118"/>
        <v>NW</v>
      </c>
      <c r="AH209" s="100" t="str">
        <f t="shared" si="126"/>
        <v>"%USERPROFILE%\Documents\GitHub\eaglep3\Utilities\RefineRTDCRunTimes.py" --tripid 841-26 --locoid 4011 --swversion DE.1.0.7.0 --startMP 204:1027 --initTime 2016-08-26T19:15:39 --startdatetime 2016-08-26T19:17:08 --delay 1 --endMP 300:58950 --enddatetime 2016-08-26T19:38:24 --enforcementcount 0 &gt;&gt;C:\Users\stu\Documents\GitHub\eaglep3-reporting\EC\2016-08-26-refined-times.txt</v>
      </c>
      <c r="AI209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{"issue":{"subject":"","project_id":79,"tracker_id":40,"status_id":1,"priority_id":2,"assigned_to_id":23,"start_date":"2016-08-26","description":"","custom_fields":[{"id":1,"name":"Subdivision","value":"NW"},{"id":4,"name":"Milepost","value":"5.7923"},{"id":17,"name":"Train ID","value":"841-26"},{"id":16,"name":"Locomotive ID","value":"4011"},{"id":130,"name":"Impact","value":""},{"id":150,"name":"Time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538</v>
      </c>
      <c r="B210" s="7">
        <v>4012</v>
      </c>
      <c r="C210" s="24" t="s">
        <v>113</v>
      </c>
      <c r="D210" s="24" t="s">
        <v>721</v>
      </c>
      <c r="E210" s="15">
        <v>42608.8594212963</v>
      </c>
      <c r="F210" s="15">
        <v>42608.860162037039</v>
      </c>
      <c r="G210" s="7">
        <v>1</v>
      </c>
      <c r="H210" s="15" t="s">
        <v>745</v>
      </c>
      <c r="I210" s="15">
        <v>42608.871921296297</v>
      </c>
      <c r="J210" s="7">
        <v>0</v>
      </c>
      <c r="K210" s="132" t="str">
        <f t="shared" si="112"/>
        <v>4011/4012</v>
      </c>
      <c r="L210" s="24" t="str">
        <f>VLOOKUP(A210,'Trips&amp;Operators'!$C$1:$E$10000,3,FALSE)</f>
        <v>BROWN</v>
      </c>
      <c r="M210" s="6">
        <f t="shared" si="113"/>
        <v>1.1759259257814847E-2</v>
      </c>
      <c r="N210" s="7">
        <f t="shared" si="128"/>
        <v>16.93333333125338</v>
      </c>
      <c r="O210" s="7"/>
      <c r="P210" s="7"/>
      <c r="Q210" s="25"/>
      <c r="R210" s="25"/>
      <c r="S210" s="37">
        <f t="shared" si="122"/>
        <v>1</v>
      </c>
      <c r="T210" s="52" t="str">
        <f t="shared" si="114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15"/>
        <v>https://search-rtdc-monitor-bjffxe2xuh6vdkpspy63sjmuny.us-east-1.es.amazonaws.com/_plugin/kibana/#/discover/Steve-Slow-Train-Analysis-(2080s-and-2083s)?_g=(refreshInterval:(display:Off,section:0,value:0),time:(from:'2016-08-26 19:37:34-0600',mode:absolute,to:'2016-08-26 21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0" s="54" t="str">
        <f t="shared" si="123"/>
        <v>N</v>
      </c>
      <c r="X210" s="120">
        <f t="shared" si="119"/>
        <v>1</v>
      </c>
      <c r="Y210" s="69">
        <f t="shared" si="120"/>
        <v>5.8635999999999999</v>
      </c>
      <c r="Z210" s="69">
        <f t="shared" si="121"/>
        <v>7.6399999999999996E-2</v>
      </c>
      <c r="AA210" s="69">
        <f t="shared" si="116"/>
        <v>5.7872000000000003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17"/>
        <v>0842-26</v>
      </c>
      <c r="AE210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0" s="96" t="str">
        <f t="shared" si="125"/>
        <v>"C:\Program Files (x86)\AstroGrep\AstroGrep.exe" /spath="%USERPROFILE%\AppData\Local\Temp\OnboardLogs" /stypes="*4012*20160827*" /stext=" 02:.+((SYSTEM_STATE.+slice.+state.+changed )|(ment ac)|(system.+state.+changed )|(\|lc)|(penalty)|(\[timeout)|(PRM\|1\|D)|(kpr)|(kdp))" /e /r /s</v>
      </c>
      <c r="AG210" s="1" t="str">
        <f t="shared" si="118"/>
        <v>NW</v>
      </c>
      <c r="AH210" s="100" t="str">
        <f t="shared" si="126"/>
        <v>"%USERPROFILE%\Documents\GitHub\eaglep3\Utilities\RefineRTDCRunTimes.py" --tripid 842-26 --locoid 4012 --swversion DE.1.0.7.0 --startMP 300:58636 --initTime 2016-08-26T20:37:34 --startdatetime 2016-08-26T20:38:38 --delay 1 --endMP 204:764 --enddatetime 2016-08-26T20:55:34 --enforcementcount 0 &gt;&gt;C:\Users\stu\Documents\GitHub\eaglep3-reporting\EC\2016-08-26-refined-times.txt</v>
      </c>
      <c r="AI210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{"issue":{"subject":"","project_id":79,"tracker_id":40,"status_id":1,"priority_id":2,"assigned_to_id":23,"start_date":"2016-08-26","description":"","custom_fields":[{"id":1,"name":"Subdivision","value":"NW"},{"id":4,"name":"Milepost","value":"5.7872"},{"id":17,"name":"Train ID","value":"842-26"},{"id":16,"name":"Locomotive ID","value":"4012"},{"id":130,"name":"Impact","value":""},{"id":150,"name":"Time of Event (Mountain Time)","value":"20:55:34"},{"id":151,"name":"Denver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539</v>
      </c>
      <c r="B211" s="7">
        <v>4011</v>
      </c>
      <c r="C211" s="24" t="s">
        <v>113</v>
      </c>
      <c r="D211" s="24" t="s">
        <v>746</v>
      </c>
      <c r="E211" s="15">
        <v>42608.845983796295</v>
      </c>
      <c r="F211" s="15">
        <v>42608.846770833334</v>
      </c>
      <c r="G211" s="7">
        <v>1</v>
      </c>
      <c r="H211" s="15" t="s">
        <v>334</v>
      </c>
      <c r="I211" s="15">
        <v>42608.858587962961</v>
      </c>
      <c r="J211" s="7">
        <v>0</v>
      </c>
      <c r="K211" s="132" t="str">
        <f t="shared" ref="K211:K230" si="129">IF(ISEVEN(B211),(B211-1)&amp;"/"&amp;B211,B211&amp;"/"&amp;(B211+1))</f>
        <v>4011/4012</v>
      </c>
      <c r="L211" s="24" t="str">
        <f>VLOOKUP(A211,'Trips&amp;Operators'!$C$1:$E$10000,3,FALSE)</f>
        <v>BROWN</v>
      </c>
      <c r="M211" s="6">
        <f t="shared" ref="M211:M230" si="130">I211-F211</f>
        <v>1.1817129627161194E-2</v>
      </c>
      <c r="N211" s="7">
        <f t="shared" si="128"/>
        <v>17.016666663112119</v>
      </c>
      <c r="O211" s="7"/>
      <c r="P211" s="7"/>
      <c r="Q211" s="25"/>
      <c r="R211" s="25"/>
      <c r="S211" s="37">
        <f t="shared" si="122"/>
        <v>1</v>
      </c>
      <c r="T211" s="52" t="str">
        <f t="shared" ref="T211:T230" si="131">IF(ISEVEN(LEFT(AD211,4)),"Southbound","NorthBound")</f>
        <v>NorthBound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ref="V211:V230" si="132"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https://search-rtdc-monitor-bjffxe2xuh6vdkpspy63sjmuny.us-east-1.es.amazonaws.com/_plugin/kibana/#/discover/Steve-Slow-Train-Analysis-(2080s-and-2083s)?_g=(refreshInterval:(display:Off,section:0,value:0),time:(from:'2016-08-26 19:18:13-0600',mode:absolute,to:'2016-08-26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1" s="54" t="str">
        <f t="shared" si="123"/>
        <v>N</v>
      </c>
      <c r="X211" s="120">
        <f t="shared" si="119"/>
        <v>1</v>
      </c>
      <c r="Y211" s="69">
        <f t="shared" si="120"/>
        <v>0.1139</v>
      </c>
      <c r="Z211" s="69">
        <f t="shared" si="121"/>
        <v>5.8945999999999996</v>
      </c>
      <c r="AA211" s="69">
        <f t="shared" ref="AA211:AA242" si="133">ABS(Z211-Y211)</f>
        <v>5.7806999999999995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ref="AD211:AD230" si="134">IF(LEN(A211)=6,"0"&amp;A211,A211)</f>
        <v>0843-26</v>
      </c>
      <c r="AE211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1" s="96" t="str">
        <f t="shared" si="125"/>
        <v>"C:\Program Files (x86)\AstroGrep\AstroGrep.exe" /spath="%USERPROFILE%\AppData\Local\Temp\OnboardLogs" /stypes="*4011*20160827*" /stext=" 02:.+((SYSTEM_STATE.+slice.+state.+changed )|(ment ac)|(system.+state.+changed )|(\|lc)|(penalty)|(\[timeout)|(PRM\|1\|D)|(kpr)|(kdp))" /e /r /s</v>
      </c>
      <c r="AG211" s="1" t="str">
        <f t="shared" ref="AG211:AG230" si="135">IFERROR(IF(VALUE(LEFT(AD211,2))&lt;=2,"EC",IF(OR(VALUE(LEFT(AD211,2))=8,VALUE(LEFT(AD211,2))=18),"NW","Other")),"Other")</f>
        <v>NW</v>
      </c>
      <c r="AH211" s="100" t="str">
        <f t="shared" si="126"/>
        <v>"%USERPROFILE%\Documents\GitHub\eaglep3\Utilities\RefineRTDCRunTimes.py" --tripid 843-26 --locoid 4011 --swversion DE.1.0.7.0 --startMP 204:1139 --initTime 2016-08-26T20:18:13 --startdatetime 2016-08-26T20:19:21 --delay 1 --endMP 300:58946 --enddatetime 2016-08-26T20:36:22 --enforcementcount 0 &gt;&gt;C:\Users\stu\Documents\GitHub\eaglep3-reporting\EC\2016-08-26-refined-times.txt</v>
      </c>
      <c r="AI211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{"issue":{"subject":"","project_id":79,"tracker_id":40,"status_id":1,"priority_id":2,"assigned_to_id":23,"start_date":"2016-08-26","description":"","custom_fields":[{"id":1,"name":"Subdivision","value":"NW"},{"id":4,"name":"Milepost","value":"5.7807"},{"id":17,"name":"Train ID","value":"843-26"},{"id":16,"name":"Locomotive ID","value":"4011"},{"id":130,"name":"Impact","value":""},{"id":150,"name":"Time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546</v>
      </c>
      <c r="B212" s="7">
        <v>4012</v>
      </c>
      <c r="C212" s="24" t="s">
        <v>113</v>
      </c>
      <c r="D212" s="24" t="s">
        <v>747</v>
      </c>
      <c r="E212" s="15">
        <v>42608.901550925926</v>
      </c>
      <c r="F212" s="15">
        <v>42608.902696759258</v>
      </c>
      <c r="G212" s="7">
        <v>1</v>
      </c>
      <c r="H212" s="15" t="s">
        <v>748</v>
      </c>
      <c r="I212" s="15">
        <v>42608.913888888892</v>
      </c>
      <c r="J212" s="7">
        <v>0</v>
      </c>
      <c r="K212" s="132" t="str">
        <f t="shared" si="129"/>
        <v>4011/4012</v>
      </c>
      <c r="L212" s="24" t="str">
        <f>VLOOKUP(A212,'Trips&amp;Operators'!$C$1:$E$10000,3,FALSE)</f>
        <v>CRAYTON</v>
      </c>
      <c r="M212" s="6">
        <f t="shared" si="130"/>
        <v>1.1192129633855075E-2</v>
      </c>
      <c r="N212" s="7">
        <f t="shared" si="128"/>
        <v>16.116666672751307</v>
      </c>
      <c r="O212" s="7"/>
      <c r="P212" s="7"/>
      <c r="Q212" s="25"/>
      <c r="R212" s="25"/>
      <c r="S212" s="37">
        <f t="shared" si="122"/>
        <v>1</v>
      </c>
      <c r="T212" s="52" t="str">
        <f t="shared" si="131"/>
        <v>Southbound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20:38:14-0600',mode:absolute,to:'2016-08-26 22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2" s="54" t="str">
        <f t="shared" si="123"/>
        <v>N</v>
      </c>
      <c r="X212" s="120">
        <f t="shared" ref="X212:X230" si="136">VALUE(LEFT(AD212,4))-VALUE(LEFT(AD211,4))</f>
        <v>1</v>
      </c>
      <c r="Y212" s="69">
        <f t="shared" si="120"/>
        <v>5.8639999999999999</v>
      </c>
      <c r="Z212" s="69">
        <f t="shared" si="121"/>
        <v>7.1999999999999995E-2</v>
      </c>
      <c r="AA212" s="69">
        <f t="shared" si="133"/>
        <v>5.7919999999999998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134"/>
        <v>0844-26</v>
      </c>
      <c r="AE212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2" s="96" t="str">
        <f t="shared" si="125"/>
        <v>"C:\Program Files (x86)\AstroGrep\AstroGrep.exe" /spath="%USERPROFILE%\AppData\Local\Temp\OnboardLogs" /stypes="*4012*20160827*" /stext=" 03:.+((SYSTEM_STATE.+slice.+state.+changed )|(ment ac)|(system.+state.+changed )|(\|lc)|(penalty)|(\[timeout)|(PRM\|1\|D)|(kpr)|(kdp))" /e /r /s</v>
      </c>
      <c r="AG212" s="1" t="str">
        <f t="shared" si="135"/>
        <v>NW</v>
      </c>
      <c r="AH212" s="100" t="str">
        <f t="shared" si="126"/>
        <v>"%USERPROFILE%\Documents\GitHub\eaglep3\Utilities\RefineRTDCRunTimes.py" --tripid 844-26 --locoid 4012 --swversion DE.1.0.7.0 --startMP 300:58640 --initTime 2016-08-26T21:38:14 --startdatetime 2016-08-26T21:39:53 --delay 1 --endMP 204:720 --enddatetime 2016-08-26T21:56:00 --enforcementcount 0 &gt;&gt;C:\Users\stu\Documents\GitHub\eaglep3-reporting\EC\2016-08-26-refined-times.txt</v>
      </c>
      <c r="AI212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{"issue":{"subject":"","project_id":79,"tracker_id":40,"status_id":1,"priority_id":2,"assigned_to_id":23,"start_date":"2016-08-26","description":"","custom_fields":[{"id":1,"name":"Subdivision","value":"NW"},{"id":4,"name":"Milepost","value":"5.792"},{"id":17,"name":"Train ID","value":"844-26"},{"id":16,"name":"Locomotive ID","value":"4012"},{"id":130,"name":"Impact","value":""},{"id":150,"name":"Time of Event (Mountain Time)","value":"21:56:00"},{"id":151,"name":"Denver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543</v>
      </c>
      <c r="B213" s="7">
        <v>4011</v>
      </c>
      <c r="C213" s="24" t="s">
        <v>113</v>
      </c>
      <c r="D213" s="24" t="s">
        <v>335</v>
      </c>
      <c r="E213" s="15">
        <v>42608.876331018517</v>
      </c>
      <c r="F213" s="15">
        <v>42608.877511574072</v>
      </c>
      <c r="G213" s="7">
        <v>1</v>
      </c>
      <c r="H213" s="15" t="s">
        <v>328</v>
      </c>
      <c r="I213" s="15">
        <v>42608.899942129632</v>
      </c>
      <c r="J213" s="7">
        <v>0</v>
      </c>
      <c r="K213" s="132" t="str">
        <f t="shared" si="129"/>
        <v>4011/4012</v>
      </c>
      <c r="L213" s="24" t="str">
        <f>VLOOKUP(A213,'Trips&amp;Operators'!$C$1:$E$10000,3,FALSE)</f>
        <v>CRAYTON</v>
      </c>
      <c r="M213" s="6">
        <f t="shared" si="130"/>
        <v>2.2430555560276844E-2</v>
      </c>
      <c r="N213" s="7">
        <f t="shared" si="128"/>
        <v>32.300000006798655</v>
      </c>
      <c r="O213" s="7"/>
      <c r="P213" s="7"/>
      <c r="Q213" s="25"/>
      <c r="R213" s="25"/>
      <c r="S213" s="37">
        <f t="shared" si="122"/>
        <v>1</v>
      </c>
      <c r="T213" s="52" t="str">
        <f t="shared" si="131"/>
        <v>NorthBound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20:01:55-0600',mode:absolute,to:'2016-08-26 22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3" s="54" t="str">
        <f t="shared" si="123"/>
        <v>N</v>
      </c>
      <c r="X213" s="120">
        <f t="shared" si="136"/>
        <v>1</v>
      </c>
      <c r="Y213" s="69">
        <f t="shared" si="120"/>
        <v>0.10390000000000001</v>
      </c>
      <c r="Z213" s="69">
        <f t="shared" si="121"/>
        <v>5.8949999999999996</v>
      </c>
      <c r="AA213" s="69">
        <f t="shared" si="133"/>
        <v>5.7910999999999992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134"/>
        <v>0845-26</v>
      </c>
      <c r="AE213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3" s="96" t="str">
        <f t="shared" si="125"/>
        <v>"C:\Program Files (x86)\AstroGrep\AstroGrep.exe" /spath="%USERPROFILE%\AppData\Local\Temp\OnboardLogs" /stypes="*4011*20160827*" /stext=" 03:.+((SYSTEM_STATE.+slice.+state.+changed )|(ment ac)|(system.+state.+changed )|(\|lc)|(penalty)|(\[timeout)|(PRM\|1\|D)|(kpr)|(kdp))" /e /r /s</v>
      </c>
      <c r="AG213" s="1" t="str">
        <f t="shared" si="135"/>
        <v>NW</v>
      </c>
      <c r="AH213" s="100" t="str">
        <f t="shared" si="126"/>
        <v>"%USERPROFILE%\Documents\GitHub\eaglep3\Utilities\RefineRTDCRunTimes.py" --tripid 845-26 --locoid 4011 --swversion DE.1.0.7.0 --startMP 204:1039 --initTime 2016-08-26T21:01:55 --startdatetime 2016-08-26T21:03:37 --delay 1 --endMP 300:58950 --enddatetime 2016-08-26T21:35:55 --enforcementcount 0 &gt;&gt;C:\Users\stu\Documents\GitHub\eaglep3-reporting\EC\2016-08-26-refined-times.txt</v>
      </c>
      <c r="AI213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{"issue":{"subject":"","project_id":79,"tracker_id":40,"status_id":1,"priority_id":2,"assigned_to_id":23,"start_date":"2016-08-26","description":"","custom_fields":[{"id":1,"name":"Subdivision","value":"NW"},{"id":4,"name":"Milepost","value":"5.7911"},{"id":17,"name":"Train ID","value":"845-26"},{"id":16,"name":"Locomotive ID","value":"4011"},{"id":130,"name":"Impact","value":""},{"id":150,"name":"Time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548</v>
      </c>
      <c r="B214" s="7">
        <v>4011</v>
      </c>
      <c r="C214" s="24" t="s">
        <v>113</v>
      </c>
      <c r="D214" s="24" t="s">
        <v>325</v>
      </c>
      <c r="E214" s="15">
        <v>42608.91547453704</v>
      </c>
      <c r="F214" s="15">
        <v>42608.916886574072</v>
      </c>
      <c r="G214" s="7">
        <v>2</v>
      </c>
      <c r="H214" s="15" t="s">
        <v>718</v>
      </c>
      <c r="I214" s="15">
        <v>42608.940833333334</v>
      </c>
      <c r="J214" s="7">
        <v>0</v>
      </c>
      <c r="K214" s="132" t="str">
        <f t="shared" si="129"/>
        <v>4011/4012</v>
      </c>
      <c r="L214" s="24" t="str">
        <f>VLOOKUP(A214,'Trips&amp;Operators'!$C$1:$E$10000,3,FALSE)</f>
        <v>CRAYTON</v>
      </c>
      <c r="M214" s="6">
        <f t="shared" si="130"/>
        <v>2.3946759261889383E-2</v>
      </c>
      <c r="N214" s="7">
        <f t="shared" si="128"/>
        <v>34.483333337120712</v>
      </c>
      <c r="O214" s="7"/>
      <c r="P214" s="7"/>
      <c r="Q214" s="25"/>
      <c r="R214" s="25"/>
      <c r="S214" s="37">
        <f t="shared" si="122"/>
        <v>1</v>
      </c>
      <c r="T214" s="52" t="str">
        <f t="shared" si="131"/>
        <v>NorthBound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20:58:17-0600',mode:absolute,to:'2016-08-26 23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14" s="54" t="str">
        <f t="shared" si="123"/>
        <v>N</v>
      </c>
      <c r="X214" s="120">
        <f t="shared" si="136"/>
        <v>2</v>
      </c>
      <c r="Y214" s="69">
        <f t="shared" si="120"/>
        <v>9.8799999999999999E-2</v>
      </c>
      <c r="Z214" s="69">
        <f t="shared" si="121"/>
        <v>5.8956</v>
      </c>
      <c r="AA214" s="69">
        <f t="shared" si="133"/>
        <v>5.7968000000000002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134"/>
        <v>0847-26</v>
      </c>
      <c r="AE214" s="99" t="str">
        <f t="shared" si="124"/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AF214" s="96" t="str">
        <f t="shared" si="125"/>
        <v>"C:\Program Files (x86)\AstroGrep\AstroGrep.exe" /spath="%USERPROFILE%\AppData\Local\Temp\OnboardLogs" /stypes="*4011*20160827*" /stext=" 04:.+((SYSTEM_STATE.+slice.+state.+changed )|(ment ac)|(system.+state.+changed )|(\|lc)|(penalty)|(\[timeout)|(PRM\|1\|D)|(kpr)|(kdp))" /e /r /s</v>
      </c>
      <c r="AG214" s="1" t="str">
        <f t="shared" si="135"/>
        <v>NW</v>
      </c>
      <c r="AH214" s="100" t="str">
        <f t="shared" si="126"/>
        <v>"%USERPROFILE%\Documents\GitHub\eaglep3\Utilities\RefineRTDCRunTimes.py" --tripid 847-26 --locoid 4011 --swversion DE.1.0.7.0 --startMP 204:988 --initTime 2016-08-26T21:58:17 --startdatetime 2016-08-26T22:00:19 --delay 2 --endMP 300:58956 --enddatetime 2016-08-26T22:34:48 --enforcementcount 0 &gt;&gt;C:\Users\stu\Documents\GitHub\eaglep3-reporting\EC\2016-08-26-refined-times.txt</v>
      </c>
      <c r="AI214" s="149" t="str">
        <f t="shared" si="127"/>
        <v>echo {"issue":{"subject":"","project_id":79,"tracker_id":40,"status_id":1,"priority_id":2,"assigned_to_id":23,"start_date":"2016-08-26","description":"","custom_fields":[{"id":1,"name":"Subdivision","value":"NW"},{"id":4,"name":"Milepost","value":"5.7968"},{"id":17,"name":"Train ID","value":"847-26"},{"id":16,"name":"Locomotive ID","value":"4011"},{"id":130,"name":"Impact","value":""},{"id":150,"name":"Time of Event (Mountain Time)","value":"22:34:48"},{"id":151,"name":"Denver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527</v>
      </c>
      <c r="B215" s="7">
        <v>4014</v>
      </c>
      <c r="C215" s="24" t="s">
        <v>113</v>
      </c>
      <c r="D215" s="24" t="s">
        <v>674</v>
      </c>
      <c r="E215" s="15">
        <v>42608.785810185182</v>
      </c>
      <c r="F215" s="15">
        <v>42608.786840277775</v>
      </c>
      <c r="G215" s="7">
        <v>1</v>
      </c>
      <c r="H215" s="15" t="s">
        <v>320</v>
      </c>
      <c r="I215" s="15">
        <v>42608.811724537038</v>
      </c>
      <c r="J215" s="7">
        <v>0</v>
      </c>
      <c r="K215" s="132" t="str">
        <f t="shared" si="129"/>
        <v>4013/4014</v>
      </c>
      <c r="L215" s="24" t="str">
        <f>VLOOKUP(A215,'Trips&amp;Operators'!$C$1:$E$10000,3,FALSE)</f>
        <v>MOSES</v>
      </c>
      <c r="M215" s="6">
        <f t="shared" si="130"/>
        <v>2.4884259262762498E-2</v>
      </c>
      <c r="N215" s="7">
        <f t="shared" si="128"/>
        <v>35.833333338377997</v>
      </c>
      <c r="O215" s="7"/>
      <c r="P215" s="7"/>
      <c r="Q215" s="25"/>
      <c r="R215" s="25"/>
      <c r="S215" s="37">
        <f t="shared" si="122"/>
        <v>1</v>
      </c>
      <c r="T215" s="52" t="str">
        <f t="shared" si="131"/>
        <v>NorthBound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17:51:34-0600',mode:absolute,to:'2016-08-26 20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5" s="54" t="str">
        <f t="shared" si="123"/>
        <v>Y</v>
      </c>
      <c r="X215" s="120">
        <f t="shared" si="136"/>
        <v>-544</v>
      </c>
      <c r="Y215" s="69">
        <f t="shared" si="120"/>
        <v>4.8800000000000003E-2</v>
      </c>
      <c r="Z215" s="69">
        <f t="shared" si="121"/>
        <v>2.3304</v>
      </c>
      <c r="AA215" s="69">
        <f t="shared" si="133"/>
        <v>2.2816000000000001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134"/>
        <v>0303-26</v>
      </c>
      <c r="AE215" s="99" t="str">
        <f t="shared" si="124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215" s="96" t="str">
        <f t="shared" si="125"/>
        <v>"C:\Program Files (x86)\AstroGrep\AstroGrep.exe" /spath="%USERPROFILE%\AppData\Local\Temp\OnboardLogs" /stypes="*4014*20160827*" /stext=" 01:.+((SYSTEM_STATE.+slice.+state.+changed )|(ment ac)|(system.+state.+changed )|(\|lc)|(penalty)|(\[timeout)|(PRM\|1\|D)|(kpr)|(kdp))" /e /r /s</v>
      </c>
      <c r="AG215" s="1" t="str">
        <f t="shared" si="135"/>
        <v>Other</v>
      </c>
      <c r="AH215" s="100" t="str">
        <f t="shared" si="126"/>
        <v>"%USERPROFILE%\Documents\GitHub\eaglep3\Utilities\RefineRTDCRunTimes.py" --tripid 303-26 --locoid 4014 --swversion DE.1.0.7.0 --startMP 204:488 --initTime 2016-08-26T18:51:34 --startdatetime 2016-08-26T18:53:03 --delay 1 --endMP 300:23304 --enddatetime 2016-08-26T19:28:53 --enforcementcount 0 &gt;&gt;C:\Users\stu\Documents\GitHub\eaglep3-reporting\EC\2016-08-26-refined-times.txt</v>
      </c>
      <c r="AI215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{"issue":{"subject":"","project_id":79,"tracker_id":40,"status_id":1,"priority_id":2,"assigned_to_id":23,"start_date":"2016-08-26","description":"","custom_fields":[{"id":1,"name":"Subdivision","value":"Other"},{"id":4,"name":"Milepost","value":"2.2816"},{"id":17,"name":"Train ID","value":"303-26"},{"id":16,"name":"Locomotive ID","value":"4014"},{"id":130,"name":"Impact","value":""},{"id":150,"name":"Time of Event (Mountain Time)","value":"19:28:53"},{"id":151,"name":"Denver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532</v>
      </c>
      <c r="B216" s="7">
        <v>4025</v>
      </c>
      <c r="C216" s="24" t="s">
        <v>113</v>
      </c>
      <c r="D216" s="24" t="s">
        <v>675</v>
      </c>
      <c r="E216" s="15">
        <v>42608.805092592593</v>
      </c>
      <c r="F216" s="15">
        <v>42608.806087962963</v>
      </c>
      <c r="G216" s="7">
        <v>1</v>
      </c>
      <c r="H216" s="15" t="s">
        <v>676</v>
      </c>
      <c r="I216" s="15">
        <v>42608.815972222219</v>
      </c>
      <c r="J216" s="7">
        <v>0</v>
      </c>
      <c r="K216" s="132" t="str">
        <f t="shared" si="129"/>
        <v>4025/4026</v>
      </c>
      <c r="L216" s="24" t="str">
        <f>VLOOKUP(A216,'Trips&amp;Operators'!$C$1:$E$10000,3,FALSE)</f>
        <v>SHOOK</v>
      </c>
      <c r="M216" s="6">
        <f t="shared" si="130"/>
        <v>9.8842592560686171E-3</v>
      </c>
      <c r="N216" s="7">
        <f t="shared" si="128"/>
        <v>14.233333328738809</v>
      </c>
      <c r="O216" s="7"/>
      <c r="P216" s="7"/>
      <c r="Q216" s="25"/>
      <c r="R216" s="25"/>
      <c r="S216" s="37">
        <f t="shared" si="122"/>
        <v>1</v>
      </c>
      <c r="T216" s="52" t="str">
        <f t="shared" si="131"/>
        <v>NorthBound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18:19:20-0600',mode:absolute,to:'2016-08-26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16" s="54" t="str">
        <f t="shared" si="123"/>
        <v>Y</v>
      </c>
      <c r="X216" s="120">
        <f t="shared" si="136"/>
        <v>2</v>
      </c>
      <c r="Y216" s="69">
        <f t="shared" si="120"/>
        <v>0.1416</v>
      </c>
      <c r="Z216" s="69">
        <f t="shared" si="121"/>
        <v>2.331</v>
      </c>
      <c r="AA216" s="69">
        <f t="shared" si="133"/>
        <v>2.1894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134"/>
        <v>0305-26</v>
      </c>
      <c r="AE216" s="99" t="str">
        <f t="shared" si="124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16" s="96" t="str">
        <f t="shared" si="125"/>
        <v>"C:\Program Files (x86)\AstroGrep\AstroGrep.exe" /spath="%USERPROFILE%\AppData\Local\Temp\OnboardLogs" /stypes="*4025*20160827*" /stext=" 01:.+((SYSTEM_STATE.+slice.+state.+changed )|(ment ac)|(system.+state.+changed )|(\|lc)|(penalty)|(\[timeout)|(PRM\|1\|D)|(kpr)|(kdp))" /e /r /s</v>
      </c>
      <c r="AG216" s="1" t="str">
        <f t="shared" si="135"/>
        <v>Other</v>
      </c>
      <c r="AH216" s="100" t="str">
        <f t="shared" si="126"/>
        <v>"%USERPROFILE%\Documents\GitHub\eaglep3\Utilities\RefineRTDCRunTimes.py" --tripid 305-26 --locoid 4025 --swversion DE.1.0.7.0 --startMP 204:1416 --initTime 2016-08-26T19:19:20 --startdatetime 2016-08-26T19:20:46 --delay 1 --endMP 300:23310 --enddatetime 2016-08-26T19:35:00 --enforcementcount 0 &gt;&gt;C:\Users\stu\Documents\GitHub\eaglep3-reporting\EC\2016-08-26-refined-times.txt</v>
      </c>
      <c r="AI216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{"issue":{"subject":"","project_id":79,"tracker_id":40,"status_id":1,"priority_id":2,"assigned_to_id":23,"start_date":"2016-08-26","description":"","custom_fields":[{"id":1,"name":"Subdivision","value":"Other"},{"id":4,"name":"Milepost","value":"2.1894"},{"id":17,"name":"Train ID","value":"305-26"},{"id":16,"name":"Locomotive ID","value":"4025"},{"id":130,"name":"Impact","value":""},{"id":150,"name":"Time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563</v>
      </c>
      <c r="B217" s="7">
        <v>4002</v>
      </c>
      <c r="C217" s="24" t="s">
        <v>113</v>
      </c>
      <c r="D217" s="24" t="s">
        <v>677</v>
      </c>
      <c r="E217" s="15">
        <v>42609.049791666665</v>
      </c>
      <c r="F217" s="15">
        <v>42609.050740740742</v>
      </c>
      <c r="G217" s="7">
        <v>1</v>
      </c>
      <c r="H217" s="15" t="s">
        <v>294</v>
      </c>
      <c r="I217" s="15">
        <v>42609.058206018519</v>
      </c>
      <c r="J217" s="7">
        <v>0</v>
      </c>
      <c r="K217" s="132" t="str">
        <f t="shared" si="129"/>
        <v>4001/4002</v>
      </c>
      <c r="L217" s="24" t="str">
        <f>VLOOKUP(A217,'Trips&amp;Operators'!$C$1:$E$10000,3,FALSE)</f>
        <v>YANAI</v>
      </c>
      <c r="M217" s="6">
        <f t="shared" si="130"/>
        <v>7.4652777766459621E-3</v>
      </c>
      <c r="N217" s="7">
        <f t="shared" si="128"/>
        <v>10.749999998370185</v>
      </c>
      <c r="O217" s="7"/>
      <c r="P217" s="7"/>
      <c r="Q217" s="25"/>
      <c r="R217" s="25"/>
      <c r="S217" s="37">
        <f t="shared" si="122"/>
        <v>1</v>
      </c>
      <c r="T217" s="52" t="str">
        <f t="shared" si="131"/>
        <v>NorthBound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7" s="54" t="str">
        <f t="shared" si="123"/>
        <v>Y</v>
      </c>
      <c r="X217" s="120">
        <f t="shared" si="136"/>
        <v>4</v>
      </c>
      <c r="Y217" s="69">
        <f t="shared" ref="Y217:Y230" si="137">RIGHT(D217,LEN(D217)-4)/10000</f>
        <v>4.9700000000000001E-2</v>
      </c>
      <c r="Z217" s="69">
        <f t="shared" ref="Z217:Z230" si="138">RIGHT(H217,LEN(H217)-4)/10000</f>
        <v>2.3302</v>
      </c>
      <c r="AA217" s="69">
        <f t="shared" si="133"/>
        <v>2.2805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134"/>
        <v>0309-26</v>
      </c>
      <c r="AE217" s="99" t="str">
        <f t="shared" si="124"/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AF217" s="96" t="str">
        <f t="shared" si="125"/>
        <v>"C:\Program Files (x86)\AstroGrep\AstroGrep.exe" /spath="%USERPROFILE%\AppData\Local\Temp\OnboardLogs" /stypes="*4002*20160827*" /stext=" 07:.+((SYSTEM_STATE.+slice.+state.+changed )|(ment ac)|(system.+state.+changed )|(\|lc)|(penalty)|(\[timeout)|(PRM\|1\|D)|(kpr)|(kdp))" /e /r /s</v>
      </c>
      <c r="AG217" s="1" t="str">
        <f t="shared" si="135"/>
        <v>Other</v>
      </c>
      <c r="AH217" s="100" t="str">
        <f t="shared" si="126"/>
        <v>"%USERPROFILE%\Documents\GitHub\eaglep3\Utilities\RefineRTDCRunTimes.py" --tripid 309-26 --locoid 4002 --swversion DE.1.0.7.0 --startMP 204:497 --initTime 2016-08-27T01:11:42 --startdatetime 2016-08-27T01:13:04 --delay 1 --endMP 300:23302 --enddatetime 2016-08-27T01:23:49 --enforcementcount 0 &gt;&gt;C:\Users\stu\Documents\GitHub\eaglep3-reporting\EC\2016-08-26-refined-times.txt</v>
      </c>
      <c r="AI217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{"issue":{"subject":"","project_id":79,"tracker_id":40,"status_id":1,"priority_id":2,"assigned_to_id":23,"start_date":"2016-08-27","description":"","custom_fields":[{"id":1,"name":"Subdivision","value":"Other"},{"id":4,"name":"Milepost","value":"2.2805"},{"id":17,"name":"Train ID","value":"309-26"},{"id":16,"name":"Locomotive ID","value":"4002"},{"id":130,"name":"Impact","value":""},{"id":150,"name":"Time of Event (Mountain Time)","value":"01:23:49"},{"id":151,"name":"Denver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565</v>
      </c>
      <c r="B218" s="7">
        <v>4040</v>
      </c>
      <c r="C218" s="24" t="s">
        <v>113</v>
      </c>
      <c r="D218" s="24" t="s">
        <v>678</v>
      </c>
      <c r="E218" s="15">
        <v>42609.071203703701</v>
      </c>
      <c r="F218" s="15">
        <v>42609.071886574071</v>
      </c>
      <c r="G218" s="7">
        <v>0</v>
      </c>
      <c r="H218" s="15" t="s">
        <v>211</v>
      </c>
      <c r="I218" s="15">
        <v>42609.079016203701</v>
      </c>
      <c r="J218" s="7">
        <v>0</v>
      </c>
      <c r="K218" s="132" t="str">
        <f t="shared" si="129"/>
        <v>4039/4040</v>
      </c>
      <c r="L218" s="24" t="str">
        <f>VLOOKUP(A218,'Trips&amp;Operators'!$C$1:$E$10000,3,FALSE)</f>
        <v>CHANDLER</v>
      </c>
      <c r="M218" s="6">
        <f t="shared" si="130"/>
        <v>7.1296296300715767E-3</v>
      </c>
      <c r="N218" s="7">
        <f t="shared" si="128"/>
        <v>10.26666666730307</v>
      </c>
      <c r="O218" s="7"/>
      <c r="P218" s="7"/>
      <c r="Q218" s="25"/>
      <c r="R218" s="25"/>
      <c r="S218" s="37">
        <f t="shared" si="122"/>
        <v>1</v>
      </c>
      <c r="T218" s="52" t="str">
        <f t="shared" si="131"/>
        <v>NorthBound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00:42:32-0600',mode:absolute,to:'2016-08-27 02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18" s="54" t="str">
        <f t="shared" si="123"/>
        <v>Y</v>
      </c>
      <c r="X218" s="120">
        <f t="shared" si="136"/>
        <v>2</v>
      </c>
      <c r="Y218" s="69">
        <f t="shared" si="137"/>
        <v>4.9099999999999998E-2</v>
      </c>
      <c r="Z218" s="69">
        <f t="shared" si="138"/>
        <v>2.3306</v>
      </c>
      <c r="AA218" s="69">
        <f t="shared" si="133"/>
        <v>2.2814999999999999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134"/>
        <v>0311-26</v>
      </c>
      <c r="AE218" s="99" t="str">
        <f t="shared" si="124"/>
        <v>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 &amp; 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</v>
      </c>
      <c r="AF218" s="96" t="str">
        <f t="shared" si="125"/>
        <v>"C:\Program Files (x86)\AstroGrep\AstroGrep.exe" /spath="%USERPROFILE%\AppData\Local\Temp\OnboardLogs" /stypes="*4040*20160827*" /stext=" 07:.+((SYSTEM_STATE.+slice.+state.+changed )|(ment ac)|(system.+state.+changed )|(\|lc)|(penalty)|(\[timeout)|(PRM\|1\|D)|(kpr)|(kdp))" /e /r /s</v>
      </c>
      <c r="AG218" s="1" t="str">
        <f t="shared" si="135"/>
        <v>Other</v>
      </c>
      <c r="AH218" s="100" t="str">
        <f t="shared" si="126"/>
        <v>"%USERPROFILE%\Documents\GitHub\eaglep3\Utilities\RefineRTDCRunTimes.py" --tripid 311-26 --locoid 4040 --swversion DE.1.0.7.0 --startMP 204:491 --initTime 2016-08-27T01:42:32 --startdatetime 2016-08-27T01:43:31 --delay 0 --endMP 300:23306 --enddatetime 2016-08-27T01:53:47 --enforcementcount 0 &gt;&gt;C:\Users\stu\Documents\GitHub\eaglep3-reporting\EC\2016-08-26-refined-times.txt</v>
      </c>
      <c r="AI218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{"issue":{"subject":"","project_id":79,"tracker_id":40,"status_id":1,"priority_id":2,"assigned_to_id":23,"start_date":"2016-08-27","description":"","custom_fields":[{"id":1,"name":"Subdivision","value":"Other"},{"id":4,"name":"Milepost","value":"2.2815"},{"id":17,"name":"Train ID","value":"311-26"},{"id":16,"name":"Locomotive ID","value":"4040"},{"id":130,"name":"Impact","value":""},{"id":150,"name":"Time of Event (Mountain Time)","value":"01:53:47"},{"id":151,"name":"Denver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567</v>
      </c>
      <c r="B219" s="7">
        <v>4027</v>
      </c>
      <c r="C219" s="24" t="s">
        <v>113</v>
      </c>
      <c r="D219" s="24" t="s">
        <v>133</v>
      </c>
      <c r="E219" s="15">
        <v>42609.10491898148</v>
      </c>
      <c r="F219" s="15">
        <v>42609.105925925927</v>
      </c>
      <c r="G219" s="7">
        <v>1</v>
      </c>
      <c r="H219" s="15" t="s">
        <v>211</v>
      </c>
      <c r="I219" s="15">
        <v>42609.115208333336</v>
      </c>
      <c r="J219" s="7">
        <v>0</v>
      </c>
      <c r="K219" s="132" t="str">
        <f t="shared" si="129"/>
        <v>4027/4028</v>
      </c>
      <c r="L219" s="24" t="str">
        <f>VLOOKUP(A219,'Trips&amp;Operators'!$C$1:$E$10000,3,FALSE)</f>
        <v>ARVIDSON</v>
      </c>
      <c r="M219" s="6">
        <f t="shared" si="130"/>
        <v>9.2824074090458453E-3</v>
      </c>
      <c r="N219" s="7">
        <f t="shared" si="128"/>
        <v>13.366666669026017</v>
      </c>
      <c r="O219" s="7"/>
      <c r="P219" s="7"/>
      <c r="Q219" s="25"/>
      <c r="R219" s="25"/>
      <c r="S219" s="37">
        <f t="shared" ref="S219:S230" si="139">SUM(U219:U219)/IF(AG219="EC",12,1)</f>
        <v>1</v>
      </c>
      <c r="T219" s="52" t="str">
        <f t="shared" si="131"/>
        <v>NorthBound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9" s="54" t="str">
        <f t="shared" si="123"/>
        <v>Y</v>
      </c>
      <c r="X219" s="120">
        <f t="shared" si="136"/>
        <v>2</v>
      </c>
      <c r="Y219" s="69">
        <f t="shared" si="137"/>
        <v>4.53E-2</v>
      </c>
      <c r="Z219" s="69">
        <f t="shared" si="138"/>
        <v>2.3306</v>
      </c>
      <c r="AA219" s="69">
        <f t="shared" si="133"/>
        <v>2.2852999999999999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134"/>
        <v>0313-26</v>
      </c>
      <c r="AE219" s="99" t="str">
        <f t="shared" si="124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19" s="96" t="str">
        <f t="shared" si="125"/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19" s="1" t="str">
        <f t="shared" si="135"/>
        <v>Other</v>
      </c>
      <c r="AH219" s="100" t="str">
        <f t="shared" si="126"/>
        <v>"%USERPROFILE%\Documents\GitHub\eaglep3\Utilities\RefineRTDCRunTimes.py" --tripid 313-26 --locoid 4027 --swversion DE.1.0.7.0 --startMP 204:453 --initTime 2016-08-27T02:31:05 --startdatetime 2016-08-27T02:32:32 --delay 1 --endMP 300:23306 --enddatetime 2016-08-27T02:45:54 --enforcementcount 0 &gt;&gt;C:\Users\stu\Documents\GitHub\eaglep3-reporting\EC\2016-08-26-refined-times.txt</v>
      </c>
      <c r="AI219" s="149" t="str">
        <f t="shared" si="127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321</v>
      </c>
      <c r="B220" s="7">
        <v>4042</v>
      </c>
      <c r="C220" s="24" t="s">
        <v>113</v>
      </c>
      <c r="D220" s="24" t="s">
        <v>180</v>
      </c>
      <c r="E220" s="15">
        <v>42608.093298611115</v>
      </c>
      <c r="F220" s="15">
        <v>42608.094050925924</v>
      </c>
      <c r="G220" s="7">
        <v>1</v>
      </c>
      <c r="H220" s="15" t="s">
        <v>320</v>
      </c>
      <c r="I220" s="15">
        <v>42608.103032407409</v>
      </c>
      <c r="J220" s="7">
        <v>0</v>
      </c>
      <c r="K220" s="132" t="str">
        <f t="shared" si="129"/>
        <v>4041/4042</v>
      </c>
      <c r="L220" s="24" t="str">
        <f>VLOOKUP(A220,'Trips&amp;Operators'!$C$1:$E$10000,3,FALSE)</f>
        <v>ARVIDSON</v>
      </c>
      <c r="M220" s="6">
        <f t="shared" si="130"/>
        <v>8.9814814855344594E-3</v>
      </c>
      <c r="N220" s="7">
        <f t="shared" si="128"/>
        <v>12.933333339169621</v>
      </c>
      <c r="O220" s="7"/>
      <c r="P220" s="7"/>
      <c r="Q220" s="25"/>
      <c r="R220" s="25"/>
      <c r="S220" s="37">
        <f t="shared" si="139"/>
        <v>1</v>
      </c>
      <c r="T220" s="52" t="str">
        <f t="shared" si="131"/>
        <v>NorthBound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20" s="54" t="str">
        <f t="shared" si="123"/>
        <v>Y</v>
      </c>
      <c r="X220" s="120">
        <f t="shared" si="136"/>
        <v>2</v>
      </c>
      <c r="Y220" s="69">
        <f t="shared" si="137"/>
        <v>4.7100000000000003E-2</v>
      </c>
      <c r="Z220" s="69">
        <f t="shared" si="138"/>
        <v>2.3304</v>
      </c>
      <c r="AA220" s="69">
        <f t="shared" si="133"/>
        <v>2.2833000000000001</v>
      </c>
      <c r="AB220" s="66" t="e">
        <f>VLOOKUP(A220,Enforcements!$C$7:$J$21,8,0)</f>
        <v>#N/A</v>
      </c>
      <c r="AC220" s="62" t="e">
        <f>VLOOKUP(A220,Enforcements!$C$7:$E$21,3,0)</f>
        <v>#N/A</v>
      </c>
      <c r="AD220" s="63" t="str">
        <f t="shared" si="134"/>
        <v>0315-25</v>
      </c>
      <c r="AE220" s="99" t="str">
        <f t="shared" si="124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20" s="96" t="str">
        <f t="shared" si="125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20" s="1" t="str">
        <f t="shared" si="135"/>
        <v>Other</v>
      </c>
      <c r="AH220" s="100" t="str">
        <f t="shared" si="12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0 &gt;&gt;C:\Users\stu\Documents\GitHub\eaglep3-reporting\EC\2016-08-26-refined-times.txt</v>
      </c>
      <c r="AI220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409</v>
      </c>
      <c r="B221" s="7">
        <v>4020</v>
      </c>
      <c r="C221" s="24" t="s">
        <v>113</v>
      </c>
      <c r="D221" s="24" t="s">
        <v>749</v>
      </c>
      <c r="E221" s="15">
        <v>42608.353773148148</v>
      </c>
      <c r="F221" s="15">
        <v>42608.35460648148</v>
      </c>
      <c r="G221" s="7">
        <v>1</v>
      </c>
      <c r="H221" s="15" t="s">
        <v>750</v>
      </c>
      <c r="I221" s="15">
        <v>42608.363171296296</v>
      </c>
      <c r="J221" s="7">
        <v>0</v>
      </c>
      <c r="K221" s="132" t="str">
        <f t="shared" si="129"/>
        <v>4019/4020</v>
      </c>
      <c r="L221" s="24" t="str">
        <f>VLOOKUP(A221,'Trips&amp;Operators'!$C$1:$E$10000,3,FALSE)</f>
        <v>STRICKLAND</v>
      </c>
      <c r="M221" s="6">
        <f t="shared" si="130"/>
        <v>8.5648148160544224E-3</v>
      </c>
      <c r="N221" s="7">
        <f t="shared" si="128"/>
        <v>12.333333335118368</v>
      </c>
      <c r="O221" s="7"/>
      <c r="P221" s="7"/>
      <c r="Q221" s="25"/>
      <c r="R221" s="25"/>
      <c r="S221" s="37">
        <f t="shared" si="139"/>
        <v>1</v>
      </c>
      <c r="T221" s="52" t="str">
        <f t="shared" si="131"/>
        <v>NorthBound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07:29:26-0600',mode:absolute,to:'2016-08-26 09:42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21" s="54" t="str">
        <f t="shared" si="123"/>
        <v>Y</v>
      </c>
      <c r="X221" s="120">
        <f t="shared" si="136"/>
        <v>588</v>
      </c>
      <c r="Y221" s="69">
        <f t="shared" si="137"/>
        <v>0.1002</v>
      </c>
      <c r="Z221" s="69">
        <f t="shared" si="138"/>
        <v>2.4260000000000002</v>
      </c>
      <c r="AA221" s="69">
        <f t="shared" si="133"/>
        <v>2.3258000000000001</v>
      </c>
      <c r="AB221" s="66" t="e">
        <f>VLOOKUP(A221,Enforcements!$C$7:$J$21,8,0)</f>
        <v>#N/A</v>
      </c>
      <c r="AC221" s="62" t="e">
        <f>VLOOKUP(A221,Enforcements!$C$7:$E$21,3,0)</f>
        <v>#N/A</v>
      </c>
      <c r="AD221" s="63" t="str">
        <f t="shared" si="134"/>
        <v>0903-26</v>
      </c>
      <c r="AE221" s="99" t="str">
        <f t="shared" si="124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21" s="96" t="str">
        <f t="shared" si="125"/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221" s="1" t="str">
        <f t="shared" si="135"/>
        <v>Other</v>
      </c>
      <c r="AH221" s="100" t="str">
        <f t="shared" si="126"/>
        <v>"%USERPROFILE%\Documents\GitHub\eaglep3\Utilities\RefineRTDCRunTimes.py" --tripid 903-26 --locoid 4020 --swversion DE.1.0.7.0 --startMP 204:1002 --initTime 2016-08-26T08:29:26 --startdatetime 2016-08-26T08:30:38 --delay 1 --endMP 300:24260 --enddatetime 2016-08-26T08:42:58 --enforcementcount 0 &gt;&gt;C:\Users\stu\Documents\GitHub\eaglep3-reporting\EC\2016-08-26-refined-times.txt</v>
      </c>
      <c r="AI221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{"issue":{"subject":"","project_id":79,"tracker_id":40,"status_id":1,"priority_id":2,"assigned_to_id":23,"start_date":"2016-08-26","description":"","custom_fields":[{"id":1,"name":"Subdivision","value":"Other"},{"id":4,"name":"Milepost","value":"2.3258"},{"id":17,"name":"Train ID","value":"903-26"},{"id":16,"name":"Locomotive ID","value":"4020"},{"id":130,"name":"Impact","value":""},{"id":150,"name":"Time of Event (Mountain Time)","value":"08:42:58"},{"id":151,"name":"Denver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480</v>
      </c>
      <c r="B222" s="7">
        <v>4019</v>
      </c>
      <c r="C222" s="24" t="s">
        <v>113</v>
      </c>
      <c r="D222" s="24" t="s">
        <v>751</v>
      </c>
      <c r="E222" s="15">
        <v>42608.63521990741</v>
      </c>
      <c r="F222" s="15">
        <v>42608.636608796296</v>
      </c>
      <c r="G222" s="7">
        <v>2</v>
      </c>
      <c r="H222" s="15" t="s">
        <v>752</v>
      </c>
      <c r="I222" s="15">
        <v>42608.63863425926</v>
      </c>
      <c r="J222" s="7">
        <v>0</v>
      </c>
      <c r="K222" s="132" t="str">
        <f t="shared" si="129"/>
        <v>4019/4020</v>
      </c>
      <c r="L222" s="24" t="str">
        <f>VLOOKUP(A222,'Trips&amp;Operators'!$C$1:$E$10000,3,FALSE)</f>
        <v>CRAYTON</v>
      </c>
      <c r="M222" s="6">
        <f t="shared" si="130"/>
        <v>2.0254629635019228E-3</v>
      </c>
      <c r="N222" s="7">
        <f t="shared" si="128"/>
        <v>2.9166666674427688</v>
      </c>
      <c r="O222" s="7"/>
      <c r="P222" s="7"/>
      <c r="Q222" s="25"/>
      <c r="R222" s="25"/>
      <c r="S222" s="37">
        <f t="shared" si="139"/>
        <v>0</v>
      </c>
      <c r="T222" s="52" t="str">
        <f t="shared" si="131"/>
        <v>Southbound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14:14:43-0600',mode:absolute,to:'2016-08-26 16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22" s="54" t="str">
        <f t="shared" ref="W222:W230" si="140">IF(AA222&lt;IF(AG222="EC",23,5.65),"Y","N")</f>
        <v>Y</v>
      </c>
      <c r="X222" s="120">
        <f t="shared" si="136"/>
        <v>1</v>
      </c>
      <c r="Y222" s="69">
        <f t="shared" si="137"/>
        <v>2.5442</v>
      </c>
      <c r="Z222" s="69">
        <f t="shared" si="138"/>
        <v>2.4401999999999999</v>
      </c>
      <c r="AA222" s="69">
        <f t="shared" si="133"/>
        <v>0.10400000000000009</v>
      </c>
      <c r="AB222" s="66" t="e">
        <f>VLOOKUP(A222,Enforcements!$C$7:$J$21,8,0)</f>
        <v>#N/A</v>
      </c>
      <c r="AC222" s="62" t="e">
        <f>VLOOKUP(A222,Enforcements!$C$7:$E$21,3,0)</f>
        <v>#N/A</v>
      </c>
      <c r="AD222" s="63" t="str">
        <f t="shared" si="134"/>
        <v>0904-26</v>
      </c>
      <c r="AE222" s="99" t="str">
        <f t="shared" si="124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22" s="96" t="str">
        <f t="shared" si="125"/>
        <v>"C:\Program Files (x86)\AstroGrep\AstroGrep.exe" /spath="%USERPROFILE%\AppData\Local\Temp\OnboardLogs" /stypes="*4019*20160826*" /stext=" 21:.+((SYSTEM_STATE.+slice.+state.+changed )|(ment ac)|(system.+state.+changed )|(\|lc)|(penalty)|(\[timeout)|(PRM\|1\|D)|(kpr)|(kdp))" /e /r /s</v>
      </c>
      <c r="AG222" s="1" t="str">
        <f t="shared" si="135"/>
        <v>Other</v>
      </c>
      <c r="AH222" s="100" t="str">
        <f t="shared" si="126"/>
        <v>"%USERPROFILE%\Documents\GitHub\eaglep3\Utilities\RefineRTDCRunTimes.py" --tripid 904-26 --locoid 4019 --swversion DE.1.0.7.0 --startMP 300:25442 --initTime 2016-08-26T15:14:43 --startdatetime 2016-08-26T15:16:43 --delay 2 --endMP 300:24402 --enddatetime 2016-08-26T15:19:38 --enforcementcount 0 &gt;&gt;C:\Users\stu\Documents\GitHub\eaglep3-reporting\EC\2016-08-26-refined-times.txt</v>
      </c>
      <c r="AI222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{"issue":{"subject":"","project_id":79,"tracker_id":40,"status_id":1,"priority_id":2,"assigned_to_id":23,"start_date":"2016-08-26","description":"","custom_fields":[{"id":1,"name":"Subdivision","value":"Other"},{"id":4,"name":"Milepost","value":"0.104"},{"id":17,"name":"Train ID","value":"904-26"},{"id":16,"name":"Locomotive ID","value":"4019"},{"id":130,"name":"Impact","value":""},{"id":150,"name":"Time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530</v>
      </c>
      <c r="B223" s="7">
        <v>4019</v>
      </c>
      <c r="C223" s="24" t="s">
        <v>113</v>
      </c>
      <c r="D223" s="24" t="s">
        <v>753</v>
      </c>
      <c r="E223" s="15">
        <v>42608.797858796293</v>
      </c>
      <c r="F223" s="15">
        <v>42608.798657407409</v>
      </c>
      <c r="G223" s="7">
        <v>1</v>
      </c>
      <c r="H223" s="15" t="s">
        <v>754</v>
      </c>
      <c r="I223" s="15">
        <v>42608.80741898148</v>
      </c>
      <c r="J223" s="7">
        <v>0</v>
      </c>
      <c r="K223" s="132" t="str">
        <f t="shared" si="129"/>
        <v>4019/4020</v>
      </c>
      <c r="L223" s="24" t="str">
        <f>VLOOKUP(A223,'Trips&amp;Operators'!$C$1:$E$10000,3,FALSE)</f>
        <v>CRAYTON</v>
      </c>
      <c r="M223" s="6">
        <f t="shared" si="130"/>
        <v>8.7615740703768097E-3</v>
      </c>
      <c r="N223" s="7">
        <f t="shared" si="128"/>
        <v>12.616666661342606</v>
      </c>
      <c r="O223" s="7"/>
      <c r="P223" s="7"/>
      <c r="Q223" s="25"/>
      <c r="R223" s="25"/>
      <c r="S223" s="37">
        <f t="shared" si="139"/>
        <v>0</v>
      </c>
      <c r="T223" s="52" t="str">
        <f t="shared" si="131"/>
        <v>Southbound</v>
      </c>
      <c r="U223" s="12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18:08:55-0600',mode:absolute,to:'2016-08-26 20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23" s="54" t="str">
        <f t="shared" si="140"/>
        <v>Y</v>
      </c>
      <c r="X223" s="120">
        <f t="shared" si="136"/>
        <v>2</v>
      </c>
      <c r="Y223" s="69">
        <f t="shared" si="137"/>
        <v>5.8634000000000004</v>
      </c>
      <c r="Z223" s="69">
        <f t="shared" si="138"/>
        <v>2.8786</v>
      </c>
      <c r="AA223" s="69">
        <f t="shared" si="133"/>
        <v>2.9848000000000003</v>
      </c>
      <c r="AB223" s="66" t="e">
        <f>VLOOKUP(A223,Enforcements!$C$7:$J$21,8,0)</f>
        <v>#N/A</v>
      </c>
      <c r="AC223" s="62" t="e">
        <f>VLOOKUP(A223,Enforcements!$C$7:$E$21,3,0)</f>
        <v>#N/A</v>
      </c>
      <c r="AD223" s="63" t="str">
        <f t="shared" si="134"/>
        <v>0906-26</v>
      </c>
      <c r="AE223" s="99" t="str">
        <f t="shared" si="124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23" s="96" t="str">
        <f t="shared" si="125"/>
        <v>"C:\Program Files (x86)\AstroGrep\AstroGrep.exe" /spath="%USERPROFILE%\AppData\Local\Temp\OnboardLogs" /stypes="*4019*20160827*" /stext=" 01:.+((SYSTEM_STATE.+slice.+state.+changed )|(ment ac)|(system.+state.+changed )|(\|lc)|(penalty)|(\[timeout)|(PRM\|1\|D)|(kpr)|(kdp))" /e /r /s</v>
      </c>
      <c r="AG223" s="1" t="str">
        <f t="shared" si="135"/>
        <v>Other</v>
      </c>
      <c r="AH223" s="100" t="str">
        <f t="shared" si="126"/>
        <v>"%USERPROFILE%\Documents\GitHub\eaglep3\Utilities\RefineRTDCRunTimes.py" --tripid 906-26 --locoid 4019 --swversion DE.1.0.7.0 --startMP 300:58634 --initTime 2016-08-26T19:08:55 --startdatetime 2016-08-26T19:10:04 --delay 1 --endMP 300:28786 --enddatetime 2016-08-26T19:22:41 --enforcementcount 0 &gt;&gt;C:\Users\stu\Documents\GitHub\eaglep3-reporting\EC\2016-08-26-refined-times.txt</v>
      </c>
      <c r="AI223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{"issue":{"subject":"","project_id":79,"tracker_id":40,"status_id":1,"priority_id":2,"assigned_to_id":23,"start_date":"2016-08-26","description":"","custom_fields":[{"id":1,"name":"Subdivision","value":"Other"},{"id":4,"name":"Milepost","value":"2.9848"},{"id":17,"name":"Train ID","value":"906-26"},{"id":16,"name":"Locomotive ID","value":"4019"},{"id":130,"name":"Impact","value":""},{"id":150,"name":"Time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550</v>
      </c>
      <c r="B224" s="7">
        <v>4012</v>
      </c>
      <c r="C224" s="24" t="s">
        <v>113</v>
      </c>
      <c r="D224" s="24" t="s">
        <v>755</v>
      </c>
      <c r="E224" s="15">
        <v>42608.941828703704</v>
      </c>
      <c r="F224" s="15">
        <v>42608.942615740743</v>
      </c>
      <c r="G224" s="7">
        <v>1</v>
      </c>
      <c r="H224" s="15" t="s">
        <v>756</v>
      </c>
      <c r="I224" s="15">
        <v>42608.94803240741</v>
      </c>
      <c r="J224" s="7">
        <v>0</v>
      </c>
      <c r="K224" s="132" t="str">
        <f t="shared" si="129"/>
        <v>4011/4012</v>
      </c>
      <c r="L224" s="24" t="str">
        <f>VLOOKUP(A224,'Trips&amp;Operators'!$C$1:$E$10000,3,FALSE)</f>
        <v>CRAYTON</v>
      </c>
      <c r="M224" s="6">
        <f t="shared" si="130"/>
        <v>5.4166666668606922E-3</v>
      </c>
      <c r="N224" s="7">
        <f t="shared" si="128"/>
        <v>7.8000000002793968</v>
      </c>
      <c r="O224" s="7"/>
      <c r="P224" s="7"/>
      <c r="Q224" s="25"/>
      <c r="R224" s="25"/>
      <c r="S224" s="37">
        <f t="shared" si="139"/>
        <v>0</v>
      </c>
      <c r="T224" s="52" t="str">
        <f t="shared" si="131"/>
        <v>Southbound</v>
      </c>
      <c r="U224" s="12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21:36:14-0600',mode:absolute,to:'2016-08-26 23:45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4" s="54" t="str">
        <f t="shared" si="140"/>
        <v>Y</v>
      </c>
      <c r="X224" s="120">
        <f t="shared" si="136"/>
        <v>2</v>
      </c>
      <c r="Y224" s="69">
        <f t="shared" si="137"/>
        <v>5.8647</v>
      </c>
      <c r="Z224" s="69">
        <f t="shared" si="138"/>
        <v>2.1575000000000002</v>
      </c>
      <c r="AA224" s="69">
        <f t="shared" si="133"/>
        <v>3.7071999999999998</v>
      </c>
      <c r="AB224" s="66" t="e">
        <f>VLOOKUP(A224,Enforcements!$C$7:$J$21,8,0)</f>
        <v>#N/A</v>
      </c>
      <c r="AC224" s="62" t="e">
        <f>VLOOKUP(A224,Enforcements!$C$7:$E$21,3,0)</f>
        <v>#N/A</v>
      </c>
      <c r="AD224" s="63" t="str">
        <f t="shared" si="134"/>
        <v>0908-26</v>
      </c>
      <c r="AE224" s="99" t="str">
        <f t="shared" si="124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24" s="96" t="str">
        <f t="shared" si="125"/>
        <v>"C:\Program Files (x86)\AstroGrep\AstroGrep.exe" /spath="%USERPROFILE%\AppData\Local\Temp\OnboardLogs" /stypes="*4012*20160827*" /stext=" 04:.+((SYSTEM_STATE.+slice.+state.+changed )|(ment ac)|(system.+state.+changed )|(\|lc)|(penalty)|(\[timeout)|(PRM\|1\|D)|(kpr)|(kdp))" /e /r /s</v>
      </c>
      <c r="AG224" s="1" t="str">
        <f t="shared" si="135"/>
        <v>Other</v>
      </c>
      <c r="AH224" s="100" t="str">
        <f t="shared" si="126"/>
        <v>"%USERPROFILE%\Documents\GitHub\eaglep3\Utilities\RefineRTDCRunTimes.py" --tripid 908-26 --locoid 4012 --swversion DE.1.0.7.0 --startMP 300:58647 --initTime 2016-08-26T22:36:14 --startdatetime 2016-08-26T22:37:22 --delay 1 --endMP 300:21575 --enddatetime 2016-08-26T22:45:10 --enforcementcount 0 &gt;&gt;C:\Users\stu\Documents\GitHub\eaglep3-reporting\EC\2016-08-26-refined-times.txt</v>
      </c>
      <c r="AI224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{"issue":{"subject":"","project_id":79,"tracker_id":40,"status_id":1,"priority_id":2,"assigned_to_id":23,"start_date":"2016-08-26","description":"","custom_fields":[{"id":1,"name":"Subdivision","value":"Other"},{"id":4,"name":"Milepost","value":"3.7072"},{"id":17,"name":"Train ID","value":"908-26"},{"id":16,"name":"Locomotive ID","value":"4012"},{"id":130,"name":"Impact","value":""},{"id":150,"name":"Time of Event (Mountain Time)","value":"22:45:10"},{"id":151,"name":"Denver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512</v>
      </c>
      <c r="B225" s="7">
        <v>4043</v>
      </c>
      <c r="C225" s="24" t="s">
        <v>113</v>
      </c>
      <c r="D225" s="24" t="s">
        <v>679</v>
      </c>
      <c r="E225" s="15">
        <v>42608.739930555559</v>
      </c>
      <c r="F225" s="15">
        <v>42608.743576388886</v>
      </c>
      <c r="G225" s="7">
        <v>5</v>
      </c>
      <c r="H225" s="15" t="s">
        <v>680</v>
      </c>
      <c r="I225" s="15">
        <v>42608.751886574071</v>
      </c>
      <c r="J225" s="7">
        <v>0</v>
      </c>
      <c r="K225" s="132" t="str">
        <f t="shared" si="129"/>
        <v>4043/4044</v>
      </c>
      <c r="L225" s="24" t="str">
        <f>VLOOKUP(A225,'Trips&amp;Operators'!$C$1:$E$10000,3,FALSE)</f>
        <v>CHANDLER</v>
      </c>
      <c r="M225" s="6">
        <f t="shared" si="130"/>
        <v>8.3101851851097308E-3</v>
      </c>
      <c r="N225" s="7">
        <f t="shared" si="128"/>
        <v>11.966666666558012</v>
      </c>
      <c r="O225" s="7"/>
      <c r="P225" s="7"/>
      <c r="Q225" s="25"/>
      <c r="R225" s="25"/>
      <c r="S225" s="37">
        <f t="shared" si="139"/>
        <v>0</v>
      </c>
      <c r="T225" s="52" t="e">
        <f t="shared" si="131"/>
        <v>#VALUE!</v>
      </c>
      <c r="U225" s="12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5" s="54" t="str">
        <f t="shared" si="140"/>
        <v>Y</v>
      </c>
      <c r="X225" s="120" t="e">
        <f t="shared" si="136"/>
        <v>#VALUE!</v>
      </c>
      <c r="Y225" s="69">
        <f t="shared" si="137"/>
        <v>2.3346</v>
      </c>
      <c r="Z225" s="69">
        <f t="shared" si="138"/>
        <v>0.09</v>
      </c>
      <c r="AA225" s="69">
        <f t="shared" si="133"/>
        <v>2.2446000000000002</v>
      </c>
      <c r="AB225" s="66" t="e">
        <f>VLOOKUP(A225,Enforcements!$C$7:$J$21,8,0)</f>
        <v>#N/A</v>
      </c>
      <c r="AC225" s="62" t="e">
        <f>VLOOKUP(A225,Enforcements!$C$7:$E$21,3,0)</f>
        <v>#N/A</v>
      </c>
      <c r="AD225" s="63" t="str">
        <f t="shared" si="134"/>
        <v>62-26</v>
      </c>
      <c r="AE225" s="99" t="str">
        <f t="shared" si="124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225" s="96" t="str">
        <f t="shared" si="125"/>
        <v>"C:\Program Files (x86)\AstroGrep\AstroGrep.exe" /spath="%USERPROFILE%\AppData\Local\Temp\OnboardLogs" /stypes="*4043*20160827*" /stext=" 00:.+((SYSTEM_STATE.+slice.+state.+changed )|(ment ac)|(system.+state.+changed )|(\|lc)|(penalty)|(\[timeout)|(PRM\|1\|D)|(kpr)|(kdp))" /e /r /s</v>
      </c>
      <c r="AG225" s="1" t="str">
        <f t="shared" si="135"/>
        <v>Other</v>
      </c>
      <c r="AH225" s="100" t="str">
        <f t="shared" si="126"/>
        <v>"%USERPROFILE%\Documents\GitHub\eaglep3\Utilities\RefineRTDCRunTimes.py" --tripid 62-26 --locoid 4043 --swversion DE.1.0.7.0 --startMP 300:23346 --initTime 2016-08-26T17:45:30 --startdatetime 2016-08-26T17:50:45 --delay 5 --endMP 204:900 --enddatetime 2016-08-26T18:02:43 --enforcementcount 0 &gt;&gt;C:\Users\stu\Documents\GitHub\eaglep3-reporting\EC\2016-08-26-refined-times.txt</v>
      </c>
      <c r="AI225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{"issue":{"subject":"","project_id":79,"tracker_id":40,"status_id":1,"priority_id":2,"assigned_to_id":23,"start_date":"2016-08-26","description":"","custom_fields":[{"id":1,"name":"Subdivision","value":"Other"},{"id":4,"name":"Milepost","value":"2.2446"},{"id":17,"name":"Train ID","value":"62-26"},{"id":16,"name":"Locomotive ID","value":"4043"},{"id":130,"name":"Impact","value":""},{"id":150,"name":"Time of Event (Mountain Time)","value":"18:02:43"},{"id":151,"name":"Denver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521</v>
      </c>
      <c r="B226" s="7">
        <v>4004</v>
      </c>
      <c r="C226" s="24" t="s">
        <v>113</v>
      </c>
      <c r="D226" s="24" t="s">
        <v>681</v>
      </c>
      <c r="E226" s="15">
        <v>42608.833969907406</v>
      </c>
      <c r="F226" s="15">
        <v>42608.835694444446</v>
      </c>
      <c r="G226" s="7">
        <v>2</v>
      </c>
      <c r="H226" s="15" t="s">
        <v>153</v>
      </c>
      <c r="I226" s="15">
        <v>42608.842905092592</v>
      </c>
      <c r="J226" s="7">
        <v>0</v>
      </c>
      <c r="K226" s="132" t="str">
        <f t="shared" si="129"/>
        <v>4003/4004</v>
      </c>
      <c r="L226" s="24" t="str">
        <f>VLOOKUP(A226,'Trips&amp;Operators'!$C$1:$E$10000,3,FALSE)</f>
        <v>HAITHCOX</v>
      </c>
      <c r="M226" s="6">
        <f t="shared" si="130"/>
        <v>7.2106481457012706E-3</v>
      </c>
      <c r="N226" s="7">
        <f t="shared" si="128"/>
        <v>10.38333332980983</v>
      </c>
      <c r="O226" s="7"/>
      <c r="P226" s="7"/>
      <c r="Q226" s="25"/>
      <c r="R226" s="25"/>
      <c r="S226" s="37">
        <f t="shared" si="139"/>
        <v>0</v>
      </c>
      <c r="T226" s="52" t="e">
        <f t="shared" si="131"/>
        <v>#VALUE!</v>
      </c>
      <c r="U226" s="12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19:00:55-0600',mode:absolute,to:'2016-08-26 21:13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26" s="54" t="str">
        <f t="shared" si="140"/>
        <v>Y</v>
      </c>
      <c r="X226" s="120" t="e">
        <f t="shared" si="136"/>
        <v>#VALUE!</v>
      </c>
      <c r="Y226" s="69">
        <f t="shared" si="137"/>
        <v>1.8891</v>
      </c>
      <c r="Z226" s="69">
        <f t="shared" si="138"/>
        <v>1.5599999999999999E-2</v>
      </c>
      <c r="AA226" s="69">
        <f t="shared" si="133"/>
        <v>1.8734999999999999</v>
      </c>
      <c r="AB226" s="66" t="e">
        <f>VLOOKUP(A226,Enforcements!$C$7:$J$21,8,0)</f>
        <v>#N/A</v>
      </c>
      <c r="AC226" s="62" t="e">
        <f>VLOOKUP(A226,Enforcements!$C$7:$E$21,3,0)</f>
        <v>#N/A</v>
      </c>
      <c r="AD226" s="63" t="str">
        <f t="shared" si="134"/>
        <v>64-26</v>
      </c>
      <c r="AE226" s="99" t="str">
        <f t="shared" si="124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26" s="96" t="str">
        <f t="shared" si="125"/>
        <v>"C:\Program Files (x86)\AstroGrep\AstroGrep.exe" /spath="%USERPROFILE%\AppData\Local\Temp\OnboardLogs" /stypes="*4004*20160827*" /stext=" 02:.+((SYSTEM_STATE.+slice.+state.+changed )|(ment ac)|(system.+state.+changed )|(\|lc)|(penalty)|(\[timeout)|(PRM\|1\|D)|(kpr)|(kdp))" /e /r /s</v>
      </c>
      <c r="AG226" s="1" t="str">
        <f t="shared" si="135"/>
        <v>Other</v>
      </c>
      <c r="AH226" s="100" t="str">
        <f t="shared" si="126"/>
        <v>"%USERPROFILE%\Documents\GitHub\eaglep3\Utilities\RefineRTDCRunTimes.py" --tripid 64-26 --locoid 4004 --swversion DE.1.0.7.0 --startMP 204:18891 --initTime 2016-08-26T20:00:55 --startdatetime 2016-08-26T20:03:24 --delay 2 --endMP 204:156 --enddatetime 2016-08-26T20:13:47 --enforcementcount 0 &gt;&gt;C:\Users\stu\Documents\GitHub\eaglep3-reporting\EC\2016-08-26-refined-times.txt</v>
      </c>
      <c r="AI226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{"issue":{"subject":"","project_id":79,"tracker_id":40,"status_id":1,"priority_id":2,"assigned_to_id":23,"start_date":"2016-08-26","description":"","custom_fields":[{"id":1,"name":"Subdivision","value":"Other"},{"id":4,"name":"Milepost","value":"1.8735"},{"id":17,"name":"Train ID","value":"64-26"},{"id":16,"name":"Locomotive ID","value":"4004"},{"id":130,"name":"Impact","value":""},{"id":150,"name":"Time of Event (Mountain Time)","value":"20:13:47"},{"id":151,"name":"Denver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482</v>
      </c>
      <c r="B227" s="7">
        <v>4031</v>
      </c>
      <c r="C227" s="24" t="s">
        <v>113</v>
      </c>
      <c r="D227" s="24" t="s">
        <v>682</v>
      </c>
      <c r="E227" s="15">
        <v>42608.643819444442</v>
      </c>
      <c r="F227" s="15">
        <v>42608.645567129628</v>
      </c>
      <c r="G227" s="7">
        <v>2</v>
      </c>
      <c r="H227" s="15" t="s">
        <v>683</v>
      </c>
      <c r="I227" s="15">
        <v>42608.65415509259</v>
      </c>
      <c r="J227" s="7">
        <v>0</v>
      </c>
      <c r="K227" s="132" t="str">
        <f t="shared" si="129"/>
        <v>4031/4032</v>
      </c>
      <c r="L227" s="24" t="str">
        <f>VLOOKUP(A227,'Trips&amp;Operators'!$C$1:$E$10000,3,FALSE)</f>
        <v>OUN</v>
      </c>
      <c r="M227" s="6">
        <f t="shared" si="130"/>
        <v>8.5879629623377696E-3</v>
      </c>
      <c r="N227" s="7">
        <f t="shared" si="128"/>
        <v>12.366666665766388</v>
      </c>
      <c r="O227" s="7"/>
      <c r="P227" s="7"/>
      <c r="Q227" s="25"/>
      <c r="R227" s="25"/>
      <c r="S227" s="37">
        <f t="shared" si="139"/>
        <v>0</v>
      </c>
      <c r="T227" s="52" t="e">
        <f t="shared" si="131"/>
        <v>#VALUE!</v>
      </c>
      <c r="U227" s="12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14:27:06-0600',mode:absolute,to:'2016-08-26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27" s="54" t="str">
        <f t="shared" si="140"/>
        <v>Y</v>
      </c>
      <c r="X227" s="120" t="e">
        <f t="shared" si="136"/>
        <v>#VALUE!</v>
      </c>
      <c r="Y227" s="69">
        <f t="shared" si="137"/>
        <v>5.2900000000000003E-2</v>
      </c>
      <c r="Z227" s="69">
        <f t="shared" si="138"/>
        <v>2.3298999999999999</v>
      </c>
      <c r="AA227" s="69">
        <f t="shared" si="133"/>
        <v>2.2769999999999997</v>
      </c>
      <c r="AB227" s="66" t="e">
        <f>VLOOKUP(A227,Enforcements!$C$7:$J$21,8,0)</f>
        <v>#N/A</v>
      </c>
      <c r="AC227" s="62" t="e">
        <f>VLOOKUP(A227,Enforcements!$C$7:$E$21,3,0)</f>
        <v>#N/A</v>
      </c>
      <c r="AD227" s="63" t="str">
        <f t="shared" si="134"/>
        <v>65-26</v>
      </c>
      <c r="AE227" s="99" t="str">
        <f t="shared" si="124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27" s="96" t="str">
        <f t="shared" si="125"/>
        <v>"C:\Program Files (x86)\AstroGrep\AstroGrep.exe" /spath="%USERPROFILE%\AppData\Local\Temp\OnboardLogs" /stypes="*4031*20160826*" /stext=" 21:.+((SYSTEM_STATE.+slice.+state.+changed )|(ment ac)|(system.+state.+changed )|(\|lc)|(penalty)|(\[timeout)|(PRM\|1\|D)|(kpr)|(kdp))" /e /r /s</v>
      </c>
      <c r="AG227" s="1" t="str">
        <f t="shared" si="135"/>
        <v>Other</v>
      </c>
      <c r="AH227" s="100" t="str">
        <f t="shared" si="126"/>
        <v>"%USERPROFILE%\Documents\GitHub\eaglep3\Utilities\RefineRTDCRunTimes.py" --tripid 65-26 --locoid 4031 --swversion DE.1.0.7.0 --startMP 204:529 --initTime 2016-08-26T15:27:06 --startdatetime 2016-08-26T15:29:37 --delay 2 --endMP 300:23299 --enddatetime 2016-08-26T15:41:59 --enforcementcount 0 &gt;&gt;C:\Users\stu\Documents\GitHub\eaglep3-reporting\EC\2016-08-26-refined-times.txt</v>
      </c>
      <c r="AI227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{"issue":{"subject":"","project_id":79,"tracker_id":40,"status_id":1,"priority_id":2,"assigned_to_id":23,"start_date":"2016-08-26","description":"","custom_fields":[{"id":1,"name":"Subdivision","value":"Other"},{"id":4,"name":"Milepost","value":"2.277"},{"id":17,"name":"Train ID","value":"65-26"},{"id":16,"name":"Locomotive ID","value":"4031"},{"id":130,"name":"Impact","value":""},{"id":150,"name":"Time of Event (Mountain Time)","value":"15:41:59"},{"id":151,"name":"Denver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545</v>
      </c>
      <c r="B228" s="7">
        <v>4044</v>
      </c>
      <c r="C228" s="24" t="s">
        <v>113</v>
      </c>
      <c r="D228" s="24" t="s">
        <v>684</v>
      </c>
      <c r="E228" s="15">
        <v>42608.894270833334</v>
      </c>
      <c r="F228" s="15">
        <v>42608.895162037035</v>
      </c>
      <c r="G228" s="7">
        <v>1</v>
      </c>
      <c r="H228" s="15" t="s">
        <v>149</v>
      </c>
      <c r="I228" s="15">
        <v>42608.918356481481</v>
      </c>
      <c r="J228" s="7">
        <v>0</v>
      </c>
      <c r="K228" s="132" t="str">
        <f t="shared" si="129"/>
        <v>4043/4044</v>
      </c>
      <c r="L228" s="24" t="str">
        <f>VLOOKUP(A228,'Trips&amp;Operators'!$C$1:$E$10000,3,FALSE)</f>
        <v>YANAI</v>
      </c>
      <c r="M228" s="6">
        <f t="shared" si="130"/>
        <v>2.3194444445834961E-2</v>
      </c>
      <c r="N228" s="7">
        <f t="shared" si="128"/>
        <v>33.400000002002344</v>
      </c>
      <c r="O228" s="7"/>
      <c r="P228" s="7"/>
      <c r="Q228" s="25"/>
      <c r="R228" s="25"/>
      <c r="S228" s="37">
        <f t="shared" si="139"/>
        <v>0</v>
      </c>
      <c r="T228" s="52" t="e">
        <f t="shared" si="131"/>
        <v>#VALUE!</v>
      </c>
      <c r="U228" s="12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20:27:45-0600',mode:absolute,to:'2016-08-26 23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28" s="54" t="str">
        <f t="shared" si="140"/>
        <v>N</v>
      </c>
      <c r="X228" s="120" t="e">
        <f t="shared" si="136"/>
        <v>#VALUE!</v>
      </c>
      <c r="Y228" s="69">
        <f t="shared" si="137"/>
        <v>1.9121999999999999</v>
      </c>
      <c r="Z228" s="69">
        <f t="shared" si="138"/>
        <v>23.33</v>
      </c>
      <c r="AA228" s="69">
        <f t="shared" si="133"/>
        <v>21.4178</v>
      </c>
      <c r="AB228" s="66" t="e">
        <f>VLOOKUP(A228,Enforcements!$C$7:$J$21,8,0)</f>
        <v>#N/A</v>
      </c>
      <c r="AC228" s="62" t="e">
        <f>VLOOKUP(A228,Enforcements!$C$7:$E$21,3,0)</f>
        <v>#N/A</v>
      </c>
      <c r="AD228" s="63" t="str">
        <f t="shared" si="134"/>
        <v>67-26</v>
      </c>
      <c r="AE228" s="99" t="str">
        <f t="shared" si="124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28" s="96" t="str">
        <f t="shared" si="125"/>
        <v>"C:\Program Files (x86)\AstroGrep\AstroGrep.exe" /spath="%USERPROFILE%\AppData\Local\Temp\OnboardLogs" /stypes="*4044*20160827*" /stext=" 04:.+((SYSTEM_STATE.+slice.+state.+changed )|(ment ac)|(system.+state.+changed )|(\|lc)|(penalty)|(\[timeout)|(PRM\|1\|D)|(kpr)|(kdp))" /e /r /s</v>
      </c>
      <c r="AG228" s="1" t="str">
        <f t="shared" si="135"/>
        <v>Other</v>
      </c>
      <c r="AH228" s="100" t="str">
        <f t="shared" si="126"/>
        <v>"%USERPROFILE%\Documents\GitHub\eaglep3\Utilities\RefineRTDCRunTimes.py" --tripid 67-26 --locoid 4044 --swversion DE.1.0.7.0 --startMP 204:19122 --initTime 2016-08-26T21:27:45 --startdatetime 2016-08-26T21:29:02 --delay 1 --endMP 204:233300 --enddatetime 2016-08-26T22:02:26 --enforcementcount 0 &gt;&gt;C:\Users\stu\Documents\GitHub\eaglep3-reporting\EC\2016-08-26-refined-times.txt</v>
      </c>
      <c r="AI228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{"issue":{"subject":"","project_id":79,"tracker_id":40,"status_id":1,"priority_id":2,"assigned_to_id":23,"start_date":"2016-08-26","description":"","custom_fields":[{"id":1,"name":"Subdivision","value":"Other"},{"id":4,"name":"Milepost","value":"21.4178"},{"id":17,"name":"Train ID","value":"67-26"},{"id":16,"name":"Locomotive ID","value":"4044"},{"id":130,"name":"Impact","value":""},{"id":150,"name":"Time of Event (Mountain Time)","value":"22:02:26"},{"id":151,"name":"Denver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545</v>
      </c>
      <c r="B229" s="7">
        <v>4044</v>
      </c>
      <c r="C229" s="24" t="s">
        <v>113</v>
      </c>
      <c r="D229" s="24" t="s">
        <v>607</v>
      </c>
      <c r="E229" s="15">
        <v>42608.889178240737</v>
      </c>
      <c r="F229" s="15">
        <v>42608.890208333331</v>
      </c>
      <c r="G229" s="7">
        <v>1</v>
      </c>
      <c r="H229" s="15" t="s">
        <v>665</v>
      </c>
      <c r="I229" s="15">
        <v>42608.892442129632</v>
      </c>
      <c r="J229" s="7">
        <v>0</v>
      </c>
      <c r="K229" s="132" t="str">
        <f t="shared" si="129"/>
        <v>4043/4044</v>
      </c>
      <c r="L229" s="24" t="str">
        <f>VLOOKUP(A229,'Trips&amp;Operators'!$C$1:$E$10000,3,FALSE)</f>
        <v>YANAI</v>
      </c>
      <c r="M229" s="6">
        <f t="shared" si="130"/>
        <v>2.2337963018799201E-3</v>
      </c>
      <c r="N229" s="7">
        <f t="shared" si="128"/>
        <v>3.2166666747070849</v>
      </c>
      <c r="O229" s="7"/>
      <c r="P229" s="7"/>
      <c r="Q229" s="25"/>
      <c r="R229" s="25"/>
      <c r="S229" s="37">
        <f t="shared" si="139"/>
        <v>0</v>
      </c>
      <c r="T229" s="52" t="e">
        <f t="shared" si="131"/>
        <v>#VALUE!</v>
      </c>
      <c r="U229" s="12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20:20:25-0600',mode:absolute,to:'2016-08-26 22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29" s="54" t="str">
        <f t="shared" si="140"/>
        <v>Y</v>
      </c>
      <c r="X229" s="120" t="e">
        <f t="shared" si="136"/>
        <v>#VALUE!</v>
      </c>
      <c r="Y229" s="69">
        <f t="shared" si="137"/>
        <v>7.7700000000000005E-2</v>
      </c>
      <c r="Z229" s="69">
        <f t="shared" si="138"/>
        <v>0.58879999999999999</v>
      </c>
      <c r="AA229" s="69">
        <f t="shared" si="133"/>
        <v>0.5111</v>
      </c>
      <c r="AB229" s="66" t="e">
        <f>VLOOKUP(A229,Enforcements!$C$7:$J$21,8,0)</f>
        <v>#N/A</v>
      </c>
      <c r="AC229" s="62" t="e">
        <f>VLOOKUP(A229,Enforcements!$C$7:$E$21,3,0)</f>
        <v>#N/A</v>
      </c>
      <c r="AD229" s="63" t="str">
        <f t="shared" si="134"/>
        <v>67-26</v>
      </c>
      <c r="AE229" s="99" t="str">
        <f t="shared" si="124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29" s="96" t="str">
        <f t="shared" si="125"/>
        <v>"C:\Program Files (x86)\AstroGrep\AstroGrep.exe" /spath="%USERPROFILE%\AppData\Local\Temp\OnboardLogs" /stypes="*4044*20160827*" /stext=" 03:.+((SYSTEM_STATE.+slice.+state.+changed )|(ment ac)|(system.+state.+changed )|(\|lc)|(penalty)|(\[timeout)|(PRM\|1\|D)|(kpr)|(kdp))" /e /r /s</v>
      </c>
      <c r="AG229" s="1" t="str">
        <f t="shared" si="135"/>
        <v>Other</v>
      </c>
      <c r="AH229" s="100" t="str">
        <f t="shared" si="126"/>
        <v>"%USERPROFILE%\Documents\GitHub\eaglep3\Utilities\RefineRTDCRunTimes.py" --tripid 67-26 --locoid 4044 --swversion DE.1.0.7.0 --startMP 204:777 --initTime 2016-08-26T21:20:25 --startdatetime 2016-08-26T21:21:54 --delay 1 --endMP 204:5888 --enddatetime 2016-08-26T21:25:07 --enforcementcount 0 &gt;&gt;C:\Users\stu\Documents\GitHub\eaglep3-reporting\EC\2016-08-26-refined-times.txt</v>
      </c>
      <c r="AI229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{"issue":{"subject":"","project_id":79,"tracker_id":40,"status_id":1,"priority_id":2,"assigned_to_id":23,"start_date":"2016-08-26","description":"","custom_fields":[{"id":1,"name":"Subdivision","value":"Other"},{"id":4,"name":"Milepost","value":"0.5111"},{"id":17,"name":"Train ID","value":"67-26"},{"id":16,"name":"Locomotive ID","value":"4044"},{"id":130,"name":"Impact","value":""},{"id":150,"name":"Time of Event (Mountain Time)","value":"21:25:07"},{"id":151,"name":"Denver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515</v>
      </c>
      <c r="B230" s="7">
        <v>4021</v>
      </c>
      <c r="C230" s="24" t="s">
        <v>113</v>
      </c>
      <c r="D230" s="24" t="s">
        <v>685</v>
      </c>
      <c r="E230" s="15">
        <v>42608.752164351848</v>
      </c>
      <c r="F230" s="15">
        <v>42608.754814814813</v>
      </c>
      <c r="G230" s="7">
        <v>3</v>
      </c>
      <c r="H230" s="15" t="s">
        <v>686</v>
      </c>
      <c r="I230" s="15">
        <v>42608.761574074073</v>
      </c>
      <c r="J230" s="7">
        <v>0</v>
      </c>
      <c r="K230" s="132" t="str">
        <f t="shared" si="129"/>
        <v>4021/4022</v>
      </c>
      <c r="L230" s="24" t="str">
        <f>VLOOKUP(A230,'Trips&amp;Operators'!$C$1:$E$10000,3,FALSE)</f>
        <v>STURGEON</v>
      </c>
      <c r="M230" s="6">
        <f t="shared" si="130"/>
        <v>6.7592592604341917E-3</v>
      </c>
      <c r="N230" s="7">
        <f t="shared" si="128"/>
        <v>9.733333335025236</v>
      </c>
      <c r="O230" s="7"/>
      <c r="P230" s="7"/>
      <c r="Q230" s="25"/>
      <c r="R230" s="25"/>
      <c r="S230" s="37">
        <f t="shared" si="139"/>
        <v>0</v>
      </c>
      <c r="T230" s="52" t="e">
        <f t="shared" si="131"/>
        <v>#VALUE!</v>
      </c>
      <c r="U230" s="12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https://search-rtdc-monitor-bjffxe2xuh6vdkpspy63sjmuny.us-east-1.es.amazonaws.com/_plugin/kibana/#/discover/Steve-Slow-Train-Analysis-(2080s-and-2083s)?_g=(refreshInterval:(display:Off,section:0,value:0),time:(from:'2016-08-26 17:03:07-0600',mode:absolute,to:'2016-08-26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30" s="54" t="str">
        <f t="shared" si="140"/>
        <v>Y</v>
      </c>
      <c r="X230" s="120" t="e">
        <f t="shared" si="136"/>
        <v>#VALUE!</v>
      </c>
      <c r="Y230" s="69">
        <f t="shared" si="137"/>
        <v>2.3449</v>
      </c>
      <c r="Z230" s="69">
        <f t="shared" si="138"/>
        <v>1.3299999999999999E-2</v>
      </c>
      <c r="AA230" s="69">
        <f t="shared" si="133"/>
        <v>2.3315999999999999</v>
      </c>
      <c r="AB230" s="66" t="e">
        <f>VLOOKUP(A230,Enforcements!$C$7:$J$21,8,0)</f>
        <v>#N/A</v>
      </c>
      <c r="AC230" s="62" t="e">
        <f>VLOOKUP(A230,Enforcements!$C$7:$E$21,3,0)</f>
        <v>#N/A</v>
      </c>
      <c r="AD230" s="63" t="str">
        <f t="shared" si="134"/>
        <v>68-26</v>
      </c>
      <c r="AE230" s="99" t="str">
        <f t="shared" si="124"/>
        <v>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 &amp; aws s3 cp s3://rtdc.mdm.uploadarchive/RTDC4021/2016-08-27/ "%USERPROFILE%\AppData\Local\Temp\OnboardLogs"\RTDC4021\2016-08-27 --recursive &amp; "%USERPROFILE%\Documents\GitHub\mrs-test-scripts\Headless Mode &amp; Sideloading\WalkAndUnGZ.bat" "%USERPROFILE%\AppData\Local\Temp\OnboardLogs"\RTDC4021\2016-08-27</v>
      </c>
      <c r="AF230" s="96" t="str">
        <f t="shared" si="125"/>
        <v>"C:\Program Files (x86)\AstroGrep\AstroGrep.exe" /spath="%USERPROFILE%\AppData\Local\Temp\OnboardLogs" /stypes="*4021*20160827*" /stext=" 00:.+((SYSTEM_STATE.+slice.+state.+changed )|(ment ac)|(system.+state.+changed )|(\|lc)|(penalty)|(\[timeout)|(PRM\|1\|D)|(kpr)|(kdp))" /e /r /s</v>
      </c>
      <c r="AG230" s="1" t="str">
        <f t="shared" si="135"/>
        <v>Other</v>
      </c>
      <c r="AH230" s="100" t="str">
        <f t="shared" si="126"/>
        <v>"%USERPROFILE%\Documents\GitHub\eaglep3\Utilities\RefineRTDCRunTimes.py" --tripid 68-26 --locoid 4021 --swversion DE.1.0.7.0 --startMP 300:23449 --initTime 2016-08-26T18:03:07 --startdatetime 2016-08-26T18:06:56 --delay 3 --endMP 204:133 --enddatetime 2016-08-26T18:16:40 --enforcementcount 0 &gt;&gt;C:\Users\stu\Documents\GitHub\eaglep3-reporting\EC\2016-08-26-refined-times.txt</v>
      </c>
      <c r="AI230" s="149" t="str">
        <f t="shared" si="127"/>
        <v>echo {"issue":{"subject":"","project_id":79,"tracker_id":40,"status_id":1,"priority_id":2,"assigned_to_id":23,"start_date":"2016-08-26","description":"","custom_fields":[{"id":1,"name":"Subdivision","value":"Other"},{"id":4,"name":"Milepost","value":"2.3316"},{"id":17,"name":"Train ID","value":"68-26"},{"id":16,"name":"Locomotive ID","value":"4021"},{"id":130,"name":"Impact","value":""},{"id":150,"name":"Time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3">
    <cfRule type="expression" dxfId="5" priority="235">
      <formula>$O13&gt;0</formula>
    </cfRule>
  </conditionalFormatting>
  <conditionalFormatting sqref="A13:S233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Values'!$C$2:$C$13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workbookViewId="0">
      <pane ySplit="6" topLeftCell="A7" activePane="bottomLeft" state="frozen"/>
      <selection pane="bottomLeft" activeCell="N54" sqref="N5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1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66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- 2016-08-26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268</v>
      </c>
      <c r="X6" s="161" t="s">
        <v>269</v>
      </c>
      <c r="Y6" s="161" t="s">
        <v>241</v>
      </c>
      <c r="Z6" s="161" t="s">
        <v>270</v>
      </c>
    </row>
    <row r="7" spans="1:26" s="1" customFormat="1" x14ac:dyDescent="0.25">
      <c r="A7" s="38">
        <v>42608.745891203704</v>
      </c>
      <c r="B7" s="33" t="s">
        <v>196</v>
      </c>
      <c r="C7" s="33" t="s">
        <v>511</v>
      </c>
      <c r="D7" s="33" t="s">
        <v>49</v>
      </c>
      <c r="E7" s="33" t="s">
        <v>570</v>
      </c>
      <c r="F7" s="49">
        <v>360</v>
      </c>
      <c r="G7" s="49">
        <v>410</v>
      </c>
      <c r="H7" s="49">
        <v>32866</v>
      </c>
      <c r="I7" s="33" t="s">
        <v>569</v>
      </c>
      <c r="J7" s="49">
        <v>33137</v>
      </c>
      <c r="K7" s="33" t="s">
        <v>52</v>
      </c>
      <c r="L7" s="92" t="str">
        <f>VLOOKUP(C7,'Trips&amp;Operators'!$C$1:$E$9999,3,0)</f>
        <v>YANAI</v>
      </c>
      <c r="M7" s="131" t="s">
        <v>86</v>
      </c>
      <c r="N7" s="10" t="s">
        <v>768</v>
      </c>
      <c r="O7" s="33"/>
      <c r="P7" s="108" t="str">
        <f>VLOOKUP(C7,'Train Runs'!$A$13:$AE$10008,31,0)</f>
        <v>aws s3 cp s3://rtdc.mdm.uploadarchive/RTDC4003/2016-08-26/ "%USERPROFILE%\AppData\Local\Temp\OnboardLogs"\RTDC4003\2016-08-26 --recursive &amp; "%USERPROFILE%\Documents\GitHub\mrs-test-scripts\Headless Mode &amp; Sideloading\WalkAndUnGZ.bat" "%USERPROFILE%\AppData\Local\Temp\OnboardLogs"\RTDC4003\2016-08-26 &amp; aws s3 cp s3://rtdc.mdm.uploadarchive/RTDC4003/2016-08-27/ "%USERPROFILE%\AppData\Local\Temp\OnboardLogs"\RTDC4003\2016-08-27 --recursive &amp; "%USERPROFILE%\Documents\GitHub\mrs-test-scripts\Headless Mode &amp; Sideloading\WalkAndUnGZ.bat" "%USERPROFILE%\AppData\Local\Temp\OnboardLogs"\RTDC4003\2016-08-27</v>
      </c>
      <c r="Q7" s="111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16:42:11-0600',mode:absolute,to:'2016-08-26 19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7" s="113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/stypes="*4003*201608262*" /stext=" 23:.+((SYSTEM_STATE.+slice.+state.+changed )|(ment ac)|(system.+state.+changed )|(\|lc)|(penalty)|(\[timeout)|(PRM\|1\|D)|(kpr)|(kdp))" /e /r /s</v>
      </c>
      <c r="S7" s="9" t="str">
        <f t="shared" ref="S7:S38" si="1">MID(B7,13,4)</f>
        <v>4003</v>
      </c>
      <c r="T7" s="38">
        <f t="shared" ref="T7:T38" si="2">A7+6/24</f>
        <v>42608.995891203704</v>
      </c>
      <c r="U7" s="52" t="str">
        <f t="shared" ref="U7:U38" si="3">IF(VALUE(LEFT(IF(LEN(C7)=6,"0"&amp;C7,C7),2))&lt;=2,"EC",IF(OR(VALUE(LEFT(IF(LEN(C7)=6,"0"&amp;C7,C7),2))=8,VALUE(LEFT(IF(LEN(C7)=6,"0"&amp;C7,C7),2))=18),"NW","Other"))</f>
        <v>EC</v>
      </c>
      <c r="V7" s="52" t="str">
        <f t="shared" ref="V7:V38" si="4">IF(AND(E7="TRACK WARRANT AUTHORITY",G7&lt;10),"OMIT","KEEP")</f>
        <v>KEEP</v>
      </c>
      <c r="W7" s="149" t="str">
        <f t="shared" ref="W7:W38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arrival","project_id":79,"tracker_id":40,"status_id":1,"priority_id":2,"assigned_to_id":23,"start_date":"2016-08-26","description":"","custom_fields":[{"id":1,"name":"Subdivision","value":"EC"},{"id":4,"name":"Milepost","value":"3.3137"},{"id":17,"name":"Train ID","value":"213-26"},{"id":16,"name":"Locomotive ID","value":"4003"},{"id":130,"name":"Impact","value":""},{"id":150,"name":"Time of Event (Mountain Time)","value":"17:54:05"},{"id":151,"name":"Denver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42608.569780092592</v>
      </c>
      <c r="B8" s="33" t="s">
        <v>276</v>
      </c>
      <c r="C8" s="33" t="s">
        <v>457</v>
      </c>
      <c r="D8" s="33" t="s">
        <v>49</v>
      </c>
      <c r="E8" s="33" t="s">
        <v>570</v>
      </c>
      <c r="F8" s="49">
        <v>0</v>
      </c>
      <c r="G8" s="49">
        <v>486</v>
      </c>
      <c r="H8" s="49">
        <v>44701</v>
      </c>
      <c r="I8" s="33" t="s">
        <v>569</v>
      </c>
      <c r="J8" s="49">
        <v>42961</v>
      </c>
      <c r="K8" s="33" t="s">
        <v>53</v>
      </c>
      <c r="L8" s="92" t="str">
        <f>VLOOKUP(C8,'Trips&amp;Operators'!$C$1:$E$9999,3,0)</f>
        <v>SHOOK</v>
      </c>
      <c r="M8" s="131" t="s">
        <v>86</v>
      </c>
      <c r="N8" s="10" t="s">
        <v>768</v>
      </c>
      <c r="O8" s="33"/>
      <c r="P8" s="108" t="str">
        <f>VLOOKUP(C8,'Train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8" s="111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12:04:13-0600',mode:absolute,to:'2016-08-26 14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8" s="113" t="str">
        <f t="shared" si="0"/>
        <v>"C:\Program Files (x86)\AstroGrep\AstroGrep.exe" /spath="%USERPROFILE%\AppData\Local\Temp\OnboardLogs" /stypes="*4026*201608261*" /stext=" 19:.+((SYSTEM_STATE.+slice.+state.+changed )|(ment ac)|(system.+state.+changed )|(\|lc)|(penalty)|(\[timeout)|(PRM\|1\|D)|(kpr)|(kdp))" /e /r /s</v>
      </c>
      <c r="S8" s="9" t="str">
        <f t="shared" si="1"/>
        <v>4026</v>
      </c>
      <c r="T8" s="38">
        <f t="shared" si="2"/>
        <v>42608.819780092592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arrival","project_id":79,"tracker_id":40,"status_id":1,"priority_id":2,"assigned_to_id":23,"start_date":"2016-08-26","description":"","custom_fields":[{"id":1,"name":"Subdivision","value":"EC"},{"id":4,"name":"Milepost","value":"4.2961"},{"id":17,"name":"Train ID","value":"170-26"},{"id":16,"name":"Locomotive ID","value":"4026"},{"id":130,"name":"Impact","value":""},{"id":150,"name":"Time of Event (Mountain Time)","value":"13:40:29"},{"id":151,"name":"Denver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42608.187858796293</v>
      </c>
      <c r="B9" s="33" t="s">
        <v>112</v>
      </c>
      <c r="C9" s="33" t="s">
        <v>362</v>
      </c>
      <c r="D9" s="33" t="s">
        <v>111</v>
      </c>
      <c r="E9" s="33" t="s">
        <v>56</v>
      </c>
      <c r="F9" s="49">
        <v>150</v>
      </c>
      <c r="G9" s="49">
        <v>200</v>
      </c>
      <c r="H9" s="49">
        <v>912</v>
      </c>
      <c r="I9" s="33" t="s">
        <v>57</v>
      </c>
      <c r="J9" s="49">
        <v>0</v>
      </c>
      <c r="K9" s="33" t="s">
        <v>52</v>
      </c>
      <c r="L9" s="92" t="str">
        <f>VLOOKUP(C9,'Trips&amp;Operators'!$C$1:$E$9999,3,0)</f>
        <v>BRANNON</v>
      </c>
      <c r="M9" s="131" t="s">
        <v>86</v>
      </c>
      <c r="N9" s="10"/>
      <c r="O9" s="33"/>
      <c r="P9" s="108" t="str">
        <f>VLOOKUP(C9,'Train Runs'!$A$13:$AE$10008,31,0)</f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Q9" s="111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03:16:48-0600',mode:absolute,to:'2016-08-26 05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" s="113" t="str">
        <f t="shared" si="0"/>
        <v>"C:\Program Files (x86)\AstroGrep\AstroGrep.exe" /spath="%USERPROFILE%\AppData\Local\Temp\OnboardLogs" /stypes="*4014*201608261*" /stext=" 10:.+((SYSTEM_STATE.+slice.+state.+changed )|(ment ac)|(system.+state.+changed )|(\|lc)|(penalty)|(\[timeout)|(PRM\|1\|D)|(kpr)|(kdp))" /e /r /s</v>
      </c>
      <c r="S9" s="9" t="str">
        <f t="shared" si="1"/>
        <v>4014</v>
      </c>
      <c r="T9" s="38">
        <f t="shared" si="2"/>
        <v>42608.437858796293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{"issue":{"subject":"","project_id":79,"tracker_id":40,"status_id":1,"priority_id":2,"assigned_to_id":23,"start_date":"2016-08-26","description":"","custom_fields":[{"id":1,"name":"Subdivision","value":"EC"},{"id":4,"name":"Milepost","value":"0"},{"id":17,"name":"Train ID","value":"107-26"},{"id":16,"name":"Locomotive ID","value":"4014"},{"id":130,"name":"Impact","value":""},{"id":150,"name":"Time of Event (Mountain Time)","value":"04:30:31"},{"id":151,"name":"Denver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42608.501817129632</v>
      </c>
      <c r="B10" s="33" t="s">
        <v>276</v>
      </c>
      <c r="C10" s="33" t="s">
        <v>440</v>
      </c>
      <c r="D10" s="33" t="s">
        <v>49</v>
      </c>
      <c r="E10" s="33" t="s">
        <v>56</v>
      </c>
      <c r="F10" s="49">
        <v>300</v>
      </c>
      <c r="G10" s="49">
        <v>404</v>
      </c>
      <c r="H10" s="49">
        <v>23323</v>
      </c>
      <c r="I10" s="33" t="s">
        <v>57</v>
      </c>
      <c r="J10" s="49">
        <v>21848</v>
      </c>
      <c r="K10" s="33" t="s">
        <v>53</v>
      </c>
      <c r="L10" s="92" t="str">
        <f>VLOOKUP(C10,'Trips&amp;Operators'!$C$1:$E$9999,3,0)</f>
        <v>STRICKLAND</v>
      </c>
      <c r="M10" s="131" t="s">
        <v>86</v>
      </c>
      <c r="N10" s="10"/>
      <c r="O10" s="33"/>
      <c r="P10" s="108" t="str">
        <f>VLOOKUP(C10,'Train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10" s="111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0" s="113" t="str">
        <f t="shared" si="0"/>
        <v>"C:\Program Files (x86)\AstroGrep\AstroGrep.exe" /spath="%USERPROFILE%\AppData\Local\Temp\OnboardLogs" /stypes="*4026*201608261*" /stext=" 18:.+((SYSTEM_STATE.+slice.+state.+changed )|(ment ac)|(system.+state.+changed )|(\|lc)|(penalty)|(\[timeout)|(PRM\|1\|D)|(kpr)|(kdp))" /e /r /s</v>
      </c>
      <c r="S10" s="9" t="str">
        <f t="shared" si="1"/>
        <v>4026</v>
      </c>
      <c r="T10" s="38">
        <f t="shared" si="2"/>
        <v>42608.751817129632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{"issue":{"subject":"","project_id":79,"tracker_id":40,"status_id":1,"priority_id":2,"assigned_to_id":23,"start_date":"2016-08-26","description":"","custom_fields":[{"id":1,"name":"Subdivision","value":"EC"},{"id":4,"name":"Milepost","value":"2.1848"},{"id":17,"name":"Train ID","value":"156-26"},{"id":16,"name":"Locomotive ID","value":"4026"},{"id":130,"name":"Impact","value":""},{"id":150,"name":"Time of Event (Mountain Time)","value":"12:02:37"},{"id":151,"name":"Denver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42608.287685185183</v>
      </c>
      <c r="B11" s="33" t="s">
        <v>93</v>
      </c>
      <c r="C11" s="33" t="s">
        <v>381</v>
      </c>
      <c r="D11" s="33" t="s">
        <v>111</v>
      </c>
      <c r="E11" s="33" t="s">
        <v>56</v>
      </c>
      <c r="F11" s="49">
        <v>400</v>
      </c>
      <c r="G11" s="49">
        <v>451</v>
      </c>
      <c r="H11" s="49">
        <v>119275</v>
      </c>
      <c r="I11" s="33" t="s">
        <v>57</v>
      </c>
      <c r="J11" s="49">
        <v>116838</v>
      </c>
      <c r="K11" s="33" t="s">
        <v>52</v>
      </c>
      <c r="L11" s="92" t="str">
        <f>VLOOKUP(C11,'Trips&amp;Operators'!$C$1:$E$9999,3,0)</f>
        <v>MALAVE</v>
      </c>
      <c r="M11" s="131" t="s">
        <v>86</v>
      </c>
      <c r="N11" s="10"/>
      <c r="O11" s="33"/>
      <c r="P11" s="108" t="str">
        <f>VLOOKUP(C11,'Train Runs'!$A$13:$AE$10008,31,0)</f>
        <v>aws s3 cp s3://rtdc.mdm.uploadarchive/RTDC4027/2016-08-26/ "%USERPROFILE%\AppData\Local\Temp\OnboardLogs"\RTDC4027\2016-08-26 --recursive &amp; "%USERPROFILE%\Documents\GitHub\mrs-test-scripts\Headless Mode &amp; Sideloading\WalkAndUnGZ.bat" "%USERPROFILE%\AppData\Local\Temp\OnboardLogs"\RTDC4027\2016-08-26 &amp; 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</v>
      </c>
      <c r="Q11" s="111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05:24:14-0600',mode:absolute,to:'2016-08-26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1" s="113" t="str">
        <f t="shared" si="0"/>
        <v>"C:\Program Files (x86)\AstroGrep\AstroGrep.exe" /spath="%USERPROFILE%\AppData\Local\Temp\OnboardLogs" /stypes="*4027*201608261*" /stext=" 12:.+((SYSTEM_STATE.+slice.+state.+changed )|(ment ac)|(system.+state.+changed )|(\|lc)|(penalty)|(\[timeout)|(PRM\|1\|D)|(kpr)|(kdp))" /e /r /s</v>
      </c>
      <c r="S11" s="9" t="str">
        <f t="shared" si="1"/>
        <v>4027</v>
      </c>
      <c r="T11" s="38">
        <f t="shared" si="2"/>
        <v>42608.537685185183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{"issue":{"subject":"","project_id":79,"tracker_id":40,"status_id":1,"priority_id":2,"assigned_to_id":23,"start_date":"2016-08-26","description":"","custom_fields":[{"id":1,"name":"Subdivision","value":"EC"},{"id":4,"name":"Milepost","value":"11.6838"},{"id":17,"name":"Train ID","value":"121-26"},{"id":16,"name":"Locomotive ID","value":"4027"},{"id":130,"name":"Impact","value":""},{"id":150,"name":"Time of Event (Mountain Time)","value":"06:54:16"},{"id":151,"name":"Denver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42609.016504629632</v>
      </c>
      <c r="B12" s="33" t="s">
        <v>356</v>
      </c>
      <c r="C12" s="33" t="s">
        <v>558</v>
      </c>
      <c r="D12" s="33" t="s">
        <v>49</v>
      </c>
      <c r="E12" s="33" t="s">
        <v>56</v>
      </c>
      <c r="F12" s="49">
        <v>400</v>
      </c>
      <c r="G12" s="49">
        <v>557</v>
      </c>
      <c r="H12" s="49">
        <v>115634</v>
      </c>
      <c r="I12" s="33" t="s">
        <v>57</v>
      </c>
      <c r="J12" s="49">
        <v>116838</v>
      </c>
      <c r="K12" s="33" t="s">
        <v>52</v>
      </c>
      <c r="L12" s="92" t="str">
        <f>VLOOKUP(C12,'Trips&amp;Operators'!$C$1:$E$9999,3,0)</f>
        <v>CHANDLER</v>
      </c>
      <c r="M12" s="131" t="s">
        <v>86</v>
      </c>
      <c r="N12" s="10"/>
      <c r="O12" s="33"/>
      <c r="P12" s="108" t="str">
        <f>VLOOKUP(C12,'Train Runs'!$A$13:$AE$10008,31,0)</f>
        <v>aws s3 cp s3://rtdc.mdm.uploadarchive/RTDC4040/2016-08-26/ "%USERPROFILE%\AppData\Local\Temp\OnboardLogs"\RTDC4040\2016-08-26 --recursive &amp; "%USERPROFILE%\Documents\GitHub\mrs-test-scripts\Headless Mode &amp; Sideloading\WalkAndUnGZ.bat" "%USERPROFILE%\AppData\Local\Temp\OnboardLogs"\RTDC4040\2016-08-26 &amp; 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</v>
      </c>
      <c r="Q12" s="111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22:56:41-0600',mode:absolute,to:'2016-08-27 01:41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2" s="113" t="str">
        <f t="shared" si="0"/>
        <v>"C:\Program Files (x86)\AstroGrep\AstroGrep.exe" /spath="%USERPROFILE%\AppData\Local\Temp\OnboardLogs" /stypes="*4040*201608270*" /stext=" 06:.+((SYSTEM_STATE.+slice.+state.+changed )|(ment ac)|(system.+state.+changed )|(\|lc)|(penalty)|(\[timeout)|(PRM\|1\|D)|(kpr)|(kdp))" /e /r /s</v>
      </c>
      <c r="S12" s="9" t="str">
        <f t="shared" si="1"/>
        <v>4040</v>
      </c>
      <c r="T12" s="38">
        <f t="shared" si="2"/>
        <v>42609.266504629632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{"issue":{"subject":"","project_id":79,"tracker_id":40,"status_id":1,"priority_id":2,"assigned_to_id":23,"start_date":"2016-08-27","description":"","custom_fields":[{"id":1,"name":"Subdivision","value":"EC"},{"id":4,"name":"Milepost","value":"11.6838"},{"id":17,"name":"Train ID","value":"241-26"},{"id":16,"name":"Locomotive ID","value":"4040"},{"id":130,"name":"Impact","value":""},{"id":150,"name":"Time of Event (Mountain Time)","value":"00:23:46"},{"id":151,"name":"Denver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42608.617696759262</v>
      </c>
      <c r="B13" s="33" t="s">
        <v>115</v>
      </c>
      <c r="C13" s="33" t="s">
        <v>472</v>
      </c>
      <c r="D13" s="33" t="s">
        <v>111</v>
      </c>
      <c r="E13" s="33" t="s">
        <v>56</v>
      </c>
      <c r="F13" s="49">
        <v>600</v>
      </c>
      <c r="G13" s="49">
        <v>655</v>
      </c>
      <c r="H13" s="49">
        <v>184105</v>
      </c>
      <c r="I13" s="33" t="s">
        <v>57</v>
      </c>
      <c r="J13" s="49">
        <v>190834</v>
      </c>
      <c r="K13" s="33" t="s">
        <v>53</v>
      </c>
      <c r="L13" s="92" t="str">
        <f>VLOOKUP(C13,'Trips&amp;Operators'!$C$1:$E$9999,3,0)</f>
        <v>STAMBAUGH</v>
      </c>
      <c r="M13" s="131" t="s">
        <v>86</v>
      </c>
      <c r="N13" s="10"/>
      <c r="O13" s="33"/>
      <c r="P13" s="108" t="str">
        <f>VLOOKUP(C13,'Train Runs'!$A$13:$AE$10008,31,0)</f>
        <v>aws s3 cp s3://rtdc.mdm.uploadarchive/RTDC4032/2016-08-26/ "%USERPROFILE%\AppData\Local\Temp\OnboardLogs"\RTDC4032\2016-08-26 --recursive &amp; "%USERPROFILE%\Documents\GitHub\mrs-test-scripts\Headless Mode &amp; Sideloading\WalkAndUnGZ.bat" "%USERPROFILE%\AppData\Local\Temp\OnboardLogs"\RTDC4032\2016-08-26 &amp; 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</v>
      </c>
      <c r="Q13" s="111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13:34:17-0600',mode:absolute,to:'2016-08-26 16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3" s="113" t="str">
        <f t="shared" si="0"/>
        <v>"C:\Program Files (x86)\AstroGrep\AstroGrep.exe" /spath="%USERPROFILE%\AppData\Local\Temp\OnboardLogs" /stypes="*4032*201608262*" /stext=" 20:.+((SYSTEM_STATE.+slice.+state.+changed )|(ment ac)|(system.+state.+changed )|(\|lc)|(penalty)|(\[timeout)|(PRM\|1\|D)|(kpr)|(kdp))" /e /r /s</v>
      </c>
      <c r="S13" s="9" t="str">
        <f t="shared" si="1"/>
        <v>4032</v>
      </c>
      <c r="T13" s="38">
        <f t="shared" si="2"/>
        <v>42608.867696759262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{"issue":{"subject":"","project_id":79,"tracker_id":40,"status_id":1,"priority_id":2,"assigned_to_id":23,"start_date":"2016-08-26","description":"","custom_fields":[{"id":1,"name":"Subdivision","value":"EC"},{"id":4,"name":"Milepost","value":"19.0834"},{"id":17,"name":"Train ID","value":"182-26"},{"id":16,"name":"Locomotive ID","value":"4032"},{"id":130,"name":"Impact","value":""},{"id":150,"name":"Time of Event (Mountain Time)","value":"14:49:29"},{"id":151,"name":"Denver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42608.513449074075</v>
      </c>
      <c r="B14" s="33" t="s">
        <v>112</v>
      </c>
      <c r="C14" s="33" t="s">
        <v>445</v>
      </c>
      <c r="D14" s="33" t="s">
        <v>49</v>
      </c>
      <c r="E14" s="33" t="s">
        <v>56</v>
      </c>
      <c r="F14" s="49">
        <v>550</v>
      </c>
      <c r="G14" s="49">
        <v>680</v>
      </c>
      <c r="H14" s="49">
        <v>219768</v>
      </c>
      <c r="I14" s="33" t="s">
        <v>57</v>
      </c>
      <c r="J14" s="49">
        <v>222090</v>
      </c>
      <c r="K14" s="33" t="s">
        <v>52</v>
      </c>
      <c r="L14" s="92" t="str">
        <f>VLOOKUP(C14,'Trips&amp;Operators'!$C$1:$E$9999,3,0)</f>
        <v>MOSES</v>
      </c>
      <c r="M14" s="131" t="s">
        <v>86</v>
      </c>
      <c r="N14" s="10"/>
      <c r="O14" s="33"/>
      <c r="P14" s="108" t="str">
        <f>VLOOKUP(C14,'Train Runs'!$A$13:$AE$10008,31,0)</f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Q14" s="111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10:43:23-0600',mode:absolute,to:'2016-08-26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4" s="113" t="str">
        <f t="shared" si="0"/>
        <v>"C:\Program Files (x86)\AstroGrep\AstroGrep.exe" /spath="%USERPROFILE%\AppData\Local\Temp\OnboardLogs" /stypes="*4014*201608261*" /stext=" 18:.+((SYSTEM_STATE.+slice.+state.+changed )|(ment ac)|(system.+state.+changed )|(\|lc)|(penalty)|(\[timeout)|(PRM\|1\|D)|(kpr)|(kdp))" /e /r /s</v>
      </c>
      <c r="S14" s="9" t="str">
        <f t="shared" si="1"/>
        <v>4014</v>
      </c>
      <c r="T14" s="38">
        <f t="shared" si="2"/>
        <v>42608.763449074075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{"issue":{"subject":"","project_id":79,"tracker_id":40,"status_id":1,"priority_id":2,"assigned_to_id":23,"start_date":"2016-08-26","description":"","custom_fields":[{"id":1,"name":"Subdivision","value":"EC"},{"id":4,"name":"Milepost","value":"22.209"},{"id":17,"name":"Train ID","value":"165-26"},{"id":16,"name":"Locomotive ID","value":"4014"},{"id":130,"name":"Impact","value":""},{"id":150,"name":"Time of Event (Mountain Time)","value":"12:19:22"},{"id":151,"name":"Denver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42608.669606481482</v>
      </c>
      <c r="B15" s="33" t="s">
        <v>181</v>
      </c>
      <c r="C15" s="33" t="s">
        <v>483</v>
      </c>
      <c r="D15" s="33" t="s">
        <v>49</v>
      </c>
      <c r="E15" s="33" t="s">
        <v>56</v>
      </c>
      <c r="F15" s="49">
        <v>550</v>
      </c>
      <c r="G15" s="49">
        <v>802</v>
      </c>
      <c r="H15" s="49">
        <v>218135</v>
      </c>
      <c r="I15" s="33" t="s">
        <v>57</v>
      </c>
      <c r="J15" s="49">
        <v>222090</v>
      </c>
      <c r="K15" s="33" t="s">
        <v>52</v>
      </c>
      <c r="L15" s="92" t="str">
        <f>VLOOKUP(C15,'Trips&amp;Operators'!$C$1:$E$9999,3,0)</f>
        <v>STAMBAUGH</v>
      </c>
      <c r="M15" s="131" t="s">
        <v>86</v>
      </c>
      <c r="N15" s="10"/>
      <c r="O15" s="33"/>
      <c r="P15" s="108" t="str">
        <f>VLOOKUP(C15,'Train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15" s="111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https://search-rtdc-monitor-bjffxe2xuh6vdkpspy63sjmuny.us-east-1.es.amazonaws.com/_plugin/kibana/#/discover/Steve-Slow-Train-Analysis-(2080s-and-2083s)?_g=(refreshInterval:(display:Off,section:0,value:0),time:(from:'2016-08-26 14:29:20-0600',mode:absolute,to:'2016-08-26 17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5" s="113" t="str">
        <f t="shared" si="0"/>
        <v>"C:\Program Files (x86)\AstroGrep\AstroGrep.exe" /spath="%USERPROFILE%\AppData\Local\Temp\OnboardLogs" /stypes="*4002*201608262*" /stext=" 22:.+((SYSTEM_STATE.+slice.+state.+changed )|(ment ac)|(system.+state.+changed )|(\|lc)|(penalty)|(\[timeout)|(PRM\|1\|D)|(kpr)|(kdp))" /e /r /s</v>
      </c>
      <c r="S15" s="9" t="str">
        <f t="shared" si="1"/>
        <v>4002</v>
      </c>
      <c r="T15" s="38">
        <f t="shared" si="2"/>
        <v>42608.919606481482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{"issue":{"subject":"","project_id":79,"tracker_id":40,"status_id":1,"priority_id":2,"assigned_to_id":23,"start_date":"2016-08-26","description":"","custom_fields":[{"id":1,"name":"Subdivision","value":"EC"},{"id":4,"name":"Milepost","value":"22.209"},{"id":17,"name":"Train ID","value":"195-26"},{"id":16,"name":"Locomotive ID","value":"4002"},{"id":130,"name":"Impact","value":""},{"id":150,"name":"Time of Event (Mountain Time)","value":"16:04:14"},{"id":151,"name":"Denver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42608.303078703706</v>
      </c>
      <c r="B16" s="33" t="s">
        <v>394</v>
      </c>
      <c r="C16" s="33" t="s">
        <v>395</v>
      </c>
      <c r="D16" s="33" t="s">
        <v>111</v>
      </c>
      <c r="E16" s="33" t="s">
        <v>56</v>
      </c>
      <c r="F16" s="49">
        <v>550</v>
      </c>
      <c r="G16" s="49">
        <v>607</v>
      </c>
      <c r="H16" s="49">
        <v>222226</v>
      </c>
      <c r="I16" s="33" t="s">
        <v>57</v>
      </c>
      <c r="J16" s="49">
        <v>224581</v>
      </c>
      <c r="K16" s="33" t="s">
        <v>53</v>
      </c>
      <c r="L16" s="92" t="str">
        <f>VLOOKUP(C16,'Trips&amp;Operators'!$C$1:$E$9999,3,0)</f>
        <v>MALAVE</v>
      </c>
      <c r="M16" s="131" t="s">
        <v>86</v>
      </c>
      <c r="N16" s="10"/>
      <c r="O16" s="33"/>
      <c r="P16" s="108" t="str">
        <f>VLOOKUP(C16,'Train Runs'!$A$13:$AE$10008,31,0)</f>
        <v>aws s3 cp s3://rtdc.mdm.uploadarchive/RTDC4028/2016-08-26/ "%USERPROFILE%\AppData\Local\Temp\OnboardLogs"\RTDC4028\2016-08-26 --recursive &amp; "%USERPROFILE%\Documents\GitHub\mrs-test-scripts\Headless Mode &amp; Sideloading\WalkAndUnGZ.bat" "%USERPROFILE%\AppData\Local\Temp\OnboardLogs"\RTDC4028\2016-08-26 &amp; aws s3 cp s3://rtdc.mdm.uploadarchive/RTDC4028/2016-08-27/ "%USERPROFILE%\AppData\Local\Temp\OnboardLogs"\RTDC4028\2016-08-27 --recursive &amp; "%USERPROFILE%\Documents\GitHub\mrs-test-scripts\Headless Mode &amp; Sideloading\WalkAndUnGZ.bat" "%USERPROFILE%\AppData\Local\Temp\OnboardLogs"\RTDC4028\2016-08-27</v>
      </c>
      <c r="Q16" s="111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06:11:28-0600',mode:absolute,to:'2016-08-26 08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6" s="113" t="str">
        <f t="shared" si="0"/>
        <v>"C:\Program Files (x86)\AstroGrep\AstroGrep.exe" /spath="%USERPROFILE%\AppData\Local\Temp\OnboardLogs" /stypes="*4028*201608261*" /stext=" 13:.+((SYSTEM_STATE.+slice.+state.+changed )|(ment ac)|(system.+state.+changed )|(\|lc)|(penalty)|(\[timeout)|(PRM\|1\|D)|(kpr)|(kdp))" /e /r /s</v>
      </c>
      <c r="S16" s="9" t="str">
        <f t="shared" si="1"/>
        <v>4028</v>
      </c>
      <c r="T16" s="38">
        <f t="shared" si="2"/>
        <v>42608.553078703706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{"issue":{"subject":"","project_id":79,"tracker_id":40,"status_id":1,"priority_id":2,"assigned_to_id":23,"start_date":"2016-08-26","description":"","custom_fields":[{"id":1,"name":"Subdivision","value":"EC"},{"id":4,"name":"Milepost","value":"22.4581"},{"id":17,"name":"Train ID","value":"122-26"},{"id":16,"name":"Locomotive ID","value":"4028"},{"id":130,"name":"Impact","value":""},{"id":150,"name":"Time of Event (Mountain Time)","value":"07:16:26"},{"id":151,"name":"Denver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42608.575231481482</v>
      </c>
      <c r="B17" s="33" t="s">
        <v>182</v>
      </c>
      <c r="C17" s="33" t="s">
        <v>465</v>
      </c>
      <c r="D17" s="33" t="s">
        <v>111</v>
      </c>
      <c r="E17" s="33" t="s">
        <v>56</v>
      </c>
      <c r="F17" s="49">
        <v>350</v>
      </c>
      <c r="G17" s="49">
        <v>404</v>
      </c>
      <c r="H17" s="49">
        <v>225801</v>
      </c>
      <c r="I17" s="33" t="s">
        <v>57</v>
      </c>
      <c r="J17" s="49">
        <v>228668</v>
      </c>
      <c r="K17" s="33" t="s">
        <v>53</v>
      </c>
      <c r="L17" s="92" t="str">
        <f>VLOOKUP(C17,'Trips&amp;Operators'!$C$1:$E$9999,3,0)</f>
        <v>STEWART</v>
      </c>
      <c r="M17" s="131" t="s">
        <v>86</v>
      </c>
      <c r="N17" s="10"/>
      <c r="O17" s="33"/>
      <c r="P17" s="108" t="str">
        <f>VLOOKUP(C17,'Train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17" s="111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12:43:02-0600',mode:absolute,to:'2016-08-26 15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7" s="113" t="str">
        <f t="shared" si="0"/>
        <v>"C:\Program Files (x86)\AstroGrep\AstroGrep.exe" /spath="%USERPROFILE%\AppData\Local\Temp\OnboardLogs" /stypes="*4001*201608261*" /stext=" 19:.+((SYSTEM_STATE.+slice.+state.+changed )|(ment ac)|(system.+state.+changed )|(\|lc)|(penalty)|(\[timeout)|(PRM\|1\|D)|(kpr)|(kdp))" /e /r /s</v>
      </c>
      <c r="S17" s="9" t="str">
        <f t="shared" si="1"/>
        <v>4001</v>
      </c>
      <c r="T17" s="38">
        <f t="shared" si="2"/>
        <v>42608.825231481482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{"issue":{"subject":"","project_id":79,"tracker_id":40,"status_id":1,"priority_id":2,"assigned_to_id":23,"start_date":"2016-08-26","description":"","custom_fields":[{"id":1,"name":"Subdivision","value":"EC"},{"id":4,"name":"Milepost","value":"22.8668"},{"id":17,"name":"Train ID","value":"174-26"},{"id":16,"name":"Locomotive ID","value":"4001"},{"id":130,"name":"Impact","value":""},{"id":150,"name":"Time of Event (Mountain Time)","value":"13:48:20"},{"id":151,"name":"Denver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42608.619004629632</v>
      </c>
      <c r="B18" s="33" t="s">
        <v>151</v>
      </c>
      <c r="C18" s="33" t="s">
        <v>469</v>
      </c>
      <c r="D18" s="33" t="s">
        <v>49</v>
      </c>
      <c r="E18" s="33" t="s">
        <v>56</v>
      </c>
      <c r="F18" s="49">
        <v>150</v>
      </c>
      <c r="G18" s="49">
        <v>217</v>
      </c>
      <c r="H18" s="49">
        <v>231496</v>
      </c>
      <c r="I18" s="33" t="s">
        <v>57</v>
      </c>
      <c r="J18" s="49">
        <v>232080</v>
      </c>
      <c r="K18" s="33" t="s">
        <v>52</v>
      </c>
      <c r="L18" s="92" t="str">
        <f>VLOOKUP(C18,'Trips&amp;Operators'!$C$1:$E$9999,3,0)</f>
        <v>WEBSTER</v>
      </c>
      <c r="M18" s="131" t="s">
        <v>86</v>
      </c>
      <c r="N18" s="10"/>
      <c r="O18" s="33"/>
      <c r="P18" s="108" t="str">
        <f>VLOOKUP(C18,'Train Runs'!$A$13:$AE$10008,31,0)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Q18" s="111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13:10:54-0600',mode:absolute,to:'2016-08-26 15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8" s="113" t="str">
        <f t="shared" si="0"/>
        <v>"C:\Program Files (x86)\AstroGrep\AstroGrep.exe" /spath="%USERPROFILE%\AppData\Local\Temp\OnboardLogs" /stypes="*4038*201608262*" /stext=" 20:.+((SYSTEM_STATE.+slice.+state.+changed )|(ment ac)|(system.+state.+changed )|(\|lc)|(penalty)|(\[timeout)|(PRM\|1\|D)|(kpr)|(kdp))" /e /r /s</v>
      </c>
      <c r="S18" s="9" t="str">
        <f t="shared" si="1"/>
        <v>4038</v>
      </c>
      <c r="T18" s="38">
        <f t="shared" si="2"/>
        <v>42608.869004629632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{"issue":{"subject":"","project_id":79,"tracker_id":40,"status_id":1,"priority_id":2,"assigned_to_id":23,"start_date":"2016-08-26","description":"","custom_fields":[{"id":1,"name":"Subdivision","value":"EC"},{"id":4,"name":"Milepost","value":"23.208"},{"id":17,"name":"Train ID","value":"185-26"},{"id":16,"name":"Locomotive ID","value":"4038"},{"id":130,"name":"Impact","value":""},{"id":150,"name":"Time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42608.221539351849</v>
      </c>
      <c r="B19" s="33" t="s">
        <v>151</v>
      </c>
      <c r="C19" s="33" t="s">
        <v>369</v>
      </c>
      <c r="D19" s="33" t="s">
        <v>111</v>
      </c>
      <c r="E19" s="33" t="s">
        <v>54</v>
      </c>
      <c r="F19" s="49">
        <v>0</v>
      </c>
      <c r="G19" s="49">
        <v>89</v>
      </c>
      <c r="H19" s="49">
        <v>1945</v>
      </c>
      <c r="I19" s="33" t="s">
        <v>55</v>
      </c>
      <c r="J19" s="49">
        <v>1692</v>
      </c>
      <c r="K19" s="33" t="s">
        <v>52</v>
      </c>
      <c r="L19" s="92" t="str">
        <f>VLOOKUP(C19,'Trips&amp;Operators'!$C$1:$E$9999,3,0)</f>
        <v>MAELZER</v>
      </c>
      <c r="M19" s="131" t="s">
        <v>86</v>
      </c>
      <c r="N19" s="10" t="s">
        <v>770</v>
      </c>
      <c r="O19" s="33"/>
      <c r="P19" s="108" t="str">
        <f>VLOOKUP(C19,'Train Runs'!$A$13:$AE$10008,31,0)</f>
        <v>aws s3 cp s3://rtdc.mdm.uploadarchive/RTDC4038/2016-08-26/ "%USERPROFILE%\AppData\Local\Temp\OnboardLogs"\RTDC4038\2016-08-26 --recursive &amp; "%USERPROFILE%\Documents\GitHub\mrs-test-scripts\Headless Mode &amp; Sideloading\WalkAndUnGZ.bat" "%USERPROFILE%\AppData\Local\Temp\OnboardLogs"\RTDC4038\2016-08-26 &amp; 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</v>
      </c>
      <c r="Q19" s="111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04:15:50-0600',mode:absolute,to:'2016-08-26 06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9" s="113" t="str">
        <f t="shared" si="0"/>
        <v>"C:\Program Files (x86)\AstroGrep\AstroGrep.exe" /spath="%USERPROFILE%\AppData\Local\Temp\OnboardLogs" /stypes="*4038*201608261*" /stext=" 11:.+((SYSTEM_STATE.+slice.+state.+changed )|(ment ac)|(system.+state.+changed )|(\|lc)|(penalty)|(\[timeout)|(PRM\|1\|D)|(kpr)|(kdp))" /e /r /s</v>
      </c>
      <c r="S19" s="9" t="str">
        <f t="shared" si="1"/>
        <v>4038</v>
      </c>
      <c r="T19" s="38">
        <f t="shared" si="2"/>
        <v>42608.471539351849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{"issue":{"subject":"Main 3 departure","project_id":79,"tracker_id":40,"status_id":1,"priority_id":2,"assigned_to_id":23,"start_date":"2016-08-26","description":"","custom_fields":[{"id":1,"name":"Subdivision","value":"EC"},{"id":4,"name":"Milepost","value":"0.1692"},{"id":17,"name":"Train ID","value":"113-26"},{"id":16,"name":"Locomotive ID","value":"4038"},{"id":130,"name":"Impact","value":""},{"id":150,"name":"Time of Event (Mountain Time)","value":"05:19:01"},{"id":151,"name":"Denver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42608.386608796296</v>
      </c>
      <c r="B20" s="33" t="s">
        <v>90</v>
      </c>
      <c r="C20" s="33" t="s">
        <v>415</v>
      </c>
      <c r="D20" s="33" t="s">
        <v>49</v>
      </c>
      <c r="E20" s="33" t="s">
        <v>54</v>
      </c>
      <c r="F20" s="49">
        <v>0</v>
      </c>
      <c r="G20" s="49">
        <v>321</v>
      </c>
      <c r="H20" s="49">
        <v>193379</v>
      </c>
      <c r="I20" s="33" t="s">
        <v>55</v>
      </c>
      <c r="J20" s="49">
        <v>191723</v>
      </c>
      <c r="K20" s="33" t="s">
        <v>53</v>
      </c>
      <c r="L20" s="92" t="str">
        <f>VLOOKUP(C20,'Trips&amp;Operators'!$C$1:$E$9999,3,0)</f>
        <v>BRANNON</v>
      </c>
      <c r="M20" s="131" t="s">
        <v>86</v>
      </c>
      <c r="N20" s="10" t="s">
        <v>769</v>
      </c>
      <c r="O20" s="33"/>
      <c r="P20" s="108" t="str">
        <f>VLOOKUP(C20,'Train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0" s="111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08:05:16-0600',mode:absolute,to:'2016-08-26 10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0" s="113" t="str">
        <f t="shared" si="0"/>
        <v>"C:\Program Files (x86)\AstroGrep\AstroGrep.exe" /spath="%USERPROFILE%\AppData\Local\Temp\OnboardLogs" /stypes="*4013*201608261*" /stext=" 15:.+((SYSTEM_STATE.+slice.+state.+changed )|(ment ac)|(system.+state.+changed )|(\|lc)|(penalty)|(\[timeout)|(PRM\|1\|D)|(kpr)|(kdp))" /e /r /s</v>
      </c>
      <c r="S20" s="9" t="str">
        <f t="shared" si="1"/>
        <v>4013</v>
      </c>
      <c r="T20" s="38">
        <f t="shared" si="2"/>
        <v>42608.636608796296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{"issue":{"subject":"Pena 4S STOP, cleared shortly","project_id":79,"tracker_id":40,"status_id":1,"priority_id":2,"assigned_to_id":23,"start_date":"2016-08-26","description":"","custom_fields":[{"id":1,"name":"Subdivision","value":"EC"},{"id":4,"name":"Milepost","value":"19.1723"},{"id":17,"name":"Train ID","value":"138-26"},{"id":16,"name":"Locomotive ID","value":"4013"},{"id":130,"name":"Impact","value":""},{"id":150,"name":"Time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42608.459652777776</v>
      </c>
      <c r="B21" s="33" t="s">
        <v>90</v>
      </c>
      <c r="C21" s="33" t="s">
        <v>435</v>
      </c>
      <c r="D21" s="33" t="s">
        <v>49</v>
      </c>
      <c r="E21" s="33" t="s">
        <v>54</v>
      </c>
      <c r="F21" s="49">
        <v>0</v>
      </c>
      <c r="G21" s="49">
        <v>39</v>
      </c>
      <c r="H21" s="49">
        <v>191826</v>
      </c>
      <c r="I21" s="33" t="s">
        <v>55</v>
      </c>
      <c r="J21" s="49">
        <v>191723</v>
      </c>
      <c r="K21" s="33" t="s">
        <v>53</v>
      </c>
      <c r="L21" s="92" t="str">
        <f>VLOOKUP(C21,'Trips&amp;Operators'!$C$1:$E$9999,3,0)</f>
        <v>BRANNON</v>
      </c>
      <c r="M21" s="131" t="s">
        <v>86</v>
      </c>
      <c r="N21" s="10" t="s">
        <v>769</v>
      </c>
      <c r="O21" s="33"/>
      <c r="P21" s="108" t="str">
        <f>VLOOKUP(C21,'Train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1" s="111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09:51:43-0600',mode:absolute,to:'2016-08-26 12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1" s="113" t="str">
        <f t="shared" si="0"/>
        <v>"C:\Program Files (x86)\AstroGrep\AstroGrep.exe" /spath="%USERPROFILE%\AppData\Local\Temp\OnboardLogs" /stypes="*4013*201608261*" /stext=" 17:.+((SYSTEM_STATE.+slice.+state.+changed )|(ment ac)|(system.+state.+changed )|(\|lc)|(penalty)|(\[timeout)|(PRM\|1\|D)|(kpr)|(kdp))" /e /r /s</v>
      </c>
      <c r="S21" s="9" t="str">
        <f t="shared" si="1"/>
        <v>4013</v>
      </c>
      <c r="T21" s="38">
        <f t="shared" si="2"/>
        <v>42608.709652777776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{"issue":{"subject":"Pena 4S STOP, cleared shortly","project_id":79,"tracker_id":40,"status_id":1,"priority_id":2,"assigned_to_id":23,"start_date":"2016-08-26","description":"","custom_fields":[{"id":1,"name":"Subdivision","value":"EC"},{"id":4,"name":"Milepost","value":"19.1723"},{"id":17,"name":"Train ID","value":"152-26"},{"id":16,"name":"Locomotive ID","value":"4013"},{"id":130,"name":"Impact","value":""},{"id":150,"name":"Time of Event (Mountain Time)","value":"11:01:54"},{"id":151,"name":"Denver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42608.801203703704</v>
      </c>
      <c r="B22" s="33" t="s">
        <v>175</v>
      </c>
      <c r="C22" s="33" t="s">
        <v>526</v>
      </c>
      <c r="D22" s="33" t="s">
        <v>111</v>
      </c>
      <c r="E22" s="33" t="s">
        <v>54</v>
      </c>
      <c r="F22" s="49">
        <v>200</v>
      </c>
      <c r="G22" s="49">
        <v>266</v>
      </c>
      <c r="H22" s="49">
        <v>191859</v>
      </c>
      <c r="I22" s="33" t="s">
        <v>55</v>
      </c>
      <c r="J22" s="49">
        <v>198256</v>
      </c>
      <c r="K22" s="33" t="s">
        <v>53</v>
      </c>
      <c r="L22" s="92" t="str">
        <f>VLOOKUP(C22,'Trips&amp;Operators'!$C$1:$E$9999,3,0)</f>
        <v>WEBSTER</v>
      </c>
      <c r="M22" s="131" t="s">
        <v>86</v>
      </c>
      <c r="N22" s="10" t="s">
        <v>771</v>
      </c>
      <c r="O22" s="33"/>
      <c r="P22" s="108" t="str">
        <f>VLOOKUP(C22,'Train Runs'!$A$13:$AE$10008,31,0)</f>
        <v>aws s3 cp s3://rtdc.mdm.uploadarchive/RTDC4010/2016-08-26/ "%USERPROFILE%\AppData\Local\Temp\OnboardLogs"\RTDC4010\2016-08-26 --recursive &amp; "%USERPROFILE%\Documents\GitHub\mrs-test-scripts\Headless Mode &amp; Sideloading\WalkAndUnGZ.bat" "%USERPROFILE%\AppData\Local\Temp\OnboardLogs"\RTDC4010\2016-08-26 &amp; 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</v>
      </c>
      <c r="Q22" s="111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17:49:52-0600',mode:absolute,to:'2016-08-26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" s="113" t="str">
        <f t="shared" si="0"/>
        <v>"C:\Program Files (x86)\AstroGrep\AstroGrep.exe" /spath="%USERPROFILE%\AppData\Local\Temp\OnboardLogs" /stypes="*4010*201608270*" /stext=" 01:.+((SYSTEM_STATE.+slice.+state.+changed )|(ment ac)|(system.+state.+changed )|(\|lc)|(penalty)|(\[timeout)|(PRM\|1\|D)|(kpr)|(kdp))" /e /r /s</v>
      </c>
      <c r="S22" s="9" t="str">
        <f t="shared" si="1"/>
        <v>4010</v>
      </c>
      <c r="T22" s="38">
        <f t="shared" si="2"/>
        <v>42609.051203703704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Overspeed","project_id":79,"tracker_id":40,"status_id":1,"priority_id":2,"assigned_to_id":23,"start_date":"2016-08-26","description":"","custom_fields":[{"id":1,"name":"Subdivision","value":"EC"},{"id":4,"name":"Milepost","value":"19.8256"},{"id":17,"name":"Train ID","value":"216-26"},{"id":16,"name":"Locomotive ID","value":"4010"},{"id":130,"name":"Impact","value":""},{"id":150,"name":"Time of Event (Mountain Time)","value":"19:13:44"},{"id":151,"name":"Denver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42608.990300925929</v>
      </c>
      <c r="B23" s="33" t="s">
        <v>181</v>
      </c>
      <c r="C23" s="33" t="s">
        <v>556</v>
      </c>
      <c r="D23" s="33" t="s">
        <v>49</v>
      </c>
      <c r="E23" s="33" t="s">
        <v>340</v>
      </c>
      <c r="F23" s="49">
        <v>0</v>
      </c>
      <c r="G23" s="49">
        <v>297</v>
      </c>
      <c r="H23" s="49">
        <v>65398</v>
      </c>
      <c r="I23" s="33" t="s">
        <v>339</v>
      </c>
      <c r="J23" s="49">
        <v>68372</v>
      </c>
      <c r="K23" s="33" t="s">
        <v>52</v>
      </c>
      <c r="L23" s="92" t="str">
        <f>VLOOKUP(C23,'Trips&amp;Operators'!$C$1:$E$9999,3,0)</f>
        <v>YANAI</v>
      </c>
      <c r="M23" s="131" t="s">
        <v>571</v>
      </c>
      <c r="N23" s="10" t="s">
        <v>759</v>
      </c>
      <c r="O23" s="33"/>
      <c r="P23" s="108" t="str">
        <f>VLOOKUP(C23,'Train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23" s="111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22:28:56-0600',mode:absolute,to:'2016-08-27 01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3" s="113" t="str">
        <f t="shared" si="0"/>
        <v>"C:\Program Files (x86)\AstroGrep\AstroGrep.exe" /spath="%USERPROFILE%\AppData\Local\Temp\OnboardLogs" /stypes="*4002*201608270*" /stext=" 05:.+((SYSTEM_STATE.+slice.+state.+changed )|(ment ac)|(system.+state.+changed )|(\|lc)|(penalty)|(\[timeout)|(PRM\|1\|D)|(kpr)|(kdp))" /e /r /s</v>
      </c>
      <c r="S23" s="9" t="str">
        <f t="shared" si="1"/>
        <v>4002</v>
      </c>
      <c r="T23" s="38">
        <f t="shared" si="2"/>
        <v>42609.240300925929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{"issue":{"subject":"Wi-MAX outage","project_id":79,"tracker_id":40,"status_id":1,"priority_id":2,"assigned_to_id":23,"start_date":"2016-08-26","description":"","custom_fields":[{"id":1,"name":"Subdivision","value":"EC"},{"id":4,"name":"Milepost","value":"6.8372"},{"id":17,"name":"Train ID","value":"239-26"},{"id":16,"name":"Locomotive ID","value":"4002"},{"id":130,"name":"Impact","value":""},{"id":150,"name":"Time of Event (Mountain Time)","value":"23:46:02"},{"id":151,"name":"Denver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42608.260324074072</v>
      </c>
      <c r="B24" s="33" t="s">
        <v>230</v>
      </c>
      <c r="C24" s="33" t="s">
        <v>368</v>
      </c>
      <c r="D24" s="33" t="s">
        <v>49</v>
      </c>
      <c r="E24" s="33" t="s">
        <v>50</v>
      </c>
      <c r="F24" s="49">
        <v>0</v>
      </c>
      <c r="G24" s="49">
        <v>148</v>
      </c>
      <c r="H24" s="49">
        <v>591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MALAVE</v>
      </c>
      <c r="M24" s="131" t="s">
        <v>86</v>
      </c>
      <c r="N24" s="10"/>
      <c r="O24" s="33"/>
      <c r="P24" s="108" t="str">
        <f>VLOOKUP(C24,'Train Runs'!$A$13:$AE$10008,31,0)</f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Q24" s="111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04:42:31-0600',mode:absolute,to:'2016-08-26 07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4" s="113" t="str">
        <f t="shared" si="0"/>
        <v>"C:\Program Files (x86)\AstroGrep\AstroGrep.exe" /spath="%USERPROFILE%\AppData\Local\Temp\OnboardLogs" /stypes="*4004*201608261*" /stext=" 12:.+((SYSTEM_STATE.+slice.+state.+changed )|(ment ac)|(system.+state.+changed )|(\|lc)|(penalty)|(\[timeout)|(PRM\|1\|D)|(kpr)|(kdp))" /e /r /s</v>
      </c>
      <c r="S24" s="9" t="str">
        <f t="shared" si="1"/>
        <v>4004</v>
      </c>
      <c r="T24" s="38">
        <f t="shared" si="2"/>
        <v>42608.510324074072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ID","value":"106-26"},{"id":16,"name":"Locomotive ID","value":"4004"},{"id":130,"name":"Impact","value":""},{"id":150,"name":"Time of Event (Mountain Time)","value":"06:14:52"},{"id":151,"name":"Denver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42608.296296296299</v>
      </c>
      <c r="B25" s="33" t="s">
        <v>144</v>
      </c>
      <c r="C25" s="33" t="s">
        <v>378</v>
      </c>
      <c r="D25" s="33" t="s">
        <v>49</v>
      </c>
      <c r="E25" s="33" t="s">
        <v>50</v>
      </c>
      <c r="F25" s="49">
        <v>0</v>
      </c>
      <c r="G25" s="49">
        <v>37</v>
      </c>
      <c r="H25" s="49">
        <v>139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MAELZER</v>
      </c>
      <c r="M25" s="131" t="s">
        <v>86</v>
      </c>
      <c r="N25" s="10"/>
      <c r="O25" s="33"/>
      <c r="P25" s="108" t="str">
        <f>VLOOKUP(C25,'Train Runs'!$A$13:$AE$10008,31,0)</f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Q25" s="111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05:40:45-0600',mode:absolute,to:'2016-08-26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5" s="113" t="str">
        <f t="shared" si="0"/>
        <v>"C:\Program Files (x86)\AstroGrep\AstroGrep.exe" /spath="%USERPROFILE%\AppData\Local\Temp\OnboardLogs" /stypes="*4037*201608261*" /stext=" 13:.+((SYSTEM_STATE.+slice.+state.+changed )|(ment ac)|(system.+state.+changed )|(\|lc)|(penalty)|(\[timeout)|(PRM\|1\|D)|(kpr)|(kdp))" /e /r /s</v>
      </c>
      <c r="S25" s="9" t="str">
        <f t="shared" si="1"/>
        <v>4037</v>
      </c>
      <c r="T25" s="38">
        <f t="shared" si="2"/>
        <v>42608.546296296299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ID","value":"114-26"},{"id":16,"name":"Locomotive ID","value":"4037"},{"id":130,"name":"Impact","value":""},{"id":150,"name":"Time of Event (Mountain Time)","value":"07:06:40"},{"id":151,"name":"Denver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42608.452337962961</v>
      </c>
      <c r="B26" s="33" t="s">
        <v>182</v>
      </c>
      <c r="C26" s="33" t="s">
        <v>425</v>
      </c>
      <c r="D26" s="33" t="s">
        <v>49</v>
      </c>
      <c r="E26" s="33" t="s">
        <v>50</v>
      </c>
      <c r="F26" s="49">
        <v>0</v>
      </c>
      <c r="G26" s="49">
        <v>54</v>
      </c>
      <c r="H26" s="49">
        <v>165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SMITH</v>
      </c>
      <c r="M26" s="131" t="s">
        <v>86</v>
      </c>
      <c r="N26" s="10"/>
      <c r="O26" s="33"/>
      <c r="P26" s="108" t="str">
        <f>VLOOKUP(C26,'Train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26" s="111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09:02:00-0600',mode:absolute,to:'2016-08-26 11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6" s="113" t="str">
        <f t="shared" si="0"/>
        <v>"C:\Program Files (x86)\AstroGrep\AstroGrep.exe" /spath="%USERPROFILE%\AppData\Local\Temp\OnboardLogs" /stypes="*4001*201608261*" /stext=" 16:.+((SYSTEM_STATE.+slice.+state.+changed )|(ment ac)|(system.+state.+changed )|(\|lc)|(penalty)|(\[timeout)|(PRM\|1\|D)|(kpr)|(kdp))" /e /r /s</v>
      </c>
      <c r="S26" s="9" t="str">
        <f t="shared" si="1"/>
        <v>4001</v>
      </c>
      <c r="T26" s="38">
        <f t="shared" si="2"/>
        <v>42608.702337962961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{"issue":{"subject":"","project_id":79,"tracker_id":40,"status_id":1,"priority_id":2,"assigned_to_id":23,"start_date":"2016-08-26","description":"From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why?","custom_fields":[{"id":1,"name":"Subdivision","value":"EC"},{"id":4,"name":"Milepost","value":"0.0001"},{"id":17,"name":"Train ID","value":"146-26"},{"id":16,"name":"Locomotive ID","value":"4001"},{"id":130,"name":"Impact","value":"Enforcement"},{"id":150,"name":"Time of Event (Mountain Time)","value":"10:51:22"},{"id":151,"name":"Denver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26" s="55" t="s">
        <v>298</v>
      </c>
      <c r="Y26" s="55" t="s">
        <v>244</v>
      </c>
      <c r="Z26" s="55" t="s">
        <v>249</v>
      </c>
    </row>
    <row r="27" spans="1:26" x14ac:dyDescent="0.25">
      <c r="A27" s="38">
        <v>42608.461388888885</v>
      </c>
      <c r="B27" s="33" t="s">
        <v>384</v>
      </c>
      <c r="C27" s="33" t="s">
        <v>427</v>
      </c>
      <c r="D27" s="33" t="s">
        <v>49</v>
      </c>
      <c r="E27" s="33" t="s">
        <v>50</v>
      </c>
      <c r="F27" s="49">
        <v>0</v>
      </c>
      <c r="G27" s="49">
        <v>46</v>
      </c>
      <c r="H27" s="49">
        <v>167</v>
      </c>
      <c r="I27" s="33" t="s">
        <v>51</v>
      </c>
      <c r="J27" s="49">
        <v>1</v>
      </c>
      <c r="K27" s="33" t="s">
        <v>53</v>
      </c>
      <c r="L27" s="92" t="str">
        <f>VLOOKUP(C27,'Trips&amp;Operators'!$C$1:$E$9999,3,0)</f>
        <v>DAVIS</v>
      </c>
      <c r="M27" s="131" t="s">
        <v>86</v>
      </c>
      <c r="N27" s="10"/>
      <c r="O27" s="33"/>
      <c r="P27" s="108" t="str">
        <f>VLOOKUP(C27,'Train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27" s="111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09:16:06-0600',mode:absolute,to:'2016-08-26 12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27" s="113" t="str">
        <f t="shared" si="0"/>
        <v>"C:\Program Files (x86)\AstroGrep\AstroGrep.exe" /spath="%USERPROFILE%\AppData\Local\Temp\OnboardLogs" /stypes="*4039*201608261*" /stext=" 17:.+((SYSTEM_STATE.+slice.+state.+changed )|(ment ac)|(system.+state.+changed )|(\|lc)|(penalty)|(\[timeout)|(PRM\|1\|D)|(kpr)|(kdp))" /e /r /s</v>
      </c>
      <c r="S27" s="9" t="str">
        <f t="shared" si="1"/>
        <v>4039</v>
      </c>
      <c r="T27" s="38">
        <f t="shared" si="2"/>
        <v>42608.711388888885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ID","value":"148-26"},{"id":16,"name":"Locomotive ID","value":"4039"},{"id":130,"name":"Impact","value":""},{"id":150,"name":"Time of Event (Mountain Time)","value":"11:04:24"},{"id":151,"name":"Denver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42608.506423611114</v>
      </c>
      <c r="B28" s="33" t="s">
        <v>276</v>
      </c>
      <c r="C28" s="33" t="s">
        <v>440</v>
      </c>
      <c r="D28" s="33" t="s">
        <v>49</v>
      </c>
      <c r="E28" s="33" t="s">
        <v>50</v>
      </c>
      <c r="F28" s="49">
        <v>0</v>
      </c>
      <c r="G28" s="49">
        <v>36</v>
      </c>
      <c r="H28" s="49">
        <v>141</v>
      </c>
      <c r="I28" s="33" t="s">
        <v>51</v>
      </c>
      <c r="J28" s="49">
        <v>1</v>
      </c>
      <c r="K28" s="33" t="s">
        <v>53</v>
      </c>
      <c r="L28" s="92" t="str">
        <f>VLOOKUP(C28,'Trips&amp;Operators'!$C$1:$E$9999,3,0)</f>
        <v>STRICKLAND</v>
      </c>
      <c r="M28" s="131" t="s">
        <v>86</v>
      </c>
      <c r="N28" s="10"/>
      <c r="O28" s="33"/>
      <c r="P28" s="108" t="str">
        <f>VLOOKUP(C28,'Train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28" s="111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10:18:38-0600',mode:absolute,to:'2016-08-26 13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8" s="113" t="str">
        <f t="shared" si="0"/>
        <v>"C:\Program Files (x86)\AstroGrep\AstroGrep.exe" /spath="%USERPROFILE%\AppData\Local\Temp\OnboardLogs" /stypes="*4026*201608261*" /stext=" 18:.+((SYSTEM_STATE.+slice.+state.+changed )|(ment ac)|(system.+state.+changed )|(\|lc)|(penalty)|(\[timeout)|(PRM\|1\|D)|(kpr)|(kdp))" /e /r /s</v>
      </c>
      <c r="S28" s="9" t="str">
        <f t="shared" si="1"/>
        <v>4026</v>
      </c>
      <c r="T28" s="38">
        <f t="shared" si="2"/>
        <v>42608.756423611114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ID","value":"156-26"},{"id":16,"name":"Locomotive ID","value":"4026"},{"id":130,"name":"Impact","value":""},{"id":150,"name":"Time of Event (Mountain Time)","value":"12:09:15"},{"id":151,"name":"Denver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42608.55636574074</v>
      </c>
      <c r="B29" s="33" t="s">
        <v>90</v>
      </c>
      <c r="C29" s="33" t="s">
        <v>452</v>
      </c>
      <c r="D29" s="33" t="s">
        <v>49</v>
      </c>
      <c r="E29" s="33" t="s">
        <v>50</v>
      </c>
      <c r="F29" s="49">
        <v>0</v>
      </c>
      <c r="G29" s="49">
        <v>54</v>
      </c>
      <c r="H29" s="49">
        <v>176</v>
      </c>
      <c r="I29" s="33" t="s">
        <v>51</v>
      </c>
      <c r="J29" s="49">
        <v>1</v>
      </c>
      <c r="K29" s="33" t="s">
        <v>53</v>
      </c>
      <c r="L29" s="92" t="str">
        <f>VLOOKUP(C29,'Trips&amp;Operators'!$C$1:$E$9999,3,0)</f>
        <v>MOSES</v>
      </c>
      <c r="M29" s="131" t="s">
        <v>86</v>
      </c>
      <c r="N29" s="10"/>
      <c r="O29" s="33"/>
      <c r="P29" s="108" t="str">
        <f>VLOOKUP(C29,'Train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29" s="111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11:34:15-0600',mode:absolute,to:'2016-08-26 14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9" s="113" t="str">
        <f t="shared" si="0"/>
        <v>"C:\Program Files (x86)\AstroGrep\AstroGrep.exe" /spath="%USERPROFILE%\AppData\Local\Temp\OnboardLogs" /stypes="*4013*201608261*" /stext=" 19:.+((SYSTEM_STATE.+slice.+state.+changed )|(ment ac)|(system.+state.+changed )|(\|lc)|(penalty)|(\[timeout)|(PRM\|1\|D)|(kpr)|(kdp))" /e /r /s</v>
      </c>
      <c r="S29" s="9" t="str">
        <f t="shared" si="1"/>
        <v>4013</v>
      </c>
      <c r="T29" s="38">
        <f t="shared" si="2"/>
        <v>42608.80636574074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ID","value":"166-26"},{"id":16,"name":"Locomotive ID","value":"4013"},{"id":130,"name":"Impact","value":""},{"id":150,"name":"Time of Event (Mountain Time)","value":"13:21:10"},{"id":151,"name":"Denver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42608.629594907405</v>
      </c>
      <c r="B30" s="33" t="s">
        <v>90</v>
      </c>
      <c r="C30" s="33" t="s">
        <v>470</v>
      </c>
      <c r="D30" s="33" t="s">
        <v>49</v>
      </c>
      <c r="E30" s="33" t="s">
        <v>50</v>
      </c>
      <c r="F30" s="49">
        <v>0</v>
      </c>
      <c r="G30" s="49">
        <v>44</v>
      </c>
      <c r="H30" s="49">
        <v>163</v>
      </c>
      <c r="I30" s="33" t="s">
        <v>51</v>
      </c>
      <c r="J30" s="49">
        <v>1</v>
      </c>
      <c r="K30" s="33" t="s">
        <v>53</v>
      </c>
      <c r="L30" s="92" t="str">
        <f>VLOOKUP(C30,'Trips&amp;Operators'!$C$1:$E$9999,3,0)</f>
        <v>MOSES</v>
      </c>
      <c r="M30" s="131" t="s">
        <v>86</v>
      </c>
      <c r="N30" s="10"/>
      <c r="O30" s="33"/>
      <c r="P30" s="108" t="str">
        <f>VLOOKUP(C30,'Train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0" s="111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13:22:15-0600',mode:absolute,to:'2016-08-26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0" s="113" t="str">
        <f t="shared" si="0"/>
        <v>"C:\Program Files (x86)\AstroGrep\AstroGrep.exe" /spath="%USERPROFILE%\AppData\Local\Temp\OnboardLogs" /stypes="*4013*201608262*" /stext=" 21:.+((SYSTEM_STATE.+slice.+state.+changed )|(ment ac)|(system.+state.+changed )|(\|lc)|(penalty)|(\[timeout)|(PRM\|1\|D)|(kpr)|(kdp))" /e /r /s</v>
      </c>
      <c r="S30" s="9" t="str">
        <f t="shared" si="1"/>
        <v>4013</v>
      </c>
      <c r="T30" s="38">
        <f t="shared" si="2"/>
        <v>42608.879594907405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ID","value":"180-26"},{"id":16,"name":"Locomotive ID","value":"4013"},{"id":130,"name":"Impact","value":""},{"id":150,"name":"Time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42608.664097222223</v>
      </c>
      <c r="B31" s="33" t="s">
        <v>144</v>
      </c>
      <c r="C31" s="33" t="s">
        <v>477</v>
      </c>
      <c r="D31" s="33" t="s">
        <v>49</v>
      </c>
      <c r="E31" s="33" t="s">
        <v>50</v>
      </c>
      <c r="F31" s="49">
        <v>0</v>
      </c>
      <c r="G31" s="49">
        <v>52</v>
      </c>
      <c r="H31" s="49">
        <v>183</v>
      </c>
      <c r="I31" s="33" t="s">
        <v>51</v>
      </c>
      <c r="J31" s="49">
        <v>1</v>
      </c>
      <c r="K31" s="33" t="s">
        <v>53</v>
      </c>
      <c r="L31" s="92" t="str">
        <f>VLOOKUP(C31,'Trips&amp;Operators'!$C$1:$E$9999,3,0)</f>
        <v>WEBSTER</v>
      </c>
      <c r="M31" s="131" t="s">
        <v>86</v>
      </c>
      <c r="N31" s="10"/>
      <c r="O31" s="33"/>
      <c r="P31" s="108" t="str">
        <f>VLOOKUP(C31,'Train Runs'!$A$13:$AE$10008,31,0)</f>
        <v>aws s3 cp s3://rtdc.mdm.uploadarchive/RTDC4037/2016-08-26/ "%USERPROFILE%\AppData\Local\Temp\OnboardLogs"\RTDC4037\2016-08-26 --recursive &amp; "%USERPROFILE%\Documents\GitHub\mrs-test-scripts\Headless Mode &amp; Sideloading\WalkAndUnGZ.bat" "%USERPROFILE%\AppData\Local\Temp\OnboardLogs"\RTDC4037\2016-08-26 &amp; 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</v>
      </c>
      <c r="Q31" s="111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https://search-rtdc-monitor-bjffxe2xuh6vdkpspy63sjmuny.us-east-1.es.amazonaws.com/_plugin/kibana/#/discover/Steve-Slow-Train-Analysis-(2080s-and-2083s)?_g=(refreshInterval:(display:Off,section:0,value:0),time:(from:'2016-08-26 14:01:11-0600',mode:absolute,to:'2016-08-26 16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1" s="113" t="str">
        <f t="shared" si="0"/>
        <v>"C:\Program Files (x86)\AstroGrep\AstroGrep.exe" /spath="%USERPROFILE%\AppData\Local\Temp\OnboardLogs" /stypes="*4037*201608262*" /stext=" 21:.+((SYSTEM_STATE.+slice.+state.+changed )|(ment ac)|(system.+state.+changed )|(\|lc)|(penalty)|(\[timeout)|(PRM\|1\|D)|(kpr)|(kdp))" /e /r /s</v>
      </c>
      <c r="S31" s="9" t="str">
        <f t="shared" si="1"/>
        <v>4037</v>
      </c>
      <c r="T31" s="38">
        <f t="shared" si="2"/>
        <v>42608.914097222223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ID","value":"186-26"},{"id":16,"name":"Locomotive ID","value":"4037"},{"id":130,"name":"Impact","value":""},{"id":150,"name":"Time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42608.704340277778</v>
      </c>
      <c r="B32" s="33" t="s">
        <v>90</v>
      </c>
      <c r="C32" s="33" t="s">
        <v>491</v>
      </c>
      <c r="D32" s="33" t="s">
        <v>49</v>
      </c>
      <c r="E32" s="33" t="s">
        <v>50</v>
      </c>
      <c r="F32" s="49">
        <v>0</v>
      </c>
      <c r="G32" s="49">
        <v>50</v>
      </c>
      <c r="H32" s="49">
        <v>165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MOSES</v>
      </c>
      <c r="M32" s="131" t="s">
        <v>86</v>
      </c>
      <c r="N32" s="10"/>
      <c r="O32" s="33"/>
      <c r="P32" s="108" t="str">
        <f>VLOOKUP(C32,'Train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2" s="111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15:07:12-0600',mode:absolute,to:'2016-08-26 17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2" s="113" t="str">
        <f t="shared" si="0"/>
        <v>"C:\Program Files (x86)\AstroGrep\AstroGrep.exe" /spath="%USERPROFILE%\AppData\Local\Temp\OnboardLogs" /stypes="*4013*201608262*" /stext=" 22:.+((SYSTEM_STATE.+slice.+state.+changed )|(ment ac)|(system.+state.+changed )|(\|lc)|(penalty)|(\[timeout)|(PRM\|1\|D)|(kpr)|(kdp))" /e /r /s</v>
      </c>
      <c r="S32" s="9" t="str">
        <f t="shared" si="1"/>
        <v>4013</v>
      </c>
      <c r="T32" s="38">
        <f t="shared" si="2"/>
        <v>42608.954340277778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ID","value":"194-26"},{"id":16,"name":"Locomotive ID","value":"4013"},{"id":130,"name":"Impact","value":""},{"id":150,"name":"Time of Event (Mountain Time)","value":"16:54:15"},{"id":151,"name":"Denver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42608.777592592596</v>
      </c>
      <c r="B33" s="33" t="s">
        <v>90</v>
      </c>
      <c r="C33" s="33" t="s">
        <v>513</v>
      </c>
      <c r="D33" s="33" t="s">
        <v>49</v>
      </c>
      <c r="E33" s="33" t="s">
        <v>50</v>
      </c>
      <c r="F33" s="49">
        <v>0</v>
      </c>
      <c r="G33" s="49">
        <v>66</v>
      </c>
      <c r="H33" s="49">
        <v>227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MOSES</v>
      </c>
      <c r="M33" s="131" t="s">
        <v>86</v>
      </c>
      <c r="N33" s="10"/>
      <c r="O33" s="33"/>
      <c r="P33" s="108" t="str">
        <f>VLOOKUP(C33,'Train Runs'!$A$13:$AE$10008,31,0)</f>
        <v>aws s3 cp s3://rtdc.mdm.uploadarchive/RTDC4013/2016-08-26/ "%USERPROFILE%\AppData\Local\Temp\OnboardLogs"\RTDC4013\2016-08-26 --recursive &amp; "%USERPROFILE%\Documents\GitHub\mrs-test-scripts\Headless Mode &amp; Sideloading\WalkAndUnGZ.bat" "%USERPROFILE%\AppData\Local\Temp\OnboardLogs"\RTDC4013\2016-08-26 &amp; 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</v>
      </c>
      <c r="Q33" s="111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16:49:54-0600',mode:absolute,to:'2016-08-26 19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13" t="str">
        <f t="shared" si="0"/>
        <v>"C:\Program Files (x86)\AstroGrep\AstroGrep.exe" /spath="%USERPROFILE%\AppData\Local\Temp\OnboardLogs" /stypes="*4013*201608270*" /stext=" 00:.+((SYSTEM_STATE.+slice.+state.+changed )|(ment ac)|(system.+state.+changed )|(\|lc)|(penalty)|(\[timeout)|(PRM\|1\|D)|(kpr)|(kdp))" /e /r /s</v>
      </c>
      <c r="S33" s="9" t="str">
        <f t="shared" si="1"/>
        <v>4013</v>
      </c>
      <c r="T33" s="38">
        <f t="shared" si="2"/>
        <v>42609.027592592596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ID","value":"208-26"},{"id":16,"name":"Locomotive ID","value":"4013"},{"id":130,"name":"Impact","value":""},{"id":150,"name":"Time of Event (Mountain Time)","value":"18:39:44"},{"id":151,"name":"Denver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42608.905717592592</v>
      </c>
      <c r="B34" s="33" t="s">
        <v>384</v>
      </c>
      <c r="C34" s="33" t="s">
        <v>542</v>
      </c>
      <c r="D34" s="33" t="s">
        <v>49</v>
      </c>
      <c r="E34" s="33" t="s">
        <v>50</v>
      </c>
      <c r="F34" s="49">
        <v>0</v>
      </c>
      <c r="G34" s="49">
        <v>72</v>
      </c>
      <c r="H34" s="49">
        <v>271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CHANDLER</v>
      </c>
      <c r="M34" s="131" t="s">
        <v>86</v>
      </c>
      <c r="N34" s="10"/>
      <c r="O34" s="33"/>
      <c r="P34" s="108" t="str">
        <f>VLOOKUP(C34,'Train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34" s="111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https://search-rtdc-monitor-bjffxe2xuh6vdkpspy63sjmuny.us-east-1.es.amazonaws.com/_plugin/kibana/#/discover/Steve-Slow-Train-Analysis-(2080s-and-2083s)?_g=(refreshInterval:(display:Off,section:0,value:0),time:(from:'2016-08-26 20:00:14-0600',mode:absolute,to:'2016-08-26 22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34" s="113" t="str">
        <f t="shared" si="0"/>
        <v>"C:\Program Files (x86)\AstroGrep\AstroGrep.exe" /spath="%USERPROFILE%\AppData\Local\Temp\OnboardLogs" /stypes="*4039*201608270*" /stext=" 03:.+((SYSTEM_STATE.+slice.+state.+changed )|(ment ac)|(system.+state.+changed )|(\|lc)|(penalty)|(\[timeout)|(PRM\|1\|D)|(kpr)|(kdp))" /e /r /s</v>
      </c>
      <c r="S34" s="9" t="str">
        <f t="shared" si="1"/>
        <v>4039</v>
      </c>
      <c r="T34" s="38">
        <f t="shared" si="2"/>
        <v>42609.155717592592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ID","value":"226-26"},{"id":16,"name":"Locomotive ID","value":"4039"},{"id":130,"name":"Impact","value":""},{"id":150,"name":"Time of Event (Mountain Time)","value":"21:44:14"},{"id":151,"name":"Denver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42608.98332175926</v>
      </c>
      <c r="B35" s="33" t="s">
        <v>384</v>
      </c>
      <c r="C35" s="33" t="s">
        <v>554</v>
      </c>
      <c r="D35" s="33" t="s">
        <v>49</v>
      </c>
      <c r="E35" s="33" t="s">
        <v>50</v>
      </c>
      <c r="F35" s="49">
        <v>0</v>
      </c>
      <c r="G35" s="49">
        <v>76</v>
      </c>
      <c r="H35" s="49">
        <v>256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CHANDLER</v>
      </c>
      <c r="M35" s="131" t="s">
        <v>86</v>
      </c>
      <c r="N35" s="10"/>
      <c r="O35" s="33"/>
      <c r="P35" s="108" t="str">
        <f>VLOOKUP(C35,'Train Runs'!$A$13:$AE$10008,31,0)</f>
        <v>aws s3 cp s3://rtdc.mdm.uploadarchive/RTDC4039/2016-08-26/ "%USERPROFILE%\AppData\Local\Temp\OnboardLogs"\RTDC4039\2016-08-26 --recursive &amp; "%USERPROFILE%\Documents\GitHub\mrs-test-scripts\Headless Mode &amp; Sideloading\WalkAndUnGZ.bat" "%USERPROFILE%\AppData\Local\Temp\OnboardLogs"\RTDC4039\2016-08-26 &amp; aws s3 cp s3://rtdc.mdm.uploadarchive/RTDC4039/2016-08-27/ "%USERPROFILE%\AppData\Local\Temp\OnboardLogs"\RTDC4039\2016-08-27 --recursive &amp; "%USERPROFILE%\Documents\GitHub\mrs-test-scripts\Headless Mode &amp; Sideloading\WalkAndUnGZ.bat" "%USERPROFILE%\AppData\Local\Temp\OnboardLogs"\RTDC4039\2016-08-27</v>
      </c>
      <c r="Q35" s="111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https://search-rtdc-monitor-bjffxe2xuh6vdkpspy63sjmuny.us-east-1.es.amazonaws.com/_plugin/kibana/#/discover/Steve-Slow-Train-Analysis-(2080s-and-2083s)?_g=(refreshInterval:(display:Off,section:0,value:0),time:(from:'2016-08-26 21:55:35-0600',mode:absolute,to:'2016-08-27 00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35" s="113" t="str">
        <f t="shared" si="0"/>
        <v>"C:\Program Files (x86)\AstroGrep\AstroGrep.exe" /spath="%USERPROFILE%\AppData\Local\Temp\OnboardLogs" /stypes="*4039*201608270*" /stext=" 05:.+((SYSTEM_STATE.+slice.+state.+changed )|(ment ac)|(system.+state.+changed )|(\|lc)|(penalty)|(\[timeout)|(PRM\|1\|D)|(kpr)|(kdp))" /e /r /s</v>
      </c>
      <c r="S35" s="9" t="str">
        <f t="shared" si="1"/>
        <v>4039</v>
      </c>
      <c r="T35" s="38">
        <f t="shared" si="2"/>
        <v>42609.23332175926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{"issue":{"subject":"","project_id":79,"tracker_id":40,"status_id":1,"priority_id":2,"assigned_to_id":23,"start_date":"2016-08-26","description":"","custom_fields":[{"id":1,"name":"Subdivision","value":"EC"},{"id":4,"name":"Milepost","value":"0.0001"},{"id":17,"name":"Train ID","value":"234-26"},{"id":16,"name":"Locomotive ID","value":"4039"},{"id":130,"name":"Impact","value":""},{"id":150,"name":"Time of Event (Mountain Time)","value":"23:35:59"},{"id":151,"name":"Denver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42608.215995370374</v>
      </c>
      <c r="B36" s="33" t="s">
        <v>182</v>
      </c>
      <c r="C36" s="33" t="s">
        <v>359</v>
      </c>
      <c r="D36" s="33" t="s">
        <v>49</v>
      </c>
      <c r="E36" s="33" t="s">
        <v>50</v>
      </c>
      <c r="F36" s="49">
        <v>0</v>
      </c>
      <c r="G36" s="49">
        <v>21</v>
      </c>
      <c r="H36" s="49">
        <v>916</v>
      </c>
      <c r="I36" s="33" t="s">
        <v>51</v>
      </c>
      <c r="J36" s="49">
        <v>839</v>
      </c>
      <c r="K36" s="33" t="s">
        <v>53</v>
      </c>
      <c r="L36" s="92" t="str">
        <f>VLOOKUP(C36,'Trips&amp;Operators'!$C$1:$E$9999,3,0)</f>
        <v>MAELZER</v>
      </c>
      <c r="M36" s="131" t="s">
        <v>86</v>
      </c>
      <c r="N36" s="10"/>
      <c r="O36" s="33"/>
      <c r="P36" s="108" t="str">
        <f>VLOOKUP(C36,'Train Runs'!$A$13:$AE$10008,31,0)</f>
        <v>aws s3 cp s3://rtdc.mdm.uploadarchive/RTDC4001/2016-08-26/ "%USERPROFILE%\AppData\Local\Temp\OnboardLogs"\RTDC4001\2016-08-26 --recursive &amp; "%USERPROFILE%\Documents\GitHub\mrs-test-scripts\Headless Mode &amp; Sideloading\WalkAndUnGZ.bat" "%USERPROFILE%\AppData\Local\Temp\OnboardLogs"\RTDC4001\2016-08-26 &amp; aws s3 cp s3://rtdc.mdm.uploadarchive/RTDC4001/2016-08-27/ "%USERPROFILE%\AppData\Local\Temp\OnboardLogs"\RTDC4001\2016-08-27 --recursive &amp; "%USERPROFILE%\Documents\GitHub\mrs-test-scripts\Headless Mode &amp; Sideloading\WalkAndUnGZ.bat" "%USERPROFILE%\AppData\Local\Temp\OnboardLogs"\RTDC4001\2016-08-27</v>
      </c>
      <c r="Q36" s="111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03:09:26-0600',mode:absolute,to:'2016-08-26 05:32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6" s="113" t="str">
        <f t="shared" si="0"/>
        <v>"C:\Program Files (x86)\AstroGrep\AstroGrep.exe" /spath="%USERPROFILE%\AppData\Local\Temp\OnboardLogs" /stypes="*4001*201608261*" /stext=" 11:.+((SYSTEM_STATE.+slice.+state.+changed )|(ment ac)|(system.+state.+changed )|(\|lc)|(penalty)|(\[timeout)|(PRM\|1\|D)|(kpr)|(kdp))" /e /r /s</v>
      </c>
      <c r="S36" s="9" t="str">
        <f t="shared" si="1"/>
        <v>4001</v>
      </c>
      <c r="T36" s="38">
        <f t="shared" si="2"/>
        <v>42608.465995370374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{"issue":{"subject":"","project_id":79,"tracker_id":40,"status_id":1,"priority_id":2,"assigned_to_id":23,"start_date":"2016-08-26","description":"","custom_fields":[{"id":1,"name":"Subdivision","value":"EC"},{"id":4,"name":"Milepost","value":"0.0839"},{"id":17,"name":"Train ID","value":"102-26"},{"id":16,"name":"Locomotive ID","value":"4001"},{"id":130,"name":"Impact","value":""},{"id":150,"name":"Time of Event (Mountain Time)","value":"05:11:02"},{"id":151,"name":"Denver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42608.803402777776</v>
      </c>
      <c r="B37" s="33" t="s">
        <v>276</v>
      </c>
      <c r="C37" s="33" t="s">
        <v>520</v>
      </c>
      <c r="D37" s="33" t="s">
        <v>49</v>
      </c>
      <c r="E37" s="33" t="s">
        <v>50</v>
      </c>
      <c r="F37" s="49">
        <v>0</v>
      </c>
      <c r="G37" s="49">
        <v>76</v>
      </c>
      <c r="H37" s="49">
        <v>1120</v>
      </c>
      <c r="I37" s="33" t="s">
        <v>51</v>
      </c>
      <c r="J37" s="49">
        <v>839</v>
      </c>
      <c r="K37" s="33" t="s">
        <v>53</v>
      </c>
      <c r="L37" s="92" t="str">
        <f>VLOOKUP(C37,'Trips&amp;Operators'!$C$1:$E$9999,3,0)</f>
        <v>SHOOK</v>
      </c>
      <c r="M37" s="131" t="s">
        <v>86</v>
      </c>
      <c r="N37" s="10"/>
      <c r="O37" s="33"/>
      <c r="P37" s="108" t="str">
        <f>VLOOKUP(C37,'Train Runs'!$A$13:$AE$10008,31,0)</f>
        <v>aws s3 cp s3://rtdc.mdm.uploadarchive/RTDC4026/2016-08-26/ "%USERPROFILE%\AppData\Local\Temp\OnboardLogs"\RTDC4026\2016-08-26 --recursive &amp; "%USERPROFILE%\Documents\GitHub\mrs-test-scripts\Headless Mode &amp; Sideloading\WalkAndUnGZ.bat" "%USERPROFILE%\AppData\Local\Temp\OnboardLogs"\RTDC4026\2016-08-26 &amp; 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</v>
      </c>
      <c r="Q37" s="111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17:17:24-0600',mode:absolute,to:'2016-08-26 20:17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37" s="113" t="str">
        <f t="shared" si="0"/>
        <v>"C:\Program Files (x86)\AstroGrep\AstroGrep.exe" /spath="%USERPROFILE%\AppData\Local\Temp\OnboardLogs" /stypes="*4026*201608270*" /stext=" 01:.+((SYSTEM_STATE.+slice.+state.+changed )|(ment ac)|(system.+state.+changed )|(\|lc)|(penalty)|(\[timeout)|(PRM\|1\|D)|(kpr)|(kdp))" /e /r /s</v>
      </c>
      <c r="S37" s="9" t="str">
        <f t="shared" si="1"/>
        <v>4026</v>
      </c>
      <c r="T37" s="38">
        <f t="shared" si="2"/>
        <v>42609.053402777776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{"issue":{"subject":"","project_id":79,"tracker_id":40,"status_id":1,"priority_id":2,"assigned_to_id":23,"start_date":"2016-08-26","description":"","custom_fields":[{"id":1,"name":"Subdivision","value":"EC"},{"id":4,"name":"Milepost","value":"0.0839"},{"id":17,"name":"Train ID","value":"212-26"},{"id":16,"name":"Locomotive ID","value":"4026"},{"id":130,"name":"Impact","value":""},{"id":150,"name":"Time of Event (Mountain Time)","value":"19:16:54"},{"id":151,"name":"Denver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42609.027314814812</v>
      </c>
      <c r="B38" s="33" t="s">
        <v>173</v>
      </c>
      <c r="C38" s="33" t="s">
        <v>557</v>
      </c>
      <c r="D38" s="33" t="s">
        <v>111</v>
      </c>
      <c r="E38" s="33" t="s">
        <v>50</v>
      </c>
      <c r="F38" s="49">
        <v>0</v>
      </c>
      <c r="G38" s="49">
        <v>12</v>
      </c>
      <c r="H38" s="49">
        <v>839</v>
      </c>
      <c r="I38" s="33" t="s">
        <v>51</v>
      </c>
      <c r="J38" s="49">
        <v>839</v>
      </c>
      <c r="K38" s="33" t="s">
        <v>53</v>
      </c>
      <c r="L38" s="92" t="str">
        <f>VLOOKUP(C38,'Trips&amp;Operators'!$C$1:$E$9999,3,0)</f>
        <v>OUN</v>
      </c>
      <c r="M38" s="131" t="s">
        <v>86</v>
      </c>
      <c r="N38" s="10"/>
      <c r="O38" s="33"/>
      <c r="P38" s="108" t="str">
        <f>VLOOKUP(C38,'Train Runs'!$A$13:$AE$10008,31,0)</f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Q38" s="111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https://search-rtdc-monitor-bjffxe2xuh6vdkpspy63sjmuny.us-east-1.es.amazonaws.com/_plugin/kibana/#/discover/Steve-Slow-Train-Analysis-(2080s-and-2083s)?_g=(refreshInterval:(display:Off,section:0,value:0),time:(from:'2016-08-26 22:52:28-0600',mode:absolute,to:'2016-08-27 01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8" s="113" t="str">
        <f t="shared" si="0"/>
        <v>"C:\Program Files (x86)\AstroGrep\AstroGrep.exe" /spath="%USERPROFILE%\AppData\Local\Temp\OnboardLogs" /stypes="*4043*201608270*" /stext=" 06:.+((SYSTEM_STATE.+slice.+state.+changed )|(ment ac)|(system.+state.+changed )|(\|lc)|(penalty)|(\[timeout)|(PRM\|1\|D)|(kpr)|(kdp))" /e /r /s</v>
      </c>
      <c r="S38" s="9" t="str">
        <f t="shared" si="1"/>
        <v>4043</v>
      </c>
      <c r="T38" s="38">
        <f t="shared" si="2"/>
        <v>42609.277314814812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{"issue":{"subject":"","project_id":79,"tracker_id":40,"status_id":1,"priority_id":2,"assigned_to_id":23,"start_date":"2016-08-27","description":"","custom_fields":[{"id":1,"name":"Subdivision","value":"EC"},{"id":4,"name":"Milepost","value":"0.0839"},{"id":17,"name":"Train ID","value":"238-26"},{"id":16,"name":"Locomotive ID","value":"4043"},{"id":130,"name":"Impact","value":""},{"id":150,"name":"Time of Event (Mountain Time)","value":"00:39:20"},{"id":151,"name":"Denver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42608.322627314818</v>
      </c>
      <c r="B39" s="33" t="s">
        <v>273</v>
      </c>
      <c r="C39" s="33" t="s">
        <v>391</v>
      </c>
      <c r="D39" s="33" t="s">
        <v>49</v>
      </c>
      <c r="E39" s="33" t="s">
        <v>50</v>
      </c>
      <c r="F39" s="49">
        <v>0</v>
      </c>
      <c r="G39" s="49">
        <v>78</v>
      </c>
      <c r="H39" s="49">
        <v>233174</v>
      </c>
      <c r="I39" s="33" t="s">
        <v>51</v>
      </c>
      <c r="J39" s="49">
        <v>233491</v>
      </c>
      <c r="K39" s="33" t="s">
        <v>52</v>
      </c>
      <c r="L39" s="92" t="str">
        <f>VLOOKUP(C39,'Trips&amp;Operators'!$C$1:$E$9999,3,0)</f>
        <v>SPECTOR</v>
      </c>
      <c r="M39" s="131" t="s">
        <v>86</v>
      </c>
      <c r="N39" s="10"/>
      <c r="O39" s="33"/>
      <c r="P39" s="108" t="str">
        <f>VLOOKUP(C39,'Train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39" s="111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06:01:59-0600',mode:absolute,to:'2016-08-26 08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9" s="113" t="str">
        <f t="shared" ref="R39:R70" si="6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/stypes="*4025*201608261*" /stext=" 13:.+((SYSTEM_STATE.+slice.+state.+changed )|(ment ac)|(system.+state.+changed )|(\|lc)|(penalty)|(\[timeout)|(PRM\|1\|D)|(kpr)|(kdp))" /e /r /s</v>
      </c>
      <c r="S39" s="9" t="str">
        <f t="shared" ref="S39:S73" si="7">MID(B39,13,4)</f>
        <v>4025</v>
      </c>
      <c r="T39" s="38">
        <f t="shared" ref="T39:T73" si="8">A39+6/24</f>
        <v>42608.572627314818</v>
      </c>
      <c r="U39" s="52" t="str">
        <f t="shared" ref="U39:U73" si="9">IF(VALUE(LEFT(IF(LEN(C39)=6,"0"&amp;C39,C39),2))&lt;=2,"EC",IF(OR(VALUE(LEFT(IF(LEN(C39)=6,"0"&amp;C39,C39),2))=8,VALUE(LEFT(IF(LEN(C39)=6,"0"&amp;C39,C39),2))=18),"NW","Other"))</f>
        <v>EC</v>
      </c>
      <c r="V39" s="52" t="str">
        <f t="shared" ref="V39:V73" si="10">IF(AND(E39="TRACK WARRANT AUTHORITY",G39&lt;10),"OMIT","KEEP")</f>
        <v>KEEP</v>
      </c>
      <c r="W39" s="149" t="str">
        <f t="shared" ref="W39:W70" si="11"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ID","value":"127-26"},{"id":16,"name":"Locomotive ID","value":"4025"},{"id":130,"name":"Impact","value":""},{"id":150,"name":"Time of Event (Mountain Time)","value":"07:44:35"},{"id":151,"name":"Denver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42608.338449074072</v>
      </c>
      <c r="B40" s="33" t="s">
        <v>181</v>
      </c>
      <c r="C40" s="33" t="s">
        <v>398</v>
      </c>
      <c r="D40" s="33" t="s">
        <v>49</v>
      </c>
      <c r="E40" s="33" t="s">
        <v>50</v>
      </c>
      <c r="F40" s="49">
        <v>0</v>
      </c>
      <c r="G40" s="49">
        <v>146</v>
      </c>
      <c r="H40" s="49">
        <v>232906</v>
      </c>
      <c r="I40" s="33" t="s">
        <v>51</v>
      </c>
      <c r="J40" s="49">
        <v>233491</v>
      </c>
      <c r="K40" s="33" t="s">
        <v>52</v>
      </c>
      <c r="L40" s="92" t="str">
        <f>VLOOKUP(C40,'Trips&amp;Operators'!$C$1:$E$9999,3,0)</f>
        <v>SMITH</v>
      </c>
      <c r="M40" s="131" t="s">
        <v>86</v>
      </c>
      <c r="N40" s="10"/>
      <c r="O40" s="33"/>
      <c r="P40" s="108" t="str">
        <f>VLOOKUP(C40,'Train Runs'!$A$13:$AE$10008,31,0)</f>
        <v>aws s3 cp s3://rtdc.mdm.uploadarchive/RTDC4002/2016-08-26/ "%USERPROFILE%\AppData\Local\Temp\OnboardLogs"\RTDC4002\2016-08-26 --recursive &amp; "%USERPROFILE%\Documents\GitHub\mrs-test-scripts\Headless Mode &amp; Sideloading\WalkAndUnGZ.bat" "%USERPROFILE%\AppData\Local\Temp\OnboardLogs"\RTDC4002\2016-08-26 &amp; 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</v>
      </c>
      <c r="Q40" s="111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06:27:59-0600',mode:absolute,to:'2016-08-26 09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0" s="113" t="str">
        <f t="shared" si="6"/>
        <v>"C:\Program Files (x86)\AstroGrep\AstroGrep.exe" /spath="%USERPROFILE%\AppData\Local\Temp\OnboardLogs" /stypes="*4002*201608261*" /stext=" 14:.+((SYSTEM_STATE.+slice.+state.+changed )|(ment ac)|(system.+state.+changed )|(\|lc)|(penalty)|(\[timeout)|(PRM\|1\|D)|(kpr)|(kdp))" /e /r /s</v>
      </c>
      <c r="S40" s="9" t="str">
        <f t="shared" si="7"/>
        <v>4002</v>
      </c>
      <c r="T40" s="38">
        <f t="shared" si="8"/>
        <v>42608.588449074072</v>
      </c>
      <c r="U40" s="52" t="str">
        <f t="shared" si="9"/>
        <v>EC</v>
      </c>
      <c r="V40" s="52" t="str">
        <f t="shared" si="10"/>
        <v>KEEP</v>
      </c>
      <c r="W40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ID","value":"131-26"},{"id":16,"name":"Locomotive ID","value":"4002"},{"id":130,"name":"Impact","value":""},{"id":150,"name":"Time of Event (Mountain Time)","value":"08:07:22"},{"id":151,"name":"Denver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42608.390370370369</v>
      </c>
      <c r="B41" s="33" t="s">
        <v>273</v>
      </c>
      <c r="C41" s="33" t="s">
        <v>411</v>
      </c>
      <c r="D41" s="33" t="s">
        <v>49</v>
      </c>
      <c r="E41" s="33" t="s">
        <v>50</v>
      </c>
      <c r="F41" s="49">
        <v>0</v>
      </c>
      <c r="G41" s="49">
        <v>56</v>
      </c>
      <c r="H41" s="49">
        <v>233276</v>
      </c>
      <c r="I41" s="33" t="s">
        <v>51</v>
      </c>
      <c r="J41" s="49">
        <v>233491</v>
      </c>
      <c r="K41" s="33" t="s">
        <v>52</v>
      </c>
      <c r="L41" s="92" t="str">
        <f>VLOOKUP(C41,'Trips&amp;Operators'!$C$1:$E$9999,3,0)</f>
        <v>SPECTOR</v>
      </c>
      <c r="M41" s="131" t="s">
        <v>86</v>
      </c>
      <c r="N41" s="10"/>
      <c r="O41" s="33"/>
      <c r="P41" s="108" t="str">
        <f>VLOOKUP(C41,'Train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41" s="111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07:39:05-0600',mode:absolute,to:'2016-08-26 10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1" s="113" t="str">
        <f t="shared" si="6"/>
        <v>"C:\Program Files (x86)\AstroGrep\AstroGrep.exe" /spath="%USERPROFILE%\AppData\Local\Temp\OnboardLogs" /stypes="*4025*201608261*" /stext=" 15:.+((SYSTEM_STATE.+slice.+state.+changed )|(ment ac)|(system.+state.+changed )|(\|lc)|(penalty)|(\[timeout)|(PRM\|1\|D)|(kpr)|(kdp))" /e /r /s</v>
      </c>
      <c r="S41" s="9" t="str">
        <f t="shared" si="7"/>
        <v>4025</v>
      </c>
      <c r="T41" s="38">
        <f t="shared" si="8"/>
        <v>42608.640370370369</v>
      </c>
      <c r="U41" s="52" t="str">
        <f t="shared" si="9"/>
        <v>EC</v>
      </c>
      <c r="V41" s="52" t="str">
        <f t="shared" si="10"/>
        <v>KEEP</v>
      </c>
      <c r="W41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ID","value":"141-26"},{"id":16,"name":"Locomotive ID","value":"4025"},{"id":130,"name":"Impact","value":""},{"id":150,"name":"Time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42608.609398148146</v>
      </c>
      <c r="B42" s="33" t="s">
        <v>273</v>
      </c>
      <c r="C42" s="33" t="s">
        <v>466</v>
      </c>
      <c r="D42" s="33" t="s">
        <v>49</v>
      </c>
      <c r="E42" s="33" t="s">
        <v>50</v>
      </c>
      <c r="F42" s="49">
        <v>0</v>
      </c>
      <c r="G42" s="49">
        <v>50</v>
      </c>
      <c r="H42" s="49">
        <v>233298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SHOOK</v>
      </c>
      <c r="M42" s="131" t="s">
        <v>86</v>
      </c>
      <c r="N42" s="10"/>
      <c r="O42" s="33"/>
      <c r="P42" s="108" t="str">
        <f>VLOOKUP(C42,'Train Runs'!$A$13:$AE$10008,31,0)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Q42" s="111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12:55:27-0600',mode:absolute,to:'2016-08-26 15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42" s="113" t="str">
        <f t="shared" si="6"/>
        <v>"C:\Program Files (x86)\AstroGrep\AstroGrep.exe" /spath="%USERPROFILE%\AppData\Local\Temp\OnboardLogs" /stypes="*4025*201608262*" /stext=" 20:.+((SYSTEM_STATE.+slice.+state.+changed )|(ment ac)|(system.+state.+changed )|(\|lc)|(penalty)|(\[timeout)|(PRM\|1\|D)|(kpr)|(kdp))" /e /r /s</v>
      </c>
      <c r="S42" s="9" t="str">
        <f t="shared" si="7"/>
        <v>4025</v>
      </c>
      <c r="T42" s="38">
        <f t="shared" si="8"/>
        <v>42608.859398148146</v>
      </c>
      <c r="U42" s="52" t="str">
        <f t="shared" si="9"/>
        <v>EC</v>
      </c>
      <c r="V42" s="52" t="str">
        <f t="shared" si="10"/>
        <v>KEEP</v>
      </c>
      <c r="W42" s="149" t="str">
        <f t="shared" si="11"/>
        <v>echo {"issue":{"subject":"","project_id":79,"tracker_id":40,"status_id":1,"priority_id":2,"assigned_to_id":23,"start_date":"2016-08-26","description":"","custom_fields":[{"id":1,"name":"Subdivision","value":"EC"},{"id":4,"name":"Milepost","value":"23.3491"},{"id":17,"name":"Train ID","value":"183-26"},{"id":16,"name":"Locomotive ID","value":"4025"},{"id":130,"name":"Impact","value":""},{"id":150,"name":"Time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42608.518912037034</v>
      </c>
      <c r="B43" s="33" t="s">
        <v>341</v>
      </c>
      <c r="C43" s="33" t="s">
        <v>449</v>
      </c>
      <c r="D43" s="33" t="s">
        <v>111</v>
      </c>
      <c r="E43" s="33" t="s">
        <v>56</v>
      </c>
      <c r="F43" s="49">
        <v>500</v>
      </c>
      <c r="G43" s="49">
        <v>555</v>
      </c>
      <c r="H43" s="49">
        <v>16105</v>
      </c>
      <c r="I43" s="33" t="s">
        <v>57</v>
      </c>
      <c r="J43" s="49">
        <v>14402</v>
      </c>
      <c r="K43" s="33" t="s">
        <v>52</v>
      </c>
      <c r="L43" s="92" t="str">
        <f>VLOOKUP(C43,'Trips&amp;Operators'!$C$1:$E$9999,3,0)</f>
        <v>MAHAN</v>
      </c>
      <c r="M43" s="131" t="s">
        <v>86</v>
      </c>
      <c r="N43" s="10"/>
      <c r="O43" s="33"/>
      <c r="P43" s="108" t="str">
        <f>VLOOKUP(C43,'Train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3" s="111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11:14:58-0600',mode:absolute,to:'2016-08-26 13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3" s="113" t="str">
        <f t="shared" si="6"/>
        <v>"C:\Program Files (x86)\AstroGrep\AstroGrep.exe" /spath="%USERPROFILE%\AppData\Local\Temp\OnboardLogs" /stypes="*4011*201608261*" /stext=" 18:.+((SYSTEM_STATE.+slice.+state.+changed )|(ment ac)|(system.+state.+changed )|(\|lc)|(penalty)|(\[timeout)|(PRM\|1\|D)|(kpr)|(kdp))" /e /r /s</v>
      </c>
      <c r="S43" s="9" t="str">
        <f t="shared" si="7"/>
        <v>4011</v>
      </c>
      <c r="T43" s="38">
        <f t="shared" si="8"/>
        <v>42608.768912037034</v>
      </c>
      <c r="U43" s="52" t="str">
        <f t="shared" si="9"/>
        <v>NW</v>
      </c>
      <c r="V43" s="52" t="str">
        <f t="shared" si="10"/>
        <v>KEEP</v>
      </c>
      <c r="W4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{"issue":{"subject":"","project_id":79,"tracker_id":40,"status_id":1,"priority_id":2,"assigned_to_id":23,"start_date":"2016-08-26","description":"","custom_fields":[{"id":1,"name":"Subdivision","value":"NW"},{"id":4,"name":"Milepost","value":"1.4402"},{"id":17,"name":"Train ID","value":"819-26"},{"id":16,"name":"Locomotive ID","value":"4011"},{"id":130,"name":"Impact","value":""},{"id":150,"name":"Time of Event (Mountain Time)","value":"12:27:14"},{"id":151,"name":"Denver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42608.331863425927</v>
      </c>
      <c r="B44" s="33" t="s">
        <v>342</v>
      </c>
      <c r="C44" s="33" t="s">
        <v>400</v>
      </c>
      <c r="D44" s="33" t="s">
        <v>49</v>
      </c>
      <c r="E44" s="33" t="s">
        <v>56</v>
      </c>
      <c r="F44" s="49">
        <v>300</v>
      </c>
      <c r="G44" s="49">
        <v>350</v>
      </c>
      <c r="H44" s="49">
        <v>20205</v>
      </c>
      <c r="I44" s="33" t="s">
        <v>57</v>
      </c>
      <c r="J44" s="49">
        <v>21299</v>
      </c>
      <c r="K44" s="33" t="s">
        <v>52</v>
      </c>
      <c r="L44" s="92" t="str">
        <f>VLOOKUP(C44,'Trips&amp;Operators'!$C$1:$E$9999,3,0)</f>
        <v>STRICKLAND</v>
      </c>
      <c r="M44" s="131" t="s">
        <v>86</v>
      </c>
      <c r="N44" s="10"/>
      <c r="O44" s="33"/>
      <c r="P44" s="108" t="str">
        <f>VLOOKUP(C44,'Train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44" s="111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4" s="113" t="str">
        <f t="shared" si="6"/>
        <v>"C:\Program Files (x86)\AstroGrep\AstroGrep.exe" /spath="%USERPROFILE%\AppData\Local\Temp\OnboardLogs" /stypes="*4020*201608261*" /stext=" 13:.+((SYSTEM_STATE.+slice.+state.+changed )|(ment ac)|(system.+state.+changed )|(\|lc)|(penalty)|(\[timeout)|(PRM\|1\|D)|(kpr)|(kdp))" /e /r /s</v>
      </c>
      <c r="S44" s="9" t="str">
        <f t="shared" si="7"/>
        <v>4020</v>
      </c>
      <c r="T44" s="38">
        <f t="shared" si="8"/>
        <v>42608.581863425927</v>
      </c>
      <c r="U44" s="52" t="str">
        <f t="shared" si="9"/>
        <v>NW</v>
      </c>
      <c r="V44" s="52" t="str">
        <f t="shared" si="10"/>
        <v>KEEP</v>
      </c>
      <c r="W44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{"issue":{"subject":"","project_id":79,"tracker_id":40,"status_id":1,"priority_id":2,"assigned_to_id":23,"start_date":"2016-08-26","description":"","custom_fields":[{"id":1,"name":"Subdivision","value":"NW"},{"id":4,"name":"Milepost","value":"2.1299"},{"id":17,"name":"Train ID","value":"809-26"},{"id":16,"name":"Locomotive ID","value":"4020"},{"id":130,"name":"Impact","value":""},{"id":150,"name":"Time of Event (Mountain Time)","value":"07:57:53"},{"id":151,"name":"Denver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42608.394224537034</v>
      </c>
      <c r="B45" s="33" t="s">
        <v>341</v>
      </c>
      <c r="C45" s="33" t="s">
        <v>417</v>
      </c>
      <c r="D45" s="33" t="s">
        <v>49</v>
      </c>
      <c r="E45" s="33" t="s">
        <v>56</v>
      </c>
      <c r="F45" s="49">
        <v>300</v>
      </c>
      <c r="G45" s="49">
        <v>351</v>
      </c>
      <c r="H45" s="49">
        <v>19746</v>
      </c>
      <c r="I45" s="33" t="s">
        <v>57</v>
      </c>
      <c r="J45" s="49">
        <v>21299</v>
      </c>
      <c r="K45" s="33" t="s">
        <v>52</v>
      </c>
      <c r="L45" s="92" t="str">
        <f>VLOOKUP(C45,'Trips&amp;Operators'!$C$1:$E$9999,3,0)</f>
        <v>MAHAN</v>
      </c>
      <c r="M45" s="131" t="s">
        <v>86</v>
      </c>
      <c r="N45" s="10"/>
      <c r="O45" s="33"/>
      <c r="P45" s="108" t="str">
        <f>VLOOKUP(C45,'Train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5" s="111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08:17:41-0600',mode:absolute,to:'2016-08-26 10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5" s="113" t="str">
        <f t="shared" si="6"/>
        <v>"C:\Program Files (x86)\AstroGrep\AstroGrep.exe" /spath="%USERPROFILE%\AppData\Local\Temp\OnboardLogs" /stypes="*4011*201608261*" /stext=" 15:.+((SYSTEM_STATE.+slice.+state.+changed )|(ment ac)|(system.+state.+changed )|(\|lc)|(penalty)|(\[timeout)|(PRM\|1\|D)|(kpr)|(kdp))" /e /r /s</v>
      </c>
      <c r="S45" s="9" t="str">
        <f t="shared" si="7"/>
        <v>4011</v>
      </c>
      <c r="T45" s="38">
        <f t="shared" si="8"/>
        <v>42608.644224537034</v>
      </c>
      <c r="U45" s="52" t="str">
        <f t="shared" si="9"/>
        <v>NW</v>
      </c>
      <c r="V45" s="52" t="str">
        <f t="shared" si="10"/>
        <v>KEEP</v>
      </c>
      <c r="W4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{"issue":{"subject":"","project_id":79,"tracker_id":40,"status_id":1,"priority_id":2,"assigned_to_id":23,"start_date":"2016-08-26","description":"","custom_fields":[{"id":1,"name":"Subdivision","value":"NW"},{"id":4,"name":"Milepost","value":"2.1299"},{"id":17,"name":"Train ID","value":"813-26"},{"id":16,"name":"Locomotive ID","value":"4011"},{"id":130,"name":"Impact","value":""},{"id":150,"name":"Time of Event (Mountain Time)","value":"09:27:41"},{"id":151,"name":"Denver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42608.345300925925</v>
      </c>
      <c r="B46" s="33" t="s">
        <v>337</v>
      </c>
      <c r="C46" s="33" t="s">
        <v>405</v>
      </c>
      <c r="D46" s="33" t="s">
        <v>111</v>
      </c>
      <c r="E46" s="33" t="s">
        <v>56</v>
      </c>
      <c r="F46" s="49">
        <v>400</v>
      </c>
      <c r="G46" s="49">
        <v>456</v>
      </c>
      <c r="H46" s="49">
        <v>38585</v>
      </c>
      <c r="I46" s="33" t="s">
        <v>57</v>
      </c>
      <c r="J46" s="49">
        <v>40977</v>
      </c>
      <c r="K46" s="33" t="s">
        <v>53</v>
      </c>
      <c r="L46" s="92" t="str">
        <f>VLOOKUP(C46,'Trips&amp;Operators'!$C$1:$E$9999,3,0)</f>
        <v>STRICKLAND</v>
      </c>
      <c r="M46" s="131" t="s">
        <v>86</v>
      </c>
      <c r="N46" s="10"/>
      <c r="O46" s="33"/>
      <c r="P46" s="108" t="str">
        <f>VLOOKUP(C46,'Train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46" s="111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46" s="113" t="str">
        <f t="shared" si="6"/>
        <v>"C:\Program Files (x86)\AstroGrep\AstroGrep.exe" /spath="%USERPROFILE%\AppData\Local\Temp\OnboardLogs" /stypes="*4019*201608261*" /stext=" 14:.+((SYSTEM_STATE.+slice.+state.+changed )|(ment ac)|(system.+state.+changed )|(\|lc)|(penalty)|(\[timeout)|(PRM\|1\|D)|(kpr)|(kdp))" /e /r /s</v>
      </c>
      <c r="S46" s="9" t="str">
        <f t="shared" si="7"/>
        <v>4019</v>
      </c>
      <c r="T46" s="38">
        <f t="shared" si="8"/>
        <v>42608.595300925925</v>
      </c>
      <c r="U46" s="52" t="str">
        <f t="shared" si="9"/>
        <v>NW</v>
      </c>
      <c r="V46" s="52" t="str">
        <f t="shared" si="10"/>
        <v>KEEP</v>
      </c>
      <c r="W4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{"issue":{"subject":"","project_id":79,"tracker_id":40,"status_id":1,"priority_id":2,"assigned_to_id":23,"start_date":"2016-08-26","description":"","custom_fields":[{"id":1,"name":"Subdivision","value":"NW"},{"id":4,"name":"Milepost","value":"4.0977"},{"id":17,"name":"Train ID","value":"810-26"},{"id":16,"name":"Locomotive ID","value":"4019"},{"id":130,"name":"Impact","value":""},{"id":150,"name":"Time of Event (Mountain Time)","value":"08:17:14"},{"id":151,"name":"Denver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42608.533090277779</v>
      </c>
      <c r="B47" s="33" t="s">
        <v>338</v>
      </c>
      <c r="C47" s="33" t="s">
        <v>453</v>
      </c>
      <c r="D47" s="33" t="s">
        <v>111</v>
      </c>
      <c r="E47" s="33" t="s">
        <v>56</v>
      </c>
      <c r="F47" s="49">
        <v>400</v>
      </c>
      <c r="G47" s="49">
        <v>450</v>
      </c>
      <c r="H47" s="49">
        <v>37970</v>
      </c>
      <c r="I47" s="33" t="s">
        <v>57</v>
      </c>
      <c r="J47" s="49">
        <v>40977</v>
      </c>
      <c r="K47" s="33" t="s">
        <v>53</v>
      </c>
      <c r="L47" s="92" t="str">
        <f>VLOOKUP(C47,'Trips&amp;Operators'!$C$1:$E$9999,3,0)</f>
        <v>MAHAN</v>
      </c>
      <c r="M47" s="131" t="s">
        <v>86</v>
      </c>
      <c r="N47" s="10"/>
      <c r="O47" s="33"/>
      <c r="P47" s="108" t="str">
        <f>VLOOKUP(C47,'Train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47" s="111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https://search-rtdc-monitor-bjffxe2xuh6vdkpspy63sjmuny.us-east-1.es.amazonaws.com/_plugin/kibana/#/discover/Steve-Slow-Train-Analysis-(2080s-and-2083s)?_g=(refreshInterval:(display:Off,section:0,value:0),time:(from:'2016-08-26 11:39:25-0600',mode:absolute,to:'2016-08-26 13:57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47" s="113" t="str">
        <f t="shared" si="6"/>
        <v>"C:\Program Files (x86)\AstroGrep\AstroGrep.exe" /spath="%USERPROFILE%\AppData\Local\Temp\OnboardLogs" /stypes="*4012*201608261*" /stext=" 18:.+((SYSTEM_STATE.+slice.+state.+changed )|(ment ac)|(system.+state.+changed )|(\|lc)|(penalty)|(\[timeout)|(PRM\|1\|D)|(kpr)|(kdp))" /e /r /s</v>
      </c>
      <c r="S47" s="9" t="str">
        <f t="shared" si="7"/>
        <v>4012</v>
      </c>
      <c r="T47" s="38">
        <f t="shared" si="8"/>
        <v>42608.783090277779</v>
      </c>
      <c r="U47" s="52" t="str">
        <f t="shared" si="9"/>
        <v>NW</v>
      </c>
      <c r="V47" s="52" t="str">
        <f t="shared" si="10"/>
        <v>KEEP</v>
      </c>
      <c r="W4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{"issue":{"subject":"","project_id":79,"tracker_id":40,"status_id":1,"priority_id":2,"assigned_to_id":23,"start_date":"2016-08-26","description":"","custom_fields":[{"id":1,"name":"Subdivision","value":"NW"},{"id":4,"name":"Milepost","value":"4.0977"},{"id":17,"name":"Train ID","value":"820-26"},{"id":16,"name":"Locomotive ID","value":"4012"},{"id":130,"name":"Impact","value":""},{"id":150,"name":"Time of Event (Mountain Time)","value":"12:47:39"},{"id":151,"name":"Denver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42608.336898148147</v>
      </c>
      <c r="B48" s="33" t="s">
        <v>342</v>
      </c>
      <c r="C48" s="33" t="s">
        <v>400</v>
      </c>
      <c r="D48" s="33" t="s">
        <v>49</v>
      </c>
      <c r="E48" s="33" t="s">
        <v>56</v>
      </c>
      <c r="F48" s="49">
        <v>150</v>
      </c>
      <c r="G48" s="49">
        <v>410</v>
      </c>
      <c r="H48" s="49">
        <v>55157</v>
      </c>
      <c r="I48" s="33" t="s">
        <v>57</v>
      </c>
      <c r="J48" s="49">
        <v>57008</v>
      </c>
      <c r="K48" s="33" t="s">
        <v>52</v>
      </c>
      <c r="L48" s="92" t="str">
        <f>VLOOKUP(C48,'Trips&amp;Operators'!$C$1:$E$9999,3,0)</f>
        <v>STRICKLAND</v>
      </c>
      <c r="M48" s="131" t="s">
        <v>86</v>
      </c>
      <c r="N48" s="10"/>
      <c r="O48" s="33"/>
      <c r="P48" s="108" t="str">
        <f>VLOOKUP(C48,'Train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48" s="111" t="str">
        <f>VLOOKUP(C48,'Train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06:39:17-0600',mode:absolute,to:'2016-08-26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8" s="113" t="str">
        <f t="shared" si="6"/>
        <v>"C:\Program Files (x86)\AstroGrep\AstroGrep.exe" /spath="%USERPROFILE%\AppData\Local\Temp\OnboardLogs" /stypes="*4020*201608261*" /stext=" 14:.+((SYSTEM_STATE.+slice.+state.+changed )|(ment ac)|(system.+state.+changed )|(\|lc)|(penalty)|(\[timeout)|(PRM\|1\|D)|(kpr)|(kdp))" /e /r /s</v>
      </c>
      <c r="S48" s="9" t="str">
        <f t="shared" si="7"/>
        <v>4020</v>
      </c>
      <c r="T48" s="38">
        <f t="shared" si="8"/>
        <v>42608.586898148147</v>
      </c>
      <c r="U48" s="52" t="str">
        <f t="shared" si="9"/>
        <v>NW</v>
      </c>
      <c r="V48" s="52" t="str">
        <f t="shared" si="10"/>
        <v>KEEP</v>
      </c>
      <c r="W4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{"issue":{"subject":"","project_id":79,"tracker_id":40,"status_id":1,"priority_id":2,"assigned_to_id":23,"start_date":"2016-08-26","description":"","custom_fields":[{"id":1,"name":"Subdivision","value":"NW"},{"id":4,"name":"Milepost","value":"5.7008"},{"id":17,"name":"Train ID","value":"809-26"},{"id":16,"name":"Locomotive ID","value":"4020"},{"id":130,"name":"Impact","value":""},{"id":150,"name":"Time of Event (Mountain Time)","value":"08:05:08"},{"id":151,"name":"Denver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42608.816180555557</v>
      </c>
      <c r="B49" s="33" t="s">
        <v>341</v>
      </c>
      <c r="C49" s="33" t="s">
        <v>531</v>
      </c>
      <c r="D49" s="33" t="s">
        <v>49</v>
      </c>
      <c r="E49" s="33" t="s">
        <v>56</v>
      </c>
      <c r="F49" s="49">
        <v>150</v>
      </c>
      <c r="G49" s="49">
        <v>335</v>
      </c>
      <c r="H49" s="49">
        <v>56076</v>
      </c>
      <c r="I49" s="33" t="s">
        <v>57</v>
      </c>
      <c r="J49" s="49">
        <v>57008</v>
      </c>
      <c r="K49" s="33" t="s">
        <v>52</v>
      </c>
      <c r="L49" s="92" t="str">
        <f>VLOOKUP(C49,'Trips&amp;Operators'!$C$1:$E$9999,3,0)</f>
        <v>BROWN</v>
      </c>
      <c r="M49" s="131" t="s">
        <v>86</v>
      </c>
      <c r="N49" s="10"/>
      <c r="O49" s="33"/>
      <c r="P49" s="108" t="str">
        <f>VLOOKUP(C49,'Train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49" s="111" t="str">
        <f>VLOOKUP(C49,'Train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18:15:39-0600',mode:absolute,to:'2016-08-26 20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9" s="113" t="str">
        <f t="shared" si="6"/>
        <v>"C:\Program Files (x86)\AstroGrep\AstroGrep.exe" /spath="%USERPROFILE%\AppData\Local\Temp\OnboardLogs" /stypes="*4011*201608270*" /stext=" 01:.+((SYSTEM_STATE.+slice.+state.+changed )|(ment ac)|(system.+state.+changed )|(\|lc)|(penalty)|(\[timeout)|(PRM\|1\|D)|(kpr)|(kdp))" /e /r /s</v>
      </c>
      <c r="S49" s="9" t="str">
        <f t="shared" si="7"/>
        <v>4011</v>
      </c>
      <c r="T49" s="38">
        <f t="shared" si="8"/>
        <v>42609.066180555557</v>
      </c>
      <c r="U49" s="52" t="str">
        <f t="shared" si="9"/>
        <v>NW</v>
      </c>
      <c r="V49" s="52" t="str">
        <f t="shared" si="10"/>
        <v>KEEP</v>
      </c>
      <c r="W4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{"issue":{"subject":"","project_id":79,"tracker_id":40,"status_id":1,"priority_id":2,"assigned_to_id":23,"start_date":"2016-08-26","description":"","custom_fields":[{"id":1,"name":"Subdivision","value":"NW"},{"id":4,"name":"Milepost","value":"5.7008"},{"id":17,"name":"Train ID","value":"841-26"},{"id":16,"name":"Locomotive ID","value":"4011"},{"id":130,"name":"Impact","value":""},{"id":150,"name":"Time of Event (Mountain Time)","value":"19:35:18"},{"id":151,"name":"Denver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42608.260324074072</v>
      </c>
      <c r="B50" s="33" t="s">
        <v>337</v>
      </c>
      <c r="C50" s="33" t="s">
        <v>379</v>
      </c>
      <c r="D50" s="33" t="s">
        <v>111</v>
      </c>
      <c r="E50" s="33" t="s">
        <v>56</v>
      </c>
      <c r="F50" s="49">
        <v>150</v>
      </c>
      <c r="G50" s="49">
        <v>203</v>
      </c>
      <c r="H50" s="49">
        <v>56735</v>
      </c>
      <c r="I50" s="33" t="s">
        <v>57</v>
      </c>
      <c r="J50" s="49">
        <v>59050</v>
      </c>
      <c r="K50" s="33" t="s">
        <v>53</v>
      </c>
      <c r="L50" s="92" t="str">
        <f>VLOOKUP(C50,'Trips&amp;Operators'!$C$1:$E$9999,3,0)</f>
        <v>STRICKLAND</v>
      </c>
      <c r="M50" s="131" t="s">
        <v>86</v>
      </c>
      <c r="N50" s="10"/>
      <c r="O50" s="33"/>
      <c r="P50" s="108" t="str">
        <f>VLOOKUP(C50,'Train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0" s="111" t="str">
        <f>VLOOKUP(C50,'Train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0" s="113" t="str">
        <f t="shared" si="6"/>
        <v>"C:\Program Files (x86)\AstroGrep\AstroGrep.exe" /spath="%USERPROFILE%\AppData\Local\Temp\OnboardLogs" /stypes="*4019*201608261*" /stext=" 12:.+((SYSTEM_STATE.+slice.+state.+changed )|(ment ac)|(system.+state.+changed )|(\|lc)|(penalty)|(\[timeout)|(PRM\|1\|D)|(kpr)|(kdp))" /e /r /s</v>
      </c>
      <c r="S50" s="9" t="str">
        <f t="shared" si="7"/>
        <v>4019</v>
      </c>
      <c r="T50" s="38">
        <f t="shared" si="8"/>
        <v>42608.510324074072</v>
      </c>
      <c r="U50" s="52" t="str">
        <f t="shared" si="9"/>
        <v>NW</v>
      </c>
      <c r="V50" s="52" t="str">
        <f t="shared" si="10"/>
        <v>KEEP</v>
      </c>
      <c r="W5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ID","value":"802-26"},{"id":16,"name":"Locomotive ID","value":"4019"},{"id":130,"name":"Impact","value":""},{"id":150,"name":"Time of Event (Mountain Time)","value":"06:14:52"},{"id":151,"name":"Denver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42608.342835648145</v>
      </c>
      <c r="B51" s="33" t="s">
        <v>337</v>
      </c>
      <c r="C51" s="33" t="s">
        <v>405</v>
      </c>
      <c r="D51" s="33" t="s">
        <v>111</v>
      </c>
      <c r="E51" s="33" t="s">
        <v>56</v>
      </c>
      <c r="F51" s="49">
        <v>150</v>
      </c>
      <c r="G51" s="49">
        <v>201</v>
      </c>
      <c r="H51" s="49">
        <v>56665</v>
      </c>
      <c r="I51" s="33" t="s">
        <v>57</v>
      </c>
      <c r="J51" s="49">
        <v>59050</v>
      </c>
      <c r="K51" s="33" t="s">
        <v>53</v>
      </c>
      <c r="L51" s="92" t="str">
        <f>VLOOKUP(C51,'Trips&amp;Operators'!$C$1:$E$9999,3,0)</f>
        <v>STRICKLAND</v>
      </c>
      <c r="M51" s="131" t="s">
        <v>86</v>
      </c>
      <c r="N51" s="10"/>
      <c r="O51" s="33"/>
      <c r="P51" s="108" t="str">
        <f>VLOOKUP(C51,'Train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1" s="111" t="str">
        <f>VLOOKUP(C51,'Train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07:09:15-0600',mode:absolute,to:'2016-08-26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1" s="113" t="str">
        <f t="shared" si="6"/>
        <v>"C:\Program Files (x86)\AstroGrep\AstroGrep.exe" /spath="%USERPROFILE%\AppData\Local\Temp\OnboardLogs" /stypes="*4019*201608261*" /stext=" 14:.+((SYSTEM_STATE.+slice.+state.+changed )|(ment ac)|(system.+state.+changed )|(\|lc)|(penalty)|(\[timeout)|(PRM\|1\|D)|(kpr)|(kdp))" /e /r /s</v>
      </c>
      <c r="S51" s="9" t="str">
        <f t="shared" si="7"/>
        <v>4019</v>
      </c>
      <c r="T51" s="38">
        <f t="shared" si="8"/>
        <v>42608.592835648145</v>
      </c>
      <c r="U51" s="52" t="str">
        <f t="shared" si="9"/>
        <v>NW</v>
      </c>
      <c r="V51" s="52" t="str">
        <f t="shared" si="10"/>
        <v>KEEP</v>
      </c>
      <c r="W51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ID","value":"810-26"},{"id":16,"name":"Locomotive ID","value":"4019"},{"id":130,"name":"Impact","value":""},{"id":150,"name":"Time of Event (Mountain Time)","value":"08:13:41"},{"id":151,"name":"Denver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42608.363680555558</v>
      </c>
      <c r="B52" s="33" t="s">
        <v>338</v>
      </c>
      <c r="C52" s="33" t="s">
        <v>412</v>
      </c>
      <c r="D52" s="33" t="s">
        <v>111</v>
      </c>
      <c r="E52" s="33" t="s">
        <v>56</v>
      </c>
      <c r="F52" s="49">
        <v>150</v>
      </c>
      <c r="G52" s="49">
        <v>200</v>
      </c>
      <c r="H52" s="49">
        <v>56925</v>
      </c>
      <c r="I52" s="33" t="s">
        <v>57</v>
      </c>
      <c r="J52" s="49">
        <v>59050</v>
      </c>
      <c r="K52" s="33" t="s">
        <v>53</v>
      </c>
      <c r="L52" s="92" t="str">
        <f>VLOOKUP(C52,'Trips&amp;Operators'!$C$1:$E$9999,3,0)</f>
        <v>MAHAN</v>
      </c>
      <c r="M52" s="131" t="s">
        <v>86</v>
      </c>
      <c r="N52" s="10"/>
      <c r="O52" s="33"/>
      <c r="P52" s="108" t="str">
        <f>VLOOKUP(C52,'Train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2" s="111" t="str">
        <f>VLOOKUP(C52,'Train Runs'!$A$13:$AE$10008,22,0)</f>
        <v>https://search-rtdc-monitor-bjffxe2xuh6vdkpspy63sjmuny.us-east-1.es.amazonaws.com/_plugin/kibana/#/discover/Steve-Slow-Train-Analysis-(2080s-and-2083s)?_g=(refreshInterval:(display:Off,section:0,value:0),time:(from:'2016-08-26 07:38:57-0600',mode:absolute,to:'2016-08-26 09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2" s="113" t="str">
        <f t="shared" si="6"/>
        <v>"C:\Program Files (x86)\AstroGrep\AstroGrep.exe" /spath="%USERPROFILE%\AppData\Local\Temp\OnboardLogs" /stypes="*4012*201608261*" /stext=" 14:.+((SYSTEM_STATE.+slice.+state.+changed )|(ment ac)|(system.+state.+changed )|(\|lc)|(penalty)|(\[timeout)|(PRM\|1\|D)|(kpr)|(kdp))" /e /r /s</v>
      </c>
      <c r="S52" s="9" t="str">
        <f t="shared" si="7"/>
        <v>4012</v>
      </c>
      <c r="T52" s="38">
        <f t="shared" si="8"/>
        <v>42608.613680555558</v>
      </c>
      <c r="U52" s="52" t="str">
        <f t="shared" si="9"/>
        <v>NW</v>
      </c>
      <c r="V52" s="52" t="str">
        <f t="shared" si="10"/>
        <v>KEEP</v>
      </c>
      <c r="W52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ID","value":"812-26"},{"id":16,"name":"Locomotive ID","value":"4012"},{"id":130,"name":"Impact","value":""},{"id":150,"name":"Time of Event (Mountain Time)","value":"08:43:42"},{"id":151,"name":"Denver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42608.718402777777</v>
      </c>
      <c r="B53" s="33" t="s">
        <v>337</v>
      </c>
      <c r="C53" s="33" t="s">
        <v>506</v>
      </c>
      <c r="D53" s="33" t="s">
        <v>111</v>
      </c>
      <c r="E53" s="33" t="s">
        <v>56</v>
      </c>
      <c r="F53" s="49">
        <v>150</v>
      </c>
      <c r="G53" s="49">
        <v>201</v>
      </c>
      <c r="H53" s="49">
        <v>57003</v>
      </c>
      <c r="I53" s="33" t="s">
        <v>57</v>
      </c>
      <c r="J53" s="49">
        <v>59050</v>
      </c>
      <c r="K53" s="33" t="s">
        <v>53</v>
      </c>
      <c r="L53" s="92" t="str">
        <f>VLOOKUP(C53,'Trips&amp;Operators'!$C$1:$E$9999,3,0)</f>
        <v>CRAYTON</v>
      </c>
      <c r="M53" s="131" t="s">
        <v>86</v>
      </c>
      <c r="N53" s="10"/>
      <c r="O53" s="33"/>
      <c r="P53" s="108" t="str">
        <f>VLOOKUP(C53,'Train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3" s="111" t="str">
        <f>VLOOKUP(C53,'Train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3" s="113" t="str">
        <f t="shared" si="6"/>
        <v>"C:\Program Files (x86)\AstroGrep\AstroGrep.exe" /spath="%USERPROFILE%\AppData\Local\Temp\OnboardLogs" /stypes="*4019*201608262*" /stext=" 23:.+((SYSTEM_STATE.+slice.+state.+changed )|(ment ac)|(system.+state.+changed )|(\|lc)|(penalty)|(\[timeout)|(PRM\|1\|D)|(kpr)|(kdp))" /e /r /s</v>
      </c>
      <c r="S53" s="9" t="str">
        <f t="shared" si="7"/>
        <v>4019</v>
      </c>
      <c r="T53" s="38">
        <f t="shared" si="8"/>
        <v>42608.968402777777</v>
      </c>
      <c r="U53" s="52" t="str">
        <f t="shared" si="9"/>
        <v>NW</v>
      </c>
      <c r="V53" s="52" t="str">
        <f t="shared" si="10"/>
        <v>KEEP</v>
      </c>
      <c r="W5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{"issue":{"subject":"","project_id":79,"tracker_id":40,"status_id":1,"priority_id":2,"assigned_to_id":23,"start_date":"2016-08-26","description":"","custom_fields":[{"id":1,"name":"Subdivision","value":"NW"},{"id":4,"name":"Milepost","value":"5.905"},{"id":17,"name":"Train ID","value":"832-26"},{"id":16,"name":"Locomotive ID","value":"4019"},{"id":130,"name":"Impact","value":""},{"id":150,"name":"Time of Event (Mountain Time)","value":"17:14:30"},{"id":151,"name":"Denver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42608.605011574073</v>
      </c>
      <c r="B54" s="33" t="s">
        <v>341</v>
      </c>
      <c r="C54" s="33" t="s">
        <v>467</v>
      </c>
      <c r="D54" s="33" t="s">
        <v>49</v>
      </c>
      <c r="E54" s="33" t="s">
        <v>54</v>
      </c>
      <c r="F54" s="49">
        <v>0</v>
      </c>
      <c r="G54" s="49">
        <v>340</v>
      </c>
      <c r="H54" s="49">
        <v>31833</v>
      </c>
      <c r="I54" s="33" t="s">
        <v>55</v>
      </c>
      <c r="J54" s="49">
        <v>33252</v>
      </c>
      <c r="K54" s="33" t="s">
        <v>52</v>
      </c>
      <c r="L54" s="92" t="str">
        <f>VLOOKUP(C54,'Trips&amp;Operators'!$C$1:$E$9999,3,0)</f>
        <v>BROWN</v>
      </c>
      <c r="M54" s="131" t="s">
        <v>86</v>
      </c>
      <c r="N54" s="10" t="s">
        <v>771</v>
      </c>
      <c r="O54" s="33"/>
      <c r="P54" s="108" t="str">
        <f>VLOOKUP(C54,'Train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54" s="111" t="str">
        <f>VLOOKUP(C54,'Train Runs'!$A$13:$AE$10008,22,0)</f>
        <v>https://search-rtdc-monitor-bjffxe2xuh6vdkpspy63sjmuny.us-east-1.es.amazonaws.com/_plugin/kibana/#/discover/Steve-Slow-Train-Analysis-(2080s-and-2083s)?_g=(refreshInterval:(display:Off,section:0,value:0),time:(from:'2016-08-26 13:03:35-0600',mode:absolute,to:'2016-08-26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54" s="113" t="str">
        <f t="shared" si="6"/>
        <v>"C:\Program Files (x86)\AstroGrep\AstroGrep.exe" /spath="%USERPROFILE%\AppData\Local\Temp\OnboardLogs" /stypes="*4011*201608262*" /stext=" 20:.+((SYSTEM_STATE.+slice.+state.+changed )|(ment ac)|(system.+state.+changed )|(\|lc)|(penalty)|(\[timeout)|(PRM\|1\|D)|(kpr)|(kdp))" /e /r /s</v>
      </c>
      <c r="S54" s="9" t="str">
        <f t="shared" si="7"/>
        <v>4011</v>
      </c>
      <c r="T54" s="38">
        <f t="shared" si="8"/>
        <v>42608.855011574073</v>
      </c>
      <c r="U54" s="52" t="str">
        <f t="shared" si="9"/>
        <v>NW</v>
      </c>
      <c r="V54" s="52" t="str">
        <f t="shared" si="10"/>
        <v>KEEP</v>
      </c>
      <c r="W54" s="149" t="str">
        <f t="shared" si="11"/>
        <v>echo {"issue":{"subject":"Overspeed","project_id":79,"tracker_id":40,"status_id":1,"priority_id":2,"assigned_to_id":23,"start_date":"2016-08-26","description":"","custom_fields":[{"id":1,"name":"Subdivision","value":"NW"},{"id":4,"name":"Milepost","value":"3.3252"},{"id":17,"name":"Train ID","value":"823-26"},{"id":16,"name":"Locomotive ID","value":"4011"},{"id":130,"name":"Impact","value":""},{"id":150,"name":"Time of Event (Mountain Time)","value":"14:31:13"},{"id":151,"name":"Denver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>
        <v>42608.266238425924</v>
      </c>
      <c r="B55" s="33" t="s">
        <v>337</v>
      </c>
      <c r="C55" s="33" t="s">
        <v>379</v>
      </c>
      <c r="D55" s="33" t="s">
        <v>111</v>
      </c>
      <c r="E55" s="33" t="s">
        <v>568</v>
      </c>
      <c r="F55" s="49">
        <v>100</v>
      </c>
      <c r="G55" s="49">
        <v>155</v>
      </c>
      <c r="H55" s="49">
        <v>10433</v>
      </c>
      <c r="I55" s="33" t="s">
        <v>569</v>
      </c>
      <c r="J55" s="49">
        <v>11000</v>
      </c>
      <c r="K55" s="33" t="s">
        <v>53</v>
      </c>
      <c r="L55" s="92" t="str">
        <f>VLOOKUP(C55,'Trips&amp;Operators'!$C$1:$E$9999,3,0)</f>
        <v>STRICKLAND</v>
      </c>
      <c r="M55" s="131" t="s">
        <v>86</v>
      </c>
      <c r="N55" s="10"/>
      <c r="O55" s="33"/>
      <c r="P55" s="108" t="str">
        <f>VLOOKUP(C55,'Train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5" s="111" t="str">
        <f>VLOOKUP(C55,'Train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05:11:09-0600',mode:absolute,to:'2016-08-26 07:27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5" s="113" t="str">
        <f t="shared" si="6"/>
        <v>"C:\Program Files (x86)\AstroGrep\AstroGrep.exe" /spath="%USERPROFILE%\AppData\Local\Temp\OnboardLogs" /stypes="*4019*201608261*" /stext=" 12:.+((SYSTEM_STATE.+slice.+state.+changed )|(ment ac)|(system.+state.+changed )|(\|lc)|(penalty)|(\[timeout)|(PRM\|1\|D)|(kpr)|(kdp))" /e /r /s</v>
      </c>
      <c r="S55" s="9" t="str">
        <f t="shared" si="7"/>
        <v>4019</v>
      </c>
      <c r="T55" s="38">
        <f t="shared" si="8"/>
        <v>42608.516238425924</v>
      </c>
      <c r="U55" s="52" t="str">
        <f t="shared" si="9"/>
        <v>NW</v>
      </c>
      <c r="V55" s="52" t="str">
        <f t="shared" si="10"/>
        <v>KEEP</v>
      </c>
      <c r="W5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{"issue":{"subject":"","project_id":79,"tracker_id":40,"status_id":1,"priority_id":2,"assigned_to_id":23,"start_date":"2016-08-26","description":"","custom_fields":[{"id":1,"name":"Subdivision","value":"NW"},{"id":4,"name":"Milepost","value":"1.1"},{"id":17,"name":"Train ID","value":"802-26"},{"id":16,"name":"Locomotive ID","value":"4019"},{"id":130,"name":"Impact","value":""},{"id":150,"name":"Time of Event (Mountain Time)","value":"06:23:23"},{"id":151,"name":"Denver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5"/>
      <c r="Y55" s="55"/>
      <c r="Z55" s="55"/>
    </row>
    <row r="56" spans="1:26" x14ac:dyDescent="0.25">
      <c r="A56" s="38">
        <v>42608.288599537038</v>
      </c>
      <c r="B56" s="33" t="s">
        <v>338</v>
      </c>
      <c r="C56" s="33" t="s">
        <v>386</v>
      </c>
      <c r="D56" s="33" t="s">
        <v>49</v>
      </c>
      <c r="E56" s="33" t="s">
        <v>50</v>
      </c>
      <c r="F56" s="49">
        <v>0</v>
      </c>
      <c r="G56" s="49">
        <v>156</v>
      </c>
      <c r="H56" s="49">
        <v>1527</v>
      </c>
      <c r="I56" s="33" t="s">
        <v>51</v>
      </c>
      <c r="J56" s="49">
        <v>575</v>
      </c>
      <c r="K56" s="33" t="s">
        <v>53</v>
      </c>
      <c r="L56" s="92" t="str">
        <f>VLOOKUP(C56,'Trips&amp;Operators'!$C$1:$E$9999,3,0)</f>
        <v>MAHAN</v>
      </c>
      <c r="M56" s="131" t="s">
        <v>86</v>
      </c>
      <c r="N56" s="10"/>
      <c r="O56" s="33"/>
      <c r="P56" s="108" t="str">
        <f>VLOOKUP(C56,'Train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6" s="111" t="str">
        <f>VLOOKUP(C56,'Train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05:38:49-0600',mode:absolute,to:'2016-08-26 07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6" s="113" t="str">
        <f t="shared" si="6"/>
        <v>"C:\Program Files (x86)\AstroGrep\AstroGrep.exe" /spath="%USERPROFILE%\AppData\Local\Temp\OnboardLogs" /stypes="*4012*201608261*" /stext=" 12:.+((SYSTEM_STATE.+slice.+state.+changed )|(ment ac)|(system.+state.+changed )|(\|lc)|(penalty)|(\[timeout)|(PRM\|1\|D)|(kpr)|(kdp))" /e /r /s</v>
      </c>
      <c r="S56" s="9" t="str">
        <f t="shared" si="7"/>
        <v>4012</v>
      </c>
      <c r="T56" s="38">
        <f t="shared" si="8"/>
        <v>42608.538599537038</v>
      </c>
      <c r="U56" s="52" t="str">
        <f t="shared" si="9"/>
        <v>NW</v>
      </c>
      <c r="V56" s="52" t="str">
        <f t="shared" si="10"/>
        <v>KEEP</v>
      </c>
      <c r="W5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ID","value":"804-26"},{"id":16,"name":"Locomotive ID","value":"4012"},{"id":130,"name":"Impact","value":""},{"id":150,"name":"Time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5"/>
      <c r="Y56" s="55"/>
      <c r="Z56" s="55"/>
    </row>
    <row r="57" spans="1:26" x14ac:dyDescent="0.25">
      <c r="A57" s="38">
        <v>42608.310173611113</v>
      </c>
      <c r="B57" s="33" t="s">
        <v>337</v>
      </c>
      <c r="C57" s="33" t="s">
        <v>392</v>
      </c>
      <c r="D57" s="33" t="s">
        <v>49</v>
      </c>
      <c r="E57" s="33" t="s">
        <v>50</v>
      </c>
      <c r="F57" s="49">
        <v>0</v>
      </c>
      <c r="G57" s="49">
        <v>46</v>
      </c>
      <c r="H57" s="49">
        <v>722</v>
      </c>
      <c r="I57" s="33" t="s">
        <v>51</v>
      </c>
      <c r="J57" s="49">
        <v>575</v>
      </c>
      <c r="K57" s="33" t="s">
        <v>53</v>
      </c>
      <c r="L57" s="92" t="str">
        <f>VLOOKUP(C57,'Trips&amp;Operators'!$C$1:$E$9999,3,0)</f>
        <v>STRICKLAND</v>
      </c>
      <c r="M57" s="131" t="s">
        <v>86</v>
      </c>
      <c r="N57" s="10"/>
      <c r="O57" s="33"/>
      <c r="P57" s="108" t="str">
        <f>VLOOKUP(C57,'Train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57" s="111" t="str">
        <f>VLOOKUP(C57,'Train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06:09:37-0600',mode:absolute,to:'2016-08-26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7" s="113" t="str">
        <f t="shared" si="6"/>
        <v>"C:\Program Files (x86)\AstroGrep\AstroGrep.exe" /spath="%USERPROFILE%\AppData\Local\Temp\OnboardLogs" /stypes="*4019*201608261*" /stext=" 13:.+((SYSTEM_STATE.+slice.+state.+changed )|(ment ac)|(system.+state.+changed )|(\|lc)|(penalty)|(\[timeout)|(PRM\|1\|D)|(kpr)|(kdp))" /e /r /s</v>
      </c>
      <c r="S57" s="9" t="str">
        <f t="shared" si="7"/>
        <v>4019</v>
      </c>
      <c r="T57" s="38">
        <f t="shared" si="8"/>
        <v>42608.560173611113</v>
      </c>
      <c r="U57" s="52" t="str">
        <f t="shared" si="9"/>
        <v>NW</v>
      </c>
      <c r="V57" s="52" t="str">
        <f t="shared" si="10"/>
        <v>KEEP</v>
      </c>
      <c r="W5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ID","value":"806-26"},{"id":16,"name":"Locomotive ID","value":"4019"},{"id":130,"name":"Impact","value":""},{"id":150,"name":"Time of Event (Mountain Time)","value":"07:26:39"},{"id":151,"name":"Denver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5"/>
      <c r="Y57" s="55"/>
      <c r="Z57" s="55"/>
    </row>
    <row r="58" spans="1:26" x14ac:dyDescent="0.25">
      <c r="A58" s="38">
        <v>42608.45684027778</v>
      </c>
      <c r="B58" s="33" t="s">
        <v>338</v>
      </c>
      <c r="C58" s="33" t="s">
        <v>433</v>
      </c>
      <c r="D58" s="33" t="s">
        <v>49</v>
      </c>
      <c r="E58" s="33" t="s">
        <v>50</v>
      </c>
      <c r="F58" s="49">
        <v>0</v>
      </c>
      <c r="G58" s="49">
        <v>154</v>
      </c>
      <c r="H58" s="49">
        <v>1569</v>
      </c>
      <c r="I58" s="33" t="s">
        <v>51</v>
      </c>
      <c r="J58" s="49">
        <v>575</v>
      </c>
      <c r="K58" s="33" t="s">
        <v>53</v>
      </c>
      <c r="L58" s="92" t="str">
        <f>VLOOKUP(C58,'Trips&amp;Operators'!$C$1:$E$9999,3,0)</f>
        <v>MAHAN</v>
      </c>
      <c r="M58" s="131" t="s">
        <v>86</v>
      </c>
      <c r="N58" s="10"/>
      <c r="O58" s="33"/>
      <c r="P58" s="108" t="str">
        <f>VLOOKUP(C58,'Train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8" s="111" t="str">
        <f>VLOOKUP(C58,'Train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8" s="113" t="str">
        <f t="shared" si="6"/>
        <v>"C:\Program Files (x86)\AstroGrep\AstroGrep.exe" /spath="%USERPROFILE%\AppData\Local\Temp\OnboardLogs" /stypes="*4012*201608261*" /stext=" 16:.+((SYSTEM_STATE.+slice.+state.+changed )|(ment ac)|(system.+state.+changed )|(\|lc)|(penalty)|(\[timeout)|(PRM\|1\|D)|(kpr)|(kdp))" /e /r /s</v>
      </c>
      <c r="S58" s="9" t="str">
        <f t="shared" si="7"/>
        <v>4012</v>
      </c>
      <c r="T58" s="38">
        <f t="shared" si="8"/>
        <v>42608.70684027778</v>
      </c>
      <c r="U58" s="52" t="str">
        <f t="shared" si="9"/>
        <v>NW</v>
      </c>
      <c r="V58" s="52" t="str">
        <f t="shared" si="10"/>
        <v>KEEP</v>
      </c>
      <c r="W5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ID","value":"816-26"},{"id":16,"name":"Locomotive ID","value":"4012"},{"id":130,"name":"Impact","value":""},{"id":150,"name":"Time of Event (Mountain Time)","value":"10:57:51"},{"id":151,"name":"Denver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5"/>
      <c r="Y58" s="55"/>
      <c r="Z58" s="55"/>
    </row>
    <row r="59" spans="1:26" x14ac:dyDescent="0.25">
      <c r="A59" s="38">
        <v>42608.457488425927</v>
      </c>
      <c r="B59" s="33" t="s">
        <v>338</v>
      </c>
      <c r="C59" s="33" t="s">
        <v>433</v>
      </c>
      <c r="D59" s="33" t="s">
        <v>49</v>
      </c>
      <c r="E59" s="33" t="s">
        <v>50</v>
      </c>
      <c r="F59" s="49">
        <v>0</v>
      </c>
      <c r="G59" s="49">
        <v>73</v>
      </c>
      <c r="H59" s="49">
        <v>869</v>
      </c>
      <c r="I59" s="33" t="s">
        <v>51</v>
      </c>
      <c r="J59" s="49">
        <v>575</v>
      </c>
      <c r="K59" s="33" t="s">
        <v>53</v>
      </c>
      <c r="L59" s="92" t="str">
        <f>VLOOKUP(C59,'Trips&amp;Operators'!$C$1:$E$9999,3,0)</f>
        <v>MAHAN</v>
      </c>
      <c r="M59" s="131" t="s">
        <v>86</v>
      </c>
      <c r="N59" s="10"/>
      <c r="O59" s="33"/>
      <c r="P59" s="108" t="str">
        <f>VLOOKUP(C59,'Train Runs'!$A$13:$AE$10008,31,0)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Q59" s="111" t="str">
        <f>VLOOKUP(C59,'Train Runs'!$A$13:$AE$10008,22,0)</f>
        <v>https://search-rtdc-monitor-bjffxe2xuh6vdkpspy63sjmuny.us-east-1.es.amazonaws.com/_plugin/kibana/#/discover/Steve-Slow-Train-Analysis-(2080s-and-2083s)?_g=(refreshInterval:(display:Off,section:0,value:0),time:(from:'2016-08-26 09:38:30-0600',mode:absolute,to:'2016-08-26 11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59" s="113" t="str">
        <f t="shared" si="6"/>
        <v>"C:\Program Files (x86)\AstroGrep\AstroGrep.exe" /spath="%USERPROFILE%\AppData\Local\Temp\OnboardLogs" /stypes="*4012*201608261*" /stext=" 16:.+((SYSTEM_STATE.+slice.+state.+changed )|(ment ac)|(system.+state.+changed )|(\|lc)|(penalty)|(\[timeout)|(PRM\|1\|D)|(kpr)|(kdp))" /e /r /s</v>
      </c>
      <c r="S59" s="9" t="str">
        <f t="shared" si="7"/>
        <v>4012</v>
      </c>
      <c r="T59" s="38">
        <f t="shared" si="8"/>
        <v>42608.707488425927</v>
      </c>
      <c r="U59" s="52" t="str">
        <f t="shared" si="9"/>
        <v>NW</v>
      </c>
      <c r="V59" s="52" t="str">
        <f t="shared" si="10"/>
        <v>KEEP</v>
      </c>
      <c r="W5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ID","value":"816-26"},{"id":16,"name":"Locomotive ID","value":"4012"},{"id":130,"name":"Impact","value":""},{"id":150,"name":"Time of Event (Mountain Time)","value":"10:58:47"},{"id":151,"name":"Denver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5"/>
      <c r="Y59" s="55"/>
      <c r="Z59" s="55"/>
    </row>
    <row r="60" spans="1:26" x14ac:dyDescent="0.25">
      <c r="A60" s="38">
        <v>42608.685011574074</v>
      </c>
      <c r="B60" s="33" t="s">
        <v>337</v>
      </c>
      <c r="C60" s="33" t="s">
        <v>490</v>
      </c>
      <c r="D60" s="33" t="s">
        <v>49</v>
      </c>
      <c r="E60" s="33" t="s">
        <v>50</v>
      </c>
      <c r="F60" s="49">
        <v>0</v>
      </c>
      <c r="G60" s="49">
        <v>33</v>
      </c>
      <c r="H60" s="49">
        <v>668</v>
      </c>
      <c r="I60" s="33" t="s">
        <v>51</v>
      </c>
      <c r="J60" s="49">
        <v>575</v>
      </c>
      <c r="K60" s="33" t="s">
        <v>53</v>
      </c>
      <c r="L60" s="92" t="str">
        <f>VLOOKUP(C60,'Trips&amp;Operators'!$C$1:$E$9999,3,0)</f>
        <v>CRAYTON</v>
      </c>
      <c r="M60" s="131" t="s">
        <v>86</v>
      </c>
      <c r="N60" s="10"/>
      <c r="O60" s="33"/>
      <c r="P60" s="108" t="str">
        <f>VLOOKUP(C60,'Train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0" s="111" t="str">
        <f>VLOOKUP(C60,'Train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15:06:41-0600',mode:absolute,to:'2016-08-26 17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0" s="113" t="str">
        <f t="shared" si="6"/>
        <v>"C:\Program Files (x86)\AstroGrep\AstroGrep.exe" /spath="%USERPROFILE%\AppData\Local\Temp\OnboardLogs" /stypes="*4019*201608262*" /stext=" 22:.+((SYSTEM_STATE.+slice.+state.+changed )|(ment ac)|(system.+state.+changed )|(\|lc)|(penalty)|(\[timeout)|(PRM\|1\|D)|(kpr)|(kdp))" /e /r /s</v>
      </c>
      <c r="S60" s="9" t="str">
        <f t="shared" si="7"/>
        <v>4019</v>
      </c>
      <c r="T60" s="38">
        <f t="shared" si="8"/>
        <v>42608.935011574074</v>
      </c>
      <c r="U60" s="52" t="str">
        <f t="shared" si="9"/>
        <v>NW</v>
      </c>
      <c r="V60" s="52" t="str">
        <f t="shared" si="10"/>
        <v>KEEP</v>
      </c>
      <c r="W6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ID","value":"828-26"},{"id":16,"name":"Locomotive ID","value":"4019"},{"id":130,"name":"Impact","value":""},{"id":150,"name":"Time of Event (Mountain Time)","value":"16:26:25"},{"id":151,"name":"Denver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5"/>
      <c r="Y60" s="55"/>
      <c r="Z60" s="55"/>
    </row>
    <row r="61" spans="1:26" x14ac:dyDescent="0.25">
      <c r="A61" s="38">
        <v>42608.726898148147</v>
      </c>
      <c r="B61" s="33" t="s">
        <v>337</v>
      </c>
      <c r="C61" s="33" t="s">
        <v>506</v>
      </c>
      <c r="D61" s="33" t="s">
        <v>49</v>
      </c>
      <c r="E61" s="33" t="s">
        <v>50</v>
      </c>
      <c r="F61" s="49">
        <v>0</v>
      </c>
      <c r="G61" s="49">
        <v>119</v>
      </c>
      <c r="H61" s="49">
        <v>995</v>
      </c>
      <c r="I61" s="33" t="s">
        <v>51</v>
      </c>
      <c r="J61" s="49">
        <v>575</v>
      </c>
      <c r="K61" s="33" t="s">
        <v>53</v>
      </c>
      <c r="L61" s="92" t="str">
        <f>VLOOKUP(C61,'Trips&amp;Operators'!$C$1:$E$9999,3,0)</f>
        <v>CRAYTON</v>
      </c>
      <c r="M61" s="131" t="s">
        <v>86</v>
      </c>
      <c r="N61" s="10"/>
      <c r="O61" s="33"/>
      <c r="P61" s="108" t="str">
        <f>VLOOKUP(C61,'Train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1" s="111" t="str">
        <f>VLOOKUP(C61,'Train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16:10:47-0600',mode:absolute,to:'2016-08-26 18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1" s="113" t="str">
        <f t="shared" si="6"/>
        <v>"C:\Program Files (x86)\AstroGrep\AstroGrep.exe" /spath="%USERPROFILE%\AppData\Local\Temp\OnboardLogs" /stypes="*4019*201608262*" /stext=" 23:.+((SYSTEM_STATE.+slice.+state.+changed )|(ment ac)|(system.+state.+changed )|(\|lc)|(penalty)|(\[timeout)|(PRM\|1\|D)|(kpr)|(kdp))" /e /r /s</v>
      </c>
      <c r="S61" s="9" t="str">
        <f t="shared" si="7"/>
        <v>4019</v>
      </c>
      <c r="T61" s="38">
        <f t="shared" si="8"/>
        <v>42608.976898148147</v>
      </c>
      <c r="U61" s="52" t="str">
        <f t="shared" si="9"/>
        <v>NW</v>
      </c>
      <c r="V61" s="52" t="str">
        <f t="shared" si="10"/>
        <v>KEEP</v>
      </c>
      <c r="W61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ID","value":"832-26"},{"id":16,"name":"Locomotive ID","value":"4019"},{"id":130,"name":"Impact","value":""},{"id":150,"name":"Time of Event (Mountain Time)","value":"17:26:44"},{"id":151,"name":"Denver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5"/>
      <c r="Y61" s="55"/>
      <c r="Z61" s="55"/>
    </row>
    <row r="62" spans="1:26" x14ac:dyDescent="0.25">
      <c r="A62" s="38">
        <v>42608.767962962964</v>
      </c>
      <c r="B62" s="33" t="s">
        <v>337</v>
      </c>
      <c r="C62" s="33" t="s">
        <v>516</v>
      </c>
      <c r="D62" s="33" t="s">
        <v>49</v>
      </c>
      <c r="E62" s="33" t="s">
        <v>50</v>
      </c>
      <c r="F62" s="49">
        <v>0</v>
      </c>
      <c r="G62" s="49">
        <v>32</v>
      </c>
      <c r="H62" s="49">
        <v>664</v>
      </c>
      <c r="I62" s="33" t="s">
        <v>51</v>
      </c>
      <c r="J62" s="49">
        <v>575</v>
      </c>
      <c r="K62" s="33" t="s">
        <v>53</v>
      </c>
      <c r="L62" s="92" t="str">
        <f>VLOOKUP(C62,'Trips&amp;Operators'!$C$1:$E$9999,3,0)</f>
        <v>CRAYTON</v>
      </c>
      <c r="M62" s="131" t="s">
        <v>86</v>
      </c>
      <c r="N62" s="10"/>
      <c r="O62" s="33"/>
      <c r="P62" s="108" t="str">
        <f>VLOOKUP(C62,'Train Runs'!$A$13:$AE$10008,31,0)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Q62" s="111" t="str">
        <f>VLOOKUP(C62,'Train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17:06:47-0600',mode:absolute,to:'2016-08-26 19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2" s="113" t="str">
        <f t="shared" si="6"/>
        <v>"C:\Program Files (x86)\AstroGrep\AstroGrep.exe" /spath="%USERPROFILE%\AppData\Local\Temp\OnboardLogs" /stypes="*4019*201608270*" /stext=" 00:.+((SYSTEM_STATE.+slice.+state.+changed )|(ment ac)|(system.+state.+changed )|(\|lc)|(penalty)|(\[timeout)|(PRM\|1\|D)|(kpr)|(kdp))" /e /r /s</v>
      </c>
      <c r="S62" s="9" t="str">
        <f t="shared" si="7"/>
        <v>4019</v>
      </c>
      <c r="T62" s="38">
        <f t="shared" si="8"/>
        <v>42609.017962962964</v>
      </c>
      <c r="U62" s="52" t="str">
        <f t="shared" si="9"/>
        <v>NW</v>
      </c>
      <c r="V62" s="52" t="str">
        <f t="shared" si="10"/>
        <v>KEEP</v>
      </c>
      <c r="W62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{"issue":{"subject":"","project_id":79,"tracker_id":40,"status_id":1,"priority_id":2,"assigned_to_id":23,"start_date":"2016-08-26","description":"","custom_fields":[{"id":1,"name":"Subdivision","value":"NW"},{"id":4,"name":"Milepost","value":"0.0575"},{"id":17,"name":"Train ID","value":"836-26"},{"id":16,"name":"Locomotive ID","value":"4019"},{"id":130,"name":"Impact","value":""},{"id":150,"name":"Time of Event (Mountain Time)","value":"18:25:52"},{"id":151,"name":"Denver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2" s="55"/>
      <c r="Y62" s="55"/>
      <c r="Z62" s="55"/>
    </row>
    <row r="63" spans="1:26" x14ac:dyDescent="0.25">
      <c r="A63" s="38">
        <v>42608.255740740744</v>
      </c>
      <c r="B63" s="33" t="s">
        <v>342</v>
      </c>
      <c r="C63" s="33" t="s">
        <v>373</v>
      </c>
      <c r="D63" s="33" t="s">
        <v>49</v>
      </c>
      <c r="E63" s="33" t="s">
        <v>50</v>
      </c>
      <c r="F63" s="49">
        <v>0</v>
      </c>
      <c r="G63" s="49">
        <v>144</v>
      </c>
      <c r="H63" s="49">
        <v>58379</v>
      </c>
      <c r="I63" s="33" t="s">
        <v>51</v>
      </c>
      <c r="J63" s="49">
        <v>59048</v>
      </c>
      <c r="K63" s="33" t="s">
        <v>52</v>
      </c>
      <c r="L63" s="92" t="str">
        <f>VLOOKUP(C63,'Trips&amp;Operators'!$C$1:$E$9999,3,0)</f>
        <v>STRICKLAND</v>
      </c>
      <c r="M63" s="131" t="s">
        <v>86</v>
      </c>
      <c r="N63" s="10"/>
      <c r="O63" s="33"/>
      <c r="P63" s="108" t="str">
        <f>VLOOKUP(C63,'Train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3" s="111" t="str">
        <f>VLOOKUP(C63,'Train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3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3" s="9" t="str">
        <f t="shared" si="7"/>
        <v>4020</v>
      </c>
      <c r="T63" s="38">
        <f t="shared" si="8"/>
        <v>42608.505740740744</v>
      </c>
      <c r="U63" s="52" t="str">
        <f t="shared" si="9"/>
        <v>NW</v>
      </c>
      <c r="V63" s="52" t="str">
        <f t="shared" si="10"/>
        <v>KEEP</v>
      </c>
      <c r="W63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3" s="55"/>
      <c r="Y63" s="55"/>
      <c r="Z63" s="55"/>
    </row>
    <row r="64" spans="1:26" x14ac:dyDescent="0.25">
      <c r="A64" s="38">
        <v>42608.25613425926</v>
      </c>
      <c r="B64" s="33" t="s">
        <v>342</v>
      </c>
      <c r="C64" s="33" t="s">
        <v>373</v>
      </c>
      <c r="D64" s="33" t="s">
        <v>49</v>
      </c>
      <c r="E64" s="33" t="s">
        <v>50</v>
      </c>
      <c r="F64" s="49">
        <v>0</v>
      </c>
      <c r="G64" s="49">
        <v>72</v>
      </c>
      <c r="H64" s="49">
        <v>58651</v>
      </c>
      <c r="I64" s="33" t="s">
        <v>51</v>
      </c>
      <c r="J64" s="49">
        <v>59048</v>
      </c>
      <c r="K64" s="33" t="s">
        <v>52</v>
      </c>
      <c r="L64" s="92" t="str">
        <f>VLOOKUP(C64,'Trips&amp;Operators'!$C$1:$E$9999,3,0)</f>
        <v>STRICKLAND</v>
      </c>
      <c r="M64" s="131" t="s">
        <v>86</v>
      </c>
      <c r="N64" s="10"/>
      <c r="O64" s="33"/>
      <c r="P64" s="108" t="str">
        <f>VLOOKUP(C64,'Train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4" s="111" t="str">
        <f>VLOOKUP(C64,'Train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4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4" s="9" t="str">
        <f t="shared" si="7"/>
        <v>4020</v>
      </c>
      <c r="T64" s="38">
        <f t="shared" si="8"/>
        <v>42608.50613425926</v>
      </c>
      <c r="U64" s="52" t="str">
        <f t="shared" si="9"/>
        <v>NW</v>
      </c>
      <c r="V64" s="52" t="str">
        <f t="shared" si="10"/>
        <v>KEEP</v>
      </c>
      <c r="W64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4" s="55"/>
      <c r="Y64" s="55"/>
      <c r="Z64" s="55"/>
    </row>
    <row r="65" spans="1:26" x14ac:dyDescent="0.25">
      <c r="A65" s="38">
        <v>42608.256585648145</v>
      </c>
      <c r="B65" s="33" t="s">
        <v>342</v>
      </c>
      <c r="C65" s="33" t="s">
        <v>373</v>
      </c>
      <c r="D65" s="33" t="s">
        <v>49</v>
      </c>
      <c r="E65" s="33" t="s">
        <v>50</v>
      </c>
      <c r="F65" s="49">
        <v>0</v>
      </c>
      <c r="G65" s="49">
        <v>47</v>
      </c>
      <c r="H65" s="49">
        <v>58809</v>
      </c>
      <c r="I65" s="33" t="s">
        <v>51</v>
      </c>
      <c r="J65" s="49">
        <v>59048</v>
      </c>
      <c r="K65" s="33" t="s">
        <v>52</v>
      </c>
      <c r="L65" s="92" t="str">
        <f>VLOOKUP(C65,'Trips&amp;Operators'!$C$1:$E$9999,3,0)</f>
        <v>STRICKLAND</v>
      </c>
      <c r="M65" s="131" t="s">
        <v>86</v>
      </c>
      <c r="N65" s="10"/>
      <c r="O65" s="33"/>
      <c r="P65" s="108" t="str">
        <f>VLOOKUP(C65,'Train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5" s="111" t="str">
        <f>VLOOKUP(C65,'Train Runs'!$A$13:$AE$10008,22,0)</f>
        <v>https://search-rtdc-monitor-bjffxe2xuh6vdkpspy63sjmuny.us-east-1.es.amazonaws.com/_plugin/kibana/#/discover/Steve-Slow-Train-Analysis-(2080s-and-2083s)?_g=(refreshInterval:(display:Off,section:0,value:0),time:(from:'2016-08-26 04:40:09-0600',mode:absolute,to:'2016-08-26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5" s="113" t="str">
        <f t="shared" si="6"/>
        <v>"C:\Program Files (x86)\AstroGrep\AstroGrep.exe" /spath="%USERPROFILE%\AppData\Local\Temp\OnboardLogs" /stypes="*4020*201608261*" /stext=" 12:.+((SYSTEM_STATE.+slice.+state.+changed )|(ment ac)|(system.+state.+changed )|(\|lc)|(penalty)|(\[timeout)|(PRM\|1\|D)|(kpr)|(kdp))" /e /r /s</v>
      </c>
      <c r="S65" s="9" t="str">
        <f t="shared" si="7"/>
        <v>4020</v>
      </c>
      <c r="T65" s="38">
        <f t="shared" si="8"/>
        <v>42608.506585648145</v>
      </c>
      <c r="U65" s="52" t="str">
        <f t="shared" si="9"/>
        <v>NW</v>
      </c>
      <c r="V65" s="52" t="str">
        <f t="shared" si="10"/>
        <v>KEEP</v>
      </c>
      <c r="W65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ID","value":"801-26"},{"id":16,"name":"Locomotive ID","value":"4020"},{"id":130,"name":"Impact","value":""},{"id":150,"name":"Time of Event (Mountain Time)","value":"06:09:29"},{"id":151,"name":"Denver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5" s="55"/>
      <c r="Y65" s="55"/>
      <c r="Z65" s="55"/>
    </row>
    <row r="66" spans="1:26" x14ac:dyDescent="0.25">
      <c r="A66" s="38">
        <v>42608.296041666668</v>
      </c>
      <c r="B66" s="33" t="s">
        <v>342</v>
      </c>
      <c r="C66" s="33" t="s">
        <v>387</v>
      </c>
      <c r="D66" s="33" t="s">
        <v>49</v>
      </c>
      <c r="E66" s="33" t="s">
        <v>50</v>
      </c>
      <c r="F66" s="49">
        <v>0</v>
      </c>
      <c r="G66" s="49">
        <v>103</v>
      </c>
      <c r="H66" s="49">
        <v>58615</v>
      </c>
      <c r="I66" s="33" t="s">
        <v>51</v>
      </c>
      <c r="J66" s="49">
        <v>59048</v>
      </c>
      <c r="K66" s="33" t="s">
        <v>52</v>
      </c>
      <c r="L66" s="92" t="str">
        <f>VLOOKUP(C66,'Trips&amp;Operators'!$C$1:$E$9999,3,0)</f>
        <v>STRICKLAND</v>
      </c>
      <c r="M66" s="131" t="s">
        <v>86</v>
      </c>
      <c r="N66" s="10"/>
      <c r="O66" s="33"/>
      <c r="P66" s="108" t="str">
        <f>VLOOKUP(C66,'Train Runs'!$A$13:$AE$10008,31,0)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Q66" s="111" t="str">
        <f>VLOOKUP(C66,'Train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05:43:04-0600',mode:absolute,to:'2016-08-26 08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66" s="113" t="str">
        <f t="shared" si="6"/>
        <v>"C:\Program Files (x86)\AstroGrep\AstroGrep.exe" /spath="%USERPROFILE%\AppData\Local\Temp\OnboardLogs" /stypes="*4020*201608261*" /stext=" 13:.+((SYSTEM_STATE.+slice.+state.+changed )|(ment ac)|(system.+state.+changed )|(\|lc)|(penalty)|(\[timeout)|(PRM\|1\|D)|(kpr)|(kdp))" /e /r /s</v>
      </c>
      <c r="S66" s="9" t="str">
        <f t="shared" si="7"/>
        <v>4020</v>
      </c>
      <c r="T66" s="38">
        <f t="shared" si="8"/>
        <v>42608.546041666668</v>
      </c>
      <c r="U66" s="52" t="str">
        <f t="shared" si="9"/>
        <v>NW</v>
      </c>
      <c r="V66" s="52" t="str">
        <f t="shared" si="10"/>
        <v>KEEP</v>
      </c>
      <c r="W66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ID","value":"805-26"},{"id":16,"name":"Locomotive ID","value":"4020"},{"id":130,"name":"Impact","value":""},{"id":150,"name":"Time of Event (Mountain Time)","value":"07:06:18"},{"id":151,"name":"Denver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6" s="55"/>
      <c r="Y66" s="55"/>
      <c r="Z66" s="55"/>
    </row>
    <row r="67" spans="1:26" x14ac:dyDescent="0.25">
      <c r="A67" s="38">
        <v>42608.317974537036</v>
      </c>
      <c r="B67" s="33" t="s">
        <v>341</v>
      </c>
      <c r="C67" s="33" t="s">
        <v>390</v>
      </c>
      <c r="D67" s="33" t="s">
        <v>49</v>
      </c>
      <c r="E67" s="33" t="s">
        <v>50</v>
      </c>
      <c r="F67" s="49">
        <v>0</v>
      </c>
      <c r="G67" s="49">
        <v>59</v>
      </c>
      <c r="H67" s="49">
        <v>58856</v>
      </c>
      <c r="I67" s="33" t="s">
        <v>51</v>
      </c>
      <c r="J67" s="49">
        <v>59048</v>
      </c>
      <c r="K67" s="33" t="s">
        <v>52</v>
      </c>
      <c r="L67" s="92" t="str">
        <f>VLOOKUP(C67,'Trips&amp;Operators'!$C$1:$E$9999,3,0)</f>
        <v>MAHAN</v>
      </c>
      <c r="M67" s="131" t="s">
        <v>86</v>
      </c>
      <c r="N67" s="10"/>
      <c r="O67" s="33"/>
      <c r="P67" s="108" t="str">
        <f>VLOOKUP(C67,'Train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7" s="111" t="str">
        <f>VLOOKUP(C67,'Train Runs'!$A$13:$AE$10008,22,0)</f>
        <v>https://search-rtdc-monitor-bjffxe2xuh6vdkpspy63sjmuny.us-east-1.es.amazonaws.com/_plugin/kibana/#/discover/Steve-Slow-Train-Analysis-(2080s-and-2083s)?_g=(refreshInterval:(display:Off,section:0,value:0),time:(from:'2016-08-26 05:59:48-0600',mode:absolute,to:'2016-08-26 08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7" s="113" t="str">
        <f t="shared" si="6"/>
        <v>"C:\Program Files (x86)\AstroGrep\AstroGrep.exe" /spath="%USERPROFILE%\AppData\Local\Temp\OnboardLogs" /stypes="*4011*201608261*" /stext=" 13:.+((SYSTEM_STATE.+slice.+state.+changed )|(ment ac)|(system.+state.+changed )|(\|lc)|(penalty)|(\[timeout)|(PRM\|1\|D)|(kpr)|(kdp))" /e /r /s</v>
      </c>
      <c r="S67" s="9" t="str">
        <f t="shared" si="7"/>
        <v>4011</v>
      </c>
      <c r="T67" s="38">
        <f t="shared" si="8"/>
        <v>42608.567974537036</v>
      </c>
      <c r="U67" s="52" t="str">
        <f t="shared" si="9"/>
        <v>NW</v>
      </c>
      <c r="V67" s="52" t="str">
        <f t="shared" si="10"/>
        <v>KEEP</v>
      </c>
      <c r="W67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ID","value":"807-26"},{"id":16,"name":"Locomotive ID","value":"4011"},{"id":130,"name":"Impact","value":""},{"id":150,"name":"Time of Event (Mountain Time)","value":"07:37:53"},{"id":151,"name":"Denver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7" s="55"/>
      <c r="Y67" s="55"/>
      <c r="Z67" s="55"/>
    </row>
    <row r="68" spans="1:26" x14ac:dyDescent="0.25">
      <c r="A68" s="38">
        <v>42608.483726851853</v>
      </c>
      <c r="B68" s="33" t="s">
        <v>341</v>
      </c>
      <c r="C68" s="33" t="s">
        <v>438</v>
      </c>
      <c r="D68" s="33" t="s">
        <v>49</v>
      </c>
      <c r="E68" s="33" t="s">
        <v>50</v>
      </c>
      <c r="F68" s="49">
        <v>0</v>
      </c>
      <c r="G68" s="49">
        <v>22</v>
      </c>
      <c r="H68" s="49">
        <v>58999</v>
      </c>
      <c r="I68" s="33" t="s">
        <v>51</v>
      </c>
      <c r="J68" s="49">
        <v>59048</v>
      </c>
      <c r="K68" s="33" t="s">
        <v>52</v>
      </c>
      <c r="L68" s="92" t="str">
        <f>VLOOKUP(C68,'Trips&amp;Operators'!$C$1:$E$9999,3,0)</f>
        <v>MAHAN</v>
      </c>
      <c r="M68" s="131" t="s">
        <v>86</v>
      </c>
      <c r="N68" s="10"/>
      <c r="O68" s="33"/>
      <c r="P68" s="108" t="str">
        <f>VLOOKUP(C68,'Train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8" s="111" t="str">
        <f>VLOOKUP(C68,'Train Runs'!$A$13:$AE$10008,22,0)</f>
        <v>https://search-rtdc-monitor-bjffxe2xuh6vdkpspy63sjmuny.us-east-1.es.amazonaws.com/_plugin/kibana/#/discover/Steve-Slow-Train-Analysis-(2080s-and-2083s)?_g=(refreshInterval:(display:Off,section:0,value:0),time:(from:'2016-08-26 10:08:11-0600',mode:absolute,to:'2016-08-26 12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8" s="113" t="str">
        <f t="shared" si="6"/>
        <v>"C:\Program Files (x86)\AstroGrep\AstroGrep.exe" /spath="%USERPROFILE%\AppData\Local\Temp\OnboardLogs" /stypes="*4011*201608261*" /stext=" 17:.+((SYSTEM_STATE.+slice.+state.+changed )|(ment ac)|(system.+state.+changed )|(\|lc)|(penalty)|(\[timeout)|(PRM\|1\|D)|(kpr)|(kdp))" /e /r /s</v>
      </c>
      <c r="S68" s="9" t="str">
        <f t="shared" si="7"/>
        <v>4011</v>
      </c>
      <c r="T68" s="38">
        <f t="shared" si="8"/>
        <v>42608.733726851853</v>
      </c>
      <c r="U68" s="52" t="str">
        <f t="shared" si="9"/>
        <v>NW</v>
      </c>
      <c r="V68" s="52" t="str">
        <f t="shared" si="10"/>
        <v>KEEP</v>
      </c>
      <c r="W68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ID","value":"817-26"},{"id":16,"name":"Locomotive ID","value":"4011"},{"id":130,"name":"Impact","value":""},{"id":150,"name":"Time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8" s="55"/>
      <c r="Y68" s="55"/>
      <c r="Z68" s="55"/>
    </row>
    <row r="69" spans="1:26" x14ac:dyDescent="0.25">
      <c r="A69" s="38">
        <v>42608.733993055554</v>
      </c>
      <c r="B69" s="33" t="s">
        <v>341</v>
      </c>
      <c r="C69" s="33" t="s">
        <v>502</v>
      </c>
      <c r="D69" s="33" t="s">
        <v>111</v>
      </c>
      <c r="E69" s="33" t="s">
        <v>50</v>
      </c>
      <c r="F69" s="49">
        <v>0</v>
      </c>
      <c r="G69" s="49">
        <v>13</v>
      </c>
      <c r="H69" s="49">
        <v>59048</v>
      </c>
      <c r="I69" s="33" t="s">
        <v>51</v>
      </c>
      <c r="J69" s="49">
        <v>59048</v>
      </c>
      <c r="K69" s="33" t="s">
        <v>52</v>
      </c>
      <c r="L69" s="92" t="str">
        <f>VLOOKUP(C69,'Trips&amp;Operators'!$C$1:$E$9999,3,0)</f>
        <v>BROWN</v>
      </c>
      <c r="M69" s="131" t="s">
        <v>86</v>
      </c>
      <c r="N69" s="10"/>
      <c r="O69" s="33"/>
      <c r="P69" s="108" t="str">
        <f>VLOOKUP(C69,'Train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69" s="111" t="str">
        <f>VLOOKUP(C69,'Train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16:02:54-0600',mode:absolute,to:'2016-08-26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9" s="113" t="str">
        <f t="shared" si="6"/>
        <v>"C:\Program Files (x86)\AstroGrep\AstroGrep.exe" /spath="%USERPROFILE%\AppData\Local\Temp\OnboardLogs" /stypes="*4011*201608262*" /stext=" 23:.+((SYSTEM_STATE.+slice.+state.+changed )|(ment ac)|(system.+state.+changed )|(\|lc)|(penalty)|(\[timeout)|(PRM\|1\|D)|(kpr)|(kdp))" /e /r /s</v>
      </c>
      <c r="S69" s="9" t="str">
        <f t="shared" si="7"/>
        <v>4011</v>
      </c>
      <c r="T69" s="38">
        <f t="shared" si="8"/>
        <v>42608.983993055554</v>
      </c>
      <c r="U69" s="52" t="str">
        <f t="shared" si="9"/>
        <v>NW</v>
      </c>
      <c r="V69" s="52" t="str">
        <f t="shared" si="10"/>
        <v>KEEP</v>
      </c>
      <c r="W69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ID","value":"833-26"},{"id":16,"name":"Locomotive ID","value":"4011"},{"id":130,"name":"Impact","value":""},{"id":150,"name":"Time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9" s="55"/>
      <c r="Y69" s="55"/>
      <c r="Z69" s="55"/>
    </row>
    <row r="70" spans="1:26" x14ac:dyDescent="0.25">
      <c r="A70" s="38">
        <v>42608.775590277779</v>
      </c>
      <c r="B70" s="33" t="s">
        <v>341</v>
      </c>
      <c r="C70" s="33" t="s">
        <v>518</v>
      </c>
      <c r="D70" s="33" t="s">
        <v>49</v>
      </c>
      <c r="E70" s="33" t="s">
        <v>50</v>
      </c>
      <c r="F70" s="49">
        <v>0</v>
      </c>
      <c r="G70" s="49">
        <v>34</v>
      </c>
      <c r="H70" s="49">
        <v>59001</v>
      </c>
      <c r="I70" s="33" t="s">
        <v>51</v>
      </c>
      <c r="J70" s="49">
        <v>59048</v>
      </c>
      <c r="K70" s="33" t="s">
        <v>52</v>
      </c>
      <c r="L70" s="92" t="str">
        <f>VLOOKUP(C70,'Trips&amp;Operators'!$C$1:$E$9999,3,0)</f>
        <v>BROWN</v>
      </c>
      <c r="M70" s="131" t="s">
        <v>86</v>
      </c>
      <c r="N70" s="10"/>
      <c r="O70" s="33"/>
      <c r="P70" s="108" t="str">
        <f>VLOOKUP(C70,'Train Runs'!$A$13:$AE$10008,31,0)</f>
        <v>aws s3 cp s3://rtdc.mdm.uploadarchive/RTDC4011/2016-08-26/ "%USERPROFILE%\AppData\Local\Temp\OnboardLogs"\RTDC4011\2016-08-26 --recursive &amp; "%USERPROFILE%\Documents\GitHub\mrs-test-scripts\Headless Mode &amp; Sideloading\WalkAndUnGZ.bat" "%USERPROFILE%\AppData\Local\Temp\OnboardLogs"\RTDC4011\2016-08-26 &amp; aws s3 cp s3://rtdc.mdm.uploadarchive/RTDC4011/2016-08-27/ "%USERPROFILE%\AppData\Local\Temp\OnboardLogs"\RTDC4011\2016-08-27 --recursive &amp; "%USERPROFILE%\Documents\GitHub\mrs-test-scripts\Headless Mode &amp; Sideloading\WalkAndUnGZ.bat" "%USERPROFILE%\AppData\Local\Temp\OnboardLogs"\RTDC4011\2016-08-27</v>
      </c>
      <c r="Q70" s="111" t="str">
        <f>VLOOKUP(C70,'Train Runs'!$A$13:$AE$10008,22,0)</f>
        <v>https://search-rtdc-monitor-bjffxe2xuh6vdkpspy63sjmuny.us-east-1.es.amazonaws.com/_plugin/kibana/#/discover/Steve-Slow-Train-Analysis-(2080s-and-2083s)?_g=(refreshInterval:(display:Off,section:0,value:0),time:(from:'2016-08-26 17:14:33-0600',mode:absolute,to:'2016-08-26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70" s="113" t="str">
        <f t="shared" si="6"/>
        <v>"C:\Program Files (x86)\AstroGrep\AstroGrep.exe" /spath="%USERPROFILE%\AppData\Local\Temp\OnboardLogs" /stypes="*4011*201608270*" /stext=" 00:.+((SYSTEM_STATE.+slice.+state.+changed )|(ment ac)|(system.+state.+changed )|(\|lc)|(penalty)|(\[timeout)|(PRM\|1\|D)|(kpr)|(kdp))" /e /r /s</v>
      </c>
      <c r="S70" s="9" t="str">
        <f t="shared" si="7"/>
        <v>4011</v>
      </c>
      <c r="T70" s="38">
        <f t="shared" si="8"/>
        <v>42609.025590277779</v>
      </c>
      <c r="U70" s="52" t="str">
        <f t="shared" si="9"/>
        <v>NW</v>
      </c>
      <c r="V70" s="52" t="str">
        <f t="shared" si="10"/>
        <v>KEEP</v>
      </c>
      <c r="W70" s="149" t="str">
        <f t="shared" si="11"/>
        <v>echo {"issue":{"subject":"","project_id":79,"tracker_id":40,"status_id":1,"priority_id":2,"assigned_to_id":23,"start_date":"2016-08-26","description":"","custom_fields":[{"id":1,"name":"Subdivision","value":"NW"},{"id":4,"name":"Milepost","value":"5.9048"},{"id":17,"name":"Train ID","value":"837-26"},{"id":16,"name":"Locomotive ID","value":"4011"},{"id":130,"name":"Impact","value":""},{"id":150,"name":"Time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0" s="55"/>
      <c r="Y70" s="55"/>
      <c r="Z70" s="55"/>
    </row>
    <row r="71" spans="1:26" x14ac:dyDescent="0.25">
      <c r="A71" s="38">
        <v>42609.054629629631</v>
      </c>
      <c r="B71" s="33" t="s">
        <v>181</v>
      </c>
      <c r="C71" s="33" t="s">
        <v>563</v>
      </c>
      <c r="D71" s="33" t="s">
        <v>111</v>
      </c>
      <c r="E71" s="33" t="s">
        <v>56</v>
      </c>
      <c r="F71" s="49">
        <v>500</v>
      </c>
      <c r="G71" s="49">
        <v>554</v>
      </c>
      <c r="H71" s="49">
        <v>16404</v>
      </c>
      <c r="I71" s="33" t="s">
        <v>57</v>
      </c>
      <c r="J71" s="49">
        <v>14402</v>
      </c>
      <c r="K71" s="33" t="s">
        <v>52</v>
      </c>
      <c r="L71" s="92" t="str">
        <f>VLOOKUP(C71,'Trips&amp;Operators'!$C$1:$E$9999,3,0)</f>
        <v>YANAI</v>
      </c>
      <c r="M71" s="131" t="s">
        <v>86</v>
      </c>
      <c r="N71" s="10"/>
      <c r="O71" s="33"/>
      <c r="P71" s="108" t="str">
        <f>VLOOKUP(C71,'Train Runs'!$A$13:$AE$10008,31,0)</f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Q71" s="111" t="str">
        <f>VLOOKUP(C71,'Train Runs'!$A$13:$AE$10008,22,0)</f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71" s="113" t="str">
        <f t="shared" ref="R71:R102" si="12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/stypes="*4002*201608270*" /stext=" 07:.+((SYSTEM_STATE.+slice.+state.+changed )|(ment ac)|(system.+state.+changed )|(\|lc)|(penalty)|(\[timeout)|(PRM\|1\|D)|(kpr)|(kdp))" /e /r /s</v>
      </c>
      <c r="S71" s="9" t="str">
        <f t="shared" si="7"/>
        <v>4002</v>
      </c>
      <c r="T71" s="38">
        <f t="shared" si="8"/>
        <v>42609.304629629631</v>
      </c>
      <c r="U71" s="52" t="str">
        <f t="shared" si="9"/>
        <v>Other</v>
      </c>
      <c r="V71" s="52" t="str">
        <f t="shared" si="10"/>
        <v>KEEP</v>
      </c>
      <c r="W71" s="149" t="str">
        <f t="shared" ref="W71:W102" si="13">"echo {""issue"":{""subject"":"""&amp;N71&amp;""",""project_id"":79,""tracker_id"":40,""status_id"":"&amp;redmine_status&amp;",""priority_id"":"&amp;redmine_priority&amp;",""assigned_to_id"":"&amp;redmine_assignee&amp;",""start_date"":"""&amp;TEXT(A71,"YYYY-mm-dd")&amp;""",""description"":"""&amp;X71&amp;""",""custom_fields"":[{""id"":1,""name"":""Subdivision"",""value"":"""&amp;U71&amp;"""},{""id"":4,""name"":""Milepost"",""value"":"""&amp;J71/10000&amp;"""},{""id"":17,""name"":""Train ID"",""value"":"""&amp;C71&amp;"""},{""id"":16,""name"":""Locomotive ID"",""value"":"""&amp;S71&amp;"""},{""id"":130,""name"":""Impact"",""value"":"""&amp;Y71&amp;"""},{""id"":150,""name"":""Time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Assigned"",""value"":"""&amp;Z71&amp;"""}]}}"&amp;"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{"issue":{"subject":"","project_id":79,"tracker_id":40,"status_id":1,"priority_id":2,"assigned_to_id":23,"start_date":"2016-08-27","description":"","custom_fields":[{"id":1,"name":"Subdivision","value":"Other"},{"id":4,"name":"Milepost","value":"1.4402"},{"id":17,"name":"Train ID","value":"309-26"},{"id":16,"name":"Locomotive ID","value":"4002"},{"id":130,"name":"Impact","value":""},{"id":150,"name":"Time of Event (Mountain Time)","value":"01:18:40"},{"id":151,"name":"Denver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1" s="55"/>
      <c r="Y71" s="55"/>
      <c r="Z71" s="55"/>
    </row>
    <row r="72" spans="1:26" x14ac:dyDescent="0.25">
      <c r="A72" s="38">
        <v>42609.056273148148</v>
      </c>
      <c r="B72" s="33" t="s">
        <v>181</v>
      </c>
      <c r="C72" s="33" t="s">
        <v>563</v>
      </c>
      <c r="D72" s="33" t="s">
        <v>49</v>
      </c>
      <c r="E72" s="33" t="s">
        <v>56</v>
      </c>
      <c r="F72" s="49">
        <v>150</v>
      </c>
      <c r="G72" s="49">
        <v>213</v>
      </c>
      <c r="H72" s="49">
        <v>18873</v>
      </c>
      <c r="I72" s="33" t="s">
        <v>57</v>
      </c>
      <c r="J72" s="49">
        <v>22408</v>
      </c>
      <c r="K72" s="33" t="s">
        <v>52</v>
      </c>
      <c r="L72" s="92" t="str">
        <f>VLOOKUP(C72,'Trips&amp;Operators'!$C$1:$E$9999,3,0)</f>
        <v>YANAI</v>
      </c>
      <c r="M72" s="131" t="s">
        <v>86</v>
      </c>
      <c r="N72" s="10"/>
      <c r="O72" s="33"/>
      <c r="P72" s="108" t="str">
        <f>VLOOKUP(C72,'Train Runs'!$A$13:$AE$10008,31,0)</f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Q72" s="111" t="str">
        <f>VLOOKUP(C72,'Train Runs'!$A$13:$AE$10008,22,0)</f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72" s="113" t="str">
        <f t="shared" si="12"/>
        <v>"C:\Program Files (x86)\AstroGrep\AstroGrep.exe" /spath="%USERPROFILE%\AppData\Local\Temp\OnboardLogs" /stypes="*4002*201608270*" /stext=" 07:.+((SYSTEM_STATE.+slice.+state.+changed )|(ment ac)|(system.+state.+changed )|(\|lc)|(penalty)|(\[timeout)|(PRM\|1\|D)|(kpr)|(kdp))" /e /r /s</v>
      </c>
      <c r="S72" s="9" t="str">
        <f t="shared" si="7"/>
        <v>4002</v>
      </c>
      <c r="T72" s="38">
        <f t="shared" si="8"/>
        <v>42609.306273148148</v>
      </c>
      <c r="U72" s="52" t="str">
        <f t="shared" si="9"/>
        <v>Other</v>
      </c>
      <c r="V72" s="52" t="str">
        <f t="shared" si="10"/>
        <v>KEEP</v>
      </c>
      <c r="W72" s="149" t="str">
        <f t="shared" si="13"/>
        <v>echo {"issue":{"subject":"","project_id":79,"tracker_id":40,"status_id":1,"priority_id":2,"assigned_to_id":23,"start_date":"2016-08-27","description":"","custom_fields":[{"id":1,"name":"Subdivision","value":"Other"},{"id":4,"name":"Milepost","value":"2.2408"},{"id":17,"name":"Train ID","value":"309-26"},{"id":16,"name":"Locomotive ID","value":"4002"},{"id":130,"name":"Impact","value":""},{"id":150,"name":"Time of Event (Mountain Time)","value":"01:21:02"},{"id":151,"name":"Denver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2" s="55"/>
      <c r="Y72" s="55"/>
      <c r="Z72" s="55"/>
    </row>
    <row r="73" spans="1:26" x14ac:dyDescent="0.25">
      <c r="A73" s="38">
        <v>42608.747511574074</v>
      </c>
      <c r="B73" s="33" t="s">
        <v>173</v>
      </c>
      <c r="C73" s="33" t="s">
        <v>512</v>
      </c>
      <c r="D73" s="33" t="s">
        <v>111</v>
      </c>
      <c r="E73" s="33" t="s">
        <v>568</v>
      </c>
      <c r="F73" s="49">
        <v>100</v>
      </c>
      <c r="G73" s="49">
        <v>151</v>
      </c>
      <c r="H73" s="49">
        <v>10316</v>
      </c>
      <c r="I73" s="33" t="s">
        <v>569</v>
      </c>
      <c r="J73" s="49">
        <v>11000</v>
      </c>
      <c r="K73" s="33" t="s">
        <v>53</v>
      </c>
      <c r="L73" s="92" t="str">
        <f>VLOOKUP(C73,'Trips&amp;Operators'!$C$1:$E$9999,3,0)</f>
        <v>CHANDLER</v>
      </c>
      <c r="M73" s="131" t="s">
        <v>86</v>
      </c>
      <c r="N73" s="10"/>
      <c r="O73" s="33"/>
      <c r="P73" s="108" t="str">
        <f>VLOOKUP(C73,'Train Runs'!$A$13:$AE$10008,31,0)</f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Q73" s="111" t="str">
        <f>VLOOKUP(C73,'Train Runs'!$A$13:$AE$10008,22,0)</f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73" s="113" t="str">
        <f t="shared" si="12"/>
        <v>"C:\Program Files (x86)\AstroGrep\AstroGrep.exe" /spath="%USERPROFILE%\AppData\Local\Temp\OnboardLogs" /stypes="*4043*201608262*" /stext=" 23:.+((SYSTEM_STATE.+slice.+state.+changed )|(ment ac)|(system.+state.+changed )|(\|lc)|(penalty)|(\[timeout)|(PRM\|1\|D)|(kpr)|(kdp))" /e /r /s</v>
      </c>
      <c r="S73" s="9" t="str">
        <f t="shared" si="7"/>
        <v>4043</v>
      </c>
      <c r="T73" s="38">
        <f t="shared" si="8"/>
        <v>42608.997511574074</v>
      </c>
      <c r="U73" s="52" t="str">
        <f t="shared" si="9"/>
        <v>Other</v>
      </c>
      <c r="V73" s="52" t="str">
        <f t="shared" si="10"/>
        <v>KEEP</v>
      </c>
      <c r="W73" s="149" t="str">
        <f t="shared" si="13"/>
        <v>echo {"issue":{"subject":"","project_id":79,"tracker_id":40,"status_id":1,"priority_id":2,"assigned_to_id":23,"start_date":"2016-08-26","description":"","custom_fields":[{"id":1,"name":"Subdivision","value":"Other"},{"id":4,"name":"Milepost","value":"1.1"},{"id":17,"name":"Train ID","value":"62-26"},{"id":16,"name":"Locomotive ID","value":"4043"},{"id":130,"name":"Impact","value":""},{"id":150,"name":"Time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>
    <sortState ref="A7:Z73">
      <sortCondition ref="U7:U73"/>
      <sortCondition ref="E7:E73"/>
      <sortCondition ref="J7:J73"/>
      <sortCondition ref="F7:F73"/>
    </sortState>
  </autoFilter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3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H3" sqref="H3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2016-08-26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A3" s="49" t="s">
        <v>766</v>
      </c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52" t="str">
        <f t="shared" ref="H3:H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22227-26%22)),sort:!(Time,asc))</v>
      </c>
      <c r="I3" s="23"/>
      <c r="J3" s="23"/>
    </row>
    <row r="4" spans="1:10" x14ac:dyDescent="0.25">
      <c r="A4" s="49" t="s">
        <v>544</v>
      </c>
      <c r="B4" s="129">
        <v>1</v>
      </c>
      <c r="C4" s="129">
        <v>4002</v>
      </c>
      <c r="D4" s="33" t="s">
        <v>761</v>
      </c>
      <c r="E4" s="24" t="str">
        <f>VLOOKUP(A4,'Trips&amp;Operators'!$C$2:$E$10000,3,FALSE)</f>
        <v>HAITHCOX</v>
      </c>
      <c r="F4" s="24" t="str">
        <f>VLOOKUP(A4,'Trips&amp;Operators'!$C$1:$F$10000,4,FALSE)</f>
        <v>rtdc.l.rtdc.4002:itc</v>
      </c>
      <c r="G4" s="32">
        <f>VLOOKUP(A4,'Trips&amp;Operators'!$C$1:$H$10000,5,FALSE)</f>
        <v>42608.889155092591</v>
      </c>
      <c r="H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-26%22)),sort:!(Time,asc))</v>
      </c>
      <c r="I4" s="23"/>
      <c r="J4" s="23"/>
    </row>
    <row r="5" spans="1:10" x14ac:dyDescent="0.25">
      <c r="A5" s="49"/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5" s="23"/>
      <c r="J5" s="23"/>
    </row>
    <row r="6" spans="1:10" x14ac:dyDescent="0.25">
      <c r="A6" s="49"/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6" s="23"/>
      <c r="J6" s="23"/>
    </row>
    <row r="7" spans="1:10" x14ac:dyDescent="0.25">
      <c r="A7" s="49"/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7" s="23"/>
      <c r="J7" s="23"/>
    </row>
    <row r="8" spans="1:10" x14ac:dyDescent="0.25">
      <c r="A8" s="49"/>
      <c r="B8" s="129"/>
      <c r="C8" s="129"/>
      <c r="D8" s="33"/>
      <c r="E8" s="24" t="e">
        <f>VLOOKUP(A8,'Trips&amp;Operators'!$C$2:$E$10000,3,FALSE)</f>
        <v>#N/A</v>
      </c>
      <c r="F8" s="24" t="e">
        <f>VLOOKUP(A8,'Trips&amp;Operators'!$C$1:$F$10000,4,FALSE)</f>
        <v>#N/A</v>
      </c>
      <c r="G8" s="32" t="e">
        <f>VLOOKUP(A8,'Trips&amp;Operators'!$C$1:$H$10000,5,FALSE)</f>
        <v>#N/A</v>
      </c>
      <c r="H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8" s="23"/>
      <c r="J8" s="23"/>
    </row>
    <row r="9" spans="1:10" x14ac:dyDescent="0.25">
      <c r="A9" s="49"/>
      <c r="B9" s="129"/>
      <c r="C9" s="129"/>
      <c r="D9" s="33"/>
      <c r="E9" s="24" t="e">
        <f>VLOOKUP(A9,'Trips&amp;Operators'!$C$2:$E$10000,3,FALSE)</f>
        <v>#N/A</v>
      </c>
      <c r="F9" s="24" t="e">
        <f>VLOOKUP(A9,'Trips&amp;Operators'!$C$1:$F$10000,4,FALSE)</f>
        <v>#N/A</v>
      </c>
      <c r="G9" s="32" t="e">
        <f>VLOOKUP(A9,'Trips&amp;Operators'!$C$1:$H$10000,5,FALSE)</f>
        <v>#N/A</v>
      </c>
      <c r="H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9" s="23"/>
      <c r="J9" s="23"/>
    </row>
    <row r="10" spans="1:10" x14ac:dyDescent="0.25">
      <c r="B10" s="114"/>
      <c r="C10" s="114"/>
      <c r="H10" s="23"/>
      <c r="I10" s="23"/>
      <c r="J10" s="23"/>
    </row>
    <row r="11" spans="1:10" x14ac:dyDescent="0.25">
      <c r="B11" s="114"/>
      <c r="C11" s="114"/>
      <c r="H11" s="23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B76" s="114"/>
      <c r="C76" s="114"/>
      <c r="H76" s="23"/>
      <c r="I76" s="23"/>
      <c r="J76" s="23"/>
    </row>
    <row r="77" spans="2:10" x14ac:dyDescent="0.25">
      <c r="B77" s="114"/>
      <c r="C77" s="114"/>
      <c r="H77" s="23"/>
      <c r="I77" s="23"/>
      <c r="J77" s="23"/>
    </row>
    <row r="78" spans="2:10" x14ac:dyDescent="0.25">
      <c r="B78" s="114"/>
      <c r="C78" s="114"/>
      <c r="H78" s="23"/>
      <c r="I78" s="23"/>
      <c r="J78" s="23"/>
    </row>
    <row r="79" spans="2:10" x14ac:dyDescent="0.25">
      <c r="B79" s="114"/>
      <c r="C79" s="114"/>
      <c r="H79" s="23"/>
      <c r="I79" s="23"/>
      <c r="J79" s="23"/>
    </row>
    <row r="80" spans="2:10" x14ac:dyDescent="0.25">
      <c r="B80" s="114"/>
      <c r="C80" s="114"/>
      <c r="H80" s="23"/>
      <c r="I80" s="23"/>
      <c r="J80" s="23"/>
    </row>
    <row r="81" spans="2:10" x14ac:dyDescent="0.25">
      <c r="B81" s="114"/>
      <c r="C81" s="114"/>
      <c r="H81" s="23"/>
      <c r="I81" s="23"/>
      <c r="J81" s="23"/>
    </row>
    <row r="82" spans="2:10" x14ac:dyDescent="0.25">
      <c r="B82" s="114"/>
      <c r="C82" s="114"/>
      <c r="H82" s="23"/>
      <c r="I82" s="23"/>
      <c r="J82" s="23"/>
    </row>
    <row r="83" spans="2:10" x14ac:dyDescent="0.25">
      <c r="B83" s="114"/>
      <c r="C83" s="114"/>
      <c r="H83" s="23"/>
      <c r="I83" s="23"/>
      <c r="J83" s="23"/>
    </row>
    <row r="84" spans="2:10" x14ac:dyDescent="0.25">
      <c r="B84" s="114"/>
      <c r="C84" s="114"/>
      <c r="H84" s="23"/>
      <c r="I84" s="23"/>
      <c r="J84" s="23"/>
    </row>
    <row r="85" spans="2:10" x14ac:dyDescent="0.25">
      <c r="H85" s="23"/>
      <c r="I85" s="23"/>
      <c r="J85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351</v>
      </c>
      <c r="B1" s="23" t="s">
        <v>352</v>
      </c>
      <c r="C1" s="23" t="s">
        <v>0</v>
      </c>
      <c r="D1" s="23" t="s">
        <v>353</v>
      </c>
      <c r="E1" s="23" t="s">
        <v>354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42608.039641203701</v>
      </c>
      <c r="B2" s="23" t="s">
        <v>169</v>
      </c>
      <c r="C2" s="23" t="s">
        <v>315</v>
      </c>
      <c r="D2" s="23">
        <v>2150000</v>
      </c>
      <c r="E2" s="23" t="s">
        <v>235</v>
      </c>
      <c r="F2" s="23" t="str">
        <f t="shared" ref="F2:F65" si="0">B2</f>
        <v>rtdc.l.rtdc.4008:itc</v>
      </c>
      <c r="G2" s="8">
        <f t="shared" ref="G2:G65" si="1">A2</f>
        <v>42608.039641203701</v>
      </c>
    </row>
    <row r="3" spans="1:7" x14ac:dyDescent="0.25">
      <c r="A3" s="8">
        <v>42608.049027777779</v>
      </c>
      <c r="B3" s="23" t="s">
        <v>189</v>
      </c>
      <c r="C3" s="23" t="s">
        <v>318</v>
      </c>
      <c r="D3" s="23">
        <v>2110000</v>
      </c>
      <c r="E3" s="23" t="s">
        <v>347</v>
      </c>
      <c r="F3" s="23" t="str">
        <f t="shared" si="0"/>
        <v>rtdc.l.rtdc.4044:itc</v>
      </c>
      <c r="G3" s="8">
        <f t="shared" si="1"/>
        <v>42608.049027777779</v>
      </c>
    </row>
    <row r="4" spans="1:7" x14ac:dyDescent="0.25">
      <c r="A4" s="8">
        <v>42608.054467592592</v>
      </c>
      <c r="B4" s="23" t="s">
        <v>187</v>
      </c>
      <c r="C4" s="23" t="s">
        <v>317</v>
      </c>
      <c r="D4" s="23">
        <v>2260000</v>
      </c>
      <c r="E4" s="23" t="s">
        <v>236</v>
      </c>
      <c r="F4" s="23" t="str">
        <f t="shared" si="0"/>
        <v>rtdc.l.rtdc.4041:itc</v>
      </c>
      <c r="G4" s="8">
        <f t="shared" si="1"/>
        <v>42608.054467592592</v>
      </c>
    </row>
    <row r="5" spans="1:7" x14ac:dyDescent="0.25">
      <c r="A5" s="8">
        <v>42608.072222222225</v>
      </c>
      <c r="B5" s="23" t="s">
        <v>188</v>
      </c>
      <c r="C5" s="23" t="s">
        <v>319</v>
      </c>
      <c r="D5" s="23">
        <v>2150000</v>
      </c>
      <c r="E5" s="23" t="s">
        <v>235</v>
      </c>
      <c r="F5" s="23" t="str">
        <f t="shared" si="0"/>
        <v>rtdc.l.rtdc.4007:itc</v>
      </c>
      <c r="G5" s="8">
        <f t="shared" si="1"/>
        <v>42608.072222222225</v>
      </c>
    </row>
    <row r="6" spans="1:7" x14ac:dyDescent="0.25">
      <c r="A6" s="8">
        <v>42608.09233796296</v>
      </c>
      <c r="B6" s="23" t="s">
        <v>150</v>
      </c>
      <c r="C6" s="23" t="s">
        <v>321</v>
      </c>
      <c r="D6" s="23">
        <v>2260000</v>
      </c>
      <c r="E6" s="23" t="s">
        <v>236</v>
      </c>
      <c r="F6" s="23" t="str">
        <f t="shared" si="0"/>
        <v>rtdc.l.rtdc.4042:itc</v>
      </c>
      <c r="G6" s="8">
        <f t="shared" si="1"/>
        <v>42608.09233796296</v>
      </c>
    </row>
    <row r="7" spans="1:7" x14ac:dyDescent="0.25">
      <c r="A7" s="8">
        <v>42608.093680555554</v>
      </c>
      <c r="B7" s="23" t="s">
        <v>150</v>
      </c>
      <c r="C7" s="23" t="s">
        <v>321</v>
      </c>
      <c r="D7" s="23">
        <v>2260000</v>
      </c>
      <c r="E7" s="23" t="s">
        <v>236</v>
      </c>
      <c r="F7" s="23" t="str">
        <f t="shared" si="0"/>
        <v>rtdc.l.rtdc.4042:itc</v>
      </c>
      <c r="G7" s="8">
        <f t="shared" si="1"/>
        <v>42608.093680555554</v>
      </c>
    </row>
    <row r="8" spans="1:7" x14ac:dyDescent="0.25">
      <c r="A8" s="8">
        <v>42608.127245370371</v>
      </c>
      <c r="B8" s="23" t="s">
        <v>151</v>
      </c>
      <c r="C8" s="23" t="s">
        <v>355</v>
      </c>
      <c r="D8" s="23">
        <v>2010000</v>
      </c>
      <c r="E8" s="23" t="s">
        <v>271</v>
      </c>
      <c r="F8" s="23" t="str">
        <f t="shared" si="0"/>
        <v>rtdc.l.rtdc.4038:itc</v>
      </c>
      <c r="G8" s="8">
        <f t="shared" si="1"/>
        <v>42608.127245370371</v>
      </c>
    </row>
    <row r="9" spans="1:7" ht="15.75" thickBot="1" x14ac:dyDescent="0.3">
      <c r="A9" s="27">
        <v>42608.155115740738</v>
      </c>
      <c r="B9" s="23" t="s">
        <v>356</v>
      </c>
      <c r="C9" s="23" t="s">
        <v>357</v>
      </c>
      <c r="D9" s="23">
        <v>1990000</v>
      </c>
      <c r="E9" s="23" t="s">
        <v>358</v>
      </c>
      <c r="F9" s="23" t="str">
        <f t="shared" si="0"/>
        <v>rtdc.l.rtdc.4040:itc</v>
      </c>
      <c r="G9" s="8">
        <f t="shared" si="1"/>
        <v>42608.155115740738</v>
      </c>
    </row>
    <row r="10" spans="1:7" x14ac:dyDescent="0.25">
      <c r="A10" s="8">
        <v>42608.172395833331</v>
      </c>
      <c r="B10" s="23" t="s">
        <v>182</v>
      </c>
      <c r="C10" s="23" t="s">
        <v>359</v>
      </c>
      <c r="D10" s="23">
        <v>2010000</v>
      </c>
      <c r="E10" s="23" t="s">
        <v>271</v>
      </c>
      <c r="F10" s="23" t="str">
        <f t="shared" si="0"/>
        <v>rtdc.l.rtdc.4001:itc</v>
      </c>
      <c r="G10" s="8">
        <f t="shared" si="1"/>
        <v>42608.172395833331</v>
      </c>
    </row>
    <row r="11" spans="1:7" x14ac:dyDescent="0.25">
      <c r="A11" s="8">
        <v>42608.173506944448</v>
      </c>
      <c r="B11" s="23" t="s">
        <v>182</v>
      </c>
      <c r="C11" s="23" t="s">
        <v>359</v>
      </c>
      <c r="D11" s="23">
        <v>2010000</v>
      </c>
      <c r="E11" s="23" t="s">
        <v>271</v>
      </c>
      <c r="F11" s="23" t="str">
        <f t="shared" si="0"/>
        <v>rtdc.l.rtdc.4001:itc</v>
      </c>
      <c r="G11" s="8">
        <f t="shared" si="1"/>
        <v>42608.173506944448</v>
      </c>
    </row>
    <row r="12" spans="1:7" x14ac:dyDescent="0.25">
      <c r="A12" s="8">
        <v>42608.177488425928</v>
      </c>
      <c r="B12" s="23" t="s">
        <v>93</v>
      </c>
      <c r="C12" s="23" t="s">
        <v>360</v>
      </c>
      <c r="D12" s="23">
        <v>1310000</v>
      </c>
      <c r="E12" s="23" t="s">
        <v>361</v>
      </c>
      <c r="F12" s="23" t="str">
        <f t="shared" si="0"/>
        <v>rtdc.l.rtdc.4027:itc</v>
      </c>
      <c r="G12" s="8">
        <f t="shared" si="1"/>
        <v>42608.177488425928</v>
      </c>
    </row>
    <row r="13" spans="1:7" x14ac:dyDescent="0.25">
      <c r="A13" s="8">
        <v>42608.178912037038</v>
      </c>
      <c r="B13" s="23" t="s">
        <v>112</v>
      </c>
      <c r="C13" s="23" t="s">
        <v>362</v>
      </c>
      <c r="D13" s="23">
        <v>1190000</v>
      </c>
      <c r="E13" s="23" t="s">
        <v>275</v>
      </c>
      <c r="F13" s="23" t="str">
        <f t="shared" si="0"/>
        <v>rtdc.l.rtdc.4014:itc</v>
      </c>
      <c r="G13" s="8">
        <f t="shared" si="1"/>
        <v>42608.178912037038</v>
      </c>
    </row>
    <row r="14" spans="1:7" x14ac:dyDescent="0.25">
      <c r="A14" s="8">
        <v>42608.188611111109</v>
      </c>
      <c r="B14" s="23" t="s">
        <v>114</v>
      </c>
      <c r="C14" s="23" t="s">
        <v>363</v>
      </c>
      <c r="D14" s="23">
        <v>1100000</v>
      </c>
      <c r="E14" s="23" t="s">
        <v>233</v>
      </c>
      <c r="F14" s="23" t="str">
        <f t="shared" si="0"/>
        <v>rtdc.l.rtdc.4031:itc</v>
      </c>
      <c r="G14" s="8">
        <f t="shared" si="1"/>
        <v>42608.188611111109</v>
      </c>
    </row>
    <row r="15" spans="1:7" x14ac:dyDescent="0.25">
      <c r="A15" s="8">
        <v>42608.191157407404</v>
      </c>
      <c r="B15" s="23" t="s">
        <v>175</v>
      </c>
      <c r="C15" s="23" t="s">
        <v>364</v>
      </c>
      <c r="D15" s="23">
        <v>1990000</v>
      </c>
      <c r="E15" s="23" t="s">
        <v>358</v>
      </c>
      <c r="F15" s="23" t="str">
        <f t="shared" si="0"/>
        <v>rtdc.l.rtdc.4010:itc</v>
      </c>
      <c r="G15" s="8">
        <f t="shared" si="1"/>
        <v>42608.191157407404</v>
      </c>
    </row>
    <row r="16" spans="1:7" x14ac:dyDescent="0.25">
      <c r="A16" s="8">
        <v>42608.201307870368</v>
      </c>
      <c r="B16" s="23" t="s">
        <v>182</v>
      </c>
      <c r="C16" s="23" t="s">
        <v>359</v>
      </c>
      <c r="D16" s="23">
        <v>2010000</v>
      </c>
      <c r="E16" s="23" t="s">
        <v>271</v>
      </c>
      <c r="F16" s="23" t="str">
        <f t="shared" si="0"/>
        <v>rtdc.l.rtdc.4001:itc</v>
      </c>
      <c r="G16" s="8">
        <f t="shared" si="1"/>
        <v>42608.201307870368</v>
      </c>
    </row>
    <row r="17" spans="1:7" x14ac:dyDescent="0.25">
      <c r="A17" s="8">
        <v>42608.20380787037</v>
      </c>
      <c r="B17" s="23" t="s">
        <v>273</v>
      </c>
      <c r="C17" s="23" t="s">
        <v>365</v>
      </c>
      <c r="D17" s="23">
        <v>1090000</v>
      </c>
      <c r="E17" s="23" t="s">
        <v>212</v>
      </c>
      <c r="F17" s="23" t="str">
        <f t="shared" si="0"/>
        <v>rtdc.l.rtdc.4025:itc</v>
      </c>
      <c r="G17" s="8">
        <f t="shared" si="1"/>
        <v>42608.20380787037</v>
      </c>
    </row>
    <row r="18" spans="1:7" x14ac:dyDescent="0.25">
      <c r="A18" s="8">
        <v>42608.205335648148</v>
      </c>
      <c r="B18" s="23" t="s">
        <v>337</v>
      </c>
      <c r="C18" s="23" t="s">
        <v>366</v>
      </c>
      <c r="D18" s="23">
        <v>1760000</v>
      </c>
      <c r="E18" s="23" t="s">
        <v>367</v>
      </c>
      <c r="F18" s="23" t="str">
        <f t="shared" si="0"/>
        <v>rtdc.l.rtdc.4019:itc</v>
      </c>
      <c r="G18" s="8">
        <f t="shared" si="1"/>
        <v>42608.205335648148</v>
      </c>
    </row>
    <row r="19" spans="1:7" x14ac:dyDescent="0.25">
      <c r="A19" s="8">
        <v>42608.216770833336</v>
      </c>
      <c r="B19" s="23" t="s">
        <v>230</v>
      </c>
      <c r="C19" s="23" t="s">
        <v>368</v>
      </c>
      <c r="D19" s="23">
        <v>1310000</v>
      </c>
      <c r="E19" s="23" t="s">
        <v>361</v>
      </c>
      <c r="F19" s="23" t="str">
        <f t="shared" si="0"/>
        <v>rtdc.l.rtdc.4004:itc</v>
      </c>
      <c r="G19" s="8">
        <f t="shared" si="1"/>
        <v>42608.216770833336</v>
      </c>
    </row>
    <row r="20" spans="1:7" x14ac:dyDescent="0.25">
      <c r="A20" s="8">
        <v>42608.217812499999</v>
      </c>
      <c r="B20" s="23" t="s">
        <v>230</v>
      </c>
      <c r="C20" s="23" t="s">
        <v>368</v>
      </c>
      <c r="D20" s="23">
        <v>1310000</v>
      </c>
      <c r="E20" s="23" t="s">
        <v>361</v>
      </c>
      <c r="F20" s="23" t="str">
        <f t="shared" si="0"/>
        <v>rtdc.l.rtdc.4004:itc</v>
      </c>
      <c r="G20" s="8">
        <f t="shared" si="1"/>
        <v>42608.217812499999</v>
      </c>
    </row>
    <row r="21" spans="1:7" x14ac:dyDescent="0.25">
      <c r="A21" s="8">
        <v>42608.219618055555</v>
      </c>
      <c r="B21" s="23" t="s">
        <v>151</v>
      </c>
      <c r="C21" s="23" t="s">
        <v>369</v>
      </c>
      <c r="D21" s="23">
        <v>2010000</v>
      </c>
      <c r="E21" s="23" t="s">
        <v>271</v>
      </c>
      <c r="F21" s="23" t="str">
        <f t="shared" si="0"/>
        <v>rtdc.l.rtdc.4038:itc</v>
      </c>
      <c r="G21" s="8">
        <f t="shared" si="1"/>
        <v>42608.219618055555</v>
      </c>
    </row>
    <row r="22" spans="1:7" x14ac:dyDescent="0.25">
      <c r="A22" s="29">
        <v>42608.22451388889</v>
      </c>
      <c r="B22" s="23" t="s">
        <v>90</v>
      </c>
      <c r="C22" s="23" t="s">
        <v>370</v>
      </c>
      <c r="D22" s="23">
        <v>1190000</v>
      </c>
      <c r="E22" s="23" t="s">
        <v>275</v>
      </c>
      <c r="F22" s="23" t="str">
        <f t="shared" si="0"/>
        <v>rtdc.l.rtdc.4013:itc</v>
      </c>
      <c r="G22" s="8">
        <f t="shared" si="1"/>
        <v>42608.22451388889</v>
      </c>
    </row>
    <row r="23" spans="1:7" x14ac:dyDescent="0.25">
      <c r="A23" s="8">
        <v>42608.225347222222</v>
      </c>
      <c r="B23" s="23" t="s">
        <v>151</v>
      </c>
      <c r="C23" s="23" t="s">
        <v>369</v>
      </c>
      <c r="D23" s="23">
        <v>2010000</v>
      </c>
      <c r="E23" s="23" t="s">
        <v>271</v>
      </c>
      <c r="F23" s="23" t="str">
        <f t="shared" si="0"/>
        <v>rtdc.l.rtdc.4038:itc</v>
      </c>
      <c r="G23" s="8">
        <f t="shared" si="1"/>
        <v>42608.225347222222</v>
      </c>
    </row>
    <row r="24" spans="1:7" x14ac:dyDescent="0.25">
      <c r="A24" s="8">
        <v>42608.225636574076</v>
      </c>
      <c r="B24" s="23" t="s">
        <v>181</v>
      </c>
      <c r="C24" s="23" t="s">
        <v>371</v>
      </c>
      <c r="D24" s="23">
        <v>2230000</v>
      </c>
      <c r="E24" s="23" t="s">
        <v>274</v>
      </c>
      <c r="F24" s="23" t="str">
        <f t="shared" si="0"/>
        <v>rtdc.l.rtdc.4002:itc</v>
      </c>
      <c r="G24" s="8">
        <f t="shared" si="1"/>
        <v>42608.225636574076</v>
      </c>
    </row>
    <row r="25" spans="1:7" x14ac:dyDescent="0.25">
      <c r="A25" s="8">
        <v>42608.2346412037</v>
      </c>
      <c r="B25" s="23" t="s">
        <v>115</v>
      </c>
      <c r="C25" s="23" t="s">
        <v>372</v>
      </c>
      <c r="D25" s="23">
        <v>1100000</v>
      </c>
      <c r="E25" s="23" t="s">
        <v>233</v>
      </c>
      <c r="F25" s="23" t="str">
        <f t="shared" si="0"/>
        <v>rtdc.l.rtdc.4032:itc</v>
      </c>
      <c r="G25" s="8">
        <f t="shared" si="1"/>
        <v>42608.2346412037</v>
      </c>
    </row>
    <row r="26" spans="1:7" x14ac:dyDescent="0.25">
      <c r="A26" s="8">
        <v>42608.236979166664</v>
      </c>
      <c r="B26" s="23" t="s">
        <v>342</v>
      </c>
      <c r="C26" s="23" t="s">
        <v>373</v>
      </c>
      <c r="D26" s="23">
        <v>1760000</v>
      </c>
      <c r="E26" s="23" t="s">
        <v>367</v>
      </c>
      <c r="F26" s="23" t="str">
        <f t="shared" si="0"/>
        <v>rtdc.l.rtdc.4020:itc</v>
      </c>
      <c r="G26" s="8">
        <f t="shared" si="1"/>
        <v>42608.236979166664</v>
      </c>
    </row>
    <row r="27" spans="1:7" x14ac:dyDescent="0.25">
      <c r="A27" s="8">
        <v>42608.237754629627</v>
      </c>
      <c r="B27" s="23" t="s">
        <v>356</v>
      </c>
      <c r="C27" s="23" t="s">
        <v>374</v>
      </c>
      <c r="D27" s="23">
        <v>1990000</v>
      </c>
      <c r="E27" s="23" t="s">
        <v>358</v>
      </c>
      <c r="F27" s="23" t="str">
        <f t="shared" si="0"/>
        <v>rtdc.l.rtdc.4040:itc</v>
      </c>
      <c r="G27" s="8">
        <f t="shared" si="1"/>
        <v>42608.237754629627</v>
      </c>
    </row>
    <row r="28" spans="1:7" x14ac:dyDescent="0.25">
      <c r="A28" s="8">
        <v>42608.238136574073</v>
      </c>
      <c r="B28" s="23" t="s">
        <v>230</v>
      </c>
      <c r="C28" s="23" t="s">
        <v>368</v>
      </c>
      <c r="D28" s="23">
        <v>1310000</v>
      </c>
      <c r="E28" s="23" t="s">
        <v>361</v>
      </c>
      <c r="F28" s="23" t="str">
        <f t="shared" si="0"/>
        <v>rtdc.l.rtdc.4004:itc</v>
      </c>
      <c r="G28" s="8">
        <f t="shared" si="1"/>
        <v>42608.238136574073</v>
      </c>
    </row>
    <row r="29" spans="1:7" x14ac:dyDescent="0.25">
      <c r="A29" s="8">
        <v>42608.247858796298</v>
      </c>
      <c r="B29" s="23" t="s">
        <v>90</v>
      </c>
      <c r="C29" s="23" t="s">
        <v>370</v>
      </c>
      <c r="D29" s="23">
        <v>1190000</v>
      </c>
      <c r="E29" s="23" t="s">
        <v>275</v>
      </c>
      <c r="F29" s="23" t="str">
        <f t="shared" si="0"/>
        <v>rtdc.l.rtdc.4013:itc</v>
      </c>
      <c r="G29" s="8">
        <f t="shared" si="1"/>
        <v>42608.247858796298</v>
      </c>
    </row>
    <row r="30" spans="1:7" x14ac:dyDescent="0.25">
      <c r="A30" s="8">
        <v>42608.248703703706</v>
      </c>
      <c r="B30" s="23" t="s">
        <v>276</v>
      </c>
      <c r="C30" s="23" t="s">
        <v>375</v>
      </c>
      <c r="D30" s="23">
        <v>1090000</v>
      </c>
      <c r="E30" s="23" t="s">
        <v>212</v>
      </c>
      <c r="F30" s="23" t="str">
        <f t="shared" si="0"/>
        <v>rtdc.l.rtdc.4026:itc</v>
      </c>
      <c r="G30" s="8">
        <f t="shared" si="1"/>
        <v>42608.248703703706</v>
      </c>
    </row>
    <row r="31" spans="1:7" x14ac:dyDescent="0.25">
      <c r="A31" s="8">
        <v>42608.253796296296</v>
      </c>
      <c r="B31" s="23" t="s">
        <v>174</v>
      </c>
      <c r="C31" s="23" t="s">
        <v>376</v>
      </c>
      <c r="D31" s="23">
        <v>1240000</v>
      </c>
      <c r="E31" s="23" t="s">
        <v>377</v>
      </c>
      <c r="F31" s="23" t="str">
        <f t="shared" si="0"/>
        <v>rtdc.l.rtdc.4009:itc</v>
      </c>
      <c r="G31" s="8">
        <f t="shared" si="1"/>
        <v>42608.253796296296</v>
      </c>
    </row>
    <row r="32" spans="1:7" x14ac:dyDescent="0.25">
      <c r="A32" s="8">
        <v>42608.258067129631</v>
      </c>
      <c r="B32" s="23" t="s">
        <v>144</v>
      </c>
      <c r="C32" s="23" t="s">
        <v>378</v>
      </c>
      <c r="D32" s="23">
        <v>2010000</v>
      </c>
      <c r="E32" s="23" t="s">
        <v>271</v>
      </c>
      <c r="F32" s="23" t="str">
        <f t="shared" si="0"/>
        <v>rtdc.l.rtdc.4037:itc</v>
      </c>
      <c r="G32" s="8">
        <f t="shared" si="1"/>
        <v>42608.258067129631</v>
      </c>
    </row>
    <row r="33" spans="1:7" x14ac:dyDescent="0.25">
      <c r="A33" s="8">
        <v>42608.258113425924</v>
      </c>
      <c r="B33" s="23" t="s">
        <v>337</v>
      </c>
      <c r="C33" s="23" t="s">
        <v>379</v>
      </c>
      <c r="D33" s="23">
        <v>1760000</v>
      </c>
      <c r="E33" s="23" t="s">
        <v>367</v>
      </c>
      <c r="F33" s="23" t="str">
        <f t="shared" si="0"/>
        <v>rtdc.l.rtdc.4019:itc</v>
      </c>
      <c r="G33" s="8">
        <f t="shared" si="1"/>
        <v>42608.258113425924</v>
      </c>
    </row>
    <row r="34" spans="1:7" x14ac:dyDescent="0.25">
      <c r="A34" s="8">
        <v>42608.259895833333</v>
      </c>
      <c r="B34" s="23" t="s">
        <v>144</v>
      </c>
      <c r="C34" s="23" t="s">
        <v>378</v>
      </c>
      <c r="D34" s="23">
        <v>2010000</v>
      </c>
      <c r="E34" s="23" t="s">
        <v>271</v>
      </c>
      <c r="F34" s="23" t="str">
        <f t="shared" si="0"/>
        <v>rtdc.l.rtdc.4037:itc</v>
      </c>
      <c r="G34" s="8">
        <f t="shared" si="1"/>
        <v>42608.259895833333</v>
      </c>
    </row>
    <row r="35" spans="1:7" x14ac:dyDescent="0.25">
      <c r="A35" s="8">
        <v>42608.260613425926</v>
      </c>
      <c r="B35" s="23" t="s">
        <v>115</v>
      </c>
      <c r="C35" s="23" t="s">
        <v>372</v>
      </c>
      <c r="D35" s="23">
        <v>1100000</v>
      </c>
      <c r="E35" s="23" t="s">
        <v>233</v>
      </c>
      <c r="F35" s="23" t="str">
        <f t="shared" si="0"/>
        <v>rtdc.l.rtdc.4032:itc</v>
      </c>
      <c r="G35" s="8">
        <f t="shared" si="1"/>
        <v>42608.260613425926</v>
      </c>
    </row>
    <row r="36" spans="1:7" x14ac:dyDescent="0.25">
      <c r="A36" s="8">
        <v>42608.262314814812</v>
      </c>
      <c r="B36" s="23" t="s">
        <v>341</v>
      </c>
      <c r="C36" s="23" t="s">
        <v>380</v>
      </c>
      <c r="D36" s="23">
        <v>2280000</v>
      </c>
      <c r="E36" s="23" t="s">
        <v>272</v>
      </c>
      <c r="F36" s="23" t="str">
        <f t="shared" si="0"/>
        <v>rtdc.l.rtdc.4011:itc</v>
      </c>
      <c r="G36" s="8">
        <f t="shared" si="1"/>
        <v>42608.262314814812</v>
      </c>
    </row>
    <row r="37" spans="1:7" x14ac:dyDescent="0.25">
      <c r="A37" s="8">
        <v>42608.267141203702</v>
      </c>
      <c r="B37" s="23" t="s">
        <v>93</v>
      </c>
      <c r="C37" s="23" t="s">
        <v>381</v>
      </c>
      <c r="D37" s="23">
        <v>1310000</v>
      </c>
      <c r="E37" s="23" t="s">
        <v>361</v>
      </c>
      <c r="F37" s="23" t="str">
        <f t="shared" si="0"/>
        <v>rtdc.l.rtdc.4027:itc</v>
      </c>
      <c r="G37" s="8">
        <f t="shared" si="1"/>
        <v>42608.267141203702</v>
      </c>
    </row>
    <row r="38" spans="1:7" x14ac:dyDescent="0.25">
      <c r="A38" s="8">
        <v>42608.267638888887</v>
      </c>
      <c r="B38" s="23" t="s">
        <v>182</v>
      </c>
      <c r="C38" s="23" t="s">
        <v>382</v>
      </c>
      <c r="D38" s="23">
        <v>2230000</v>
      </c>
      <c r="E38" s="23" t="s">
        <v>274</v>
      </c>
      <c r="F38" s="23" t="str">
        <f t="shared" si="0"/>
        <v>rtdc.l.rtdc.4001:itc</v>
      </c>
      <c r="G38" s="8">
        <f t="shared" si="1"/>
        <v>42608.267638888887</v>
      </c>
    </row>
    <row r="39" spans="1:7" x14ac:dyDescent="0.25">
      <c r="A39" s="8">
        <v>42608.270196759258</v>
      </c>
      <c r="B39" s="23" t="s">
        <v>112</v>
      </c>
      <c r="C39" s="23" t="s">
        <v>383</v>
      </c>
      <c r="D39" s="23">
        <v>1190000</v>
      </c>
      <c r="E39" s="23" t="s">
        <v>275</v>
      </c>
      <c r="F39" s="23" t="str">
        <f t="shared" si="0"/>
        <v>rtdc.l.rtdc.4014:itc</v>
      </c>
      <c r="G39" s="8">
        <f t="shared" si="1"/>
        <v>42608.270196759258</v>
      </c>
    </row>
    <row r="40" spans="1:7" x14ac:dyDescent="0.25">
      <c r="A40" s="8">
        <v>42608.271574074075</v>
      </c>
      <c r="B40" s="28" t="s">
        <v>276</v>
      </c>
      <c r="C40" s="23" t="s">
        <v>375</v>
      </c>
      <c r="D40" s="23">
        <v>1090000</v>
      </c>
      <c r="E40" s="23" t="s">
        <v>212</v>
      </c>
      <c r="F40" s="23" t="str">
        <f t="shared" si="0"/>
        <v>rtdc.l.rtdc.4026:itc</v>
      </c>
      <c r="G40" s="8">
        <f t="shared" si="1"/>
        <v>42608.271574074075</v>
      </c>
    </row>
    <row r="41" spans="1:7" x14ac:dyDescent="0.25">
      <c r="A41" s="8">
        <v>42608.277175925927</v>
      </c>
      <c r="B41" s="23" t="s">
        <v>384</v>
      </c>
      <c r="C41" s="23" t="s">
        <v>385</v>
      </c>
      <c r="D41" s="23">
        <v>1990000</v>
      </c>
      <c r="E41" s="23" t="s">
        <v>358</v>
      </c>
      <c r="F41" s="23" t="str">
        <f t="shared" si="0"/>
        <v>rtdc.l.rtdc.4039:itc</v>
      </c>
      <c r="G41" s="8">
        <f t="shared" si="1"/>
        <v>42608.277175925927</v>
      </c>
    </row>
    <row r="42" spans="1:7" x14ac:dyDescent="0.25">
      <c r="A42" s="8">
        <v>42608.277430555558</v>
      </c>
      <c r="B42" s="23" t="s">
        <v>338</v>
      </c>
      <c r="C42" s="23" t="s">
        <v>386</v>
      </c>
      <c r="D42" s="23">
        <v>2280000</v>
      </c>
      <c r="E42" s="23" t="s">
        <v>272</v>
      </c>
      <c r="F42" s="23" t="str">
        <f t="shared" si="0"/>
        <v>rtdc.l.rtdc.4012:itc</v>
      </c>
      <c r="G42" s="8">
        <f t="shared" si="1"/>
        <v>42608.277430555558</v>
      </c>
    </row>
    <row r="43" spans="1:7" x14ac:dyDescent="0.25">
      <c r="A43" s="8">
        <v>42608.27847222222</v>
      </c>
      <c r="B43" s="23" t="s">
        <v>144</v>
      </c>
      <c r="C43" s="23" t="s">
        <v>378</v>
      </c>
      <c r="D43" s="23">
        <v>2010000</v>
      </c>
      <c r="E43" s="23" t="s">
        <v>271</v>
      </c>
      <c r="F43" s="23" t="str">
        <f t="shared" si="0"/>
        <v>rtdc.l.rtdc.4037:itc</v>
      </c>
      <c r="G43" s="8">
        <f t="shared" si="1"/>
        <v>42608.27847222222</v>
      </c>
    </row>
    <row r="44" spans="1:7" x14ac:dyDescent="0.25">
      <c r="A44" s="8">
        <v>42608.280405092592</v>
      </c>
      <c r="B44" s="23" t="s">
        <v>342</v>
      </c>
      <c r="C44" s="23" t="s">
        <v>387</v>
      </c>
      <c r="D44" s="23">
        <v>1760000</v>
      </c>
      <c r="E44" s="23" t="s">
        <v>367</v>
      </c>
      <c r="F44" s="23" t="str">
        <f t="shared" si="0"/>
        <v>rtdc.l.rtdc.4020:itc</v>
      </c>
      <c r="G44" s="8">
        <f t="shared" si="1"/>
        <v>42608.280405092592</v>
      </c>
    </row>
    <row r="45" spans="1:7" x14ac:dyDescent="0.25">
      <c r="A45" s="8">
        <v>42608.281030092592</v>
      </c>
      <c r="B45" s="23" t="s">
        <v>114</v>
      </c>
      <c r="C45" s="23" t="s">
        <v>388</v>
      </c>
      <c r="D45" s="23">
        <v>1100000</v>
      </c>
      <c r="E45" s="23" t="s">
        <v>233</v>
      </c>
      <c r="F45" s="23" t="str">
        <f t="shared" si="0"/>
        <v>rtdc.l.rtdc.4031:itc</v>
      </c>
      <c r="G45" s="8">
        <f t="shared" si="1"/>
        <v>42608.281030092592</v>
      </c>
    </row>
    <row r="46" spans="1:7" x14ac:dyDescent="0.25">
      <c r="A46" s="8">
        <v>42608.282384259262</v>
      </c>
      <c r="B46" s="23" t="s">
        <v>182</v>
      </c>
      <c r="C46" s="23" t="s">
        <v>382</v>
      </c>
      <c r="D46" s="23">
        <v>2230000</v>
      </c>
      <c r="E46" s="23" t="s">
        <v>274</v>
      </c>
      <c r="F46" s="23" t="str">
        <f t="shared" si="0"/>
        <v>rtdc.l.rtdc.4001:itc</v>
      </c>
      <c r="G46" s="8">
        <f t="shared" si="1"/>
        <v>42608.282384259262</v>
      </c>
    </row>
    <row r="47" spans="1:7" x14ac:dyDescent="0.25">
      <c r="A47" s="8">
        <v>42608.286817129629</v>
      </c>
      <c r="B47" s="23" t="s">
        <v>175</v>
      </c>
      <c r="C47" s="23" t="s">
        <v>389</v>
      </c>
      <c r="D47" s="23">
        <v>1240000</v>
      </c>
      <c r="E47" s="23" t="s">
        <v>377</v>
      </c>
      <c r="F47" s="23" t="str">
        <f t="shared" si="0"/>
        <v>rtdc.l.rtdc.4010:itc</v>
      </c>
      <c r="G47" s="8">
        <f t="shared" si="1"/>
        <v>42608.286817129629</v>
      </c>
    </row>
    <row r="48" spans="1:7" x14ac:dyDescent="0.25">
      <c r="A48" s="8">
        <v>42608.292071759257</v>
      </c>
      <c r="B48" s="23" t="s">
        <v>341</v>
      </c>
      <c r="C48" s="23" t="s">
        <v>390</v>
      </c>
      <c r="D48" s="23">
        <v>2280000</v>
      </c>
      <c r="E48" s="23" t="s">
        <v>272</v>
      </c>
      <c r="F48" s="23" t="str">
        <f t="shared" si="0"/>
        <v>rtdc.l.rtdc.4011:itc</v>
      </c>
      <c r="G48" s="8">
        <f t="shared" si="1"/>
        <v>42608.292071759257</v>
      </c>
    </row>
    <row r="49" spans="1:7" x14ac:dyDescent="0.25">
      <c r="A49" s="8">
        <v>42608.293379629627</v>
      </c>
      <c r="B49" s="23" t="s">
        <v>273</v>
      </c>
      <c r="C49" s="23" t="s">
        <v>391</v>
      </c>
      <c r="D49" s="23">
        <v>1090000</v>
      </c>
      <c r="E49" s="23" t="s">
        <v>212</v>
      </c>
      <c r="F49" s="23" t="str">
        <f t="shared" si="0"/>
        <v>rtdc.l.rtdc.4025:itc</v>
      </c>
      <c r="G49" s="8">
        <f t="shared" si="1"/>
        <v>42608.293379629627</v>
      </c>
    </row>
    <row r="50" spans="1:7" x14ac:dyDescent="0.25">
      <c r="A50" s="8">
        <v>42608.298796296294</v>
      </c>
      <c r="B50" s="23" t="s">
        <v>337</v>
      </c>
      <c r="C50" s="23" t="s">
        <v>392</v>
      </c>
      <c r="D50" s="23">
        <v>1760000</v>
      </c>
      <c r="E50" s="23" t="s">
        <v>367</v>
      </c>
      <c r="F50" s="23" t="str">
        <f t="shared" si="0"/>
        <v>rtdc.l.rtdc.4019:itc</v>
      </c>
      <c r="G50" s="8">
        <f t="shared" si="1"/>
        <v>42608.298796296294</v>
      </c>
    </row>
    <row r="51" spans="1:7" x14ac:dyDescent="0.25">
      <c r="A51" s="8">
        <v>42608.299143518518</v>
      </c>
      <c r="B51" s="23" t="s">
        <v>151</v>
      </c>
      <c r="C51" s="23" t="s">
        <v>393</v>
      </c>
      <c r="D51" s="23">
        <v>2010000</v>
      </c>
      <c r="E51" s="23" t="s">
        <v>271</v>
      </c>
      <c r="F51" s="23" t="str">
        <f t="shared" si="0"/>
        <v>rtdc.l.rtdc.4038:itc</v>
      </c>
      <c r="G51" s="8">
        <f t="shared" si="1"/>
        <v>42608.299143518518</v>
      </c>
    </row>
    <row r="52" spans="1:7" x14ac:dyDescent="0.25">
      <c r="A52" s="8">
        <v>42608.300057870372</v>
      </c>
      <c r="B52" s="23" t="s">
        <v>394</v>
      </c>
      <c r="C52" s="23" t="s">
        <v>395</v>
      </c>
      <c r="D52" s="23">
        <v>1310000</v>
      </c>
      <c r="E52" s="23" t="s">
        <v>361</v>
      </c>
      <c r="F52" s="23" t="str">
        <f t="shared" si="0"/>
        <v>rtdc.l.rtdc.4028:itc</v>
      </c>
      <c r="G52" s="8">
        <f t="shared" si="1"/>
        <v>42608.300057870372</v>
      </c>
    </row>
    <row r="53" spans="1:7" x14ac:dyDescent="0.25">
      <c r="A53" s="8">
        <v>42608.305844907409</v>
      </c>
      <c r="B53" s="23" t="s">
        <v>90</v>
      </c>
      <c r="C53" s="23" t="s">
        <v>396</v>
      </c>
      <c r="D53" s="23">
        <v>1190000</v>
      </c>
      <c r="E53" s="23" t="s">
        <v>275</v>
      </c>
      <c r="F53" s="23" t="str">
        <f t="shared" si="0"/>
        <v>rtdc.l.rtdc.4013:itc</v>
      </c>
      <c r="G53" s="8">
        <f t="shared" si="1"/>
        <v>42608.305844907409</v>
      </c>
    </row>
    <row r="54" spans="1:7" x14ac:dyDescent="0.25">
      <c r="A54" s="8">
        <v>42608.310856481483</v>
      </c>
      <c r="B54" s="23" t="s">
        <v>356</v>
      </c>
      <c r="C54" s="23" t="s">
        <v>397</v>
      </c>
      <c r="D54" s="23">
        <v>1990000</v>
      </c>
      <c r="E54" s="23" t="s">
        <v>358</v>
      </c>
      <c r="F54" s="23" t="str">
        <f t="shared" si="0"/>
        <v>rtdc.l.rtdc.4040:itc</v>
      </c>
      <c r="G54" s="8">
        <f t="shared" si="1"/>
        <v>42608.310856481483</v>
      </c>
    </row>
    <row r="55" spans="1:7" x14ac:dyDescent="0.25">
      <c r="A55" s="8">
        <v>42608.311527777776</v>
      </c>
      <c r="B55" s="23" t="s">
        <v>181</v>
      </c>
      <c r="C55" s="23" t="s">
        <v>398</v>
      </c>
      <c r="D55" s="23">
        <v>2230000</v>
      </c>
      <c r="E55" s="23" t="s">
        <v>274</v>
      </c>
      <c r="F55" s="23" t="str">
        <f t="shared" si="0"/>
        <v>rtdc.l.rtdc.4002:itc</v>
      </c>
      <c r="G55" s="8">
        <f t="shared" si="1"/>
        <v>42608.311527777776</v>
      </c>
    </row>
    <row r="56" spans="1:7" x14ac:dyDescent="0.25">
      <c r="A56" s="8">
        <v>42608.31858796296</v>
      </c>
      <c r="B56" s="23" t="s">
        <v>115</v>
      </c>
      <c r="C56" s="23" t="s">
        <v>399</v>
      </c>
      <c r="D56" s="23">
        <v>1100000</v>
      </c>
      <c r="E56" s="23" t="s">
        <v>233</v>
      </c>
      <c r="F56" s="23" t="str">
        <f t="shared" si="0"/>
        <v>rtdc.l.rtdc.4032:itc</v>
      </c>
      <c r="G56" s="8">
        <f t="shared" si="1"/>
        <v>42608.31858796296</v>
      </c>
    </row>
    <row r="57" spans="1:7" x14ac:dyDescent="0.25">
      <c r="A57" s="8">
        <v>42608.31962962963</v>
      </c>
      <c r="B57" s="23" t="s">
        <v>342</v>
      </c>
      <c r="C57" s="23" t="s">
        <v>400</v>
      </c>
      <c r="D57" s="23">
        <v>1760000</v>
      </c>
      <c r="E57" s="23" t="s">
        <v>367</v>
      </c>
      <c r="F57" s="23" t="str">
        <f t="shared" si="0"/>
        <v>rtdc.l.rtdc.4020:itc</v>
      </c>
      <c r="G57" s="8">
        <f t="shared" si="1"/>
        <v>42608.31962962963</v>
      </c>
    </row>
    <row r="58" spans="1:7" x14ac:dyDescent="0.25">
      <c r="A58" s="8">
        <v>42608.329409722224</v>
      </c>
      <c r="B58" s="23" t="s">
        <v>276</v>
      </c>
      <c r="C58" s="23" t="s">
        <v>401</v>
      </c>
      <c r="D58" s="23">
        <v>1090000</v>
      </c>
      <c r="E58" s="23" t="s">
        <v>212</v>
      </c>
      <c r="F58" s="23" t="str">
        <f t="shared" si="0"/>
        <v>rtdc.l.rtdc.4026:itc</v>
      </c>
      <c r="G58" s="8">
        <f t="shared" si="1"/>
        <v>42608.329409722224</v>
      </c>
    </row>
    <row r="59" spans="1:7" x14ac:dyDescent="0.25">
      <c r="A59" s="8">
        <v>42608.333356481482</v>
      </c>
      <c r="B59" s="23" t="s">
        <v>93</v>
      </c>
      <c r="C59" s="23" t="s">
        <v>402</v>
      </c>
      <c r="D59" s="23">
        <v>1310000</v>
      </c>
      <c r="E59" s="23" t="s">
        <v>361</v>
      </c>
      <c r="F59" s="23" t="str">
        <f t="shared" si="0"/>
        <v>rtdc.l.rtdc.4027:itc</v>
      </c>
      <c r="G59" s="8">
        <f t="shared" si="1"/>
        <v>42608.333356481482</v>
      </c>
    </row>
    <row r="60" spans="1:7" x14ac:dyDescent="0.25">
      <c r="A60" s="8">
        <v>42608.336435185185</v>
      </c>
      <c r="B60" s="23" t="s">
        <v>144</v>
      </c>
      <c r="C60" s="23" t="s">
        <v>403</v>
      </c>
      <c r="D60" s="23">
        <v>2010000</v>
      </c>
      <c r="E60" s="23" t="s">
        <v>271</v>
      </c>
      <c r="F60" s="23" t="str">
        <f t="shared" si="0"/>
        <v>rtdc.l.rtdc.4037:itc</v>
      </c>
      <c r="G60" s="8">
        <f t="shared" si="1"/>
        <v>42608.336435185185</v>
      </c>
    </row>
    <row r="61" spans="1:7" x14ac:dyDescent="0.25">
      <c r="A61" s="8">
        <v>42608.337442129632</v>
      </c>
      <c r="B61" s="23" t="s">
        <v>112</v>
      </c>
      <c r="C61" s="23" t="s">
        <v>404</v>
      </c>
      <c r="D61" s="23">
        <v>1190000</v>
      </c>
      <c r="E61" s="23" t="s">
        <v>275</v>
      </c>
      <c r="F61" s="23" t="str">
        <f t="shared" si="0"/>
        <v>rtdc.l.rtdc.4014:itc</v>
      </c>
      <c r="G61" s="8">
        <f t="shared" si="1"/>
        <v>42608.337442129632</v>
      </c>
    </row>
    <row r="62" spans="1:7" x14ac:dyDescent="0.25">
      <c r="A62" s="8">
        <v>42608.34033564815</v>
      </c>
      <c r="B62" s="23" t="s">
        <v>337</v>
      </c>
      <c r="C62" s="23" t="s">
        <v>405</v>
      </c>
      <c r="D62" s="23">
        <v>1760000</v>
      </c>
      <c r="E62" s="23" t="s">
        <v>367</v>
      </c>
      <c r="F62" s="23" t="str">
        <f t="shared" si="0"/>
        <v>rtdc.l.rtdc.4019:itc</v>
      </c>
      <c r="G62" s="8">
        <f t="shared" si="1"/>
        <v>42608.34033564815</v>
      </c>
    </row>
    <row r="63" spans="1:7" x14ac:dyDescent="0.25">
      <c r="A63" s="8">
        <v>42608.343101851853</v>
      </c>
      <c r="B63" s="23" t="s">
        <v>182</v>
      </c>
      <c r="C63" s="23" t="s">
        <v>406</v>
      </c>
      <c r="D63" s="23">
        <v>2230000</v>
      </c>
      <c r="E63" s="23" t="s">
        <v>274</v>
      </c>
      <c r="F63" s="23" t="str">
        <f t="shared" si="0"/>
        <v>rtdc.l.rtdc.4001:itc</v>
      </c>
      <c r="G63" s="8">
        <f t="shared" si="1"/>
        <v>42608.343101851853</v>
      </c>
    </row>
    <row r="64" spans="1:7" x14ac:dyDescent="0.25">
      <c r="A64" s="29">
        <v>42608.345810185187</v>
      </c>
      <c r="B64" s="23" t="s">
        <v>341</v>
      </c>
      <c r="C64" s="23" t="s">
        <v>407</v>
      </c>
      <c r="D64" s="23">
        <v>2280000</v>
      </c>
      <c r="E64" s="23" t="s">
        <v>272</v>
      </c>
      <c r="F64" s="23" t="str">
        <f t="shared" si="0"/>
        <v>rtdc.l.rtdc.4011:itc</v>
      </c>
      <c r="G64" s="8">
        <f t="shared" si="1"/>
        <v>42608.345810185187</v>
      </c>
    </row>
    <row r="65" spans="1:7" x14ac:dyDescent="0.25">
      <c r="A65" s="8">
        <v>42608.351273148146</v>
      </c>
      <c r="B65" s="23" t="s">
        <v>114</v>
      </c>
      <c r="C65" s="23" t="s">
        <v>408</v>
      </c>
      <c r="D65" s="23">
        <v>1100000</v>
      </c>
      <c r="E65" s="23" t="s">
        <v>233</v>
      </c>
      <c r="F65" s="23" t="str">
        <f t="shared" si="0"/>
        <v>rtdc.l.rtdc.4031:itc</v>
      </c>
      <c r="G65" s="8">
        <f t="shared" si="1"/>
        <v>42608.351273148146</v>
      </c>
    </row>
    <row r="66" spans="1:7" x14ac:dyDescent="0.25">
      <c r="A66" s="8">
        <v>42608.354259259257</v>
      </c>
      <c r="B66" s="23" t="s">
        <v>342</v>
      </c>
      <c r="C66" s="23" t="s">
        <v>409</v>
      </c>
      <c r="D66" s="23">
        <v>1760000</v>
      </c>
      <c r="E66" s="23" t="s">
        <v>367</v>
      </c>
      <c r="F66" s="23" t="str">
        <f t="shared" ref="F66:F129" si="2">B66</f>
        <v>rtdc.l.rtdc.4020:itc</v>
      </c>
      <c r="G66" s="8">
        <f t="shared" ref="G66:G129" si="3">A66</f>
        <v>42608.354259259257</v>
      </c>
    </row>
    <row r="67" spans="1:7" x14ac:dyDescent="0.25">
      <c r="A67" s="8">
        <v>42608.356747685182</v>
      </c>
      <c r="B67" s="23" t="s">
        <v>384</v>
      </c>
      <c r="C67" s="23" t="s">
        <v>410</v>
      </c>
      <c r="D67" s="23">
        <v>1990000</v>
      </c>
      <c r="E67" s="23" t="s">
        <v>358</v>
      </c>
      <c r="F67" s="23" t="str">
        <f t="shared" si="2"/>
        <v>rtdc.l.rtdc.4039:itc</v>
      </c>
      <c r="G67" s="8">
        <f t="shared" si="3"/>
        <v>42608.356747685182</v>
      </c>
    </row>
    <row r="68" spans="1:7" x14ac:dyDescent="0.25">
      <c r="A68" s="8">
        <v>42608.360983796294</v>
      </c>
      <c r="B68" s="23" t="s">
        <v>273</v>
      </c>
      <c r="C68" s="23" t="s">
        <v>411</v>
      </c>
      <c r="D68" s="23">
        <v>1090000</v>
      </c>
      <c r="E68" s="23" t="s">
        <v>212</v>
      </c>
      <c r="F68" s="23" t="str">
        <f t="shared" si="2"/>
        <v>rtdc.l.rtdc.4025:itc</v>
      </c>
      <c r="G68" s="8">
        <f t="shared" si="3"/>
        <v>42608.360983796294</v>
      </c>
    </row>
    <row r="69" spans="1:7" x14ac:dyDescent="0.25">
      <c r="A69" s="8">
        <v>42608.360995370371</v>
      </c>
      <c r="B69" s="23" t="s">
        <v>338</v>
      </c>
      <c r="C69" s="23" t="s">
        <v>412</v>
      </c>
      <c r="D69" s="23">
        <v>2280000</v>
      </c>
      <c r="E69" s="23" t="s">
        <v>272</v>
      </c>
      <c r="F69" s="23" t="str">
        <f t="shared" si="2"/>
        <v>rtdc.l.rtdc.4012:itc</v>
      </c>
      <c r="G69" s="8">
        <f t="shared" si="3"/>
        <v>42608.360995370371</v>
      </c>
    </row>
    <row r="70" spans="1:7" x14ac:dyDescent="0.25">
      <c r="A70" s="8">
        <v>42608.367071759261</v>
      </c>
      <c r="B70" s="23" t="s">
        <v>394</v>
      </c>
      <c r="C70" s="23" t="s">
        <v>413</v>
      </c>
      <c r="D70" s="23">
        <v>1310000</v>
      </c>
      <c r="E70" s="23" t="s">
        <v>361</v>
      </c>
      <c r="F70" s="23" t="str">
        <f t="shared" si="2"/>
        <v>rtdc.l.rtdc.4028:itc</v>
      </c>
      <c r="G70" s="8">
        <f t="shared" si="3"/>
        <v>42608.367071759261</v>
      </c>
    </row>
    <row r="71" spans="1:7" x14ac:dyDescent="0.25">
      <c r="A71" s="8">
        <v>42608.372685185182</v>
      </c>
      <c r="B71" s="23" t="s">
        <v>151</v>
      </c>
      <c r="C71" s="23" t="s">
        <v>414</v>
      </c>
      <c r="D71" s="23">
        <v>2010000</v>
      </c>
      <c r="E71" s="23" t="s">
        <v>271</v>
      </c>
      <c r="F71" s="23" t="str">
        <f t="shared" si="2"/>
        <v>rtdc.l.rtdc.4038:itc</v>
      </c>
      <c r="G71" s="8">
        <f t="shared" si="3"/>
        <v>42608.372685185182</v>
      </c>
    </row>
    <row r="72" spans="1:7" x14ac:dyDescent="0.25">
      <c r="A72" s="8">
        <v>42608.379224537035</v>
      </c>
      <c r="B72" s="23" t="s">
        <v>90</v>
      </c>
      <c r="C72" s="23" t="s">
        <v>415</v>
      </c>
      <c r="D72" s="23">
        <v>1190000</v>
      </c>
      <c r="E72" s="23" t="s">
        <v>275</v>
      </c>
      <c r="F72" s="23" t="str">
        <f t="shared" si="2"/>
        <v>rtdc.l.rtdc.4013:itc</v>
      </c>
      <c r="G72" s="8">
        <f t="shared" si="3"/>
        <v>42608.379224537035</v>
      </c>
    </row>
    <row r="73" spans="1:7" x14ac:dyDescent="0.25">
      <c r="A73" s="8">
        <v>42608.384421296294</v>
      </c>
      <c r="B73" s="23" t="s">
        <v>181</v>
      </c>
      <c r="C73" s="23" t="s">
        <v>416</v>
      </c>
      <c r="D73" s="23">
        <v>2230000</v>
      </c>
      <c r="E73" s="23" t="s">
        <v>274</v>
      </c>
      <c r="F73" s="23" t="str">
        <f t="shared" si="2"/>
        <v>rtdc.l.rtdc.4002:itc</v>
      </c>
      <c r="G73" s="8">
        <f t="shared" si="3"/>
        <v>42608.384421296294</v>
      </c>
    </row>
    <row r="74" spans="1:7" x14ac:dyDescent="0.25">
      <c r="A74" s="8">
        <v>42608.386412037034</v>
      </c>
      <c r="B74" s="23" t="s">
        <v>341</v>
      </c>
      <c r="C74" s="23" t="s">
        <v>417</v>
      </c>
      <c r="D74" s="23">
        <v>2280000</v>
      </c>
      <c r="E74" s="23" t="s">
        <v>272</v>
      </c>
      <c r="F74" s="23" t="str">
        <f t="shared" si="2"/>
        <v>rtdc.l.rtdc.4011:itc</v>
      </c>
      <c r="G74" s="8">
        <f t="shared" si="3"/>
        <v>42608.386412037034</v>
      </c>
    </row>
    <row r="75" spans="1:7" x14ac:dyDescent="0.25">
      <c r="A75" s="8">
        <v>42608.387685185182</v>
      </c>
      <c r="B75" s="23" t="s">
        <v>341</v>
      </c>
      <c r="C75" s="23" t="s">
        <v>417</v>
      </c>
      <c r="D75" s="23">
        <v>2280000</v>
      </c>
      <c r="E75" s="23" t="s">
        <v>272</v>
      </c>
      <c r="F75" s="23" t="str">
        <f t="shared" si="2"/>
        <v>rtdc.l.rtdc.4011:itc</v>
      </c>
      <c r="G75" s="8">
        <f t="shared" si="3"/>
        <v>42608.387685185182</v>
      </c>
    </row>
    <row r="76" spans="1:7" x14ac:dyDescent="0.25">
      <c r="A76" s="8">
        <v>42608.389409722222</v>
      </c>
      <c r="B76" s="23" t="s">
        <v>115</v>
      </c>
      <c r="C76" s="23" t="s">
        <v>418</v>
      </c>
      <c r="D76" s="23">
        <v>1100000</v>
      </c>
      <c r="E76" s="23" t="s">
        <v>233</v>
      </c>
      <c r="F76" s="23" t="str">
        <f t="shared" si="2"/>
        <v>rtdc.l.rtdc.4032:itc</v>
      </c>
      <c r="G76" s="8">
        <f t="shared" si="3"/>
        <v>42608.389409722222</v>
      </c>
    </row>
    <row r="77" spans="1:7" x14ac:dyDescent="0.25">
      <c r="A77" s="8">
        <v>42608.391122685185</v>
      </c>
      <c r="B77" s="23" t="s">
        <v>356</v>
      </c>
      <c r="C77" s="23" t="s">
        <v>419</v>
      </c>
      <c r="D77" s="23">
        <v>1990000</v>
      </c>
      <c r="E77" s="23" t="s">
        <v>358</v>
      </c>
      <c r="F77" s="23" t="str">
        <f t="shared" si="2"/>
        <v>rtdc.l.rtdc.4040:itc</v>
      </c>
      <c r="G77" s="8">
        <f t="shared" si="3"/>
        <v>42608.391122685185</v>
      </c>
    </row>
    <row r="78" spans="1:7" x14ac:dyDescent="0.25">
      <c r="A78" s="8">
        <v>42608.402037037034</v>
      </c>
      <c r="B78" s="23" t="s">
        <v>276</v>
      </c>
      <c r="C78" s="23" t="s">
        <v>420</v>
      </c>
      <c r="D78" s="23">
        <v>1090000</v>
      </c>
      <c r="E78" s="23" t="s">
        <v>212</v>
      </c>
      <c r="F78" s="23" t="str">
        <f t="shared" si="2"/>
        <v>rtdc.l.rtdc.4026:itc</v>
      </c>
      <c r="G78" s="8">
        <f t="shared" si="3"/>
        <v>42608.402037037034</v>
      </c>
    </row>
    <row r="79" spans="1:7" x14ac:dyDescent="0.25">
      <c r="A79" s="8">
        <v>42608.402222222219</v>
      </c>
      <c r="B79" s="23" t="s">
        <v>338</v>
      </c>
      <c r="C79" s="23" t="s">
        <v>421</v>
      </c>
      <c r="D79" s="23">
        <v>2280000</v>
      </c>
      <c r="E79" s="23" t="s">
        <v>272</v>
      </c>
      <c r="F79" s="23" t="str">
        <f t="shared" si="2"/>
        <v>rtdc.l.rtdc.4012:itc</v>
      </c>
      <c r="G79" s="8">
        <f t="shared" si="3"/>
        <v>42608.402222222219</v>
      </c>
    </row>
    <row r="80" spans="1:7" x14ac:dyDescent="0.25">
      <c r="A80" s="8">
        <v>42608.403356481482</v>
      </c>
      <c r="B80" s="23" t="s">
        <v>93</v>
      </c>
      <c r="C80" s="23" t="s">
        <v>422</v>
      </c>
      <c r="D80" s="23">
        <v>1310000</v>
      </c>
      <c r="E80" s="23" t="s">
        <v>361</v>
      </c>
      <c r="F80" s="23" t="str">
        <f t="shared" si="2"/>
        <v>rtdc.l.rtdc.4027:itc</v>
      </c>
      <c r="G80" s="8">
        <f t="shared" si="3"/>
        <v>42608.403356481482</v>
      </c>
    </row>
    <row r="81" spans="1:7" x14ac:dyDescent="0.25">
      <c r="A81" s="8">
        <v>42608.408321759256</v>
      </c>
      <c r="B81" s="23" t="s">
        <v>144</v>
      </c>
      <c r="C81" s="23" t="s">
        <v>423</v>
      </c>
      <c r="D81" s="23">
        <v>2010000</v>
      </c>
      <c r="E81" s="23" t="s">
        <v>271</v>
      </c>
      <c r="F81" s="23" t="str">
        <f t="shared" si="2"/>
        <v>rtdc.l.rtdc.4037:itc</v>
      </c>
      <c r="G81" s="8">
        <f t="shared" si="3"/>
        <v>42608.408321759256</v>
      </c>
    </row>
    <row r="82" spans="1:7" x14ac:dyDescent="0.25">
      <c r="A82" s="8">
        <v>42608.411365740743</v>
      </c>
      <c r="B82" s="23" t="s">
        <v>112</v>
      </c>
      <c r="C82" s="23" t="s">
        <v>424</v>
      </c>
      <c r="D82" s="23">
        <v>1190000</v>
      </c>
      <c r="E82" s="23" t="s">
        <v>275</v>
      </c>
      <c r="F82" s="23" t="str">
        <f t="shared" si="2"/>
        <v>rtdc.l.rtdc.4014:itc</v>
      </c>
      <c r="G82" s="8">
        <f t="shared" si="3"/>
        <v>42608.411365740743</v>
      </c>
    </row>
    <row r="83" spans="1:7" x14ac:dyDescent="0.25">
      <c r="A83" s="8">
        <v>42608.418622685182</v>
      </c>
      <c r="B83" s="23" t="s">
        <v>182</v>
      </c>
      <c r="C83" s="23" t="s">
        <v>425</v>
      </c>
      <c r="D83" s="23">
        <v>2230000</v>
      </c>
      <c r="E83" s="23" t="s">
        <v>274</v>
      </c>
      <c r="F83" s="23" t="str">
        <f t="shared" si="2"/>
        <v>rtdc.l.rtdc.4001:itc</v>
      </c>
      <c r="G83" s="8">
        <f t="shared" si="3"/>
        <v>42608.418622685182</v>
      </c>
    </row>
    <row r="84" spans="1:7" x14ac:dyDescent="0.25">
      <c r="A84" s="8">
        <v>42608.423101851855</v>
      </c>
      <c r="B84" s="23" t="s">
        <v>114</v>
      </c>
      <c r="C84" s="23" t="s">
        <v>426</v>
      </c>
      <c r="D84" s="23">
        <v>1100000</v>
      </c>
      <c r="E84" s="23" t="s">
        <v>233</v>
      </c>
      <c r="F84" s="23" t="str">
        <f t="shared" si="2"/>
        <v>rtdc.l.rtdc.4031:itc</v>
      </c>
      <c r="G84" s="8">
        <f t="shared" si="3"/>
        <v>42608.423101851855</v>
      </c>
    </row>
    <row r="85" spans="1:7" x14ac:dyDescent="0.25">
      <c r="A85" s="8">
        <v>42608.428194444445</v>
      </c>
      <c r="B85" s="23" t="s">
        <v>384</v>
      </c>
      <c r="C85" s="23" t="s">
        <v>427</v>
      </c>
      <c r="D85" s="23">
        <v>1990000</v>
      </c>
      <c r="E85" s="23" t="s">
        <v>358</v>
      </c>
      <c r="F85" s="23" t="str">
        <f t="shared" si="2"/>
        <v>rtdc.l.rtdc.4039:itc</v>
      </c>
      <c r="G85" s="8">
        <f t="shared" si="3"/>
        <v>42608.428194444445</v>
      </c>
    </row>
    <row r="86" spans="1:7" x14ac:dyDescent="0.25">
      <c r="A86" s="8">
        <v>42608.428298611114</v>
      </c>
      <c r="B86" s="23" t="s">
        <v>341</v>
      </c>
      <c r="C86" s="23" t="s">
        <v>421</v>
      </c>
      <c r="D86" s="23">
        <v>2280000</v>
      </c>
      <c r="E86" s="23" t="s">
        <v>272</v>
      </c>
      <c r="F86" s="23" t="str">
        <f t="shared" si="2"/>
        <v>rtdc.l.rtdc.4011:itc</v>
      </c>
      <c r="G86" s="8">
        <f t="shared" si="3"/>
        <v>42608.428298611114</v>
      </c>
    </row>
    <row r="87" spans="1:7" x14ac:dyDescent="0.25">
      <c r="A87" s="8">
        <v>42608.428842592592</v>
      </c>
      <c r="B87" s="23" t="s">
        <v>341</v>
      </c>
      <c r="C87" s="23" t="s">
        <v>428</v>
      </c>
      <c r="D87" s="23">
        <v>2280000</v>
      </c>
      <c r="E87" s="23" t="s">
        <v>272</v>
      </c>
      <c r="F87" s="23" t="str">
        <f t="shared" si="2"/>
        <v>rtdc.l.rtdc.4011:itc</v>
      </c>
      <c r="G87" s="8">
        <f t="shared" si="3"/>
        <v>42608.428842592592</v>
      </c>
    </row>
    <row r="88" spans="1:7" x14ac:dyDescent="0.25">
      <c r="A88" s="8">
        <v>42608.433715277781</v>
      </c>
      <c r="B88" s="23" t="s">
        <v>273</v>
      </c>
      <c r="C88" s="23" t="s">
        <v>429</v>
      </c>
      <c r="D88" s="23">
        <v>1760000</v>
      </c>
      <c r="E88" s="23" t="s">
        <v>367</v>
      </c>
      <c r="F88" s="23" t="str">
        <f t="shared" si="2"/>
        <v>rtdc.l.rtdc.4025:itc</v>
      </c>
      <c r="G88" s="8">
        <f t="shared" si="3"/>
        <v>42608.433715277781</v>
      </c>
    </row>
    <row r="89" spans="1:7" x14ac:dyDescent="0.25">
      <c r="A89" s="8">
        <v>42608.437141203707</v>
      </c>
      <c r="B89" s="23" t="s">
        <v>231</v>
      </c>
      <c r="C89" s="23" t="s">
        <v>430</v>
      </c>
      <c r="D89" s="23">
        <v>880000</v>
      </c>
      <c r="E89" s="23" t="s">
        <v>431</v>
      </c>
      <c r="F89" s="23" t="str">
        <f t="shared" si="2"/>
        <v>rtdc.l.rtdc.4021:itc</v>
      </c>
      <c r="G89" s="8">
        <f t="shared" si="3"/>
        <v>42608.437141203707</v>
      </c>
    </row>
    <row r="90" spans="1:7" x14ac:dyDescent="0.25">
      <c r="A90" s="8">
        <v>42608.442916666667</v>
      </c>
      <c r="B90" s="23" t="s">
        <v>394</v>
      </c>
      <c r="C90" s="23" t="s">
        <v>432</v>
      </c>
      <c r="D90" s="23">
        <v>1310000</v>
      </c>
      <c r="E90" s="23" t="s">
        <v>361</v>
      </c>
      <c r="F90" s="23" t="str">
        <f t="shared" si="2"/>
        <v>rtdc.l.rtdc.4028:itc</v>
      </c>
      <c r="G90" s="8">
        <f t="shared" si="3"/>
        <v>42608.442916666667</v>
      </c>
    </row>
    <row r="91" spans="1:7" x14ac:dyDescent="0.25">
      <c r="A91" s="8">
        <v>42608.443703703706</v>
      </c>
      <c r="B91" s="23" t="s">
        <v>338</v>
      </c>
      <c r="C91" s="23" t="s">
        <v>433</v>
      </c>
      <c r="D91" s="23">
        <v>2280000</v>
      </c>
      <c r="E91" s="23" t="s">
        <v>272</v>
      </c>
      <c r="F91" s="23" t="str">
        <f t="shared" si="2"/>
        <v>rtdc.l.rtdc.4012:itc</v>
      </c>
      <c r="G91" s="8">
        <f t="shared" si="3"/>
        <v>42608.443703703706</v>
      </c>
    </row>
    <row r="92" spans="1:7" x14ac:dyDescent="0.25">
      <c r="A92" s="8">
        <v>42608.44730324074</v>
      </c>
      <c r="B92" s="23" t="s">
        <v>151</v>
      </c>
      <c r="C92" s="23" t="s">
        <v>434</v>
      </c>
      <c r="D92" s="23">
        <v>1240000</v>
      </c>
      <c r="E92" s="23" t="s">
        <v>377</v>
      </c>
      <c r="F92" s="23" t="str">
        <f t="shared" si="2"/>
        <v>rtdc.l.rtdc.4038:itc</v>
      </c>
      <c r="G92" s="8">
        <f t="shared" si="3"/>
        <v>42608.44730324074</v>
      </c>
    </row>
    <row r="93" spans="1:7" x14ac:dyDescent="0.25">
      <c r="A93" s="8">
        <v>42608.452893518515</v>
      </c>
      <c r="B93" s="23" t="s">
        <v>90</v>
      </c>
      <c r="C93" s="23" t="s">
        <v>435</v>
      </c>
      <c r="D93" s="23">
        <v>1190000</v>
      </c>
      <c r="E93" s="23" t="s">
        <v>275</v>
      </c>
      <c r="F93" s="23" t="str">
        <f t="shared" si="2"/>
        <v>rtdc.l.rtdc.4013:itc</v>
      </c>
      <c r="G93" s="8">
        <f t="shared" si="3"/>
        <v>42608.452893518515</v>
      </c>
    </row>
    <row r="94" spans="1:7" x14ac:dyDescent="0.25">
      <c r="A94" s="8">
        <v>42608.458437499998</v>
      </c>
      <c r="B94" s="23" t="s">
        <v>181</v>
      </c>
      <c r="C94" s="23" t="s">
        <v>436</v>
      </c>
      <c r="D94" s="23">
        <v>1360000</v>
      </c>
      <c r="E94" s="23" t="s">
        <v>234</v>
      </c>
      <c r="F94" s="23" t="str">
        <f t="shared" si="2"/>
        <v>rtdc.l.rtdc.4002:itc</v>
      </c>
      <c r="G94" s="8">
        <f t="shared" si="3"/>
        <v>42608.458437499998</v>
      </c>
    </row>
    <row r="95" spans="1:7" x14ac:dyDescent="0.25">
      <c r="A95" s="8">
        <v>42608.460335648146</v>
      </c>
      <c r="B95" s="23" t="s">
        <v>115</v>
      </c>
      <c r="C95" s="23" t="s">
        <v>437</v>
      </c>
      <c r="D95" s="23">
        <v>1100000</v>
      </c>
      <c r="E95" s="23" t="s">
        <v>233</v>
      </c>
      <c r="F95" s="23" t="str">
        <f t="shared" si="2"/>
        <v>rtdc.l.rtdc.4032:itc</v>
      </c>
      <c r="G95" s="8">
        <f t="shared" si="3"/>
        <v>42608.460335648146</v>
      </c>
    </row>
    <row r="96" spans="1:7" x14ac:dyDescent="0.25">
      <c r="A96" s="8">
        <v>42608.464791666665</v>
      </c>
      <c r="B96" s="23" t="s">
        <v>341</v>
      </c>
      <c r="C96" s="23" t="s">
        <v>438</v>
      </c>
      <c r="D96" s="23">
        <v>2280000</v>
      </c>
      <c r="E96" s="23" t="s">
        <v>272</v>
      </c>
      <c r="F96" s="23" t="str">
        <f t="shared" si="2"/>
        <v>rtdc.l.rtdc.4011:itc</v>
      </c>
      <c r="G96" s="8">
        <f t="shared" si="3"/>
        <v>42608.464791666665</v>
      </c>
    </row>
    <row r="97" spans="1:7" x14ac:dyDescent="0.25">
      <c r="A97" s="8">
        <v>42608.470185185186</v>
      </c>
      <c r="B97" s="23" t="s">
        <v>356</v>
      </c>
      <c r="C97" s="23" t="s">
        <v>439</v>
      </c>
      <c r="D97" s="23">
        <v>930000</v>
      </c>
      <c r="E97" s="23" t="s">
        <v>343</v>
      </c>
      <c r="F97" s="23" t="str">
        <f t="shared" si="2"/>
        <v>rtdc.l.rtdc.4040:itc</v>
      </c>
      <c r="G97" s="8">
        <f t="shared" si="3"/>
        <v>42608.470185185186</v>
      </c>
    </row>
    <row r="98" spans="1:7" x14ac:dyDescent="0.25">
      <c r="A98" s="8">
        <v>42608.471979166665</v>
      </c>
      <c r="B98" s="23" t="s">
        <v>276</v>
      </c>
      <c r="C98" s="23" t="s">
        <v>440</v>
      </c>
      <c r="D98" s="23">
        <v>1760000</v>
      </c>
      <c r="E98" s="23" t="s">
        <v>367</v>
      </c>
      <c r="F98" s="23" t="str">
        <f t="shared" si="2"/>
        <v>rtdc.l.rtdc.4026:itc</v>
      </c>
      <c r="G98" s="8">
        <f t="shared" si="3"/>
        <v>42608.471979166665</v>
      </c>
    </row>
    <row r="99" spans="1:7" x14ac:dyDescent="0.25">
      <c r="A99" s="8">
        <v>42608.474490740744</v>
      </c>
      <c r="B99" s="23" t="s">
        <v>93</v>
      </c>
      <c r="C99" s="23" t="s">
        <v>441</v>
      </c>
      <c r="D99" s="23">
        <v>2140000</v>
      </c>
      <c r="E99" s="23" t="s">
        <v>214</v>
      </c>
      <c r="F99" s="23" t="str">
        <f t="shared" si="2"/>
        <v>rtdc.l.rtdc.4027:itc</v>
      </c>
      <c r="G99" s="8">
        <f t="shared" si="3"/>
        <v>42608.474490740744</v>
      </c>
    </row>
    <row r="100" spans="1:7" x14ac:dyDescent="0.25">
      <c r="A100" s="8">
        <v>42608.484409722223</v>
      </c>
      <c r="B100" s="23" t="s">
        <v>144</v>
      </c>
      <c r="C100" s="23" t="s">
        <v>442</v>
      </c>
      <c r="D100" s="23">
        <v>1240000</v>
      </c>
      <c r="E100" s="23" t="s">
        <v>377</v>
      </c>
      <c r="F100" s="23" t="str">
        <f t="shared" si="2"/>
        <v>rtdc.l.rtdc.4037:itc</v>
      </c>
      <c r="G100" s="8">
        <f t="shared" si="3"/>
        <v>42608.484409722223</v>
      </c>
    </row>
    <row r="101" spans="1:7" x14ac:dyDescent="0.25">
      <c r="A101" s="8">
        <v>42608.485486111109</v>
      </c>
      <c r="B101" s="23" t="s">
        <v>338</v>
      </c>
      <c r="C101" s="23" t="s">
        <v>443</v>
      </c>
      <c r="D101" s="23">
        <v>2280000</v>
      </c>
      <c r="E101" s="23" t="s">
        <v>272</v>
      </c>
      <c r="F101" s="23" t="str">
        <f t="shared" si="2"/>
        <v>rtdc.l.rtdc.4012:itc</v>
      </c>
      <c r="G101" s="8">
        <f t="shared" si="3"/>
        <v>42608.485486111109</v>
      </c>
    </row>
    <row r="102" spans="1:7" x14ac:dyDescent="0.25">
      <c r="A102" s="8">
        <v>42608.487858796296</v>
      </c>
      <c r="B102" s="23" t="s">
        <v>182</v>
      </c>
      <c r="C102" s="23" t="s">
        <v>444</v>
      </c>
      <c r="D102" s="23">
        <v>1360000</v>
      </c>
      <c r="E102" s="23" t="s">
        <v>234</v>
      </c>
      <c r="F102" s="23" t="str">
        <f t="shared" si="2"/>
        <v>rtdc.l.rtdc.4001:itc</v>
      </c>
      <c r="G102" s="8">
        <f t="shared" si="3"/>
        <v>42608.487858796296</v>
      </c>
    </row>
    <row r="103" spans="1:7" x14ac:dyDescent="0.25">
      <c r="A103" s="8">
        <v>42608.48909722222</v>
      </c>
      <c r="B103" s="23" t="s">
        <v>112</v>
      </c>
      <c r="C103" s="23" t="s">
        <v>445</v>
      </c>
      <c r="D103" s="23">
        <v>2040000</v>
      </c>
      <c r="E103" s="23" t="s">
        <v>278</v>
      </c>
      <c r="F103" s="23" t="str">
        <f t="shared" si="2"/>
        <v>rtdc.l.rtdc.4014:itc</v>
      </c>
      <c r="G103" s="8">
        <f t="shared" si="3"/>
        <v>42608.48909722222</v>
      </c>
    </row>
    <row r="104" spans="1:7" x14ac:dyDescent="0.25">
      <c r="A104" s="8">
        <v>42608.49690972222</v>
      </c>
      <c r="B104" s="23" t="s">
        <v>114</v>
      </c>
      <c r="C104" s="23" t="s">
        <v>446</v>
      </c>
      <c r="D104" s="23">
        <v>2000000</v>
      </c>
      <c r="E104" s="23" t="s">
        <v>143</v>
      </c>
      <c r="F104" s="23" t="str">
        <f t="shared" si="2"/>
        <v>rtdc.l.rtdc.4031:itc</v>
      </c>
      <c r="G104" s="8">
        <f t="shared" si="3"/>
        <v>42608.49690972222</v>
      </c>
    </row>
    <row r="105" spans="1:7" x14ac:dyDescent="0.25">
      <c r="A105" s="8">
        <v>42608.500034722223</v>
      </c>
      <c r="B105" s="23" t="s">
        <v>384</v>
      </c>
      <c r="C105" s="23" t="s">
        <v>447</v>
      </c>
      <c r="D105" s="23">
        <v>930000</v>
      </c>
      <c r="E105" s="23" t="s">
        <v>343</v>
      </c>
      <c r="F105" s="23" t="str">
        <f t="shared" si="2"/>
        <v>rtdc.l.rtdc.4039:itc</v>
      </c>
      <c r="G105" s="8">
        <f t="shared" si="3"/>
        <v>42608.500034722223</v>
      </c>
    </row>
    <row r="106" spans="1:7" x14ac:dyDescent="0.25">
      <c r="A106" s="8">
        <v>42608.50953703704</v>
      </c>
      <c r="B106" s="23" t="s">
        <v>273</v>
      </c>
      <c r="C106" s="23" t="s">
        <v>448</v>
      </c>
      <c r="D106" s="23">
        <v>2020000</v>
      </c>
      <c r="E106" s="23" t="s">
        <v>344</v>
      </c>
      <c r="F106" s="23" t="str">
        <f t="shared" si="2"/>
        <v>rtdc.l.rtdc.4025:itc</v>
      </c>
      <c r="G106" s="8">
        <f t="shared" si="3"/>
        <v>42608.50953703704</v>
      </c>
    </row>
    <row r="107" spans="1:7" x14ac:dyDescent="0.25">
      <c r="A107" s="8">
        <v>42608.511006944442</v>
      </c>
      <c r="B107" s="23" t="s">
        <v>341</v>
      </c>
      <c r="C107" s="23" t="s">
        <v>449</v>
      </c>
      <c r="D107" s="23">
        <v>2280000</v>
      </c>
      <c r="E107" s="23" t="s">
        <v>272</v>
      </c>
      <c r="F107" s="23" t="str">
        <f t="shared" si="2"/>
        <v>rtdc.l.rtdc.4011:itc</v>
      </c>
      <c r="G107" s="8">
        <f t="shared" si="3"/>
        <v>42608.511006944442</v>
      </c>
    </row>
    <row r="108" spans="1:7" x14ac:dyDescent="0.25">
      <c r="A108" s="8">
        <v>42608.512916666667</v>
      </c>
      <c r="B108" s="23" t="s">
        <v>394</v>
      </c>
      <c r="C108" s="23" t="s">
        <v>450</v>
      </c>
      <c r="D108" s="23">
        <v>2140000</v>
      </c>
      <c r="E108" s="23" t="s">
        <v>214</v>
      </c>
      <c r="F108" s="23" t="str">
        <f t="shared" si="2"/>
        <v>rtdc.l.rtdc.4028:itc</v>
      </c>
      <c r="G108" s="8">
        <f t="shared" si="3"/>
        <v>42608.512916666667</v>
      </c>
    </row>
    <row r="109" spans="1:7" x14ac:dyDescent="0.25">
      <c r="A109" s="8">
        <v>42608.520451388889</v>
      </c>
      <c r="B109" s="23" t="s">
        <v>151</v>
      </c>
      <c r="C109" s="23" t="s">
        <v>451</v>
      </c>
      <c r="D109" s="23">
        <v>950000</v>
      </c>
      <c r="E109" s="23" t="s">
        <v>346</v>
      </c>
      <c r="F109" s="23" t="str">
        <f t="shared" si="2"/>
        <v>rtdc.l.rtdc.4038:itc</v>
      </c>
      <c r="G109" s="8">
        <f t="shared" si="3"/>
        <v>42608.520451388889</v>
      </c>
    </row>
    <row r="110" spans="1:7" x14ac:dyDescent="0.25">
      <c r="A110" s="8">
        <v>42608.524351851855</v>
      </c>
      <c r="B110" s="23" t="s">
        <v>90</v>
      </c>
      <c r="C110" s="23" t="s">
        <v>452</v>
      </c>
      <c r="D110" s="23">
        <v>2040000</v>
      </c>
      <c r="E110" s="23" t="s">
        <v>278</v>
      </c>
      <c r="F110" s="23" t="str">
        <f t="shared" si="2"/>
        <v>rtdc.l.rtdc.4013:itc</v>
      </c>
      <c r="G110" s="8">
        <f t="shared" si="3"/>
        <v>42608.524351851855</v>
      </c>
    </row>
    <row r="111" spans="1:7" x14ac:dyDescent="0.25">
      <c r="A111" s="8">
        <v>42608.527754629627</v>
      </c>
      <c r="B111" s="23" t="s">
        <v>338</v>
      </c>
      <c r="C111" s="23" t="s">
        <v>453</v>
      </c>
      <c r="D111" s="23">
        <v>2280000</v>
      </c>
      <c r="E111" s="23" t="s">
        <v>272</v>
      </c>
      <c r="F111" s="23" t="str">
        <f t="shared" si="2"/>
        <v>rtdc.l.rtdc.4012:itc</v>
      </c>
      <c r="G111" s="8">
        <f t="shared" si="3"/>
        <v>42608.527754629627</v>
      </c>
    </row>
    <row r="112" spans="1:7" x14ac:dyDescent="0.25">
      <c r="A112" s="8">
        <v>42608.529351851852</v>
      </c>
      <c r="B112" s="23" t="s">
        <v>181</v>
      </c>
      <c r="C112" s="23" t="s">
        <v>454</v>
      </c>
      <c r="D112" s="23">
        <v>880000</v>
      </c>
      <c r="E112" s="23" t="s">
        <v>431</v>
      </c>
      <c r="F112" s="23" t="str">
        <f t="shared" si="2"/>
        <v>rtdc.l.rtdc.4002:itc</v>
      </c>
      <c r="G112" s="8">
        <f t="shared" si="3"/>
        <v>42608.529351851852</v>
      </c>
    </row>
    <row r="113" spans="1:7" x14ac:dyDescent="0.25">
      <c r="A113" s="8">
        <v>42608.535763888889</v>
      </c>
      <c r="B113" s="23" t="s">
        <v>115</v>
      </c>
      <c r="C113" s="23" t="s">
        <v>455</v>
      </c>
      <c r="D113" s="23">
        <v>2000000</v>
      </c>
      <c r="E113" s="23" t="s">
        <v>143</v>
      </c>
      <c r="F113" s="23" t="str">
        <f t="shared" si="2"/>
        <v>rtdc.l.rtdc.4032:itc</v>
      </c>
      <c r="G113" s="8">
        <f t="shared" si="3"/>
        <v>42608.535763888889</v>
      </c>
    </row>
    <row r="114" spans="1:7" x14ac:dyDescent="0.25">
      <c r="A114" s="8">
        <v>42608.538611111115</v>
      </c>
      <c r="B114" s="23" t="s">
        <v>356</v>
      </c>
      <c r="C114" s="23" t="s">
        <v>456</v>
      </c>
      <c r="D114" s="23">
        <v>930000</v>
      </c>
      <c r="E114" s="23" t="s">
        <v>343</v>
      </c>
      <c r="F114" s="23" t="str">
        <f t="shared" si="2"/>
        <v>rtdc.l.rtdc.4040:itc</v>
      </c>
      <c r="G114" s="8">
        <f t="shared" si="3"/>
        <v>42608.538611111115</v>
      </c>
    </row>
    <row r="115" spans="1:7" x14ac:dyDescent="0.25">
      <c r="A115" s="8">
        <v>42608.545219907406</v>
      </c>
      <c r="B115" s="23" t="s">
        <v>276</v>
      </c>
      <c r="C115" s="23" t="s">
        <v>457</v>
      </c>
      <c r="D115" s="23">
        <v>2020000</v>
      </c>
      <c r="E115" s="23" t="s">
        <v>344</v>
      </c>
      <c r="F115" s="23" t="str">
        <f t="shared" si="2"/>
        <v>rtdc.l.rtdc.4026:itc</v>
      </c>
      <c r="G115" s="8">
        <f t="shared" si="3"/>
        <v>42608.545219907406</v>
      </c>
    </row>
    <row r="116" spans="1:7" x14ac:dyDescent="0.25">
      <c r="A116" s="8">
        <v>42608.546759259261</v>
      </c>
      <c r="B116" s="23" t="s">
        <v>341</v>
      </c>
      <c r="C116" s="23" t="s">
        <v>458</v>
      </c>
      <c r="D116" s="23">
        <v>2270000</v>
      </c>
      <c r="E116" s="23" t="s">
        <v>345</v>
      </c>
      <c r="F116" s="23" t="str">
        <f t="shared" si="2"/>
        <v>rtdc.l.rtdc.4011:itc</v>
      </c>
      <c r="G116" s="8">
        <f t="shared" si="3"/>
        <v>42608.546759259261</v>
      </c>
    </row>
    <row r="117" spans="1:7" x14ac:dyDescent="0.25">
      <c r="A117" s="8">
        <v>42608.549664351849</v>
      </c>
      <c r="B117" s="23" t="s">
        <v>93</v>
      </c>
      <c r="C117" s="23" t="s">
        <v>459</v>
      </c>
      <c r="D117" s="23">
        <v>2140000</v>
      </c>
      <c r="E117" s="23" t="s">
        <v>214</v>
      </c>
      <c r="F117" s="23" t="str">
        <f t="shared" si="2"/>
        <v>rtdc.l.rtdc.4027:itc</v>
      </c>
      <c r="G117" s="8">
        <f t="shared" si="3"/>
        <v>42608.549664351849</v>
      </c>
    </row>
    <row r="118" spans="1:7" x14ac:dyDescent="0.25">
      <c r="A118" s="8">
        <v>42608.556689814817</v>
      </c>
      <c r="B118" s="23" t="s">
        <v>144</v>
      </c>
      <c r="C118" s="23" t="s">
        <v>460</v>
      </c>
      <c r="D118" s="23">
        <v>950000</v>
      </c>
      <c r="E118" s="23" t="s">
        <v>346</v>
      </c>
      <c r="F118" s="23" t="str">
        <f t="shared" si="2"/>
        <v>rtdc.l.rtdc.4037:itc</v>
      </c>
      <c r="G118" s="8">
        <f t="shared" si="3"/>
        <v>42608.556689814817</v>
      </c>
    </row>
    <row r="119" spans="1:7" x14ac:dyDescent="0.25">
      <c r="A119" s="8">
        <v>42608.560057870367</v>
      </c>
      <c r="B119" s="23" t="s">
        <v>112</v>
      </c>
      <c r="C119" s="23" t="s">
        <v>461</v>
      </c>
      <c r="D119" s="23">
        <v>2040000</v>
      </c>
      <c r="E119" s="23" t="s">
        <v>278</v>
      </c>
      <c r="F119" s="23" t="str">
        <f t="shared" si="2"/>
        <v>rtdc.l.rtdc.4014:itc</v>
      </c>
      <c r="G119" s="8">
        <f t="shared" si="3"/>
        <v>42608.560057870367</v>
      </c>
    </row>
    <row r="120" spans="1:7" x14ac:dyDescent="0.25">
      <c r="A120" s="8">
        <v>42608.568518518521</v>
      </c>
      <c r="B120" s="23" t="s">
        <v>114</v>
      </c>
      <c r="C120" s="23" t="s">
        <v>462</v>
      </c>
      <c r="D120" s="23">
        <v>2000000</v>
      </c>
      <c r="E120" s="23" t="s">
        <v>143</v>
      </c>
      <c r="F120" s="23" t="str">
        <f t="shared" si="2"/>
        <v>rtdc.l.rtdc.4031:itc</v>
      </c>
      <c r="G120" s="8">
        <f t="shared" si="3"/>
        <v>42608.568518518521</v>
      </c>
    </row>
    <row r="121" spans="1:7" x14ac:dyDescent="0.25">
      <c r="A121" s="8">
        <v>42608.570694444446</v>
      </c>
      <c r="B121" s="23" t="s">
        <v>338</v>
      </c>
      <c r="C121" s="23" t="s">
        <v>463</v>
      </c>
      <c r="D121" s="23">
        <v>2270000</v>
      </c>
      <c r="E121" s="23" t="s">
        <v>345</v>
      </c>
      <c r="F121" s="23" t="str">
        <f t="shared" si="2"/>
        <v>rtdc.l.rtdc.4012:itc</v>
      </c>
      <c r="G121" s="8">
        <f t="shared" si="3"/>
        <v>42608.570694444446</v>
      </c>
    </row>
    <row r="122" spans="1:7" x14ac:dyDescent="0.25">
      <c r="A122" s="8">
        <v>42608.570960648147</v>
      </c>
      <c r="B122" s="28" t="s">
        <v>384</v>
      </c>
      <c r="C122" s="23" t="s">
        <v>464</v>
      </c>
      <c r="D122" s="23">
        <v>930000</v>
      </c>
      <c r="E122" s="23" t="s">
        <v>343</v>
      </c>
      <c r="F122" s="23" t="str">
        <f t="shared" si="2"/>
        <v>rtdc.l.rtdc.4039:itc</v>
      </c>
      <c r="G122" s="8">
        <f t="shared" si="3"/>
        <v>42608.570960648147</v>
      </c>
    </row>
    <row r="123" spans="1:7" x14ac:dyDescent="0.25">
      <c r="A123" s="8">
        <v>42608.572118055556</v>
      </c>
      <c r="B123" s="23" t="s">
        <v>182</v>
      </c>
      <c r="C123" s="23" t="s">
        <v>465</v>
      </c>
      <c r="D123" s="23">
        <v>880000</v>
      </c>
      <c r="E123" s="23" t="s">
        <v>431</v>
      </c>
      <c r="F123" s="23" t="str">
        <f t="shared" si="2"/>
        <v>rtdc.l.rtdc.4001:itc</v>
      </c>
      <c r="G123" s="8">
        <f t="shared" si="3"/>
        <v>42608.572118055556</v>
      </c>
    </row>
    <row r="124" spans="1:7" x14ac:dyDescent="0.25">
      <c r="A124" s="8">
        <v>42608.580520833333</v>
      </c>
      <c r="B124" s="23" t="s">
        <v>273</v>
      </c>
      <c r="C124" s="23" t="s">
        <v>466</v>
      </c>
      <c r="D124" s="23">
        <v>2020000</v>
      </c>
      <c r="E124" s="23" t="s">
        <v>344</v>
      </c>
      <c r="F124" s="23" t="str">
        <f t="shared" si="2"/>
        <v>rtdc.l.rtdc.4025:itc</v>
      </c>
      <c r="G124" s="8">
        <f t="shared" si="3"/>
        <v>42608.580520833333</v>
      </c>
    </row>
    <row r="125" spans="1:7" x14ac:dyDescent="0.25">
      <c r="A125" s="8">
        <v>42608.586342592593</v>
      </c>
      <c r="B125" s="23" t="s">
        <v>341</v>
      </c>
      <c r="C125" s="23" t="s">
        <v>467</v>
      </c>
      <c r="D125" s="23">
        <v>2270000</v>
      </c>
      <c r="E125" s="23" t="s">
        <v>345</v>
      </c>
      <c r="F125" s="23" t="str">
        <f t="shared" si="2"/>
        <v>rtdc.l.rtdc.4011:itc</v>
      </c>
      <c r="G125" s="8">
        <f t="shared" si="3"/>
        <v>42608.586342592593</v>
      </c>
    </row>
    <row r="126" spans="1:7" x14ac:dyDescent="0.25">
      <c r="A126" s="8">
        <v>42608.586631944447</v>
      </c>
      <c r="B126" s="23" t="s">
        <v>394</v>
      </c>
      <c r="C126" s="23" t="s">
        <v>468</v>
      </c>
      <c r="D126" s="23">
        <v>2140000</v>
      </c>
      <c r="E126" s="23" t="s">
        <v>214</v>
      </c>
      <c r="F126" s="23" t="str">
        <f t="shared" si="2"/>
        <v>rtdc.l.rtdc.4028:itc</v>
      </c>
      <c r="G126" s="8">
        <f t="shared" si="3"/>
        <v>42608.586631944447</v>
      </c>
    </row>
    <row r="127" spans="1:7" x14ac:dyDescent="0.25">
      <c r="A127" s="8">
        <v>42608.591261574074</v>
      </c>
      <c r="B127" s="23" t="s">
        <v>151</v>
      </c>
      <c r="C127" s="23" t="s">
        <v>469</v>
      </c>
      <c r="D127" s="23">
        <v>950000</v>
      </c>
      <c r="E127" s="23" t="s">
        <v>346</v>
      </c>
      <c r="F127" s="23" t="str">
        <f t="shared" si="2"/>
        <v>rtdc.l.rtdc.4038:itc</v>
      </c>
      <c r="G127" s="8">
        <f t="shared" si="3"/>
        <v>42608.591261574074</v>
      </c>
    </row>
    <row r="128" spans="1:7" x14ac:dyDescent="0.25">
      <c r="A128" s="8">
        <v>42608.599432870367</v>
      </c>
      <c r="B128" s="23" t="s">
        <v>90</v>
      </c>
      <c r="C128" s="23" t="s">
        <v>470</v>
      </c>
      <c r="D128" s="23">
        <v>2040000</v>
      </c>
      <c r="E128" s="23" t="s">
        <v>278</v>
      </c>
      <c r="F128" s="23" t="str">
        <f t="shared" si="2"/>
        <v>rtdc.l.rtdc.4013:itc</v>
      </c>
      <c r="G128" s="8">
        <f t="shared" si="3"/>
        <v>42608.599432870367</v>
      </c>
    </row>
    <row r="129" spans="1:7" x14ac:dyDescent="0.25">
      <c r="A129" s="8">
        <v>42608.606111111112</v>
      </c>
      <c r="B129" s="23" t="s">
        <v>174</v>
      </c>
      <c r="C129" s="23" t="s">
        <v>471</v>
      </c>
      <c r="D129" s="23">
        <v>880000</v>
      </c>
      <c r="E129" s="23" t="s">
        <v>431</v>
      </c>
      <c r="F129" s="23" t="str">
        <f t="shared" si="2"/>
        <v>rtdc.l.rtdc.4009:itc</v>
      </c>
      <c r="G129" s="8">
        <f t="shared" si="3"/>
        <v>42608.606111111112</v>
      </c>
    </row>
    <row r="130" spans="1:7" x14ac:dyDescent="0.25">
      <c r="A130" s="8">
        <v>42608.607453703706</v>
      </c>
      <c r="B130" s="23" t="s">
        <v>115</v>
      </c>
      <c r="C130" s="23" t="s">
        <v>472</v>
      </c>
      <c r="D130" s="23">
        <v>2000000</v>
      </c>
      <c r="E130" s="23" t="s">
        <v>143</v>
      </c>
      <c r="F130" s="23" t="str">
        <f t="shared" ref="F130:F193" si="4">B130</f>
        <v>rtdc.l.rtdc.4032:itc</v>
      </c>
      <c r="G130" s="8">
        <f t="shared" ref="G130:G193" si="5">A130</f>
        <v>42608.607453703706</v>
      </c>
    </row>
    <row r="131" spans="1:7" x14ac:dyDescent="0.25">
      <c r="A131" s="8">
        <v>42608.61277777778</v>
      </c>
      <c r="B131" s="23" t="s">
        <v>338</v>
      </c>
      <c r="C131" s="23" t="s">
        <v>473</v>
      </c>
      <c r="D131" s="23">
        <v>2270000</v>
      </c>
      <c r="E131" s="23" t="s">
        <v>345</v>
      </c>
      <c r="F131" s="23" t="str">
        <f t="shared" si="4"/>
        <v>rtdc.l.rtdc.4012:itc</v>
      </c>
      <c r="G131" s="8">
        <f t="shared" si="5"/>
        <v>42608.61277777778</v>
      </c>
    </row>
    <row r="132" spans="1:7" x14ac:dyDescent="0.25">
      <c r="A132" s="8">
        <v>42608.614594907405</v>
      </c>
      <c r="B132" s="23" t="s">
        <v>356</v>
      </c>
      <c r="C132" s="23" t="s">
        <v>474</v>
      </c>
      <c r="D132" s="23">
        <v>930000</v>
      </c>
      <c r="E132" s="23" t="s">
        <v>343</v>
      </c>
      <c r="F132" s="23" t="str">
        <f t="shared" si="4"/>
        <v>rtdc.l.rtdc.4040:itc</v>
      </c>
      <c r="G132" s="8">
        <f t="shared" si="5"/>
        <v>42608.614594907405</v>
      </c>
    </row>
    <row r="133" spans="1:7" x14ac:dyDescent="0.25">
      <c r="A133" s="8">
        <v>42608.617766203701</v>
      </c>
      <c r="B133" s="23" t="s">
        <v>276</v>
      </c>
      <c r="C133" s="23" t="s">
        <v>475</v>
      </c>
      <c r="D133" s="23">
        <v>2020000</v>
      </c>
      <c r="E133" s="23" t="s">
        <v>344</v>
      </c>
      <c r="F133" s="23" t="str">
        <f t="shared" si="4"/>
        <v>rtdc.l.rtdc.4026:itc</v>
      </c>
      <c r="G133" s="8">
        <f t="shared" si="5"/>
        <v>42608.617766203701</v>
      </c>
    </row>
    <row r="134" spans="1:7" x14ac:dyDescent="0.25">
      <c r="A134" s="8">
        <v>42608.621307870373</v>
      </c>
      <c r="B134" s="23" t="s">
        <v>93</v>
      </c>
      <c r="C134" s="23" t="s">
        <v>476</v>
      </c>
      <c r="D134" s="23">
        <v>2140000</v>
      </c>
      <c r="E134" s="23" t="s">
        <v>214</v>
      </c>
      <c r="F134" s="23" t="str">
        <f t="shared" si="4"/>
        <v>rtdc.l.rtdc.4027:itc</v>
      </c>
      <c r="G134" s="8">
        <f t="shared" si="5"/>
        <v>42608.621307870373</v>
      </c>
    </row>
    <row r="135" spans="1:7" x14ac:dyDescent="0.25">
      <c r="A135" s="8">
        <v>42608.626354166663</v>
      </c>
      <c r="B135" s="23" t="s">
        <v>144</v>
      </c>
      <c r="C135" s="23" t="s">
        <v>477</v>
      </c>
      <c r="D135" s="23">
        <v>950000</v>
      </c>
      <c r="E135" s="23" t="s">
        <v>346</v>
      </c>
      <c r="F135" s="23" t="str">
        <f t="shared" si="4"/>
        <v>rtdc.l.rtdc.4037:itc</v>
      </c>
      <c r="G135" s="8">
        <f t="shared" si="5"/>
        <v>42608.626354166663</v>
      </c>
    </row>
    <row r="136" spans="1:7" x14ac:dyDescent="0.25">
      <c r="A136" s="8">
        <v>42608.633379629631</v>
      </c>
      <c r="B136" s="23" t="s">
        <v>112</v>
      </c>
      <c r="C136" s="23" t="s">
        <v>478</v>
      </c>
      <c r="D136" s="23">
        <v>2040000</v>
      </c>
      <c r="E136" s="23" t="s">
        <v>278</v>
      </c>
      <c r="F136" s="23" t="str">
        <f t="shared" si="4"/>
        <v>rtdc.l.rtdc.4014:itc</v>
      </c>
      <c r="G136" s="8">
        <f t="shared" si="5"/>
        <v>42608.633379629631</v>
      </c>
    </row>
    <row r="137" spans="1:7" x14ac:dyDescent="0.25">
      <c r="A137" s="8">
        <v>42608.635358796295</v>
      </c>
      <c r="B137" s="23" t="s">
        <v>341</v>
      </c>
      <c r="C137" s="23" t="s">
        <v>479</v>
      </c>
      <c r="D137" s="23">
        <v>2270000</v>
      </c>
      <c r="E137" s="23" t="s">
        <v>345</v>
      </c>
      <c r="F137" s="23" t="str">
        <f t="shared" si="4"/>
        <v>rtdc.l.rtdc.4011:itc</v>
      </c>
      <c r="G137" s="8">
        <f t="shared" si="5"/>
        <v>42608.635358796295</v>
      </c>
    </row>
    <row r="138" spans="1:7" x14ac:dyDescent="0.25">
      <c r="A138" s="8">
        <v>42608.636018518519</v>
      </c>
      <c r="B138" s="23" t="s">
        <v>337</v>
      </c>
      <c r="C138" s="23" t="s">
        <v>480</v>
      </c>
      <c r="D138" s="23">
        <v>2250000</v>
      </c>
      <c r="E138" s="23" t="s">
        <v>277</v>
      </c>
      <c r="F138" s="23" t="str">
        <f t="shared" si="4"/>
        <v>rtdc.l.rtdc.4019:itc</v>
      </c>
      <c r="G138" s="8">
        <f t="shared" si="5"/>
        <v>42608.636018518519</v>
      </c>
    </row>
    <row r="139" spans="1:7" x14ac:dyDescent="0.25">
      <c r="A139" s="8">
        <v>42608.641087962962</v>
      </c>
      <c r="B139" s="23" t="s">
        <v>175</v>
      </c>
      <c r="C139" s="23" t="s">
        <v>481</v>
      </c>
      <c r="D139" s="23">
        <v>880000</v>
      </c>
      <c r="E139" s="23" t="s">
        <v>431</v>
      </c>
      <c r="F139" s="23" t="str">
        <f t="shared" si="4"/>
        <v>rtdc.l.rtdc.4010:itc</v>
      </c>
      <c r="G139" s="8">
        <f t="shared" si="5"/>
        <v>42608.641087962962</v>
      </c>
    </row>
    <row r="140" spans="1:7" x14ac:dyDescent="0.25">
      <c r="A140" s="8">
        <v>42608.645208333335</v>
      </c>
      <c r="B140" s="23" t="s">
        <v>114</v>
      </c>
      <c r="C140" s="23" t="s">
        <v>482</v>
      </c>
      <c r="D140" s="23">
        <v>2110000</v>
      </c>
      <c r="E140" s="23" t="s">
        <v>347</v>
      </c>
      <c r="F140" s="23" t="str">
        <f t="shared" si="4"/>
        <v>rtdc.l.rtdc.4031:itc</v>
      </c>
      <c r="G140" s="8">
        <f t="shared" si="5"/>
        <v>42608.645208333335</v>
      </c>
    </row>
    <row r="141" spans="1:7" x14ac:dyDescent="0.25">
      <c r="A141" s="8">
        <v>42608.645833333336</v>
      </c>
      <c r="B141" s="23" t="s">
        <v>181</v>
      </c>
      <c r="C141" s="23" t="s">
        <v>483</v>
      </c>
      <c r="D141" s="23">
        <v>2000000</v>
      </c>
      <c r="E141" s="23" t="s">
        <v>143</v>
      </c>
      <c r="F141" s="23" t="str">
        <f t="shared" si="4"/>
        <v>rtdc.l.rtdc.4002:itc</v>
      </c>
      <c r="G141" s="8">
        <f t="shared" si="5"/>
        <v>42608.645833333336</v>
      </c>
    </row>
    <row r="142" spans="1:7" x14ac:dyDescent="0.25">
      <c r="A142" s="8">
        <v>42608.647465277776</v>
      </c>
      <c r="B142" s="23" t="s">
        <v>342</v>
      </c>
      <c r="C142" s="23" t="s">
        <v>484</v>
      </c>
      <c r="D142" s="23">
        <v>2250000</v>
      </c>
      <c r="E142" s="23" t="s">
        <v>277</v>
      </c>
      <c r="F142" s="23" t="str">
        <f t="shared" si="4"/>
        <v>rtdc.l.rtdc.4020:itc</v>
      </c>
      <c r="G142" s="8">
        <f t="shared" si="5"/>
        <v>42608.647465277776</v>
      </c>
    </row>
    <row r="143" spans="1:7" x14ac:dyDescent="0.25">
      <c r="A143" s="8">
        <v>42608.649398148147</v>
      </c>
      <c r="B143" s="23" t="s">
        <v>384</v>
      </c>
      <c r="C143" s="23" t="s">
        <v>485</v>
      </c>
      <c r="D143" s="23">
        <v>930000</v>
      </c>
      <c r="E143" s="23" t="s">
        <v>343</v>
      </c>
      <c r="F143" s="23" t="str">
        <f t="shared" si="4"/>
        <v>rtdc.l.rtdc.4039:itc</v>
      </c>
      <c r="G143" s="8">
        <f t="shared" si="5"/>
        <v>42608.649398148147</v>
      </c>
    </row>
    <row r="144" spans="1:7" x14ac:dyDescent="0.25">
      <c r="A144" s="8">
        <v>42608.65185185185</v>
      </c>
      <c r="B144" s="23" t="s">
        <v>338</v>
      </c>
      <c r="C144" s="23" t="s">
        <v>486</v>
      </c>
      <c r="D144" s="23">
        <v>2270000</v>
      </c>
      <c r="E144" s="23" t="s">
        <v>345</v>
      </c>
      <c r="F144" s="23" t="str">
        <f t="shared" si="4"/>
        <v>rtdc.l.rtdc.4012:itc</v>
      </c>
      <c r="G144" s="8">
        <f t="shared" si="5"/>
        <v>42608.65185185185</v>
      </c>
    </row>
    <row r="145" spans="1:7" x14ac:dyDescent="0.25">
      <c r="A145" s="8">
        <v>42608.654664351852</v>
      </c>
      <c r="B145" s="23" t="s">
        <v>273</v>
      </c>
      <c r="C145" s="23" t="s">
        <v>487</v>
      </c>
      <c r="D145" s="23">
        <v>2020000</v>
      </c>
      <c r="E145" s="23" t="s">
        <v>344</v>
      </c>
      <c r="F145" s="23" t="str">
        <f t="shared" si="4"/>
        <v>rtdc.l.rtdc.4025:itc</v>
      </c>
      <c r="G145" s="8">
        <f t="shared" si="5"/>
        <v>42608.654664351852</v>
      </c>
    </row>
    <row r="146" spans="1:7" x14ac:dyDescent="0.25">
      <c r="A146" s="8">
        <v>42608.658877314818</v>
      </c>
      <c r="B146" s="23" t="s">
        <v>394</v>
      </c>
      <c r="C146" s="23" t="s">
        <v>488</v>
      </c>
      <c r="D146" s="23">
        <v>2140000</v>
      </c>
      <c r="E146" s="23" t="s">
        <v>214</v>
      </c>
      <c r="F146" s="23" t="str">
        <f t="shared" si="4"/>
        <v>rtdc.l.rtdc.4028:itc</v>
      </c>
      <c r="G146" s="8">
        <f t="shared" si="5"/>
        <v>42608.658877314818</v>
      </c>
    </row>
    <row r="147" spans="1:7" x14ac:dyDescent="0.25">
      <c r="A147" s="8">
        <v>42608.666331018518</v>
      </c>
      <c r="B147" s="23" t="s">
        <v>151</v>
      </c>
      <c r="C147" s="23" t="s">
        <v>489</v>
      </c>
      <c r="D147" s="23">
        <v>950000</v>
      </c>
      <c r="E147" s="23" t="s">
        <v>346</v>
      </c>
      <c r="F147" s="23" t="str">
        <f t="shared" si="4"/>
        <v>rtdc.l.rtdc.4038:itc</v>
      </c>
      <c r="G147" s="8">
        <f t="shared" si="5"/>
        <v>42608.666331018518</v>
      </c>
    </row>
    <row r="148" spans="1:7" x14ac:dyDescent="0.25">
      <c r="A148" s="8">
        <v>42608.672025462962</v>
      </c>
      <c r="B148" s="23" t="s">
        <v>337</v>
      </c>
      <c r="C148" s="23" t="s">
        <v>490</v>
      </c>
      <c r="D148" s="23">
        <v>2250000</v>
      </c>
      <c r="E148" s="23" t="s">
        <v>277</v>
      </c>
      <c r="F148" s="23" t="str">
        <f t="shared" si="4"/>
        <v>rtdc.l.rtdc.4019:itc</v>
      </c>
      <c r="G148" s="8">
        <f t="shared" si="5"/>
        <v>42608.672025462962</v>
      </c>
    </row>
    <row r="149" spans="1:7" x14ac:dyDescent="0.25">
      <c r="A149" s="8">
        <v>42608.672118055554</v>
      </c>
      <c r="B149" s="23" t="s">
        <v>90</v>
      </c>
      <c r="C149" s="23" t="s">
        <v>491</v>
      </c>
      <c r="D149" s="23">
        <v>2040000</v>
      </c>
      <c r="E149" s="23" t="s">
        <v>278</v>
      </c>
      <c r="F149" s="23" t="str">
        <f t="shared" si="4"/>
        <v>rtdc.l.rtdc.4013:itc</v>
      </c>
      <c r="G149" s="8">
        <f t="shared" si="5"/>
        <v>42608.672118055554</v>
      </c>
    </row>
    <row r="150" spans="1:7" x14ac:dyDescent="0.25">
      <c r="A150" s="8">
        <v>42608.675740740742</v>
      </c>
      <c r="B150" s="23" t="s">
        <v>174</v>
      </c>
      <c r="C150" s="23" t="s">
        <v>492</v>
      </c>
      <c r="D150" s="23">
        <v>880000</v>
      </c>
      <c r="E150" s="23" t="s">
        <v>431</v>
      </c>
      <c r="F150" s="23" t="str">
        <f t="shared" si="4"/>
        <v>rtdc.l.rtdc.4009:itc</v>
      </c>
      <c r="G150" s="8">
        <f t="shared" si="5"/>
        <v>42608.675740740742</v>
      </c>
    </row>
    <row r="151" spans="1:7" x14ac:dyDescent="0.25">
      <c r="A151" s="8">
        <v>42608.679571759261</v>
      </c>
      <c r="B151" s="23" t="s">
        <v>341</v>
      </c>
      <c r="C151" s="23" t="s">
        <v>493</v>
      </c>
      <c r="D151" s="23">
        <v>2270000</v>
      </c>
      <c r="E151" s="23" t="s">
        <v>345</v>
      </c>
      <c r="F151" s="23" t="str">
        <f t="shared" si="4"/>
        <v>rtdc.l.rtdc.4011:itc</v>
      </c>
      <c r="G151" s="8">
        <f t="shared" si="5"/>
        <v>42608.679571759261</v>
      </c>
    </row>
    <row r="152" spans="1:7" x14ac:dyDescent="0.25">
      <c r="A152" s="8">
        <v>42608.685312499998</v>
      </c>
      <c r="B152" s="23" t="s">
        <v>182</v>
      </c>
      <c r="C152" s="23" t="s">
        <v>494</v>
      </c>
      <c r="D152" s="23">
        <v>2000000</v>
      </c>
      <c r="E152" s="23" t="s">
        <v>143</v>
      </c>
      <c r="F152" s="23" t="str">
        <f t="shared" si="4"/>
        <v>rtdc.l.rtdc.4001:itc</v>
      </c>
      <c r="G152" s="8">
        <f t="shared" si="5"/>
        <v>42608.685312499998</v>
      </c>
    </row>
    <row r="153" spans="1:7" x14ac:dyDescent="0.25">
      <c r="A153" s="8">
        <v>42608.685706018521</v>
      </c>
      <c r="B153" s="23" t="s">
        <v>356</v>
      </c>
      <c r="C153" s="23" t="s">
        <v>495</v>
      </c>
      <c r="D153" s="23">
        <v>930000</v>
      </c>
      <c r="E153" s="23" t="s">
        <v>343</v>
      </c>
      <c r="F153" s="23" t="str">
        <f t="shared" si="4"/>
        <v>rtdc.l.rtdc.4040:itc</v>
      </c>
      <c r="G153" s="8">
        <f t="shared" si="5"/>
        <v>42608.685706018521</v>
      </c>
    </row>
    <row r="154" spans="1:7" x14ac:dyDescent="0.25">
      <c r="A154" s="8">
        <v>42608.686886574076</v>
      </c>
      <c r="B154" s="23" t="s">
        <v>342</v>
      </c>
      <c r="C154" s="23" t="s">
        <v>496</v>
      </c>
      <c r="D154" s="23">
        <v>2250000</v>
      </c>
      <c r="E154" s="23" t="s">
        <v>277</v>
      </c>
      <c r="F154" s="23" t="str">
        <f t="shared" si="4"/>
        <v>rtdc.l.rtdc.4020:itc</v>
      </c>
      <c r="G154" s="8">
        <f t="shared" si="5"/>
        <v>42608.686886574076</v>
      </c>
    </row>
    <row r="155" spans="1:7" x14ac:dyDescent="0.25">
      <c r="A155" s="8">
        <v>42608.690671296295</v>
      </c>
      <c r="B155" s="23" t="s">
        <v>276</v>
      </c>
      <c r="C155" s="23" t="s">
        <v>497</v>
      </c>
      <c r="D155" s="23">
        <v>2020000</v>
      </c>
      <c r="E155" s="23" t="s">
        <v>344</v>
      </c>
      <c r="F155" s="23" t="str">
        <f t="shared" si="4"/>
        <v>rtdc.l.rtdc.4026:itc</v>
      </c>
      <c r="G155" s="8">
        <f t="shared" si="5"/>
        <v>42608.690671296295</v>
      </c>
    </row>
    <row r="156" spans="1:7" x14ac:dyDescent="0.25">
      <c r="A156" s="8">
        <v>42608.691666666666</v>
      </c>
      <c r="B156" s="23" t="s">
        <v>276</v>
      </c>
      <c r="C156" s="23" t="s">
        <v>497</v>
      </c>
      <c r="D156" s="23">
        <v>2020000</v>
      </c>
      <c r="E156" s="23" t="s">
        <v>344</v>
      </c>
      <c r="F156" s="23" t="str">
        <f t="shared" si="4"/>
        <v>rtdc.l.rtdc.4026:itc</v>
      </c>
      <c r="G156" s="8">
        <f t="shared" si="5"/>
        <v>42608.691666666666</v>
      </c>
    </row>
    <row r="157" spans="1:7" x14ac:dyDescent="0.25">
      <c r="A157" s="8">
        <v>42608.693576388891</v>
      </c>
      <c r="B157" s="23" t="s">
        <v>338</v>
      </c>
      <c r="C157" s="23" t="s">
        <v>498</v>
      </c>
      <c r="D157" s="23">
        <v>2270000</v>
      </c>
      <c r="E157" s="23" t="s">
        <v>345</v>
      </c>
      <c r="F157" s="23" t="str">
        <f t="shared" si="4"/>
        <v>rtdc.l.rtdc.4012:itc</v>
      </c>
      <c r="G157" s="8">
        <f t="shared" si="5"/>
        <v>42608.693576388891</v>
      </c>
    </row>
    <row r="158" spans="1:7" x14ac:dyDescent="0.25">
      <c r="A158" s="8">
        <v>42608.6955787037</v>
      </c>
      <c r="B158" s="23" t="s">
        <v>93</v>
      </c>
      <c r="C158" s="23" t="s">
        <v>499</v>
      </c>
      <c r="D158" s="23">
        <v>2140000</v>
      </c>
      <c r="E158" s="23" t="s">
        <v>214</v>
      </c>
      <c r="F158" s="23" t="str">
        <f t="shared" si="4"/>
        <v>rtdc.l.rtdc.4027:itc</v>
      </c>
      <c r="G158" s="8">
        <f t="shared" si="5"/>
        <v>42608.6955787037</v>
      </c>
    </row>
    <row r="159" spans="1:7" x14ac:dyDescent="0.25">
      <c r="A159" s="8">
        <v>42608.702939814815</v>
      </c>
      <c r="B159" s="23" t="s">
        <v>144</v>
      </c>
      <c r="C159" s="23" t="s">
        <v>500</v>
      </c>
      <c r="D159" s="23">
        <v>950000</v>
      </c>
      <c r="E159" s="23" t="s">
        <v>346</v>
      </c>
      <c r="F159" s="23" t="str">
        <f t="shared" si="4"/>
        <v>rtdc.l.rtdc.4037:itc</v>
      </c>
      <c r="G159" s="8">
        <f t="shared" si="5"/>
        <v>42608.702939814815</v>
      </c>
    </row>
    <row r="160" spans="1:7" x14ac:dyDescent="0.25">
      <c r="A160" s="8">
        <v>42608.706504629627</v>
      </c>
      <c r="B160" s="23" t="s">
        <v>112</v>
      </c>
      <c r="C160" s="23" t="s">
        <v>501</v>
      </c>
      <c r="D160" s="23">
        <v>2040000</v>
      </c>
      <c r="E160" s="23" t="s">
        <v>278</v>
      </c>
      <c r="F160" s="23" t="str">
        <f t="shared" si="4"/>
        <v>rtdc.l.rtdc.4014:itc</v>
      </c>
      <c r="G160" s="8">
        <f t="shared" si="5"/>
        <v>42608.706504629627</v>
      </c>
    </row>
    <row r="161" spans="1:7" x14ac:dyDescent="0.25">
      <c r="A161" s="8">
        <v>42608.710856481484</v>
      </c>
      <c r="B161" s="23" t="s">
        <v>341</v>
      </c>
      <c r="C161" s="23" t="s">
        <v>502</v>
      </c>
      <c r="D161" s="23">
        <v>2270000</v>
      </c>
      <c r="E161" s="23" t="s">
        <v>345</v>
      </c>
      <c r="F161" s="23" t="str">
        <f t="shared" si="4"/>
        <v>rtdc.l.rtdc.4011:itc</v>
      </c>
      <c r="G161" s="8">
        <f t="shared" si="5"/>
        <v>42608.710856481484</v>
      </c>
    </row>
    <row r="162" spans="1:7" x14ac:dyDescent="0.25">
      <c r="A162" s="8">
        <v>42608.714282407411</v>
      </c>
      <c r="B162" s="23" t="s">
        <v>175</v>
      </c>
      <c r="C162" s="23" t="s">
        <v>503</v>
      </c>
      <c r="D162" s="23">
        <v>880000</v>
      </c>
      <c r="E162" s="23" t="s">
        <v>431</v>
      </c>
      <c r="F162" s="23" t="str">
        <f t="shared" si="4"/>
        <v>rtdc.l.rtdc.4010:itc</v>
      </c>
      <c r="G162" s="8">
        <f t="shared" si="5"/>
        <v>42608.714282407411</v>
      </c>
    </row>
    <row r="163" spans="1:7" x14ac:dyDescent="0.25">
      <c r="A163" s="8">
        <v>42608.715636574074</v>
      </c>
      <c r="B163" s="23" t="s">
        <v>337</v>
      </c>
      <c r="C163" s="23" t="s">
        <v>504</v>
      </c>
      <c r="D163" s="23">
        <v>2250000</v>
      </c>
      <c r="E163" s="23" t="s">
        <v>277</v>
      </c>
      <c r="F163" s="23" t="str">
        <f t="shared" si="4"/>
        <v>rtdc.l.rtdc.4019:itc</v>
      </c>
      <c r="G163" s="8">
        <f t="shared" si="5"/>
        <v>42608.715636574074</v>
      </c>
    </row>
    <row r="164" spans="1:7" x14ac:dyDescent="0.25">
      <c r="A164" s="8">
        <v>42608.715775462966</v>
      </c>
      <c r="B164" s="23" t="s">
        <v>181</v>
      </c>
      <c r="C164" s="23" t="s">
        <v>505</v>
      </c>
      <c r="D164" s="23">
        <v>2000000</v>
      </c>
      <c r="E164" s="23" t="s">
        <v>143</v>
      </c>
      <c r="F164" s="23" t="str">
        <f t="shared" si="4"/>
        <v>rtdc.l.rtdc.4002:itc</v>
      </c>
      <c r="G164" s="8">
        <f t="shared" si="5"/>
        <v>42608.715775462966</v>
      </c>
    </row>
    <row r="165" spans="1:7" x14ac:dyDescent="0.25">
      <c r="A165" s="8">
        <v>42608.716238425928</v>
      </c>
      <c r="B165" s="23" t="s">
        <v>337</v>
      </c>
      <c r="C165" s="23" t="s">
        <v>506</v>
      </c>
      <c r="D165" s="23">
        <v>2250000</v>
      </c>
      <c r="E165" s="23" t="s">
        <v>277</v>
      </c>
      <c r="F165" s="23" t="str">
        <f t="shared" si="4"/>
        <v>rtdc.l.rtdc.4019:itc</v>
      </c>
      <c r="G165" s="8">
        <f t="shared" si="5"/>
        <v>42608.716238425928</v>
      </c>
    </row>
    <row r="166" spans="1:7" x14ac:dyDescent="0.25">
      <c r="A166" s="8">
        <v>42608.723761574074</v>
      </c>
      <c r="B166" s="23" t="s">
        <v>384</v>
      </c>
      <c r="C166" s="23" t="s">
        <v>507</v>
      </c>
      <c r="D166" s="23">
        <v>930000</v>
      </c>
      <c r="E166" s="23" t="s">
        <v>343</v>
      </c>
      <c r="F166" s="23" t="str">
        <f t="shared" si="4"/>
        <v>rtdc.l.rtdc.4039:itc</v>
      </c>
      <c r="G166" s="8">
        <f t="shared" si="5"/>
        <v>42608.723761574074</v>
      </c>
    </row>
    <row r="167" spans="1:7" x14ac:dyDescent="0.25">
      <c r="A167" s="8">
        <v>42608.727754629632</v>
      </c>
      <c r="B167" s="23" t="s">
        <v>273</v>
      </c>
      <c r="C167" s="23" t="s">
        <v>508</v>
      </c>
      <c r="D167" s="23">
        <v>2020000</v>
      </c>
      <c r="E167" s="23" t="s">
        <v>344</v>
      </c>
      <c r="F167" s="23" t="str">
        <f t="shared" si="4"/>
        <v>rtdc.l.rtdc.4025:itc</v>
      </c>
      <c r="G167" s="8">
        <f t="shared" si="5"/>
        <v>42608.727754629632</v>
      </c>
    </row>
    <row r="168" spans="1:7" x14ac:dyDescent="0.25">
      <c r="A168" s="8">
        <v>42608.729537037034</v>
      </c>
      <c r="B168" s="23" t="s">
        <v>342</v>
      </c>
      <c r="C168" s="23" t="s">
        <v>504</v>
      </c>
      <c r="D168" s="23">
        <v>2250000</v>
      </c>
      <c r="E168" s="23" t="s">
        <v>277</v>
      </c>
      <c r="F168" s="23" t="str">
        <f t="shared" si="4"/>
        <v>rtdc.l.rtdc.4020:itc</v>
      </c>
      <c r="G168" s="8">
        <f t="shared" si="5"/>
        <v>42608.729537037034</v>
      </c>
    </row>
    <row r="169" spans="1:7" x14ac:dyDescent="0.25">
      <c r="A169" s="8">
        <v>42608.733541666668</v>
      </c>
      <c r="B169" s="23" t="s">
        <v>394</v>
      </c>
      <c r="C169" s="23" t="s">
        <v>509</v>
      </c>
      <c r="D169" s="23">
        <v>2140000</v>
      </c>
      <c r="E169" s="23" t="s">
        <v>214</v>
      </c>
      <c r="F169" s="23" t="str">
        <f t="shared" si="4"/>
        <v>rtdc.l.rtdc.4028:itc</v>
      </c>
      <c r="G169" s="8">
        <f t="shared" si="5"/>
        <v>42608.733541666668</v>
      </c>
    </row>
    <row r="170" spans="1:7" x14ac:dyDescent="0.25">
      <c r="A170" s="8">
        <v>42608.735543981478</v>
      </c>
      <c r="B170" s="23" t="s">
        <v>338</v>
      </c>
      <c r="C170" s="23" t="s">
        <v>510</v>
      </c>
      <c r="D170" s="23">
        <v>2270000</v>
      </c>
      <c r="E170" s="23" t="s">
        <v>345</v>
      </c>
      <c r="F170" s="23" t="str">
        <f t="shared" si="4"/>
        <v>rtdc.l.rtdc.4012:itc</v>
      </c>
      <c r="G170" s="8">
        <f t="shared" si="5"/>
        <v>42608.735543981478</v>
      </c>
    </row>
    <row r="171" spans="1:7" x14ac:dyDescent="0.25">
      <c r="A171" s="8">
        <v>42608.73814814815</v>
      </c>
      <c r="B171" s="23" t="s">
        <v>196</v>
      </c>
      <c r="C171" s="23" t="s">
        <v>511</v>
      </c>
      <c r="D171" s="23">
        <v>1230000</v>
      </c>
      <c r="E171" s="23" t="s">
        <v>170</v>
      </c>
      <c r="F171" s="23" t="str">
        <f t="shared" si="4"/>
        <v>rtdc.l.rtdc.4003:itc</v>
      </c>
      <c r="G171" s="8">
        <f t="shared" si="5"/>
        <v>42608.73814814815</v>
      </c>
    </row>
    <row r="172" spans="1:7" x14ac:dyDescent="0.25">
      <c r="A172" s="8">
        <v>42608.740555555552</v>
      </c>
      <c r="B172" s="23" t="s">
        <v>173</v>
      </c>
      <c r="C172" s="23" t="s">
        <v>512</v>
      </c>
      <c r="D172" s="23">
        <v>1800000</v>
      </c>
      <c r="E172" s="23" t="s">
        <v>177</v>
      </c>
      <c r="F172" s="23" t="str">
        <f t="shared" si="4"/>
        <v>rtdc.l.rtdc.4043:itc</v>
      </c>
      <c r="G172" s="8">
        <f t="shared" si="5"/>
        <v>42608.740555555552</v>
      </c>
    </row>
    <row r="173" spans="1:7" x14ac:dyDescent="0.25">
      <c r="A173" s="8">
        <v>42608.744074074071</v>
      </c>
      <c r="B173" s="23" t="s">
        <v>90</v>
      </c>
      <c r="C173" s="23" t="s">
        <v>513</v>
      </c>
      <c r="D173" s="23">
        <v>2040000</v>
      </c>
      <c r="E173" s="23" t="s">
        <v>278</v>
      </c>
      <c r="F173" s="23" t="str">
        <f t="shared" si="4"/>
        <v>rtdc.l.rtdc.4013:itc</v>
      </c>
      <c r="G173" s="8">
        <f t="shared" si="5"/>
        <v>42608.744074074071</v>
      </c>
    </row>
    <row r="174" spans="1:7" x14ac:dyDescent="0.25">
      <c r="A174" s="8">
        <v>42608.749293981484</v>
      </c>
      <c r="B174" s="23" t="s">
        <v>174</v>
      </c>
      <c r="C174" s="23" t="s">
        <v>514</v>
      </c>
      <c r="D174" s="23">
        <v>950000</v>
      </c>
      <c r="E174" s="23" t="s">
        <v>346</v>
      </c>
      <c r="F174" s="23" t="str">
        <f t="shared" si="4"/>
        <v>rtdc.l.rtdc.4009:itc</v>
      </c>
      <c r="G174" s="8">
        <f t="shared" si="5"/>
        <v>42608.749293981484</v>
      </c>
    </row>
    <row r="175" spans="1:7" x14ac:dyDescent="0.25">
      <c r="A175" s="8">
        <v>42608.752743055556</v>
      </c>
      <c r="B175" s="23" t="s">
        <v>231</v>
      </c>
      <c r="C175" s="23" t="s">
        <v>515</v>
      </c>
      <c r="D175" s="23">
        <v>1480000</v>
      </c>
      <c r="E175" s="23" t="s">
        <v>279</v>
      </c>
      <c r="F175" s="23" t="str">
        <f t="shared" si="4"/>
        <v>rtdc.l.rtdc.4021:itc</v>
      </c>
      <c r="G175" s="8">
        <f t="shared" si="5"/>
        <v>42608.752743055556</v>
      </c>
    </row>
    <row r="176" spans="1:7" x14ac:dyDescent="0.25">
      <c r="A176" s="8">
        <v>42608.75509259259</v>
      </c>
      <c r="B176" s="23" t="s">
        <v>337</v>
      </c>
      <c r="C176" s="23" t="s">
        <v>516</v>
      </c>
      <c r="D176" s="23">
        <v>2250000</v>
      </c>
      <c r="E176" s="23" t="s">
        <v>277</v>
      </c>
      <c r="F176" s="23" t="str">
        <f t="shared" si="4"/>
        <v>rtdc.l.rtdc.4019:itc</v>
      </c>
      <c r="G176" s="8">
        <f t="shared" si="5"/>
        <v>42608.75509259259</v>
      </c>
    </row>
    <row r="177" spans="1:7" x14ac:dyDescent="0.25">
      <c r="A177" s="8">
        <v>42608.756342592591</v>
      </c>
      <c r="B177" s="23" t="s">
        <v>182</v>
      </c>
      <c r="C177" s="23" t="s">
        <v>517</v>
      </c>
      <c r="D177" s="23">
        <v>2000000</v>
      </c>
      <c r="E177" s="23" t="s">
        <v>143</v>
      </c>
      <c r="F177" s="23" t="str">
        <f t="shared" si="4"/>
        <v>rtdc.l.rtdc.4001:itc</v>
      </c>
      <c r="G177" s="8">
        <f t="shared" si="5"/>
        <v>42608.756342592591</v>
      </c>
    </row>
    <row r="178" spans="1:7" x14ac:dyDescent="0.25">
      <c r="A178" s="8">
        <v>42608.761006944442</v>
      </c>
      <c r="B178" s="23" t="s">
        <v>341</v>
      </c>
      <c r="C178" s="23" t="s">
        <v>518</v>
      </c>
      <c r="D178" s="23">
        <v>2270000</v>
      </c>
      <c r="E178" s="23" t="s">
        <v>345</v>
      </c>
      <c r="F178" s="23" t="str">
        <f t="shared" si="4"/>
        <v>rtdc.l.rtdc.4011:itc</v>
      </c>
      <c r="G178" s="8">
        <f t="shared" si="5"/>
        <v>42608.761006944442</v>
      </c>
    </row>
    <row r="179" spans="1:7" x14ac:dyDescent="0.25">
      <c r="A179" s="8">
        <v>42608.762141203704</v>
      </c>
      <c r="B179" s="23" t="s">
        <v>356</v>
      </c>
      <c r="C179" s="23" t="s">
        <v>519</v>
      </c>
      <c r="D179" s="23">
        <v>1800000</v>
      </c>
      <c r="E179" s="23" t="s">
        <v>177</v>
      </c>
      <c r="F179" s="23" t="str">
        <f t="shared" si="4"/>
        <v>rtdc.l.rtdc.4040:itc</v>
      </c>
      <c r="G179" s="8">
        <f t="shared" si="5"/>
        <v>42608.762141203704</v>
      </c>
    </row>
    <row r="180" spans="1:7" x14ac:dyDescent="0.25">
      <c r="A180" s="8">
        <v>42608.76253472222</v>
      </c>
      <c r="B180" s="23" t="s">
        <v>276</v>
      </c>
      <c r="C180" s="23" t="s">
        <v>520</v>
      </c>
      <c r="D180" s="23">
        <v>2020000</v>
      </c>
      <c r="E180" s="23" t="s">
        <v>344</v>
      </c>
      <c r="F180" s="23" t="str">
        <f t="shared" si="4"/>
        <v>rtdc.l.rtdc.4026:itc</v>
      </c>
      <c r="G180" s="8">
        <f t="shared" si="5"/>
        <v>42608.76253472222</v>
      </c>
    </row>
    <row r="181" spans="1:7" x14ac:dyDescent="0.25">
      <c r="A181" s="8">
        <v>42608.768090277779</v>
      </c>
      <c r="B181" s="23" t="s">
        <v>213</v>
      </c>
      <c r="C181" s="23" t="s">
        <v>521</v>
      </c>
      <c r="D181" s="23">
        <v>2090000</v>
      </c>
      <c r="E181" s="23" t="s">
        <v>215</v>
      </c>
      <c r="F181" s="23" t="str">
        <f t="shared" si="4"/>
        <v>rtdc.l.rtdc.4054:itc</v>
      </c>
      <c r="G181" s="8">
        <f t="shared" si="5"/>
        <v>42608.768090277779</v>
      </c>
    </row>
    <row r="182" spans="1:7" x14ac:dyDescent="0.25">
      <c r="A182" s="8">
        <v>42608.769548611112</v>
      </c>
      <c r="B182" s="23" t="s">
        <v>93</v>
      </c>
      <c r="C182" s="23" t="s">
        <v>522</v>
      </c>
      <c r="D182" s="23">
        <v>2260000</v>
      </c>
      <c r="E182" s="23" t="s">
        <v>236</v>
      </c>
      <c r="F182" s="23" t="str">
        <f t="shared" si="4"/>
        <v>rtdc.l.rtdc.4027:itc</v>
      </c>
      <c r="G182" s="8">
        <f t="shared" si="5"/>
        <v>42608.769548611112</v>
      </c>
    </row>
    <row r="183" spans="1:7" x14ac:dyDescent="0.25">
      <c r="A183" s="8">
        <v>42608.770324074074</v>
      </c>
      <c r="B183" s="23" t="s">
        <v>342</v>
      </c>
      <c r="C183" s="23" t="s">
        <v>523</v>
      </c>
      <c r="D183" s="23">
        <v>2250000</v>
      </c>
      <c r="E183" s="23" t="s">
        <v>277</v>
      </c>
      <c r="F183" s="23" t="str">
        <f t="shared" si="4"/>
        <v>rtdc.l.rtdc.4020:itc</v>
      </c>
      <c r="G183" s="8">
        <f t="shared" si="5"/>
        <v>42608.770324074074</v>
      </c>
    </row>
    <row r="184" spans="1:7" x14ac:dyDescent="0.25">
      <c r="A184" s="8">
        <v>42608.777013888888</v>
      </c>
      <c r="B184" s="23" t="s">
        <v>338</v>
      </c>
      <c r="C184" s="23" t="s">
        <v>524</v>
      </c>
      <c r="D184" s="23">
        <v>2270000</v>
      </c>
      <c r="E184" s="23" t="s">
        <v>345</v>
      </c>
      <c r="F184" s="23" t="str">
        <f t="shared" si="4"/>
        <v>rtdc.l.rtdc.4012:itc</v>
      </c>
      <c r="G184" s="8">
        <f t="shared" si="5"/>
        <v>42608.777013888888</v>
      </c>
    </row>
    <row r="185" spans="1:7" x14ac:dyDescent="0.25">
      <c r="A185" s="8">
        <v>42608.777314814812</v>
      </c>
      <c r="B185" s="23" t="s">
        <v>230</v>
      </c>
      <c r="C185" s="23" t="s">
        <v>525</v>
      </c>
      <c r="D185" s="23">
        <v>1230000</v>
      </c>
      <c r="E185" s="23" t="s">
        <v>170</v>
      </c>
      <c r="F185" s="23" t="str">
        <f t="shared" si="4"/>
        <v>rtdc.l.rtdc.4004:itc</v>
      </c>
      <c r="G185" s="8">
        <f t="shared" si="5"/>
        <v>42608.777314814812</v>
      </c>
    </row>
    <row r="186" spans="1:7" x14ac:dyDescent="0.25">
      <c r="A186" s="8">
        <v>42608.785833333335</v>
      </c>
      <c r="B186" s="23" t="s">
        <v>175</v>
      </c>
      <c r="C186" s="23" t="s">
        <v>526</v>
      </c>
      <c r="D186" s="23">
        <v>950000</v>
      </c>
      <c r="E186" s="23" t="s">
        <v>346</v>
      </c>
      <c r="F186" s="23" t="str">
        <f t="shared" si="4"/>
        <v>rtdc.l.rtdc.4010:itc</v>
      </c>
      <c r="G186" s="8">
        <f t="shared" si="5"/>
        <v>42608.785833333335</v>
      </c>
    </row>
    <row r="187" spans="1:7" x14ac:dyDescent="0.25">
      <c r="A187" s="8">
        <v>42608.786192129628</v>
      </c>
      <c r="B187" s="23" t="s">
        <v>112</v>
      </c>
      <c r="C187" s="23" t="s">
        <v>527</v>
      </c>
      <c r="D187" s="23">
        <v>2040000</v>
      </c>
      <c r="E187" s="23" t="s">
        <v>278</v>
      </c>
      <c r="F187" s="23" t="str">
        <f t="shared" si="4"/>
        <v>rtdc.l.rtdc.4014:itc</v>
      </c>
      <c r="G187" s="8">
        <f t="shared" si="5"/>
        <v>42608.786192129628</v>
      </c>
    </row>
    <row r="188" spans="1:7" x14ac:dyDescent="0.25">
      <c r="A188" s="8">
        <v>42608.791134259256</v>
      </c>
      <c r="B188" s="23" t="s">
        <v>181</v>
      </c>
      <c r="C188" s="23" t="s">
        <v>528</v>
      </c>
      <c r="D188" s="23">
        <v>2090000</v>
      </c>
      <c r="E188" s="23" t="s">
        <v>215</v>
      </c>
      <c r="F188" s="23" t="str">
        <f t="shared" si="4"/>
        <v>rtdc.l.rtdc.4002:itc</v>
      </c>
      <c r="G188" s="8">
        <f t="shared" si="5"/>
        <v>42608.791134259256</v>
      </c>
    </row>
    <row r="189" spans="1:7" x14ac:dyDescent="0.25">
      <c r="A189" s="8">
        <v>42608.79241898148</v>
      </c>
      <c r="B189" s="23" t="s">
        <v>232</v>
      </c>
      <c r="C189" s="23" t="s">
        <v>529</v>
      </c>
      <c r="D189" s="23">
        <v>2000000</v>
      </c>
      <c r="E189" s="23" t="s">
        <v>143</v>
      </c>
      <c r="F189" s="23" t="str">
        <f t="shared" si="4"/>
        <v>rtdc.l.rtdc.4022:itc</v>
      </c>
      <c r="G189" s="8">
        <f t="shared" si="5"/>
        <v>42608.79241898148</v>
      </c>
    </row>
    <row r="190" spans="1:7" x14ac:dyDescent="0.25">
      <c r="A190" s="8">
        <v>42608.795127314814</v>
      </c>
      <c r="B190" s="23" t="s">
        <v>175</v>
      </c>
      <c r="C190" s="23" t="s">
        <v>526</v>
      </c>
      <c r="D190" s="23">
        <v>950000</v>
      </c>
      <c r="E190" s="23" t="s">
        <v>346</v>
      </c>
      <c r="F190" s="23" t="str">
        <f t="shared" si="4"/>
        <v>rtdc.l.rtdc.4010:itc</v>
      </c>
      <c r="G190" s="8">
        <f t="shared" si="5"/>
        <v>42608.795127314814</v>
      </c>
    </row>
    <row r="191" spans="1:7" x14ac:dyDescent="0.25">
      <c r="A191" s="8">
        <v>42608.798263888886</v>
      </c>
      <c r="B191" s="23" t="s">
        <v>337</v>
      </c>
      <c r="C191" s="23" t="s">
        <v>530</v>
      </c>
      <c r="D191" s="23">
        <v>2250000</v>
      </c>
      <c r="E191" s="23" t="s">
        <v>277</v>
      </c>
      <c r="F191" s="23" t="str">
        <f t="shared" si="4"/>
        <v>rtdc.l.rtdc.4019:itc</v>
      </c>
      <c r="G191" s="8">
        <f t="shared" si="5"/>
        <v>42608.798263888886</v>
      </c>
    </row>
    <row r="192" spans="1:7" x14ac:dyDescent="0.25">
      <c r="A192" s="8">
        <v>42608.803055555552</v>
      </c>
      <c r="B192" s="23" t="s">
        <v>341</v>
      </c>
      <c r="C192" s="23" t="s">
        <v>531</v>
      </c>
      <c r="D192" s="23">
        <v>2270000</v>
      </c>
      <c r="E192" s="23" t="s">
        <v>345</v>
      </c>
      <c r="F192" s="23" t="str">
        <f t="shared" si="4"/>
        <v>rtdc.l.rtdc.4011:itc</v>
      </c>
      <c r="G192" s="8">
        <f t="shared" si="5"/>
        <v>42608.803055555552</v>
      </c>
    </row>
    <row r="193" spans="1:7" x14ac:dyDescent="0.25">
      <c r="A193" s="8">
        <v>42608.805474537039</v>
      </c>
      <c r="B193" s="23" t="s">
        <v>273</v>
      </c>
      <c r="C193" s="23" t="s">
        <v>532</v>
      </c>
      <c r="D193" s="23">
        <v>2020000</v>
      </c>
      <c r="E193" s="23" t="s">
        <v>344</v>
      </c>
      <c r="F193" s="23" t="str">
        <f t="shared" si="4"/>
        <v>rtdc.l.rtdc.4025:itc</v>
      </c>
      <c r="G193" s="8">
        <f t="shared" si="5"/>
        <v>42608.805474537039</v>
      </c>
    </row>
    <row r="194" spans="1:7" x14ac:dyDescent="0.25">
      <c r="A194" s="8">
        <v>42608.805810185186</v>
      </c>
      <c r="B194" s="23" t="s">
        <v>394</v>
      </c>
      <c r="C194" s="23" t="s">
        <v>533</v>
      </c>
      <c r="D194" s="23">
        <v>2260000</v>
      </c>
      <c r="E194" s="23" t="s">
        <v>236</v>
      </c>
      <c r="F194" s="23" t="str">
        <f t="shared" ref="F194:F235" si="6">B194</f>
        <v>rtdc.l.rtdc.4028:itc</v>
      </c>
      <c r="G194" s="8">
        <f t="shared" ref="G194:G235" si="7">A194</f>
        <v>42608.805810185186</v>
      </c>
    </row>
    <row r="195" spans="1:7" x14ac:dyDescent="0.25">
      <c r="A195" s="8">
        <v>42608.819652777776</v>
      </c>
      <c r="B195" s="23" t="s">
        <v>338</v>
      </c>
      <c r="C195" s="23" t="s">
        <v>534</v>
      </c>
      <c r="D195" s="23">
        <v>2270000</v>
      </c>
      <c r="E195" s="23" t="s">
        <v>345</v>
      </c>
      <c r="F195" s="23" t="str">
        <f t="shared" si="6"/>
        <v>rtdc.l.rtdc.4012:itc</v>
      </c>
      <c r="G195" s="8">
        <f t="shared" si="7"/>
        <v>42608.819652777776</v>
      </c>
    </row>
    <row r="196" spans="1:7" x14ac:dyDescent="0.25">
      <c r="A196" s="8">
        <v>42608.824652777781</v>
      </c>
      <c r="B196" s="23" t="s">
        <v>196</v>
      </c>
      <c r="C196" s="23" t="s">
        <v>535</v>
      </c>
      <c r="D196" s="23">
        <v>1230000</v>
      </c>
      <c r="E196" s="23" t="s">
        <v>170</v>
      </c>
      <c r="F196" s="23" t="str">
        <f t="shared" si="6"/>
        <v>rtdc.l.rtdc.4003:itc</v>
      </c>
      <c r="G196" s="8">
        <f t="shared" si="7"/>
        <v>42608.824652777781</v>
      </c>
    </row>
    <row r="197" spans="1:7" x14ac:dyDescent="0.25">
      <c r="A197" s="8">
        <v>42608.832453703704</v>
      </c>
      <c r="B197" s="23" t="s">
        <v>174</v>
      </c>
      <c r="C197" s="23" t="s">
        <v>536</v>
      </c>
      <c r="D197" s="23">
        <v>950000</v>
      </c>
      <c r="E197" s="23" t="s">
        <v>346</v>
      </c>
      <c r="F197" s="23" t="str">
        <f t="shared" si="6"/>
        <v>rtdc.l.rtdc.4009:itc</v>
      </c>
      <c r="G197" s="8">
        <f t="shared" si="7"/>
        <v>42608.832453703704</v>
      </c>
    </row>
    <row r="198" spans="1:7" x14ac:dyDescent="0.25">
      <c r="A198" s="8">
        <v>42608.833796296298</v>
      </c>
      <c r="B198" s="23" t="s">
        <v>174</v>
      </c>
      <c r="C198" s="23" t="s">
        <v>536</v>
      </c>
      <c r="D198" s="23">
        <v>950000</v>
      </c>
      <c r="E198" s="23" t="s">
        <v>346</v>
      </c>
      <c r="F198" s="23" t="str">
        <f t="shared" si="6"/>
        <v>rtdc.l.rtdc.4009:itc</v>
      </c>
      <c r="G198" s="8">
        <f t="shared" si="7"/>
        <v>42608.833796296298</v>
      </c>
    </row>
    <row r="199" spans="1:7" x14ac:dyDescent="0.25">
      <c r="A199" s="8">
        <v>42608.834664351853</v>
      </c>
      <c r="B199" s="23" t="s">
        <v>230</v>
      </c>
      <c r="C199" s="23" t="s">
        <v>521</v>
      </c>
      <c r="D199" s="23">
        <v>1230000</v>
      </c>
      <c r="E199" s="23" t="s">
        <v>170</v>
      </c>
      <c r="F199" s="23" t="str">
        <f t="shared" si="6"/>
        <v>rtdc.l.rtdc.4004:itc</v>
      </c>
      <c r="G199" s="8">
        <f t="shared" si="7"/>
        <v>42608.834664351853</v>
      </c>
    </row>
    <row r="200" spans="1:7" x14ac:dyDescent="0.25">
      <c r="A200" s="8">
        <v>42608.835995370369</v>
      </c>
      <c r="B200" s="23" t="s">
        <v>182</v>
      </c>
      <c r="C200" s="23" t="s">
        <v>537</v>
      </c>
      <c r="D200" s="23">
        <v>2090000</v>
      </c>
      <c r="E200" s="23" t="s">
        <v>215</v>
      </c>
      <c r="F200" s="23" t="str">
        <f t="shared" si="6"/>
        <v>rtdc.l.rtdc.4001:itc</v>
      </c>
      <c r="G200" s="8">
        <f t="shared" si="7"/>
        <v>42608.835995370369</v>
      </c>
    </row>
    <row r="201" spans="1:7" x14ac:dyDescent="0.25">
      <c r="A201" s="8">
        <v>42608.845439814817</v>
      </c>
      <c r="B201" s="23" t="s">
        <v>341</v>
      </c>
      <c r="C201" s="23" t="s">
        <v>538</v>
      </c>
      <c r="D201" s="23">
        <v>2270000</v>
      </c>
      <c r="E201" s="23" t="s">
        <v>345</v>
      </c>
      <c r="F201" s="23" t="str">
        <f t="shared" si="6"/>
        <v>rtdc.l.rtdc.4011:itc</v>
      </c>
      <c r="G201" s="8">
        <f t="shared" si="7"/>
        <v>42608.845439814817</v>
      </c>
    </row>
    <row r="202" spans="1:7" x14ac:dyDescent="0.25">
      <c r="A202" s="29">
        <v>42608.846319444441</v>
      </c>
      <c r="B202" s="23" t="s">
        <v>341</v>
      </c>
      <c r="C202" s="23" t="s">
        <v>539</v>
      </c>
      <c r="D202" s="23">
        <v>2270000</v>
      </c>
      <c r="E202" s="23" t="s">
        <v>345</v>
      </c>
      <c r="F202" s="23" t="str">
        <f t="shared" si="6"/>
        <v>rtdc.l.rtdc.4011:itc</v>
      </c>
      <c r="G202" s="8">
        <f t="shared" si="7"/>
        <v>42608.846319444441</v>
      </c>
    </row>
    <row r="203" spans="1:7" x14ac:dyDescent="0.25">
      <c r="A203" s="8">
        <v>42608.859768518516</v>
      </c>
      <c r="B203" s="23" t="s">
        <v>338</v>
      </c>
      <c r="C203" s="23" t="s">
        <v>538</v>
      </c>
      <c r="D203" s="23">
        <v>2270000</v>
      </c>
      <c r="E203" s="23" t="s">
        <v>345</v>
      </c>
      <c r="F203" s="23" t="str">
        <f t="shared" si="6"/>
        <v>rtdc.l.rtdc.4012:itc</v>
      </c>
      <c r="G203" s="8">
        <f t="shared" si="7"/>
        <v>42608.859768518516</v>
      </c>
    </row>
    <row r="204" spans="1:7" x14ac:dyDescent="0.25">
      <c r="A204" s="8">
        <v>42608.862638888888</v>
      </c>
      <c r="B204" s="23" t="s">
        <v>182</v>
      </c>
      <c r="C204" s="23" t="s">
        <v>537</v>
      </c>
      <c r="D204" s="23">
        <v>2090000</v>
      </c>
      <c r="E204" s="23" t="s">
        <v>215</v>
      </c>
      <c r="F204" s="23" t="str">
        <f t="shared" si="6"/>
        <v>rtdc.l.rtdc.4001:itc</v>
      </c>
      <c r="G204" s="8">
        <f t="shared" si="7"/>
        <v>42608.862638888888</v>
      </c>
    </row>
    <row r="205" spans="1:7" x14ac:dyDescent="0.25">
      <c r="A205" s="8">
        <v>42608.867789351854</v>
      </c>
      <c r="B205" s="23" t="s">
        <v>93</v>
      </c>
      <c r="C205" s="23" t="s">
        <v>540</v>
      </c>
      <c r="D205" s="23">
        <v>2260000</v>
      </c>
      <c r="E205" s="23" t="s">
        <v>236</v>
      </c>
      <c r="F205" s="23" t="str">
        <f t="shared" si="6"/>
        <v>rtdc.l.rtdc.4027:itc</v>
      </c>
      <c r="G205" s="8">
        <f t="shared" si="7"/>
        <v>42608.867789351854</v>
      </c>
    </row>
    <row r="206" spans="1:7" x14ac:dyDescent="0.25">
      <c r="A206" s="8">
        <v>42608.869409722225</v>
      </c>
      <c r="B206" s="23" t="s">
        <v>93</v>
      </c>
      <c r="C206" s="23" t="s">
        <v>540</v>
      </c>
      <c r="D206" s="23">
        <v>2260000</v>
      </c>
      <c r="E206" s="23" t="s">
        <v>236</v>
      </c>
      <c r="F206" s="23" t="str">
        <f t="shared" si="6"/>
        <v>rtdc.l.rtdc.4027:itc</v>
      </c>
      <c r="G206" s="8">
        <f t="shared" si="7"/>
        <v>42608.869409722225</v>
      </c>
    </row>
    <row r="207" spans="1:7" x14ac:dyDescent="0.25">
      <c r="A207" s="8">
        <v>42608.87222222222</v>
      </c>
      <c r="B207" s="23" t="s">
        <v>189</v>
      </c>
      <c r="C207" s="23" t="s">
        <v>541</v>
      </c>
      <c r="D207" s="23">
        <v>1230000</v>
      </c>
      <c r="E207" s="23" t="s">
        <v>170</v>
      </c>
      <c r="F207" s="23" t="str">
        <f t="shared" si="6"/>
        <v>rtdc.l.rtdc.4044:itc</v>
      </c>
      <c r="G207" s="8">
        <f t="shared" si="7"/>
        <v>42608.87222222222</v>
      </c>
    </row>
    <row r="208" spans="1:7" x14ac:dyDescent="0.25">
      <c r="A208" s="8">
        <v>42608.875879629632</v>
      </c>
      <c r="B208" s="23" t="s">
        <v>384</v>
      </c>
      <c r="C208" s="23" t="s">
        <v>542</v>
      </c>
      <c r="D208" s="23">
        <v>1800000</v>
      </c>
      <c r="E208" s="23" t="s">
        <v>177</v>
      </c>
      <c r="F208" s="23" t="str">
        <f t="shared" si="6"/>
        <v>rtdc.l.rtdc.4039:itc</v>
      </c>
      <c r="G208" s="8">
        <f t="shared" si="7"/>
        <v>42608.875879629632</v>
      </c>
    </row>
    <row r="209" spans="1:7" x14ac:dyDescent="0.25">
      <c r="A209" s="8">
        <v>42608.877071759256</v>
      </c>
      <c r="B209" s="23" t="s">
        <v>341</v>
      </c>
      <c r="C209" s="23" t="s">
        <v>543</v>
      </c>
      <c r="D209" s="23">
        <v>2250000</v>
      </c>
      <c r="E209" s="23" t="s">
        <v>277</v>
      </c>
      <c r="F209" s="23" t="str">
        <f t="shared" si="6"/>
        <v>rtdc.l.rtdc.4011:itc</v>
      </c>
      <c r="G209" s="8">
        <f t="shared" si="7"/>
        <v>42608.877071759256</v>
      </c>
    </row>
    <row r="210" spans="1:7" x14ac:dyDescent="0.25">
      <c r="A210" s="8">
        <v>42608.889155092591</v>
      </c>
      <c r="B210" s="23" t="s">
        <v>181</v>
      </c>
      <c r="C210" s="23" t="s">
        <v>544</v>
      </c>
      <c r="D210" s="23">
        <v>2090000</v>
      </c>
      <c r="E210" s="23" t="s">
        <v>215</v>
      </c>
      <c r="F210" s="23" t="str">
        <f t="shared" si="6"/>
        <v>rtdc.l.rtdc.4002:itc</v>
      </c>
      <c r="G210" s="8">
        <f t="shared" si="7"/>
        <v>42608.889155092591</v>
      </c>
    </row>
    <row r="211" spans="1:7" x14ac:dyDescent="0.25">
      <c r="A211" s="8">
        <v>42608.889618055553</v>
      </c>
      <c r="B211" s="23" t="s">
        <v>189</v>
      </c>
      <c r="C211" s="23" t="s">
        <v>545</v>
      </c>
      <c r="D211" s="23">
        <v>1230000</v>
      </c>
      <c r="E211" s="23" t="s">
        <v>170</v>
      </c>
      <c r="F211" s="23" t="str">
        <f t="shared" si="6"/>
        <v>rtdc.l.rtdc.4044:itc</v>
      </c>
      <c r="G211" s="8">
        <f t="shared" si="7"/>
        <v>42608.889618055553</v>
      </c>
    </row>
    <row r="212" spans="1:7" x14ac:dyDescent="0.25">
      <c r="A212" s="8">
        <v>42608.894594907404</v>
      </c>
      <c r="B212" s="23" t="s">
        <v>189</v>
      </c>
      <c r="C212" s="23" t="s">
        <v>545</v>
      </c>
      <c r="D212" s="23">
        <v>1230000</v>
      </c>
      <c r="E212" s="23" t="s">
        <v>170</v>
      </c>
      <c r="F212" s="23" t="str">
        <f t="shared" si="6"/>
        <v>rtdc.l.rtdc.4044:itc</v>
      </c>
      <c r="G212" s="8">
        <f t="shared" si="7"/>
        <v>42608.894594907404</v>
      </c>
    </row>
    <row r="213" spans="1:7" x14ac:dyDescent="0.25">
      <c r="A213" s="8">
        <v>42608.894953703704</v>
      </c>
      <c r="B213" s="23" t="s">
        <v>181</v>
      </c>
      <c r="C213" s="23" t="s">
        <v>541</v>
      </c>
      <c r="D213" s="23">
        <v>2090000</v>
      </c>
      <c r="E213" s="23" t="s">
        <v>215</v>
      </c>
      <c r="F213" s="23" t="str">
        <f t="shared" si="6"/>
        <v>rtdc.l.rtdc.4002:itc</v>
      </c>
      <c r="G213" s="8">
        <f t="shared" si="7"/>
        <v>42608.894953703704</v>
      </c>
    </row>
    <row r="214" spans="1:7" x14ac:dyDescent="0.25">
      <c r="A214" s="8">
        <v>42608.902303240742</v>
      </c>
      <c r="B214" s="23" t="s">
        <v>338</v>
      </c>
      <c r="C214" s="23" t="s">
        <v>546</v>
      </c>
      <c r="D214" s="23">
        <v>2250000</v>
      </c>
      <c r="E214" s="23" t="s">
        <v>277</v>
      </c>
      <c r="F214" s="23" t="str">
        <f t="shared" si="6"/>
        <v>rtdc.l.rtdc.4012:itc</v>
      </c>
      <c r="G214" s="8">
        <f t="shared" si="7"/>
        <v>42608.902303240742</v>
      </c>
    </row>
    <row r="215" spans="1:7" x14ac:dyDescent="0.25">
      <c r="A215" s="8">
        <v>42608.906759259262</v>
      </c>
      <c r="B215" s="23" t="s">
        <v>394</v>
      </c>
      <c r="C215" s="23" t="s">
        <v>547</v>
      </c>
      <c r="D215" s="23">
        <v>2260000</v>
      </c>
      <c r="E215" s="23" t="s">
        <v>236</v>
      </c>
      <c r="F215" s="23" t="str">
        <f t="shared" si="6"/>
        <v>rtdc.l.rtdc.4028:itc</v>
      </c>
      <c r="G215" s="8">
        <f t="shared" si="7"/>
        <v>42608.906759259262</v>
      </c>
    </row>
    <row r="216" spans="1:7" x14ac:dyDescent="0.25">
      <c r="A216" s="8">
        <v>42608.916273148148</v>
      </c>
      <c r="B216" s="23" t="s">
        <v>341</v>
      </c>
      <c r="C216" s="23" t="s">
        <v>548</v>
      </c>
      <c r="D216" s="23">
        <v>2250000</v>
      </c>
      <c r="E216" s="23" t="s">
        <v>277</v>
      </c>
      <c r="F216" s="23" t="str">
        <f t="shared" si="6"/>
        <v>rtdc.l.rtdc.4011:itc</v>
      </c>
      <c r="G216" s="8">
        <f t="shared" si="7"/>
        <v>42608.916273148148</v>
      </c>
    </row>
    <row r="217" spans="1:7" x14ac:dyDescent="0.25">
      <c r="A217" s="8">
        <v>42608.920046296298</v>
      </c>
      <c r="B217" s="23" t="s">
        <v>173</v>
      </c>
      <c r="C217" s="23" t="s">
        <v>549</v>
      </c>
      <c r="D217" s="23">
        <v>1230000</v>
      </c>
      <c r="E217" s="23" t="s">
        <v>170</v>
      </c>
      <c r="F217" s="23" t="str">
        <f t="shared" si="6"/>
        <v>rtdc.l.rtdc.4043:itc</v>
      </c>
      <c r="G217" s="8">
        <f t="shared" si="7"/>
        <v>42608.920046296298</v>
      </c>
    </row>
    <row r="218" spans="1:7" x14ac:dyDescent="0.25">
      <c r="A218" s="8">
        <v>42608.942233796297</v>
      </c>
      <c r="B218" s="23" t="s">
        <v>338</v>
      </c>
      <c r="C218" s="23" t="s">
        <v>550</v>
      </c>
      <c r="D218" s="23">
        <v>2250000</v>
      </c>
      <c r="E218" s="23" t="s">
        <v>277</v>
      </c>
      <c r="F218" s="23" t="str">
        <f t="shared" si="6"/>
        <v>rtdc.l.rtdc.4012:itc</v>
      </c>
      <c r="G218" s="8">
        <f t="shared" si="7"/>
        <v>42608.942233796297</v>
      </c>
    </row>
    <row r="219" spans="1:7" x14ac:dyDescent="0.25">
      <c r="A219" s="8">
        <v>42608.944050925929</v>
      </c>
      <c r="B219" s="23" t="s">
        <v>182</v>
      </c>
      <c r="C219" s="23" t="s">
        <v>551</v>
      </c>
      <c r="D219" s="23">
        <v>2090000</v>
      </c>
      <c r="E219" s="23" t="s">
        <v>215</v>
      </c>
      <c r="F219" s="23" t="str">
        <f t="shared" si="6"/>
        <v>rtdc.l.rtdc.4001:itc</v>
      </c>
      <c r="G219" s="8">
        <f t="shared" si="7"/>
        <v>42608.944050925929</v>
      </c>
    </row>
    <row r="220" spans="1:7" x14ac:dyDescent="0.25">
      <c r="A220" s="8">
        <v>42608.948993055557</v>
      </c>
      <c r="B220" s="23" t="s">
        <v>93</v>
      </c>
      <c r="C220" s="23" t="s">
        <v>552</v>
      </c>
      <c r="D220" s="23">
        <v>1480000</v>
      </c>
      <c r="E220" s="23" t="s">
        <v>279</v>
      </c>
      <c r="F220" s="23" t="str">
        <f t="shared" si="6"/>
        <v>rtdc.l.rtdc.4027:itc</v>
      </c>
      <c r="G220" s="8">
        <f t="shared" si="7"/>
        <v>42608.948993055557</v>
      </c>
    </row>
    <row r="221" spans="1:7" x14ac:dyDescent="0.25">
      <c r="A221" s="8">
        <v>42608.953182870369</v>
      </c>
      <c r="B221" s="23" t="s">
        <v>189</v>
      </c>
      <c r="C221" s="23" t="s">
        <v>553</v>
      </c>
      <c r="D221" s="23">
        <v>2110000</v>
      </c>
      <c r="E221" s="23" t="s">
        <v>347</v>
      </c>
      <c r="F221" s="23" t="str">
        <f t="shared" si="6"/>
        <v>rtdc.l.rtdc.4044:itc</v>
      </c>
      <c r="G221" s="8">
        <f t="shared" si="7"/>
        <v>42608.953182870369</v>
      </c>
    </row>
    <row r="222" spans="1:7" x14ac:dyDescent="0.25">
      <c r="A222" s="8">
        <v>42608.955671296295</v>
      </c>
      <c r="B222" s="23" t="s">
        <v>384</v>
      </c>
      <c r="C222" s="23" t="s">
        <v>554</v>
      </c>
      <c r="D222" s="23">
        <v>1800000</v>
      </c>
      <c r="E222" s="23" t="s">
        <v>177</v>
      </c>
      <c r="F222" s="23" t="str">
        <f t="shared" si="6"/>
        <v>rtdc.l.rtdc.4039:itc</v>
      </c>
      <c r="G222" s="8">
        <f t="shared" si="7"/>
        <v>42608.955671296295</v>
      </c>
    </row>
    <row r="223" spans="1:7" x14ac:dyDescent="0.25">
      <c r="A223" s="8">
        <v>42608.968622685185</v>
      </c>
      <c r="B223" s="23" t="s">
        <v>182</v>
      </c>
      <c r="C223" s="23" t="s">
        <v>551</v>
      </c>
      <c r="D223" s="23">
        <v>2090000</v>
      </c>
      <c r="E223" s="23" t="s">
        <v>215</v>
      </c>
      <c r="F223" s="23" t="str">
        <f t="shared" si="6"/>
        <v>rtdc.l.rtdc.4001:itc</v>
      </c>
      <c r="G223" s="8">
        <f t="shared" si="7"/>
        <v>42608.968622685185</v>
      </c>
    </row>
    <row r="224" spans="1:7" x14ac:dyDescent="0.25">
      <c r="A224" s="8">
        <v>42608.975254629629</v>
      </c>
      <c r="B224" t="s">
        <v>394</v>
      </c>
      <c r="C224" t="s">
        <v>555</v>
      </c>
      <c r="D224">
        <v>1480000</v>
      </c>
      <c r="E224" t="s">
        <v>279</v>
      </c>
      <c r="F224" s="23" t="str">
        <f t="shared" si="6"/>
        <v>rtdc.l.rtdc.4028:itc</v>
      </c>
      <c r="G224" s="8">
        <f t="shared" si="7"/>
        <v>42608.975254629629</v>
      </c>
    </row>
    <row r="225" spans="1:7" x14ac:dyDescent="0.25">
      <c r="A225" s="8">
        <v>42608.97892361111</v>
      </c>
      <c r="B225" t="s">
        <v>181</v>
      </c>
      <c r="C225" t="s">
        <v>556</v>
      </c>
      <c r="D225">
        <v>1230000</v>
      </c>
      <c r="E225" t="s">
        <v>170</v>
      </c>
      <c r="F225" s="23" t="str">
        <f t="shared" si="6"/>
        <v>rtdc.l.rtdc.4002:itc</v>
      </c>
      <c r="G225" s="8">
        <f t="shared" si="7"/>
        <v>42608.97892361111</v>
      </c>
    </row>
    <row r="226" spans="1:7" x14ac:dyDescent="0.25">
      <c r="A226" s="8">
        <v>42608.995393518519</v>
      </c>
      <c r="B226" t="s">
        <v>173</v>
      </c>
      <c r="C226" t="s">
        <v>557</v>
      </c>
      <c r="D226">
        <v>2110000</v>
      </c>
      <c r="E226" t="s">
        <v>347</v>
      </c>
      <c r="F226" s="23" t="str">
        <f t="shared" si="6"/>
        <v>rtdc.l.rtdc.4043:itc</v>
      </c>
      <c r="G226" s="8">
        <f t="shared" si="7"/>
        <v>42608.995393518519</v>
      </c>
    </row>
    <row r="227" spans="1:7" x14ac:dyDescent="0.25">
      <c r="A227" s="8">
        <v>42608.998217592591</v>
      </c>
      <c r="B227" t="s">
        <v>356</v>
      </c>
      <c r="C227" t="s">
        <v>558</v>
      </c>
      <c r="D227">
        <v>1800000</v>
      </c>
      <c r="E227" t="s">
        <v>177</v>
      </c>
      <c r="F227" s="23" t="str">
        <f t="shared" si="6"/>
        <v>rtdc.l.rtdc.4040:itc</v>
      </c>
      <c r="G227" s="8">
        <f t="shared" si="7"/>
        <v>42608.998217592591</v>
      </c>
    </row>
    <row r="228" spans="1:7" x14ac:dyDescent="0.25">
      <c r="A228" s="8">
        <v>42609.014270833337</v>
      </c>
      <c r="B228" t="s">
        <v>93</v>
      </c>
      <c r="C228" t="s">
        <v>559</v>
      </c>
      <c r="D228">
        <v>2260000</v>
      </c>
      <c r="E228" t="s">
        <v>236</v>
      </c>
      <c r="F228" s="23" t="str">
        <f t="shared" si="6"/>
        <v>rtdc.l.rtdc.4027:itc</v>
      </c>
      <c r="G228" s="8">
        <f t="shared" si="7"/>
        <v>42609.014270833337</v>
      </c>
    </row>
    <row r="229" spans="1:7" x14ac:dyDescent="0.25">
      <c r="A229" s="8">
        <v>42609.014421296299</v>
      </c>
      <c r="B229" t="s">
        <v>182</v>
      </c>
      <c r="C229" t="s">
        <v>560</v>
      </c>
      <c r="D229">
        <v>1230000</v>
      </c>
      <c r="E229" t="s">
        <v>170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196</v>
      </c>
      <c r="C230" t="s">
        <v>561</v>
      </c>
      <c r="D230">
        <v>2090000</v>
      </c>
      <c r="E230" t="s">
        <v>215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384</v>
      </c>
      <c r="C231" t="s">
        <v>562</v>
      </c>
      <c r="D231">
        <v>1800000</v>
      </c>
      <c r="E231" t="s">
        <v>177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196</v>
      </c>
      <c r="C232" t="s">
        <v>561</v>
      </c>
      <c r="D232">
        <v>2090000</v>
      </c>
      <c r="E232" t="s">
        <v>215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181</v>
      </c>
      <c r="C233" t="s">
        <v>563</v>
      </c>
      <c r="D233">
        <v>1230000</v>
      </c>
      <c r="E233" t="s">
        <v>170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394</v>
      </c>
      <c r="C234" t="s">
        <v>564</v>
      </c>
      <c r="D234">
        <v>2260000</v>
      </c>
      <c r="E234" t="s">
        <v>236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356</v>
      </c>
      <c r="C235" t="s">
        <v>565</v>
      </c>
      <c r="D235">
        <v>1800000</v>
      </c>
      <c r="E235" t="s">
        <v>177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230</v>
      </c>
      <c r="C236" t="s">
        <v>566</v>
      </c>
      <c r="D236">
        <v>2090000</v>
      </c>
      <c r="E236" t="s">
        <v>215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567</v>
      </c>
      <c r="D237">
        <v>2260000</v>
      </c>
      <c r="E237" t="s">
        <v>236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157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158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160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159</v>
      </c>
      <c r="D242">
        <v>1230000</v>
      </c>
      <c r="E242" t="s">
        <v>170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162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164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161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166</v>
      </c>
      <c r="D246">
        <v>1230000</v>
      </c>
      <c r="E246" t="s">
        <v>170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163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167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165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171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168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42608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183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349</v>
      </c>
      <c r="M25" s="70" t="b">
        <v>1</v>
      </c>
    </row>
    <row r="26" spans="10:13" x14ac:dyDescent="0.25">
      <c r="J26" t="s">
        <v>350</v>
      </c>
      <c r="M26" s="70" t="str">
        <f>"C:\Users\stu\Documents\GitHub\eaglep3-reporting\EC\"&amp;TEXT(A2,"yyyy-mm-dd")&amp;"-refined-times.txt"</f>
        <v>C:\Users\stu\Documents\GitHub\eaglep3-reporting\EC\2016-08-26-refined-times.txt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241</v>
      </c>
      <c r="B1" s="142" t="s">
        <v>242</v>
      </c>
      <c r="C1" s="143" t="s">
        <v>243</v>
      </c>
      <c r="H1" t="s">
        <v>237</v>
      </c>
      <c r="I1" s="144" t="s">
        <v>239</v>
      </c>
      <c r="J1"/>
    </row>
    <row r="2" spans="1:11" x14ac:dyDescent="0.25">
      <c r="A2" s="143" t="s">
        <v>244</v>
      </c>
      <c r="B2" s="143" t="s">
        <v>245</v>
      </c>
      <c r="C2" s="143" t="s">
        <v>246</v>
      </c>
      <c r="H2" t="s">
        <v>238</v>
      </c>
      <c r="I2" s="114" t="s">
        <v>240</v>
      </c>
      <c r="J2"/>
    </row>
    <row r="3" spans="1:11" x14ac:dyDescent="0.25">
      <c r="A3" s="143" t="s">
        <v>247</v>
      </c>
      <c r="B3" s="143" t="s">
        <v>248</v>
      </c>
      <c r="C3" s="143" t="s">
        <v>249</v>
      </c>
      <c r="H3" t="s">
        <v>264</v>
      </c>
      <c r="I3" s="114">
        <v>1</v>
      </c>
      <c r="J3"/>
      <c r="K3" s="70"/>
    </row>
    <row r="4" spans="1:11" x14ac:dyDescent="0.25">
      <c r="A4" s="143" t="s">
        <v>250</v>
      </c>
      <c r="C4" s="143" t="s">
        <v>251</v>
      </c>
      <c r="H4" t="s">
        <v>265</v>
      </c>
      <c r="I4" s="114">
        <v>2</v>
      </c>
      <c r="J4"/>
      <c r="K4" s="70"/>
    </row>
    <row r="5" spans="1:11" x14ac:dyDescent="0.25">
      <c r="A5" s="143" t="s">
        <v>252</v>
      </c>
      <c r="C5" s="143" t="s">
        <v>253</v>
      </c>
      <c r="H5" t="s">
        <v>266</v>
      </c>
      <c r="I5" s="114">
        <v>23</v>
      </c>
      <c r="J5"/>
      <c r="K5" s="70"/>
    </row>
    <row r="6" spans="1:11" x14ac:dyDescent="0.25">
      <c r="A6" s="143" t="s">
        <v>254</v>
      </c>
      <c r="C6" s="143" t="s">
        <v>255</v>
      </c>
      <c r="H6" s="146" t="s">
        <v>267</v>
      </c>
      <c r="I6" s="147" t="s">
        <v>245</v>
      </c>
    </row>
    <row r="7" spans="1:11" x14ac:dyDescent="0.25">
      <c r="A7" s="143" t="s">
        <v>256</v>
      </c>
      <c r="C7" s="143" t="s">
        <v>257</v>
      </c>
    </row>
    <row r="8" spans="1:11" x14ac:dyDescent="0.25">
      <c r="C8" s="143" t="s">
        <v>258</v>
      </c>
    </row>
    <row r="9" spans="1:11" x14ac:dyDescent="0.25">
      <c r="C9" s="143" t="s">
        <v>259</v>
      </c>
    </row>
    <row r="10" spans="1:11" x14ac:dyDescent="0.25">
      <c r="C10" s="143" t="s">
        <v>260</v>
      </c>
    </row>
    <row r="11" spans="1:11" x14ac:dyDescent="0.25">
      <c r="C11" s="143" t="s">
        <v>261</v>
      </c>
    </row>
    <row r="12" spans="1:11" x14ac:dyDescent="0.25">
      <c r="C12" s="143" t="s">
        <v>262</v>
      </c>
    </row>
    <row r="13" spans="1:11" x14ac:dyDescent="0.25">
      <c r="C13" s="143" t="s">
        <v>263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2016-08-29T15:42:21Z</dcterms:modified>
</cp:coreProperties>
</file>