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Runs'!$A$12:$AG$415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Runs'!$A$12:$J$81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51" i="1" l="1"/>
  <c r="P223" i="1"/>
  <c r="X205" i="1"/>
  <c r="X206" i="1"/>
  <c r="X207" i="1"/>
  <c r="K205" i="1"/>
  <c r="L205" i="1"/>
  <c r="M205" i="1"/>
  <c r="N205" i="1" s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K204" i="1"/>
  <c r="L204" i="1"/>
  <c r="M204" i="1"/>
  <c r="N204" i="1" s="1"/>
  <c r="V204" i="1"/>
  <c r="AA204" i="1"/>
  <c r="AB204" i="1"/>
  <c r="AC204" i="1"/>
  <c r="AD204" i="1"/>
  <c r="X204" i="1" s="1"/>
  <c r="AE204" i="1"/>
  <c r="AF204" i="1"/>
  <c r="AH204" i="1"/>
  <c r="AM204" i="1"/>
  <c r="AN204" i="1"/>
  <c r="AO204" i="1"/>
  <c r="X202" i="1"/>
  <c r="X203" i="1"/>
  <c r="P202" i="1"/>
  <c r="K201" i="1"/>
  <c r="L201" i="1"/>
  <c r="M201" i="1"/>
  <c r="N201" i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AG205" i="1"/>
  <c r="AG204" i="1"/>
  <c r="AG201" i="1"/>
  <c r="U205" i="1" l="1"/>
  <c r="S205" i="1" s="1"/>
  <c r="AI205" i="1"/>
  <c r="W205" i="1"/>
  <c r="T204" i="1"/>
  <c r="AI204" i="1"/>
  <c r="U204" i="1"/>
  <c r="S204" i="1" s="1"/>
  <c r="W204" i="1"/>
  <c r="AI201" i="1"/>
  <c r="U201" i="1"/>
  <c r="S201" i="1" s="1"/>
  <c r="W201" i="1"/>
  <c r="X201" i="1"/>
  <c r="X68" i="1"/>
  <c r="X69" i="1"/>
  <c r="K67" i="1"/>
  <c r="L67" i="1"/>
  <c r="M67" i="1"/>
  <c r="N67" i="1"/>
  <c r="V67" i="1"/>
  <c r="AA67" i="1"/>
  <c r="AB67" i="1"/>
  <c r="AC67" i="1"/>
  <c r="AD67" i="1"/>
  <c r="T67" i="1" s="1"/>
  <c r="AE67" i="1"/>
  <c r="AF67" i="1"/>
  <c r="AH67" i="1"/>
  <c r="AM67" i="1"/>
  <c r="AN67" i="1"/>
  <c r="AO67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A20" i="1" s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A24" i="1" s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A27" i="1" s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A28" i="1" s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S18" i="3" s="1"/>
  <c r="Y31" i="1"/>
  <c r="Z31" i="1"/>
  <c r="AA31" i="1" s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A36" i="1" s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7" i="3" s="1"/>
  <c r="Y38" i="1"/>
  <c r="AA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A42" i="1" s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A44" i="1" s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A54" i="1" s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S20" i="3" s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X58" i="1" s="1"/>
  <c r="AE58" i="1"/>
  <c r="AF58" i="1"/>
  <c r="AH58" i="1"/>
  <c r="AM58" i="1"/>
  <c r="AN58" i="1"/>
  <c r="AO58" i="1"/>
  <c r="K59" i="1"/>
  <c r="L59" i="1"/>
  <c r="M59" i="1"/>
  <c r="N59" i="1"/>
  <c r="V59" i="1"/>
  <c r="S21" i="3" s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AA60" i="1" s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A62" i="1" s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V63" i="1"/>
  <c r="X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A65" i="1" s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8" i="1"/>
  <c r="L68" i="1"/>
  <c r="M68" i="1"/>
  <c r="N68" i="1" s="1"/>
  <c r="V68" i="1"/>
  <c r="Y68" i="1"/>
  <c r="Z68" i="1"/>
  <c r="AA68" i="1" s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24" i="3" s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A74" i="1" s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X84" i="1"/>
  <c r="Y84" i="1"/>
  <c r="Z84" i="1"/>
  <c r="AA84" i="1" s="1"/>
  <c r="AB84" i="1"/>
  <c r="AC84" i="1"/>
  <c r="AD84" i="1"/>
  <c r="T84" i="1" s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A90" i="1" s="1"/>
  <c r="AB90" i="1"/>
  <c r="AC90" i="1"/>
  <c r="AD90" i="1"/>
  <c r="X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X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X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AO96" i="1"/>
  <c r="K97" i="1"/>
  <c r="L97" i="1"/>
  <c r="M97" i="1"/>
  <c r="N97" i="1"/>
  <c r="V97" i="1"/>
  <c r="Y97" i="1"/>
  <c r="Z97" i="1"/>
  <c r="AA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X98" i="1"/>
  <c r="Y98" i="1"/>
  <c r="Z98" i="1"/>
  <c r="AA98" i="1" s="1"/>
  <c r="AB98" i="1"/>
  <c r="AC98" i="1"/>
  <c r="AD98" i="1"/>
  <c r="T98" i="1" s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A99" i="1" s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/>
  <c r="V101" i="1"/>
  <c r="Y101" i="1"/>
  <c r="Z101" i="1"/>
  <c r="AB101" i="1"/>
  <c r="AC101" i="1"/>
  <c r="AD101" i="1"/>
  <c r="X101" i="1" s="1"/>
  <c r="AE101" i="1"/>
  <c r="AF101" i="1"/>
  <c r="AH101" i="1"/>
  <c r="AM101" i="1"/>
  <c r="AN101" i="1"/>
  <c r="AO101" i="1"/>
  <c r="K102" i="1"/>
  <c r="L102" i="1"/>
  <c r="M102" i="1"/>
  <c r="N102" i="1"/>
  <c r="V102" i="1"/>
  <c r="Y102" i="1"/>
  <c r="AA102" i="1" s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AM105" i="1"/>
  <c r="AN105" i="1"/>
  <c r="AO105" i="1"/>
  <c r="K106" i="1"/>
  <c r="L106" i="1"/>
  <c r="M106" i="1"/>
  <c r="N106" i="1"/>
  <c r="V106" i="1"/>
  <c r="Y106" i="1"/>
  <c r="AA106" i="1" s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A107" i="1" s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S12" i="3" s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A124" i="1" s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S10" i="3" s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A138" i="1" s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S11" i="3" s="1"/>
  <c r="Y146" i="1"/>
  <c r="Z146" i="1"/>
  <c r="AA146" i="1" s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A148" i="1" s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V157" i="1"/>
  <c r="Y157" i="1"/>
  <c r="Z157" i="1"/>
  <c r="AA157" i="1" s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AO158" i="1"/>
  <c r="K208" i="1"/>
  <c r="L208" i="1"/>
  <c r="M208" i="1"/>
  <c r="N208" i="1" s="1"/>
  <c r="V208" i="1"/>
  <c r="Y208" i="1"/>
  <c r="Z208" i="1"/>
  <c r="AA208" i="1" s="1"/>
  <c r="AB208" i="1"/>
  <c r="AC208" i="1"/>
  <c r="AD208" i="1"/>
  <c r="AE208" i="1"/>
  <c r="AF208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/>
  <c r="V216" i="1"/>
  <c r="Y216" i="1"/>
  <c r="Z216" i="1"/>
  <c r="AB216" i="1"/>
  <c r="AC216" i="1"/>
  <c r="AD216" i="1"/>
  <c r="X216" i="1" s="1"/>
  <c r="AE216" i="1"/>
  <c r="AF216" i="1"/>
  <c r="AH167" i="1"/>
  <c r="AM167" i="1"/>
  <c r="AN167" i="1"/>
  <c r="AO167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/>
  <c r="V220" i="1"/>
  <c r="Y220" i="1"/>
  <c r="Z220" i="1"/>
  <c r="AB220" i="1"/>
  <c r="AC220" i="1"/>
  <c r="AD220" i="1"/>
  <c r="X220" i="1" s="1"/>
  <c r="AE220" i="1"/>
  <c r="AF220" i="1"/>
  <c r="AH171" i="1"/>
  <c r="AM171" i="1"/>
  <c r="AN171" i="1"/>
  <c r="AO171" i="1"/>
  <c r="K221" i="1"/>
  <c r="L221" i="1"/>
  <c r="M221" i="1"/>
  <c r="N221" i="1"/>
  <c r="V221" i="1"/>
  <c r="Y221" i="1"/>
  <c r="Z221" i="1"/>
  <c r="AA221" i="1"/>
  <c r="AB221" i="1"/>
  <c r="AC221" i="1"/>
  <c r="AD221" i="1"/>
  <c r="T221" i="1" s="1"/>
  <c r="AE221" i="1"/>
  <c r="AF221" i="1"/>
  <c r="AH172" i="1"/>
  <c r="AM172" i="1"/>
  <c r="AN172" i="1"/>
  <c r="AO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AO173" i="1"/>
  <c r="K229" i="1"/>
  <c r="L229" i="1"/>
  <c r="M229" i="1"/>
  <c r="N229" i="1"/>
  <c r="V229" i="1"/>
  <c r="Y229" i="1"/>
  <c r="Z229" i="1"/>
  <c r="AA229" i="1"/>
  <c r="AB229" i="1"/>
  <c r="AC229" i="1"/>
  <c r="AD229" i="1"/>
  <c r="T229" i="1" s="1"/>
  <c r="AE229" i="1"/>
  <c r="AF229" i="1"/>
  <c r="AH174" i="1"/>
  <c r="AM174" i="1"/>
  <c r="AN174" i="1"/>
  <c r="AO174" i="1"/>
  <c r="K230" i="1"/>
  <c r="L230" i="1"/>
  <c r="M230" i="1"/>
  <c r="N230" i="1" s="1"/>
  <c r="V230" i="1"/>
  <c r="Y230" i="1"/>
  <c r="Z230" i="1"/>
  <c r="AB230" i="1"/>
  <c r="AC230" i="1"/>
  <c r="AD230" i="1"/>
  <c r="X230" i="1" s="1"/>
  <c r="AE230" i="1"/>
  <c r="AF230" i="1"/>
  <c r="AH175" i="1"/>
  <c r="AM175" i="1"/>
  <c r="AN175" i="1"/>
  <c r="AO175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6" i="1"/>
  <c r="AM176" i="1"/>
  <c r="AN176" i="1"/>
  <c r="AO176" i="1"/>
  <c r="K232" i="1"/>
  <c r="L232" i="1"/>
  <c r="M232" i="1"/>
  <c r="N232" i="1"/>
  <c r="V232" i="1"/>
  <c r="Y232" i="1"/>
  <c r="Z232" i="1"/>
  <c r="AA232" i="1"/>
  <c r="AB232" i="1"/>
  <c r="AC232" i="1"/>
  <c r="AD232" i="1"/>
  <c r="AE232" i="1"/>
  <c r="AF232" i="1"/>
  <c r="AH177" i="1"/>
  <c r="AM177" i="1"/>
  <c r="AN177" i="1"/>
  <c r="AO177" i="1"/>
  <c r="K233" i="1"/>
  <c r="L233" i="1"/>
  <c r="M233" i="1"/>
  <c r="N233" i="1" s="1"/>
  <c r="V233" i="1"/>
  <c r="X233" i="1"/>
  <c r="Y233" i="1"/>
  <c r="Z233" i="1"/>
  <c r="AA233" i="1" s="1"/>
  <c r="AB233" i="1"/>
  <c r="AC233" i="1"/>
  <c r="AD233" i="1"/>
  <c r="T233" i="1" s="1"/>
  <c r="AE233" i="1"/>
  <c r="AF233" i="1"/>
  <c r="AH178" i="1"/>
  <c r="AM178" i="1"/>
  <c r="AN178" i="1"/>
  <c r="AO178" i="1"/>
  <c r="K234" i="1"/>
  <c r="L234" i="1"/>
  <c r="M234" i="1"/>
  <c r="N234" i="1" s="1"/>
  <c r="V234" i="1"/>
  <c r="Y234" i="1"/>
  <c r="Z234" i="1"/>
  <c r="AB234" i="1"/>
  <c r="AC234" i="1"/>
  <c r="AD234" i="1"/>
  <c r="X234" i="1" s="1"/>
  <c r="AE234" i="1"/>
  <c r="AF234" i="1"/>
  <c r="AH179" i="1"/>
  <c r="AM179" i="1"/>
  <c r="AN179" i="1"/>
  <c r="AO179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0" i="1"/>
  <c r="AM180" i="1"/>
  <c r="AN180" i="1"/>
  <c r="AO180" i="1"/>
  <c r="K236" i="1"/>
  <c r="L236" i="1"/>
  <c r="M236" i="1"/>
  <c r="N236" i="1" s="1"/>
  <c r="V236" i="1"/>
  <c r="Y236" i="1"/>
  <c r="Z236" i="1"/>
  <c r="AB236" i="1"/>
  <c r="AC236" i="1"/>
  <c r="AD236" i="1"/>
  <c r="X236" i="1" s="1"/>
  <c r="AE236" i="1"/>
  <c r="AF236" i="1"/>
  <c r="AH181" i="1"/>
  <c r="AM181" i="1"/>
  <c r="AN181" i="1"/>
  <c r="AO181" i="1"/>
  <c r="K237" i="1"/>
  <c r="L237" i="1"/>
  <c r="M237" i="1"/>
  <c r="N237" i="1"/>
  <c r="V237" i="1"/>
  <c r="S42" i="3" s="1"/>
  <c r="Y237" i="1"/>
  <c r="AA237" i="1" s="1"/>
  <c r="Z237" i="1"/>
  <c r="AB237" i="1"/>
  <c r="AC237" i="1"/>
  <c r="AD237" i="1"/>
  <c r="T237" i="1" s="1"/>
  <c r="AE237" i="1"/>
  <c r="AF237" i="1"/>
  <c r="AH182" i="1"/>
  <c r="AM182" i="1"/>
  <c r="AN182" i="1"/>
  <c r="AO182" i="1"/>
  <c r="K238" i="1"/>
  <c r="L238" i="1"/>
  <c r="M238" i="1"/>
  <c r="N238" i="1" s="1"/>
  <c r="V238" i="1"/>
  <c r="Y238" i="1"/>
  <c r="Z238" i="1"/>
  <c r="AA238" i="1" s="1"/>
  <c r="AB238" i="1"/>
  <c r="AC238" i="1"/>
  <c r="AD238" i="1"/>
  <c r="AE238" i="1"/>
  <c r="AF238" i="1"/>
  <c r="AH183" i="1"/>
  <c r="AM183" i="1"/>
  <c r="AN183" i="1"/>
  <c r="AO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AO184" i="1"/>
  <c r="K240" i="1"/>
  <c r="L240" i="1"/>
  <c r="M240" i="1"/>
  <c r="N240" i="1"/>
  <c r="V240" i="1"/>
  <c r="Y240" i="1"/>
  <c r="AA240" i="1" s="1"/>
  <c r="Z240" i="1"/>
  <c r="AB240" i="1"/>
  <c r="AC240" i="1"/>
  <c r="AD240" i="1"/>
  <c r="AE240" i="1"/>
  <c r="AF240" i="1"/>
  <c r="AH185" i="1"/>
  <c r="AM185" i="1"/>
  <c r="AN185" i="1"/>
  <c r="AO185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186" i="1"/>
  <c r="AM186" i="1"/>
  <c r="AN186" i="1"/>
  <c r="AO186" i="1"/>
  <c r="K242" i="1"/>
  <c r="L242" i="1"/>
  <c r="M242" i="1"/>
  <c r="N242" i="1" s="1"/>
  <c r="V242" i="1"/>
  <c r="S36" i="3" s="1"/>
  <c r="Y242" i="1"/>
  <c r="Z242" i="1"/>
  <c r="AB242" i="1"/>
  <c r="AC242" i="1"/>
  <c r="AD242" i="1"/>
  <c r="X242" i="1" s="1"/>
  <c r="AE242" i="1"/>
  <c r="AF242" i="1"/>
  <c r="AH187" i="1"/>
  <c r="AM187" i="1"/>
  <c r="AN187" i="1"/>
  <c r="AO187" i="1"/>
  <c r="K243" i="1"/>
  <c r="L243" i="1"/>
  <c r="M243" i="1"/>
  <c r="N243" i="1" s="1"/>
  <c r="V243" i="1"/>
  <c r="Y243" i="1"/>
  <c r="Z243" i="1"/>
  <c r="AA243" i="1" s="1"/>
  <c r="AB243" i="1"/>
  <c r="AC243" i="1"/>
  <c r="AD243" i="1"/>
  <c r="T243" i="1" s="1"/>
  <c r="AE243" i="1"/>
  <c r="AF243" i="1"/>
  <c r="AH188" i="1"/>
  <c r="AM188" i="1"/>
  <c r="AN188" i="1"/>
  <c r="AO188" i="1"/>
  <c r="K244" i="1"/>
  <c r="L244" i="1"/>
  <c r="M244" i="1"/>
  <c r="N244" i="1" s="1"/>
  <c r="V244" i="1"/>
  <c r="Y244" i="1"/>
  <c r="Z244" i="1"/>
  <c r="AA244" i="1" s="1"/>
  <c r="AB244" i="1"/>
  <c r="AC244" i="1"/>
  <c r="AD244" i="1"/>
  <c r="AE244" i="1"/>
  <c r="AF244" i="1"/>
  <c r="AH189" i="1"/>
  <c r="AM189" i="1"/>
  <c r="AN189" i="1"/>
  <c r="AO189" i="1"/>
  <c r="K245" i="1"/>
  <c r="L245" i="1"/>
  <c r="M245" i="1"/>
  <c r="N245" i="1" s="1"/>
  <c r="V245" i="1"/>
  <c r="Y245" i="1"/>
  <c r="Z245" i="1"/>
  <c r="AA245" i="1" s="1"/>
  <c r="AB245" i="1"/>
  <c r="AC245" i="1"/>
  <c r="AD245" i="1"/>
  <c r="T245" i="1" s="1"/>
  <c r="AE245" i="1"/>
  <c r="AF245" i="1"/>
  <c r="AH190" i="1"/>
  <c r="AM190" i="1"/>
  <c r="AN190" i="1"/>
  <c r="AO190" i="1"/>
  <c r="K246" i="1"/>
  <c r="L246" i="1"/>
  <c r="M246" i="1"/>
  <c r="N246" i="1" s="1"/>
  <c r="V246" i="1"/>
  <c r="Y246" i="1"/>
  <c r="Z246" i="1"/>
  <c r="AA246" i="1" s="1"/>
  <c r="AB246" i="1"/>
  <c r="AC246" i="1"/>
  <c r="AD246" i="1"/>
  <c r="AE246" i="1"/>
  <c r="AF246" i="1"/>
  <c r="AH191" i="1"/>
  <c r="AM191" i="1"/>
  <c r="AN191" i="1"/>
  <c r="AO191" i="1"/>
  <c r="K247" i="1"/>
  <c r="L247" i="1"/>
  <c r="M247" i="1"/>
  <c r="N247" i="1" s="1"/>
  <c r="V247" i="1"/>
  <c r="X247" i="1"/>
  <c r="Y247" i="1"/>
  <c r="Z247" i="1"/>
  <c r="AA247" i="1" s="1"/>
  <c r="AB247" i="1"/>
  <c r="AC247" i="1"/>
  <c r="AD247" i="1"/>
  <c r="T247" i="1" s="1"/>
  <c r="AE247" i="1"/>
  <c r="AF247" i="1"/>
  <c r="AH192" i="1"/>
  <c r="AM192" i="1"/>
  <c r="AN192" i="1"/>
  <c r="AO192" i="1"/>
  <c r="K248" i="1"/>
  <c r="L248" i="1"/>
  <c r="M248" i="1"/>
  <c r="N248" i="1" s="1"/>
  <c r="V248" i="1"/>
  <c r="Y248" i="1"/>
  <c r="Z248" i="1"/>
  <c r="AA248" i="1" s="1"/>
  <c r="AB248" i="1"/>
  <c r="AC248" i="1"/>
  <c r="AD248" i="1"/>
  <c r="AE248" i="1"/>
  <c r="AF248" i="1"/>
  <c r="AH193" i="1"/>
  <c r="AM193" i="1"/>
  <c r="AN193" i="1"/>
  <c r="AO193" i="1"/>
  <c r="K249" i="1"/>
  <c r="L249" i="1"/>
  <c r="M249" i="1"/>
  <c r="N249" i="1" s="1"/>
  <c r="V249" i="1"/>
  <c r="Y249" i="1"/>
  <c r="AA249" i="1" s="1"/>
  <c r="Z249" i="1"/>
  <c r="AB249" i="1"/>
  <c r="AC249" i="1"/>
  <c r="AD249" i="1"/>
  <c r="T249" i="1" s="1"/>
  <c r="AE249" i="1"/>
  <c r="AF249" i="1"/>
  <c r="AH194" i="1"/>
  <c r="AM194" i="1"/>
  <c r="AN194" i="1"/>
  <c r="AO194" i="1"/>
  <c r="K250" i="1"/>
  <c r="L250" i="1"/>
  <c r="M250" i="1"/>
  <c r="N250" i="1" s="1"/>
  <c r="T250" i="1"/>
  <c r="V250" i="1"/>
  <c r="Y250" i="1"/>
  <c r="AA250" i="1" s="1"/>
  <c r="Z250" i="1"/>
  <c r="AB250" i="1"/>
  <c r="AC250" i="1"/>
  <c r="AD250" i="1"/>
  <c r="AE250" i="1"/>
  <c r="AF250" i="1"/>
  <c r="AH195" i="1"/>
  <c r="AM195" i="1"/>
  <c r="AN195" i="1"/>
  <c r="AO195" i="1"/>
  <c r="K251" i="1"/>
  <c r="L251" i="1"/>
  <c r="M251" i="1"/>
  <c r="V251" i="1"/>
  <c r="Y251" i="1"/>
  <c r="Z251" i="1"/>
  <c r="AB251" i="1"/>
  <c r="AC251" i="1"/>
  <c r="AD251" i="1"/>
  <c r="T251" i="1" s="1"/>
  <c r="AE251" i="1"/>
  <c r="R38" i="3" s="1"/>
  <c r="AF251" i="1"/>
  <c r="AH196" i="1"/>
  <c r="AM196" i="1"/>
  <c r="AN196" i="1"/>
  <c r="AO196" i="1"/>
  <c r="K159" i="1"/>
  <c r="L159" i="1"/>
  <c r="M159" i="1"/>
  <c r="N159" i="1" s="1"/>
  <c r="V159" i="1"/>
  <c r="S27" i="3" s="1"/>
  <c r="Y159" i="1"/>
  <c r="Z159" i="1"/>
  <c r="AB159" i="1"/>
  <c r="AC159" i="1"/>
  <c r="AD159" i="1"/>
  <c r="T159" i="1" s="1"/>
  <c r="AE159" i="1"/>
  <c r="R27" i="3" s="1"/>
  <c r="AF159" i="1"/>
  <c r="AH197" i="1"/>
  <c r="AM197" i="1"/>
  <c r="AN197" i="1"/>
  <c r="AO197" i="1"/>
  <c r="K160" i="1"/>
  <c r="L160" i="1"/>
  <c r="M160" i="1"/>
  <c r="N160" i="1"/>
  <c r="V160" i="1"/>
  <c r="Y160" i="1"/>
  <c r="Z160" i="1"/>
  <c r="AB160" i="1"/>
  <c r="AC160" i="1"/>
  <c r="AD160" i="1"/>
  <c r="AE160" i="1"/>
  <c r="AF160" i="1"/>
  <c r="AH198" i="1"/>
  <c r="AM198" i="1"/>
  <c r="AN198" i="1"/>
  <c r="AO198" i="1"/>
  <c r="K161" i="1"/>
  <c r="L161" i="1"/>
  <c r="M161" i="1"/>
  <c r="N161" i="1"/>
  <c r="V161" i="1"/>
  <c r="Y161" i="1"/>
  <c r="AA161" i="1" s="1"/>
  <c r="Z161" i="1"/>
  <c r="AB161" i="1"/>
  <c r="AC161" i="1"/>
  <c r="AD161" i="1"/>
  <c r="T161" i="1" s="1"/>
  <c r="AE161" i="1"/>
  <c r="AF161" i="1"/>
  <c r="AH199" i="1"/>
  <c r="AM199" i="1"/>
  <c r="AN199" i="1"/>
  <c r="AO199" i="1"/>
  <c r="K162" i="1"/>
  <c r="L162" i="1"/>
  <c r="M162" i="1"/>
  <c r="N162" i="1" s="1"/>
  <c r="T162" i="1"/>
  <c r="V162" i="1"/>
  <c r="Y162" i="1"/>
  <c r="Z162" i="1"/>
  <c r="AA162" i="1"/>
  <c r="AB162" i="1"/>
  <c r="AC162" i="1"/>
  <c r="AD162" i="1"/>
  <c r="AE162" i="1"/>
  <c r="AF162" i="1"/>
  <c r="AH200" i="1"/>
  <c r="AM200" i="1"/>
  <c r="AN200" i="1"/>
  <c r="AO200" i="1"/>
  <c r="K163" i="1"/>
  <c r="L163" i="1"/>
  <c r="M163" i="1"/>
  <c r="N163" i="1" s="1"/>
  <c r="V163" i="1"/>
  <c r="X163" i="1"/>
  <c r="Y163" i="1"/>
  <c r="Z163" i="1"/>
  <c r="AA163" i="1" s="1"/>
  <c r="AB163" i="1"/>
  <c r="AC163" i="1"/>
  <c r="AD163" i="1"/>
  <c r="T163" i="1" s="1"/>
  <c r="AE163" i="1"/>
  <c r="AF163" i="1"/>
  <c r="AH202" i="1"/>
  <c r="AM202" i="1"/>
  <c r="AN202" i="1"/>
  <c r="AO202" i="1"/>
  <c r="K164" i="1"/>
  <c r="L164" i="1"/>
  <c r="M164" i="1"/>
  <c r="N164" i="1" s="1"/>
  <c r="V164" i="1"/>
  <c r="Y164" i="1"/>
  <c r="Z164" i="1"/>
  <c r="AA164" i="1" s="1"/>
  <c r="AB164" i="1"/>
  <c r="AC164" i="1"/>
  <c r="AD164" i="1"/>
  <c r="X164" i="1" s="1"/>
  <c r="AE164" i="1"/>
  <c r="AF164" i="1"/>
  <c r="AH203" i="1"/>
  <c r="AM203" i="1"/>
  <c r="AN203" i="1"/>
  <c r="AO203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206" i="1"/>
  <c r="AM206" i="1"/>
  <c r="AN206" i="1"/>
  <c r="AO206" i="1"/>
  <c r="K166" i="1"/>
  <c r="L166" i="1"/>
  <c r="M166" i="1"/>
  <c r="N166" i="1" s="1"/>
  <c r="V166" i="1"/>
  <c r="S30" i="3" s="1"/>
  <c r="Y166" i="1"/>
  <c r="AA166" i="1" s="1"/>
  <c r="Z166" i="1"/>
  <c r="AB166" i="1"/>
  <c r="AC166" i="1"/>
  <c r="AD166" i="1"/>
  <c r="T166" i="1" s="1"/>
  <c r="AE166" i="1"/>
  <c r="AF166" i="1"/>
  <c r="AH207" i="1"/>
  <c r="AM207" i="1"/>
  <c r="AN207" i="1"/>
  <c r="AO207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208" i="1"/>
  <c r="AM208" i="1"/>
  <c r="AN208" i="1"/>
  <c r="AO208" i="1"/>
  <c r="K168" i="1"/>
  <c r="L168" i="1"/>
  <c r="M168" i="1"/>
  <c r="N168" i="1" s="1"/>
  <c r="V168" i="1"/>
  <c r="Y168" i="1"/>
  <c r="Z168" i="1"/>
  <c r="AA168" i="1" s="1"/>
  <c r="AB168" i="1"/>
  <c r="AC168" i="1"/>
  <c r="AD168" i="1"/>
  <c r="AE168" i="1"/>
  <c r="AF168" i="1"/>
  <c r="AH209" i="1"/>
  <c r="AM209" i="1"/>
  <c r="AN209" i="1"/>
  <c r="AO209" i="1"/>
  <c r="K169" i="1"/>
  <c r="L169" i="1"/>
  <c r="M169" i="1"/>
  <c r="N169" i="1" s="1"/>
  <c r="V169" i="1"/>
  <c r="S28" i="3" s="1"/>
  <c r="Y169" i="1"/>
  <c r="Z169" i="1"/>
  <c r="AB169" i="1"/>
  <c r="AC169" i="1"/>
  <c r="AD169" i="1"/>
  <c r="T169" i="1" s="1"/>
  <c r="AE169" i="1"/>
  <c r="R28" i="3" s="1"/>
  <c r="AF169" i="1"/>
  <c r="AH210" i="1"/>
  <c r="AM210" i="1"/>
  <c r="AN210" i="1"/>
  <c r="AO210" i="1"/>
  <c r="K170" i="1"/>
  <c r="L170" i="1"/>
  <c r="M170" i="1"/>
  <c r="N170" i="1" s="1"/>
  <c r="V170" i="1"/>
  <c r="Y170" i="1"/>
  <c r="Z170" i="1"/>
  <c r="AA170" i="1" s="1"/>
  <c r="AB170" i="1"/>
  <c r="AC170" i="1"/>
  <c r="AD170" i="1"/>
  <c r="X170" i="1" s="1"/>
  <c r="AE170" i="1"/>
  <c r="AF170" i="1"/>
  <c r="AH211" i="1"/>
  <c r="AM211" i="1"/>
  <c r="AN211" i="1"/>
  <c r="AO21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12" i="1"/>
  <c r="AM212" i="1"/>
  <c r="AN212" i="1"/>
  <c r="AO212" i="1"/>
  <c r="K172" i="1"/>
  <c r="L172" i="1"/>
  <c r="M172" i="1"/>
  <c r="N172" i="1"/>
  <c r="V172" i="1"/>
  <c r="Y172" i="1"/>
  <c r="Z172" i="1"/>
  <c r="AB172" i="1"/>
  <c r="AC172" i="1"/>
  <c r="AD172" i="1"/>
  <c r="X172" i="1" s="1"/>
  <c r="AE172" i="1"/>
  <c r="AF172" i="1"/>
  <c r="AH213" i="1"/>
  <c r="AM213" i="1"/>
  <c r="AN213" i="1"/>
  <c r="AO213" i="1"/>
  <c r="K173" i="1"/>
  <c r="L173" i="1"/>
  <c r="M173" i="1"/>
  <c r="N173" i="1" s="1"/>
  <c r="V173" i="1"/>
  <c r="Y173" i="1"/>
  <c r="Z173" i="1"/>
  <c r="AA173" i="1"/>
  <c r="AB173" i="1"/>
  <c r="AC173" i="1"/>
  <c r="AD173" i="1"/>
  <c r="T173" i="1" s="1"/>
  <c r="AE173" i="1"/>
  <c r="AF173" i="1"/>
  <c r="AH214" i="1"/>
  <c r="AM214" i="1"/>
  <c r="AN214" i="1"/>
  <c r="AO214" i="1"/>
  <c r="K174" i="1"/>
  <c r="L174" i="1"/>
  <c r="M174" i="1"/>
  <c r="N174" i="1" s="1"/>
  <c r="T174" i="1"/>
  <c r="V174" i="1"/>
  <c r="Y174" i="1"/>
  <c r="Z174" i="1"/>
  <c r="AB174" i="1"/>
  <c r="AC174" i="1"/>
  <c r="AD174" i="1"/>
  <c r="AE174" i="1"/>
  <c r="R31" i="3" s="1"/>
  <c r="AF174" i="1"/>
  <c r="AH215" i="1"/>
  <c r="AM215" i="1"/>
  <c r="AN215" i="1"/>
  <c r="AO21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6" i="1"/>
  <c r="AM216" i="1"/>
  <c r="AN216" i="1"/>
  <c r="AO216" i="1"/>
  <c r="K176" i="1"/>
  <c r="L176" i="1"/>
  <c r="M176" i="1"/>
  <c r="N176" i="1"/>
  <c r="V176" i="1"/>
  <c r="Y176" i="1"/>
  <c r="Z176" i="1"/>
  <c r="AB176" i="1"/>
  <c r="AC176" i="1"/>
  <c r="AD176" i="1"/>
  <c r="AE176" i="1"/>
  <c r="AF176" i="1"/>
  <c r="AH217" i="1"/>
  <c r="AM217" i="1"/>
  <c r="AN217" i="1"/>
  <c r="AO217" i="1"/>
  <c r="K177" i="1"/>
  <c r="L177" i="1"/>
  <c r="M177" i="1"/>
  <c r="N177" i="1"/>
  <c r="V177" i="1"/>
  <c r="Y177" i="1"/>
  <c r="AA177" i="1" s="1"/>
  <c r="Z177" i="1"/>
  <c r="AB177" i="1"/>
  <c r="AC177" i="1"/>
  <c r="AD177" i="1"/>
  <c r="T177" i="1" s="1"/>
  <c r="AE177" i="1"/>
  <c r="AF177" i="1"/>
  <c r="AH218" i="1"/>
  <c r="AM218" i="1"/>
  <c r="AN218" i="1"/>
  <c r="AO218" i="1"/>
  <c r="K178" i="1"/>
  <c r="L178" i="1"/>
  <c r="M178" i="1"/>
  <c r="N178" i="1" s="1"/>
  <c r="T178" i="1"/>
  <c r="V178" i="1"/>
  <c r="S25" i="3" s="1"/>
  <c r="Y178" i="1"/>
  <c r="Z178" i="1"/>
  <c r="AA178" i="1"/>
  <c r="AB178" i="1"/>
  <c r="AC178" i="1"/>
  <c r="AD178" i="1"/>
  <c r="AE178" i="1"/>
  <c r="R32" i="3" s="1"/>
  <c r="AF178" i="1"/>
  <c r="AH219" i="1"/>
  <c r="AM219" i="1"/>
  <c r="AN219" i="1"/>
  <c r="AO219" i="1"/>
  <c r="K179" i="1"/>
  <c r="L179" i="1"/>
  <c r="M179" i="1"/>
  <c r="N179" i="1" s="1"/>
  <c r="V179" i="1"/>
  <c r="X179" i="1"/>
  <c r="Y179" i="1"/>
  <c r="Z179" i="1"/>
  <c r="AA179" i="1" s="1"/>
  <c r="AB179" i="1"/>
  <c r="AC179" i="1"/>
  <c r="AD179" i="1"/>
  <c r="T179" i="1" s="1"/>
  <c r="AE179" i="1"/>
  <c r="AF179" i="1"/>
  <c r="AH220" i="1"/>
  <c r="AM220" i="1"/>
  <c r="AN220" i="1"/>
  <c r="AO220" i="1"/>
  <c r="K180" i="1"/>
  <c r="L180" i="1"/>
  <c r="M180" i="1"/>
  <c r="N180" i="1" s="1"/>
  <c r="V180" i="1"/>
  <c r="S33" i="3" s="1"/>
  <c r="Y180" i="1"/>
  <c r="Z180" i="1"/>
  <c r="AA180" i="1" s="1"/>
  <c r="AB180" i="1"/>
  <c r="AC180" i="1"/>
  <c r="AD180" i="1"/>
  <c r="X180" i="1" s="1"/>
  <c r="AE180" i="1"/>
  <c r="R33" i="3" s="1"/>
  <c r="AF180" i="1"/>
  <c r="AH221" i="1"/>
  <c r="AM221" i="1"/>
  <c r="AN221" i="1"/>
  <c r="AO221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AF181" i="1"/>
  <c r="AH222" i="1"/>
  <c r="AM222" i="1"/>
  <c r="AN222" i="1"/>
  <c r="AO222" i="1"/>
  <c r="K182" i="1"/>
  <c r="L182" i="1"/>
  <c r="M182" i="1"/>
  <c r="N182" i="1" s="1"/>
  <c r="T182" i="1"/>
  <c r="V182" i="1"/>
  <c r="Y182" i="1"/>
  <c r="AA182" i="1" s="1"/>
  <c r="Z182" i="1"/>
  <c r="AB182" i="1"/>
  <c r="AC182" i="1"/>
  <c r="AD182" i="1"/>
  <c r="AE182" i="1"/>
  <c r="AF182" i="1"/>
  <c r="AH223" i="1"/>
  <c r="AM223" i="1"/>
  <c r="AN223" i="1"/>
  <c r="AO223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224" i="1"/>
  <c r="AM224" i="1"/>
  <c r="AN224" i="1"/>
  <c r="AO224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25" i="1"/>
  <c r="AM225" i="1"/>
  <c r="AN225" i="1"/>
  <c r="AO225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26" i="1"/>
  <c r="AM226" i="1"/>
  <c r="AN226" i="1"/>
  <c r="AO226" i="1"/>
  <c r="K186" i="1"/>
  <c r="L186" i="1"/>
  <c r="M186" i="1"/>
  <c r="N186" i="1" s="1"/>
  <c r="T186" i="1"/>
  <c r="V186" i="1"/>
  <c r="S34" i="3" s="1"/>
  <c r="Y186" i="1"/>
  <c r="Z186" i="1"/>
  <c r="AA186" i="1"/>
  <c r="AB186" i="1"/>
  <c r="AC186" i="1"/>
  <c r="AD186" i="1"/>
  <c r="AE186" i="1"/>
  <c r="R34" i="3" s="1"/>
  <c r="AF186" i="1"/>
  <c r="AH227" i="1"/>
  <c r="AM227" i="1"/>
  <c r="AN227" i="1"/>
  <c r="AO227" i="1"/>
  <c r="K187" i="1"/>
  <c r="L187" i="1"/>
  <c r="M187" i="1"/>
  <c r="N187" i="1" s="1"/>
  <c r="V187" i="1"/>
  <c r="X187" i="1"/>
  <c r="Y187" i="1"/>
  <c r="Z187" i="1"/>
  <c r="AA187" i="1" s="1"/>
  <c r="AB187" i="1"/>
  <c r="AC187" i="1"/>
  <c r="AD187" i="1"/>
  <c r="T187" i="1" s="1"/>
  <c r="AE187" i="1"/>
  <c r="AF187" i="1"/>
  <c r="AH228" i="1"/>
  <c r="AM228" i="1"/>
  <c r="AN228" i="1"/>
  <c r="AO228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29" i="1"/>
  <c r="AM229" i="1"/>
  <c r="AN229" i="1"/>
  <c r="AO22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0" i="1"/>
  <c r="AM230" i="1"/>
  <c r="AN230" i="1"/>
  <c r="AO230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31" i="1"/>
  <c r="AM231" i="1"/>
  <c r="AN231" i="1"/>
  <c r="AO231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232" i="1"/>
  <c r="AM232" i="1"/>
  <c r="AN232" i="1"/>
  <c r="AO23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3" i="1"/>
  <c r="AM233" i="1"/>
  <c r="AN233" i="1"/>
  <c r="AO23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4" i="1"/>
  <c r="AM234" i="1"/>
  <c r="AN234" i="1"/>
  <c r="AO234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5" i="1"/>
  <c r="AM235" i="1"/>
  <c r="AN235" i="1"/>
  <c r="AO235" i="1"/>
  <c r="K195" i="1"/>
  <c r="L195" i="1"/>
  <c r="M195" i="1"/>
  <c r="N195" i="1" s="1"/>
  <c r="V195" i="1"/>
  <c r="S29" i="3" s="1"/>
  <c r="Y195" i="1"/>
  <c r="Z195" i="1"/>
  <c r="AB195" i="1"/>
  <c r="AC195" i="1"/>
  <c r="AD195" i="1"/>
  <c r="X195" i="1" s="1"/>
  <c r="AE195" i="1"/>
  <c r="R29" i="3" s="1"/>
  <c r="AF195" i="1"/>
  <c r="AH236" i="1"/>
  <c r="AM236" i="1"/>
  <c r="AN236" i="1"/>
  <c r="AO236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237" i="1"/>
  <c r="AM237" i="1"/>
  <c r="AN237" i="1"/>
  <c r="AO237" i="1"/>
  <c r="K197" i="1"/>
  <c r="L197" i="1"/>
  <c r="M197" i="1"/>
  <c r="N197" i="1" s="1"/>
  <c r="V197" i="1"/>
  <c r="Y197" i="1"/>
  <c r="AA197" i="1" s="1"/>
  <c r="Z197" i="1"/>
  <c r="AB197" i="1"/>
  <c r="AC197" i="1"/>
  <c r="AD197" i="1"/>
  <c r="T197" i="1" s="1"/>
  <c r="AE197" i="1"/>
  <c r="AF197" i="1"/>
  <c r="AH238" i="1"/>
  <c r="AM238" i="1"/>
  <c r="AN238" i="1"/>
  <c r="AO238" i="1"/>
  <c r="K198" i="1"/>
  <c r="L198" i="1"/>
  <c r="M198" i="1"/>
  <c r="N198" i="1" s="1"/>
  <c r="T198" i="1"/>
  <c r="V198" i="1"/>
  <c r="Y198" i="1"/>
  <c r="AA198" i="1" s="1"/>
  <c r="Z198" i="1"/>
  <c r="AB198" i="1"/>
  <c r="AC198" i="1"/>
  <c r="AD198" i="1"/>
  <c r="AE198" i="1"/>
  <c r="AF198" i="1"/>
  <c r="AH239" i="1"/>
  <c r="AM239" i="1"/>
  <c r="AN239" i="1"/>
  <c r="AO23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40" i="1"/>
  <c r="AM240" i="1"/>
  <c r="AN240" i="1"/>
  <c r="AO240" i="1"/>
  <c r="K200" i="1"/>
  <c r="L200" i="1"/>
  <c r="M200" i="1"/>
  <c r="N200" i="1" s="1"/>
  <c r="T200" i="1"/>
  <c r="V200" i="1"/>
  <c r="Y200" i="1"/>
  <c r="Z200" i="1"/>
  <c r="AA200" i="1"/>
  <c r="AB200" i="1"/>
  <c r="AC200" i="1"/>
  <c r="AD200" i="1"/>
  <c r="AE200" i="1"/>
  <c r="AF200" i="1"/>
  <c r="AH241" i="1"/>
  <c r="AM241" i="1"/>
  <c r="AN241" i="1"/>
  <c r="AO241" i="1"/>
  <c r="K202" i="1"/>
  <c r="L202" i="1"/>
  <c r="M202" i="1"/>
  <c r="V202" i="1"/>
  <c r="S26" i="3" s="1"/>
  <c r="Y202" i="1"/>
  <c r="AA202" i="1" s="1"/>
  <c r="Z202" i="1"/>
  <c r="AB202" i="1"/>
  <c r="AC202" i="1"/>
  <c r="AD202" i="1"/>
  <c r="T202" i="1" s="1"/>
  <c r="AE202" i="1"/>
  <c r="R26" i="3" s="1"/>
  <c r="AF202" i="1"/>
  <c r="AH242" i="1"/>
  <c r="AM242" i="1"/>
  <c r="AN242" i="1"/>
  <c r="AO24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3" i="1"/>
  <c r="AM243" i="1"/>
  <c r="AN243" i="1"/>
  <c r="AO243" i="1"/>
  <c r="K206" i="1"/>
  <c r="L206" i="1"/>
  <c r="M206" i="1"/>
  <c r="N206" i="1" s="1"/>
  <c r="V206" i="1"/>
  <c r="Y206" i="1"/>
  <c r="AA206" i="1" s="1"/>
  <c r="Z206" i="1"/>
  <c r="AB206" i="1"/>
  <c r="AC206" i="1"/>
  <c r="AD206" i="1"/>
  <c r="T206" i="1" s="1"/>
  <c r="AE206" i="1"/>
  <c r="AF206" i="1"/>
  <c r="AH244" i="1"/>
  <c r="AM244" i="1"/>
  <c r="AN244" i="1"/>
  <c r="AO244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45" i="1"/>
  <c r="AM245" i="1"/>
  <c r="AN245" i="1"/>
  <c r="AO245" i="1"/>
  <c r="K222" i="1"/>
  <c r="L222" i="1"/>
  <c r="M222" i="1"/>
  <c r="N222" i="1" s="1"/>
  <c r="V222" i="1"/>
  <c r="Y222" i="1"/>
  <c r="AA222" i="1" s="1"/>
  <c r="Z222" i="1"/>
  <c r="AB222" i="1"/>
  <c r="AC222" i="1"/>
  <c r="AD222" i="1"/>
  <c r="T222" i="1" s="1"/>
  <c r="AE222" i="1"/>
  <c r="AF222" i="1"/>
  <c r="AH246" i="1"/>
  <c r="AM246" i="1"/>
  <c r="AN246" i="1"/>
  <c r="AO246" i="1"/>
  <c r="K223" i="1"/>
  <c r="L223" i="1"/>
  <c r="M223" i="1"/>
  <c r="V223" i="1"/>
  <c r="Y223" i="1"/>
  <c r="Z223" i="1"/>
  <c r="AB223" i="1"/>
  <c r="AC223" i="1"/>
  <c r="AD223" i="1"/>
  <c r="T223" i="1" s="1"/>
  <c r="AE223" i="1"/>
  <c r="AF223" i="1"/>
  <c r="AH247" i="1"/>
  <c r="AM247" i="1"/>
  <c r="AN247" i="1"/>
  <c r="AO247" i="1"/>
  <c r="K224" i="1"/>
  <c r="L224" i="1"/>
  <c r="M224" i="1"/>
  <c r="N224" i="1" s="1"/>
  <c r="V224" i="1"/>
  <c r="Y224" i="1"/>
  <c r="AA224" i="1" s="1"/>
  <c r="Z224" i="1"/>
  <c r="AB224" i="1"/>
  <c r="AC224" i="1"/>
  <c r="AD224" i="1"/>
  <c r="T224" i="1" s="1"/>
  <c r="AE224" i="1"/>
  <c r="AF224" i="1"/>
  <c r="AH248" i="1"/>
  <c r="AM248" i="1"/>
  <c r="AN248" i="1"/>
  <c r="AO248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9" i="1"/>
  <c r="AM249" i="1"/>
  <c r="AN249" i="1"/>
  <c r="AO249" i="1"/>
  <c r="K226" i="1"/>
  <c r="L226" i="1"/>
  <c r="M226" i="1"/>
  <c r="N226" i="1" s="1"/>
  <c r="V226" i="1"/>
  <c r="Y226" i="1"/>
  <c r="AA226" i="1" s="1"/>
  <c r="Z226" i="1"/>
  <c r="AB226" i="1"/>
  <c r="AC226" i="1"/>
  <c r="AD226" i="1"/>
  <c r="T226" i="1" s="1"/>
  <c r="AE226" i="1"/>
  <c r="AF226" i="1"/>
  <c r="AH250" i="1"/>
  <c r="AM250" i="1"/>
  <c r="AN250" i="1"/>
  <c r="AO25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51" i="1"/>
  <c r="AM251" i="1"/>
  <c r="AN251" i="1"/>
  <c r="AO251" i="1"/>
  <c r="M16" i="3"/>
  <c r="R16" i="3"/>
  <c r="S16" i="3"/>
  <c r="U16" i="3"/>
  <c r="T16" i="3" s="1"/>
  <c r="V16" i="3"/>
  <c r="X16" i="3"/>
  <c r="M27" i="3"/>
  <c r="U27" i="3"/>
  <c r="V27" i="3"/>
  <c r="X27" i="3"/>
  <c r="AC27" i="3"/>
  <c r="M17" i="3"/>
  <c r="R17" i="3"/>
  <c r="S17" i="3"/>
  <c r="U17" i="3"/>
  <c r="AC17" i="3" s="1"/>
  <c r="V17" i="3"/>
  <c r="X17" i="3"/>
  <c r="M18" i="3"/>
  <c r="R18" i="3"/>
  <c r="U18" i="3"/>
  <c r="T18" i="3" s="1"/>
  <c r="V18" i="3"/>
  <c r="X18" i="3"/>
  <c r="M30" i="3"/>
  <c r="R30" i="3"/>
  <c r="U30" i="3"/>
  <c r="T30" i="3" s="1"/>
  <c r="V30" i="3"/>
  <c r="X30" i="3"/>
  <c r="M19" i="3"/>
  <c r="R19" i="3"/>
  <c r="S19" i="3"/>
  <c r="U19" i="3"/>
  <c r="AC19" i="3" s="1"/>
  <c r="V19" i="3"/>
  <c r="X19" i="3"/>
  <c r="M7" i="3"/>
  <c r="R7" i="3"/>
  <c r="U7" i="3"/>
  <c r="AC7" i="3" s="1"/>
  <c r="V7" i="3"/>
  <c r="X7" i="3"/>
  <c r="M28" i="3"/>
  <c r="U28" i="3"/>
  <c r="T28" i="3" s="1"/>
  <c r="V28" i="3"/>
  <c r="X28" i="3"/>
  <c r="M8" i="3"/>
  <c r="R8" i="3"/>
  <c r="S8" i="3"/>
  <c r="U8" i="3"/>
  <c r="T8" i="3" s="1"/>
  <c r="V8" i="3"/>
  <c r="X8" i="3"/>
  <c r="M13" i="3"/>
  <c r="R13" i="3"/>
  <c r="S13" i="3"/>
  <c r="U13" i="3"/>
  <c r="V13" i="3"/>
  <c r="X13" i="3"/>
  <c r="M40" i="3"/>
  <c r="R40" i="3"/>
  <c r="S40" i="3"/>
  <c r="U40" i="3"/>
  <c r="V40" i="3"/>
  <c r="X40" i="3"/>
  <c r="M14" i="3"/>
  <c r="R14" i="3"/>
  <c r="S14" i="3"/>
  <c r="U14" i="3"/>
  <c r="V14" i="3"/>
  <c r="X14" i="3"/>
  <c r="M20" i="3"/>
  <c r="R20" i="3"/>
  <c r="U20" i="3"/>
  <c r="T20" i="3" s="1"/>
  <c r="V20" i="3"/>
  <c r="X20" i="3"/>
  <c r="M41" i="3"/>
  <c r="R41" i="3"/>
  <c r="U41" i="3"/>
  <c r="V41" i="3"/>
  <c r="X41" i="3"/>
  <c r="M42" i="3"/>
  <c r="R42" i="3"/>
  <c r="U42" i="3"/>
  <c r="V42" i="3"/>
  <c r="X42" i="3"/>
  <c r="M21" i="3"/>
  <c r="R21" i="3"/>
  <c r="U21" i="3"/>
  <c r="T21" i="3" s="1"/>
  <c r="V21" i="3"/>
  <c r="X21" i="3"/>
  <c r="M22" i="3"/>
  <c r="R22" i="3"/>
  <c r="U22" i="3"/>
  <c r="T22" i="3" s="1"/>
  <c r="V22" i="3"/>
  <c r="X22" i="3"/>
  <c r="M31" i="3"/>
  <c r="S31" i="3"/>
  <c r="U31" i="3"/>
  <c r="AD31" i="3" s="1"/>
  <c r="V31" i="3"/>
  <c r="X31" i="3"/>
  <c r="M23" i="3"/>
  <c r="R23" i="3"/>
  <c r="S23" i="3"/>
  <c r="U23" i="3"/>
  <c r="AD23" i="3" s="1"/>
  <c r="V23" i="3"/>
  <c r="X23" i="3"/>
  <c r="M24" i="3"/>
  <c r="S24" i="3"/>
  <c r="U24" i="3"/>
  <c r="T24" i="3" s="1"/>
  <c r="V24" i="3"/>
  <c r="X24" i="3"/>
  <c r="AD27" i="3"/>
  <c r="M37" i="3"/>
  <c r="R37" i="3"/>
  <c r="U37" i="3"/>
  <c r="T37" i="3" s="1"/>
  <c r="V37" i="3"/>
  <c r="X37" i="3"/>
  <c r="M25" i="3"/>
  <c r="U25" i="3"/>
  <c r="V25" i="3"/>
  <c r="X25" i="3"/>
  <c r="M32" i="3"/>
  <c r="S32" i="3"/>
  <c r="U32" i="3"/>
  <c r="AD32" i="3" s="1"/>
  <c r="V32" i="3"/>
  <c r="X32" i="3"/>
  <c r="M33" i="3"/>
  <c r="U33" i="3"/>
  <c r="T33" i="3" s="1"/>
  <c r="V33" i="3"/>
  <c r="X33" i="3"/>
  <c r="M15" i="3"/>
  <c r="R15" i="3"/>
  <c r="S15" i="3"/>
  <c r="U15" i="3"/>
  <c r="T15" i="3" s="1"/>
  <c r="V15" i="3"/>
  <c r="X15" i="3"/>
  <c r="M39" i="3"/>
  <c r="R39" i="3"/>
  <c r="S39" i="3"/>
  <c r="U39" i="3"/>
  <c r="V39" i="3"/>
  <c r="X39" i="3"/>
  <c r="M36" i="3"/>
  <c r="R36" i="3"/>
  <c r="U36" i="3"/>
  <c r="V36" i="3"/>
  <c r="X36" i="3"/>
  <c r="M34" i="3"/>
  <c r="U34" i="3"/>
  <c r="V34" i="3"/>
  <c r="X34" i="3"/>
  <c r="M38" i="3"/>
  <c r="S38" i="3"/>
  <c r="U38" i="3"/>
  <c r="T38" i="3" s="1"/>
  <c r="V38" i="3"/>
  <c r="X38" i="3"/>
  <c r="AD36" i="3"/>
  <c r="M12" i="3"/>
  <c r="R12" i="3"/>
  <c r="U12" i="3"/>
  <c r="V12" i="3"/>
  <c r="X12" i="3"/>
  <c r="M29" i="3"/>
  <c r="U29" i="3"/>
  <c r="V29" i="3"/>
  <c r="X29" i="3"/>
  <c r="M10" i="3"/>
  <c r="R10" i="3"/>
  <c r="U10" i="3"/>
  <c r="T10" i="3" s="1"/>
  <c r="V10" i="3"/>
  <c r="X10" i="3"/>
  <c r="AD39" i="3"/>
  <c r="M26" i="3"/>
  <c r="U26" i="3"/>
  <c r="T26" i="3" s="1"/>
  <c r="V26" i="3"/>
  <c r="X26" i="3"/>
  <c r="AD40" i="3"/>
  <c r="M35" i="3"/>
  <c r="R35" i="3"/>
  <c r="S35" i="3"/>
  <c r="U35" i="3"/>
  <c r="V35" i="3"/>
  <c r="X35" i="3"/>
  <c r="M11" i="3"/>
  <c r="R11" i="3"/>
  <c r="U11" i="3"/>
  <c r="AD11" i="3" s="1"/>
  <c r="V11" i="3"/>
  <c r="X11" i="3"/>
  <c r="AG67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9" i="1"/>
  <c r="AG73" i="1"/>
  <c r="AG77" i="1"/>
  <c r="AG81" i="1"/>
  <c r="AG85" i="1"/>
  <c r="AG89" i="1"/>
  <c r="AG93" i="1"/>
  <c r="AG97" i="1"/>
  <c r="AG101" i="1"/>
  <c r="AG105" i="1"/>
  <c r="AG109" i="1"/>
  <c r="AG18" i="1"/>
  <c r="AG23" i="1"/>
  <c r="AG29" i="1"/>
  <c r="AG34" i="1"/>
  <c r="AG39" i="1"/>
  <c r="AG45" i="1"/>
  <c r="AG50" i="1"/>
  <c r="AG55" i="1"/>
  <c r="AG61" i="1"/>
  <c r="AG66" i="1"/>
  <c r="AG72" i="1"/>
  <c r="AG78" i="1"/>
  <c r="AG83" i="1"/>
  <c r="AG88" i="1"/>
  <c r="AG94" i="1"/>
  <c r="AG99" i="1"/>
  <c r="AG104" i="1"/>
  <c r="AG110" i="1"/>
  <c r="AG114" i="1"/>
  <c r="AG118" i="1"/>
  <c r="AG122" i="1"/>
  <c r="AG126" i="1"/>
  <c r="AG130" i="1"/>
  <c r="AG134" i="1"/>
  <c r="AG138" i="1"/>
  <c r="AG142" i="1"/>
  <c r="AG146" i="1"/>
  <c r="AG150" i="1"/>
  <c r="AG154" i="1"/>
  <c r="AG158" i="1"/>
  <c r="AG211" i="1"/>
  <c r="AG215" i="1"/>
  <c r="AG219" i="1"/>
  <c r="AG229" i="1"/>
  <c r="AG233" i="1"/>
  <c r="AG237" i="1"/>
  <c r="AG241" i="1"/>
  <c r="AG245" i="1"/>
  <c r="AG249" i="1"/>
  <c r="AG160" i="1"/>
  <c r="AG164" i="1"/>
  <c r="AG168" i="1"/>
  <c r="AG172" i="1"/>
  <c r="AG176" i="1"/>
  <c r="AG180" i="1"/>
  <c r="AG184" i="1"/>
  <c r="AG188" i="1"/>
  <c r="AG192" i="1"/>
  <c r="AG196" i="1"/>
  <c r="AG200" i="1"/>
  <c r="AG226" i="1"/>
  <c r="AG223" i="1"/>
  <c r="AG14" i="1"/>
  <c r="AG19" i="1"/>
  <c r="AG25" i="1"/>
  <c r="AG30" i="1"/>
  <c r="AG35" i="1"/>
  <c r="AG41" i="1"/>
  <c r="AG46" i="1"/>
  <c r="AG57" i="1"/>
  <c r="AG62" i="1"/>
  <c r="AG68" i="1"/>
  <c r="AG74" i="1"/>
  <c r="AG84" i="1"/>
  <c r="AG90" i="1"/>
  <c r="AG100" i="1"/>
  <c r="AG106" i="1"/>
  <c r="AG115" i="1"/>
  <c r="AG123" i="1"/>
  <c r="AG131" i="1"/>
  <c r="AG139" i="1"/>
  <c r="AG143" i="1"/>
  <c r="AG151" i="1"/>
  <c r="AG208" i="1"/>
  <c r="AG216" i="1"/>
  <c r="AG230" i="1"/>
  <c r="AG238" i="1"/>
  <c r="AG246" i="1"/>
  <c r="AG161" i="1"/>
  <c r="AG169" i="1"/>
  <c r="AG177" i="1"/>
  <c r="AG185" i="1"/>
  <c r="AG193" i="1"/>
  <c r="AG206" i="1"/>
  <c r="AG202" i="1"/>
  <c r="AG15" i="1"/>
  <c r="AG21" i="1"/>
  <c r="AG26" i="1"/>
  <c r="AG31" i="1"/>
  <c r="AG37" i="1"/>
  <c r="AG42" i="1"/>
  <c r="AG47" i="1"/>
  <c r="AG58" i="1"/>
  <c r="AG63" i="1"/>
  <c r="AG70" i="1"/>
  <c r="AG75" i="1"/>
  <c r="AG80" i="1"/>
  <c r="AG86" i="1"/>
  <c r="AG91" i="1"/>
  <c r="AG102" i="1"/>
  <c r="AG107" i="1"/>
  <c r="AG116" i="1"/>
  <c r="AG124" i="1"/>
  <c r="AG132" i="1"/>
  <c r="AG140" i="1"/>
  <c r="AG148" i="1"/>
  <c r="AG156" i="1"/>
  <c r="AG213" i="1"/>
  <c r="AG221" i="1"/>
  <c r="AG235" i="1"/>
  <c r="AG243" i="1"/>
  <c r="AG251" i="1"/>
  <c r="AG166" i="1"/>
  <c r="AG174" i="1"/>
  <c r="AG182" i="1"/>
  <c r="AG190" i="1"/>
  <c r="AG198" i="1"/>
  <c r="AG227" i="1"/>
  <c r="AG17" i="1"/>
  <c r="AG22" i="1"/>
  <c r="AG27" i="1"/>
  <c r="AG33" i="1"/>
  <c r="AG38" i="1"/>
  <c r="AG43" i="1"/>
  <c r="AG49" i="1"/>
  <c r="AG54" i="1"/>
  <c r="AG59" i="1"/>
  <c r="AG65" i="1"/>
  <c r="AG71" i="1"/>
  <c r="AG76" i="1"/>
  <c r="AG82" i="1"/>
  <c r="AG87" i="1"/>
  <c r="AG92" i="1"/>
  <c r="AG98" i="1"/>
  <c r="AG103" i="1"/>
  <c r="AG108" i="1"/>
  <c r="AG117" i="1"/>
  <c r="AG121" i="1"/>
  <c r="AG125" i="1"/>
  <c r="AG129" i="1"/>
  <c r="AG133" i="1"/>
  <c r="AG137" i="1"/>
  <c r="AG145" i="1"/>
  <c r="AG149" i="1"/>
  <c r="AG157" i="1"/>
  <c r="AG214" i="1"/>
  <c r="AG228" i="1"/>
  <c r="AG236" i="1"/>
  <c r="AG240" i="1"/>
  <c r="AG159" i="1"/>
  <c r="AG167" i="1"/>
  <c r="AG175" i="1"/>
  <c r="AG183" i="1"/>
  <c r="AG191" i="1"/>
  <c r="AG199" i="1"/>
  <c r="AG207" i="1"/>
  <c r="AG51" i="1"/>
  <c r="AG79" i="1"/>
  <c r="AG95" i="1"/>
  <c r="AG111" i="1"/>
  <c r="AG119" i="1"/>
  <c r="AG127" i="1"/>
  <c r="AG135" i="1"/>
  <c r="AG147" i="1"/>
  <c r="AG155" i="1"/>
  <c r="AG212" i="1"/>
  <c r="AG220" i="1"/>
  <c r="AG234" i="1"/>
  <c r="AG242" i="1"/>
  <c r="AG250" i="1"/>
  <c r="AG165" i="1"/>
  <c r="AG173" i="1"/>
  <c r="AG181" i="1"/>
  <c r="AG189" i="1"/>
  <c r="AG197" i="1"/>
  <c r="AG225" i="1"/>
  <c r="AG53" i="1"/>
  <c r="AG96" i="1"/>
  <c r="AG112" i="1"/>
  <c r="AG120" i="1"/>
  <c r="AG128" i="1"/>
  <c r="AG136" i="1"/>
  <c r="AG144" i="1"/>
  <c r="AG152" i="1"/>
  <c r="AG209" i="1"/>
  <c r="AG217" i="1"/>
  <c r="AG231" i="1"/>
  <c r="AG239" i="1"/>
  <c r="AG247" i="1"/>
  <c r="AG162" i="1"/>
  <c r="AG170" i="1"/>
  <c r="AG178" i="1"/>
  <c r="AG186" i="1"/>
  <c r="AG194" i="1"/>
  <c r="AG222" i="1"/>
  <c r="AG113" i="1"/>
  <c r="AG141" i="1"/>
  <c r="AG153" i="1"/>
  <c r="AG210" i="1"/>
  <c r="AG218" i="1"/>
  <c r="AG232" i="1"/>
  <c r="AG244" i="1"/>
  <c r="AG163" i="1"/>
  <c r="AG171" i="1"/>
  <c r="AG179" i="1"/>
  <c r="AG187" i="1"/>
  <c r="AG224" i="1"/>
  <c r="AG203" i="1"/>
  <c r="AG248" i="1"/>
  <c r="AG195" i="1"/>
  <c r="W13" i="3"/>
  <c r="W39" i="3"/>
  <c r="W10" i="3"/>
  <c r="W42" i="3"/>
  <c r="W29" i="3"/>
  <c r="W18" i="3"/>
  <c r="W33" i="3"/>
  <c r="W20" i="3"/>
  <c r="W37" i="3"/>
  <c r="W41" i="3"/>
  <c r="W12" i="3"/>
  <c r="W17" i="3"/>
  <c r="W23" i="3"/>
  <c r="W11" i="3"/>
  <c r="W28" i="3"/>
  <c r="W34" i="3"/>
  <c r="W38" i="3"/>
  <c r="W27" i="3"/>
  <c r="W31" i="3"/>
  <c r="W35" i="3"/>
  <c r="W7" i="3"/>
  <c r="W32" i="3"/>
  <c r="W16" i="3"/>
  <c r="W14" i="3"/>
  <c r="W8" i="3"/>
  <c r="W22" i="3"/>
  <c r="W19" i="3"/>
  <c r="W25" i="3"/>
  <c r="W21" i="3"/>
  <c r="W40" i="3"/>
  <c r="W36" i="3"/>
  <c r="W30" i="3"/>
  <c r="W24" i="3"/>
  <c r="W15" i="3"/>
  <c r="W26" i="3"/>
  <c r="AD37" i="3" l="1"/>
  <c r="AD28" i="3"/>
  <c r="S37" i="3"/>
  <c r="S41" i="3"/>
  <c r="AC8" i="3"/>
  <c r="AD19" i="3"/>
  <c r="AE39" i="3"/>
  <c r="AC15" i="3"/>
  <c r="R25" i="3"/>
  <c r="AE31" i="3"/>
  <c r="X67" i="1"/>
  <c r="AI67" i="1"/>
  <c r="U67" i="1"/>
  <c r="S67" i="1" s="1"/>
  <c r="W67" i="1"/>
  <c r="AD24" i="3"/>
  <c r="S22" i="3"/>
  <c r="AC16" i="3"/>
  <c r="AE35" i="3"/>
  <c r="AD41" i="3"/>
  <c r="AD35" i="3"/>
  <c r="AE19" i="3"/>
  <c r="AD17" i="3"/>
  <c r="AD16" i="3"/>
  <c r="AC28" i="3"/>
  <c r="AA225" i="1"/>
  <c r="AA207" i="1"/>
  <c r="AA195" i="1"/>
  <c r="AA194" i="1"/>
  <c r="AA193" i="1"/>
  <c r="X194" i="1"/>
  <c r="T194" i="1"/>
  <c r="AA227" i="1"/>
  <c r="AA223" i="1"/>
  <c r="AA203" i="1"/>
  <c r="AA192" i="1"/>
  <c r="T195" i="1"/>
  <c r="AA16" i="1"/>
  <c r="AA189" i="1"/>
  <c r="X186" i="1"/>
  <c r="X171" i="1"/>
  <c r="AA169" i="1"/>
  <c r="X162" i="1"/>
  <c r="AA160" i="1"/>
  <c r="AA159" i="1"/>
  <c r="AA251" i="1"/>
  <c r="X250" i="1"/>
  <c r="AA239" i="1"/>
  <c r="X238" i="1"/>
  <c r="X231" i="1"/>
  <c r="T218" i="1"/>
  <c r="X215" i="1"/>
  <c r="AA211" i="1"/>
  <c r="AA158" i="1"/>
  <c r="AA154" i="1"/>
  <c r="AA147" i="1"/>
  <c r="AA143" i="1"/>
  <c r="AA139" i="1"/>
  <c r="AA135" i="1"/>
  <c r="AA131" i="1"/>
  <c r="AA127" i="1"/>
  <c r="AA123" i="1"/>
  <c r="AA119" i="1"/>
  <c r="X114" i="1"/>
  <c r="X110" i="1"/>
  <c r="AA105" i="1"/>
  <c r="AA104" i="1"/>
  <c r="X103" i="1"/>
  <c r="X100" i="1"/>
  <c r="AA96" i="1"/>
  <c r="AA87" i="1"/>
  <c r="AA86" i="1"/>
  <c r="X86" i="1"/>
  <c r="AA79" i="1"/>
  <c r="AA75" i="1"/>
  <c r="AA71" i="1"/>
  <c r="AA66" i="1"/>
  <c r="AA59" i="1"/>
  <c r="AA58" i="1"/>
  <c r="X57" i="1"/>
  <c r="AA49" i="1"/>
  <c r="AA41" i="1"/>
  <c r="AA33" i="1"/>
  <c r="AA25" i="1"/>
  <c r="AA17" i="1"/>
  <c r="X56" i="1"/>
  <c r="AA18" i="1"/>
  <c r="X183" i="1"/>
  <c r="X178" i="1"/>
  <c r="AA176" i="1"/>
  <c r="AA175" i="1"/>
  <c r="AA174" i="1"/>
  <c r="AA172" i="1"/>
  <c r="AA171" i="1"/>
  <c r="T170" i="1"/>
  <c r="X246" i="1"/>
  <c r="X244" i="1"/>
  <c r="AA236" i="1"/>
  <c r="AA235" i="1"/>
  <c r="AA231" i="1"/>
  <c r="AA230" i="1"/>
  <c r="AA228" i="1"/>
  <c r="AA219" i="1"/>
  <c r="AA217" i="1"/>
  <c r="AA215" i="1"/>
  <c r="AA213" i="1"/>
  <c r="AA209" i="1"/>
  <c r="AA156" i="1"/>
  <c r="AA149" i="1"/>
  <c r="AA145" i="1"/>
  <c r="AA141" i="1"/>
  <c r="AA137" i="1"/>
  <c r="AA133" i="1"/>
  <c r="AA129" i="1"/>
  <c r="AA125" i="1"/>
  <c r="AA121" i="1"/>
  <c r="AA117" i="1"/>
  <c r="X112" i="1"/>
  <c r="AA108" i="1"/>
  <c r="X107" i="1"/>
  <c r="AA100" i="1"/>
  <c r="X96" i="1"/>
  <c r="X93" i="1"/>
  <c r="X91" i="1"/>
  <c r="X88" i="1"/>
  <c r="AA81" i="1"/>
  <c r="AA77" i="1"/>
  <c r="AA73" i="1"/>
  <c r="AA69" i="1"/>
  <c r="AA64" i="1"/>
  <c r="AA63" i="1"/>
  <c r="AA53" i="1"/>
  <c r="AA45" i="1"/>
  <c r="AA37" i="1"/>
  <c r="AA29" i="1"/>
  <c r="AA21" i="1"/>
  <c r="AA15" i="1"/>
  <c r="X199" i="1"/>
  <c r="X196" i="1"/>
  <c r="T196" i="1"/>
  <c r="X191" i="1"/>
  <c r="T183" i="1"/>
  <c r="X200" i="1"/>
  <c r="X184" i="1"/>
  <c r="T184" i="1"/>
  <c r="X185" i="1"/>
  <c r="AA199" i="1"/>
  <c r="X197" i="1"/>
  <c r="X188" i="1"/>
  <c r="T188" i="1"/>
  <c r="X192" i="1"/>
  <c r="T192" i="1"/>
  <c r="X193" i="1"/>
  <c r="X176" i="1"/>
  <c r="X175" i="1"/>
  <c r="X168" i="1"/>
  <c r="X167" i="1"/>
  <c r="X160" i="1"/>
  <c r="X159" i="1"/>
  <c r="X241" i="1"/>
  <c r="X239" i="1"/>
  <c r="X219" i="1"/>
  <c r="X198" i="1"/>
  <c r="X190" i="1"/>
  <c r="X189" i="1"/>
  <c r="X182" i="1"/>
  <c r="X181" i="1"/>
  <c r="T180" i="1"/>
  <c r="X174" i="1"/>
  <c r="X173" i="1"/>
  <c r="T172" i="1"/>
  <c r="X166" i="1"/>
  <c r="X165" i="1"/>
  <c r="T164" i="1"/>
  <c r="X251" i="1"/>
  <c r="X249" i="1"/>
  <c r="X245" i="1"/>
  <c r="X243" i="1"/>
  <c r="AA242" i="1"/>
  <c r="X240" i="1"/>
  <c r="X229" i="1"/>
  <c r="X221" i="1"/>
  <c r="AA220" i="1"/>
  <c r="X217" i="1"/>
  <c r="X228" i="1"/>
  <c r="X177" i="1"/>
  <c r="T176" i="1"/>
  <c r="X169" i="1"/>
  <c r="T168" i="1"/>
  <c r="X161" i="1"/>
  <c r="T160" i="1"/>
  <c r="X248" i="1"/>
  <c r="X237" i="1"/>
  <c r="X235" i="1"/>
  <c r="AA234" i="1"/>
  <c r="X232" i="1"/>
  <c r="T88" i="1"/>
  <c r="X61" i="1"/>
  <c r="AA218" i="1"/>
  <c r="AA216" i="1"/>
  <c r="X115" i="1"/>
  <c r="X111" i="1"/>
  <c r="X108" i="1"/>
  <c r="X106" i="1"/>
  <c r="X104" i="1"/>
  <c r="X102" i="1"/>
  <c r="AA101" i="1"/>
  <c r="X99" i="1"/>
  <c r="X97" i="1"/>
  <c r="X95" i="1"/>
  <c r="T92" i="1"/>
  <c r="T90" i="1"/>
  <c r="AA85" i="1"/>
  <c r="X60" i="1"/>
  <c r="X59" i="1"/>
  <c r="T58" i="1"/>
  <c r="T91" i="1"/>
  <c r="T64" i="1"/>
  <c r="X113" i="1"/>
  <c r="AA91" i="1"/>
  <c r="AA89" i="1"/>
  <c r="X82" i="1"/>
  <c r="T62" i="1"/>
  <c r="AA55" i="1"/>
  <c r="U227" i="1"/>
  <c r="S227" i="1" s="1"/>
  <c r="AI251" i="1"/>
  <c r="U225" i="1"/>
  <c r="S225" i="1" s="1"/>
  <c r="AI249" i="1"/>
  <c r="W223" i="1"/>
  <c r="AI247" i="1"/>
  <c r="U223" i="1"/>
  <c r="S223" i="1" s="1"/>
  <c r="U207" i="1"/>
  <c r="S207" i="1" s="1"/>
  <c r="AI245" i="1"/>
  <c r="AI243" i="1"/>
  <c r="U203" i="1"/>
  <c r="S203" i="1" s="1"/>
  <c r="U202" i="1"/>
  <c r="S202" i="1" s="1"/>
  <c r="AI242" i="1"/>
  <c r="U226" i="1"/>
  <c r="S226" i="1" s="1"/>
  <c r="AI250" i="1"/>
  <c r="U224" i="1"/>
  <c r="S224" i="1" s="1"/>
  <c r="AI248" i="1"/>
  <c r="U222" i="1"/>
  <c r="S222" i="1" s="1"/>
  <c r="AI246" i="1"/>
  <c r="U206" i="1"/>
  <c r="S206" i="1" s="1"/>
  <c r="AI244" i="1"/>
  <c r="U200" i="1"/>
  <c r="S200" i="1" s="1"/>
  <c r="AI241" i="1"/>
  <c r="U199" i="1"/>
  <c r="S199" i="1" s="1"/>
  <c r="AI240" i="1"/>
  <c r="U198" i="1"/>
  <c r="S198" i="1" s="1"/>
  <c r="AI239" i="1"/>
  <c r="U197" i="1"/>
  <c r="S197" i="1" s="1"/>
  <c r="AI238" i="1"/>
  <c r="U196" i="1"/>
  <c r="S196" i="1" s="1"/>
  <c r="AI237" i="1"/>
  <c r="U195" i="1"/>
  <c r="S195" i="1" s="1"/>
  <c r="AI236" i="1"/>
  <c r="U194" i="1"/>
  <c r="S194" i="1" s="1"/>
  <c r="AI235" i="1"/>
  <c r="U193" i="1"/>
  <c r="S193" i="1" s="1"/>
  <c r="AI234" i="1"/>
  <c r="U192" i="1"/>
  <c r="S192" i="1" s="1"/>
  <c r="AI233" i="1"/>
  <c r="U191" i="1"/>
  <c r="S191" i="1" s="1"/>
  <c r="AI232" i="1"/>
  <c r="U190" i="1"/>
  <c r="S190" i="1" s="1"/>
  <c r="AI231" i="1"/>
  <c r="U189" i="1"/>
  <c r="S189" i="1" s="1"/>
  <c r="AI230" i="1"/>
  <c r="U188" i="1"/>
  <c r="S188" i="1" s="1"/>
  <c r="AI229" i="1"/>
  <c r="U187" i="1"/>
  <c r="S187" i="1" s="1"/>
  <c r="AI228" i="1"/>
  <c r="U186" i="1"/>
  <c r="S186" i="1" s="1"/>
  <c r="AI227" i="1"/>
  <c r="U185" i="1"/>
  <c r="S185" i="1" s="1"/>
  <c r="AI226" i="1"/>
  <c r="U184" i="1"/>
  <c r="S184" i="1" s="1"/>
  <c r="AI225" i="1"/>
  <c r="U183" i="1"/>
  <c r="S183" i="1" s="1"/>
  <c r="AI224" i="1"/>
  <c r="U182" i="1"/>
  <c r="S182" i="1" s="1"/>
  <c r="AI223" i="1"/>
  <c r="U181" i="1"/>
  <c r="S181" i="1" s="1"/>
  <c r="AI222" i="1"/>
  <c r="U180" i="1"/>
  <c r="AI221" i="1"/>
  <c r="S180" i="1"/>
  <c r="U179" i="1"/>
  <c r="S179" i="1" s="1"/>
  <c r="AI220" i="1"/>
  <c r="U178" i="1"/>
  <c r="S178" i="1" s="1"/>
  <c r="AI219" i="1"/>
  <c r="U177" i="1"/>
  <c r="S177" i="1" s="1"/>
  <c r="AI218" i="1"/>
  <c r="U176" i="1"/>
  <c r="S176" i="1" s="1"/>
  <c r="AI217" i="1"/>
  <c r="U175" i="1"/>
  <c r="S175" i="1" s="1"/>
  <c r="AI216" i="1"/>
  <c r="U174" i="1"/>
  <c r="S174" i="1" s="1"/>
  <c r="AI215" i="1"/>
  <c r="U173" i="1"/>
  <c r="S173" i="1" s="1"/>
  <c r="AI214" i="1"/>
  <c r="U172" i="1"/>
  <c r="S172" i="1" s="1"/>
  <c r="AI213" i="1"/>
  <c r="U171" i="1"/>
  <c r="S171" i="1" s="1"/>
  <c r="AI212" i="1"/>
  <c r="U170" i="1"/>
  <c r="S170" i="1" s="1"/>
  <c r="AI211" i="1"/>
  <c r="U169" i="1"/>
  <c r="S169" i="1" s="1"/>
  <c r="AI210" i="1"/>
  <c r="U168" i="1"/>
  <c r="S168" i="1" s="1"/>
  <c r="AI209" i="1"/>
  <c r="U167" i="1"/>
  <c r="S167" i="1" s="1"/>
  <c r="AI208" i="1"/>
  <c r="U166" i="1"/>
  <c r="S166" i="1" s="1"/>
  <c r="AI207" i="1"/>
  <c r="U165" i="1"/>
  <c r="S165" i="1" s="1"/>
  <c r="AI206" i="1"/>
  <c r="U164" i="1"/>
  <c r="S164" i="1" s="1"/>
  <c r="AI203" i="1"/>
  <c r="U163" i="1"/>
  <c r="S163" i="1" s="1"/>
  <c r="AI202" i="1"/>
  <c r="U162" i="1"/>
  <c r="S162" i="1" s="1"/>
  <c r="AI200" i="1"/>
  <c r="U161" i="1"/>
  <c r="S161" i="1" s="1"/>
  <c r="AI199" i="1"/>
  <c r="U160" i="1"/>
  <c r="S160" i="1" s="1"/>
  <c r="AI198" i="1"/>
  <c r="U159" i="1"/>
  <c r="S159" i="1" s="1"/>
  <c r="AI197" i="1"/>
  <c r="U251" i="1"/>
  <c r="S251" i="1" s="1"/>
  <c r="AI196" i="1"/>
  <c r="U250" i="1"/>
  <c r="S250" i="1" s="1"/>
  <c r="AI195" i="1"/>
  <c r="U249" i="1"/>
  <c r="S249" i="1" s="1"/>
  <c r="AI194" i="1"/>
  <c r="AI193" i="1"/>
  <c r="U247" i="1"/>
  <c r="S247" i="1" s="1"/>
  <c r="AI192" i="1"/>
  <c r="AI191" i="1"/>
  <c r="U245" i="1"/>
  <c r="S245" i="1" s="1"/>
  <c r="AI190" i="1"/>
  <c r="AI189" i="1"/>
  <c r="U243" i="1"/>
  <c r="S243" i="1" s="1"/>
  <c r="AI188" i="1"/>
  <c r="AI187" i="1"/>
  <c r="U241" i="1"/>
  <c r="S241" i="1" s="1"/>
  <c r="AI186" i="1"/>
  <c r="AI185" i="1"/>
  <c r="U239" i="1"/>
  <c r="S239" i="1" s="1"/>
  <c r="AI184" i="1"/>
  <c r="AI183" i="1"/>
  <c r="U237" i="1"/>
  <c r="S237" i="1" s="1"/>
  <c r="AI182" i="1"/>
  <c r="AI181" i="1"/>
  <c r="U235" i="1"/>
  <c r="S235" i="1" s="1"/>
  <c r="AI180" i="1"/>
  <c r="AI179" i="1"/>
  <c r="U233" i="1"/>
  <c r="S233" i="1" s="1"/>
  <c r="AI178" i="1"/>
  <c r="AI177" i="1"/>
  <c r="U231" i="1"/>
  <c r="S231" i="1" s="1"/>
  <c r="AI176" i="1"/>
  <c r="AI175" i="1"/>
  <c r="U229" i="1"/>
  <c r="S229" i="1" s="1"/>
  <c r="AI174" i="1"/>
  <c r="AI173" i="1"/>
  <c r="U221" i="1"/>
  <c r="S221" i="1" s="1"/>
  <c r="AI172" i="1"/>
  <c r="AI171" i="1"/>
  <c r="U219" i="1"/>
  <c r="S219" i="1" s="1"/>
  <c r="AI170" i="1"/>
  <c r="U218" i="1"/>
  <c r="S218" i="1" s="1"/>
  <c r="AI169" i="1"/>
  <c r="U217" i="1"/>
  <c r="S217" i="1" s="1"/>
  <c r="AI168" i="1"/>
  <c r="AI167" i="1"/>
  <c r="U215" i="1"/>
  <c r="S215" i="1" s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U127" i="1"/>
  <c r="S127" i="1" s="1"/>
  <c r="AI126" i="1"/>
  <c r="U126" i="1"/>
  <c r="S126" i="1" s="1"/>
  <c r="AI125" i="1"/>
  <c r="U125" i="1"/>
  <c r="S125" i="1" s="1"/>
  <c r="AI124" i="1"/>
  <c r="U124" i="1"/>
  <c r="S124" i="1" s="1"/>
  <c r="AI123" i="1"/>
  <c r="U123" i="1"/>
  <c r="S123" i="1" s="1"/>
  <c r="AI122" i="1"/>
  <c r="U122" i="1"/>
  <c r="S122" i="1" s="1"/>
  <c r="AI121" i="1"/>
  <c r="U121" i="1"/>
  <c r="S121" i="1" s="1"/>
  <c r="AI120" i="1"/>
  <c r="U120" i="1"/>
  <c r="S120" i="1" s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5" i="1"/>
  <c r="AI114" i="1"/>
  <c r="AI113" i="1"/>
  <c r="AI112" i="1"/>
  <c r="AI111" i="1"/>
  <c r="AI110" i="1"/>
  <c r="AI109" i="1"/>
  <c r="U108" i="1"/>
  <c r="S108" i="1" s="1"/>
  <c r="AI108" i="1"/>
  <c r="AI107" i="1"/>
  <c r="U106" i="1"/>
  <c r="S106" i="1" s="1"/>
  <c r="AI106" i="1"/>
  <c r="AI105" i="1"/>
  <c r="W105" i="1"/>
  <c r="U104" i="1"/>
  <c r="S104" i="1" s="1"/>
  <c r="AI104" i="1"/>
  <c r="AI103" i="1"/>
  <c r="W103" i="1"/>
  <c r="U102" i="1"/>
  <c r="S102" i="1" s="1"/>
  <c r="AI102" i="1"/>
  <c r="AI101" i="1"/>
  <c r="U100" i="1"/>
  <c r="S100" i="1" s="1"/>
  <c r="AI100" i="1"/>
  <c r="AI99" i="1"/>
  <c r="U98" i="1"/>
  <c r="S98" i="1" s="1"/>
  <c r="AI98" i="1"/>
  <c r="AI97" i="1"/>
  <c r="W97" i="1"/>
  <c r="U96" i="1"/>
  <c r="AI96" i="1"/>
  <c r="S96" i="1"/>
  <c r="AI95" i="1"/>
  <c r="W95" i="1"/>
  <c r="U94" i="1"/>
  <c r="S94" i="1" s="1"/>
  <c r="AI94" i="1"/>
  <c r="AI93" i="1"/>
  <c r="U92" i="1"/>
  <c r="AI92" i="1"/>
  <c r="S92" i="1"/>
  <c r="U91" i="1"/>
  <c r="S91" i="1" s="1"/>
  <c r="AI91" i="1"/>
  <c r="U90" i="1"/>
  <c r="S90" i="1" s="1"/>
  <c r="AI90" i="1"/>
  <c r="AI89" i="1"/>
  <c r="U88" i="1"/>
  <c r="AI88" i="1"/>
  <c r="S88" i="1"/>
  <c r="AI87" i="1"/>
  <c r="U86" i="1"/>
  <c r="S86" i="1" s="1"/>
  <c r="AI86" i="1"/>
  <c r="AI85" i="1"/>
  <c r="U84" i="1"/>
  <c r="S84" i="1" s="1"/>
  <c r="AI84" i="1"/>
  <c r="AI83" i="1"/>
  <c r="U82" i="1"/>
  <c r="S82" i="1" s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U69" i="1"/>
  <c r="S69" i="1" s="1"/>
  <c r="AI68" i="1"/>
  <c r="U68" i="1"/>
  <c r="S68" i="1" s="1"/>
  <c r="AI66" i="1"/>
  <c r="U66" i="1"/>
  <c r="S66" i="1" s="1"/>
  <c r="S65" i="1"/>
  <c r="AI65" i="1"/>
  <c r="U65" i="1"/>
  <c r="U64" i="1"/>
  <c r="S64" i="1" s="1"/>
  <c r="AI64" i="1"/>
  <c r="U63" i="1"/>
  <c r="S63" i="1" s="1"/>
  <c r="AI63" i="1"/>
  <c r="U62" i="1"/>
  <c r="S62" i="1" s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7" i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U23" i="1"/>
  <c r="S23" i="1" s="1"/>
  <c r="AI23" i="1"/>
  <c r="U22" i="1"/>
  <c r="S22" i="1" s="1"/>
  <c r="AI22" i="1"/>
  <c r="U21" i="1"/>
  <c r="S21" i="1" s="1"/>
  <c r="AI21" i="1"/>
  <c r="U20" i="1"/>
  <c r="S20" i="1"/>
  <c r="AI20" i="1"/>
  <c r="U19" i="1"/>
  <c r="S19" i="1" s="1"/>
  <c r="AI19" i="1"/>
  <c r="U18" i="1"/>
  <c r="S18" i="1" s="1"/>
  <c r="AI18" i="1"/>
  <c r="U17" i="1"/>
  <c r="S17" i="1" s="1"/>
  <c r="AI17" i="1"/>
  <c r="U16" i="1"/>
  <c r="S16" i="1" s="1"/>
  <c r="AI16" i="1"/>
  <c r="U15" i="1"/>
  <c r="S15" i="1" s="1"/>
  <c r="AI15" i="1"/>
  <c r="U14" i="1"/>
  <c r="S14" i="1" s="1"/>
  <c r="AI14" i="1"/>
  <c r="W200" i="1"/>
  <c r="W195" i="1"/>
  <c r="W192" i="1"/>
  <c r="W187" i="1"/>
  <c r="W184" i="1"/>
  <c r="W179" i="1"/>
  <c r="W176" i="1"/>
  <c r="W171" i="1"/>
  <c r="W168" i="1"/>
  <c r="W163" i="1"/>
  <c r="W160" i="1"/>
  <c r="W247" i="1"/>
  <c r="W236" i="1"/>
  <c r="W234" i="1"/>
  <c r="W233" i="1"/>
  <c r="W231" i="1"/>
  <c r="W227" i="1"/>
  <c r="W226" i="1"/>
  <c r="W225" i="1"/>
  <c r="W224" i="1"/>
  <c r="W222" i="1"/>
  <c r="W207" i="1"/>
  <c r="W206" i="1"/>
  <c r="W203" i="1"/>
  <c r="W202" i="1"/>
  <c r="W198" i="1"/>
  <c r="W193" i="1"/>
  <c r="W190" i="1"/>
  <c r="W185" i="1"/>
  <c r="W182" i="1"/>
  <c r="W177" i="1"/>
  <c r="W174" i="1"/>
  <c r="W169" i="1"/>
  <c r="W166" i="1"/>
  <c r="W161" i="1"/>
  <c r="W251" i="1"/>
  <c r="W249" i="1"/>
  <c r="W240" i="1"/>
  <c r="W238" i="1"/>
  <c r="W237" i="1"/>
  <c r="W235" i="1"/>
  <c r="W215" i="1"/>
  <c r="W199" i="1"/>
  <c r="W196" i="1"/>
  <c r="W191" i="1"/>
  <c r="W188" i="1"/>
  <c r="W183" i="1"/>
  <c r="W180" i="1"/>
  <c r="W175" i="1"/>
  <c r="W172" i="1"/>
  <c r="W167" i="1"/>
  <c r="W164" i="1"/>
  <c r="W159" i="1"/>
  <c r="W244" i="1"/>
  <c r="W242" i="1"/>
  <c r="W241" i="1"/>
  <c r="W239" i="1"/>
  <c r="W228" i="1"/>
  <c r="W220" i="1"/>
  <c r="W219" i="1"/>
  <c r="W217" i="1"/>
  <c r="W197" i="1"/>
  <c r="W194" i="1"/>
  <c r="W189" i="1"/>
  <c r="W186" i="1"/>
  <c r="W181" i="1"/>
  <c r="W178" i="1"/>
  <c r="W173" i="1"/>
  <c r="W170" i="1"/>
  <c r="W165" i="1"/>
  <c r="W162" i="1"/>
  <c r="W250" i="1"/>
  <c r="W248" i="1"/>
  <c r="W246" i="1"/>
  <c r="W245" i="1"/>
  <c r="W243" i="1"/>
  <c r="W232" i="1"/>
  <c r="W230" i="1"/>
  <c r="W229" i="1"/>
  <c r="W221" i="1"/>
  <c r="T248" i="1"/>
  <c r="U248" i="1" s="1"/>
  <c r="S248" i="1" s="1"/>
  <c r="T240" i="1"/>
  <c r="U240" i="1" s="1"/>
  <c r="S240" i="1" s="1"/>
  <c r="T232" i="1"/>
  <c r="U232" i="1" s="1"/>
  <c r="S232" i="1" s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158" i="1"/>
  <c r="U158" i="1" s="1"/>
  <c r="S158" i="1" s="1"/>
  <c r="X158" i="1"/>
  <c r="T156" i="1"/>
  <c r="U156" i="1" s="1"/>
  <c r="S156" i="1" s="1"/>
  <c r="X156" i="1"/>
  <c r="T154" i="1"/>
  <c r="U154" i="1" s="1"/>
  <c r="X154" i="1"/>
  <c r="T152" i="1"/>
  <c r="U152" i="1" s="1"/>
  <c r="S152" i="1" s="1"/>
  <c r="X152" i="1"/>
  <c r="T150" i="1"/>
  <c r="U150" i="1" s="1"/>
  <c r="S150" i="1" s="1"/>
  <c r="X150" i="1"/>
  <c r="T246" i="1"/>
  <c r="U246" i="1" s="1"/>
  <c r="S246" i="1" s="1"/>
  <c r="T238" i="1"/>
  <c r="U238" i="1" s="1"/>
  <c r="S238" i="1" s="1"/>
  <c r="T230" i="1"/>
  <c r="U230" i="1" s="1"/>
  <c r="S230" i="1" s="1"/>
  <c r="T216" i="1"/>
  <c r="U216" i="1" s="1"/>
  <c r="S216" i="1" s="1"/>
  <c r="W214" i="1"/>
  <c r="W212" i="1"/>
  <c r="W210" i="1"/>
  <c r="W208" i="1"/>
  <c r="W157" i="1"/>
  <c r="W155" i="1"/>
  <c r="W153" i="1"/>
  <c r="W151" i="1"/>
  <c r="X227" i="1"/>
  <c r="X226" i="1"/>
  <c r="X225" i="1"/>
  <c r="X224" i="1"/>
  <c r="X223" i="1"/>
  <c r="X222" i="1"/>
  <c r="T244" i="1"/>
  <c r="U244" i="1" s="1"/>
  <c r="S244" i="1" s="1"/>
  <c r="T236" i="1"/>
  <c r="U236" i="1" s="1"/>
  <c r="S236" i="1" s="1"/>
  <c r="T228" i="1"/>
  <c r="U228" i="1" s="1"/>
  <c r="S228" i="1" s="1"/>
  <c r="W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8" i="1"/>
  <c r="U208" i="1" s="1"/>
  <c r="S208" i="1" s="1"/>
  <c r="X208" i="1"/>
  <c r="T157" i="1"/>
  <c r="U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242" i="1"/>
  <c r="U242" i="1" s="1"/>
  <c r="S242" i="1" s="1"/>
  <c r="T234" i="1"/>
  <c r="U234" i="1" s="1"/>
  <c r="S234" i="1" s="1"/>
  <c r="T220" i="1"/>
  <c r="U220" i="1" s="1"/>
  <c r="S220" i="1" s="1"/>
  <c r="W218" i="1"/>
  <c r="W213" i="1"/>
  <c r="W211" i="1"/>
  <c r="W209" i="1"/>
  <c r="W158" i="1"/>
  <c r="W156" i="1"/>
  <c r="W154" i="1"/>
  <c r="W152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99" i="1"/>
  <c r="W92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W107" i="1"/>
  <c r="W101" i="1"/>
  <c r="W100" i="1"/>
  <c r="W98" i="1"/>
  <c r="W96" i="1"/>
  <c r="W94" i="1"/>
  <c r="W108" i="1"/>
  <c r="W106" i="1"/>
  <c r="W104" i="1"/>
  <c r="W102" i="1"/>
  <c r="T115" i="1"/>
  <c r="U115" i="1" s="1"/>
  <c r="S115" i="1" s="1"/>
  <c r="T114" i="1"/>
  <c r="U114" i="1" s="1"/>
  <c r="S114" i="1" s="1"/>
  <c r="T113" i="1"/>
  <c r="U113" i="1" s="1"/>
  <c r="S113" i="1" s="1"/>
  <c r="T112" i="1"/>
  <c r="U112" i="1" s="1"/>
  <c r="S112" i="1" s="1"/>
  <c r="T111" i="1"/>
  <c r="U111" i="1" s="1"/>
  <c r="S111" i="1" s="1"/>
  <c r="T110" i="1"/>
  <c r="U110" i="1" s="1"/>
  <c r="S110" i="1" s="1"/>
  <c r="T109" i="1"/>
  <c r="U109" i="1" s="1"/>
  <c r="S109" i="1" s="1"/>
  <c r="T101" i="1"/>
  <c r="U101" i="1" s="1"/>
  <c r="S101" i="1" s="1"/>
  <c r="W89" i="1"/>
  <c r="W88" i="1"/>
  <c r="X83" i="1"/>
  <c r="T83" i="1"/>
  <c r="U83" i="1" s="1"/>
  <c r="S83" i="1" s="1"/>
  <c r="T107" i="1"/>
  <c r="U107" i="1" s="1"/>
  <c r="S107" i="1" s="1"/>
  <c r="T99" i="1"/>
  <c r="U99" i="1" s="1"/>
  <c r="S99" i="1" s="1"/>
  <c r="X89" i="1"/>
  <c r="T89" i="1"/>
  <c r="U89" i="1" s="1"/>
  <c r="S89" i="1" s="1"/>
  <c r="W87" i="1"/>
  <c r="W86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T105" i="1"/>
  <c r="U105" i="1" s="1"/>
  <c r="S105" i="1" s="1"/>
  <c r="T97" i="1"/>
  <c r="U97" i="1" s="1"/>
  <c r="S97" i="1" s="1"/>
  <c r="T93" i="1"/>
  <c r="U93" i="1" s="1"/>
  <c r="S93" i="1" s="1"/>
  <c r="W91" i="1"/>
  <c r="X87" i="1"/>
  <c r="T87" i="1"/>
  <c r="U87" i="1" s="1"/>
  <c r="S87" i="1" s="1"/>
  <c r="W85" i="1"/>
  <c r="W84" i="1"/>
  <c r="AA115" i="1"/>
  <c r="W115" i="1" s="1"/>
  <c r="AA114" i="1"/>
  <c r="W114" i="1" s="1"/>
  <c r="AA113" i="1"/>
  <c r="W113" i="1" s="1"/>
  <c r="AA112" i="1"/>
  <c r="W112" i="1" s="1"/>
  <c r="AA111" i="1"/>
  <c r="W111" i="1" s="1"/>
  <c r="AA110" i="1"/>
  <c r="W110" i="1" s="1"/>
  <c r="AA109" i="1"/>
  <c r="W109" i="1" s="1"/>
  <c r="T103" i="1"/>
  <c r="U103" i="1" s="1"/>
  <c r="S103" i="1" s="1"/>
  <c r="T95" i="1"/>
  <c r="U95" i="1" s="1"/>
  <c r="S95" i="1" s="1"/>
  <c r="W93" i="1"/>
  <c r="W90" i="1"/>
  <c r="X85" i="1"/>
  <c r="T85" i="1"/>
  <c r="U85" i="1" s="1"/>
  <c r="S85" i="1" s="1"/>
  <c r="W83" i="1"/>
  <c r="W82" i="1"/>
  <c r="W63" i="1"/>
  <c r="W60" i="1"/>
  <c r="W56" i="1"/>
  <c r="W53" i="1"/>
  <c r="W52" i="1"/>
  <c r="W61" i="1"/>
  <c r="W58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6" i="1"/>
  <c r="W65" i="1"/>
  <c r="W64" i="1"/>
  <c r="W59" i="1"/>
  <c r="T81" i="1"/>
  <c r="U81" i="1" s="1"/>
  <c r="S81" i="1" s="1"/>
  <c r="X81" i="1"/>
  <c r="T80" i="1"/>
  <c r="U80" i="1" s="1"/>
  <c r="S80" i="1" s="1"/>
  <c r="X80" i="1"/>
  <c r="T79" i="1"/>
  <c r="U79" i="1" s="1"/>
  <c r="S79" i="1" s="1"/>
  <c r="X79" i="1"/>
  <c r="T78" i="1"/>
  <c r="U78" i="1" s="1"/>
  <c r="S78" i="1" s="1"/>
  <c r="X78" i="1"/>
  <c r="T77" i="1"/>
  <c r="U77" i="1" s="1"/>
  <c r="S77" i="1" s="1"/>
  <c r="X77" i="1"/>
  <c r="T76" i="1"/>
  <c r="U76" i="1" s="1"/>
  <c r="S76" i="1" s="1"/>
  <c r="X76" i="1"/>
  <c r="T75" i="1"/>
  <c r="U75" i="1" s="1"/>
  <c r="S75" i="1" s="1"/>
  <c r="X75" i="1"/>
  <c r="T74" i="1"/>
  <c r="U74" i="1" s="1"/>
  <c r="S74" i="1" s="1"/>
  <c r="X74" i="1"/>
  <c r="T73" i="1"/>
  <c r="U73" i="1" s="1"/>
  <c r="S73" i="1" s="1"/>
  <c r="X73" i="1"/>
  <c r="T72" i="1"/>
  <c r="U72" i="1" s="1"/>
  <c r="S72" i="1" s="1"/>
  <c r="X72" i="1"/>
  <c r="T71" i="1"/>
  <c r="U71" i="1" s="1"/>
  <c r="S71" i="1" s="1"/>
  <c r="X71" i="1"/>
  <c r="T70" i="1"/>
  <c r="U70" i="1" s="1"/>
  <c r="S70" i="1" s="1"/>
  <c r="X70" i="1"/>
  <c r="W62" i="1"/>
  <c r="W55" i="1"/>
  <c r="W54" i="1"/>
  <c r="T53" i="1"/>
  <c r="U53" i="1" s="1"/>
  <c r="S53" i="1" s="1"/>
  <c r="X53" i="1"/>
  <c r="W51" i="1"/>
  <c r="W47" i="1"/>
  <c r="W43" i="1"/>
  <c r="W39" i="1"/>
  <c r="W35" i="1"/>
  <c r="W31" i="1"/>
  <c r="W27" i="1"/>
  <c r="W23" i="1"/>
  <c r="W19" i="1"/>
  <c r="W15" i="1"/>
  <c r="T57" i="1"/>
  <c r="U57" i="1" s="1"/>
  <c r="S57" i="1" s="1"/>
  <c r="T54" i="1"/>
  <c r="U54" i="1" s="1"/>
  <c r="S54" i="1" s="1"/>
  <c r="X54" i="1"/>
  <c r="W50" i="1"/>
  <c r="W46" i="1"/>
  <c r="W42" i="1"/>
  <c r="W38" i="1"/>
  <c r="W34" i="1"/>
  <c r="W30" i="1"/>
  <c r="W26" i="1"/>
  <c r="W22" i="1"/>
  <c r="W18" i="1"/>
  <c r="W14" i="1"/>
  <c r="X66" i="1"/>
  <c r="X65" i="1"/>
  <c r="T55" i="1"/>
  <c r="U55" i="1" s="1"/>
  <c r="S55" i="1" s="1"/>
  <c r="X55" i="1"/>
  <c r="W49" i="1"/>
  <c r="W45" i="1"/>
  <c r="W41" i="1"/>
  <c r="W37" i="1"/>
  <c r="W33" i="1"/>
  <c r="W29" i="1"/>
  <c r="W25" i="1"/>
  <c r="W21" i="1"/>
  <c r="W17" i="1"/>
  <c r="T52" i="1"/>
  <c r="U52" i="1" s="1"/>
  <c r="S52" i="1" s="1"/>
  <c r="X52" i="1"/>
  <c r="W48" i="1"/>
  <c r="W44" i="1"/>
  <c r="W40" i="1"/>
  <c r="W36" i="1"/>
  <c r="W32" i="1"/>
  <c r="W28" i="1"/>
  <c r="W24" i="1"/>
  <c r="W20" i="1"/>
  <c r="W16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D29" i="3"/>
  <c r="AC22" i="3"/>
  <c r="AE23" i="3"/>
  <c r="AD21" i="3"/>
  <c r="AE15" i="3"/>
  <c r="AD12" i="3"/>
  <c r="AC26" i="3"/>
  <c r="AC12" i="3"/>
  <c r="AD33" i="3"/>
  <c r="AC33" i="3"/>
  <c r="AC25" i="3"/>
  <c r="AD25" i="3"/>
  <c r="AC21" i="3"/>
  <c r="AC41" i="3"/>
  <c r="AD20" i="3"/>
  <c r="AD15" i="3"/>
  <c r="AD13" i="3"/>
  <c r="AD8" i="3"/>
  <c r="AC34" i="3"/>
  <c r="T34" i="3"/>
  <c r="AC39" i="3"/>
  <c r="AC37" i="3"/>
  <c r="AE27" i="3"/>
  <c r="AC14" i="3"/>
  <c r="T14" i="3"/>
  <c r="AC13" i="3"/>
  <c r="AC30" i="3"/>
  <c r="AE11" i="3"/>
  <c r="AC10" i="3"/>
  <c r="AC35" i="3"/>
  <c r="AC38" i="3"/>
  <c r="AC24" i="3"/>
  <c r="AC31" i="3"/>
  <c r="AC20" i="3"/>
  <c r="AC18" i="3"/>
  <c r="Y37" i="3"/>
  <c r="Y26" i="3"/>
  <c r="Y22" i="3"/>
  <c r="Y38" i="3"/>
  <c r="Y20" i="3"/>
  <c r="Y15" i="3"/>
  <c r="Y8" i="3"/>
  <c r="Y34" i="3"/>
  <c r="Y33" i="3"/>
  <c r="Y24" i="3"/>
  <c r="Y14" i="3"/>
  <c r="Y28" i="3"/>
  <c r="Y18" i="3"/>
  <c r="Y30" i="3"/>
  <c r="Y16" i="3"/>
  <c r="Y11" i="3"/>
  <c r="Y29" i="3"/>
  <c r="Y36" i="3"/>
  <c r="Y32" i="3"/>
  <c r="Y23" i="3"/>
  <c r="Y42" i="3"/>
  <c r="Y40" i="3"/>
  <c r="Y7" i="3"/>
  <c r="Y17" i="3"/>
  <c r="Y10" i="3"/>
  <c r="Y21" i="3"/>
  <c r="Y35" i="3"/>
  <c r="Y12" i="3"/>
  <c r="Y39" i="3"/>
  <c r="Y25" i="3"/>
  <c r="Y31" i="3"/>
  <c r="Y41" i="3"/>
  <c r="Y13" i="3"/>
  <c r="Y19" i="3"/>
  <c r="Y27" i="3"/>
  <c r="AC23" i="3"/>
  <c r="T23" i="3"/>
  <c r="AE26" i="3"/>
  <c r="AD26" i="3"/>
  <c r="AC42" i="3"/>
  <c r="T42" i="3"/>
  <c r="AE22" i="3"/>
  <c r="AD22" i="3"/>
  <c r="AC32" i="3"/>
  <c r="T32" i="3"/>
  <c r="AE30" i="3"/>
  <c r="AD30" i="3"/>
  <c r="AC11" i="3"/>
  <c r="T11" i="3"/>
  <c r="AE42" i="3"/>
  <c r="AD42" i="3"/>
  <c r="AC29" i="3"/>
  <c r="AD38" i="3"/>
  <c r="T29" i="3"/>
  <c r="AE38" i="3"/>
  <c r="AC36" i="3"/>
  <c r="T36" i="3"/>
  <c r="AE34" i="3"/>
  <c r="AD34" i="3"/>
  <c r="AC40" i="3"/>
  <c r="AD18" i="3"/>
  <c r="T40" i="3"/>
  <c r="AE18" i="3"/>
  <c r="AE14" i="3"/>
  <c r="T7" i="3"/>
  <c r="AE10" i="3"/>
  <c r="T17" i="3"/>
  <c r="T31" i="3"/>
  <c r="AE21" i="3"/>
  <c r="T41" i="3"/>
  <c r="AE17" i="3"/>
  <c r="T13" i="3"/>
  <c r="AD14" i="3"/>
  <c r="AE13" i="3"/>
  <c r="T19" i="3"/>
  <c r="AD10" i="3"/>
  <c r="T27" i="3"/>
  <c r="AE41" i="3"/>
  <c r="T35" i="3"/>
  <c r="AE37" i="3"/>
  <c r="T12" i="3"/>
  <c r="AE33" i="3"/>
  <c r="T39" i="3"/>
  <c r="AE29" i="3"/>
  <c r="T25" i="3"/>
  <c r="AE25" i="3"/>
  <c r="AE40" i="3"/>
  <c r="AE36" i="3"/>
  <c r="AE32" i="3"/>
  <c r="AE28" i="3"/>
  <c r="AE24" i="3"/>
  <c r="AE20" i="3"/>
  <c r="AE16" i="3"/>
  <c r="AE12" i="3"/>
  <c r="AE8" i="3"/>
  <c r="R9" i="3" l="1"/>
  <c r="M9" i="3"/>
  <c r="S9" i="3"/>
  <c r="U9" i="3"/>
  <c r="V9" i="3"/>
  <c r="X9" i="3"/>
  <c r="AC9" i="3" l="1"/>
  <c r="AE9" i="3"/>
  <c r="AD9" i="3"/>
  <c r="W9" i="3"/>
  <c r="Y9" i="3" l="1"/>
  <c r="T9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N11" i="3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16" i="3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7" i="3" s="1"/>
  <c r="G26" i="4"/>
  <c r="G27" i="4"/>
  <c r="G28" i="4"/>
  <c r="N17" i="3" s="1"/>
  <c r="G29" i="4"/>
  <c r="G30" i="4"/>
  <c r="G31" i="4"/>
  <c r="G32" i="4"/>
  <c r="G33" i="4"/>
  <c r="G34" i="4"/>
  <c r="G35" i="4"/>
  <c r="G36" i="4"/>
  <c r="G37" i="4"/>
  <c r="N18" i="3" s="1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30" i="3" s="1"/>
  <c r="G53" i="4"/>
  <c r="G54" i="4"/>
  <c r="G55" i="4"/>
  <c r="N19" i="3" s="1"/>
  <c r="G56" i="4"/>
  <c r="G57" i="4"/>
  <c r="G58" i="4"/>
  <c r="N7" i="3" s="1"/>
  <c r="G59" i="4"/>
  <c r="G60" i="4"/>
  <c r="G61" i="4"/>
  <c r="G62" i="4"/>
  <c r="G63" i="4"/>
  <c r="G64" i="4"/>
  <c r="G65" i="4"/>
  <c r="N28" i="3" s="1"/>
  <c r="G66" i="4"/>
  <c r="G67" i="4"/>
  <c r="G68" i="4"/>
  <c r="G69" i="4"/>
  <c r="G70" i="4"/>
  <c r="G71" i="4"/>
  <c r="G72" i="4"/>
  <c r="G73" i="4"/>
  <c r="G74" i="4"/>
  <c r="N14" i="3" s="1"/>
  <c r="G75" i="4"/>
  <c r="G76" i="4"/>
  <c r="G77" i="4"/>
  <c r="G78" i="4"/>
  <c r="N20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N31" i="3" s="1"/>
  <c r="G93" i="4"/>
  <c r="G94" i="4"/>
  <c r="G95" i="4"/>
  <c r="G96" i="4"/>
  <c r="G97" i="4"/>
  <c r="N23" i="3" s="1"/>
  <c r="G98" i="4"/>
  <c r="G99" i="4"/>
  <c r="G100" i="4"/>
  <c r="N24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N33" i="3" s="1"/>
  <c r="G130" i="4"/>
  <c r="G131" i="4"/>
  <c r="G132" i="4"/>
  <c r="G133" i="4"/>
  <c r="N15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34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12" i="3" s="1"/>
  <c r="G187" i="4"/>
  <c r="N38" i="3" s="1"/>
  <c r="G188" i="4"/>
  <c r="G189" i="4"/>
  <c r="G190" i="4"/>
  <c r="G191" i="4"/>
  <c r="G192" i="4"/>
  <c r="N29" i="3" s="1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10" i="3" s="1"/>
  <c r="G209" i="4"/>
  <c r="G210" i="4"/>
  <c r="G211" i="4"/>
  <c r="G212" i="4"/>
  <c r="G213" i="4"/>
  <c r="G214" i="4"/>
  <c r="G215" i="4"/>
  <c r="G216" i="4"/>
  <c r="N26" i="3" s="1"/>
  <c r="G217" i="4"/>
  <c r="G218" i="4"/>
  <c r="G219" i="4"/>
  <c r="G220" i="4"/>
  <c r="G221" i="4"/>
  <c r="G222" i="4"/>
  <c r="N35" i="3" s="1"/>
  <c r="G223" i="4"/>
  <c r="G2" i="4"/>
  <c r="N9" i="3" l="1"/>
  <c r="N22" i="3"/>
  <c r="N21" i="3"/>
  <c r="N32" i="3"/>
  <c r="N25" i="3"/>
  <c r="N36" i="3"/>
  <c r="N37" i="3"/>
  <c r="N40" i="3"/>
  <c r="N41" i="3"/>
  <c r="N39" i="3"/>
  <c r="N42" i="3"/>
  <c r="N8" i="3"/>
  <c r="N1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<sst xmlns="http://schemas.openxmlformats.org/spreadsheetml/2006/main" count="2920" uniqueCount="1104">
  <si>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</si>
  <si>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</si>
  <si>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</si>
  <si>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</si>
  <si>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</si>
  <si>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</si>
  <si>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</si>
  <si>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</si>
  <si>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</si>
  <si>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</si>
  <si>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</si>
  <si>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</si>
  <si>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</si>
  <si>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</si>
  <si>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</si>
  <si>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</si>
  <si>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</si>
  <si>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</si>
  <si>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</si>
  <si>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</si>
  <si>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</si>
  <si>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</si>
  <si>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</si>
  <si>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</si>
  <si>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</si>
  <si>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</si>
  <si>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</si>
  <si>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</si>
  <si>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</si>
  <si>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</si>
  <si>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</si>
  <si>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</si>
  <si>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</si>
  <si>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</si>
  <si>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</si>
  <si>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</si>
  <si>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</si>
  <si>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</si>
  <si>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</si>
  <si>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</si>
  <si>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</si>
  <si>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</si>
  <si>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</si>
  <si>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</si>
  <si>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</si>
  <si>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</si>
  <si>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</si>
  <si>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</si>
  <si>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</si>
  <si>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</si>
  <si>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</si>
  <si>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</si>
  <si>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</si>
  <si>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</si>
  <si>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</si>
  <si>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</si>
  <si>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</si>
  <si>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</si>
  <si>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</si>
  <si>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</si>
  <si>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</si>
  <si>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</si>
  <si>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</si>
  <si>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</si>
  <si>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</si>
  <si>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</si>
  <si>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</si>
  <si>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</si>
  <si>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</si>
  <si>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</si>
  <si>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</si>
  <si>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</si>
  <si>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</si>
  <si>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</si>
  <si>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</si>
  <si>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</si>
  <si>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</si>
  <si>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</si>
  <si>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</si>
  <si>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</si>
  <si>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</si>
  <si>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</si>
  <si>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</si>
  <si>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</si>
  <si>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</si>
  <si>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</si>
  <si>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</si>
  <si>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</si>
  <si>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</si>
  <si>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</si>
  <si>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</si>
  <si>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</si>
  <si>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</si>
  <si>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</si>
  <si>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</si>
  <si>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</si>
  <si>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</si>
  <si>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</si>
  <si>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</si>
  <si>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</si>
  <si>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</si>
  <si>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</si>
  <si>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</si>
  <si>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</si>
  <si>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</si>
  <si>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</si>
  <si>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</si>
  <si>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</si>
  <si>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</si>
  <si>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</si>
  <si>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</si>
  <si>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</si>
  <si>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</si>
  <si>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</si>
  <si>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</si>
  <si>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</si>
  <si>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</si>
  <si>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</si>
  <si>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</si>
  <si>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</si>
  <si>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</si>
  <si>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</si>
  <si>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</si>
  <si>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</si>
  <si>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</si>
  <si>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</si>
  <si>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</si>
  <si>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</si>
  <si>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</si>
  <si>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</si>
  <si>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</si>
  <si>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</si>
  <si>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</si>
  <si>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</si>
  <si>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</si>
  <si>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</si>
  <si>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</si>
  <si>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</si>
  <si>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</si>
  <si>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</si>
  <si>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</si>
  <si>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</si>
  <si>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</si>
  <si>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</si>
  <si>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</si>
  <si>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</si>
  <si>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</si>
  <si>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</si>
  <si>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</si>
  <si>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</si>
  <si>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</si>
  <si>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</si>
  <si>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</si>
  <si>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</si>
  <si>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</si>
  <si>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</si>
  <si>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</si>
  <si>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</si>
  <si>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</si>
  <si>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</si>
  <si>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</si>
  <si>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</si>
  <si>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</si>
  <si>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</si>
  <si>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</si>
  <si>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</si>
  <si>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</si>
  <si>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</si>
  <si>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</si>
  <si>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</si>
  <si>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</si>
  <si>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</si>
  <si>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</si>
  <si>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</si>
  <si>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</si>
  <si>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</si>
  <si>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</si>
  <si>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</si>
  <si>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</si>
  <si>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</si>
  <si>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</si>
  <si>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</si>
  <si>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</si>
  <si>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</si>
  <si>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</si>
  <si>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</si>
  <si>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</si>
  <si>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</si>
  <si>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</si>
  <si>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</si>
  <si>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</si>
  <si>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</si>
  <si>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</si>
  <si>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</si>
  <si>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</si>
  <si>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</si>
  <si>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</si>
  <si>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</si>
  <si>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</si>
  <si>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</si>
  <si>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</si>
  <si>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</si>
  <si>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</si>
  <si>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</si>
  <si>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</si>
  <si>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</si>
  <si>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</si>
  <si>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</si>
  <si>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</si>
  <si>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</si>
  <si>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</si>
  <si>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</si>
  <si>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</si>
  <si>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</si>
  <si>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</si>
  <si>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</si>
  <si>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</si>
  <si>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</si>
  <si>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</si>
  <si>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</si>
  <si>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</si>
  <si>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</si>
  <si>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</si>
  <si>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</si>
  <si>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</si>
  <si>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</si>
  <si>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</si>
  <si>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</si>
  <si>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</si>
  <si>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</si>
  <si>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</si>
  <si>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</si>
  <si>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</si>
  <si>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</si>
  <si>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</si>
  <si>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</si>
  <si>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</si>
  <si>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</si>
  <si>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</si>
  <si>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</si>
  <si>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</si>
  <si>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</si>
  <si>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</si>
  <si>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</si>
  <si>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</si>
  <si>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</si>
  <si>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</si>
  <si>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</si>
  <si>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</si>
  <si>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</si>
  <si>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</si>
  <si>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</si>
  <si>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</si>
  <si>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</si>
  <si>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</si>
  <si>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</si>
  <si>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</si>
  <si>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</si>
  <si>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</si>
  <si>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</si>
  <si>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</si>
  <si>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</si>
  <si>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</si>
  <si>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</si>
  <si>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</si>
  <si>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</si>
  <si>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</si>
  <si>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</si>
  <si>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</si>
  <si>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</si>
  <si>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</si>
  <si>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</si>
  <si>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</si>
  <si>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</si>
  <si>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</si>
  <si>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</si>
  <si>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</si>
  <si>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</si>
  <si>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</si>
  <si>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</si>
  <si>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</si>
  <si>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</si>
  <si>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</si>
  <si>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</si>
  <si>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</si>
  <si>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</si>
  <si>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</si>
  <si>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</si>
  <si>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</si>
  <si>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</si>
  <si>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</si>
  <si>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</si>
  <si>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</si>
  <si>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</si>
  <si>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</si>
  <si>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</si>
  <si>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</si>
  <si>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</si>
  <si>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</si>
  <si>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</si>
  <si>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</si>
  <si>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</si>
  <si>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</si>
  <si>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</si>
  <si>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</si>
  <si>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</si>
  <si>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</si>
  <si>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</si>
  <si>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</si>
  <si>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</si>
  <si>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</si>
  <si>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</si>
  <si>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</si>
  <si>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</si>
  <si>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</si>
  <si>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</si>
  <si>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</si>
  <si>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</si>
  <si>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</si>
  <si>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</si>
  <si>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</si>
  <si>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</si>
  <si>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</si>
  <si>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</si>
  <si>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</si>
  <si>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</si>
  <si>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</si>
  <si>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</si>
  <si>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</si>
  <si>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</si>
  <si>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</si>
  <si>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</si>
  <si>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</si>
  <si>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</si>
  <si>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</si>
  <si>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</si>
  <si>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</si>
  <si>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</si>
  <si>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</si>
  <si>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</si>
  <si>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</si>
  <si>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</si>
  <si>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</si>
  <si>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</si>
  <si>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</si>
  <si>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</si>
  <si>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</si>
  <si>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</si>
  <si>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</si>
  <si>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</si>
  <si>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</si>
  <si>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</si>
  <si>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</si>
  <si>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</si>
  <si>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</si>
  <si>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</si>
  <si>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</si>
  <si>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</si>
  <si>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</si>
  <si>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</si>
  <si>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</si>
  <si>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</si>
  <si>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</si>
  <si>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</si>
  <si>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</si>
  <si>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</si>
  <si>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</si>
  <si>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</si>
  <si>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</si>
  <si>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</si>
  <si>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</si>
  <si>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</si>
  <si>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</si>
  <si>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</si>
  <si>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</si>
  <si>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</si>
  <si>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</si>
  <si>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</si>
  <si>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</si>
  <si>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ANDERS</t>
  </si>
  <si>
    <t>STEVEN</t>
  </si>
  <si>
    <t>204:467</t>
  </si>
  <si>
    <t>204:473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</si>
  <si>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</si>
  <si>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</si>
  <si>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</si>
  <si>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</si>
  <si>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</si>
  <si>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</si>
  <si>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</si>
  <si>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</si>
  <si>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204:233314</t>
  </si>
  <si>
    <t>%REDMINEAPIKEY%</t>
  </si>
  <si>
    <t>204:464</t>
  </si>
  <si>
    <t>STEWART</t>
  </si>
  <si>
    <t>204:232985</t>
  </si>
  <si>
    <t>204:232994</t>
  </si>
  <si>
    <t>clear-day</t>
  </si>
  <si>
    <t>204:442</t>
  </si>
  <si>
    <t>204:462</t>
  </si>
  <si>
    <t>204:232989</t>
  </si>
  <si>
    <t>300:23346</t>
  </si>
  <si>
    <t>SIGNAL</t>
  </si>
  <si>
    <t>Signal based authority (5)</t>
  </si>
  <si>
    <t>204:138</t>
  </si>
  <si>
    <t>204:440</t>
  </si>
  <si>
    <t>204:136</t>
  </si>
  <si>
    <t>204:141</t>
  </si>
  <si>
    <t>Wi-MAX data drop</t>
  </si>
  <si>
    <t>rtdc.l.rtdc.4008:itc</t>
  </si>
  <si>
    <t>204:233297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</si>
  <si>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</si>
  <si>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</si>
  <si>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</si>
  <si>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</si>
  <si>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</si>
  <si>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</si>
  <si>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</si>
  <si>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</si>
  <si>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204:232996</t>
  </si>
  <si>
    <t>204:469</t>
  </si>
  <si>
    <t>204:232998</t>
  </si>
  <si>
    <t>204:232980</t>
  </si>
  <si>
    <t>ROBINSON</t>
  </si>
  <si>
    <t>KADDIBA</t>
  </si>
  <si>
    <t>BIRKHOLZ</t>
  </si>
  <si>
    <t>NADINE</t>
  </si>
  <si>
    <t>204:233002</t>
  </si>
  <si>
    <t>204:232988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</si>
  <si>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</si>
  <si>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</si>
  <si>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</si>
  <si>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</si>
  <si>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</si>
  <si>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</si>
  <si>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</si>
  <si>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</si>
  <si>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</si>
  <si>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</si>
  <si>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</si>
  <si>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</si>
  <si>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</si>
  <si>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</si>
  <si>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</si>
  <si>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</si>
  <si>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204:233309</t>
  </si>
  <si>
    <t>204:233013</t>
  </si>
  <si>
    <t>204:232986</t>
  </si>
  <si>
    <t>204:233334</t>
  </si>
  <si>
    <t>204:232984</t>
  </si>
  <si>
    <t>204:163</t>
  </si>
  <si>
    <t>204:233308</t>
  </si>
  <si>
    <t>204:466</t>
  </si>
  <si>
    <t>204:484</t>
  </si>
  <si>
    <t>rtdc.l.rtdc.4015:itc</t>
  </si>
  <si>
    <t>rtdc.l.rtdc.4058:itc</t>
  </si>
  <si>
    <t>rtdc.l.rtdc.4024:itc</t>
  </si>
  <si>
    <t>rtdc.l.rtdc.4023:itc</t>
  </si>
  <si>
    <t>rtdc.l.rtdc.4057:itc</t>
  </si>
  <si>
    <t>837-19</t>
  </si>
  <si>
    <t>216-19</t>
  </si>
  <si>
    <t>226-19</t>
  </si>
  <si>
    <t>WILLIAMS</t>
  </si>
  <si>
    <t>DONTE</t>
  </si>
  <si>
    <t>rtdc.l.rtdc.4016:itc</t>
  </si>
  <si>
    <t>rtdc.l.rtdc.4013:itc</t>
  </si>
  <si>
    <t>rtdc.l.rtdc.4014:itc</t>
  </si>
  <si>
    <t>DAVID</t>
  </si>
  <si>
    <t>rtdc.l.rtdc.4032:itc</t>
  </si>
  <si>
    <t>75-19</t>
  </si>
  <si>
    <t>NICHOLSON</t>
  </si>
  <si>
    <t>WESLEY</t>
  </si>
  <si>
    <t>208-19</t>
  </si>
  <si>
    <t>215-19</t>
  </si>
  <si>
    <t>836-19</t>
  </si>
  <si>
    <t>210-19</t>
  </si>
  <si>
    <t>217-19</t>
  </si>
  <si>
    <t>ELBAUM</t>
  </si>
  <si>
    <t>MIKE</t>
  </si>
  <si>
    <t>212-19</t>
  </si>
  <si>
    <t>219-19</t>
  </si>
  <si>
    <t>838-19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</si>
  <si>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</si>
  <si>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</si>
  <si>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</si>
  <si>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</si>
  <si>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</si>
  <si>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</si>
  <si>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</si>
  <si>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</si>
  <si>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</si>
  <si>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</si>
  <si>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</si>
  <si>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</si>
  <si>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</si>
  <si>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</si>
  <si>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</si>
  <si>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</si>
  <si>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</si>
  <si>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</si>
  <si>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</si>
  <si>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</si>
  <si>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</si>
  <si>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</si>
  <si>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</si>
  <si>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</si>
  <si>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</si>
  <si>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</si>
  <si>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</si>
  <si>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</si>
  <si>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</si>
  <si>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</si>
  <si>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</si>
  <si>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</si>
  <si>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</si>
  <si>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</si>
  <si>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</si>
  <si>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</si>
  <si>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</si>
  <si>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</si>
  <si>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</si>
  <si>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</si>
  <si>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</si>
  <si>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</si>
  <si>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</si>
  <si>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</si>
  <si>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</si>
  <si>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</si>
  <si>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</si>
  <si>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</si>
  <si>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</si>
  <si>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</si>
  <si>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</si>
  <si>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</si>
  <si>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204:435</t>
  </si>
  <si>
    <t>204:233319</t>
  </si>
  <si>
    <t>204:233336</t>
  </si>
  <si>
    <t>rtdc.l.rtdc.4025:itc</t>
  </si>
  <si>
    <t>rtdc.l.rtdc.4028:itc</t>
  </si>
  <si>
    <t>rtdc.l.rtdc.4050:itc</t>
  </si>
  <si>
    <t>rtdc.l.rtdc.4026:itc</t>
  </si>
  <si>
    <t>BARRON</t>
  </si>
  <si>
    <t>PERLA</t>
  </si>
  <si>
    <t>MACDONALD</t>
  </si>
  <si>
    <t>THOMAS</t>
  </si>
  <si>
    <t>LAMAR</t>
  </si>
  <si>
    <t>NEKESHA</t>
  </si>
  <si>
    <t>BROWN</t>
  </si>
  <si>
    <t>JACOB</t>
  </si>
  <si>
    <t>SAFIEF</t>
  </si>
  <si>
    <t>AEIMEN</t>
  </si>
  <si>
    <t>GUZMAN</t>
  </si>
  <si>
    <t>DANNY</t>
  </si>
  <si>
    <t>SMITH</t>
  </si>
  <si>
    <t>CASSIDY</t>
  </si>
  <si>
    <t>BRANDON</t>
  </si>
  <si>
    <t>204:232975</t>
  </si>
  <si>
    <t>204:233011</t>
  </si>
  <si>
    <t>204:233270</t>
  </si>
  <si>
    <t>204:169</t>
  </si>
  <si>
    <t>204:232993</t>
  </si>
  <si>
    <t>204:475</t>
  </si>
  <si>
    <t>204:233323</t>
  </si>
  <si>
    <t>204:233325</t>
  </si>
  <si>
    <t>204:233289</t>
  </si>
  <si>
    <t>300:58933</t>
  </si>
  <si>
    <t>204:233004</t>
  </si>
  <si>
    <t>204:233306</t>
  </si>
  <si>
    <t>204:233006</t>
  </si>
  <si>
    <t>204:233329</t>
  </si>
  <si>
    <t>300:23310</t>
  </si>
  <si>
    <t>rtdc.l.rtdc.4033:itc</t>
  </si>
  <si>
    <t>rtdc.l.rtdc.4049:itc</t>
  </si>
  <si>
    <t>rtdc.l.rtdc.4042:itc</t>
  </si>
  <si>
    <t>THOMPSON</t>
  </si>
  <si>
    <t>LESTER</t>
  </si>
  <si>
    <t>STARKS</t>
  </si>
  <si>
    <t>ANGELINA</t>
  </si>
  <si>
    <t>BONDS</t>
  </si>
  <si>
    <t>REYNALDO</t>
  </si>
  <si>
    <t>rtdc.l.rtdc.4046:itc</t>
  </si>
  <si>
    <t>rtdc.l.rtdc.4041:itc</t>
  </si>
  <si>
    <t>rtdc.l.rtdc.4063:itc</t>
  </si>
  <si>
    <t>rtdc.l.rtdc.4064:itc</t>
  </si>
  <si>
    <t>YANAI</t>
  </si>
  <si>
    <t>IAN</t>
  </si>
  <si>
    <t>LANGERAK</t>
  </si>
  <si>
    <t>WILLIAM</t>
  </si>
  <si>
    <t>RESPASS</t>
  </si>
  <si>
    <t>AARON</t>
  </si>
  <si>
    <t>GUNTHIER</t>
  </si>
  <si>
    <t>ERIC</t>
  </si>
  <si>
    <t>MAGEE</t>
  </si>
  <si>
    <t>KENYA</t>
  </si>
  <si>
    <t>242-23</t>
  </si>
  <si>
    <t>307-23</t>
  </si>
  <si>
    <t>244-23</t>
  </si>
  <si>
    <t>309-23</t>
  </si>
  <si>
    <t>311-23</t>
  </si>
  <si>
    <t>Partly Cloudy</t>
  </si>
  <si>
    <t>partly-cloudy-day</t>
  </si>
  <si>
    <t>204:233287</t>
  </si>
  <si>
    <t>204:232979</t>
  </si>
  <si>
    <t>204:233268</t>
  </si>
  <si>
    <t>204:232963</t>
  </si>
  <si>
    <t>204:232983</t>
  </si>
  <si>
    <t>204:437</t>
  </si>
  <si>
    <t>204:233274</t>
  </si>
  <si>
    <t>204:176</t>
  </si>
  <si>
    <t>204:233310</t>
  </si>
  <si>
    <t>204:233303</t>
  </si>
  <si>
    <t>204:438</t>
  </si>
  <si>
    <t>204:160</t>
  </si>
  <si>
    <t>204:233295</t>
  </si>
  <si>
    <t>204:232977</t>
  </si>
  <si>
    <t>204:232981</t>
  </si>
  <si>
    <t>204:233316</t>
  </si>
  <si>
    <t>204:233021</t>
  </si>
  <si>
    <t>204:233001</t>
  </si>
  <si>
    <t>204:233298</t>
  </si>
  <si>
    <t>204:491</t>
  </si>
  <si>
    <t>300:23299</t>
  </si>
  <si>
    <t>300:23308</t>
  </si>
  <si>
    <t>204:1492</t>
  </si>
  <si>
    <t>300:23295</t>
  </si>
  <si>
    <t>300:58929</t>
  </si>
  <si>
    <t>300:58609</t>
  </si>
  <si>
    <t>204:997</t>
  </si>
  <si>
    <t>300:58926</t>
  </si>
  <si>
    <t>204:957</t>
  </si>
  <si>
    <t>204:960</t>
  </si>
  <si>
    <t>300:58931</t>
  </si>
  <si>
    <t>204:936</t>
  </si>
  <si>
    <t>300:58943</t>
  </si>
  <si>
    <t>300:58613</t>
  </si>
  <si>
    <t>300:58948</t>
  </si>
  <si>
    <t>300:58630</t>
  </si>
  <si>
    <t>300:58617</t>
  </si>
  <si>
    <t>300:58634</t>
  </si>
  <si>
    <t>204:649</t>
  </si>
  <si>
    <t>Poor GPS at DUS</t>
  </si>
  <si>
    <t>Poor GPS under Wewatta St. overpass</t>
  </si>
  <si>
    <t>105-24</t>
  </si>
  <si>
    <t>103-24</t>
  </si>
  <si>
    <t>800-24</t>
  </si>
  <si>
    <t>115-24</t>
  </si>
  <si>
    <t>119-24</t>
  </si>
  <si>
    <t>rtdc.l.rtdc.4036:itc</t>
  </si>
  <si>
    <t>807-24</t>
  </si>
  <si>
    <t>129-24</t>
  </si>
  <si>
    <t>126-24</t>
  </si>
  <si>
    <t>810-24</t>
  </si>
  <si>
    <t>rtdc.l.rtdc.4027:itc</t>
  </si>
  <si>
    <t>130-24</t>
  </si>
  <si>
    <t>61-24</t>
  </si>
  <si>
    <t>TEMPORARY SPEED RESTRICTION</t>
  </si>
  <si>
    <t>134-24</t>
  </si>
  <si>
    <t>143-24</t>
  </si>
  <si>
    <t>60-24</t>
  </si>
  <si>
    <t>147-24</t>
  </si>
  <si>
    <t>815-24</t>
  </si>
  <si>
    <t>155-24</t>
  </si>
  <si>
    <t>157-24</t>
  </si>
  <si>
    <t>819-24</t>
  </si>
  <si>
    <t>821-24</t>
  </si>
  <si>
    <t>172-24</t>
  </si>
  <si>
    <t>827-24</t>
  </si>
  <si>
    <t>75-24</t>
  </si>
  <si>
    <t>206-24</t>
  </si>
  <si>
    <t>836-24</t>
  </si>
  <si>
    <t>218-24</t>
  </si>
  <si>
    <t>843-24</t>
  </si>
  <si>
    <t>845-24</t>
  </si>
  <si>
    <t>234-24</t>
  </si>
  <si>
    <t>300-24</t>
  </si>
  <si>
    <t>ROCHA</t>
  </si>
  <si>
    <t>YAOTL</t>
  </si>
  <si>
    <t>101-24</t>
  </si>
  <si>
    <t>302-24</t>
  </si>
  <si>
    <t>51-24</t>
  </si>
  <si>
    <t>304-24</t>
  </si>
  <si>
    <t>52-24</t>
  </si>
  <si>
    <t>306-24</t>
  </si>
  <si>
    <t>102-24</t>
  </si>
  <si>
    <t>308-24</t>
  </si>
  <si>
    <t>107-24</t>
  </si>
  <si>
    <t>104-24</t>
  </si>
  <si>
    <t>109-24</t>
  </si>
  <si>
    <t>310-24</t>
  </si>
  <si>
    <t>901-24</t>
  </si>
  <si>
    <t>STRICKLAND</t>
  </si>
  <si>
    <t>EVAN</t>
  </si>
  <si>
    <t>111-24</t>
  </si>
  <si>
    <t>113-24</t>
  </si>
  <si>
    <t>106-24</t>
  </si>
  <si>
    <t>108-24</t>
  </si>
  <si>
    <t>rtdc.l.rtdc.4001:itc</t>
  </si>
  <si>
    <t>312-24</t>
  </si>
  <si>
    <t>110-24</t>
  </si>
  <si>
    <t>801-24</t>
  </si>
  <si>
    <t>rtdc.l.rtdc.4002:itc</t>
  </si>
  <si>
    <t>117-24</t>
  </si>
  <si>
    <t>rtdc.l.rtdc.4035:itc</t>
  </si>
  <si>
    <t>902-24</t>
  </si>
  <si>
    <t>FORTUNATO</t>
  </si>
  <si>
    <t>FRANK</t>
  </si>
  <si>
    <t>112-24</t>
  </si>
  <si>
    <t>114-24</t>
  </si>
  <si>
    <t>802-24</t>
  </si>
  <si>
    <t>803-24</t>
  </si>
  <si>
    <t>121-24</t>
  </si>
  <si>
    <t>116-24</t>
  </si>
  <si>
    <t>804-24</t>
  </si>
  <si>
    <t>123-24</t>
  </si>
  <si>
    <t>805-24</t>
  </si>
  <si>
    <t>118-24</t>
  </si>
  <si>
    <t>125-24</t>
  </si>
  <si>
    <t>122-24</t>
  </si>
  <si>
    <t>127-24</t>
  </si>
  <si>
    <t>120-24</t>
  </si>
  <si>
    <t>806-24</t>
  </si>
  <si>
    <t>124-24</t>
  </si>
  <si>
    <t>55-24</t>
  </si>
  <si>
    <t>131-24</t>
  </si>
  <si>
    <t>808-24</t>
  </si>
  <si>
    <t>809-24</t>
  </si>
  <si>
    <t>128-24</t>
  </si>
  <si>
    <t>133-24</t>
  </si>
  <si>
    <t>56-24</t>
  </si>
  <si>
    <t>135-24</t>
  </si>
  <si>
    <t>811-24</t>
  </si>
  <si>
    <t>137-24</t>
  </si>
  <si>
    <t>139-24</t>
  </si>
  <si>
    <t>812-24</t>
  </si>
  <si>
    <t>132-24</t>
  </si>
  <si>
    <t>903-24</t>
  </si>
  <si>
    <t>141-24</t>
  </si>
  <si>
    <t>PELLITIER</t>
  </si>
  <si>
    <t>GEORGE</t>
  </si>
  <si>
    <t>136-24</t>
  </si>
  <si>
    <t>54-24</t>
  </si>
  <si>
    <t>813-24</t>
  </si>
  <si>
    <t>138-24</t>
  </si>
  <si>
    <t>145-24</t>
  </si>
  <si>
    <t>142-24</t>
  </si>
  <si>
    <t>140-24</t>
  </si>
  <si>
    <t>814-24</t>
  </si>
  <si>
    <t>149-24</t>
  </si>
  <si>
    <t>144-24</t>
  </si>
  <si>
    <t>151-24</t>
  </si>
  <si>
    <t>146-24</t>
  </si>
  <si>
    <t>153-24</t>
  </si>
  <si>
    <t>148-24</t>
  </si>
  <si>
    <t>816-24</t>
  </si>
  <si>
    <t>150-24</t>
  </si>
  <si>
    <t>70-24</t>
  </si>
  <si>
    <t>MOSES</t>
  </si>
  <si>
    <t>BRADLEY</t>
  </si>
  <si>
    <t>152-24</t>
  </si>
  <si>
    <t>154-24</t>
  </si>
  <si>
    <t>159-24</t>
  </si>
  <si>
    <t>817-24</t>
  </si>
  <si>
    <t>156-24</t>
  </si>
  <si>
    <t>161-24</t>
  </si>
  <si>
    <t>BRUDER</t>
  </si>
  <si>
    <t>RICHARD</t>
  </si>
  <si>
    <t>163-24</t>
  </si>
  <si>
    <t>818-24</t>
  </si>
  <si>
    <t>71-24</t>
  </si>
  <si>
    <t>158-24</t>
  </si>
  <si>
    <t>165-24</t>
  </si>
  <si>
    <t>160-24</t>
  </si>
  <si>
    <t>167-24</t>
  </si>
  <si>
    <t>162-24</t>
  </si>
  <si>
    <t>169-24</t>
  </si>
  <si>
    <t>164-24</t>
  </si>
  <si>
    <t>820-24</t>
  </si>
  <si>
    <t>171-24</t>
  </si>
  <si>
    <t>166-24</t>
  </si>
  <si>
    <t>173-24</t>
  </si>
  <si>
    <t>168-24</t>
  </si>
  <si>
    <t>175-24</t>
  </si>
  <si>
    <t>170-24</t>
  </si>
  <si>
    <t>177-24</t>
  </si>
  <si>
    <t>179-24</t>
  </si>
  <si>
    <t>822-24</t>
  </si>
  <si>
    <t>174-24</t>
  </si>
  <si>
    <t>181-24</t>
  </si>
  <si>
    <t>176-24</t>
  </si>
  <si>
    <t>183-24</t>
  </si>
  <si>
    <t>823-24</t>
  </si>
  <si>
    <t>178-24</t>
  </si>
  <si>
    <t>185-24</t>
  </si>
  <si>
    <t>DE LA ROSA</t>
  </si>
  <si>
    <t>ALEX</t>
  </si>
  <si>
    <t>180-24</t>
  </si>
  <si>
    <t>824-24</t>
  </si>
  <si>
    <t>187-24</t>
  </si>
  <si>
    <t>182-24</t>
  </si>
  <si>
    <t>189-24</t>
  </si>
  <si>
    <t>184-24</t>
  </si>
  <si>
    <t>191-24</t>
  </si>
  <si>
    <t>825-24</t>
  </si>
  <si>
    <t>NEWELL</t>
  </si>
  <si>
    <t>186-24</t>
  </si>
  <si>
    <t>193-24</t>
  </si>
  <si>
    <t>904-24</t>
  </si>
  <si>
    <t>188-24</t>
  </si>
  <si>
    <t>826-24</t>
  </si>
  <si>
    <t>195-24</t>
  </si>
  <si>
    <t>190-24</t>
  </si>
  <si>
    <t>197-24</t>
  </si>
  <si>
    <t>ARNOLD</t>
  </si>
  <si>
    <t>PAUL</t>
  </si>
  <si>
    <t>192-24</t>
  </si>
  <si>
    <t>199-24</t>
  </si>
  <si>
    <t>828-24</t>
  </si>
  <si>
    <t>829-24</t>
  </si>
  <si>
    <t>194-24</t>
  </si>
  <si>
    <t>201-24</t>
  </si>
  <si>
    <t>196-24</t>
  </si>
  <si>
    <t>203-24</t>
  </si>
  <si>
    <t>830-24</t>
  </si>
  <si>
    <t>59-24</t>
  </si>
  <si>
    <t>198-24</t>
  </si>
  <si>
    <t>831-24</t>
  </si>
  <si>
    <t>205-24</t>
  </si>
  <si>
    <t>207-24</t>
  </si>
  <si>
    <t>200-24</t>
  </si>
  <si>
    <t>832-24</t>
  </si>
  <si>
    <t>202-24</t>
  </si>
  <si>
    <t>833-24</t>
  </si>
  <si>
    <t>209-24</t>
  </si>
  <si>
    <t>204-24</t>
  </si>
  <si>
    <t>834-24</t>
  </si>
  <si>
    <t>211-24</t>
  </si>
  <si>
    <t>835-24</t>
  </si>
  <si>
    <t>NELSON</t>
  </si>
  <si>
    <t>ARIANE</t>
  </si>
  <si>
    <t>213-24</t>
  </si>
  <si>
    <t>208-24</t>
  </si>
  <si>
    <t>215-24</t>
  </si>
  <si>
    <t>64-24</t>
  </si>
  <si>
    <t>210-24</t>
  </si>
  <si>
    <t>837-24</t>
  </si>
  <si>
    <t>217-24</t>
  </si>
  <si>
    <t>212-24</t>
  </si>
  <si>
    <t>219-24</t>
  </si>
  <si>
    <t>838-24</t>
  </si>
  <si>
    <t>839-24</t>
  </si>
  <si>
    <t>301-24</t>
  </si>
  <si>
    <t>214-24</t>
  </si>
  <si>
    <t>216-24</t>
  </si>
  <si>
    <t>221-24</t>
  </si>
  <si>
    <t>906-24</t>
  </si>
  <si>
    <t>841-24</t>
  </si>
  <si>
    <t>303-24</t>
  </si>
  <si>
    <t>220-24</t>
  </si>
  <si>
    <t>840-24</t>
  </si>
  <si>
    <t>223-24</t>
  </si>
  <si>
    <t>305-24</t>
  </si>
  <si>
    <t>222-24</t>
  </si>
  <si>
    <t>225-24</t>
  </si>
  <si>
    <t>227-24</t>
  </si>
  <si>
    <t>224-24</t>
  </si>
  <si>
    <t>842-24</t>
  </si>
  <si>
    <t>229-24</t>
  </si>
  <si>
    <t>226-24</t>
  </si>
  <si>
    <t>228-24</t>
  </si>
  <si>
    <t>231-24</t>
  </si>
  <si>
    <t>844-24</t>
  </si>
  <si>
    <t>230-24</t>
  </si>
  <si>
    <t>233-24</t>
  </si>
  <si>
    <t>847-24</t>
  </si>
  <si>
    <t>235-24</t>
  </si>
  <si>
    <t>232-24</t>
  </si>
  <si>
    <t>237-24</t>
  </si>
  <si>
    <t>846-24</t>
  </si>
  <si>
    <t>849-24</t>
  </si>
  <si>
    <t>239-24</t>
  </si>
  <si>
    <t>236-24</t>
  </si>
  <si>
    <t>908-24</t>
  </si>
  <si>
    <t>238-24</t>
  </si>
  <si>
    <t>241-24</t>
  </si>
  <si>
    <t>243-24</t>
  </si>
  <si>
    <t>240-24</t>
  </si>
  <si>
    <t>313-24</t>
  </si>
  <si>
    <t>242-24</t>
  </si>
  <si>
    <t>307-24</t>
  </si>
  <si>
    <t>244-24</t>
  </si>
  <si>
    <t>309-24</t>
  </si>
  <si>
    <t>311-24</t>
  </si>
  <si>
    <t>204:779</t>
  </si>
  <si>
    <t>204:233257</t>
  </si>
  <si>
    <t>204:232976</t>
  </si>
  <si>
    <t>204:233299</t>
  </si>
  <si>
    <t>204:232992</t>
  </si>
  <si>
    <t>204:233301</t>
  </si>
  <si>
    <t>204:232961</t>
  </si>
  <si>
    <t>204:233321</t>
  </si>
  <si>
    <t>204:232974</t>
  </si>
  <si>
    <t>204:233288</t>
  </si>
  <si>
    <t>204:232973</t>
  </si>
  <si>
    <t>204:233285</t>
  </si>
  <si>
    <t>204:72692</t>
  </si>
  <si>
    <t>204:233302</t>
  </si>
  <si>
    <t>204:331</t>
  </si>
  <si>
    <t>204:218</t>
  </si>
  <si>
    <t>204:233283</t>
  </si>
  <si>
    <t>204:232962</t>
  </si>
  <si>
    <t>204:232982</t>
  </si>
  <si>
    <t>204:165</t>
  </si>
  <si>
    <t>204:639</t>
  </si>
  <si>
    <t>204:535</t>
  </si>
  <si>
    <t>204:232943</t>
  </si>
  <si>
    <t>204:233276</t>
  </si>
  <si>
    <t>204:232947</t>
  </si>
  <si>
    <t>204:444</t>
  </si>
  <si>
    <t>204:233326</t>
  </si>
  <si>
    <t>204:233351</t>
  </si>
  <si>
    <t>204:233000</t>
  </si>
  <si>
    <t>204:233280</t>
  </si>
  <si>
    <t>204:233028</t>
  </si>
  <si>
    <t>204:172</t>
  </si>
  <si>
    <t>204:232978</t>
  </si>
  <si>
    <t>204:233311</t>
  </si>
  <si>
    <t>204:233357</t>
  </si>
  <si>
    <t>204:233032</t>
  </si>
  <si>
    <t>204:233005</t>
  </si>
  <si>
    <t>204:233347</t>
  </si>
  <si>
    <t>204:342</t>
  </si>
  <si>
    <t>204:233224</t>
  </si>
  <si>
    <t>204:232879</t>
  </si>
  <si>
    <t>204:240</t>
  </si>
  <si>
    <t>204:500</t>
  </si>
  <si>
    <t>204:622</t>
  </si>
  <si>
    <t>204:324</t>
  </si>
  <si>
    <t>204:546</t>
  </si>
  <si>
    <t>204:216</t>
  </si>
  <si>
    <t>204:114</t>
  </si>
  <si>
    <t>204:245</t>
  </si>
  <si>
    <t>204:233183</t>
  </si>
  <si>
    <t>204:232862</t>
  </si>
  <si>
    <t>204:183</t>
  </si>
  <si>
    <t>204:178</t>
  </si>
  <si>
    <t>204:553</t>
  </si>
  <si>
    <t>204:227</t>
  </si>
  <si>
    <t>204:233170</t>
  </si>
  <si>
    <t>204:232842</t>
  </si>
  <si>
    <t>204:273</t>
  </si>
  <si>
    <t>204:506</t>
  </si>
  <si>
    <t>204:233339</t>
  </si>
  <si>
    <t>204:191</t>
  </si>
  <si>
    <t>204:517</t>
  </si>
  <si>
    <t>204:229</t>
  </si>
  <si>
    <t>204:582</t>
  </si>
  <si>
    <t>204:233181</t>
  </si>
  <si>
    <t>204:232868</t>
  </si>
  <si>
    <t>204:232987</t>
  </si>
  <si>
    <t>204:258</t>
  </si>
  <si>
    <t>204:164</t>
  </si>
  <si>
    <t>204:526</t>
  </si>
  <si>
    <t>204:148</t>
  </si>
  <si>
    <t>204:548</t>
  </si>
  <si>
    <t>300:23249</t>
  </si>
  <si>
    <t>204:606</t>
  </si>
  <si>
    <t>300:23489</t>
  </si>
  <si>
    <t>204:508</t>
  </si>
  <si>
    <t>300:23293</t>
  </si>
  <si>
    <t>300:23510</t>
  </si>
  <si>
    <t>204:420</t>
  </si>
  <si>
    <t>300:23470</t>
  </si>
  <si>
    <t>300:22762</t>
  </si>
  <si>
    <t>300:23743</t>
  </si>
  <si>
    <t>300:25766</t>
  </si>
  <si>
    <t>204:555</t>
  </si>
  <si>
    <t>300:8494</t>
  </si>
  <si>
    <t>204:486</t>
  </si>
  <si>
    <t>204:3548</t>
  </si>
  <si>
    <t>204:3215</t>
  </si>
  <si>
    <t>204:1173</t>
  </si>
  <si>
    <t>204:4324</t>
  </si>
  <si>
    <t>204:3985</t>
  </si>
  <si>
    <t>204:309</t>
  </si>
  <si>
    <t>300:5329</t>
  </si>
  <si>
    <t>300:5104</t>
  </si>
  <si>
    <t>204:1004</t>
  </si>
  <si>
    <t>204:1259</t>
  </si>
  <si>
    <t>300:23237</t>
  </si>
  <si>
    <t>300:21479</t>
  </si>
  <si>
    <t>204:1315</t>
  </si>
  <si>
    <t>300:23306</t>
  </si>
  <si>
    <t>300:22109</t>
  </si>
  <si>
    <t>300:58685</t>
  </si>
  <si>
    <t>204:135</t>
  </si>
  <si>
    <t>300:58636</t>
  </si>
  <si>
    <t>204:468</t>
  </si>
  <si>
    <t>300:58647</t>
  </si>
  <si>
    <t>300:58653</t>
  </si>
  <si>
    <t>204:4604</t>
  </si>
  <si>
    <t>300:59001</t>
  </si>
  <si>
    <t>300:58952</t>
  </si>
  <si>
    <t>204:732</t>
  </si>
  <si>
    <t>300:58973</t>
  </si>
  <si>
    <t>300:58982</t>
  </si>
  <si>
    <t>204:441</t>
  </si>
  <si>
    <t>300:23714</t>
  </si>
  <si>
    <t>204:1224</t>
  </si>
  <si>
    <t>300:22176</t>
  </si>
  <si>
    <t>204:448</t>
  </si>
  <si>
    <t>300:24220</t>
  </si>
  <si>
    <t>204:1403</t>
  </si>
  <si>
    <t>204:1751</t>
  </si>
  <si>
    <t>204:4565</t>
  </si>
  <si>
    <t>204:964</t>
  </si>
  <si>
    <t>300:58978</t>
  </si>
  <si>
    <t>300:58666</t>
  </si>
  <si>
    <t>204:654</t>
  </si>
  <si>
    <t>204:995</t>
  </si>
  <si>
    <t>300:58986</t>
  </si>
  <si>
    <t>300:58673</t>
  </si>
  <si>
    <t>204:827</t>
  </si>
  <si>
    <t>300:58656</t>
  </si>
  <si>
    <t>204:661</t>
  </si>
  <si>
    <t>204:1128</t>
  </si>
  <si>
    <t>300:58651</t>
  </si>
  <si>
    <t>204:829</t>
  </si>
  <si>
    <t>204:965</t>
  </si>
  <si>
    <t>300:58980</t>
  </si>
  <si>
    <t>300:58670</t>
  </si>
  <si>
    <t>204:1121</t>
  </si>
  <si>
    <t>300:58963</t>
  </si>
  <si>
    <t>300:58643</t>
  </si>
  <si>
    <t>204:824</t>
  </si>
  <si>
    <t>204:1118</t>
  </si>
  <si>
    <t>300:59010</t>
  </si>
  <si>
    <t>300:58687</t>
  </si>
  <si>
    <t>204:832</t>
  </si>
  <si>
    <t>204:1116</t>
  </si>
  <si>
    <t>300:58088</t>
  </si>
  <si>
    <t>300:58717</t>
  </si>
  <si>
    <t>204:818</t>
  </si>
  <si>
    <t>204:1112</t>
  </si>
  <si>
    <t>300:58967</t>
  </si>
  <si>
    <t>300:58655</t>
  </si>
  <si>
    <t>204:848</t>
  </si>
  <si>
    <t>204:1126</t>
  </si>
  <si>
    <t>300:58992</t>
  </si>
  <si>
    <t>204:836</t>
  </si>
  <si>
    <t>204:797</t>
  </si>
  <si>
    <t>204:1105</t>
  </si>
  <si>
    <t>300:58939</t>
  </si>
  <si>
    <t>204:804</t>
  </si>
  <si>
    <t>204:1098</t>
  </si>
  <si>
    <t>300:58602</t>
  </si>
  <si>
    <t>204:817</t>
  </si>
  <si>
    <t>204:944</t>
  </si>
  <si>
    <t>300:59007</t>
  </si>
  <si>
    <t>300:58696</t>
  </si>
  <si>
    <t>204:705</t>
  </si>
  <si>
    <t>204:1095</t>
  </si>
  <si>
    <t>204:783</t>
  </si>
  <si>
    <t>204:638</t>
  </si>
  <si>
    <t>204:1070</t>
  </si>
  <si>
    <t>300:58611</t>
  </si>
  <si>
    <t>204:778</t>
  </si>
  <si>
    <t>204:925</t>
  </si>
  <si>
    <t>204:636</t>
  </si>
  <si>
    <t>204:1042</t>
  </si>
  <si>
    <t>204:927</t>
  </si>
  <si>
    <t>300:57242</t>
  </si>
  <si>
    <t>204:769</t>
  </si>
  <si>
    <t>204:1044</t>
  </si>
  <si>
    <t>204:1897</t>
  </si>
  <si>
    <t>204:922</t>
  </si>
  <si>
    <t>300:30129</t>
  </si>
  <si>
    <t>300:23892</t>
  </si>
  <si>
    <t>300:19282</t>
  </si>
  <si>
    <t>204:1651</t>
  </si>
  <si>
    <t>300:24237</t>
  </si>
  <si>
    <t>300:23724</t>
  </si>
  <si>
    <t>204:663</t>
  </si>
  <si>
    <t>300:58632</t>
  </si>
  <si>
    <t>300:28782</t>
  </si>
  <si>
    <t>300:28759</t>
  </si>
  <si>
    <t>start /low /b %USERPROFILE%\Documents\GitHub\eaglep3\Utilities\DownloadLogsFromS3.py --loco 4023 --day 2017-10-24</t>
  </si>
  <si>
    <t>start /low /b %USERPROFILE%\Documents\GitHub\eaglep3\Utilities\DownloadLogsFromS3.py --loco 4025 --day 2017-10-25</t>
  </si>
  <si>
    <t>start /low /b %USERPROFILE%\Documents\GitHub\eaglep3\Utilities\DownloadLogsFromS3.py --loco 4059 --day 2017-10-25</t>
  </si>
  <si>
    <t>start /low /b %USERPROFILE%\Documents\GitHub\eaglep3\Utilities\DownloadLogsFromS3.py --loco 4063 --day 2017-10-24</t>
  </si>
  <si>
    <t>start /low /b %USERPROFILE%\Documents\GitHub\eaglep3\Utilities\DownloadLogsFromS3.py --loco 4035 --day 2017-10-24</t>
  </si>
  <si>
    <t>start /low /b %USERPROFILE%\Documents\GitHub\eaglep3\Utilities\DownloadLogsFromS3.py --loco 4036 --day 2017-10-24</t>
  </si>
  <si>
    <t>start /low /b %USERPROFILE%\Documents\GitHub\eaglep3\Utilities\DownloadLogsFromS3.py --loco 4027 --day 2017-10-24</t>
  </si>
  <si>
    <t>start /low /b %USERPROFILE%\Documents\GitHub\eaglep3\Utilities\DownloadLogsFromS3.py --loco 4026 --day 2017-10-24</t>
  </si>
  <si>
    <t>start /low /b %USERPROFILE%\Documents\GitHub\eaglep3\Utilities\DownloadLogsFromS3.py --loco 4025 --day 2017-10-24</t>
  </si>
  <si>
    <t>start /low /b %USERPROFILE%\Documents\GitHub\eaglep3\Utilities\DownloadLogsFromS3.py --loco 4028 --day 2017-10-24</t>
  </si>
  <si>
    <t>start /low /b %USERPROFILE%\Documents\GitHub\eaglep3\Utilities\DownloadLogsFromS3.py --loco 4058 --day 2017-10-24</t>
  </si>
  <si>
    <t>start /low /b %USERPROFILE%\Documents\GitHub\eaglep3\Utilities\DownloadLogsFromS3.py --loco 4036 --day 2017-10-25</t>
  </si>
  <si>
    <t>start /low /b %USERPROFILE%\Documents\GitHub\eaglep3\Utilities\DownloadLogsFromS3.py --loco 4063 --day 2017-10-25</t>
  </si>
  <si>
    <t>start /low /b %USERPROFILE%\Documents\GitHub\eaglep3\Utilities\DownloadLogsFromS3.py --loco 4064 --day 2017-10-24</t>
  </si>
  <si>
    <t>Banner without braking due to onboard en route failure, no enforcement</t>
  </si>
  <si>
    <t>Operator cut-out and re-initialized at DIA; completed run without incident</t>
  </si>
  <si>
    <t>Dispatcher-initiated cut-out; re-initialized at DIA and completed run without incident</t>
  </si>
  <si>
    <t>Mid-block init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</si>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</sst>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5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2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43032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43032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COUNTIFS($N$13:$N$9463,"&gt;0",$AG$13:$AG$9463,I1)</f>
        <v>144</v>
      </c>
      <c r="K5" s="39"/>
      <c r="L5" s="172"/>
      <c r="M5" s="40">
        <f>AVERAGEIFS($N$13:$N$9463,$AG$13:$AG$9463,I1)</f>
        <v>37.303125000544242</v>
      </c>
      <c r="N5" s="38">
        <f t="array" ref="N5">MIN(IF($AG$13:$AG$9463=I1,IF(ISNUMBER($N$13:$N$9463),IF($N$13:$N$9463&gt;0,$N$13:$N$9463))))</f>
        <v>33.81666666129604</v>
      </c>
      <c r="O5" s="3">
        <f t="array" ref="O5">MAX(IF($AG$13:$AG$9463=I1,IF(ISNUMBER($N$13:$N$9463),IF($N$13:$N$9463&gt;0,$N$13:$N$9463))))</f>
        <v>47.683333331951872</v>
      </c>
      <c r="P5" s="2"/>
      <c r="R5" s="163" t="s">
        <v>17</v>
      </c>
      <c r="S5" s="207">
        <f>COUNTIFS($N$13:$N$9463,"&gt;0",$AG$13:$AG$9463,R1)</f>
        <v>48</v>
      </c>
      <c r="T5" s="172"/>
      <c r="U5" s="195"/>
      <c r="V5" s="211">
        <f>AVERAGEIFS($N$13:$N$9463,$AG$13:$AG$9463,R1)</f>
        <v>13.885069444440887</v>
      </c>
      <c r="W5" s="212">
        <f t="array" ref="W5">MIN(IF($AG$13:$AG$9463=R1,IF(ISNUMBER($N$13:$N$9463),IF($N$13:$N$9463&gt;0,$N$13:$N$9463))))</f>
        <v>10.883333331439644</v>
      </c>
      <c r="X5" s="200">
        <f t="array" ref="X5">MAX(IF($AG$13:$AG$9463=R1,IF(ISNUMBER($N$13:$N$9463),IF($N$13:$N$9463&gt;0,$N$13:$N$9463))))</f>
        <v>23.800000000046566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COUNT($O$13:$O$221)</f>
        <v>0</v>
      </c>
      <c r="K6" s="39"/>
      <c r="L6" s="172"/>
      <c r="M6" s="40">
        <f>IFERROR(AVERAGE($O$13:$O$221),0)</f>
        <v>0</v>
      </c>
      <c r="N6" s="38">
        <f>MIN($O$13:$O$221)</f>
        <v>0</v>
      </c>
      <c r="O6" s="3">
        <f>MAX($O$13:$O$221)</f>
        <v>0</v>
      </c>
      <c r="P6" s="2"/>
      <c r="R6" s="164" t="s">
        <v>43</v>
      </c>
      <c r="S6" s="207">
        <f>COUNT($O$13:$O$221)</f>
        <v>0</v>
      </c>
      <c r="T6" s="172"/>
      <c r="U6" s="195"/>
      <c r="V6" s="211">
        <f>IFERROR(AVERAGE($O$13:$O$221),0)</f>
        <v>0</v>
      </c>
      <c r="W6" s="212">
        <f>MIN($O$13:$O$221)</f>
        <v>0</v>
      </c>
      <c r="X6" s="200">
        <f>MAX($O$13:$O$221)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COUNTIFS($P$13:$P$9463,"&gt;0",$AG$13:$AG$9463,I1)</f>
        <v>0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COUNTIFS($P$13:$P$9463,"&gt;0",$AG$13:$AG$9463,R1)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172"/>
      <c r="M8" s="40">
        <f>M5</f>
        <v>37.303125000544242</v>
      </c>
      <c r="N8" s="38">
        <f>N5</f>
        <v>33.81666666129604</v>
      </c>
      <c r="O8" s="3">
        <f>O5</f>
        <v>47.683333331951872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13.885069444440887</v>
      </c>
      <c r="W8" s="212">
        <f>W5</f>
        <v>10.883333331439644</v>
      </c>
      <c r="X8" s="200">
        <f>X5</f>
        <v>23.800000000046566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1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- 2017-10-24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AVERAGE(S13:S118)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677</v>
      </c>
      <c r="B13" s="7">
        <v>4024</v>
      </c>
      <c r="C13" s="21" t="s">
        <v>194</v>
      </c>
      <c r="D13" s="21" t="s">
        <v>892</v>
      </c>
      <c r="E13" s="13">
        <v>43032.133923611109</v>
      </c>
      <c r="F13" s="13">
        <v>43032.135567129626</v>
      </c>
      <c r="G13" s="7">
        <v>54</v>
      </c>
      <c r="H13" s="21" t="s">
        <v>410</v>
      </c>
      <c r="I13" s="13">
        <v>43032.159456018519</v>
      </c>
      <c r="J13" s="7">
        <v>0</v>
      </c>
      <c r="K13" s="89" t="str">
        <f>IF(ISEVEN(B13),(B13-1)&amp;"/"&amp;B13,B13&amp;"/"&amp;(B13+1))</f>
        <v>4023/4024</v>
      </c>
      <c r="L13" s="185" t="str">
        <f>VLOOKUP(A13,'Trips&amp;Operators'!$C$1:$G$99911,5,FALSE)</f>
        <v>ROCHA YAOTL</v>
      </c>
      <c r="M13" s="6">
        <f>I13-F13</f>
        <v>2.3888888892543036E-2</v>
      </c>
      <c r="N13" s="7">
        <f>24*60*SUM($M13:$M13)</f>
        <v>34.400000005261973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-24T02:12:51-0600',mode:absolute,to:'2017-10-24T04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7.7899999999999997E-2</v>
      </c>
      <c r="Z13" s="204">
        <f>RIGHT(H13,LEN(H13)-4)/10000</f>
        <v>23.329699999999999</v>
      </c>
      <c r="AA13" s="204">
        <f>ABS(Z13-Y13)</f>
        <v>23.251799999999999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"%USERPROFILE%\AppData\Local\Temp\OnboardLogs"\RTDC4024\2017-10-24 --exclude "*" --recursive --include "*20171024*" &amp; "%USERPROFILE%\Documents\GitHub\mrs-test-scripts\Headless Mode &amp; Sideloading\WalkAndUnGZ.bat" "%USERPROFILE%\AppData\Local\Temp\OnboardLogs"\RTDC4024\2017-10-24 &amp; 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/stypes="app*4024*20171024*"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4024 --swversion DE.1.0.9.0 --startMP 204:779 --initTime 2017-10-24T03:12:51 --startdatetime 2017-10-24T03:15:13 --delay 54 --endMP 204:233297 --enddatetime 2017-10-24T03:49:37 --enforcementcount 0 &gt;&gt;%USERPROFILE%\Documents\GitHub\eaglep3-reporting\EC\2017-10-24-refined-times.txt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{"issue":{"subject":"","project_id":79,"tracker_id":40,"status_id":1,"priority_id":2,"assigned_to_id":338,"start_date":"2017-10-24","description":"","custom_fields":[{"id":1,"name":"Subdivision","value":"EC"},{"id":4,"name":"Milepost","value":"23.3297"},{"id":17,"name":"Train ID","value":"101-24"},{"id":16,"name":"Locomotive ID","value":"4024"},{"id":130,"name":"Impact","value":""},{"id":150,"name":"Time of Event (Mountain Time)","value":"03:49:37"},{"id":151,"name":"Denver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4024 --day 2017-10-24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09:49:37"},{"id":29,"name":"Sharepoint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-24T02:12:51-0600',mode:absolute,to:'2017-10-24T04:49:37-0600'))&amp;_a=(columns:!('Message%20ID',Summary),filters:!(),index:'emp_*',interval:auto,query:(query_string:(analyze_wildcard:!t,query:'%22rtdc.l.rtdc.4024%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683</v>
      </c>
      <c r="B14" s="7">
        <v>4023</v>
      </c>
      <c r="C14" s="21" t="s">
        <v>194</v>
      </c>
      <c r="D14" s="21" t="s">
        <v>614</v>
      </c>
      <c r="E14" s="13">
        <v>43032.172754629632</v>
      </c>
      <c r="F14" s="13">
        <v>43032.175173611111</v>
      </c>
      <c r="G14" s="7">
        <v>67</v>
      </c>
      <c r="H14" s="21" t="s">
        <v>407</v>
      </c>
      <c r="I14" s="13">
        <v>43032.201053240744</v>
      </c>
      <c r="J14" s="7">
        <v>0</v>
      </c>
      <c r="K14" s="89" t="str">
        <f>IF(ISEVEN(B14),(B14-1)&amp;"/"&amp;B14,B14&amp;"/"&amp;(B14+1))</f>
        <v>4023/4024</v>
      </c>
      <c r="L14" s="185" t="str">
        <f>VLOOKUP(A14,'Trips&amp;Operators'!$C$1:$G$99911,5,FALSE)</f>
        <v>ROCHA YAOTL</v>
      </c>
      <c r="M14" s="6">
        <f>I14-F14</f>
        <v>2.587962963298196E-2</v>
      </c>
      <c r="N14" s="7">
        <f>24*60*SUM($M14:$M14)</f>
        <v>37.266666671494022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-24T03:08:46-0600',mode:absolute,to:'2017-10-24T05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23.297699999999999</v>
      </c>
      <c r="Z14" s="204">
        <f>RIGHT(H14,LEN(H14)-4)/10000</f>
        <v>1.41E-2</v>
      </c>
      <c r="AA14" s="204">
        <f>ABS(Z14-Y14)</f>
        <v>23.2836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s3://rtdc.mdm.uploadarchive.raw/RTDC4023/ "%USERPROFILE%\AppData\Local\Temp\OnboardLogs"\RTDC4023\2017-10-24 --exclude "*" --recursive --include "*20171024*" &amp; "%USERPROFILE%\Documents\GitHub\mrs-test-scripts\Headless Mode &amp; Sideloading\WalkAndUnGZ.bat" "%USERPROFILE%\AppData\Local\Temp\OnboardLogs"\RTDC4023\2017-10-24 &amp; 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/stypes="app*4023*20171024*"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8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4023 --swversion DE.1.0.9.0 --startMP 204:232977 --initTime 2017-10-24T04:08:46 --startdatetime 2017-10-24T04:12:15 --delay 67 --endMP 204:141 --enddatetime 2017-10-24T04:49:31 --enforcementcount 0 &gt;&gt;%USERPROFILE%\Documents\GitHub\eaglep3-reporting\EC\2017-10-24-refined-times.txt</v>
      </c>
      <c r="AI14" s="96" t="str">
        <f t="shared" ref="AI14:AI78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{"issue":{"subject":"","project_id":79,"tracker_id":40,"status_id":1,"priority_id":2,"assigned_to_id":338,"start_date":"2017-10-24","description":"","custom_fields":[{"id":1,"name":"Subdivision","value":"EC"},{"id":4,"name":"Milepost","value":"0.0141"},{"id":17,"name":"Train ID","value":"102-24"},{"id":16,"name":"Locomotive ID","value":"4023"},{"id":130,"name":"Impact","value":""},{"id":150,"name":"Time of Event (Mountain Time)","value":"04:49:31"},{"id":151,"name":"Denver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8" si="7">"start /low /b "&amp;dls3logs&amp;" --loco "&amp;B14&amp;" --day "&amp;TEXT(F14,"YYYY-MM-DD")</f>
        <v>start /low /b %USERPROFILE%\Documents\GitHub\eaglep3\Utilities\DownloadLogsFromS3.py --loco 4023 --day 2017-10-24</v>
      </c>
      <c r="AN14" s="151" t="str">
        <f t="shared" ref="AN14:AN78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8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-24T03:08:46-0600',mode:absolute,to:'2017-10-24T05:49:31-0600'))&amp;_a=(columns:!('Message%20ID',Summary),filters:!(),index:'emp_*',interval:auto,query:(query_string:(analyze_wildcard:!t,query:'%22rtdc.l.rtdc.4023%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643</v>
      </c>
      <c r="B15" s="7">
        <v>4028</v>
      </c>
      <c r="C15" s="21" t="s">
        <v>194</v>
      </c>
      <c r="D15" s="21" t="s">
        <v>353</v>
      </c>
      <c r="E15" s="13">
        <v>43032.152430555558</v>
      </c>
      <c r="F15" s="13">
        <v>43032.156412037039</v>
      </c>
      <c r="G15" s="7">
        <v>80</v>
      </c>
      <c r="H15" s="21" t="s">
        <v>893</v>
      </c>
      <c r="I15" s="13">
        <v>43032.181574074071</v>
      </c>
      <c r="J15" s="7">
        <v>0</v>
      </c>
      <c r="K15" s="89" t="str">
        <f>IF(ISEVEN(B15),(B15-1)&amp;"/"&amp;B15,B15&amp;"/"&amp;(B15+1))</f>
        <v>4027/4028</v>
      </c>
      <c r="L15" s="185" t="str">
        <f>VLOOKUP(A15,'Trips&amp;Operators'!$C$1:$G$99911,5,FALSE)</f>
        <v>BONDS REYNALDO</v>
      </c>
      <c r="M15" s="6">
        <f>I15-F15</f>
        <v>2.5162037032714579E-2</v>
      </c>
      <c r="N15" s="7">
        <f>24*60*SUM($M15:$M15)</f>
        <v>36.233333327108994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-24T02:39:30-0600',mode:absolute,to:'2017-10-24T05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4.58E-2</v>
      </c>
      <c r="Z15" s="204">
        <f>RIGHT(H15,LEN(H15)-4)/10000</f>
        <v>23.325700000000001</v>
      </c>
      <c r="AA15" s="204">
        <f>ABS(Z15-Y15)</f>
        <v>23.279900000000001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/stypes="app*4028*20171024*"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103-24 --locoid 4028 --swversion DE.1.0.9.0 --startMP 204:458 --initTime 2017-10-24T03:39:30 --startdatetime 2017-10-24T03:45:14 --delay 80 --endMP 204:233257 --enddatetime 2017-10-24T04:21:28 --enforcementcount 0 &gt;&gt;%USERPROFILE%\Documents\GitHub\eaglep3-reporting\EC\2017-10-24-refined-times.txt</v>
      </c>
      <c r="AI1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{"issue":{"subject":"","project_id":79,"tracker_id":40,"status_id":1,"priority_id":2,"assigned_to_id":338,"start_date":"2017-10-24","description":"","custom_fields":[{"id":1,"name":"Subdivision","value":"EC"},{"id":4,"name":"Milepost","value":"23.3257"},{"id":17,"name":"Train ID","value":"103-24"},{"id":16,"name":"Locomotive ID","value":"4028"},{"id":130,"name":"Impact","value":""},{"id":150,"name":"Time of Event (Mountain Time)","value":"04:21:28"},{"id":151,"name":"Denver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4028 --day 2017-10-24</v>
      </c>
      <c r="AN1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-24T02:39:30-0600',mode:absolute,to:'2017-10-24T05:21:28-0600'))&amp;_a=(columns:!('Message%20ID',Summary),filters:!(),index:'emp_*',interval:auto,query:(query_string:(analyze_wildcard:!t,query:'%22rtdc.l.rtdc.4028%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686</v>
      </c>
      <c r="B16" s="7">
        <v>4027</v>
      </c>
      <c r="C16" s="21" t="s">
        <v>194</v>
      </c>
      <c r="D16" s="21" t="s">
        <v>894</v>
      </c>
      <c r="E16" s="13">
        <v>43032.191724537035</v>
      </c>
      <c r="F16" s="13">
        <v>43032.196006944447</v>
      </c>
      <c r="G16" s="7">
        <v>49</v>
      </c>
      <c r="H16" s="21" t="s">
        <v>354</v>
      </c>
      <c r="I16" s="13">
        <v>43032.22247685185</v>
      </c>
      <c r="J16" s="7">
        <v>0</v>
      </c>
      <c r="K16" s="89" t="str">
        <f>IF(ISEVEN(B16),(B16-1)&amp;"/"&amp;B16,B16&amp;"/"&amp;(B16+1))</f>
        <v>4027/4028</v>
      </c>
      <c r="L16" s="185" t="str">
        <f>VLOOKUP(A16,'Trips&amp;Operators'!$C$1:$G$99911,5,FALSE)</f>
        <v>BONDS REYNALDO</v>
      </c>
      <c r="M16" s="6">
        <f>I16-F16</f>
        <v>2.6469907403225079E-2</v>
      </c>
      <c r="N16" s="7">
        <f>24*60*SUM($M16:$M16)</f>
        <v>38.116666660644114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-24T03:36:05-0600',mode:absolute,to:'2017-10-24T06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23.297599999999999</v>
      </c>
      <c r="Z16" s="204">
        <f>RIGHT(H16,LEN(H16)-4)/10000</f>
        <v>1.52E-2</v>
      </c>
      <c r="AA16" s="204">
        <f>ABS(Z16-Y16)</f>
        <v>23.282399999999999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/stypes="app*4027*20171024*"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104-24 --locoid 4027 --swversion DE.1.0.9.0 --startMP 204:232976 --initTime 2017-10-24T04:36:05 --startdatetime 2017-10-24T04:42:15 --delay 49 --endMP 204:152 --enddatetime 2017-10-24T05:20:22 --enforcementcount 0 &gt;&gt;%USERPROFILE%\Documents\GitHub\eaglep3-reporting\EC\2017-10-24-refined-times.txt</v>
      </c>
      <c r="AI1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{"issue":{"subject":"","project_id":79,"tracker_id":40,"status_id":1,"priority_id":2,"assigned_to_id":338,"start_date":"2017-10-24","description":"","custom_fields":[{"id":1,"name":"Subdivision","value":"EC"},{"id":4,"name":"Milepost","value":"0.0152"},{"id":17,"name":"Train ID","value":"104-24"},{"id":16,"name":"Locomotive ID","value":"4027"},{"id":130,"name":"Impact","value":""},{"id":150,"name":"Time of Event (Mountain Time)","value":"05:20:22"},{"id":151,"name":"Denver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4027 --day 2017-10-24</v>
      </c>
      <c r="AN1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-24T03:36:05-0600',mode:absolute,to:'2017-10-24T06:20:22-0600'))&amp;_a=(columns:!('Message%20ID',Summary),filters:!(),index:'emp_*',interval:auto,query:(query_string:(analyze_wildcard:!t,query:'%22rtdc.l.rtdc.4027%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642</v>
      </c>
      <c r="B17" s="7">
        <v>4026</v>
      </c>
      <c r="C17" s="21" t="s">
        <v>194</v>
      </c>
      <c r="D17" s="21" t="s">
        <v>367</v>
      </c>
      <c r="E17" s="13">
        <v>43032.171238425923</v>
      </c>
      <c r="F17" s="13">
        <v>43032.177349537036</v>
      </c>
      <c r="G17" s="7">
        <v>107</v>
      </c>
      <c r="H17" s="21" t="s">
        <v>895</v>
      </c>
      <c r="I17" s="13">
        <v>43032.202800925923</v>
      </c>
      <c r="J17" s="7">
        <v>0</v>
      </c>
      <c r="K17" s="89" t="str">
        <f>IF(ISEVEN(B17),(B17-1)&amp;"/"&amp;B17,B17&amp;"/"&amp;(B17+1))</f>
        <v>4025/4026</v>
      </c>
      <c r="L17" s="185" t="str">
        <f>VLOOKUP(A17,'Trips&amp;Operators'!$C$1:$G$99911,5,FALSE)</f>
        <v>THOMPSON LESTER</v>
      </c>
      <c r="M17" s="6">
        <f>I17-F17</f>
        <v>2.545138888672227E-2</v>
      </c>
      <c r="N17" s="7">
        <f>24*60*SUM($M17:$M17)</f>
        <v>36.649999996880069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-24T03:06:35-0600',mode:absolute,to:'2017-10-24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4.5100000000000001E-2</v>
      </c>
      <c r="Z17" s="204">
        <f>RIGHT(H17,LEN(H17)-4)/10000</f>
        <v>23.329899999999999</v>
      </c>
      <c r="AA17" s="204">
        <f>ABS(Z17-Y17)</f>
        <v>23.284799999999997</v>
      </c>
      <c r="AB17" s="54" t="str">
        <f>VLOOKUP(A17,Enforcements!$C$7:$K$11,8,0)</f>
        <v>Speed (6)</v>
      </c>
      <c r="AC17" s="51" t="str">
        <f>VLOOKUP(A17,Enforcements!$C$7:$E$11,3,0)</f>
        <v>PERMANENT SPEED RESTRICTION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/stypes="app*4026*20171024*"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105-24 --locoid 4026 --swversion DE.1.0.9.0 --startMP 204:451 --initTime 2017-10-24T04:06:35 --startdatetime 2017-10-24T04:15:23 --delay 107 --endMP 204:233299 --enddatetime 2017-10-24T04:52:02 --enforcementcount 0 &gt;&gt;%USERPROFILE%\Documents\GitHub\eaglep3-reporting\EC\2017-10-24-refined-times.txt</v>
      </c>
      <c r="AI17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{"issue":{"subject":"","project_id":79,"tracker_id":40,"status_id":1,"priority_id":2,"assigned_to_id":338,"start_date":"2017-10-24","description":"","custom_fields":[{"id":1,"name":"Subdivision","value":"EC"},{"id":4,"name":"Milepost","value":"23.3299"},{"id":17,"name":"Train ID","value":"105-24"},{"id":16,"name":"Locomotive ID","value":"4026"},{"id":130,"name":"Impact","value":""},{"id":150,"name":"Time of Event (Mountain Time)","value":"04:52:02"},{"id":151,"name":"Denver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4026 --day 2017-10-24</v>
      </c>
      <c r="AN17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-24T03:06:35-0600',mode:absolute,to:'2017-10-24T05:52:02-0600'))&amp;_a=(columns:!('Message%20ID',Summary),filters:!(),index:'emp_*',interval:auto,query:(query_string:(analyze_wildcard:!t,query:'%22rtdc.l.rtdc.4026%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694</v>
      </c>
      <c r="B18" s="7">
        <v>4025</v>
      </c>
      <c r="C18" s="21" t="s">
        <v>194</v>
      </c>
      <c r="D18" s="21" t="s">
        <v>896</v>
      </c>
      <c r="E18" s="13">
        <v>43032.213842592595</v>
      </c>
      <c r="F18" s="13">
        <v>43032.216863425929</v>
      </c>
      <c r="G18" s="7">
        <v>51</v>
      </c>
      <c r="H18" s="21" t="s">
        <v>371</v>
      </c>
      <c r="I18" s="13">
        <v>43032.244745370372</v>
      </c>
      <c r="J18" s="7">
        <v>0</v>
      </c>
      <c r="K18" s="89" t="str">
        <f>IF(ISEVEN(B18),(B18-1)&amp;"/"&amp;B18,B18&amp;"/"&amp;(B18+1))</f>
        <v>4025/4026</v>
      </c>
      <c r="L18" s="185" t="str">
        <f>VLOOKUP(A18,'Trips&amp;Operators'!$C$1:$G$99911,5,FALSE)</f>
        <v>THOMPSON LESTER</v>
      </c>
      <c r="M18" s="6">
        <f>I18-F18</f>
        <v>2.7881944442924578E-2</v>
      </c>
      <c r="N18" s="7">
        <f>24*60*SUM($M18:$M18)</f>
        <v>40.149999997811392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-24T04:07:56-0600',mode:absolute,to:'2017-10-24T06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23.299199999999999</v>
      </c>
      <c r="Z18" s="204">
        <f>RIGHT(H18,LEN(H18)-4)/10000</f>
        <v>1.54E-2</v>
      </c>
      <c r="AA18" s="204">
        <f>ABS(Z18-Y18)</f>
        <v>23.283799999999999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/stypes="app*4025*20171024*"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106-24 --locoid 4025 --swversion DE.1.0.9.0 --startMP 204:232992 --initTime 2017-10-24T05:07:56 --startdatetime 2017-10-24T05:12:17 --delay 51 --endMP 204:154 --enddatetime 2017-10-24T05:52:26 --enforcementcount 0 &gt;&gt;%USERPROFILE%\Documents\GitHub\eaglep3-reporting\EC\2017-10-24-refined-times.txt</v>
      </c>
      <c r="AI18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{"issue":{"subject":"","project_id":79,"tracker_id":40,"status_id":1,"priority_id":2,"assigned_to_id":338,"start_date":"2017-10-24","description":"","custom_fields":[{"id":1,"name":"Subdivision","value":"EC"},{"id":4,"name":"Milepost","value":"0.0154"},{"id":17,"name":"Train ID","value":"106-24"},{"id":16,"name":"Locomotive ID","value":"4025"},{"id":130,"name":"Impact","value":""},{"id":150,"name":"Time of Event (Mountain Time)","value":"05:52:26"},{"id":151,"name":"Denver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4025 --day 2017-10-24</v>
      </c>
      <c r="AN18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-24T04:07:56-0600',mode:absolute,to:'2017-10-24T06:52:26-0600'))&amp;_a=(columns:!('Message%20ID',Summary),filters:!(),index:'emp_*',interval:auto,query:(query_string:(analyze_wildcard:!t,query:'%22rtdc.l.rtdc.4025%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685</v>
      </c>
      <c r="B19" s="7">
        <v>4060</v>
      </c>
      <c r="C19" s="21" t="s">
        <v>194</v>
      </c>
      <c r="D19" s="21" t="s">
        <v>334</v>
      </c>
      <c r="E19" s="13">
        <v>43032.183159722219</v>
      </c>
      <c r="F19" s="13">
        <v>43032.187685185185</v>
      </c>
      <c r="G19" s="7">
        <v>85</v>
      </c>
      <c r="H19" s="21" t="s">
        <v>601</v>
      </c>
      <c r="I19" s="13">
        <v>43032.212708333333</v>
      </c>
      <c r="J19" s="7">
        <v>0</v>
      </c>
      <c r="K19" s="89" t="str">
        <f>IF(ISEVEN(B19),(B19-1)&amp;"/"&amp;B19,B19&amp;"/"&amp;(B19+1))</f>
        <v>4059/4060</v>
      </c>
      <c r="L19" s="185" t="str">
        <f>VLOOKUP(A19,'Trips&amp;Operators'!$C$1:$G$99911,5,FALSE)</f>
        <v>BARRON PERLA</v>
      </c>
      <c r="M19" s="6">
        <f>I19-F19</f>
        <v>2.5023148147738539E-2</v>
      </c>
      <c r="N19" s="7">
        <f>24*60*SUM($M19:$M19)</f>
        <v>36.033333332743496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-24T03:23:45-0600',mode:absolute,to:'2017-10-24T06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4.4600000000000001E-2</v>
      </c>
      <c r="Z19" s="204">
        <f>RIGHT(H19,LEN(H19)-4)/10000</f>
        <v>23.328700000000001</v>
      </c>
      <c r="AA19" s="204">
        <f>ABS(Z19-Y19)</f>
        <v>23.284100000000002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/stypes="app*4060*20171024*"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107-24 --locoid 4060 --swversion DE.1.0.9.0 --startMP 204:446 --initTime 2017-10-24T04:23:45 --startdatetime 2017-10-24T04:30:16 --delay 85 --endMP 204:233287 --enddatetime 2017-10-24T05:06:18 --enforcementcount 0 &gt;&gt;%USERPROFILE%\Documents\GitHub\eaglep3-reporting\EC\2017-10-24-refined-times.txt</v>
      </c>
      <c r="AI19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{"issue":{"subject":"","project_id":79,"tracker_id":40,"status_id":1,"priority_id":2,"assigned_to_id":338,"start_date":"2017-10-24","description":"","custom_fields":[{"id":1,"name":"Subdivision","value":"EC"},{"id":4,"name":"Milepost","value":"23.3287"},{"id":17,"name":"Train ID","value":"107-24"},{"id":16,"name":"Locomotive ID","value":"4060"},{"id":130,"name":"Impact","value":""},{"id":150,"name":"Time of Event (Mountain Time)","value":"05:06:18"},{"id":151,"name":"Denver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4060 --day 2017-10-24</v>
      </c>
      <c r="AN19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-24T03:23:45-0600',mode:absolute,to:'2017-10-24T06:06:18-0600'))&amp;_a=(columns:!('Message%20ID',Summary),filters:!(),index:'emp_*',interval:auto,query:(query_string:(analyze_wildcard:!t,query:'%22rtdc.l.rtdc.4060%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695</v>
      </c>
      <c r="B20" s="7">
        <v>4059</v>
      </c>
      <c r="C20" s="21" t="s">
        <v>194</v>
      </c>
      <c r="D20" s="21" t="s">
        <v>615</v>
      </c>
      <c r="E20" s="13">
        <v>43032.215740740743</v>
      </c>
      <c r="F20" s="13">
        <v>43032.227256944447</v>
      </c>
      <c r="G20" s="7">
        <v>59</v>
      </c>
      <c r="H20" s="21" t="s">
        <v>337</v>
      </c>
      <c r="I20" s="13">
        <v>43032.254178240742</v>
      </c>
      <c r="J20" s="7">
        <v>0</v>
      </c>
      <c r="K20" s="89" t="str">
        <f>IF(ISEVEN(B20),(B20-1)&amp;"/"&amp;B20,B20&amp;"/"&amp;(B20+1))</f>
        <v>4059/4060</v>
      </c>
      <c r="L20" s="185" t="str">
        <f>VLOOKUP(A20,'Trips&amp;Operators'!$C$1:$G$99911,5,FALSE)</f>
        <v>BARRON PERLA</v>
      </c>
      <c r="M20" s="6">
        <f>I20-F20</f>
        <v>2.6921296295768116E-2</v>
      </c>
      <c r="N20" s="7">
        <f>24*60*SUM($M20:$M20)</f>
        <v>38.766666665906087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-24T04:10:40-0600',mode:absolute,to:'2017-10-24T07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23.298100000000002</v>
      </c>
      <c r="Z20" s="204">
        <f>RIGHT(H20,LEN(H20)-4)/10000</f>
        <v>1.43E-2</v>
      </c>
      <c r="AA20" s="204">
        <f>ABS(Z20-Y20)</f>
        <v>23.283800000000003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/stypes="app*4059*20171024*"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108-24 --locoid 4059 --swversion DE.1.0.9.0 --startMP 204:232981 --initTime 2017-10-24T05:10:40 --startdatetime 2017-10-24T05:27:15 --delay 59 --endMP 204:143 --enddatetime 2017-10-24T06:06:01 --enforcementcount 0 &gt;&gt;%USERPROFILE%\Documents\GitHub\eaglep3-reporting\EC\2017-10-24-refined-times.txt</v>
      </c>
      <c r="AI20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{"issue":{"subject":"","project_id":79,"tracker_id":40,"status_id":1,"priority_id":2,"assigned_to_id":338,"start_date":"2017-10-24","description":"","custom_fields":[{"id":1,"name":"Subdivision","value":"EC"},{"id":4,"name":"Milepost","value":"0.0143"},{"id":17,"name":"Train ID","value":"108-24"},{"id":16,"name":"Locomotive ID","value":"4059"},{"id":130,"name":"Impact","value":""},{"id":150,"name":"Time of Event (Mountain Time)","value":"06:06:01"},{"id":151,"name":"Denver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4059 --day 2017-10-24</v>
      </c>
      <c r="AN20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-24T04:10:40-0600',mode:absolute,to:'2017-10-24T07:06:01-0600'))&amp;_a=(columns:!('Message%20ID',Summary),filters:!(),index:'emp_*',interval:auto,query:(query_string:(analyze_wildcard:!t,query:'%22rtdc.l.rtdc.4059%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687</v>
      </c>
      <c r="B21" s="7">
        <v>4066</v>
      </c>
      <c r="C21" s="21" t="s">
        <v>194</v>
      </c>
      <c r="D21" s="21" t="s">
        <v>420</v>
      </c>
      <c r="E21" s="13">
        <v>43032.192210648151</v>
      </c>
      <c r="F21" s="13">
        <v>43032.198101851849</v>
      </c>
      <c r="G21" s="7">
        <v>167</v>
      </c>
      <c r="H21" s="21" t="s">
        <v>897</v>
      </c>
      <c r="I21" s="13">
        <v>43032.222430555557</v>
      </c>
      <c r="J21" s="7">
        <v>0</v>
      </c>
      <c r="K21" s="89" t="str">
        <f>IF(ISEVEN(B21),(B21-1)&amp;"/"&amp;B21,B21&amp;"/"&amp;(B21+1))</f>
        <v>4065/4066</v>
      </c>
      <c r="L21" s="185" t="str">
        <f>VLOOKUP(A21,'Trips&amp;Operators'!$C$1:$G$99911,5,FALSE)</f>
        <v>LAMAR NEKESHA</v>
      </c>
      <c r="M21" s="6">
        <f>I21-F21</f>
        <v>2.4328703708306421E-2</v>
      </c>
      <c r="N21" s="7">
        <f>24*60*SUM($M21:$M21)</f>
        <v>35.033333339961246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-24T03:36:47-0600',mode:absolute,to:'2017-10-24T06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4.6899999999999997E-2</v>
      </c>
      <c r="Z21" s="204">
        <f>RIGHT(H21,LEN(H21)-4)/10000</f>
        <v>23.330100000000002</v>
      </c>
      <c r="AA21" s="204">
        <f>ABS(Z21-Y21)</f>
        <v>23.283200000000001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s3://rtdc.mdm.uploadarchive.raw/RTDC4066/ "%USERPROFILE%\AppData\Local\Temp\OnboardLogs"\RTDC4066\2017-10-24 --exclude "*" --recursive --include "*20171024*" &amp; "%USERPROFILE%\Documents\GitHub\mrs-test-scripts\Headless Mode &amp; Sideloading\WalkAndUnGZ.bat" "%USERPROFILE%\AppData\Local\Temp\OnboardLogs"\RTDC4066\2017-10-24 &amp; aws s3 cp s3://rtdc.mdm.uploadarchive.raw/RTDC4066/ "%USERPROFILE%\AppData\Local\Temp\OnboardLogs"\RTDC4066\2017-10-25 --exclude "*" --recursive --include "*20171025*" &amp; "%USERPROFILE%\Documents\GitHub\mrs-test-scripts\Headless Mode &amp; Sideloading\WalkAndUnGZ.bat" "%USERPROFILE%\AppData\Local\Temp\OnboardLogs"\RTDC4066\2017-10-25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/stypes="app*4066*20171024*"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109-24 --locoid 4066 --swversion DE.1.0.9.0 --startMP 204:469 --initTime 2017-10-24T04:36:47 --startdatetime 2017-10-24T04:45:16 --delay 167 --endMP 204:233301 --enddatetime 2017-10-24T05:20:18 --enforcementcount 0 &gt;&gt;%USERPROFILE%\Documents\GitHub\eaglep3-reporting\EC\2017-10-24-refined-times.txt</v>
      </c>
      <c r="AI21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{"issue":{"subject":"","project_id":79,"tracker_id":40,"status_id":1,"priority_id":2,"assigned_to_id":338,"start_date":"2017-10-24","description":"","custom_fields":[{"id":1,"name":"Subdivision","value":"EC"},{"id":4,"name":"Milepost","value":"23.3301"},{"id":17,"name":"Train ID","value":"109-24"},{"id":16,"name":"Locomotive ID","value":"4066"},{"id":130,"name":"Impact","value":""},{"id":150,"name":"Time of Event (Mountain Time)","value":"05:20:18"},{"id":151,"name":"Denver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4066 --day 2017-10-24</v>
      </c>
      <c r="AN21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-24T03:36:47-0600',mode:absolute,to:'2017-10-24T06:20:18-0600'))&amp;_a=(columns:!('Message%20ID',Summary),filters:!(),index:'emp_*',interval:auto,query:(query_string:(analyze_wildcard:!t,query:'%22rtdc.l.rtdc.4066%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698</v>
      </c>
      <c r="B22" s="7">
        <v>4065</v>
      </c>
      <c r="C22" s="21" t="s">
        <v>194</v>
      </c>
      <c r="D22" s="21" t="s">
        <v>898</v>
      </c>
      <c r="E22" s="13">
        <v>43032.226956018516</v>
      </c>
      <c r="F22" s="13">
        <v>43032.237685185188</v>
      </c>
      <c r="G22" s="7">
        <v>48</v>
      </c>
      <c r="H22" s="21" t="s">
        <v>632</v>
      </c>
      <c r="I22" s="13">
        <v>43032.270798611113</v>
      </c>
      <c r="J22" s="7">
        <v>0</v>
      </c>
      <c r="K22" s="89" t="str">
        <f>IF(ISEVEN(B22),(B22-1)&amp;"/"&amp;B22,B22&amp;"/"&amp;(B22+1))</f>
        <v>4065/4066</v>
      </c>
      <c r="L22" s="185" t="str">
        <f>VLOOKUP(A22,'Trips&amp;Operators'!$C$1:$G$99911,5,FALSE)</f>
        <v>LAMAR NEKESHA</v>
      </c>
      <c r="M22" s="6">
        <f>I22-F22</f>
        <v>3.3113425924966577E-2</v>
      </c>
      <c r="N22" s="7">
        <f>24*60*SUM($M22:$M22)</f>
        <v>47.683333331951872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-24T04:26:49-0600',mode:absolute,to:'2017-10-24T07:29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23.296099999999999</v>
      </c>
      <c r="Z22" s="204">
        <f>RIGHT(H22,LEN(H22)-4)/10000</f>
        <v>9.3600000000000003E-2</v>
      </c>
      <c r="AA22" s="204">
        <f>ABS(Z22-Y22)</f>
        <v>23.202500000000001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s3://rtdc.mdm.uploadarchive.raw/RTDC4065/ "%USERPROFILE%\AppData\Local\Temp\OnboardLogs"\RTDC4065\2017-10-24 --exclude "*" --recursive --include "*20171024*" &amp; "%USERPROFILE%\Documents\GitHub\mrs-test-scripts\Headless Mode &amp; Sideloading\WalkAndUnGZ.bat" "%USERPROFILE%\AppData\Local\Temp\OnboardLogs"\RTDC4065\2017-10-24 &amp; aws s3 cp s3://rtdc.mdm.uploadarchive.raw/RTDC4065/ "%USERPROFILE%\AppData\Local\Temp\OnboardLogs"\RTDC4065\2017-10-25 --exclude "*" --recursive --include "*20171025*" &amp; "%USERPROFILE%\Documents\GitHub\mrs-test-scripts\Headless Mode &amp; Sideloading\WalkAndUnGZ.bat" "%USERPROFILE%\AppData\Local\Temp\OnboardLogs"\RTDC4065\2017-10-25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/stypes="app*4065*20171024*"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110-24 --locoid 4065 --swversion DE.1.0.9.0 --startMP 204:232961 --initTime 2017-10-24T05:26:49 --startdatetime 2017-10-24T05:42:16 --delay 48 --endMP 204:936 --enddatetime 2017-10-24T06:29:57 --enforcementcount 0 &gt;&gt;%USERPROFILE%\Documents\GitHub\eaglep3-reporting\EC\2017-10-24-refined-times.txt</v>
      </c>
      <c r="AI22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{"issue":{"subject":"","project_id":79,"tracker_id":40,"status_id":1,"priority_id":2,"assigned_to_id":338,"start_date":"2017-10-24","description":"","custom_fields":[{"id":1,"name":"Subdivision","value":"EC"},{"id":4,"name":"Milepost","value":"0.0936"},{"id":17,"name":"Train ID","value":"110-24"},{"id":16,"name":"Locomotive ID","value":"4065"},{"id":130,"name":"Impact","value":""},{"id":150,"name":"Time of Event (Mountain Time)","value":"06:29:57"},{"id":151,"name":"Denver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4065 --day 2017-10-24</v>
      </c>
      <c r="AN22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12:29:57"},{"id":29,"name":"Sharepoint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-24T04:26:49-0600',mode:absolute,to:'2017-10-24T07:29:57-0600'))&amp;_a=(columns:!('Message%20ID',Summary),filters:!(),index:'emp_*',interval:auto,query:(query_string:(analyze_wildcard:!t,query:'%22rtdc.l.rtdc.4065%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692</v>
      </c>
      <c r="B23" s="7">
        <v>4024</v>
      </c>
      <c r="C23" s="21" t="s">
        <v>194</v>
      </c>
      <c r="D23" s="21" t="s">
        <v>362</v>
      </c>
      <c r="E23" s="13">
        <v>43032.202280092592</v>
      </c>
      <c r="F23" s="13">
        <v>43032.208495370367</v>
      </c>
      <c r="G23" s="7">
        <v>73</v>
      </c>
      <c r="H23" s="21" t="s">
        <v>451</v>
      </c>
      <c r="I23" s="13">
        <v>43032.233611111114</v>
      </c>
      <c r="J23" s="7">
        <v>0</v>
      </c>
      <c r="K23" s="89" t="str">
        <f>IF(ISEVEN(B23),(B23-1)&amp;"/"&amp;B23,B23&amp;"/"&amp;(B23+1))</f>
        <v>4023/4024</v>
      </c>
      <c r="L23" s="185" t="str">
        <f>VLOOKUP(A23,'Trips&amp;Operators'!$C$1:$G$99911,5,FALSE)</f>
        <v>ROCHA YAOTL</v>
      </c>
      <c r="M23" s="6">
        <f>I23-F23</f>
        <v>2.5115740747423843E-2</v>
      </c>
      <c r="N23" s="7">
        <f>24*60*SUM($M23:$M23)</f>
        <v>36.166666676290333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-24T03:51:17-0600',mode:absolute,to:'2017-10-24T06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4.5999999999999999E-2</v>
      </c>
      <c r="Z23" s="204">
        <f>RIGHT(H23,LEN(H23)-4)/10000</f>
        <v>23.3308</v>
      </c>
      <c r="AA23" s="204">
        <f>ABS(Z23-Y23)</f>
        <v>23.284800000000001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s3://rtdc.mdm.uploadarchive.raw/RTDC4024/ "%USERPROFILE%\AppData\Local\Temp\OnboardLogs"\RTDC4024\2017-10-24 --exclude "*" --recursive --include "*20171024*" &amp; "%USERPROFILE%\Documents\GitHub\mrs-test-scripts\Headless Mode &amp; Sideloading\WalkAndUnGZ.bat" "%USERPROFILE%\AppData\Local\Temp\OnboardLogs"\RTDC4024\2017-10-24 &amp; 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/stypes="app*4024*20171024*"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111-24 --locoid 4024 --swversion DE.1.0.9.0 --startMP 204:460 --initTime 2017-10-24T04:51:17 --startdatetime 2017-10-24T05:00:14 --delay 73 --endMP 204:233308 --enddatetime 2017-10-24T05:36:24 --enforcementcount 0 &gt;&gt;%USERPROFILE%\Documents\GitHub\eaglep3-reporting\EC\2017-10-24-refined-times.txt</v>
      </c>
      <c r="AI23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{"issue":{"subject":"","project_id":79,"tracker_id":40,"status_id":1,"priority_id":2,"assigned_to_id":338,"start_date":"2017-10-24","description":"","custom_fields":[{"id":1,"name":"Subdivision","value":"EC"},{"id":4,"name":"Milepost","value":"23.3308"},{"id":17,"name":"Train ID","value":"111-24"},{"id":16,"name":"Locomotive ID","value":"4024"},{"id":130,"name":"Impact","value":""},{"id":150,"name":"Time of Event (Mountain Time)","value":"05:36:24"},{"id":151,"name":"Denver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4024 --day 2017-10-24</v>
      </c>
      <c r="AN23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-24T03:51:17-0600',mode:absolute,to:'2017-10-24T06:36:24-0600'))&amp;_a=(columns:!('Message%20ID',Summary),filters:!(),index:'emp_*',interval:auto,query:(query_string:(analyze_wildcard:!t,query:'%22rtdc.l.rtdc.4024%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706</v>
      </c>
      <c r="B24" s="7">
        <v>4023</v>
      </c>
      <c r="C24" s="21" t="s">
        <v>194</v>
      </c>
      <c r="D24" s="21" t="s">
        <v>614</v>
      </c>
      <c r="E24" s="13">
        <v>43032.243680555555</v>
      </c>
      <c r="F24" s="13">
        <v>43032.248101851852</v>
      </c>
      <c r="G24" s="7">
        <v>51</v>
      </c>
      <c r="H24" s="21" t="s">
        <v>335</v>
      </c>
      <c r="I24" s="13">
        <v>43032.273715277777</v>
      </c>
      <c r="J24" s="7">
        <v>0</v>
      </c>
      <c r="K24" s="89" t="str">
        <f>IF(ISEVEN(B24),(B24-1)&amp;"/"&amp;B24,B24&amp;"/"&amp;(B24+1))</f>
        <v>4023/4024</v>
      </c>
      <c r="L24" s="185" t="str">
        <f>VLOOKUP(A24,'Trips&amp;Operators'!$C$1:$G$99911,5,FALSE)</f>
        <v>ROCHA YAOTL</v>
      </c>
      <c r="M24" s="6">
        <f>I24-F24</f>
        <v>2.5613425925257616E-2</v>
      </c>
      <c r="N24" s="7">
        <f>24*60*SUM($M24:$M24)</f>
        <v>36.883333332370967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-24T04:50:54-0600',mode:absolute,to:'2017-10-24T07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23.297699999999999</v>
      </c>
      <c r="Z24" s="204">
        <f>RIGHT(H24,LEN(H24)-4)/10000</f>
        <v>1.4999999999999999E-2</v>
      </c>
      <c r="AA24" s="204">
        <f>ABS(Z24-Y24)</f>
        <v>23.282699999999998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s3://rtdc.mdm.uploadarchive.raw/RTDC4023/ "%USERPROFILE%\AppData\Local\Temp\OnboardLogs"\RTDC4023\2017-10-24 --exclude "*" --recursive --include "*20171024*" &amp; "%USERPROFILE%\Documents\GitHub\mrs-test-scripts\Headless Mode &amp; Sideloading\WalkAndUnGZ.bat" "%USERPROFILE%\AppData\Local\Temp\OnboardLogs"\RTDC4023\2017-10-24 &amp; 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/stypes="app*4023*20171024*"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112-24 --locoid 4023 --swversion DE.1.0.9.0 --startMP 204:232977 --initTime 2017-10-24T05:50:54 --startdatetime 2017-10-24T05:57:16 --delay 51 --endMP 204:150 --enddatetime 2017-10-24T06:34:09 --enforcementcount 0 &gt;&gt;%USERPROFILE%\Documents\GitHub\eaglep3-reporting\EC\2017-10-24-refined-times.txt</v>
      </c>
      <c r="AI24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{"issue":{"subject":"","project_id":79,"tracker_id":40,"status_id":1,"priority_id":2,"assigned_to_id":338,"start_date":"2017-10-24","description":"","custom_fields":[{"id":1,"name":"Subdivision","value":"EC"},{"id":4,"name":"Milepost","value":"0.015"},{"id":17,"name":"Train ID","value":"112-24"},{"id":16,"name":"Locomotive ID","value":"4023"},{"id":130,"name":"Impact","value":""},{"id":150,"name":"Time of Event (Mountain Time)","value":"06:34:09"},{"id":151,"name":"Denver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4023 --day 2017-10-24</v>
      </c>
      <c r="AN24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-24T04:50:54-0600',mode:absolute,to:'2017-10-24T07:34:09-0600'))&amp;_a=(columns:!('Message%20ID',Summary),filters:!(),index:'emp_*',interval:auto,query:(query_string:(analyze_wildcard:!t,query:'%22rtdc.l.rtdc.4023%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693</v>
      </c>
      <c r="B25" s="7">
        <v>4058</v>
      </c>
      <c r="C25" s="21" t="s">
        <v>194</v>
      </c>
      <c r="D25" s="21" t="s">
        <v>561</v>
      </c>
      <c r="E25" s="13">
        <v>43032.207800925928</v>
      </c>
      <c r="F25" s="13">
        <v>43032.218946759262</v>
      </c>
      <c r="G25" s="7">
        <v>61</v>
      </c>
      <c r="H25" s="21" t="s">
        <v>445</v>
      </c>
      <c r="I25" s="13">
        <v>43032.243287037039</v>
      </c>
      <c r="J25" s="7">
        <v>0</v>
      </c>
      <c r="K25" s="89" t="str">
        <f>IF(ISEVEN(B25),(B25-1)&amp;"/"&amp;B25,B25&amp;"/"&amp;(B25+1))</f>
        <v>4057/4058</v>
      </c>
      <c r="L25" s="185" t="str">
        <f>VLOOKUP(A25,'Trips&amp;Operators'!$C$1:$G$99911,5,FALSE)</f>
        <v>YANAI IAN</v>
      </c>
      <c r="M25" s="6">
        <f>I25-F25</f>
        <v>2.4340277777810115E-2</v>
      </c>
      <c r="N25" s="7">
        <f>24*60*SUM($M25:$M25)</f>
        <v>35.050000000046566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-24T03:59:14-0600',mode:absolute,to:'2017-10-24T06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4.7500000000000001E-2</v>
      </c>
      <c r="Z25" s="204">
        <f>RIGHT(H25,LEN(H25)-4)/10000</f>
        <v>23.3309</v>
      </c>
      <c r="AA25" s="204">
        <f>ABS(Z25-Y25)</f>
        <v>23.2834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/stypes="app*4058*20171024*"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113-24 --locoid 4058 --swversion DE.1.0.9.0 --startMP 204:475 --initTime 2017-10-24T04:59:14 --startdatetime 2017-10-24T05:15:17 --delay 61 --endMP 204:233309 --enddatetime 2017-10-24T05:50:20 --enforcementcount 0 &gt;&gt;%USERPROFILE%\Documents\GitHub\eaglep3-reporting\EC\2017-10-24-refined-times.txt</v>
      </c>
      <c r="AI2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{"issue":{"subject":"","project_id":79,"tracker_id":40,"status_id":1,"priority_id":2,"assigned_to_id":338,"start_date":"2017-10-24","description":"","custom_fields":[{"id":1,"name":"Subdivision","value":"EC"},{"id":4,"name":"Milepost","value":"23.3309"},{"id":17,"name":"Train ID","value":"113-24"},{"id":16,"name":"Locomotive ID","value":"4058"},{"id":130,"name":"Impact","value":""},{"id":150,"name":"Time of Event (Mountain Time)","value":"05:50:20"},{"id":151,"name":"Denver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4058 --day 2017-10-24</v>
      </c>
      <c r="AN2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-24T03:59:14-0600',mode:absolute,to:'2017-10-24T06:50:20-0600'))&amp;_a=(columns:!('Message%20ID',Summary),filters:!(),index:'emp_*',interval:auto,query:(query_string:(analyze_wildcard:!t,query:'%22rtdc.l.rtdc.4058%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707</v>
      </c>
      <c r="B26" s="7">
        <v>4057</v>
      </c>
      <c r="C26" s="21" t="s">
        <v>194</v>
      </c>
      <c r="D26" s="21" t="s">
        <v>419</v>
      </c>
      <c r="E26" s="13">
        <v>43032.244618055556</v>
      </c>
      <c r="F26" s="13">
        <v>43032.258506944447</v>
      </c>
      <c r="G26" s="7">
        <v>60</v>
      </c>
      <c r="H26" s="21" t="s">
        <v>337</v>
      </c>
      <c r="I26" s="13">
        <v>43032.285474537035</v>
      </c>
      <c r="J26" s="7">
        <v>0</v>
      </c>
      <c r="K26" s="89" t="str">
        <f>IF(ISEVEN(B26),(B26-1)&amp;"/"&amp;B26,B26&amp;"/"&amp;(B26+1))</f>
        <v>4057/4058</v>
      </c>
      <c r="L26" s="185" t="str">
        <f>VLOOKUP(A26,'Trips&amp;Operators'!$C$1:$G$99911,5,FALSE)</f>
        <v>YANAI IAN</v>
      </c>
      <c r="M26" s="6">
        <f>I26-F26</f>
        <v>2.696759258833481E-2</v>
      </c>
      <c r="N26" s="7">
        <f>24*60*SUM($M26:$M26)</f>
        <v>38.833333327202126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-24T04:52:15-0600',mode:absolute,to:'2017-10-24T07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23.299600000000002</v>
      </c>
      <c r="Z26" s="204">
        <f>RIGHT(H26,LEN(H26)-4)/10000</f>
        <v>1.43E-2</v>
      </c>
      <c r="AA26" s="204">
        <f>ABS(Z26-Y26)</f>
        <v>23.285300000000003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/stypes="app*4057*20171024*"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114-24 --locoid 4057 --swversion DE.1.0.9.0 --startMP 204:232996 --initTime 2017-10-24T05:52:15 --startdatetime 2017-10-24T06:12:15 --delay 60 --endMP 204:143 --enddatetime 2017-10-24T06:51:05 --enforcementcount 0 &gt;&gt;%USERPROFILE%\Documents\GitHub\eaglep3-reporting\EC\2017-10-24-refined-times.txt</v>
      </c>
      <c r="AI2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{"issue":{"subject":"","project_id":79,"tracker_id":40,"status_id":1,"priority_id":2,"assigned_to_id":338,"start_date":"2017-10-24","description":"","custom_fields":[{"id":1,"name":"Subdivision","value":"EC"},{"id":4,"name":"Milepost","value":"0.0143"},{"id":17,"name":"Train ID","value":"114-24"},{"id":16,"name":"Locomotive ID","value":"4057"},{"id":130,"name":"Impact","value":""},{"id":150,"name":"Time of Event (Mountain Time)","value":"06:51:05"},{"id":151,"name":"Denver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4057 --day 2017-10-24</v>
      </c>
      <c r="AN2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-24T04:52:15-0600',mode:absolute,to:'2017-10-24T07:51:05-0600'))&amp;_a=(columns:!('Message%20ID',Summary),filters:!(),index:'emp_*',interval:auto,query:(query_string:(analyze_wildcard:!t,query:'%22rtdc.l.rtdc.4057%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645</v>
      </c>
      <c r="B27" s="7">
        <v>4028</v>
      </c>
      <c r="C27" s="21" t="s">
        <v>194</v>
      </c>
      <c r="D27" s="21" t="s">
        <v>362</v>
      </c>
      <c r="E27" s="13">
        <v>43032.224120370367</v>
      </c>
      <c r="F27" s="13">
        <v>43032.22934027778</v>
      </c>
      <c r="G27" s="7">
        <v>47</v>
      </c>
      <c r="H27" s="21" t="s">
        <v>448</v>
      </c>
      <c r="I27" s="13">
        <v>43032.254652777781</v>
      </c>
      <c r="J27" s="7">
        <v>0</v>
      </c>
      <c r="K27" s="89" t="str">
        <f>IF(ISEVEN(B27),(B27-1)&amp;"/"&amp;B27,B27&amp;"/"&amp;(B27+1))</f>
        <v>4027/4028</v>
      </c>
      <c r="L27" s="185" t="str">
        <f>VLOOKUP(A27,'Trips&amp;Operators'!$C$1:$G$99911,5,FALSE)</f>
        <v>BONDS REYNALDO</v>
      </c>
      <c r="M27" s="6">
        <f>I27-F27</f>
        <v>2.531250000174623E-2</v>
      </c>
      <c r="N27" s="7">
        <f>24*60*SUM($M27:$M27)</f>
        <v>36.450000002514571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-24T04:22:44-0600',mode:absolute,to:'2017-10-24T07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4.5999999999999999E-2</v>
      </c>
      <c r="Z27" s="204">
        <f>RIGHT(H27,LEN(H27)-4)/10000</f>
        <v>23.333400000000001</v>
      </c>
      <c r="AA27" s="204">
        <f>ABS(Z27-Y27)</f>
        <v>23.287400000000002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/stypes="app*4028*20171024*"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115-24 --locoid 4028 --swversion DE.1.0.9.0 --startMP 204:460 --initTime 2017-10-24T05:22:44 --startdatetime 2017-10-24T05:30:15 --delay 47 --endMP 204:233334 --enddatetime 2017-10-24T06:06:42 --enforcementcount 0 &gt;&gt;%USERPROFILE%\Documents\GitHub\eaglep3-reporting\EC\2017-10-24-refined-times.txt</v>
      </c>
      <c r="AI27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{"issue":{"subject":"","project_id":79,"tracker_id":40,"status_id":1,"priority_id":2,"assigned_to_id":338,"start_date":"2017-10-24","description":"","custom_fields":[{"id":1,"name":"Subdivision","value":"EC"},{"id":4,"name":"Milepost","value":"23.3334"},{"id":17,"name":"Train ID","value":"115-24"},{"id":16,"name":"Locomotive ID","value":"4028"},{"id":130,"name":"Impact","value":""},{"id":150,"name":"Time of Event (Mountain Time)","value":"06:06:42"},{"id":151,"name":"Denver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4028 --day 2017-10-24</v>
      </c>
      <c r="AN27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-24T04:22:44-0600',mode:absolute,to:'2017-10-24T07:06:42-0600'))&amp;_a=(columns:!('Message%20ID',Summary),filters:!(),index:'emp_*',interval:auto,query:(query_string:(analyze_wildcard:!t,query:'%22rtdc.l.rtdc.4028%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711</v>
      </c>
      <c r="B28" s="7">
        <v>4027</v>
      </c>
      <c r="C28" s="21" t="s">
        <v>194</v>
      </c>
      <c r="D28" s="21" t="s">
        <v>400</v>
      </c>
      <c r="E28" s="13">
        <v>43032.265868055554</v>
      </c>
      <c r="F28" s="13">
        <v>43032.26898148148</v>
      </c>
      <c r="G28" s="7">
        <v>50</v>
      </c>
      <c r="H28" s="21" t="s">
        <v>336</v>
      </c>
      <c r="I28" s="13">
        <v>43032.296134259261</v>
      </c>
      <c r="J28" s="7">
        <v>0</v>
      </c>
      <c r="K28" s="89" t="str">
        <f>IF(ISEVEN(B28),(B28-1)&amp;"/"&amp;B28,B28&amp;"/"&amp;(B28+1))</f>
        <v>4027/4028</v>
      </c>
      <c r="L28" s="185" t="str">
        <f>VLOOKUP(A28,'Trips&amp;Operators'!$C$1:$G$99911,5,FALSE)</f>
        <v>BONDS REYNALDO</v>
      </c>
      <c r="M28" s="6">
        <f>I28-F28</f>
        <v>2.715277778042946E-2</v>
      </c>
      <c r="N28" s="7">
        <f>24*60*SUM($M28:$M28)</f>
        <v>39.100000003818423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-24T05:22:51-0600',mode:absolute,to:'2017-10-24T08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23.2989</v>
      </c>
      <c r="Z28" s="204">
        <f>RIGHT(H28,LEN(H28)-4)/10000</f>
        <v>1.49E-2</v>
      </c>
      <c r="AA28" s="204">
        <f>ABS(Z28-Y28)</f>
        <v>23.283999999999999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/stypes="app*4027*20171024*"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116-24 --locoid 4027 --swversion DE.1.0.9.0 --startMP 204:232989 --initTime 2017-10-24T06:22:51 --startdatetime 2017-10-24T06:27:20 --delay 50 --endMP 204:149 --enddatetime 2017-10-24T07:06:26 --enforcementcount 0 &gt;&gt;%USERPROFILE%\Documents\GitHub\eaglep3-reporting\EC\2017-10-24-refined-times.txt</v>
      </c>
      <c r="AI28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{"issue":{"subject":"","project_id":79,"tracker_id":40,"status_id":1,"priority_id":2,"assigned_to_id":338,"start_date":"2017-10-24","description":"","custom_fields":[{"id":1,"name":"Subdivision","value":"EC"},{"id":4,"name":"Milepost","value":"0.0149"},{"id":17,"name":"Train ID","value":"116-24"},{"id":16,"name":"Locomotive ID","value":"4027"},{"id":130,"name":"Impact","value":""},{"id":150,"name":"Time of Event (Mountain Time)","value":"07:06:26"},{"id":151,"name":"Denver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4027 --day 2017-10-24</v>
      </c>
      <c r="AN28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-24T05:22:51-0600',mode:absolute,to:'2017-10-24T08:06:26-0600'))&amp;_a=(columns:!('Message%20ID',Summary),filters:!(),index:'emp_*',interval:auto,query:(query_string:(analyze_wildcard:!t,query:'%22rtdc.l.rtdc.4027%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701</v>
      </c>
      <c r="B29" s="7">
        <v>4002</v>
      </c>
      <c r="C29" s="21" t="s">
        <v>194</v>
      </c>
      <c r="D29" s="21" t="s">
        <v>533</v>
      </c>
      <c r="E29" s="13">
        <v>43032.235196759262</v>
      </c>
      <c r="F29" s="13">
        <v>43032.240219907406</v>
      </c>
      <c r="G29" s="7">
        <v>67</v>
      </c>
      <c r="H29" s="21" t="s">
        <v>410</v>
      </c>
      <c r="I29" s="13">
        <v>43032.264594907407</v>
      </c>
      <c r="J29" s="7">
        <v>0</v>
      </c>
      <c r="K29" s="89" t="str">
        <f>IF(ISEVEN(B29),(B29-1)&amp;"/"&amp;B29,B29&amp;"/"&amp;(B29+1))</f>
        <v>4001/4002</v>
      </c>
      <c r="L29" s="185" t="str">
        <f>VLOOKUP(A29,'Trips&amp;Operators'!$C$1:$G$99911,5,FALSE)</f>
        <v>MACDONALD THOMAS</v>
      </c>
      <c r="M29" s="6">
        <f>I29-F29</f>
        <v>2.4375000000873115E-2</v>
      </c>
      <c r="N29" s="7">
        <f>24*60*SUM($M29:$M29)</f>
        <v>35.100000001257285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-24T04:38:41-0600',mode:absolute,to:'2017-10-24T07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4.4900000000000002E-2</v>
      </c>
      <c r="Z29" s="204">
        <f>RIGHT(H29,LEN(H29)-4)/10000</f>
        <v>23.329699999999999</v>
      </c>
      <c r="AA29" s="204">
        <f>ABS(Z29-Y29)</f>
        <v>23.284800000000001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/stypes="app*4002*20171024*"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117-24 --locoid 4002 --swversion DE.1.0.9.0 --startMP 204:449 --initTime 2017-10-24T05:38:41 --startdatetime 2017-10-24T05:45:55 --delay 67 --endMP 204:233297 --enddatetime 2017-10-24T06:21:01 --enforcementcount 0 &gt;&gt;%USERPROFILE%\Documents\GitHub\eaglep3-reporting\EC\2017-10-24-refined-times.txt</v>
      </c>
      <c r="AI29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{"issue":{"subject":"","project_id":79,"tracker_id":40,"status_id":1,"priority_id":2,"assigned_to_id":338,"start_date":"2017-10-24","description":"","custom_fields":[{"id":1,"name":"Subdivision","value":"EC"},{"id":4,"name":"Milepost","value":"23.3297"},{"id":17,"name":"Train ID","value":"117-24"},{"id":16,"name":"Locomotive ID","value":"4002"},{"id":130,"name":"Impact","value":""},{"id":150,"name":"Time of Event (Mountain Time)","value":"06:21:01"},{"id":151,"name":"Denver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4002 --day 2017-10-24</v>
      </c>
      <c r="AN29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-24T04:38:41-0600',mode:absolute,to:'2017-10-24T07:21:01-0600'))&amp;_a=(columns:!('Message%20ID',Summary),filters:!(),index:'emp_*',interval:auto,query:(query_string:(analyze_wildcard:!t,query:'%22rtdc.l.rtdc.4002%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715</v>
      </c>
      <c r="B30" s="7">
        <v>4001</v>
      </c>
      <c r="C30" s="21" t="s">
        <v>194</v>
      </c>
      <c r="D30" s="21" t="s">
        <v>556</v>
      </c>
      <c r="E30" s="13">
        <v>43032.277395833335</v>
      </c>
      <c r="F30" s="13">
        <v>43032.279699074075</v>
      </c>
      <c r="G30" s="7">
        <v>53</v>
      </c>
      <c r="H30" s="21" t="s">
        <v>371</v>
      </c>
      <c r="I30" s="13">
        <v>43032.306296296294</v>
      </c>
      <c r="J30" s="7">
        <v>0</v>
      </c>
      <c r="K30" s="89" t="str">
        <f>IF(ISEVEN(B30),(B30-1)&amp;"/"&amp;B30,B30&amp;"/"&amp;(B30+1))</f>
        <v>4001/4002</v>
      </c>
      <c r="L30" s="185" t="str">
        <f>VLOOKUP(A30,'Trips&amp;Operators'!$C$1:$G$99911,5,FALSE)</f>
        <v>MACDONALD THOMAS</v>
      </c>
      <c r="M30" s="6">
        <f>I30-F30</f>
        <v>2.6597222218697425E-2</v>
      </c>
      <c r="N30" s="7">
        <f>24*60*SUM($M30:$M30)</f>
        <v>38.299999994924292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-24T05:39:27-0600',mode:absolute,to:'2017-10-24T08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23.297499999999999</v>
      </c>
      <c r="Z30" s="204">
        <f>RIGHT(H30,LEN(H30)-4)/10000</f>
        <v>1.54E-2</v>
      </c>
      <c r="AA30" s="204">
        <f>ABS(Z30-Y30)</f>
        <v>23.2821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/stypes="app*4001*20171024*"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118-24 --locoid 4001 --swversion DE.1.0.9.0 --startMP 204:232975 --initTime 2017-10-24T06:39:27 --startdatetime 2017-10-24T06:42:46 --delay 53 --endMP 204:154 --enddatetime 2017-10-24T07:21:04 --enforcementcount 0 &gt;&gt;%USERPROFILE%\Documents\GitHub\eaglep3-reporting\EC\2017-10-24-refined-times.txt</v>
      </c>
      <c r="AI30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{"issue":{"subject":"","project_id":79,"tracker_id":40,"status_id":1,"priority_id":2,"assigned_to_id":338,"start_date":"2017-10-24","description":"","custom_fields":[{"id":1,"name":"Subdivision","value":"EC"},{"id":4,"name":"Milepost","value":"0.0154"},{"id":17,"name":"Train ID","value":"118-24"},{"id":16,"name":"Locomotive ID","value":"4001"},{"id":130,"name":"Impact","value":""},{"id":150,"name":"Time of Event (Mountain Time)","value":"07:21:04"},{"id":151,"name":"Denver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4001 --day 2017-10-24</v>
      </c>
      <c r="AN30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-24T05:39:27-0600',mode:absolute,to:'2017-10-24T08:21:04-0600'))&amp;_a=(columns:!('Message%20ID',Summary),filters:!(),index:'emp_*',interval:auto,query:(query_string:(analyze_wildcard:!t,query:'%22rtdc.l.rtdc.4001%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646</v>
      </c>
      <c r="B31" s="7">
        <v>4026</v>
      </c>
      <c r="C31" s="21" t="s">
        <v>194</v>
      </c>
      <c r="D31" s="21" t="s">
        <v>393</v>
      </c>
      <c r="E31" s="13">
        <v>43032.248298611114</v>
      </c>
      <c r="F31" s="13">
        <v>43032.2503125</v>
      </c>
      <c r="G31" s="7">
        <v>63</v>
      </c>
      <c r="H31" s="21" t="s">
        <v>899</v>
      </c>
      <c r="I31" s="13">
        <v>43032.277199074073</v>
      </c>
      <c r="J31" s="7">
        <v>0</v>
      </c>
      <c r="K31" s="89" t="str">
        <f>IF(ISEVEN(B31),(B31-1)&amp;"/"&amp;B31,B31&amp;"/"&amp;(B31+1))</f>
        <v>4025/4026</v>
      </c>
      <c r="L31" s="185" t="str">
        <f>VLOOKUP(A31,'Trips&amp;Operators'!$C$1:$G$99911,5,FALSE)</f>
        <v>THOMPSON LESTER</v>
      </c>
      <c r="M31" s="6">
        <f>I31-F31</f>
        <v>2.6886574072705116E-2</v>
      </c>
      <c r="N31" s="7">
        <f>24*60*SUM($M31:$M31)</f>
        <v>38.716666664695367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-24T04:57:33-0600',mode:absolute,to:'2017-10-24T07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4.6399999999999997E-2</v>
      </c>
      <c r="Z31" s="204">
        <f>RIGHT(H31,LEN(H31)-4)/10000</f>
        <v>23.332100000000001</v>
      </c>
      <c r="AA31" s="204">
        <f>ABS(Z31-Y31)</f>
        <v>23.285700000000002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/stypes="app*4026*20171024*"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119-24 --locoid 4026 --swversion DE.1.0.9.0 --startMP 204:464 --initTime 2017-10-24T05:57:33 --startdatetime 2017-10-24T06:00:27 --delay 63 --endMP 204:233321 --enddatetime 2017-10-24T06:39:10 --enforcementcount 0 &gt;&gt;%USERPROFILE%\Documents\GitHub\eaglep3-reporting\EC\2017-10-24-refined-times.txt</v>
      </c>
      <c r="AI31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{"issue":{"subject":"","project_id":79,"tracker_id":40,"status_id":1,"priority_id":2,"assigned_to_id":338,"start_date":"2017-10-24","description":"","custom_fields":[{"id":1,"name":"Subdivision","value":"EC"},{"id":4,"name":"Milepost","value":"23.3321"},{"id":17,"name":"Train ID","value":"119-24"},{"id":16,"name":"Locomotive ID","value":"4026"},{"id":130,"name":"Impact","value":""},{"id":150,"name":"Time of Event (Mountain Time)","value":"06:39:10"},{"id":151,"name":"Denver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4026 --day 2017-10-24</v>
      </c>
      <c r="AN31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-24T04:57:33-0600',mode:absolute,to:'2017-10-24T07:39:10-0600'))&amp;_a=(columns:!('Message%20ID',Summary),filters:!(),index:'emp_*',interval:auto,query:(query_string:(analyze_wildcard:!t,query:'%22rtdc.l.rtdc.4026%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719</v>
      </c>
      <c r="B32" s="7">
        <v>4025</v>
      </c>
      <c r="C32" s="21" t="s">
        <v>194</v>
      </c>
      <c r="D32" s="21" t="s">
        <v>900</v>
      </c>
      <c r="E32" s="13">
        <v>43032.287858796299</v>
      </c>
      <c r="F32" s="13">
        <v>43032.289814814816</v>
      </c>
      <c r="G32" s="7">
        <v>58</v>
      </c>
      <c r="H32" s="21" t="s">
        <v>360</v>
      </c>
      <c r="I32" s="13">
        <v>43032.317893518521</v>
      </c>
      <c r="J32" s="7">
        <v>0</v>
      </c>
      <c r="K32" s="89" t="str">
        <f>IF(ISEVEN(B32),(B32-1)&amp;"/"&amp;B32,B32&amp;"/"&amp;(B32+1))</f>
        <v>4025/4026</v>
      </c>
      <c r="L32" s="185" t="str">
        <f>VLOOKUP(A32,'Trips&amp;Operators'!$C$1:$G$99911,5,FALSE)</f>
        <v>THOMPSON LESTER</v>
      </c>
      <c r="M32" s="6">
        <f>I32-F32</f>
        <v>2.8078703704522923E-2</v>
      </c>
      <c r="N32" s="7">
        <f>24*60*SUM($M32:$M32)</f>
        <v>40.433333334513009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-24T05:54:31-0600',mode:absolute,to:'2017-10-24T08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23.2974</v>
      </c>
      <c r="Z32" s="204">
        <f>RIGHT(H32,LEN(H32)-4)/10000</f>
        <v>1.61E-2</v>
      </c>
      <c r="AA32" s="204">
        <f>ABS(Z32-Y32)</f>
        <v>23.281299999999998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/stypes="app*4025*20171024*"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120-24 --locoid 4025 --swversion DE.1.0.9.0 --startMP 204:232974 --initTime 2017-10-24T06:54:31 --startdatetime 2017-10-24T06:57:20 --delay 58 --endMP 204:161 --enddatetime 2017-10-24T07:37:46 --enforcementcount 0 &gt;&gt;%USERPROFILE%\Documents\GitHub\eaglep3-reporting\EC\2017-10-24-refined-times.txt</v>
      </c>
      <c r="AI32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{"issue":{"subject":"","project_id":79,"tracker_id":40,"status_id":1,"priority_id":2,"assigned_to_id":338,"start_date":"2017-10-24","description":"","custom_fields":[{"id":1,"name":"Subdivision","value":"EC"},{"id":4,"name":"Milepost","value":"0.0161"},{"id":17,"name":"Train ID","value":"120-24"},{"id":16,"name":"Locomotive ID","value":"4025"},{"id":130,"name":"Impact","value":""},{"id":150,"name":"Time of Event (Mountain Time)","value":"07:37:46"},{"id":151,"name":"Denver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4025 --day 2017-10-24</v>
      </c>
      <c r="AN32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-24T05:54:31-0600',mode:absolute,to:'2017-10-24T08:37:46-0600'))&amp;_a=(columns:!('Message%20ID',Summary),filters:!(),index:'emp_*',interval:auto,query:(query_string:(analyze_wildcard:!t,query:'%22rtdc.l.rtdc.4025%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710</v>
      </c>
      <c r="B33" s="7">
        <v>4060</v>
      </c>
      <c r="C33" s="21" t="s">
        <v>194</v>
      </c>
      <c r="D33" s="21" t="s">
        <v>376</v>
      </c>
      <c r="E33" s="13">
        <v>43032.255833333336</v>
      </c>
      <c r="F33" s="13">
        <v>43032.260601851849</v>
      </c>
      <c r="G33" s="7">
        <v>66</v>
      </c>
      <c r="H33" s="21" t="s">
        <v>901</v>
      </c>
      <c r="I33" s="13">
        <v>43032.285277777781</v>
      </c>
      <c r="J33" s="7">
        <v>0</v>
      </c>
      <c r="K33" s="89" t="str">
        <f>IF(ISEVEN(B33),(B33-1)&amp;"/"&amp;B33,B33&amp;"/"&amp;(B33+1))</f>
        <v>4059/4060</v>
      </c>
      <c r="L33" s="185" t="str">
        <f>VLOOKUP(A33,'Trips&amp;Operators'!$C$1:$G$99911,5,FALSE)</f>
        <v>BARRON PERLA</v>
      </c>
      <c r="M33" s="6">
        <f>I33-F33</f>
        <v>2.4675925931660458E-2</v>
      </c>
      <c r="N33" s="7">
        <f>24*60*SUM($M33:$M33)</f>
        <v>35.53333334159106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-24T05:08:24-0600',mode:absolute,to:'2017-10-24T07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4.5699999999999998E-2</v>
      </c>
      <c r="Z33" s="204">
        <f>RIGHT(H33,LEN(H33)-4)/10000</f>
        <v>23.328800000000001</v>
      </c>
      <c r="AA33" s="204">
        <f>ABS(Z33-Y33)</f>
        <v>23.283100000000001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/stypes="app*4060*20171024*"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121-24 --locoid 4060 --swversion DE.1.0.9.0 --startMP 204:457 --initTime 2017-10-24T06:08:24 --startdatetime 2017-10-24T06:15:16 --delay 66 --endMP 204:233288 --enddatetime 2017-10-24T06:50:48 --enforcementcount 0 &gt;&gt;%USERPROFILE%\Documents\GitHub\eaglep3-reporting\EC\2017-10-24-refined-times.txt</v>
      </c>
      <c r="AI33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{"issue":{"subject":"","project_id":79,"tracker_id":40,"status_id":1,"priority_id":2,"assigned_to_id":338,"start_date":"2017-10-24","description":"","custom_fields":[{"id":1,"name":"Subdivision","value":"EC"},{"id":4,"name":"Milepost","value":"23.3288"},{"id":17,"name":"Train ID","value":"121-24"},{"id":16,"name":"Locomotive ID","value":"4060"},{"id":130,"name":"Impact","value":""},{"id":150,"name":"Time of Event (Mountain Time)","value":"06:50:48"},{"id":151,"name":"Denver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4060 --day 2017-10-24</v>
      </c>
      <c r="AN33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-24T05:08:24-0600',mode:absolute,to:'2017-10-24T07:50:48-0600'))&amp;_a=(columns:!('Message%20ID',Summary),filters:!(),index:'emp_*',interval:auto,query:(query_string:(analyze_wildcard:!t,query:'%22rtdc.l.rtdc.4060%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717</v>
      </c>
      <c r="B34" s="7">
        <v>4059</v>
      </c>
      <c r="C34" s="21" t="s">
        <v>194</v>
      </c>
      <c r="D34" s="21" t="s">
        <v>902</v>
      </c>
      <c r="E34" s="13">
        <v>43032.286504629628</v>
      </c>
      <c r="F34" s="13">
        <v>43032.300185185188</v>
      </c>
      <c r="G34" s="7">
        <v>71</v>
      </c>
      <c r="H34" s="21" t="s">
        <v>407</v>
      </c>
      <c r="I34" s="13">
        <v>43032.327893518515</v>
      </c>
      <c r="J34" s="7">
        <v>0</v>
      </c>
      <c r="K34" s="89" t="str">
        <f>IF(ISEVEN(B34),(B34-1)&amp;"/"&amp;B34,B34&amp;"/"&amp;(B34+1))</f>
        <v>4059/4060</v>
      </c>
      <c r="L34" s="185" t="str">
        <f>VLOOKUP(A34,'Trips&amp;Operators'!$C$1:$G$99911,5,FALSE)</f>
        <v>BARRON PERLA</v>
      </c>
      <c r="M34" s="6">
        <f>I34-F34</f>
        <v>2.770833332760958E-2</v>
      </c>
      <c r="N34" s="7">
        <f>24*60*SUM($M34:$M34)</f>
        <v>39.899999991757795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-24T05:52:34-0600',mode:absolute,to:'2017-10-24T08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23.2973</v>
      </c>
      <c r="Z34" s="204">
        <f>RIGHT(H34,LEN(H34)-4)/10000</f>
        <v>1.41E-2</v>
      </c>
      <c r="AA34" s="204">
        <f>ABS(Z34-Y34)</f>
        <v>23.283200000000001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/stypes="app*4059*20171024*"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122-24 --locoid 4059 --swversion DE.1.0.9.0 --startMP 204:232973 --initTime 2017-10-24T06:52:34 --startdatetime 2017-10-24T07:12:16 --delay 71 --endMP 204:141 --enddatetime 2017-10-24T07:52:10 --enforcementcount 0 &gt;&gt;%USERPROFILE%\Documents\GitHub\eaglep3-reporting\EC\2017-10-24-refined-times.txt</v>
      </c>
      <c r="AI34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{"issue":{"subject":"","project_id":79,"tracker_id":40,"status_id":1,"priority_id":2,"assigned_to_id":338,"start_date":"2017-10-24","description":"","custom_fields":[{"id":1,"name":"Subdivision","value":"EC"},{"id":4,"name":"Milepost","value":"0.0141"},{"id":17,"name":"Train ID","value":"122-24"},{"id":16,"name":"Locomotive ID","value":"4059"},{"id":130,"name":"Impact","value":""},{"id":150,"name":"Time of Event (Mountain Time)","value":"07:52:10"},{"id":151,"name":"Denver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4059 --day 2017-10-24</v>
      </c>
      <c r="AN34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-24T05:52:34-0600',mode:absolute,to:'2017-10-24T08:52:10-0600'))&amp;_a=(columns:!('Message%20ID',Summary),filters:!(),index:'emp_*',interval:auto,query:(query_string:(analyze_wildcard:!t,query:'%22rtdc.l.rtdc.4059%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713</v>
      </c>
      <c r="B35" s="7">
        <v>4010</v>
      </c>
      <c r="C35" s="21" t="s">
        <v>194</v>
      </c>
      <c r="D35" s="21" t="s">
        <v>399</v>
      </c>
      <c r="E35" s="13">
        <v>43032.269756944443</v>
      </c>
      <c r="F35" s="13">
        <v>43032.271122685182</v>
      </c>
      <c r="G35" s="7">
        <v>60</v>
      </c>
      <c r="H35" s="21" t="s">
        <v>903</v>
      </c>
      <c r="I35" s="13">
        <v>43032.296979166669</v>
      </c>
      <c r="J35" s="7">
        <v>0</v>
      </c>
      <c r="K35" s="89" t="str">
        <f>IF(ISEVEN(B35),(B35-1)&amp;"/"&amp;B35,B35&amp;"/"&amp;(B35+1))</f>
        <v>4009/4010</v>
      </c>
      <c r="L35" s="185" t="str">
        <f>VLOOKUP(A35,'Trips&amp;Operators'!$C$1:$G$99911,5,FALSE)</f>
        <v>STARKS ANGELINA</v>
      </c>
      <c r="M35" s="6">
        <f>I35-F35</f>
        <v>2.5856481486698613E-2</v>
      </c>
      <c r="N35" s="7">
        <f>24*60*SUM($M35:$M35)</f>
        <v>37.233333340846002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-24T05:28:27-0600',mode:absolute,to:'2017-10-24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4.6199999999999998E-2</v>
      </c>
      <c r="Z35" s="204">
        <f>RIGHT(H35,LEN(H35)-4)/10000</f>
        <v>23.328499999999998</v>
      </c>
      <c r="AA35" s="204">
        <f>ABS(Z35-Y35)</f>
        <v>23.282299999999999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/stypes="app*4010*20171024*"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123-24 --locoid 4010 --swversion DE.1.0.9.0 --startMP 204:462 --initTime 2017-10-24T06:28:27 --startdatetime 2017-10-24T06:30:25 --delay 60 --endMP 204:233285 --enddatetime 2017-10-24T07:07:39 --enforcementcount 0 &gt;&gt;%USERPROFILE%\Documents\GitHub\eaglep3-reporting\EC\2017-10-24-refined-times.txt</v>
      </c>
      <c r="AI3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{"issue":{"subject":"","project_id":79,"tracker_id":40,"status_id":1,"priority_id":2,"assigned_to_id":338,"start_date":"2017-10-24","description":"","custom_fields":[{"id":1,"name":"Subdivision","value":"EC"},{"id":4,"name":"Milepost","value":"23.3285"},{"id":17,"name":"Train ID","value":"123-24"},{"id":16,"name":"Locomotive ID","value":"4010"},{"id":130,"name":"Impact","value":""},{"id":150,"name":"Time of Event (Mountain Time)","value":"07:07:39"},{"id":151,"name":"Denver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4010 --day 2017-10-24</v>
      </c>
      <c r="AN3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-24T05:28:27-0600',mode:absolute,to:'2017-10-24T08:07:39-0600'))&amp;_a=(columns:!('Message%20ID',Summary),filters:!(),index:'emp_*',interval:auto,query:(query_string:(analyze_wildcard:!t,query:'%22rtdc.l.rtdc.4010%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721</v>
      </c>
      <c r="B36" s="7">
        <v>4009</v>
      </c>
      <c r="C36" s="21" t="s">
        <v>194</v>
      </c>
      <c r="D36" s="21" t="s">
        <v>615</v>
      </c>
      <c r="E36" s="13">
        <v>43032.29928240741</v>
      </c>
      <c r="F36" s="13">
        <v>43032.310590277775</v>
      </c>
      <c r="G36" s="7">
        <v>52</v>
      </c>
      <c r="H36" s="21" t="s">
        <v>559</v>
      </c>
      <c r="I36" s="13">
        <v>43032.338449074072</v>
      </c>
      <c r="J36" s="7">
        <v>0</v>
      </c>
      <c r="K36" s="89" t="str">
        <f>IF(ISEVEN(B36),(B36-1)&amp;"/"&amp;B36,B36&amp;"/"&amp;(B36+1))</f>
        <v>4009/4010</v>
      </c>
      <c r="L36" s="185" t="str">
        <f>VLOOKUP(A36,'Trips&amp;Operators'!$C$1:$G$99911,5,FALSE)</f>
        <v>STARKS ANGELINA</v>
      </c>
      <c r="M36" s="6">
        <f>I36-F36</f>
        <v>2.7858796296641231E-2</v>
      </c>
      <c r="N36" s="7">
        <f>24*60*SUM($M36:$M36)</f>
        <v>40.116666667163372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-24T06:10:58-0600',mode:absolute,to:'2017-10-24T09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23.298100000000002</v>
      </c>
      <c r="Z36" s="204">
        <f>RIGHT(H36,LEN(H36)-4)/10000</f>
        <v>1.6899999999999998E-2</v>
      </c>
      <c r="AA36" s="204">
        <f>ABS(Z36-Y36)</f>
        <v>23.281200000000002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/stypes="app*4009*20171024*"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124-24 --locoid 4009 --swversion DE.1.0.9.0 --startMP 204:232981 --initTime 2017-10-24T07:10:58 --startdatetime 2017-10-24T07:27:15 --delay 52 --endMP 204:169 --enddatetime 2017-10-24T08:07:22 --enforcementcount 0 &gt;&gt;%USERPROFILE%\Documents\GitHub\eaglep3-reporting\EC\2017-10-24-refined-times.txt</v>
      </c>
      <c r="AI3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{"issue":{"subject":"","project_id":79,"tracker_id":40,"status_id":1,"priority_id":2,"assigned_to_id":338,"start_date":"2017-10-24","description":"","custom_fields":[{"id":1,"name":"Subdivision","value":"EC"},{"id":4,"name":"Milepost","value":"0.0169"},{"id":17,"name":"Train ID","value":"124-24"},{"id":16,"name":"Locomotive ID","value":"4009"},{"id":130,"name":"Impact","value":""},{"id":150,"name":"Time of Event (Mountain Time)","value":"08:07:22"},{"id":151,"name":"Denver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4009 --day 2017-10-24</v>
      </c>
      <c r="AN3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-24T06:10:58-0600',mode:absolute,to:'2017-10-24T09:07:22-0600'))&amp;_a=(columns:!('Message%20ID',Summary),filters:!(),index:'emp_*',interval:auto,query:(query_string:(analyze_wildcard:!t,query:'%22rtdc.l.rtdc.4009%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716</v>
      </c>
      <c r="B37" s="7">
        <v>4024</v>
      </c>
      <c r="C37" s="21" t="s">
        <v>194</v>
      </c>
      <c r="D37" s="21" t="s">
        <v>362</v>
      </c>
      <c r="E37" s="13">
        <v>43032.279861111114</v>
      </c>
      <c r="F37" s="13">
        <v>43032.281412037039</v>
      </c>
      <c r="G37" s="7">
        <v>49</v>
      </c>
      <c r="H37" s="21" t="s">
        <v>558</v>
      </c>
      <c r="I37" s="13">
        <v>43032.305277777778</v>
      </c>
      <c r="J37" s="7">
        <v>0</v>
      </c>
      <c r="K37" s="89" t="str">
        <f>IF(ISEVEN(B37),(B37-1)&amp;"/"&amp;B37,B37&amp;"/"&amp;(B37+1))</f>
        <v>4023/4024</v>
      </c>
      <c r="L37" s="185" t="str">
        <f>VLOOKUP(A37,'Trips&amp;Operators'!$C$1:$G$99911,5,FALSE)</f>
        <v>ROCHA YAOTL</v>
      </c>
      <c r="M37" s="6">
        <f>I37-F37</f>
        <v>2.3865740738983732E-2</v>
      </c>
      <c r="N37" s="7">
        <f>24*60*SUM($M37:$M37)</f>
        <v>34.366666664136574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-24T05:43:00-0600',mode:absolute,to:'2017-10-24T08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4.5999999999999999E-2</v>
      </c>
      <c r="Z37" s="204">
        <f>RIGHT(H37,LEN(H37)-4)/10000</f>
        <v>23.327000000000002</v>
      </c>
      <c r="AA37" s="204">
        <f>ABS(Z37-Y37)</f>
        <v>23.281000000000002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s3://rtdc.mdm.uploadarchive.raw/RTDC4024/ "%USERPROFILE%\AppData\Local\Temp\OnboardLogs"\RTDC4024\2017-10-24 --exclude "*" --recursive --include "*20171024*" &amp; "%USERPROFILE%\Documents\GitHub\mrs-test-scripts\Headless Mode &amp; Sideloading\WalkAndUnGZ.bat" "%USERPROFILE%\AppData\Local\Temp\OnboardLogs"\RTDC4024\2017-10-24 &amp; 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/stypes="app*4024*20171024*"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125-24 --locoid 4024 --swversion DE.1.0.9.0 --startMP 204:460 --initTime 2017-10-24T06:43:00 --startdatetime 2017-10-24T06:45:14 --delay 49 --endMP 204:233270 --enddatetime 2017-10-24T07:19:36 --enforcementcount 0 &gt;&gt;%USERPROFILE%\Documents\GitHub\eaglep3-reporting\EC\2017-10-24-refined-times.txt</v>
      </c>
      <c r="AI37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{"issue":{"subject":"","project_id":79,"tracker_id":40,"status_id":1,"priority_id":2,"assigned_to_id":338,"start_date":"2017-10-24","description":"","custom_fields":[{"id":1,"name":"Subdivision","value":"EC"},{"id":4,"name":"Milepost","value":"23.327"},{"id":17,"name":"Train ID","value":"125-24"},{"id":16,"name":"Locomotive ID","value":"4024"},{"id":130,"name":"Impact","value":""},{"id":150,"name":"Time of Event (Mountain Time)","value":"07:19:36"},{"id":151,"name":"Denver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4024 --day 2017-10-24</v>
      </c>
      <c r="AN37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-24T05:43:00-0600',mode:absolute,to:'2017-10-24T08:19:36-0600'))&amp;_a=(columns:!('Message%20ID',Summary),filters:!(),index:'emp_*',interval:auto,query:(query_string:(analyze_wildcard:!t,query:'%22rtdc.l.rtdc.4024%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650</v>
      </c>
      <c r="B38" s="7">
        <v>4023</v>
      </c>
      <c r="C38" s="21" t="s">
        <v>194</v>
      </c>
      <c r="D38" s="21" t="s">
        <v>604</v>
      </c>
      <c r="E38" s="13">
        <v>43032.308379629627</v>
      </c>
      <c r="F38" s="13">
        <v>43032.321087962962</v>
      </c>
      <c r="G38" s="7">
        <v>56</v>
      </c>
      <c r="H38" s="21" t="s">
        <v>904</v>
      </c>
      <c r="I38" s="13">
        <v>43032.349120370367</v>
      </c>
      <c r="J38" s="7">
        <v>0</v>
      </c>
      <c r="K38" s="89" t="str">
        <f>IF(ISEVEN(B38),(B38-1)&amp;"/"&amp;B38,B38&amp;"/"&amp;(B38+1))</f>
        <v>4023/4024</v>
      </c>
      <c r="L38" s="185" t="str">
        <f>VLOOKUP(A38,'Trips&amp;Operators'!$C$1:$G$99911,5,FALSE)</f>
        <v>ROCHA YAOTL</v>
      </c>
      <c r="M38" s="6">
        <f>I38-F38</f>
        <v>2.8032407404680271E-2</v>
      </c>
      <c r="N38" s="7">
        <f>24*60*SUM($M38:$M38)</f>
        <v>40.36666666273959</v>
      </c>
      <c r="O38" s="7"/>
      <c r="P38" s="7"/>
      <c r="Q38" s="22"/>
      <c r="R38" s="174" t="s">
        <v>1099</v>
      </c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-24T06:24:04-0600',mode:absolute,to:'2017-10-24T09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23.296299999999999</v>
      </c>
      <c r="Z38" s="204">
        <v>1.001E-2</v>
      </c>
      <c r="AA38" s="204">
        <f>ABS(Z38-Y38)</f>
        <v>23.286289999999997</v>
      </c>
      <c r="AB38" s="54" t="str">
        <f>VLOOKUP(A38,Enforcements!$C$7:$K$11,8,0)</f>
        <v>Bulletin (2)</v>
      </c>
      <c r="AC38" s="51" t="str">
        <f>VLOOKUP(A38,Enforcements!$C$7:$E$11,3,0)</f>
        <v>GRADE CROSSING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s3://rtdc.mdm.uploadarchive.raw/RTDC4023/ "%USERPROFILE%\AppData\Local\Temp\OnboardLogs"\RTDC4023\2017-10-24 --exclude "*" --recursive --include "*20171024*" &amp; "%USERPROFILE%\Documents\GitHub\mrs-test-scripts\Headless Mode &amp; Sideloading\WalkAndUnGZ.bat" "%USERPROFILE%\AppData\Local\Temp\OnboardLogs"\RTDC4023\2017-10-24 &amp; 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/stypes="app*4023*20171024*"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126-24 --locoid 4023 --swversion DE.1.0.9.0 --startMP 204:232963 --initTime 2017-10-24T07:24:04 --startdatetime 2017-10-24T07:42:22 --delay 56 --endMP 204:72692 --enddatetime 2017-10-24T08:22:44 --enforcementcount 0 &gt;&gt;%USERPROFILE%\Documents\GitHub\eaglep3-reporting\EC\2017-10-24-refined-times.txt</v>
      </c>
      <c r="AI38" s="96" t="str">
        <f t="shared" si="6"/>
        <v>echo {"issue":{"subject":"Banner without braking due to onboard en route failure, no enforcement","project_id":79,"tracker_id":40,"status_id":1,"priority_id":2,"assigned_to_id":338,"start_date":"2017-10-24","description":"","custom_fields":[{"id":1,"name":"Subdivision","value":"EC"},{"id":4,"name":"Milepost","value":"0.01001"},{"id":17,"name":"Train ID","value":"126-24"},{"id":16,"name":"Locomotive ID","value":"4023"},{"id":130,"name":"Impact","value":""},{"id":150,"name":"Time of Event (Mountain Time)","value":"08:22:44"},{"id":151,"name":"Denver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4023 --day 2017-10-24</v>
      </c>
      <c r="AN38" s="151" t="str">
        <f t="shared" si="8"/>
        <v>echo {"issue":{"subject":"Banner without braking due to onboard en route failure, no enforcement","project_id":30,"tracker_id":4,"status_id":1,"priority_id":1,"assigned_to_id":10,"start_date":"2017-10-24","description":"","custom_fields":[{"id":30,"name":"Category","value":"Issue"},{"id":3,"name":"Functional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-24T06:24:04-0600',mode:absolute,to:'2017-10-24T09:22:44-0600'))&amp;_a=(columns:!('Message%20ID',Summary),filters:!(),index:'emp_*',interval:auto,query:(query_string:(analyze_wildcard:!t,query:'%22rtdc.l.rtdc.4023%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718</v>
      </c>
      <c r="B39" s="7">
        <v>4058</v>
      </c>
      <c r="C39" s="21" t="s">
        <v>194</v>
      </c>
      <c r="D39" s="21" t="s">
        <v>367</v>
      </c>
      <c r="E39" s="13">
        <v>43032.286956018521</v>
      </c>
      <c r="F39" s="13">
        <v>43032.291851851849</v>
      </c>
      <c r="G39" s="7">
        <v>52</v>
      </c>
      <c r="H39" s="21" t="s">
        <v>905</v>
      </c>
      <c r="I39" s="13">
        <v>43032.316655092596</v>
      </c>
      <c r="J39" s="7">
        <v>0</v>
      </c>
      <c r="K39" s="89" t="str">
        <f>IF(ISEVEN(B39),(B39-1)&amp;"/"&amp;B39,B39&amp;"/"&amp;(B39+1))</f>
        <v>4057/4058</v>
      </c>
      <c r="L39" s="185" t="str">
        <f>VLOOKUP(A39,'Trips&amp;Operators'!$C$1:$G$99911,5,FALSE)</f>
        <v>YANAI IAN</v>
      </c>
      <c r="M39" s="6">
        <f>I39-F39</f>
        <v>2.4803240747132804E-2</v>
      </c>
      <c r="N39" s="7">
        <f>24*60*SUM($M39:$M39)</f>
        <v>35.716666675871238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-24T05:53:13-0600',mode:absolute,to:'2017-10-24T08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4.5100000000000001E-2</v>
      </c>
      <c r="Z39" s="204">
        <f>RIGHT(H39,LEN(H39)-4)/10000</f>
        <v>23.330200000000001</v>
      </c>
      <c r="AA39" s="204">
        <f>ABS(Z39-Y39)</f>
        <v>23.2851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/stypes="app*4058*20171024*"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127-24 --locoid 4058 --swversion DE.1.0.9.0 --startMP 204:451 --initTime 2017-10-24T06:53:13 --startdatetime 2017-10-24T07:00:16 --delay 52 --endMP 204:233302 --enddatetime 2017-10-24T07:35:59 --enforcementcount 0 &gt;&gt;%USERPROFILE%\Documents\GitHub\eaglep3-reporting\EC\2017-10-24-refined-times.txt</v>
      </c>
      <c r="AI39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{"issue":{"subject":"","project_id":79,"tracker_id":40,"status_id":1,"priority_id":2,"assigned_to_id":338,"start_date":"2017-10-24","description":"","custom_fields":[{"id":1,"name":"Subdivision","value":"EC"},{"id":4,"name":"Milepost","value":"23.3302"},{"id":17,"name":"Train ID","value":"127-24"},{"id":16,"name":"Locomotive ID","value":"4058"},{"id":130,"name":"Impact","value":""},{"id":150,"name":"Time of Event (Mountain Time)","value":"07:35:59"},{"id":151,"name":"Denver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4058 --day 2017-10-24</v>
      </c>
      <c r="AN39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-24T05:53:13-0600',mode:absolute,to:'2017-10-24T08:35:59-0600'))&amp;_a=(columns:!('Message%20ID',Summary),filters:!(),index:'emp_*',interval:auto,query:(query_string:(analyze_wildcard:!t,query:'%22rtdc.l.rtdc.4058%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726</v>
      </c>
      <c r="B40" s="7">
        <v>4057</v>
      </c>
      <c r="C40" s="21" t="s">
        <v>194</v>
      </c>
      <c r="D40" s="21" t="s">
        <v>894</v>
      </c>
      <c r="E40" s="13">
        <v>43032.317916666667</v>
      </c>
      <c r="F40" s="13">
        <v>43032.331423611111</v>
      </c>
      <c r="G40" s="7">
        <v>61</v>
      </c>
      <c r="H40" s="21" t="s">
        <v>906</v>
      </c>
      <c r="I40" s="13">
        <v>43032.357581018521</v>
      </c>
      <c r="J40" s="7">
        <v>0</v>
      </c>
      <c r="K40" s="89" t="str">
        <f>IF(ISEVEN(B40),(B40-1)&amp;"/"&amp;B40,B40&amp;"/"&amp;(B40+1))</f>
        <v>4057/4058</v>
      </c>
      <c r="L40" s="185" t="str">
        <f>VLOOKUP(A40,'Trips&amp;Operators'!$C$1:$G$99911,5,FALSE)</f>
        <v>YANAI IAN</v>
      </c>
      <c r="M40" s="6">
        <f>I40-F40</f>
        <v>2.6157407410209998E-2</v>
      </c>
      <c r="N40" s="7">
        <f>24*60*SUM($M40:$M40)</f>
        <v>37.666666670702398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-24T06:37:48-0600',mode:absolute,to:'2017-10-24T09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23.297599999999999</v>
      </c>
      <c r="Z40" s="204">
        <f>RIGHT(H40,LEN(H40)-4)/10000</f>
        <v>3.3099999999999997E-2</v>
      </c>
      <c r="AA40" s="204">
        <f>ABS(Z40-Y40)</f>
        <v>23.264499999999998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/stypes="app*4057*20171024*"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128-24 --locoid 4057 --swversion DE.1.0.9.0 --startMP 204:232976 --initTime 2017-10-24T07:37:48 --startdatetime 2017-10-24T07:57:15 --delay 61 --endMP 204:331 --enddatetime 2017-10-24T08:34:55 --enforcementcount 0 &gt;&gt;%USERPROFILE%\Documents\GitHub\eaglep3-reporting\EC\2017-10-24-refined-times.txt</v>
      </c>
      <c r="AI40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{"issue":{"subject":"","project_id":79,"tracker_id":40,"status_id":1,"priority_id":2,"assigned_to_id":338,"start_date":"2017-10-24","description":"","custom_fields":[{"id":1,"name":"Subdivision","value":"EC"},{"id":4,"name":"Milepost","value":"0.0331"},{"id":17,"name":"Train ID","value":"128-24"},{"id":16,"name":"Locomotive ID","value":"4057"},{"id":130,"name":"Impact","value":""},{"id":150,"name":"Time of Event (Mountain Time)","value":"08:34:55"},{"id":151,"name":"Denver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4057 --day 2017-10-24</v>
      </c>
      <c r="AN40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-24T06:37:48-0600',mode:absolute,to:'2017-10-24T09:34:55-0600'))&amp;_a=(columns:!('Message%20ID',Summary),filters:!(),index:'emp_*',interval:auto,query:(query_string:(analyze_wildcard:!t,query:'%22rtdc.l.rtdc.4057%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649</v>
      </c>
      <c r="B41" s="7">
        <v>4028</v>
      </c>
      <c r="C41" s="21" t="s">
        <v>194</v>
      </c>
      <c r="D41" s="21" t="s">
        <v>453</v>
      </c>
      <c r="E41" s="13">
        <v>43032.299432870372</v>
      </c>
      <c r="F41" s="13">
        <v>43032.302303240744</v>
      </c>
      <c r="G41" s="7">
        <v>50</v>
      </c>
      <c r="H41" s="21" t="s">
        <v>536</v>
      </c>
      <c r="I41" s="13">
        <v>43032.326956018522</v>
      </c>
      <c r="J41" s="7">
        <v>0</v>
      </c>
      <c r="K41" s="89" t="str">
        <f>IF(ISEVEN(B41),(B41-1)&amp;"/"&amp;B41,B41&amp;"/"&amp;(B41+1))</f>
        <v>4027/4028</v>
      </c>
      <c r="L41" s="185" t="str">
        <f>VLOOKUP(A41,'Trips&amp;Operators'!$C$1:$G$99911,5,FALSE)</f>
        <v>BONDS REYNALDO</v>
      </c>
      <c r="M41" s="6">
        <f>I41-F41</f>
        <v>2.4652777778101154E-2</v>
      </c>
      <c r="N41" s="7">
        <f>24*60*SUM($M41:$M41)</f>
        <v>35.500000000465661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-24T06:11:11-0600',mode:absolute,to:'2017-10-24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4.8399999999999999E-2</v>
      </c>
      <c r="Z41" s="204">
        <f>RIGHT(H41,LEN(H41)-4)/10000</f>
        <v>23.333600000000001</v>
      </c>
      <c r="AA41" s="204">
        <f>ABS(Z41-Y41)</f>
        <v>23.2852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/stypes="app*4028*20171024*"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129-24 --locoid 4028 --swversion DE.1.0.9.0 --startMP 204:484 --initTime 2017-10-24T07:11:11 --startdatetime 2017-10-24T07:15:19 --delay 50 --endMP 204:233336 --enddatetime 2017-10-24T07:50:49 --enforcementcount 0 &gt;&gt;%USERPROFILE%\Documents\GitHub\eaglep3-reporting\EC\2017-10-24-refined-times.txt</v>
      </c>
      <c r="AI41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{"issue":{"subject":"","project_id":79,"tracker_id":40,"status_id":1,"priority_id":2,"assigned_to_id":338,"start_date":"2017-10-24","description":"","custom_fields":[{"id":1,"name":"Subdivision","value":"EC"},{"id":4,"name":"Milepost","value":"23.3336"},{"id":17,"name":"Train ID","value":"129-24"},{"id":16,"name":"Locomotive ID","value":"4028"},{"id":130,"name":"Impact","value":""},{"id":150,"name":"Time of Event (Mountain Time)","value":"07:50:49"},{"id":151,"name":"Denver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4028 --day 2017-10-24</v>
      </c>
      <c r="AN41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-24T06:11:11-0600',mode:absolute,to:'2017-10-24T08:50:49-0600'))&amp;_a=(columns:!('Message%20ID',Summary),filters:!(),index:'emp_*',interval:auto,query:(query_string:(analyze_wildcard:!t,query:'%22rtdc.l.rtdc.4028%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653</v>
      </c>
      <c r="B42" s="7">
        <v>4027</v>
      </c>
      <c r="C42" s="21" t="s">
        <v>194</v>
      </c>
      <c r="D42" s="21" t="s">
        <v>428</v>
      </c>
      <c r="E42" s="13">
        <v>43032.338472222225</v>
      </c>
      <c r="F42" s="13">
        <v>43032.341851851852</v>
      </c>
      <c r="G42" s="7">
        <v>60</v>
      </c>
      <c r="H42" s="21" t="s">
        <v>907</v>
      </c>
      <c r="I42" s="13">
        <v>43032.368009259262</v>
      </c>
      <c r="J42" s="7">
        <v>0</v>
      </c>
      <c r="K42" s="89" t="str">
        <f>IF(ISEVEN(B42),(B42-1)&amp;"/"&amp;B42,B42&amp;"/"&amp;(B42+1))</f>
        <v>4027/4028</v>
      </c>
      <c r="L42" s="185" t="str">
        <f>VLOOKUP(A42,'Trips&amp;Operators'!$C$1:$G$99911,5,FALSE)</f>
        <v>BONDS REYNALDO</v>
      </c>
      <c r="M42" s="6">
        <f>I42-F42</f>
        <v>2.6157407410209998E-2</v>
      </c>
      <c r="N42" s="7">
        <f>24*60*SUM($M42:$M42)</f>
        <v>37.666666670702398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-24T07:07:24-0600',mode:absolute,to:'2017-10-24T09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23.2988</v>
      </c>
      <c r="Z42" s="204">
        <f>RIGHT(H42,LEN(H42)-4)/10000</f>
        <v>2.18E-2</v>
      </c>
      <c r="AA42" s="204">
        <f>ABS(Z42-Y42)</f>
        <v>23.277000000000001</v>
      </c>
      <c r="AB42" s="54" t="str">
        <f>VLOOKUP(A42,Enforcements!$C$7:$K$11,8,0)</f>
        <v>Bulletin (2)</v>
      </c>
      <c r="AC42" s="51" t="str">
        <f>VLOOKUP(A42,Enforcements!$C$7:$E$11,3,0)</f>
        <v>GRADE CROSSING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/stypes="app*4027*20171024*"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130-24 --locoid 4027 --swversion DE.1.0.9.0 --startMP 204:232988 --initTime 2017-10-24T08:07:24 --startdatetime 2017-10-24T08:12:16 --delay 60 --endMP 204:218 --enddatetime 2017-10-24T08:49:56 --enforcementcount 0 &gt;&gt;%USERPROFILE%\Documents\GitHub\eaglep3-reporting\EC\2017-10-24-refined-times.txt</v>
      </c>
      <c r="AI42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{"issue":{"subject":"","project_id":79,"tracker_id":40,"status_id":1,"priority_id":2,"assigned_to_id":338,"start_date":"2017-10-24","description":"","custom_fields":[{"id":1,"name":"Subdivision","value":"EC"},{"id":4,"name":"Milepost","value":"0.0218"},{"id":17,"name":"Train ID","value":"130-24"},{"id":16,"name":"Locomotive ID","value":"4027"},{"id":130,"name":"Impact","value":""},{"id":150,"name":"Time of Event (Mountain Time)","value":"08:49:56"},{"id":151,"name":"Denver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4027 --day 2017-10-24</v>
      </c>
      <c r="AN42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-24T07:07:24-0600',mode:absolute,to:'2017-10-24T09:49:56-0600'))&amp;_a=(columns:!('Message%20ID',Summary),filters:!(),index:'emp_*',interval:auto,query:(query_string:(analyze_wildcard:!t,query:'%22rtdc.l.rtdc.4027%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723</v>
      </c>
      <c r="B43" s="7">
        <v>4002</v>
      </c>
      <c r="C43" s="21" t="s">
        <v>194</v>
      </c>
      <c r="D43" s="21" t="s">
        <v>362</v>
      </c>
      <c r="E43" s="13">
        <v>43032.308020833334</v>
      </c>
      <c r="F43" s="13">
        <v>43032.313217592593</v>
      </c>
      <c r="G43" s="7">
        <v>56</v>
      </c>
      <c r="H43" s="21" t="s">
        <v>908</v>
      </c>
      <c r="I43" s="13">
        <v>43032.338437500002</v>
      </c>
      <c r="J43" s="7">
        <v>0</v>
      </c>
      <c r="K43" s="89" t="str">
        <f>IF(ISEVEN(B43),(B43-1)&amp;"/"&amp;B43,B43&amp;"/"&amp;(B43+1))</f>
        <v>4001/4002</v>
      </c>
      <c r="L43" s="185" t="str">
        <f>VLOOKUP(A43,'Trips&amp;Operators'!$C$1:$G$99911,5,FALSE)</f>
        <v>MACDONALD THOMAS</v>
      </c>
      <c r="M43" s="6">
        <f>I43-F43</f>
        <v>2.5219907409336884E-2</v>
      </c>
      <c r="N43" s="7">
        <f>24*60*SUM($M43:$M43)</f>
        <v>36.316666669445112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-24T06:23:33-0600',mode:absolute,to:'2017-10-24T09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4.5999999999999999E-2</v>
      </c>
      <c r="Z43" s="204">
        <f>RIGHT(H43,LEN(H43)-4)/10000</f>
        <v>23.328299999999999</v>
      </c>
      <c r="AA43" s="204">
        <f>ABS(Z43-Y43)</f>
        <v>23.282299999999999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/stypes="app*4002*20171024*"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131-24 --locoid 4002 --swversion DE.1.0.9.0 --startMP 204:460 --initTime 2017-10-24T07:23:33 --startdatetime 2017-10-24T07:31:02 --delay 56 --endMP 204:233283 --enddatetime 2017-10-24T08:07:21 --enforcementcount 0 &gt;&gt;%USERPROFILE%\Documents\GitHub\eaglep3-reporting\EC\2017-10-24-refined-times.txt</v>
      </c>
      <c r="AI43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{"issue":{"subject":"","project_id":79,"tracker_id":40,"status_id":1,"priority_id":2,"assigned_to_id":338,"start_date":"2017-10-24","description":"","custom_fields":[{"id":1,"name":"Subdivision","value":"EC"},{"id":4,"name":"Milepost","value":"23.3283"},{"id":17,"name":"Train ID","value":"131-24"},{"id":16,"name":"Locomotive ID","value":"4002"},{"id":130,"name":"Impact","value":""},{"id":150,"name":"Time of Event (Mountain Time)","value":"08:07:21"},{"id":151,"name":"Denver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4002 --day 2017-10-24</v>
      </c>
      <c r="AN43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-24T06:23:33-0600',mode:absolute,to:'2017-10-24T09:07:21-0600'))&amp;_a=(columns:!('Message%20ID',Summary),filters:!(),index:'emp_*',interval:auto,query:(query_string:(analyze_wildcard:!t,query:'%22rtdc.l.rtdc.4002%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734</v>
      </c>
      <c r="B44" s="7">
        <v>4001</v>
      </c>
      <c r="C44" s="21" t="s">
        <v>194</v>
      </c>
      <c r="D44" s="21" t="s">
        <v>909</v>
      </c>
      <c r="E44" s="13">
        <v>43032.350254629629</v>
      </c>
      <c r="F44" s="13">
        <v>43032.352511574078</v>
      </c>
      <c r="G44" s="7">
        <v>162</v>
      </c>
      <c r="H44" s="21" t="s">
        <v>354</v>
      </c>
      <c r="I44" s="13">
        <v>43032.378680555557</v>
      </c>
      <c r="J44" s="7">
        <v>0</v>
      </c>
      <c r="K44" s="89" t="str">
        <f>IF(ISEVEN(B44),(B44-1)&amp;"/"&amp;B44,B44&amp;"/"&amp;(B44+1))</f>
        <v>4001/4002</v>
      </c>
      <c r="L44" s="185" t="str">
        <f>VLOOKUP(A44,'Trips&amp;Operators'!$C$1:$G$99911,5,FALSE)</f>
        <v>MACDONALD THOMAS</v>
      </c>
      <c r="M44" s="6">
        <f>I44-F44</f>
        <v>2.6168981479713693E-2</v>
      </c>
      <c r="N44" s="7">
        <f>24*60*SUM($M44:$M44)</f>
        <v>37.683333330787718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-24T07:24:22-0600',mode:absolute,to:'2017-10-24T10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23.296199999999999</v>
      </c>
      <c r="Z44" s="204">
        <f>RIGHT(H44,LEN(H44)-4)/10000</f>
        <v>1.52E-2</v>
      </c>
      <c r="AA44" s="204">
        <f>ABS(Z44-Y44)</f>
        <v>23.280999999999999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/stypes="app*4001*20171024*"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132-24 --locoid 4001 --swversion DE.1.0.9.0 --startMP 204:232962 --initTime 2017-10-24T08:24:22 --startdatetime 2017-10-24T08:27:37 --delay 162 --endMP 204:152 --enddatetime 2017-10-24T09:05:18 --enforcementcount 0 &gt;&gt;%USERPROFILE%\Documents\GitHub\eaglep3-reporting\EC\2017-10-24-refined-times.txt</v>
      </c>
      <c r="AI44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{"issue":{"subject":"","project_id":79,"tracker_id":40,"status_id":1,"priority_id":2,"assigned_to_id":338,"start_date":"2017-10-24","description":"","custom_fields":[{"id":1,"name":"Subdivision","value":"EC"},{"id":4,"name":"Milepost","value":"0.0152"},{"id":17,"name":"Train ID","value":"132-24"},{"id":16,"name":"Locomotive ID","value":"4001"},{"id":130,"name":"Impact","value":""},{"id":150,"name":"Time of Event (Mountain Time)","value":"09:05:18"},{"id":151,"name":"Denver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4001 --day 2017-10-24</v>
      </c>
      <c r="AN44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-24T07:24:22-0600',mode:absolute,to:'2017-10-24T10:05:18-0600'))&amp;_a=(columns:!('Message%20ID',Summary),filters:!(),index:'emp_*',interval:auto,query:(query_string:(analyze_wildcard:!t,query:'%22rtdc.l.rtdc.4001%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727</v>
      </c>
      <c r="B45" s="7">
        <v>4026</v>
      </c>
      <c r="C45" s="21" t="s">
        <v>194</v>
      </c>
      <c r="D45" s="21" t="s">
        <v>611</v>
      </c>
      <c r="E45" s="13">
        <v>43032.320486111108</v>
      </c>
      <c r="F45" s="13">
        <v>43032.323113425926</v>
      </c>
      <c r="G45" s="7">
        <v>51</v>
      </c>
      <c r="H45" s="21" t="s">
        <v>410</v>
      </c>
      <c r="I45" s="13">
        <v>43032.349305555559</v>
      </c>
      <c r="J45" s="7">
        <v>0</v>
      </c>
      <c r="K45" s="89" t="str">
        <f>IF(ISEVEN(B45),(B45-1)&amp;"/"&amp;B45,B45&amp;"/"&amp;(B45+1))</f>
        <v>4025/4026</v>
      </c>
      <c r="L45" s="185" t="str">
        <f>VLOOKUP(A45,'Trips&amp;Operators'!$C$1:$G$99911,5,FALSE)</f>
        <v>THOMPSON LESTER</v>
      </c>
      <c r="M45" s="6">
        <f>I45-F45</f>
        <v>2.6192129633272998E-2</v>
      </c>
      <c r="N45" s="7">
        <f>24*60*SUM($M45:$M45)</f>
        <v>37.716666671913117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-24T06:41:30-0600',mode:absolute,to:'2017-10-24T09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4.3799999999999999E-2</v>
      </c>
      <c r="Z45" s="204">
        <f>RIGHT(H45,LEN(H45)-4)/10000</f>
        <v>23.329699999999999</v>
      </c>
      <c r="AA45" s="204">
        <f>ABS(Z45-Y45)</f>
        <v>23.285899999999998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/stypes="app*4026*20171024*"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133-24 --locoid 4026 --swversion DE.1.0.9.0 --startMP 204:438 --initTime 2017-10-24T07:41:30 --startdatetime 2017-10-24T07:45:17 --delay 51 --endMP 204:233297 --enddatetime 2017-10-24T08:23:00 --enforcementcount 0 &gt;&gt;%USERPROFILE%\Documents\GitHub\eaglep3-reporting\EC\2017-10-24-refined-times.txt</v>
      </c>
      <c r="AI4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{"issue":{"subject":"","project_id":79,"tracker_id":40,"status_id":1,"priority_id":2,"assigned_to_id":338,"start_date":"2017-10-24","description":"","custom_fields":[{"id":1,"name":"Subdivision","value":"EC"},{"id":4,"name":"Milepost","value":"23.3297"},{"id":17,"name":"Train ID","value":"133-24"},{"id":16,"name":"Locomotive ID","value":"4026"},{"id":130,"name":"Impact","value":""},{"id":150,"name":"Time of Event (Mountain Time)","value":"08:23:00"},{"id":151,"name":"Denver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4026 --day 2017-10-24</v>
      </c>
      <c r="AN4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-24T06:41:30-0600',mode:absolute,to:'2017-10-24T09:23:00-0600'))&amp;_a=(columns:!('Message%20ID',Summary),filters:!(),index:'emp_*',interval:auto,query:(query_string:(analyze_wildcard:!t,query:'%22rtdc.l.rtdc.4026%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656</v>
      </c>
      <c r="B46" s="7">
        <v>4025</v>
      </c>
      <c r="C46" s="21" t="s">
        <v>194</v>
      </c>
      <c r="D46" s="21" t="s">
        <v>910</v>
      </c>
      <c r="E46" s="13">
        <v>43032.359884259262</v>
      </c>
      <c r="F46" s="13">
        <v>43032.36278935185</v>
      </c>
      <c r="G46" s="7">
        <v>64</v>
      </c>
      <c r="H46" s="21" t="s">
        <v>406</v>
      </c>
      <c r="I46" s="13">
        <v>43032.390509259261</v>
      </c>
      <c r="J46" s="7">
        <v>0</v>
      </c>
      <c r="K46" s="89" t="str">
        <f>IF(ISEVEN(B46),(B46-1)&amp;"/"&amp;B46,B46&amp;"/"&amp;(B46+1))</f>
        <v>4025/4026</v>
      </c>
      <c r="L46" s="185" t="str">
        <f>VLOOKUP(A46,'Trips&amp;Operators'!$C$1:$G$99911,5,FALSE)</f>
        <v>THOMPSON LESTER</v>
      </c>
      <c r="M46" s="6">
        <f>I46-F46</f>
        <v>2.771990741166519E-2</v>
      </c>
      <c r="N46" s="7">
        <f>24*60*SUM($M46:$M46)</f>
        <v>39.916666672797874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-24T07:38:14-0600',mode:absolute,to:'2017-10-24T10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23.298200000000001</v>
      </c>
      <c r="Z46" s="204">
        <f>RIGHT(H46,LEN(H46)-4)/10000</f>
        <v>1.3599999999999999E-2</v>
      </c>
      <c r="AA46" s="204">
        <f>ABS(Z46-Y46)</f>
        <v>23.284600000000001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/stypes="app*4025*20171024*"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134-24 --locoid 4025 --swversion DE.1.0.9.0 --startMP 204:232982 --initTime 2017-10-24T08:38:14 --startdatetime 2017-10-24T08:42:25 --delay 64 --endMP 204:136 --enddatetime 2017-10-24T09:22:20 --enforcementcount 0 &gt;&gt;%USERPROFILE%\Documents\GitHub\eaglep3-reporting\EC\2017-10-24-refined-times.txt</v>
      </c>
      <c r="AI4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{"issue":{"subject":"","project_id":79,"tracker_id":40,"status_id":1,"priority_id":2,"assigned_to_id":338,"start_date":"2017-10-24","description":"","custom_fields":[{"id":1,"name":"Subdivision","value":"EC"},{"id":4,"name":"Milepost","value":"0.0136"},{"id":17,"name":"Train ID","value":"134-24"},{"id":16,"name":"Locomotive ID","value":"4025"},{"id":130,"name":"Impact","value":""},{"id":150,"name":"Time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4025 --day 2017-10-24</v>
      </c>
      <c r="AN4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-24T07:38:14-0600',mode:absolute,to:'2017-10-24T10:22:20-0600'))&amp;_a=(columns:!('Message%20ID',Summary),filters:!(),index:'emp_*',interval:auto,query:(query_string:(analyze_wildcard:!t,query:'%22rtdc.l.rtdc.4025%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729</v>
      </c>
      <c r="B47" s="7">
        <v>4060</v>
      </c>
      <c r="C47" s="21" t="s">
        <v>194</v>
      </c>
      <c r="D47" s="21" t="s">
        <v>606</v>
      </c>
      <c r="E47" s="13">
        <v>43032.330289351848</v>
      </c>
      <c r="F47" s="13">
        <v>43032.333692129629</v>
      </c>
      <c r="G47" s="7">
        <v>78</v>
      </c>
      <c r="H47" s="21" t="s">
        <v>391</v>
      </c>
      <c r="I47" s="13">
        <v>43032.358518518522</v>
      </c>
      <c r="J47" s="7">
        <v>0</v>
      </c>
      <c r="K47" s="89" t="str">
        <f>IF(ISEVEN(B47),(B47-1)&amp;"/"&amp;B47,B47&amp;"/"&amp;(B47+1))</f>
        <v>4059/4060</v>
      </c>
      <c r="L47" s="185" t="str">
        <f>VLOOKUP(A47,'Trips&amp;Operators'!$C$1:$G$99911,5,FALSE)</f>
        <v>BARRON PERLA</v>
      </c>
      <c r="M47" s="6">
        <f>I47-F47</f>
        <v>2.4826388893416151E-2</v>
      </c>
      <c r="N47" s="7">
        <f>24*60*SUM($M47:$M47)</f>
        <v>35.750000006519258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-24T06:55:37-0600',mode:absolute,to:'2017-10-24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4.3700000000000003E-2</v>
      </c>
      <c r="Z47" s="204">
        <f>RIGHT(H47,LEN(H47)-4)/10000</f>
        <v>23.331399999999999</v>
      </c>
      <c r="AA47" s="204">
        <f>ABS(Z47-Y47)</f>
        <v>23.287699999999997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/stypes="app*4060*20171024*"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135-24 --locoid 4060 --swversion DE.1.0.9.0 --startMP 204:437 --initTime 2017-10-24T07:55:37 --startdatetime 2017-10-24T08:00:31 --delay 78 --endMP 204:233314 --enddatetime 2017-10-24T08:36:16 --enforcementcount 0 &gt;&gt;%USERPROFILE%\Documents\GitHub\eaglep3-reporting\EC\2017-10-24-refined-times.txt</v>
      </c>
      <c r="AI47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{"issue":{"subject":"","project_id":79,"tracker_id":40,"status_id":1,"priority_id":2,"assigned_to_id":338,"start_date":"2017-10-24","description":"","custom_fields":[{"id":1,"name":"Subdivision","value":"EC"},{"id":4,"name":"Milepost","value":"23.3314"},{"id":17,"name":"Train ID","value":"135-24"},{"id":16,"name":"Locomotive ID","value":"4060"},{"id":130,"name":"Impact","value":""},{"id":150,"name":"Time of Event (Mountain Time)","value":"08:36:16"},{"id":151,"name":"Denver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4060 --day 2017-10-24</v>
      </c>
      <c r="AN47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-24T06:55:37-0600',mode:absolute,to:'2017-10-24T09:36:16-0600'))&amp;_a=(columns:!('Message%20ID',Summary),filters:!(),index:'emp_*',interval:auto,query:(query_string:(analyze_wildcard:!t,query:'%22rtdc.l.rtdc.4060%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739</v>
      </c>
      <c r="B48" s="7">
        <v>4059</v>
      </c>
      <c r="C48" s="21" t="s">
        <v>194</v>
      </c>
      <c r="D48" s="21" t="s">
        <v>400</v>
      </c>
      <c r="E48" s="13">
        <v>43032.360856481479</v>
      </c>
      <c r="F48" s="13">
        <v>43032.373090277775</v>
      </c>
      <c r="G48" s="7">
        <v>60</v>
      </c>
      <c r="H48" s="21" t="s">
        <v>612</v>
      </c>
      <c r="I48" s="13">
        <v>43032.399525462963</v>
      </c>
      <c r="J48" s="7">
        <v>0</v>
      </c>
      <c r="K48" s="89" t="str">
        <f>IF(ISEVEN(B48),(B48-1)&amp;"/"&amp;B48,B48&amp;"/"&amp;(B48+1))</f>
        <v>4059/4060</v>
      </c>
      <c r="L48" s="185" t="str">
        <f>VLOOKUP(A48,'Trips&amp;Operators'!$C$1:$G$99911,5,FALSE)</f>
        <v>BARRON PERLA</v>
      </c>
      <c r="M48" s="6">
        <f>I48-F48</f>
        <v>2.6435185187438037E-2</v>
      </c>
      <c r="N48" s="7">
        <f>24*60*SUM($M48:$M48)</f>
        <v>38.066666669910774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-24T07:39:38-0600',mode:absolute,to:'2017-10-24T10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23.2989</v>
      </c>
      <c r="Z48" s="204">
        <f>RIGHT(H48,LEN(H48)-4)/10000</f>
        <v>1.6E-2</v>
      </c>
      <c r="AA48" s="204">
        <f>ABS(Z48-Y48)</f>
        <v>23.282900000000001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/stypes="app*4059*20171024*"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136-24 --locoid 4059 --swversion DE.1.0.9.0 --startMP 204:232989 --initTime 2017-10-24T08:39:38 --startdatetime 2017-10-24T08:57:15 --delay 60 --endMP 204:160 --enddatetime 2017-10-24T09:35:19 --enforcementcount 0 &gt;&gt;%USERPROFILE%\Documents\GitHub\eaglep3-reporting\EC\2017-10-24-refined-times.txt</v>
      </c>
      <c r="AI48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{"issue":{"subject":"","project_id":79,"tracker_id":40,"status_id":1,"priority_id":2,"assigned_to_id":338,"start_date":"2017-10-24","description":"","custom_fields":[{"id":1,"name":"Subdivision","value":"EC"},{"id":4,"name":"Milepost","value":"0.016"},{"id":17,"name":"Train ID","value":"136-24"},{"id":16,"name":"Locomotive ID","value":"4059"},{"id":130,"name":"Impact","value":""},{"id":150,"name":"Time of Event (Mountain Time)","value":"09:35:19"},{"id":151,"name":"Denver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4059 --day 2017-10-24</v>
      </c>
      <c r="AN48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-24T07:39:38-0600',mode:absolute,to:'2017-10-24T10:35:19-0600'))&amp;_a=(columns:!('Message%20ID',Summary),filters:!(),index:'emp_*',interval:auto,query:(query_string:(analyze_wildcard:!t,query:'%22rtdc.l.rtdc.4059%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731</v>
      </c>
      <c r="B49" s="7">
        <v>4010</v>
      </c>
      <c r="C49" s="21" t="s">
        <v>194</v>
      </c>
      <c r="D49" s="21" t="s">
        <v>398</v>
      </c>
      <c r="E49" s="13">
        <v>43032.340590277781</v>
      </c>
      <c r="F49" s="13">
        <v>43032.343946759262</v>
      </c>
      <c r="G49" s="7">
        <v>82</v>
      </c>
      <c r="H49" s="21" t="s">
        <v>613</v>
      </c>
      <c r="I49" s="13">
        <v>43032.368402777778</v>
      </c>
      <c r="J49" s="7">
        <v>0</v>
      </c>
      <c r="K49" s="89" t="str">
        <f>IF(ISEVEN(B49),(B49-1)&amp;"/"&amp;B49,B49&amp;"/"&amp;(B49+1))</f>
        <v>4009/4010</v>
      </c>
      <c r="L49" s="185" t="str">
        <f>VLOOKUP(A49,'Trips&amp;Operators'!$C$1:$G$99911,5,FALSE)</f>
        <v>LAMAR NEKESHA</v>
      </c>
      <c r="M49" s="6">
        <f>I49-F49</f>
        <v>2.4456018516502809E-2</v>
      </c>
      <c r="N49" s="7">
        <f>24*60*SUM($M49:$M49)</f>
        <v>35.216666663764045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-24T07:10:27-0600',mode:absolute,to:'2017-10-24T09:50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4.4200000000000003E-2</v>
      </c>
      <c r="Z49" s="204">
        <f>RIGHT(H49,LEN(H49)-4)/10000</f>
        <v>23.329499999999999</v>
      </c>
      <c r="AA49" s="204">
        <f>ABS(Z49-Y49)</f>
        <v>23.285299999999999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/stypes="app*4010*20171024*"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137-24 --locoid 4010 --swversion DE.1.0.9.0 --startMP 204:442 --initTime 2017-10-24T08:10:27 --startdatetime 2017-10-24T08:15:17 --delay 82 --endMP 204:233295 --enddatetime 2017-10-24T08:50:30 --enforcementcount 0 &gt;&gt;%USERPROFILE%\Documents\GitHub\eaglep3-reporting\EC\2017-10-24-refined-times.txt</v>
      </c>
      <c r="AI49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{"issue":{"subject":"","project_id":79,"tracker_id":40,"status_id":1,"priority_id":2,"assigned_to_id":338,"start_date":"2017-10-24","description":"","custom_fields":[{"id":1,"name":"Subdivision","value":"EC"},{"id":4,"name":"Milepost","value":"23.3295"},{"id":17,"name":"Train ID","value":"137-24"},{"id":16,"name":"Locomotive ID","value":"4010"},{"id":130,"name":"Impact","value":""},{"id":150,"name":"Time of Event (Mountain Time)","value":"08:50:30"},{"id":151,"name":"Denver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4010 --day 2017-10-24</v>
      </c>
      <c r="AN49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14:50:30"},{"id":29,"name":"Sharepoint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-24T07:10:27-0600',mode:absolute,to:'2017-10-24T09:50:30-0600'))&amp;_a=(columns:!('Message%20ID',Summary),filters:!(),index:'emp_*',interval:auto,query:(query_string:(analyze_wildcard:!t,query:'%22rtdc.l.rtdc.4010%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742</v>
      </c>
      <c r="B50" s="7">
        <v>4009</v>
      </c>
      <c r="C50" s="21" t="s">
        <v>194</v>
      </c>
      <c r="D50" s="21" t="s">
        <v>428</v>
      </c>
      <c r="E50" s="13">
        <v>43032.380393518521</v>
      </c>
      <c r="F50" s="13">
        <v>43032.383506944447</v>
      </c>
      <c r="G50" s="7">
        <v>74</v>
      </c>
      <c r="H50" s="21" t="s">
        <v>911</v>
      </c>
      <c r="I50" s="13">
        <v>43032.409675925926</v>
      </c>
      <c r="J50" s="7">
        <v>0</v>
      </c>
      <c r="K50" s="89" t="str">
        <f>IF(ISEVEN(B50),(B50-1)&amp;"/"&amp;B50,B50&amp;"/"&amp;(B50+1))</f>
        <v>4009/4010</v>
      </c>
      <c r="L50" s="185" t="str">
        <f>VLOOKUP(A50,'Trips&amp;Operators'!$C$1:$G$99911,5,FALSE)</f>
        <v>LAMAR NEKESHA</v>
      </c>
      <c r="M50" s="6">
        <f>I50-F50</f>
        <v>2.6168981479713693E-2</v>
      </c>
      <c r="N50" s="7">
        <f>24*60*SUM($M50:$M50)</f>
        <v>37.683333330787718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-24T08:07:46-0600',mode:absolute,to:'2017-10-24T10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23.2988</v>
      </c>
      <c r="Z50" s="204">
        <f>RIGHT(H50,LEN(H50)-4)/10000</f>
        <v>1.6500000000000001E-2</v>
      </c>
      <c r="AA50" s="204">
        <f>ABS(Z50-Y50)</f>
        <v>23.282299999999999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/stypes="app*4009*20171024*"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138-24 --locoid 4009 --swversion DE.1.0.9.0 --startMP 204:232988 --initTime 2017-10-24T09:07:46 --startdatetime 2017-10-24T09:12:15 --delay 74 --endMP 204:165 --enddatetime 2017-10-24T09:49:56 --enforcementcount 0 &gt;&gt;%USERPROFILE%\Documents\GitHub\eaglep3-reporting\EC\2017-10-24-refined-times.txt</v>
      </c>
      <c r="AI50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{"issue":{"subject":"","project_id":79,"tracker_id":40,"status_id":1,"priority_id":2,"assigned_to_id":338,"start_date":"2017-10-24","description":"","custom_fields":[{"id":1,"name":"Subdivision","value":"EC"},{"id":4,"name":"Milepost","value":"0.0165"},{"id":17,"name":"Train ID","value":"138-24"},{"id":16,"name":"Locomotive ID","value":"4009"},{"id":130,"name":"Impact","value":""},{"id":150,"name":"Time of Event (Mountain Time)","value":"09:49:56"},{"id":151,"name":"Denver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4009 --day 2017-10-24</v>
      </c>
      <c r="AN50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-24T08:07:46-0600',mode:absolute,to:'2017-10-24T10:49:56-0600'))&amp;_a=(columns:!('Message%20ID',Summary),filters:!(),index:'emp_*',interval:auto,query:(query_string:(analyze_wildcard:!t,query:'%22rtdc.l.rtdc.4009%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732</v>
      </c>
      <c r="B51" s="7">
        <v>4016</v>
      </c>
      <c r="C51" s="21" t="s">
        <v>194</v>
      </c>
      <c r="D51" s="21" t="s">
        <v>611</v>
      </c>
      <c r="E51" s="13">
        <v>43032.348668981482</v>
      </c>
      <c r="F51" s="13">
        <v>43032.354548611111</v>
      </c>
      <c r="G51" s="7">
        <v>90</v>
      </c>
      <c r="H51" s="21" t="s">
        <v>619</v>
      </c>
      <c r="I51" s="13">
        <v>43032.379652777781</v>
      </c>
      <c r="J51" s="7">
        <v>0</v>
      </c>
      <c r="K51" s="89" t="str">
        <f>IF(ISEVEN(B51),(B51-1)&amp;"/"&amp;B51,B51&amp;"/"&amp;(B51+1))</f>
        <v>4015/4016</v>
      </c>
      <c r="L51" s="185" t="str">
        <f>VLOOKUP(A51,'Trips&amp;Operators'!$C$1:$G$99911,5,FALSE)</f>
        <v>ROCHA YAOTL</v>
      </c>
      <c r="M51" s="6">
        <f>I51-F51</f>
        <v>2.510416667064419E-2</v>
      </c>
      <c r="N51" s="7">
        <f>24*60*SUM($M51:$M51)</f>
        <v>36.150000005727634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-24T07:22:05-0600',mode:absolute,to:'2017-10-24T10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4.3799999999999999E-2</v>
      </c>
      <c r="Z51" s="204">
        <f>RIGHT(H51,LEN(H51)-4)/10000</f>
        <v>23.329799999999999</v>
      </c>
      <c r="AA51" s="204">
        <f>ABS(Z51-Y51)</f>
        <v>23.285999999999998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/stypes="app*4016*20171024*"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139-24 --locoid 4016 --swversion DE.1.0.9.0 --startMP 204:438 --initTime 2017-10-24T08:22:05 --startdatetime 2017-10-24T08:30:33 --delay 90 --endMP 204:233298 --enddatetime 2017-10-24T09:06:42 --enforcementcount 0 &gt;&gt;%USERPROFILE%\Documents\GitHub\eaglep3-reporting\EC\2017-10-24-refined-times.txt</v>
      </c>
      <c r="AI51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{"issue":{"subject":"","project_id":79,"tracker_id":40,"status_id":1,"priority_id":2,"assigned_to_id":338,"start_date":"2017-10-24","description":"","custom_fields":[{"id":1,"name":"Subdivision","value":"EC"},{"id":4,"name":"Milepost","value":"23.3298"},{"id":17,"name":"Train ID","value":"139-24"},{"id":16,"name":"Locomotive ID","value":"4016"},{"id":130,"name":"Impact","value":""},{"id":150,"name":"Time of Event (Mountain Time)","value":"09:06:42"},{"id":151,"name":"Denver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4016 --day 2017-10-24</v>
      </c>
      <c r="AN51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-24T07:22:05-0600',mode:absolute,to:'2017-10-24T10:06:42-0600'))&amp;_a=(columns:!('Message%20ID',Summary),filters:!(),index:'emp_*',interval:auto,query:(query_string:(analyze_wildcard:!t,query:'%22rtdc.l.rtdc.4016%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745</v>
      </c>
      <c r="B52" s="7">
        <v>4015</v>
      </c>
      <c r="C52" s="21" t="s">
        <v>194</v>
      </c>
      <c r="D52" s="21" t="s">
        <v>400</v>
      </c>
      <c r="E52" s="13">
        <v>43032.391956018517</v>
      </c>
      <c r="F52" s="13">
        <v>43032.393923611111</v>
      </c>
      <c r="G52" s="7">
        <v>66</v>
      </c>
      <c r="H52" s="21" t="s">
        <v>336</v>
      </c>
      <c r="I52" s="13">
        <v>43032.419768518521</v>
      </c>
      <c r="J52" s="7">
        <v>0</v>
      </c>
      <c r="K52" s="89" t="str">
        <f>IF(ISEVEN(B52),(B52-1)&amp;"/"&amp;B52,B52&amp;"/"&amp;(B52+1))</f>
        <v>4015/4016</v>
      </c>
      <c r="L52" s="185" t="str">
        <f>VLOOKUP(A52,'Trips&amp;Operators'!$C$1:$G$99911,5,FALSE)</f>
        <v>ROCHA YAOTL</v>
      </c>
      <c r="M52" s="6">
        <f>I52-F52</f>
        <v>2.584490740991896E-2</v>
      </c>
      <c r="N52" s="7">
        <f>24*60*SUM($M52:$M52)</f>
        <v>37.216666670283303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-24T08:24:25-0600',mode:absolute,to:'2017-10-24T11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23.2989</v>
      </c>
      <c r="Z52" s="204">
        <f>RIGHT(H52,LEN(H52)-4)/10000</f>
        <v>1.49E-2</v>
      </c>
      <c r="AA52" s="204">
        <f>ABS(Z52-Y52)</f>
        <v>23.283999999999999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/stypes="app*4015*20171024*"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140-24 --locoid 4015 --swversion DE.1.0.9.0 --startMP 204:232989 --initTime 2017-10-24T09:24:25 --startdatetime 2017-10-24T09:27:15 --delay 66 --endMP 204:149 --enddatetime 2017-10-24T10:04:28 --enforcementcount 0 &gt;&gt;%USERPROFILE%\Documents\GitHub\eaglep3-reporting\EC\2017-10-24-refined-times.txt</v>
      </c>
      <c r="AI52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{"issue":{"subject":"","project_id":79,"tracker_id":40,"status_id":1,"priority_id":2,"assigned_to_id":338,"start_date":"2017-10-24","description":"","custom_fields":[{"id":1,"name":"Subdivision","value":"EC"},{"id":4,"name":"Milepost","value":"0.0149"},{"id":17,"name":"Train ID","value":"140-24"},{"id":16,"name":"Locomotive ID","value":"4015"},{"id":130,"name":"Impact","value":""},{"id":150,"name":"Time of Event (Mountain Time)","value":"10:04:28"},{"id":151,"name":"Denver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4015 --day 2017-10-24</v>
      </c>
      <c r="AN52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-24T08:24:25-0600',mode:absolute,to:'2017-10-24T11:04:28-0600'))&amp;_a=(columns:!('Message%20ID',Summary),filters:!(),index:'emp_*',interval:auto,query:(query_string:(analyze_wildcard:!t,query:'%22rtdc.l.rtdc.4015%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736</v>
      </c>
      <c r="B53" s="7">
        <v>4058</v>
      </c>
      <c r="C53" s="21" t="s">
        <v>194</v>
      </c>
      <c r="D53" s="21" t="s">
        <v>912</v>
      </c>
      <c r="E53" s="13">
        <v>43032.359525462962</v>
      </c>
      <c r="F53" s="13">
        <v>43032.364791666667</v>
      </c>
      <c r="G53" s="7">
        <v>45</v>
      </c>
      <c r="H53" s="21" t="s">
        <v>410</v>
      </c>
      <c r="I53" s="13">
        <v>43032.388645833336</v>
      </c>
      <c r="J53" s="7">
        <v>0</v>
      </c>
      <c r="K53" s="89" t="str">
        <f>IF(ISEVEN(B53),(B53-1)&amp;"/"&amp;B53,B53&amp;"/"&amp;(B53+1))</f>
        <v>4057/4058</v>
      </c>
      <c r="L53" s="185" t="str">
        <f>VLOOKUP(A53,'Trips&amp;Operators'!$C$1:$G$99911,5,FALSE)</f>
        <v>YANAI IAN</v>
      </c>
      <c r="M53" s="6">
        <f>I53-F53</f>
        <v>2.3854166669480037E-2</v>
      </c>
      <c r="N53" s="7">
        <f>24*60*SUM($M53:$M53)</f>
        <v>34.350000004051253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-24T07:37:43-0600',mode:absolute,to:'2017-10-24T10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6.3899999999999998E-2</v>
      </c>
      <c r="Z53" s="204">
        <f>RIGHT(H53,LEN(H53)-4)/10000</f>
        <v>23.329699999999999</v>
      </c>
      <c r="AA53" s="204">
        <f>ABS(Z53-Y53)</f>
        <v>23.265799999999999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/stypes="app*4058*20171024*"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141-24 --locoid 4058 --swversion DE.1.0.9.0 --startMP 204:639 --initTime 2017-10-24T08:37:43 --startdatetime 2017-10-24T08:45:18 --delay 45 --endMP 204:233297 --enddatetime 2017-10-24T09:19:39 --enforcementcount 0 &gt;&gt;%USERPROFILE%\Documents\GitHub\eaglep3-reporting\EC\2017-10-24-refined-times.txt</v>
      </c>
      <c r="AI53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{"issue":{"subject":"","project_id":79,"tracker_id":40,"status_id":1,"priority_id":2,"assigned_to_id":338,"start_date":"2017-10-24","description":"","custom_fields":[{"id":1,"name":"Subdivision","value":"EC"},{"id":4,"name":"Milepost","value":"23.3297"},{"id":17,"name":"Train ID","value":"141-24"},{"id":16,"name":"Locomotive ID","value":"4058"},{"id":130,"name":"Impact","value":""},{"id":150,"name":"Time of Event (Mountain Time)","value":"09:19:39"},{"id":151,"name":"Denver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4058 --day 2017-10-24</v>
      </c>
      <c r="AN53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-24T07:37:43-0600',mode:absolute,to:'2017-10-24T10:19:39-0600'))&amp;_a=(columns:!('Message%20ID',Summary),filters:!(),index:'emp_*',interval:auto,query:(query_string:(analyze_wildcard:!t,query:'%22rtdc.l.rtdc.4058%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744</v>
      </c>
      <c r="B54" s="7">
        <v>4057</v>
      </c>
      <c r="C54" s="21" t="s">
        <v>194</v>
      </c>
      <c r="D54" s="21" t="s">
        <v>614</v>
      </c>
      <c r="E54" s="13">
        <v>43032.389791666668</v>
      </c>
      <c r="F54" s="13">
        <v>43032.404421296298</v>
      </c>
      <c r="G54" s="7">
        <v>95</v>
      </c>
      <c r="H54" s="21" t="s">
        <v>407</v>
      </c>
      <c r="I54" s="13">
        <v>43032.430300925924</v>
      </c>
      <c r="J54" s="7">
        <v>0</v>
      </c>
      <c r="K54" s="89" t="str">
        <f>IF(ISEVEN(B54),(B54-1)&amp;"/"&amp;B54,B54&amp;"/"&amp;(B54+1))</f>
        <v>4057/4058</v>
      </c>
      <c r="L54" s="185" t="str">
        <f>VLOOKUP(A54,'Trips&amp;Operators'!$C$1:$G$99911,5,FALSE)</f>
        <v>YANAI IAN</v>
      </c>
      <c r="M54" s="6">
        <f>I54-F54</f>
        <v>2.5879629625706002E-2</v>
      </c>
      <c r="N54" s="7">
        <f>24*60*SUM($M54:$M54)</f>
        <v>37.266666661016643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-24T08:21:18-0600',mode:absolute,to:'2017-10-24T11:19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23.297699999999999</v>
      </c>
      <c r="Z54" s="204">
        <f>RIGHT(H54,LEN(H54)-4)/10000</f>
        <v>1.41E-2</v>
      </c>
      <c r="AA54" s="204">
        <f>ABS(Z54-Y54)</f>
        <v>23.2836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/stypes="app*4057*20171024*"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142-24 --locoid 4057 --swversion DE.1.0.9.0 --startMP 204:232977 --initTime 2017-10-24T09:21:18 --startdatetime 2017-10-24T09:42:22 --delay 95 --endMP 204:141 --enddatetime 2017-10-24T10:19:38 --enforcementcount 0 &gt;&gt;%USERPROFILE%\Documents\GitHub\eaglep3-reporting\EC\2017-10-24-refined-times.txt</v>
      </c>
      <c r="AI54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{"issue":{"subject":"","project_id":79,"tracker_id":40,"status_id":1,"priority_id":2,"assigned_to_id":338,"start_date":"2017-10-24","description":"","custom_fields":[{"id":1,"name":"Subdivision","value":"EC"},{"id":4,"name":"Milepost","value":"0.0141"},{"id":17,"name":"Train ID","value":"142-24"},{"id":16,"name":"Locomotive ID","value":"4057"},{"id":130,"name":"Impact","value":""},{"id":150,"name":"Time of Event (Mountain Time)","value":"10:19:38"},{"id":151,"name":"Denver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4057 --day 2017-10-24</v>
      </c>
      <c r="AN54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16:19:38"},{"id":29,"name":"Sharepoint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-24T08:21:18-0600',mode:absolute,to:'2017-10-24T11:19:38-0600'))&amp;_a=(columns:!('Message%20ID',Summary),filters:!(),index:'emp_*',interval:auto,query:(query_string:(analyze_wildcard:!t,query:'%22rtdc.l.rtdc.4057%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657</v>
      </c>
      <c r="B55" s="7">
        <v>4028</v>
      </c>
      <c r="C55" s="21" t="s">
        <v>194</v>
      </c>
      <c r="D55" s="21" t="s">
        <v>913</v>
      </c>
      <c r="E55" s="13">
        <v>43032.370405092595</v>
      </c>
      <c r="F55" s="13">
        <v>43032.375567129631</v>
      </c>
      <c r="G55" s="7">
        <v>52</v>
      </c>
      <c r="H55" s="21" t="s">
        <v>603</v>
      </c>
      <c r="I55" s="13">
        <v>43032.400462962964</v>
      </c>
      <c r="J55" s="7">
        <v>0</v>
      </c>
      <c r="K55" s="89" t="str">
        <f>IF(ISEVEN(B55),(B55-1)&amp;"/"&amp;B55,B55&amp;"/"&amp;(B55+1))</f>
        <v>4027/4028</v>
      </c>
      <c r="L55" s="185" t="str">
        <f>VLOOKUP(A55,'Trips&amp;Operators'!$C$1:$G$99911,5,FALSE)</f>
        <v>BONDS REYNALDO</v>
      </c>
      <c r="M55" s="6">
        <f>I55-F55</f>
        <v>2.4895833332266193E-2</v>
      </c>
      <c r="N55" s="7">
        <f>24*60*SUM($M55:$M55)</f>
        <v>35.849999998463318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-24T07:53:23-0600',mode:absolute,to:'2017-10-24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5.3499999999999999E-2</v>
      </c>
      <c r="Z55" s="204">
        <f>RIGHT(H55,LEN(H55)-4)/10000</f>
        <v>23.326799999999999</v>
      </c>
      <c r="AA55" s="204">
        <f>ABS(Z55-Y55)</f>
        <v>23.273299999999999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/stypes="app*4028*20171024*"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143-24 --locoid 4028 --swversion DE.1.0.9.0 --startMP 204:535 --initTime 2017-10-24T08:53:23 --startdatetime 2017-10-24T09:00:49 --delay 52 --endMP 204:233268 --enddatetime 2017-10-24T09:36:40 --enforcementcount 0 &gt;&gt;%USERPROFILE%\Documents\GitHub\eaglep3-reporting\EC\2017-10-24-refined-times.txt</v>
      </c>
      <c r="AI5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{"issue":{"subject":"","project_id":79,"tracker_id":40,"status_id":1,"priority_id":2,"assigned_to_id":338,"start_date":"2017-10-24","description":"","custom_fields":[{"id":1,"name":"Subdivision","value":"EC"},{"id":4,"name":"Milepost","value":"23.3268"},{"id":17,"name":"Train ID","value":"143-24"},{"id":16,"name":"Locomotive ID","value":"4028"},{"id":130,"name":"Impact","value":""},{"id":150,"name":"Time of Event (Mountain Time)","value":"09:36:40"},{"id":151,"name":"Denver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4028 --day 2017-10-24</v>
      </c>
      <c r="AN5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-24T07:53:23-0600',mode:absolute,to:'2017-10-24T10:36:40-0600'))&amp;_a=(columns:!('Message%20ID',Summary),filters:!(),index:'emp_*',interval:auto,query:(query_string:(analyze_wildcard:!t,query:'%22rtdc.l.rtdc.4028%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748</v>
      </c>
      <c r="B56" s="7">
        <v>4027</v>
      </c>
      <c r="C56" s="21" t="s">
        <v>194</v>
      </c>
      <c r="D56" s="21" t="s">
        <v>914</v>
      </c>
      <c r="E56" s="13">
        <v>43032.410555555558</v>
      </c>
      <c r="F56" s="13">
        <v>43032.414756944447</v>
      </c>
      <c r="G56" s="7">
        <v>51</v>
      </c>
      <c r="H56" s="21" t="s">
        <v>337</v>
      </c>
      <c r="I56" s="13">
        <v>43032.441111111111</v>
      </c>
      <c r="J56" s="7">
        <v>0</v>
      </c>
      <c r="K56" s="89" t="str">
        <f>IF(ISEVEN(B56),(B56-1)&amp;"/"&amp;B56,B56&amp;"/"&amp;(B56+1))</f>
        <v>4027/4028</v>
      </c>
      <c r="L56" s="185" t="str">
        <f>VLOOKUP(A56,'Trips&amp;Operators'!$C$1:$G$99911,5,FALSE)</f>
        <v>BONDS REYNALDO</v>
      </c>
      <c r="M56" s="6">
        <f>I56-F56</f>
        <v>2.6354166664532386E-2</v>
      </c>
      <c r="N56" s="7">
        <f>24*60*SUM($M56:$M56)</f>
        <v>37.949999996926636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-24T08:51:12-0600',mode:absolute,to:'2017-10-24T11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23.2943</v>
      </c>
      <c r="Z56" s="204">
        <f>RIGHT(H56,LEN(H56)-4)/10000</f>
        <v>1.43E-2</v>
      </c>
      <c r="AA56" s="204">
        <f>ABS(Z56-Y56)</f>
        <v>23.28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/stypes="app*4027*20171024*"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144-24 --locoid 4027 --swversion DE.1.0.9.0 --startMP 204:232943 --initTime 2017-10-24T09:51:12 --startdatetime 2017-10-24T09:57:15 --delay 51 --endMP 204:143 --enddatetime 2017-10-24T10:35:12 --enforcementcount 0 &gt;&gt;%USERPROFILE%\Documents\GitHub\eaglep3-reporting\EC\2017-10-24-refined-times.txt</v>
      </c>
      <c r="AI5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{"issue":{"subject":"","project_id":79,"tracker_id":40,"status_id":1,"priority_id":2,"assigned_to_id":338,"start_date":"2017-10-24","description":"","custom_fields":[{"id":1,"name":"Subdivision","value":"EC"},{"id":4,"name":"Milepost","value":"0.0143"},{"id":17,"name":"Train ID","value":"144-24"},{"id":16,"name":"Locomotive ID","value":"4027"},{"id":130,"name":"Impact","value":""},{"id":150,"name":"Time of Event (Mountain Time)","value":"10:35:12"},{"id":151,"name":"Denver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4027 --day 2017-10-24</v>
      </c>
      <c r="AN5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-24T08:51:12-0600',mode:absolute,to:'2017-10-24T11:35:12-0600'))&amp;_a=(columns:!('Message%20ID',Summary),filters:!(),index:'emp_*',interval:auto,query:(query_string:(analyze_wildcard:!t,query:'%22rtdc.l.rtdc.4027%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743</v>
      </c>
      <c r="B57" s="7">
        <v>4002</v>
      </c>
      <c r="C57" s="21" t="s">
        <v>194</v>
      </c>
      <c r="D57" s="21" t="s">
        <v>362</v>
      </c>
      <c r="E57" s="13">
        <v>43032.383530092593</v>
      </c>
      <c r="F57" s="13">
        <v>43032.385659722226</v>
      </c>
      <c r="G57" s="7">
        <v>69</v>
      </c>
      <c r="H57" s="21" t="s">
        <v>915</v>
      </c>
      <c r="I57" s="13">
        <v>43032.409143518518</v>
      </c>
      <c r="J57" s="7">
        <v>0</v>
      </c>
      <c r="K57" s="89" t="str">
        <f>IF(ISEVEN(B57),(B57-1)&amp;"/"&amp;B57,B57&amp;"/"&amp;(B57+1))</f>
        <v>4001/4002</v>
      </c>
      <c r="L57" s="185" t="str">
        <f>VLOOKUP(A57,'Trips&amp;Operators'!$C$1:$G$99911,5,FALSE)</f>
        <v>MACDONALD THOMAS</v>
      </c>
      <c r="M57" s="6">
        <f>I57-F57</f>
        <v>2.3483796292566694E-2</v>
      </c>
      <c r="N57" s="7">
        <f>24*60*SUM($M57:$M57)</f>
        <v>33.81666666129604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-24T08:12:17-0600',mode:absolute,to:'2017-10-24T10:49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4.5999999999999999E-2</v>
      </c>
      <c r="Z57" s="204">
        <f>RIGHT(H57,LEN(H57)-4)/10000</f>
        <v>23.3276</v>
      </c>
      <c r="AA57" s="204">
        <f>ABS(Z57-Y57)</f>
        <v>23.281600000000001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/stypes="app*4002*20171024*"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145-24 --locoid 4002 --swversion DE.1.0.9.0 --startMP 204:460 --initTime 2017-10-24T09:12:17 --startdatetime 2017-10-24T09:15:21 --delay 69 --endMP 204:233276 --enddatetime 2017-10-24T09:49:10 --enforcementcount 0 &gt;&gt;%USERPROFILE%\Documents\GitHub\eaglep3-reporting\EC\2017-10-24-refined-times.txt</v>
      </c>
      <c r="AI57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{"issue":{"subject":"","project_id":79,"tracker_id":40,"status_id":1,"priority_id":2,"assigned_to_id":338,"start_date":"2017-10-24","description":"","custom_fields":[{"id":1,"name":"Subdivision","value":"EC"},{"id":4,"name":"Milepost","value":"23.3276"},{"id":17,"name":"Train ID","value":"145-24"},{"id":16,"name":"Locomotive ID","value":"4002"},{"id":130,"name":"Impact","value":""},{"id":150,"name":"Time of Event (Mountain Time)","value":"09:49:10"},{"id":151,"name":"Denver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4002 --day 2017-10-24</v>
      </c>
      <c r="AN57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15:49:10"},{"id":29,"name":"Sharepoint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-24T08:12:17-0600',mode:absolute,to:'2017-10-24T10:49:10-0600'))&amp;_a=(columns:!('Message%20ID',Summary),filters:!(),index:'emp_*',interval:auto,query:(query_string:(analyze_wildcard:!t,query:'%22rtdc.l.rtdc.4002%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750</v>
      </c>
      <c r="B58" s="7">
        <v>4001</v>
      </c>
      <c r="C58" s="21" t="s">
        <v>194</v>
      </c>
      <c r="D58" s="21" t="s">
        <v>604</v>
      </c>
      <c r="E58" s="13">
        <v>43032.421400462961</v>
      </c>
      <c r="F58" s="13">
        <v>43032.425243055557</v>
      </c>
      <c r="G58" s="7">
        <v>58</v>
      </c>
      <c r="H58" s="21" t="s">
        <v>612</v>
      </c>
      <c r="I58" s="13">
        <v>43032.452407407407</v>
      </c>
      <c r="J58" s="7">
        <v>0</v>
      </c>
      <c r="K58" s="89" t="str">
        <f>IF(ISEVEN(B58),(B58-1)&amp;"/"&amp;B58,B58&amp;"/"&amp;(B58+1))</f>
        <v>4001/4002</v>
      </c>
      <c r="L58" s="185" t="str">
        <f>VLOOKUP(A58,'Trips&amp;Operators'!$C$1:$G$99911,5,FALSE)</f>
        <v>MACDONALD THOMAS</v>
      </c>
      <c r="M58" s="6">
        <f>I58-F58</f>
        <v>2.7164351849933155E-2</v>
      </c>
      <c r="N58" s="7">
        <f>24*60*SUM($M58:$M58)</f>
        <v>39.116666663903743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-24T09:06:49-0600',mode:absolute,to:'2017-10-24T11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23.296299999999999</v>
      </c>
      <c r="Z58" s="204">
        <f>RIGHT(H58,LEN(H58)-4)/10000</f>
        <v>1.6E-2</v>
      </c>
      <c r="AA58" s="204">
        <f>ABS(Z58-Y58)</f>
        <v>23.2803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/stypes="app*4001*20171024*"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146-24 --locoid 4001 --swversion DE.1.0.9.0 --startMP 204:232963 --initTime 2017-10-24T10:06:49 --startdatetime 2017-10-24T10:12:21 --delay 58 --endMP 204:160 --enddatetime 2017-10-24T10:51:28 --enforcementcount 0 &gt;&gt;%USERPROFILE%\Documents\GitHub\eaglep3-reporting\EC\2017-10-24-refined-times.txt</v>
      </c>
      <c r="AI58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{"issue":{"subject":"","project_id":79,"tracker_id":40,"status_id":1,"priority_id":2,"assigned_to_id":338,"start_date":"2017-10-24","description":"","custom_fields":[{"id":1,"name":"Subdivision","value":"EC"},{"id":4,"name":"Milepost","value":"0.016"},{"id":17,"name":"Train ID","value":"146-24"},{"id":16,"name":"Locomotive ID","value":"4001"},{"id":130,"name":"Impact","value":""},{"id":150,"name":"Time of Event (Mountain Time)","value":"10:51:28"},{"id":151,"name":"Denver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4001 --day 2017-10-24</v>
      </c>
      <c r="AN58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-24T09:06:49-0600',mode:absolute,to:'2017-10-24T11:51:28-0600'))&amp;_a=(columns:!('Message%20ID',Summary),filters:!(),index:'emp_*',interval:auto,query:(query_string:(analyze_wildcard:!t,query:'%22rtdc.l.rtdc.4001%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659</v>
      </c>
      <c r="B59" s="7">
        <v>4026</v>
      </c>
      <c r="C59" s="21" t="s">
        <v>194</v>
      </c>
      <c r="D59" s="21" t="s">
        <v>367</v>
      </c>
      <c r="E59" s="13">
        <v>43032.393587962964</v>
      </c>
      <c r="F59" s="13">
        <v>43032.396122685182</v>
      </c>
      <c r="G59" s="7">
        <v>58</v>
      </c>
      <c r="H59" s="21" t="s">
        <v>607</v>
      </c>
      <c r="I59" s="13">
        <v>43032.422118055554</v>
      </c>
      <c r="J59" s="7">
        <v>0</v>
      </c>
      <c r="K59" s="89" t="str">
        <f>IF(ISEVEN(B59),(B59-1)&amp;"/"&amp;B59,B59&amp;"/"&amp;(B59+1))</f>
        <v>4025/4026</v>
      </c>
      <c r="L59" s="185" t="str">
        <f>VLOOKUP(A59,'Trips&amp;Operators'!$C$1:$G$99911,5,FALSE)</f>
        <v>THOMPSON LESTER</v>
      </c>
      <c r="M59" s="6">
        <f>I59-F59</f>
        <v>2.5995370371674653E-2</v>
      </c>
      <c r="N59" s="7">
        <f>24*60*SUM($M59:$M59)</f>
        <v>37.433333335211501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-24T08:26:46-0600',mode:absolute,to:'2017-10-24T11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4.5100000000000001E-2</v>
      </c>
      <c r="Z59" s="204">
        <f>RIGHT(H59,LEN(H59)-4)/10000</f>
        <v>23.327400000000001</v>
      </c>
      <c r="AA59" s="204">
        <f>ABS(Z59-Y59)</f>
        <v>23.282299999999999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/stypes="app*4026*20171024*"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147-24 --locoid 4026 --swversion DE.1.0.9.0 --startMP 204:451 --initTime 2017-10-24T09:26:46 --startdatetime 2017-10-24T09:30:25 --delay 58 --endMP 204:233274 --enddatetime 2017-10-24T10:07:51 --enforcementcount 0 &gt;&gt;%USERPROFILE%\Documents\GitHub\eaglep3-reporting\EC\2017-10-24-refined-times.txt</v>
      </c>
      <c r="AI59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{"issue":{"subject":"","project_id":79,"tracker_id":40,"status_id":1,"priority_id":2,"assigned_to_id":338,"start_date":"2017-10-24","description":"","custom_fields":[{"id":1,"name":"Subdivision","value":"EC"},{"id":4,"name":"Milepost","value":"23.3274"},{"id":17,"name":"Train ID","value":"147-24"},{"id":16,"name":"Locomotive ID","value":"4026"},{"id":130,"name":"Impact","value":""},{"id":150,"name":"Time of Event (Mountain Time)","value":"10:07:51"},{"id":151,"name":"Denver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4026 --day 2017-10-24</v>
      </c>
      <c r="AN59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-24T08:26:46-0600',mode:absolute,to:'2017-10-24T11:07:51-0600'))&amp;_a=(columns:!('Message%20ID',Summary),filters:!(),index:'emp_*',interval:auto,query:(query_string:(analyze_wildcard:!t,query:'%22rtdc.l.rtdc.4026%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752</v>
      </c>
      <c r="B60" s="7">
        <v>4025</v>
      </c>
      <c r="C60" s="21" t="s">
        <v>194</v>
      </c>
      <c r="D60" s="21" t="s">
        <v>916</v>
      </c>
      <c r="E60" s="13">
        <v>43032.432673611111</v>
      </c>
      <c r="F60" s="13">
        <v>43032.435694444444</v>
      </c>
      <c r="G60" s="7">
        <v>52</v>
      </c>
      <c r="H60" s="21" t="s">
        <v>404</v>
      </c>
      <c r="I60" s="13">
        <v>43032.46371527778</v>
      </c>
      <c r="J60" s="7">
        <v>0</v>
      </c>
      <c r="K60" s="89" t="str">
        <f>IF(ISEVEN(B60),(B60-1)&amp;"/"&amp;B60,B60&amp;"/"&amp;(B60+1))</f>
        <v>4025/4026</v>
      </c>
      <c r="L60" s="185" t="str">
        <f>VLOOKUP(A60,'Trips&amp;Operators'!$C$1:$G$99911,5,FALSE)</f>
        <v>THOMPSON LESTER</v>
      </c>
      <c r="M60" s="6">
        <f>I60-F60</f>
        <v>2.8020833335176576E-2</v>
      </c>
      <c r="N60" s="7">
        <f>24*60*SUM($M60:$M60)</f>
        <v>40.350000002654269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-24T09:23:03-0600',mode:absolute,to:'2017-10-24T12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23.294699999999999</v>
      </c>
      <c r="Z60" s="204">
        <f>RIGHT(H60,LEN(H60)-4)/10000</f>
        <v>1.38E-2</v>
      </c>
      <c r="AA60" s="204">
        <f>ABS(Z60-Y60)</f>
        <v>23.280899999999999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/stypes="app*4025*20171024*"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148-24 --locoid 4025 --swversion DE.1.0.9.0 --startMP 204:232947 --initTime 2017-10-24T10:23:03 --startdatetime 2017-10-24T10:27:24 --delay 52 --endMP 204:138 --enddatetime 2017-10-24T11:07:45 --enforcementcount 0 &gt;&gt;%USERPROFILE%\Documents\GitHub\eaglep3-reporting\EC\2017-10-24-refined-times.txt</v>
      </c>
      <c r="AI60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{"issue":{"subject":"","project_id":79,"tracker_id":40,"status_id":1,"priority_id":2,"assigned_to_id":338,"start_date":"2017-10-24","description":"","custom_fields":[{"id":1,"name":"Subdivision","value":"EC"},{"id":4,"name":"Milepost","value":"0.0138"},{"id":17,"name":"Train ID","value":"148-24"},{"id":16,"name":"Locomotive ID","value":"4025"},{"id":130,"name":"Impact","value":""},{"id":150,"name":"Time of Event (Mountain Time)","value":"11:07:45"},{"id":151,"name":"Denver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4025 --day 2017-10-24</v>
      </c>
      <c r="AN60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-24T09:23:03-0600',mode:absolute,to:'2017-10-24T12:07:45-0600'))&amp;_a=(columns:!('Message%20ID',Summary),filters:!(),index:'emp_*',interval:auto,query:(query_string:(analyze_wildcard:!t,query:'%22rtdc.l.rtdc.4025%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747</v>
      </c>
      <c r="B61" s="7">
        <v>4060</v>
      </c>
      <c r="C61" s="21" t="s">
        <v>194</v>
      </c>
      <c r="D61" s="21" t="s">
        <v>344</v>
      </c>
      <c r="E61" s="13">
        <v>43032.401226851849</v>
      </c>
      <c r="F61" s="13">
        <v>43032.406493055554</v>
      </c>
      <c r="G61" s="7">
        <v>108</v>
      </c>
      <c r="H61" s="21" t="s">
        <v>391</v>
      </c>
      <c r="I61" s="13">
        <v>43032.431689814817</v>
      </c>
      <c r="J61" s="7">
        <v>0</v>
      </c>
      <c r="K61" s="89" t="str">
        <f>IF(ISEVEN(B61),(B61-1)&amp;"/"&amp;B61,B61&amp;"/"&amp;(B61+1))</f>
        <v>4059/4060</v>
      </c>
      <c r="L61" s="185" t="str">
        <f>VLOOKUP(A61,'Trips&amp;Operators'!$C$1:$G$99911,5,FALSE)</f>
        <v>BARRON PERLA</v>
      </c>
      <c r="M61" s="6">
        <f>I61-F61</f>
        <v>2.5196759263053536E-2</v>
      </c>
      <c r="N61" s="7">
        <f>24*60*SUM($M61:$M61)</f>
        <v>36.283333338797092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-24T08:37:46-0600',mode:absolute,to:'2017-10-24T11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4.5499999999999999E-2</v>
      </c>
      <c r="Z61" s="204">
        <f>RIGHT(H61,LEN(H61)-4)/10000</f>
        <v>23.331399999999999</v>
      </c>
      <c r="AA61" s="204">
        <f>ABS(Z61-Y61)</f>
        <v>23.285899999999998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/stypes="app*4060*20171024*"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149-24 --locoid 4060 --swversion DE.1.0.9.0 --startMP 204:455 --initTime 2017-10-24T09:37:46 --startdatetime 2017-10-24T09:45:21 --delay 108 --endMP 204:233314 --enddatetime 2017-10-24T10:21:38 --enforcementcount 0 &gt;&gt;%USERPROFILE%\Documents\GitHub\eaglep3-reporting\EC\2017-10-24-refined-times.txt</v>
      </c>
      <c r="AI61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{"issue":{"subject":"","project_id":79,"tracker_id":40,"status_id":1,"priority_id":2,"assigned_to_id":338,"start_date":"2017-10-24","description":"","custom_fields":[{"id":1,"name":"Subdivision","value":"EC"},{"id":4,"name":"Milepost","value":"23.3314"},{"id":17,"name":"Train ID","value":"149-24"},{"id":16,"name":"Locomotive ID","value":"4060"},{"id":130,"name":"Impact","value":""},{"id":150,"name":"Time of Event (Mountain Time)","value":"10:21:38"},{"id":151,"name":"Denver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4060 --day 2017-10-24</v>
      </c>
      <c r="AN61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-24T08:37:46-0600',mode:absolute,to:'2017-10-24T11:21:38-0600'))&amp;_a=(columns:!('Message%20ID',Summary),filters:!(),index:'emp_*',interval:auto,query:(query_string:(analyze_wildcard:!t,query:'%22rtdc.l.rtdc.4060%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754</v>
      </c>
      <c r="B62" s="7">
        <v>4059</v>
      </c>
      <c r="C62" s="21" t="s">
        <v>194</v>
      </c>
      <c r="D62" s="21" t="s">
        <v>422</v>
      </c>
      <c r="E62" s="13">
        <v>43032.433796296296</v>
      </c>
      <c r="F62" s="13">
        <v>43032.44599537037</v>
      </c>
      <c r="G62" s="7">
        <v>148</v>
      </c>
      <c r="H62" s="21" t="s">
        <v>354</v>
      </c>
      <c r="I62" s="13">
        <v>43032.474814814814</v>
      </c>
      <c r="J62" s="7">
        <v>0</v>
      </c>
      <c r="K62" s="89" t="str">
        <f>IF(ISEVEN(B62),(B62-1)&amp;"/"&amp;B62,B62&amp;"/"&amp;(B62+1))</f>
        <v>4059/4060</v>
      </c>
      <c r="L62" s="185" t="str">
        <f>VLOOKUP(A62,'Trips&amp;Operators'!$C$1:$G$99911,5,FALSE)</f>
        <v>BARRON PERLA</v>
      </c>
      <c r="M62" s="6">
        <f>I62-F62</f>
        <v>2.8819444443797693E-2</v>
      </c>
      <c r="N62" s="7">
        <f>24*60*SUM($M62:$M62)</f>
        <v>41.499999999068677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-24T09:24:40-0600',mode:absolute,to:'2017-10-24T12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23.297999999999998</v>
      </c>
      <c r="Z62" s="204">
        <f>RIGHT(H62,LEN(H62)-4)/10000</f>
        <v>1.52E-2</v>
      </c>
      <c r="AA62" s="204">
        <f>ABS(Z62-Y62)</f>
        <v>23.282799999999998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/stypes="app*4059*20171024*" /stext=" 17:.+((SYSTEM_STATE.+slice.+state.+changed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150-24 --locoid 4059 --swversion DE.1.0.9.0 --startMP 204:232980 --initTime 2017-10-24T10:24:40 --startdatetime 2017-10-24T10:42:14 --delay 148 --endMP 204:152 --enddatetime 2017-10-24T11:23:44 --enforcementcount 0 &gt;&gt;%USERPROFILE%\Documents\GitHub\eaglep3-reporting\EC\2017-10-24-refined-times.txt</v>
      </c>
      <c r="AI62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{"issue":{"subject":"","project_id":79,"tracker_id":40,"status_id":1,"priority_id":2,"assigned_to_id":338,"start_date":"2017-10-24","description":"","custom_fields":[{"id":1,"name":"Subdivision","value":"EC"},{"id":4,"name":"Milepost","value":"0.0152"},{"id":17,"name":"Train ID","value":"150-24"},{"id":16,"name":"Locomotive ID","value":"4059"},{"id":130,"name":"Impact","value":""},{"id":150,"name":"Time of Event (Mountain Time)","value":"11:23:44"},{"id":151,"name":"Denver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4059 --day 2017-10-24</v>
      </c>
      <c r="AN62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-24T09:24:40-0600',mode:absolute,to:'2017-10-24T12:23:44-0600'))&amp;_a=(columns:!('Message%20ID',Summary),filters:!(),index:'emp_*',interval:auto,query:(query_string:(analyze_wildcard:!t,query:'%22rtdc.l.rtdc.4059%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749</v>
      </c>
      <c r="B63" s="7">
        <v>4010</v>
      </c>
      <c r="C63" s="21" t="s">
        <v>194</v>
      </c>
      <c r="D63" s="21" t="s">
        <v>399</v>
      </c>
      <c r="E63" s="13">
        <v>43032.411574074074</v>
      </c>
      <c r="F63" s="13">
        <v>43032.416851851849</v>
      </c>
      <c r="G63" s="7">
        <v>52</v>
      </c>
      <c r="H63" s="21" t="s">
        <v>535</v>
      </c>
      <c r="I63" s="13">
        <v>43032.441828703704</v>
      </c>
      <c r="J63" s="7">
        <v>0</v>
      </c>
      <c r="K63" s="89" t="str">
        <f>IF(ISEVEN(B63),(B63-1)&amp;"/"&amp;B63,B63&amp;"/"&amp;(B63+1))</f>
        <v>4009/4010</v>
      </c>
      <c r="L63" s="185" t="str">
        <f>VLOOKUP(A63,'Trips&amp;Operators'!$C$1:$G$99911,5,FALSE)</f>
        <v>LAMAR NEKESHA</v>
      </c>
      <c r="M63" s="6">
        <f>I63-F63</f>
        <v>2.4976851855171844E-2</v>
      </c>
      <c r="N63" s="7">
        <f>24*60*SUM($M63:$M63)</f>
        <v>35.966666671447456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-24T08:52:40-0600',mode:absolute,to:'2017-10-24T11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4.6199999999999998E-2</v>
      </c>
      <c r="Z63" s="204">
        <f>RIGHT(H63,LEN(H63)-4)/10000</f>
        <v>23.331900000000001</v>
      </c>
      <c r="AA63" s="204">
        <f>ABS(Z63-Y63)</f>
        <v>23.285700000000002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/stypes="app*4010*20171024*"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151-24 --locoid 4010 --swversion DE.1.0.9.0 --startMP 204:462 --initTime 2017-10-24T09:52:40 --startdatetime 2017-10-24T10:00:16 --delay 52 --endMP 204:233319 --enddatetime 2017-10-24T10:36:14 --enforcementcount 0 &gt;&gt;%USERPROFILE%\Documents\GitHub\eaglep3-reporting\EC\2017-10-24-refined-times.txt</v>
      </c>
      <c r="AI63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{"issue":{"subject":"","project_id":79,"tracker_id":40,"status_id":1,"priority_id":2,"assigned_to_id":338,"start_date":"2017-10-24","description":"","custom_fields":[{"id":1,"name":"Subdivision","value":"EC"},{"id":4,"name":"Milepost","value":"23.3319"},{"id":17,"name":"Train ID","value":"151-24"},{"id":16,"name":"Locomotive ID","value":"4010"},{"id":130,"name":"Impact","value":""},{"id":150,"name":"Time of Event (Mountain Time)","value":"10:36:14"},{"id":151,"name":"Denver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4010 --day 2017-10-24</v>
      </c>
      <c r="AN63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-24T08:52:40-0600',mode:absolute,to:'2017-10-24T11:36:14-0600'))&amp;_a=(columns:!('Message%20ID',Summary),filters:!(),index:'emp_*',interval:auto,query:(query_string:(analyze_wildcard:!t,query:'%22rtdc.l.rtdc.4010%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758</v>
      </c>
      <c r="B64" s="7">
        <v>4009</v>
      </c>
      <c r="C64" s="21" t="s">
        <v>194</v>
      </c>
      <c r="D64" s="21" t="s">
        <v>396</v>
      </c>
      <c r="E64" s="13">
        <v>43032.450624999998</v>
      </c>
      <c r="F64" s="13">
        <v>43032.456435185188</v>
      </c>
      <c r="G64" s="7">
        <v>87</v>
      </c>
      <c r="H64" s="21" t="s">
        <v>357</v>
      </c>
      <c r="I64" s="13">
        <v>43032.484016203707</v>
      </c>
      <c r="J64" s="7">
        <v>0</v>
      </c>
      <c r="K64" s="89" t="str">
        <f>IF(ISEVEN(B64),(B64-1)&amp;"/"&amp;B64,B64&amp;"/"&amp;(B64+1))</f>
        <v>4009/4010</v>
      </c>
      <c r="L64" s="185" t="str">
        <f>VLOOKUP(A64,'Trips&amp;Operators'!$C$1:$G$99911,5,FALSE)</f>
        <v>LAMAR NEKESHA</v>
      </c>
      <c r="M64" s="6">
        <f>I64-F64</f>
        <v>2.7581018519413192E-2</v>
      </c>
      <c r="N64" s="7">
        <f>24*60*SUM($M64:$M64)</f>
        <v>39.716666667954996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-24T09:48:54-0600',mode:absolute,to:'2017-10-24T12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23.299399999999999</v>
      </c>
      <c r="Z64" s="204">
        <f>RIGHT(H64,LEN(H64)-4)/10000</f>
        <v>1.5599999999999999E-2</v>
      </c>
      <c r="AA64" s="204">
        <f>ABS(Z64-Y64)</f>
        <v>23.283799999999999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/stypes="app*4009*20171024*"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152-24 --locoid 4009 --swversion DE.1.0.9.0 --startMP 204:232994 --initTime 2017-10-24T10:48:54 --startdatetime 2017-10-24T10:57:16 --delay 87 --endMP 204:156 --enddatetime 2017-10-24T11:36:59 --enforcementcount 0 &gt;&gt;%USERPROFILE%\Documents\GitHub\eaglep3-reporting\EC\2017-10-24-refined-times.txt</v>
      </c>
      <c r="AI64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{"issue":{"subject":"","project_id":79,"tracker_id":40,"status_id":1,"priority_id":2,"assigned_to_id":338,"start_date":"2017-10-24","description":"","custom_fields":[{"id":1,"name":"Subdivision","value":"EC"},{"id":4,"name":"Milepost","value":"0.0156"},{"id":17,"name":"Train ID","value":"152-24"},{"id":16,"name":"Locomotive ID","value":"4009"},{"id":130,"name":"Impact","value":""},{"id":150,"name":"Time of Event (Mountain Time)","value":"11:36:59"},{"id":151,"name":"Denver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4009 --day 2017-10-24</v>
      </c>
      <c r="AN64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-24T09:48:54-0600',mode:absolute,to:'2017-10-24T12:36:59-0600'))&amp;_a=(columns:!('Message%20ID',Summary),filters:!(),index:'emp_*',interval:auto,query:(query_string:(analyze_wildcard:!t,query:'%22rtdc.l.rtdc.4009%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751</v>
      </c>
      <c r="B65" s="7">
        <v>4016</v>
      </c>
      <c r="C65" s="21" t="s">
        <v>194</v>
      </c>
      <c r="D65" s="21" t="s">
        <v>353</v>
      </c>
      <c r="E65" s="13">
        <v>43032.421770833331</v>
      </c>
      <c r="F65" s="13">
        <v>43032.427256944444</v>
      </c>
      <c r="G65" s="7">
        <v>73</v>
      </c>
      <c r="H65" s="21" t="s">
        <v>445</v>
      </c>
      <c r="I65" s="13">
        <v>43032.450821759259</v>
      </c>
      <c r="J65" s="7">
        <v>0</v>
      </c>
      <c r="K65" s="89" t="str">
        <f>IF(ISEVEN(B65),(B65-1)&amp;"/"&amp;B65,B65&amp;"/"&amp;(B65+1))</f>
        <v>4015/4016</v>
      </c>
      <c r="L65" s="185" t="str">
        <f>VLOOKUP(A65,'Trips&amp;Operators'!$C$1:$G$99911,5,FALSE)</f>
        <v>STRICKLAND EVAN</v>
      </c>
      <c r="M65" s="6">
        <f>I65-F65</f>
        <v>2.3564814815472346E-2</v>
      </c>
      <c r="N65" s="7">
        <f>24*60*SUM($M65:$M65)</f>
        <v>33.933333334280178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-24T09:07:21-0600',mode:absolute,to:'2017-10-24T11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4.58E-2</v>
      </c>
      <c r="Z65" s="204">
        <f>RIGHT(H65,LEN(H65)-4)/10000</f>
        <v>23.3309</v>
      </c>
      <c r="AA65" s="204">
        <f>ABS(Z65-Y65)</f>
        <v>23.2851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/stypes="app*4016*20171024*"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153-24 --locoid 4016 --swversion DE.1.0.9.0 --startMP 204:458 --initTime 2017-10-24T10:07:21 --startdatetime 2017-10-24T10:15:15 --delay 73 --endMP 204:233309 --enddatetime 2017-10-24T10:49:11 --enforcementcount 0 &gt;&gt;%USERPROFILE%\Documents\GitHub\eaglep3-reporting\EC\2017-10-24-refined-times.txt</v>
      </c>
      <c r="AI6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{"issue":{"subject":"","project_id":79,"tracker_id":40,"status_id":1,"priority_id":2,"assigned_to_id":338,"start_date":"2017-10-24","description":"","custom_fields":[{"id":1,"name":"Subdivision","value":"EC"},{"id":4,"name":"Milepost","value":"23.3309"},{"id":17,"name":"Train ID","value":"153-24"},{"id":16,"name":"Locomotive ID","value":"4016"},{"id":130,"name":"Impact","value":""},{"id":150,"name":"Time of Event (Mountain Time)","value":"10:49:11"},{"id":151,"name":"Denver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4016 --day 2017-10-24</v>
      </c>
      <c r="AN6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-24T09:07:21-0600',mode:absolute,to:'2017-10-24T11:49:11-0600'))&amp;_a=(columns:!('Message%20ID',Summary),filters:!(),index:'emp_*',interval:auto,query:(query_string:(analyze_wildcard:!t,query:'%22rtdc.l.rtdc.4016%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759</v>
      </c>
      <c r="B66" s="7">
        <v>4015</v>
      </c>
      <c r="C66" s="21" t="s">
        <v>194</v>
      </c>
      <c r="D66" s="21" t="s">
        <v>910</v>
      </c>
      <c r="E66" s="13">
        <v>43032.452743055554</v>
      </c>
      <c r="F66" s="13">
        <v>43032.466828703706</v>
      </c>
      <c r="G66" s="7">
        <v>93</v>
      </c>
      <c r="H66" s="21" t="s">
        <v>371</v>
      </c>
      <c r="I66" s="13">
        <v>43032.49454861111</v>
      </c>
      <c r="J66" s="7">
        <v>0</v>
      </c>
      <c r="K66" s="89" t="str">
        <f>IF(ISEVEN(B66),(B66-1)&amp;"/"&amp;B66,B66&amp;"/"&amp;(B66+1))</f>
        <v>4015/4016</v>
      </c>
      <c r="L66" s="185" t="str">
        <f>VLOOKUP(A66,'Trips&amp;Operators'!$C$1:$G$99911,5,FALSE)</f>
        <v>STRICKLAND EVAN</v>
      </c>
      <c r="M66" s="6">
        <f>I66-F66</f>
        <v>2.7719907404389232E-2</v>
      </c>
      <c r="N66" s="7">
        <f>24*60*SUM($M66:$M66)</f>
        <v>39.916666662320495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-24T09:51:57-0600',mode:absolute,to:'2017-10-24T12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23.298200000000001</v>
      </c>
      <c r="Z66" s="204">
        <f>RIGHT(H66,LEN(H66)-4)/10000</f>
        <v>1.54E-2</v>
      </c>
      <c r="AA66" s="204">
        <f>ABS(Z66-Y66)</f>
        <v>23.282800000000002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/stypes="app*4015*20171024*"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154-24 --locoid 4015 --swversion DE.1.0.9.0 --startMP 204:232982 --initTime 2017-10-24T10:51:57 --startdatetime 2017-10-24T11:12:14 --delay 93 --endMP 204:154 --enddatetime 2017-10-24T11:52:09 --enforcementcount 0 &gt;&gt;%USERPROFILE%\Documents\GitHub\eaglep3-reporting\EC\2017-10-24-refined-times.txt</v>
      </c>
      <c r="AI6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{"issue":{"subject":"","project_id":79,"tracker_id":40,"status_id":1,"priority_id":2,"assigned_to_id":338,"start_date":"2017-10-24","description":"","custom_fields":[{"id":1,"name":"Subdivision","value":"EC"},{"id":4,"name":"Milepost","value":"0.0154"},{"id":17,"name":"Train ID","value":"154-24"},{"id":16,"name":"Locomotive ID","value":"4015"},{"id":130,"name":"Impact","value":""},{"id":150,"name":"Time of Event (Mountain Time)","value":"11:52:09"},{"id":151,"name":"Denver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4015 --day 2017-10-24</v>
      </c>
      <c r="AN6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-24T09:51:57-0600',mode:absolute,to:'2017-10-24T12:52:09-0600'))&amp;_a=(columns:!('Message%20ID',Summary),filters:!(),index:'emp_*',interval:auto,query:(query_string:(analyze_wildcard:!t,query:'%22rtdc.l.rtdc.4015%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661</v>
      </c>
      <c r="B67" s="7">
        <v>4058</v>
      </c>
      <c r="C67" s="21" t="s">
        <v>194</v>
      </c>
      <c r="D67" s="21" t="s">
        <v>910</v>
      </c>
      <c r="E67" s="13">
        <v>43032.452743055554</v>
      </c>
      <c r="F67" s="13">
        <v>43032.437662037039</v>
      </c>
      <c r="G67" s="7">
        <v>93</v>
      </c>
      <c r="H67" s="21" t="s">
        <v>371</v>
      </c>
      <c r="I67" s="13">
        <v>43032.462245370371</v>
      </c>
      <c r="J67" s="7">
        <v>0</v>
      </c>
      <c r="K67" s="89" t="str">
        <f>IF(ISEVEN(B67),(B67-1)&amp;"/"&amp;B67,B67&amp;"/"&amp;(B67+1))</f>
        <v>4057/4058</v>
      </c>
      <c r="L67" s="185" t="str">
        <f>VLOOKUP(A67,'Trips&amp;Operators'!$C$1:$G$99911,5,FALSE)</f>
        <v>YANAI IAN</v>
      </c>
      <c r="M67" s="6">
        <f>I67-F67</f>
        <v>2.4583333331975155E-2</v>
      </c>
      <c r="N67" s="7">
        <f>24*60*SUM($M67:$M67)</f>
        <v>35.399999998044223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-24T09:51:57-0600',mode:absolute,to:'2017-10-24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v>4.58E-2</v>
      </c>
      <c r="Z67" s="204">
        <v>23.3309</v>
      </c>
      <c r="AA67" s="204">
        <f>ABS(Z67-Y67)</f>
        <v>23.2851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/stypes="app*4058*20171024*"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ref="AH67" si="10"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"&amp;J67&amp;IF(outputrefinedruntimes," &gt;&gt;"&amp;RefinedRTDCRunTimesOutputFile,"")</f>
        <v>"%USERPROFILE%\Documents\GitHub\eaglep3\Utilities\RefineRTDCRunTimes.py" --tripid 155-24 --locoid 4058 --swversion DE.1.0.9.0 --startMP 204:232982 --initTime 2017-10-24T10:51:57 --startdatetime 2017-10-24T10:30:14 --delay 93 --endMP 204:154 --enddatetime 2017-10-24T11:05:38 --enforcementcount 0 &gt;&gt;%USERPROFILE%\Documents\GitHub\eaglep3-reporting\EC\2017-10-24-refined-times.txt</v>
      </c>
      <c r="AI67" s="96" t="str">
        <f t="shared" ref="AI67" si="11"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Z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{"issue":{"subject":"","project_id":79,"tracker_id":40,"status_id":1,"priority_id":2,"assigned_to_id":338,"start_date":"2017-10-24","description":"","custom_fields":[{"id":1,"name":"Subdivision","value":"EC"},{"id":4,"name":"Milepost","value":"23.3309"},{"id":17,"name":"Train ID","value":"155-24"},{"id":16,"name":"Locomotive ID","value":"4058"},{"id":130,"name":"Impact","value":""},{"id":150,"name":"Time of Event (Mountain Time)","value":"11:05:38"},{"id":151,"name":"Denver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ref="AM67" si="12">"start /low /b "&amp;dls3logs&amp;" --loco "&amp;B67&amp;" --day "&amp;TEXT(F67,"YYYY-MM-DD")</f>
        <v>start /low /b %USERPROFILE%\Documents\GitHub\eaglep3\Utilities\DownloadLogsFromS3.py --loco 4058 --day 2017-10-24</v>
      </c>
      <c r="AN67" s="151" t="str">
        <f t="shared" ref="AN67" si="13">"echo {""issue"":{""subject"":"""&amp;R67&amp;""",""project_id"":30,""tracker_id"":4,""status_id"":"&amp;redmine_status_wcr&amp;",""priority_id"":"&amp;redmine_priority_wcr&amp;",""assigned_to_id"":"&amp;redmine_assignee_wcr&amp;",""start_date"":"""&amp;TEXT(I67-utc_offset/24,"YYYY-mm-dd")&amp;""",""description"":"""&amp;AJ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ref="AO67" si="14"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Message%20ID',Summary),filters:!(),index:'emp_*',interval:auto,query:"&amp;"(query_string:(analyze_wildcard:!t,query:'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-24T09:51:57-0600',mode:absolute,to:'2017-10-24T12:05:38-0600'))&amp;_a=(columns:!('Message%20ID',Summary),filters:!(),index:'emp_*',interval:auto,query:(query_string:(analyze_wildcard:!t,query:'%22rtdc.l.rtdc.4058%22')),sort:!(Time.ISO8601,asc))</v>
      </c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</row>
    <row r="68" spans="1:91" s="1" customFormat="1" x14ac:dyDescent="0.3">
      <c r="A68" s="32" t="s">
        <v>762</v>
      </c>
      <c r="B68" s="7">
        <v>4057</v>
      </c>
      <c r="C68" s="21" t="s">
        <v>194</v>
      </c>
      <c r="D68" s="21" t="s">
        <v>566</v>
      </c>
      <c r="E68" s="13">
        <v>43032.463125000002</v>
      </c>
      <c r="F68" s="13">
        <v>43032.47724537037</v>
      </c>
      <c r="G68" s="7">
        <v>101</v>
      </c>
      <c r="H68" s="21" t="s">
        <v>366</v>
      </c>
      <c r="I68" s="13">
        <v>43032.502962962964</v>
      </c>
      <c r="J68" s="7">
        <v>0</v>
      </c>
      <c r="K68" s="89" t="str">
        <f>IF(ISEVEN(B68),(B68-1)&amp;"/"&amp;B68,B68&amp;"/"&amp;(B68+1))</f>
        <v>4057/4058</v>
      </c>
      <c r="L68" s="185" t="str">
        <f>VLOOKUP(A68,'Trips&amp;Operators'!$C$1:$G$99911,5,FALSE)</f>
        <v>YANAI IAN</v>
      </c>
      <c r="M68" s="6">
        <f>I68-F68</f>
        <v>2.5717592594446614E-2</v>
      </c>
      <c r="N68" s="7">
        <f>24*60*SUM($M68:$M68)</f>
        <v>37.033333336003125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-24T10:06:54-0600',mode:absolute,to:'2017-10-24T13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204" t="str">
        <f>IF(AA68&lt;VLOOKUP(AG68,Variables!$AC$3:$AD$8,2,FALSE),"Y","N")</f>
        <v>N</v>
      </c>
      <c r="X68" s="204">
        <f t="shared" ref="X68:X69" si="15">VALUE(LEFT(AD68,4))-VALUE(LEFT(AD67,4))</f>
        <v>1</v>
      </c>
      <c r="Y68" s="204">
        <f>RIGHT(D68,LEN(D68)-4)/10000</f>
        <v>23.3004</v>
      </c>
      <c r="Z68" s="204">
        <f>RIGHT(H68,LEN(H68)-4)/10000</f>
        <v>1.3899999999999999E-2</v>
      </c>
      <c r="AA68" s="204">
        <f>ABS(Z68-Y68)</f>
        <v>23.2865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/stypes="app*4057*20171024*"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156-24 --locoid 4057 --swversion DE.1.0.9.0 --startMP 204:233004 --initTime 2017-10-24T11:06:54 --startdatetime 2017-10-24T11:27:14 --delay 101 --endMP 204:139 --enddatetime 2017-10-24T12:04:16 --enforcementcount 0 &gt;&gt;%USERPROFILE%\Documents\GitHub\eaglep3-reporting\EC\2017-10-24-refined-times.txt</v>
      </c>
      <c r="AI68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{"issue":{"subject":"","project_id":79,"tracker_id":40,"status_id":1,"priority_id":2,"assigned_to_id":338,"start_date":"2017-10-24","description":"","custom_fields":[{"id":1,"name":"Subdivision","value":"EC"},{"id":4,"name":"Milepost","value":"0.0139"},{"id":17,"name":"Train ID","value":"156-24"},{"id":16,"name":"Locomotive ID","value":"4057"},{"id":130,"name":"Impact","value":""},{"id":150,"name":"Time of Event (Mountain Time)","value":"12:04:16"},{"id":151,"name":"Denver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4057 --day 2017-10-24</v>
      </c>
      <c r="AN68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-24T10:06:54-0600',mode:absolute,to:'2017-10-24T13:04:16-0600'))&amp;_a=(columns:!('Message%20ID',Summary),filters:!(),index:'emp_*',interval:auto,query:(query_string:(analyze_wildcard:!t,query:'%22rtdc.l.rtdc.4057%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662</v>
      </c>
      <c r="B69" s="7">
        <v>4028</v>
      </c>
      <c r="C69" s="21" t="s">
        <v>194</v>
      </c>
      <c r="D69" s="21" t="s">
        <v>420</v>
      </c>
      <c r="E69" s="13">
        <v>43032.444803240738</v>
      </c>
      <c r="F69" s="13">
        <v>43032.448275462964</v>
      </c>
      <c r="G69" s="7">
        <v>93</v>
      </c>
      <c r="H69" s="21" t="s">
        <v>897</v>
      </c>
      <c r="I69" s="13">
        <v>43032.476342592592</v>
      </c>
      <c r="J69" s="7">
        <v>0</v>
      </c>
      <c r="K69" s="89" t="str">
        <f>IF(ISEVEN(B69),(B69-1)&amp;"/"&amp;B69,B69&amp;"/"&amp;(B69+1))</f>
        <v>4027/4028</v>
      </c>
      <c r="L69" s="185" t="str">
        <f>VLOOKUP(A69,'Trips&amp;Operators'!$C$1:$G$99911,5,FALSE)</f>
        <v>DAVIS MICHAEL</v>
      </c>
      <c r="M69" s="6">
        <f>I69-F69</f>
        <v>2.806712962774327E-2</v>
      </c>
      <c r="N69" s="7">
        <f>24*60*SUM($M69:$M69)</f>
        <v>40.416666663950309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-24T09:40:31-0600',mode:absolute,to:'2017-10-24T12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204" t="str">
        <f>IF(AA69&lt;VLOOKUP(AG69,Variables!$AC$3:$AD$8,2,FALSE),"Y","N")</f>
        <v>N</v>
      </c>
      <c r="X69" s="204">
        <f t="shared" si="15"/>
        <v>1</v>
      </c>
      <c r="Y69" s="204">
        <f>RIGHT(D69,LEN(D69)-4)/10000</f>
        <v>4.6899999999999997E-2</v>
      </c>
      <c r="Z69" s="204">
        <f>RIGHT(H69,LEN(H69)-4)/10000</f>
        <v>23.330100000000002</v>
      </c>
      <c r="AA69" s="204">
        <f>ABS(Z69-Y69)</f>
        <v>23.283200000000001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/stypes="app*4028*20171024*"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157-24 --locoid 4028 --swversion DE.1.0.9.0 --startMP 204:469 --initTime 2017-10-24T10:40:31 --startdatetime 2017-10-24T10:45:31 --delay 93 --endMP 204:233301 --enddatetime 2017-10-24T11:25:56 --enforcementcount 0 &gt;&gt;%USERPROFILE%\Documents\GitHub\eaglep3-reporting\EC\2017-10-24-refined-times.txt</v>
      </c>
      <c r="AI69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{"issue":{"subject":"","project_id":79,"tracker_id":40,"status_id":1,"priority_id":2,"assigned_to_id":338,"start_date":"2017-10-24","description":"","custom_fields":[{"id":1,"name":"Subdivision","value":"EC"},{"id":4,"name":"Milepost","value":"23.3301"},{"id":17,"name":"Train ID","value":"157-24"},{"id":16,"name":"Locomotive ID","value":"4028"},{"id":130,"name":"Impact","value":""},{"id":150,"name":"Time of Event (Mountain Time)","value":"11:25:56"},{"id":151,"name":"Denver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4028 --day 2017-10-24</v>
      </c>
      <c r="AN69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-24T09:40:31-0600',mode:absolute,to:'2017-10-24T12:25:56-0600'))&amp;_a=(columns:!('Message%20ID',Summary),filters:!(),index:'emp_*',interval:auto,query:(query_string:(analyze_wildcard:!t,query:'%22rtdc.l.rtdc.4028%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769</v>
      </c>
      <c r="B70" s="7">
        <v>4027</v>
      </c>
      <c r="C70" s="21" t="s">
        <v>194</v>
      </c>
      <c r="D70" s="21" t="s">
        <v>446</v>
      </c>
      <c r="E70" s="13">
        <v>43032.484930555554</v>
      </c>
      <c r="F70" s="13">
        <v>43032.487858796296</v>
      </c>
      <c r="G70" s="7">
        <v>100</v>
      </c>
      <c r="H70" s="21" t="s">
        <v>354</v>
      </c>
      <c r="I70" s="13">
        <v>43032.5156712963</v>
      </c>
      <c r="J70" s="7">
        <v>0</v>
      </c>
      <c r="K70" s="89" t="str">
        <f>IF(ISEVEN(B70),(B70-1)&amp;"/"&amp;B70,B70&amp;"/"&amp;(B70+1))</f>
        <v>4027/4028</v>
      </c>
      <c r="L70" s="185" t="str">
        <f>VLOOKUP(A70,'Trips&amp;Operators'!$C$1:$G$99911,5,FALSE)</f>
        <v>DAVIS MICHAEL</v>
      </c>
      <c r="M70" s="6">
        <f>I70-F70</f>
        <v>2.7812500004074536E-2</v>
      </c>
      <c r="N70" s="7">
        <f>24*60*SUM($M70:$M70)</f>
        <v>40.050000005867332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-24T10:38:18-0600',mode:absolute,to:'2017-10-24T13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23.301300000000001</v>
      </c>
      <c r="Z70" s="204">
        <f>RIGHT(H70,LEN(H70)-4)/10000</f>
        <v>1.52E-2</v>
      </c>
      <c r="AA70" s="204">
        <f>ABS(Z70-Y70)</f>
        <v>23.286100000000001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/stypes="app*4027*20171024*"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158-24 --locoid 4027 --swversion DE.1.0.9.0 --startMP 204:233013 --initTime 2017-10-24T11:38:18 --startdatetime 2017-10-24T11:42:31 --delay 100 --endMP 204:152 --enddatetime 2017-10-24T12:22:34 --enforcementcount 0 &gt;&gt;%USERPROFILE%\Documents\GitHub\eaglep3-reporting\EC\2017-10-24-refined-times.txt</v>
      </c>
      <c r="AI70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{"issue":{"subject":"","project_id":79,"tracker_id":40,"status_id":1,"priority_id":2,"assigned_to_id":338,"start_date":"2017-10-24","description":"","custom_fields":[{"id":1,"name":"Subdivision","value":"EC"},{"id":4,"name":"Milepost","value":"0.0152"},{"id":17,"name":"Train ID","value":"158-24"},{"id":16,"name":"Locomotive ID","value":"4027"},{"id":130,"name":"Impact","value":""},{"id":150,"name":"Time of Event (Mountain Time)","value":"12:22:34"},{"id":151,"name":"Denver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4027 --day 2017-10-24</v>
      </c>
      <c r="AN70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-24T10:38:18-0600',mode:absolute,to:'2017-10-24T13:22:34-0600'))&amp;_a=(columns:!('Message%20ID',Summary),filters:!(),index:'emp_*',interval:auto,query:(query_string:(analyze_wildcard:!t,query:'%22rtdc.l.rtdc.4027%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760</v>
      </c>
      <c r="B71" s="7">
        <v>4002</v>
      </c>
      <c r="C71" s="21" t="s">
        <v>194</v>
      </c>
      <c r="D71" s="21" t="s">
        <v>381</v>
      </c>
      <c r="E71" s="13">
        <v>43032.45652777778</v>
      </c>
      <c r="F71" s="13">
        <v>43032.458622685182</v>
      </c>
      <c r="G71" s="7">
        <v>60</v>
      </c>
      <c r="H71" s="21" t="s">
        <v>903</v>
      </c>
      <c r="I71" s="13">
        <v>43032.485150462962</v>
      </c>
      <c r="J71" s="7">
        <v>0</v>
      </c>
      <c r="K71" s="89" t="str">
        <f>IF(ISEVEN(B71),(B71-1)&amp;"/"&amp;B71,B71&amp;"/"&amp;(B71+1))</f>
        <v>4001/4002</v>
      </c>
      <c r="L71" s="185" t="str">
        <f>VLOOKUP(A71,'Trips&amp;Operators'!$C$1:$G$99911,5,FALSE)</f>
        <v>MACDONALD THOMAS</v>
      </c>
      <c r="M71" s="6">
        <f>I71-F71</f>
        <v>2.6527777779847383E-2</v>
      </c>
      <c r="N71" s="7">
        <f>24*60*SUM($M71:$M71)</f>
        <v>38.200000002980232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-24T09:57:24-0600',mode:absolute,to:'2017-10-24T12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4.6699999999999998E-2</v>
      </c>
      <c r="Z71" s="204">
        <f>RIGHT(H71,LEN(H71)-4)/10000</f>
        <v>23.328499999999998</v>
      </c>
      <c r="AA71" s="204">
        <f>ABS(Z71-Y71)</f>
        <v>23.281799999999997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/stypes="app*4002*20171024*"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159-24 --locoid 4002 --swversion DE.1.0.9.0 --startMP 204:467 --initTime 2017-10-24T10:57:24 --startdatetime 2017-10-24T11:00:25 --delay 60 --endMP 204:233285 --enddatetime 2017-10-24T11:38:37 --enforcementcount 0 &gt;&gt;%USERPROFILE%\Documents\GitHub\eaglep3-reporting\EC\2017-10-24-refined-times.txt</v>
      </c>
      <c r="AI71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{"issue":{"subject":"","project_id":79,"tracker_id":40,"status_id":1,"priority_id":2,"assigned_to_id":338,"start_date":"2017-10-24","description":"","custom_fields":[{"id":1,"name":"Subdivision","value":"EC"},{"id":4,"name":"Milepost","value":"23.3285"},{"id":17,"name":"Train ID","value":"159-24"},{"id":16,"name":"Locomotive ID","value":"4002"},{"id":130,"name":"Impact","value":""},{"id":150,"name":"Time of Event (Mountain Time)","value":"11:38:37"},{"id":151,"name":"Denver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4002 --day 2017-10-24</v>
      </c>
      <c r="AN71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-24T09:57:24-0600',mode:absolute,to:'2017-10-24T12:38:37-0600'))&amp;_a=(columns:!('Message%20ID',Summary),filters:!(),index:'emp_*',interval:auto,query:(query_string:(analyze_wildcard:!t,query:'%22rtdc.l.rtdc.4002%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771</v>
      </c>
      <c r="B72" s="7">
        <v>4001</v>
      </c>
      <c r="C72" s="21" t="s">
        <v>194</v>
      </c>
      <c r="D72" s="21" t="s">
        <v>602</v>
      </c>
      <c r="E72" s="13">
        <v>43032.489351851851</v>
      </c>
      <c r="F72" s="13">
        <v>43032.498425925929</v>
      </c>
      <c r="G72" s="7">
        <v>48</v>
      </c>
      <c r="H72" s="21" t="s">
        <v>612</v>
      </c>
      <c r="I72" s="13">
        <v>43032.525787037041</v>
      </c>
      <c r="J72" s="7">
        <v>0</v>
      </c>
      <c r="K72" s="89" t="str">
        <f>IF(ISEVEN(B72),(B72-1)&amp;"/"&amp;B72,B72&amp;"/"&amp;(B72+1))</f>
        <v>4001/4002</v>
      </c>
      <c r="L72" s="185" t="str">
        <f>VLOOKUP(A72,'Trips&amp;Operators'!$C$1:$G$99911,5,FALSE)</f>
        <v>MACDONALD THOMAS</v>
      </c>
      <c r="M72" s="6">
        <f>I72-F72</f>
        <v>2.73611111115315E-2</v>
      </c>
      <c r="N72" s="7">
        <f>24*60*SUM($M72:$M72)</f>
        <v>39.40000000060536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-24T10:44:40-0600',mode:absolute,to:'2017-10-24T13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23.297899999999998</v>
      </c>
      <c r="Z72" s="204">
        <f>RIGHT(H72,LEN(H72)-4)/10000</f>
        <v>1.6E-2</v>
      </c>
      <c r="AA72" s="204">
        <f>ABS(Z72-Y72)</f>
        <v>23.2819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/stypes="app*4001*20171024*"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160-24 --locoid 4001 --swversion DE.1.0.9.0 --startMP 204:232979 --initTime 2017-10-24T11:44:40 --startdatetime 2017-10-24T11:57:44 --delay 48 --endMP 204:160 --enddatetime 2017-10-24T12:37:08 --enforcementcount 0 &gt;&gt;%USERPROFILE%\Documents\GitHub\eaglep3-reporting\EC\2017-10-24-refined-times.txt</v>
      </c>
      <c r="AI72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{"issue":{"subject":"","project_id":79,"tracker_id":40,"status_id":1,"priority_id":2,"assigned_to_id":338,"start_date":"2017-10-24","description":"","custom_fields":[{"id":1,"name":"Subdivision","value":"EC"},{"id":4,"name":"Milepost","value":"0.016"},{"id":17,"name":"Train ID","value":"160-24"},{"id":16,"name":"Locomotive ID","value":"4001"},{"id":130,"name":"Impact","value":""},{"id":150,"name":"Time of Event (Mountain Time)","value":"12:37:08"},{"id":151,"name":"Denver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4001 --day 2017-10-24</v>
      </c>
      <c r="AN72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-24T10:44:40-0600',mode:absolute,to:'2017-10-24T13:37:08-0600'))&amp;_a=(columns:!('Message%20ID',Summary),filters:!(),index:'emp_*',interval:auto,query:(query_string:(analyze_wildcard:!t,query:'%22rtdc.l.rtdc.4001%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763</v>
      </c>
      <c r="B73" s="7">
        <v>4026</v>
      </c>
      <c r="C73" s="21" t="s">
        <v>194</v>
      </c>
      <c r="D73" s="21" t="s">
        <v>917</v>
      </c>
      <c r="E73" s="13">
        <v>43032.466400462959</v>
      </c>
      <c r="F73" s="13">
        <v>43032.468946759262</v>
      </c>
      <c r="G73" s="7">
        <v>105</v>
      </c>
      <c r="H73" s="21" t="s">
        <v>897</v>
      </c>
      <c r="I73" s="13">
        <v>43032.49322916667</v>
      </c>
      <c r="J73" s="7">
        <v>0</v>
      </c>
      <c r="K73" s="89" t="str">
        <f>IF(ISEVEN(B73),(B73-1)&amp;"/"&amp;B73,B73&amp;"/"&amp;(B73+1))</f>
        <v>4025/4026</v>
      </c>
      <c r="L73" s="185" t="str">
        <f>VLOOKUP(A73,'Trips&amp;Operators'!$C$1:$G$99911,5,FALSE)</f>
        <v>BRUDER RICHARD</v>
      </c>
      <c r="M73" s="6">
        <f>I73-F73</f>
        <v>2.4282407408463769E-2</v>
      </c>
      <c r="N73" s="7">
        <f>24*60*SUM($M73:$M73)</f>
        <v>34.966666668187827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-24T10:11:37-0600',mode:absolute,to:'2017-10-24T12:50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4.4400000000000002E-2</v>
      </c>
      <c r="Z73" s="204">
        <f>RIGHT(H73,LEN(H73)-4)/10000</f>
        <v>23.330100000000002</v>
      </c>
      <c r="AA73" s="204">
        <f>ABS(Z73-Y73)</f>
        <v>23.285700000000002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/stypes="app*4026*20171024*"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161-24 --locoid 4026 --swversion DE.1.0.9.0 --startMP 204:444 --initTime 2017-10-24T11:11:37 --startdatetime 2017-10-24T11:15:17 --delay 105 --endMP 204:233301 --enddatetime 2017-10-24T11:50:15 --enforcementcount 0 &gt;&gt;%USERPROFILE%\Documents\GitHub\eaglep3-reporting\EC\2017-10-24-refined-times.txt</v>
      </c>
      <c r="AI73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{"issue":{"subject":"","project_id":79,"tracker_id":40,"status_id":1,"priority_id":2,"assigned_to_id":338,"start_date":"2017-10-24","description":"","custom_fields":[{"id":1,"name":"Subdivision","value":"EC"},{"id":4,"name":"Milepost","value":"23.3301"},{"id":17,"name":"Train ID","value":"161-24"},{"id":16,"name":"Locomotive ID","value":"4026"},{"id":130,"name":"Impact","value":""},{"id":150,"name":"Time of Event (Mountain Time)","value":"11:50:15"},{"id":151,"name":"Denver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4026 --day 2017-10-24</v>
      </c>
      <c r="AN73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-24T10:11:37-0600',mode:absolute,to:'2017-10-24T12:50:15-0600'))&amp;_a=(columns:!('Message%20ID',Summary),filters:!(),index:'emp_*',interval:auto,query:(query_string:(analyze_wildcard:!t,query:'%22rtdc.l.rtdc.4026%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773</v>
      </c>
      <c r="B74" s="7">
        <v>4025</v>
      </c>
      <c r="C74" s="21" t="s">
        <v>194</v>
      </c>
      <c r="D74" s="21" t="s">
        <v>447</v>
      </c>
      <c r="E74" s="13">
        <v>43032.505208333336</v>
      </c>
      <c r="F74" s="13">
        <v>43032.50849537037</v>
      </c>
      <c r="G74" s="7">
        <v>121</v>
      </c>
      <c r="H74" s="21" t="s">
        <v>360</v>
      </c>
      <c r="I74" s="13">
        <v>43032.535162037035</v>
      </c>
      <c r="J74" s="7">
        <v>0</v>
      </c>
      <c r="K74" s="89" t="str">
        <f>IF(ISEVEN(B74),(B74-1)&amp;"/"&amp;B74,B74&amp;"/"&amp;(B74+1))</f>
        <v>4025/4026</v>
      </c>
      <c r="L74" s="185" t="str">
        <f>VLOOKUP(A74,'Trips&amp;Operators'!$C$1:$G$99911,5,FALSE)</f>
        <v>BRUDER RICHARD</v>
      </c>
      <c r="M74" s="6">
        <f>I74-F74</f>
        <v>2.6666666664823424E-2</v>
      </c>
      <c r="N74" s="7">
        <f>24*60*SUM($M74:$M74)</f>
        <v>38.399999997345731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-24T11:07:30-0600',mode:absolute,to:'2017-10-24T13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23.2986</v>
      </c>
      <c r="Z74" s="204">
        <f>RIGHT(H74,LEN(H74)-4)/10000</f>
        <v>1.61E-2</v>
      </c>
      <c r="AA74" s="204">
        <f>ABS(Z74-Y74)</f>
        <v>23.282499999999999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/stypes="app*4025*20171024*"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162-24 --locoid 4025 --swversion DE.1.0.9.0 --startMP 204:232986 --initTime 2017-10-24T12:07:30 --startdatetime 2017-10-24T12:12:14 --delay 121 --endMP 204:161 --enddatetime 2017-10-24T12:50:38 --enforcementcount 0 &gt;&gt;%USERPROFILE%\Documents\GitHub\eaglep3-reporting\EC\2017-10-24-refined-times.txt</v>
      </c>
      <c r="AI74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{"issue":{"subject":"","project_id":79,"tracker_id":40,"status_id":1,"priority_id":2,"assigned_to_id":338,"start_date":"2017-10-24","description":"","custom_fields":[{"id":1,"name":"Subdivision","value":"EC"},{"id":4,"name":"Milepost","value":"0.0161"},{"id":17,"name":"Train ID","value":"162-24"},{"id":16,"name":"Locomotive ID","value":"4025"},{"id":130,"name":"Impact","value":""},{"id":150,"name":"Time of Event (Mountain Time)","value":"12:50:38"},{"id":151,"name":"Denver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4025 --day 2017-10-24</v>
      </c>
      <c r="AN74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-24T11:07:30-0600',mode:absolute,to:'2017-10-24T13:50:38-0600'))&amp;_a=(columns:!('Message%20ID',Summary),filters:!(),index:'emp_*',interval:auto,query:(query_string:(analyze_wildcard:!t,query:'%22rtdc.l.rtdc.4025%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766</v>
      </c>
      <c r="B75" s="7">
        <v>4060</v>
      </c>
      <c r="C75" s="21" t="s">
        <v>194</v>
      </c>
      <c r="D75" s="21" t="s">
        <v>362</v>
      </c>
      <c r="E75" s="13">
        <v>43032.476666666669</v>
      </c>
      <c r="F75" s="13">
        <v>43032.479594907411</v>
      </c>
      <c r="G75" s="7">
        <v>81</v>
      </c>
      <c r="H75" s="21" t="s">
        <v>567</v>
      </c>
      <c r="I75" s="13">
        <v>43032.504432870373</v>
      </c>
      <c r="J75" s="7">
        <v>0</v>
      </c>
      <c r="K75" s="89" t="str">
        <f>IF(ISEVEN(B75),(B75-1)&amp;"/"&amp;B75,B75&amp;"/"&amp;(B75+1))</f>
        <v>4059/4060</v>
      </c>
      <c r="L75" s="185" t="str">
        <f>VLOOKUP(A75,'Trips&amp;Operators'!$C$1:$G$99911,5,FALSE)</f>
        <v>STEWART MICHAEL</v>
      </c>
      <c r="M75" s="6">
        <f>I75-F75</f>
        <v>2.4837962962919846E-2</v>
      </c>
      <c r="N75" s="7">
        <f>24*60*SUM($M75:$M75)</f>
        <v>35.766666666604578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-24T10:26:24-0600',mode:absolute,to:'2017-10-24T13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4.5999999999999999E-2</v>
      </c>
      <c r="Z75" s="204">
        <f>RIGHT(H75,LEN(H75)-4)/10000</f>
        <v>23.3306</v>
      </c>
      <c r="AA75" s="204">
        <f>ABS(Z75-Y75)</f>
        <v>23.284600000000001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/stypes="app*4060*20171024*"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163-24 --locoid 4060 --swversion DE.1.0.9.0 --startMP 204:460 --initTime 2017-10-24T11:26:24 --startdatetime 2017-10-24T11:30:37 --delay 81 --endMP 204:233306 --enddatetime 2017-10-24T12:06:23 --enforcementcount 0 &gt;&gt;%USERPROFILE%\Documents\GitHub\eaglep3-reporting\EC\2017-10-24-refined-times.txt</v>
      </c>
      <c r="AI75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{"issue":{"subject":"","project_id":79,"tracker_id":40,"status_id":1,"priority_id":2,"assigned_to_id":338,"start_date":"2017-10-24","description":"","custom_fields":[{"id":1,"name":"Subdivision","value":"EC"},{"id":4,"name":"Milepost","value":"23.3306"},{"id":17,"name":"Train ID","value":"163-24"},{"id":16,"name":"Locomotive ID","value":"4060"},{"id":130,"name":"Impact","value":""},{"id":150,"name":"Time of Event (Mountain Time)","value":"12:06:23"},{"id":151,"name":"Denver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4060 --day 2017-10-24</v>
      </c>
      <c r="AN75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-24T10:26:24-0600',mode:absolute,to:'2017-10-24T13:06:23-0600'))&amp;_a=(columns:!('Message%20ID',Summary),filters:!(),index:'emp_*',interval:auto,query:(query_string:(analyze_wildcard:!t,query:'%22rtdc.l.rtdc.4060%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775</v>
      </c>
      <c r="B76" s="7">
        <v>4059</v>
      </c>
      <c r="C76" s="21" t="s">
        <v>194</v>
      </c>
      <c r="D76" s="21" t="s">
        <v>615</v>
      </c>
      <c r="E76" s="13">
        <v>43032.513055555559</v>
      </c>
      <c r="F76" s="13">
        <v>43032.51898148148</v>
      </c>
      <c r="G76" s="7">
        <v>76</v>
      </c>
      <c r="H76" s="21" t="s">
        <v>450</v>
      </c>
      <c r="I76" s="13">
        <v>43032.545358796298</v>
      </c>
      <c r="J76" s="7">
        <v>0</v>
      </c>
      <c r="K76" s="89" t="str">
        <f>IF(ISEVEN(B76),(B76-1)&amp;"/"&amp;B76,B76&amp;"/"&amp;(B76+1))</f>
        <v>4059/4060</v>
      </c>
      <c r="L76" s="185" t="str">
        <f>VLOOKUP(A76,'Trips&amp;Operators'!$C$1:$G$99911,5,FALSE)</f>
        <v>STEWART MICHAEL</v>
      </c>
      <c r="M76" s="6">
        <f>I76-F76</f>
        <v>2.6377314818091691E-2</v>
      </c>
      <c r="N76" s="7">
        <f>24*60*SUM($M76:$M76)</f>
        <v>37.983333338052034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-24T11:18:48-0600',mode:absolute,to:'2017-10-24T14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23.298100000000002</v>
      </c>
      <c r="Z76" s="204">
        <f>RIGHT(H76,LEN(H76)-4)/10000</f>
        <v>1.6299999999999999E-2</v>
      </c>
      <c r="AA76" s="204">
        <f>ABS(Z76-Y76)</f>
        <v>23.2818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/stypes="app*4059*20171024*"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164-24 --locoid 4059 --swversion DE.1.0.9.0 --startMP 204:232981 --initTime 2017-10-24T12:18:48 --startdatetime 2017-10-24T12:27:20 --delay 76 --endMP 204:163 --enddatetime 2017-10-24T13:05:19 --enforcementcount 0 &gt;&gt;%USERPROFILE%\Documents\GitHub\eaglep3-reporting\EC\2017-10-24-refined-times.txt</v>
      </c>
      <c r="AI76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{"issue":{"subject":"","project_id":79,"tracker_id":40,"status_id":1,"priority_id":2,"assigned_to_id":338,"start_date":"2017-10-24","description":"","custom_fields":[{"id":1,"name":"Subdivision","value":"EC"},{"id":4,"name":"Milepost","value":"0.0163"},{"id":17,"name":"Train ID","value":"164-24"},{"id":16,"name":"Locomotive ID","value":"4059"},{"id":130,"name":"Impact","value":""},{"id":150,"name":"Time of Event (Mountain Time)","value":"13:05:19"},{"id":151,"name":"Denver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4059 --day 2017-10-24</v>
      </c>
      <c r="AN76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-24T11:18:48-0600',mode:absolute,to:'2017-10-24T14:05:19-0600'))&amp;_a=(columns:!('Message%20ID',Summary),filters:!(),index:'emp_*',interval:auto,query:(query_string:(analyze_wildcard:!t,query:'%22rtdc.l.rtdc.4059%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770</v>
      </c>
      <c r="B77" s="7">
        <v>4010</v>
      </c>
      <c r="C77" s="21" t="s">
        <v>194</v>
      </c>
      <c r="D77" s="21" t="s">
        <v>381</v>
      </c>
      <c r="E77" s="13">
        <v>43032.485613425924</v>
      </c>
      <c r="F77" s="13">
        <v>43032.489756944444</v>
      </c>
      <c r="G77" s="7">
        <v>103</v>
      </c>
      <c r="H77" s="21" t="s">
        <v>918</v>
      </c>
      <c r="I77" s="13">
        <v>43032.514062499999</v>
      </c>
      <c r="J77" s="7">
        <v>0</v>
      </c>
      <c r="K77" s="89" t="str">
        <f>IF(ISEVEN(B77),(B77-1)&amp;"/"&amp;B77,B77&amp;"/"&amp;(B77+1))</f>
        <v>4009/4010</v>
      </c>
      <c r="L77" s="185" t="str">
        <f>VLOOKUP(A77,'Trips&amp;Operators'!$C$1:$G$99911,5,FALSE)</f>
        <v>LEVIN SCOTT</v>
      </c>
      <c r="M77" s="6">
        <f>I77-F77</f>
        <v>2.4305555554747116E-2</v>
      </c>
      <c r="N77" s="7">
        <f>24*60*SUM($M77:$M77)</f>
        <v>34.999999998835847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-24T10:39:17-0600',mode:absolute,to:'2017-10-24T13:20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4.6699999999999998E-2</v>
      </c>
      <c r="Z77" s="204">
        <f>RIGHT(H77,LEN(H77)-4)/10000</f>
        <v>23.332599999999999</v>
      </c>
      <c r="AA77" s="204">
        <f>ABS(Z77-Y77)</f>
        <v>23.285899999999998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/stypes="app*4010*20171024*"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165-24 --locoid 4010 --swversion DE.1.0.9.0 --startMP 204:467 --initTime 2017-10-24T11:39:17 --startdatetime 2017-10-24T11:45:15 --delay 103 --endMP 204:233326 --enddatetime 2017-10-24T12:20:15 --enforcementcount 0 &gt;&gt;%USERPROFILE%\Documents\GitHub\eaglep3-reporting\EC\2017-10-24-refined-times.txt</v>
      </c>
      <c r="AI77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{"issue":{"subject":"","project_id":79,"tracker_id":40,"status_id":1,"priority_id":2,"assigned_to_id":338,"start_date":"2017-10-24","description":"","custom_fields":[{"id":1,"name":"Subdivision","value":"EC"},{"id":4,"name":"Milepost","value":"23.3326"},{"id":17,"name":"Train ID","value":"165-24"},{"id":16,"name":"Locomotive ID","value":"4010"},{"id":130,"name":"Impact","value":""},{"id":150,"name":"Time of Event (Mountain Time)","value":"12:20:15"},{"id":151,"name":"Denver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4010 --day 2017-10-24</v>
      </c>
      <c r="AN77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18:20:15"},{"id":29,"name":"Sharepoint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-24T10:39:17-0600',mode:absolute,to:'2017-10-24T13:20:15-0600'))&amp;_a=(columns:!('Message%20ID',Summary),filters:!(),index:'emp_*',interval:auto,query:(query_string:(analyze_wildcard:!t,query:'%22rtdc.l.rtdc.4010%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778</v>
      </c>
      <c r="B78" s="7">
        <v>4009</v>
      </c>
      <c r="C78" s="21" t="s">
        <v>194</v>
      </c>
      <c r="D78" s="21" t="s">
        <v>421</v>
      </c>
      <c r="E78" s="13">
        <v>43032.521111111113</v>
      </c>
      <c r="F78" s="13">
        <v>43032.529398148145</v>
      </c>
      <c r="G78" s="7">
        <v>73</v>
      </c>
      <c r="H78" s="21" t="s">
        <v>366</v>
      </c>
      <c r="I78" s="13">
        <v>43032.556030092594</v>
      </c>
      <c r="J78" s="7">
        <v>0</v>
      </c>
      <c r="K78" s="89" t="str">
        <f>IF(ISEVEN(B78),(B78-1)&amp;"/"&amp;B78,B78&amp;"/"&amp;(B78+1))</f>
        <v>4009/4010</v>
      </c>
      <c r="L78" s="185" t="str">
        <f>VLOOKUP(A78,'Trips&amp;Operators'!$C$1:$G$99911,5,FALSE)</f>
        <v>LEVIN SCOTT</v>
      </c>
      <c r="M78" s="6">
        <f>I78-F78</f>
        <v>2.6631944449036382E-2</v>
      </c>
      <c r="N78" s="7">
        <f>24*60*SUM($M78:$M78)</f>
        <v>38.35000000661239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-24T11:30:24-0600',mode:absolute,to:'2017-10-24T14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23.299800000000001</v>
      </c>
      <c r="Z78" s="204">
        <f>RIGHT(H78,LEN(H78)-4)/10000</f>
        <v>1.3899999999999999E-2</v>
      </c>
      <c r="AA78" s="204">
        <f>ABS(Z78-Y78)</f>
        <v>23.285900000000002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/stypes="app*4009*20171024*"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5"/>
        <v>"%USERPROFILE%\Documents\GitHub\eaglep3\Utilities\RefineRTDCRunTimes.py" --tripid 166-24 --locoid 4009 --swversion DE.1.0.9.0 --startMP 204:232998 --initTime 2017-10-24T12:30:24 --startdatetime 2017-10-24T12:42:20 --delay 73 --endMP 204:139 --enddatetime 2017-10-24T13:20:41 --enforcementcount 0 &gt;&gt;%USERPROFILE%\Documents\GitHub\eaglep3-reporting\EC\2017-10-24-refined-times.txt</v>
      </c>
      <c r="AI78" s="96" t="str">
        <f t="shared" si="6"/>
        <v>echo {"issue":{"subject":"","project_id":79,"tracker_id":40,"status_id":1,"priority_id":2,"assigned_to_id":338,"start_date":"2017-10-24","description":"","custom_fields":[{"id":1,"name":"Subdivision","value":"EC"},{"id":4,"name":"Milepost","value":"0.0139"},{"id":17,"name":"Train ID","value":"166-24"},{"id":16,"name":"Locomotive ID","value":"4009"},{"id":130,"name":"Impact","value":""},{"id":150,"name":"Time of Event (Mountain Time)","value":"13:20:41"},{"id":151,"name":"Denver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7"/>
        <v>start /low /b %USERPROFILE%\Documents\GitHub\eaglep3\Utilities\DownloadLogsFromS3.py --loco 4009 --day 2017-10-24</v>
      </c>
      <c r="AN78" s="151" t="str">
        <f t="shared" si="8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9"/>
        <v>https://d0f6bd738d7f1b3e5a7ca70fe4ff75f0.us-east-1.aws.found.io/app/kibana#/discover/Steve-Slow-Train-Analysis-(2080s-and-2083s)?_g=(refreshInterval:(display:Off,pause:!f,section:0,value:0),time:(from:'2017-10-24T11:30:24-0600',mode:absolute,to:'2017-10-24T14:20:41-0600'))&amp;_a=(columns:!('Message%20ID',Summary),filters:!(),index:'emp_*',interval:auto,query:(query_string:(analyze_wildcard:!t,query:'%22rtdc.l.rtdc.4009%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772</v>
      </c>
      <c r="B79" s="7">
        <v>4016</v>
      </c>
      <c r="C79" s="21" t="s">
        <v>194</v>
      </c>
      <c r="D79" s="21" t="s">
        <v>376</v>
      </c>
      <c r="E79" s="13">
        <v>43032.497199074074</v>
      </c>
      <c r="F79" s="13">
        <v>43032.500208333331</v>
      </c>
      <c r="G79" s="7">
        <v>69</v>
      </c>
      <c r="H79" s="21" t="s">
        <v>569</v>
      </c>
      <c r="I79" s="13">
        <v>43032.526203703703</v>
      </c>
      <c r="J79" s="7">
        <v>0</v>
      </c>
      <c r="K79" s="89" t="str">
        <f>IF(ISEVEN(B79),(B79-1)&amp;"/"&amp;B79,B79&amp;"/"&amp;(B79+1))</f>
        <v>4015/4016</v>
      </c>
      <c r="L79" s="185" t="str">
        <f>VLOOKUP(A79,'Trips&amp;Operators'!$C$1:$G$99911,5,FALSE)</f>
        <v>LEVERE CRAIG</v>
      </c>
      <c r="M79" s="6">
        <f>I79-F79</f>
        <v>2.5995370371674653E-2</v>
      </c>
      <c r="N79" s="7">
        <f>24*60*SUM($M79:$M79)</f>
        <v>37.433333335211501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-24T10:55:58-0600',mode:absolute,to:'2017-10-24T13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4.5699999999999998E-2</v>
      </c>
      <c r="Z79" s="204">
        <f>RIGHT(H79,LEN(H79)-4)/10000</f>
        <v>23.332899999999999</v>
      </c>
      <c r="AA79" s="204">
        <f>ABS(Z79-Y79)</f>
        <v>23.287199999999999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/stypes="app*4016*20171024*"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ref="AH79:AH142" si="16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167-24 --locoid 4016 --swversion DE.1.0.9.0 --startMP 204:457 --initTime 2017-10-24T11:55:58 --startdatetime 2017-10-24T12:00:18 --delay 69 --endMP 204:233329 --enddatetime 2017-10-24T12:37:44 --enforcementcount 0 &gt;&gt;%USERPROFILE%\Documents\GitHub\eaglep3-reporting\EC\2017-10-24-refined-times.txt</v>
      </c>
      <c r="AI79" s="96" t="str">
        <f t="shared" ref="AI79:AI142" si="17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{"issue":{"subject":"","project_id":79,"tracker_id":40,"status_id":1,"priority_id":2,"assigned_to_id":338,"start_date":"2017-10-24","description":"","custom_fields":[{"id":1,"name":"Subdivision","value":"EC"},{"id":4,"name":"Milepost","value":"23.3329"},{"id":17,"name":"Train ID","value":"167-24"},{"id":16,"name":"Locomotive ID","value":"4016"},{"id":130,"name":"Impact","value":""},{"id":150,"name":"Time of Event (Mountain Time)","value":"12:37:44"},{"id":151,"name":"Denver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ref="AM79:AM142" si="18">"start /low /b "&amp;dls3logs&amp;" --loco "&amp;B79&amp;" --day "&amp;TEXT(F79,"YYYY-MM-DD")</f>
        <v>start /low /b %USERPROFILE%\Documents\GitHub\eaglep3\Utilities\DownloadLogsFromS3.py --loco 4016 --day 2017-10-24</v>
      </c>
      <c r="AN79" s="151" t="str">
        <f t="shared" ref="AN79:AN142" si="19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ref="AO79:AO142" si="20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-24T10:55:58-0600',mode:absolute,to:'2017-10-24T13:37:44-0600'))&amp;_a=(columns:!('Message%20ID',Summary),filters:!(),index:'emp_*',interval:auto,query:(query_string:(analyze_wildcard:!t,query:'%22rtdc.l.rtdc.4016%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780</v>
      </c>
      <c r="B80" s="7">
        <v>4015</v>
      </c>
      <c r="C80" s="21" t="s">
        <v>194</v>
      </c>
      <c r="D80" s="21" t="s">
        <v>446</v>
      </c>
      <c r="E80" s="13">
        <v>43032.53392361111</v>
      </c>
      <c r="F80" s="13">
        <v>43032.539837962962</v>
      </c>
      <c r="G80" s="7">
        <v>76</v>
      </c>
      <c r="H80" s="21" t="s">
        <v>612</v>
      </c>
      <c r="I80" s="13">
        <v>43032.567314814813</v>
      </c>
      <c r="J80" s="7">
        <v>0</v>
      </c>
      <c r="K80" s="89" t="str">
        <f>IF(ISEVEN(B80),(B80-1)&amp;"/"&amp;B80,B80&amp;"/"&amp;(B80+1))</f>
        <v>4015/4016</v>
      </c>
      <c r="L80" s="185" t="str">
        <f>VLOOKUP(A80,'Trips&amp;Operators'!$C$1:$G$99911,5,FALSE)</f>
        <v>LEVERE CRAIG</v>
      </c>
      <c r="M80" s="6">
        <f>I80-F80</f>
        <v>2.7476851850224193E-2</v>
      </c>
      <c r="N80" s="7">
        <f>24*60*SUM($M80:$M80)</f>
        <v>39.566666664322838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-24T11:48:51-0600',mode:absolute,to:'2017-10-24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23.301300000000001</v>
      </c>
      <c r="Z80" s="204">
        <f>RIGHT(H80,LEN(H80)-4)/10000</f>
        <v>1.6E-2</v>
      </c>
      <c r="AA80" s="204">
        <f>ABS(Z80-Y80)</f>
        <v>23.285300000000003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/stypes="app*4015*20171024*"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6"/>
        <v>"%USERPROFILE%\Documents\GitHub\eaglep3\Utilities\RefineRTDCRunTimes.py" --tripid 168-24 --locoid 4015 --swversion DE.1.0.9.0 --startMP 204:233013 --initTime 2017-10-24T12:48:51 --startdatetime 2017-10-24T12:57:22 --delay 76 --endMP 204:160 --enddatetime 2017-10-24T13:36:56 --enforcementcount 0 &gt;&gt;%USERPROFILE%\Documents\GitHub\eaglep3-reporting\EC\2017-10-24-refined-times.txt</v>
      </c>
      <c r="AI8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{"issue":{"subject":"","project_id":79,"tracker_id":40,"status_id":1,"priority_id":2,"assigned_to_id":338,"start_date":"2017-10-24","description":"","custom_fields":[{"id":1,"name":"Subdivision","value":"EC"},{"id":4,"name":"Milepost","value":"0.016"},{"id":17,"name":"Train ID","value":"168-24"},{"id":16,"name":"Locomotive ID","value":"4015"},{"id":130,"name":"Impact","value":""},{"id":150,"name":"Time of Event (Mountain Time)","value":"13:36:56"},{"id":151,"name":"Denver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8"/>
        <v>start /low /b %USERPROFILE%\Documents\GitHub\eaglep3\Utilities\DownloadLogsFromS3.py --loco 4015 --day 2017-10-24</v>
      </c>
      <c r="AN80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20"/>
        <v>https://d0f6bd738d7f1b3e5a7ca70fe4ff75f0.us-east-1.aws.found.io/app/kibana#/discover/Steve-Slow-Train-Analysis-(2080s-and-2083s)?_g=(refreshInterval:(display:Off,pause:!f,section:0,value:0),time:(from:'2017-10-24T11:48:51-0600',mode:absolute,to:'2017-10-24T14:36:56-0600'))&amp;_a=(columns:!('Message%20ID',Summary),filters:!(),index:'emp_*',interval:auto,query:(query_string:(analyze_wildcard:!t,query:'%22rtdc.l.rtdc.4015%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774</v>
      </c>
      <c r="B81" s="7">
        <v>4058</v>
      </c>
      <c r="C81" s="21" t="s">
        <v>194</v>
      </c>
      <c r="D81" s="21" t="s">
        <v>405</v>
      </c>
      <c r="E81" s="13">
        <v>43032.504756944443</v>
      </c>
      <c r="F81" s="13">
        <v>43032.510671296295</v>
      </c>
      <c r="G81" s="7">
        <v>171</v>
      </c>
      <c r="H81" s="21" t="s">
        <v>919</v>
      </c>
      <c r="I81" s="13">
        <v>43032.534560185188</v>
      </c>
      <c r="J81" s="7">
        <v>0</v>
      </c>
      <c r="K81" s="89" t="str">
        <f>IF(ISEVEN(B81),(B81-1)&amp;"/"&amp;B81,B81&amp;"/"&amp;(B81+1))</f>
        <v>4057/4058</v>
      </c>
      <c r="L81" s="185" t="str">
        <f>VLOOKUP(A81,'Trips&amp;Operators'!$C$1:$G$99911,5,FALSE)</f>
        <v>SAFIEF AEIMEN</v>
      </c>
      <c r="M81" s="6">
        <f>I81-F81</f>
        <v>2.3888888892543036E-2</v>
      </c>
      <c r="N81" s="7">
        <f>24*60*SUM($M81:$M81)</f>
        <v>34.400000005261973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-24T11:06:51-0600',mode:absolute,to:'2017-10-24T13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4.3999999999999997E-2</v>
      </c>
      <c r="Z81" s="204">
        <f>RIGHT(H81,LEN(H81)-4)/10000</f>
        <v>23.335100000000001</v>
      </c>
      <c r="AA81" s="204">
        <f>ABS(Z81-Y81)</f>
        <v>23.2911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/stypes="app*4058*20171024*"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6"/>
        <v>"%USERPROFILE%\Documents\GitHub\eaglep3\Utilities\RefineRTDCRunTimes.py" --tripid 169-24 --locoid 4058 --swversion DE.1.0.9.0 --startMP 204:440 --initTime 2017-10-24T12:06:51 --startdatetime 2017-10-24T12:15:22 --delay 171 --endMP 204:233351 --enddatetime 2017-10-24T12:49:46 --enforcementcount 0 &gt;&gt;%USERPROFILE%\Documents\GitHub\eaglep3-reporting\EC\2017-10-24-refined-times.txt</v>
      </c>
      <c r="AI8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{"issue":{"subject":"","project_id":79,"tracker_id":40,"status_id":1,"priority_id":2,"assigned_to_id":338,"start_date":"2017-10-24","description":"","custom_fields":[{"id":1,"name":"Subdivision","value":"EC"},{"id":4,"name":"Milepost","value":"23.3351"},{"id":17,"name":"Train ID","value":"169-24"},{"id":16,"name":"Locomotive ID","value":"4058"},{"id":130,"name":"Impact","value":""},{"id":150,"name":"Time of Event (Mountain Time)","value":"12:49:46"},{"id":151,"name":"Denver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8"/>
        <v>start /low /b %USERPROFILE%\Documents\GitHub\eaglep3\Utilities\DownloadLogsFromS3.py --loco 4058 --day 2017-10-24</v>
      </c>
      <c r="AN81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20"/>
        <v>https://d0f6bd738d7f1b3e5a7ca70fe4ff75f0.us-east-1.aws.found.io/app/kibana#/discover/Steve-Slow-Train-Analysis-(2080s-and-2083s)?_g=(refreshInterval:(display:Off,pause:!f,section:0,value:0),time:(from:'2017-10-24T11:06:51-0600',mode:absolute,to:'2017-10-24T13:49:46-0600'))&amp;_a=(columns:!('Message%20ID',Summary),filters:!(),index:'emp_*',interval:auto,query:(query_string:(analyze_wildcard:!t,query:'%22rtdc.l.rtdc.4058%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782</v>
      </c>
      <c r="B82" s="7">
        <v>4057</v>
      </c>
      <c r="C82" s="21" t="s">
        <v>194</v>
      </c>
      <c r="D82" s="21" t="s">
        <v>920</v>
      </c>
      <c r="E82" s="13">
        <v>43032.540821759256</v>
      </c>
      <c r="F82" s="13">
        <v>43032.550173611111</v>
      </c>
      <c r="G82" s="7">
        <v>91</v>
      </c>
      <c r="H82" s="21" t="s">
        <v>355</v>
      </c>
      <c r="I82" s="13">
        <v>43032.576388888891</v>
      </c>
      <c r="J82" s="7">
        <v>0</v>
      </c>
      <c r="K82" s="89" t="str">
        <f>IF(ISEVEN(B82),(B82-1)&amp;"/"&amp;B82,B82&amp;"/"&amp;(B82+1))</f>
        <v>4057/4058</v>
      </c>
      <c r="L82" s="185" t="str">
        <f>VLOOKUP(A82,'Trips&amp;Operators'!$C$1:$G$99911,5,FALSE)</f>
        <v>SAFIEF AEIMEN</v>
      </c>
      <c r="M82" s="6">
        <f>I82-F82</f>
        <v>2.6215277779556345E-2</v>
      </c>
      <c r="N82" s="7">
        <f>24*60*SUM($M82:$M82)</f>
        <v>37.750000002561137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-24T11:58:47-0600',mode:absolute,to:'2017-10-24T14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23.3</v>
      </c>
      <c r="Z82" s="204">
        <f>RIGHT(H82,LEN(H82)-4)/10000</f>
        <v>1.4500000000000001E-2</v>
      </c>
      <c r="AA82" s="204">
        <f>ABS(Z82-Y82)</f>
        <v>23.285499999999999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/stypes="app*4057*20171024*"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6"/>
        <v>"%USERPROFILE%\Documents\GitHub\eaglep3\Utilities\RefineRTDCRunTimes.py" --tripid 170-24 --locoid 4057 --swversion DE.1.0.9.0 --startMP 204:233000 --initTime 2017-10-24T12:58:47 --startdatetime 2017-10-24T13:12:15 --delay 91 --endMP 204:145 --enddatetime 2017-10-24T13:50:00 --enforcementcount 0 &gt;&gt;%USERPROFILE%\Documents\GitHub\eaglep3-reporting\EC\2017-10-24-refined-times.txt</v>
      </c>
      <c r="AI8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{"issue":{"subject":"","project_id":79,"tracker_id":40,"status_id":1,"priority_id":2,"assigned_to_id":338,"start_date":"2017-10-24","description":"","custom_fields":[{"id":1,"name":"Subdivision","value":"EC"},{"id":4,"name":"Milepost","value":"0.0145"},{"id":17,"name":"Train ID","value":"170-24"},{"id":16,"name":"Locomotive ID","value":"4057"},{"id":130,"name":"Impact","value":""},{"id":150,"name":"Time of Event (Mountain Time)","value":"13:50:00"},{"id":151,"name":"Denver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8"/>
        <v>start /low /b %USERPROFILE%\Documents\GitHub\eaglep3\Utilities\DownloadLogsFromS3.py --loco 4057 --day 2017-10-24</v>
      </c>
      <c r="AN82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20"/>
        <v>https://d0f6bd738d7f1b3e5a7ca70fe4ff75f0.us-east-1.aws.found.io/app/kibana#/discover/Steve-Slow-Train-Analysis-(2080s-and-2083s)?_g=(refreshInterval:(display:Off,pause:!f,section:0,value:0),time:(from:'2017-10-24T11:58:47-0600',mode:absolute,to:'2017-10-24T14:50:00-0600'))&amp;_a=(columns:!('Message%20ID',Summary),filters:!(),index:'emp_*',interval:auto,query:(query_string:(analyze_wildcard:!t,query:'%22rtdc.l.rtdc.4057%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777</v>
      </c>
      <c r="B83" s="7">
        <v>4028</v>
      </c>
      <c r="C83" s="21" t="s">
        <v>194</v>
      </c>
      <c r="D83" s="21" t="s">
        <v>353</v>
      </c>
      <c r="E83" s="13">
        <v>43032.519363425927</v>
      </c>
      <c r="F83" s="13">
        <v>43032.521354166667</v>
      </c>
      <c r="G83" s="7">
        <v>61</v>
      </c>
      <c r="H83" s="21" t="s">
        <v>921</v>
      </c>
      <c r="I83" s="13">
        <v>43032.547800925924</v>
      </c>
      <c r="J83" s="7">
        <v>0</v>
      </c>
      <c r="K83" s="89" t="str">
        <f>IF(ISEVEN(B83),(B83-1)&amp;"/"&amp;B83,B83&amp;"/"&amp;(B83+1))</f>
        <v>4027/4028</v>
      </c>
      <c r="L83" s="185" t="str">
        <f>VLOOKUP(A83,'Trips&amp;Operators'!$C$1:$G$99911,5,FALSE)</f>
        <v>DAVIS MICHAEL</v>
      </c>
      <c r="M83" s="6">
        <f>I83-F83</f>
        <v>2.6446759256941732E-2</v>
      </c>
      <c r="N83" s="7">
        <f>24*60*SUM($M83:$M83)</f>
        <v>38.083333329996094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-24T11:27:53-0600',mode:absolute,to:'2017-10-24T14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4.58E-2</v>
      </c>
      <c r="Z83" s="204">
        <f>RIGHT(H83,LEN(H83)-4)/10000</f>
        <v>23.327999999999999</v>
      </c>
      <c r="AA83" s="204">
        <f>ABS(Z83-Y83)</f>
        <v>23.2822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/stypes="app*4028*20171024*"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6"/>
        <v>"%USERPROFILE%\Documents\GitHub\eaglep3\Utilities\RefineRTDCRunTimes.py" --tripid 171-24 --locoid 4028 --swversion DE.1.0.9.0 --startMP 204:458 --initTime 2017-10-24T12:27:53 --startdatetime 2017-10-24T12:30:45 --delay 61 --endMP 204:233280 --enddatetime 2017-10-24T13:08:50 --enforcementcount 0 &gt;&gt;%USERPROFILE%\Documents\GitHub\eaglep3-reporting\EC\2017-10-24-refined-times.txt</v>
      </c>
      <c r="AI83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{"issue":{"subject":"","project_id":79,"tracker_id":40,"status_id":1,"priority_id":2,"assigned_to_id":338,"start_date":"2017-10-24","description":"","custom_fields":[{"id":1,"name":"Subdivision","value":"EC"},{"id":4,"name":"Milepost","value":"23.328"},{"id":17,"name":"Train ID","value":"171-24"},{"id":16,"name":"Locomotive ID","value":"4028"},{"id":130,"name":"Impact","value":""},{"id":150,"name":"Time of Event (Mountain Time)","value":"13:08:50"},{"id":151,"name":"Denver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8"/>
        <v>start /low /b %USERPROFILE%\Documents\GitHub\eaglep3\Utilities\DownloadLogsFromS3.py --loco 4028 --day 2017-10-24</v>
      </c>
      <c r="AN83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20"/>
        <v>https://d0f6bd738d7f1b3e5a7ca70fe4ff75f0.us-east-1.aws.found.io/app/kibana#/discover/Steve-Slow-Train-Analysis-(2080s-and-2083s)?_g=(refreshInterval:(display:Off,pause:!f,section:0,value:0),time:(from:'2017-10-24T11:27:53-0600',mode:absolute,to:'2017-10-24T14:08:50-0600'))&amp;_a=(columns:!('Message%20ID',Summary),filters:!(),index:'emp_*',interval:auto,query:(query_string:(analyze_wildcard:!t,query:'%22rtdc.l.rtdc.4028%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665</v>
      </c>
      <c r="B84" s="7">
        <v>4027</v>
      </c>
      <c r="C84" s="21" t="s">
        <v>194</v>
      </c>
      <c r="D84" s="21" t="s">
        <v>922</v>
      </c>
      <c r="E84" s="13">
        <v>43032.557372685187</v>
      </c>
      <c r="F84" s="13">
        <v>43032.560856481483</v>
      </c>
      <c r="G84" s="7">
        <v>78</v>
      </c>
      <c r="H84" s="21" t="s">
        <v>923</v>
      </c>
      <c r="I84" s="13">
        <v>43032.588680555556</v>
      </c>
      <c r="J84" s="7">
        <v>0</v>
      </c>
      <c r="K84" s="89" t="str">
        <f>IF(ISEVEN(B84),(B84-1)&amp;"/"&amp;B84,B84&amp;"/"&amp;(B84+1))</f>
        <v>4027/4028</v>
      </c>
      <c r="L84" s="185" t="str">
        <f>VLOOKUP(A84,'Trips&amp;Operators'!$C$1:$G$99911,5,FALSE)</f>
        <v>DAVIS MICHAEL</v>
      </c>
      <c r="M84" s="6">
        <f>I84-F84</f>
        <v>2.7824074073578231E-2</v>
      </c>
      <c r="N84" s="7">
        <f>24*60*SUM($M84:$M84)</f>
        <v>40.066666665952653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-24T12:22:37-0600',mode:absolute,to:'2017-10-24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23.302800000000001</v>
      </c>
      <c r="Z84" s="204">
        <f>RIGHT(H84,LEN(H84)-4)/10000</f>
        <v>1.72E-2</v>
      </c>
      <c r="AA84" s="204">
        <f>ABS(Z84-Y84)</f>
        <v>23.285600000000002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/stypes="app*4027*20171024*" /stext=" 20:.+((SYSTEM_STATE.+slice.+state.+changed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6"/>
        <v>"%USERPROFILE%\Documents\GitHub\eaglep3\Utilities\RefineRTDCRunTimes.py" --tripid 172-24 --locoid 4027 --swversion DE.1.0.9.0 --startMP 204:233028 --initTime 2017-10-24T13:22:37 --startdatetime 2017-10-24T13:27:38 --delay 78 --endMP 204:172 --enddatetime 2017-10-24T14:07:42 --enforcementcount 0 &gt;&gt;%USERPROFILE%\Documents\GitHub\eaglep3-reporting\EC\2017-10-24-refined-times.txt</v>
      </c>
      <c r="AI84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{"issue":{"subject":"","project_id":79,"tracker_id":40,"status_id":1,"priority_id":2,"assigned_to_id":338,"start_date":"2017-10-24","description":"","custom_fields":[{"id":1,"name":"Subdivision","value":"EC"},{"id":4,"name":"Milepost","value":"0.0172"},{"id":17,"name":"Train ID","value":"172-24"},{"id":16,"name":"Locomotive ID","value":"4027"},{"id":130,"name":"Impact","value":""},{"id":150,"name":"Time of Event (Mountain Time)","value":"14:07:42"},{"id":151,"name":"Denver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8"/>
        <v>start /low /b %USERPROFILE%\Documents\GitHub\eaglep3\Utilities\DownloadLogsFromS3.py --loco 4027 --day 2017-10-24</v>
      </c>
      <c r="AN84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20"/>
        <v>https://d0f6bd738d7f1b3e5a7ca70fe4ff75f0.us-east-1.aws.found.io/app/kibana#/discover/Steve-Slow-Train-Analysis-(2080s-and-2083s)?_g=(refreshInterval:(display:Off,pause:!f,section:0,value:0),time:(from:'2017-10-24T12:22:37-0600',mode:absolute,to:'2017-10-24T15:07:42-0600'))&amp;_a=(columns:!('Message%20ID',Summary),filters:!(),index:'emp_*',interval:auto,query:(query_string:(analyze_wildcard:!t,query:'%22rtdc.l.rtdc.4027%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779</v>
      </c>
      <c r="B85" s="7">
        <v>4002</v>
      </c>
      <c r="C85" s="21" t="s">
        <v>194</v>
      </c>
      <c r="D85" s="21" t="s">
        <v>334</v>
      </c>
      <c r="E85" s="13">
        <v>43032.528541666667</v>
      </c>
      <c r="F85" s="13">
        <v>43032.531469907408</v>
      </c>
      <c r="G85" s="7">
        <v>73</v>
      </c>
      <c r="H85" s="21" t="s">
        <v>368</v>
      </c>
      <c r="I85" s="13">
        <v>43032.55609953704</v>
      </c>
      <c r="J85" s="7">
        <v>0</v>
      </c>
      <c r="K85" s="89" t="str">
        <f>IF(ISEVEN(B85),(B85-1)&amp;"/"&amp;B85,B85&amp;"/"&amp;(B85+1))</f>
        <v>4001/4002</v>
      </c>
      <c r="L85" s="185" t="str">
        <f>VLOOKUP(A85,'Trips&amp;Operators'!$C$1:$G$99911,5,FALSE)</f>
        <v>SMITH MICHAEL</v>
      </c>
      <c r="M85" s="6">
        <f>I85-F85</f>
        <v>2.4629629631817807E-2</v>
      </c>
      <c r="N85" s="7">
        <f>24*60*SUM($M85:$M85)</f>
        <v>35.466666669817641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-24T11:41:06-0600',mode:absolute,to:'2017-10-24T14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4.4600000000000001E-2</v>
      </c>
      <c r="Z85" s="204">
        <f>RIGHT(H85,LEN(H85)-4)/10000</f>
        <v>23.331199999999999</v>
      </c>
      <c r="AA85" s="204">
        <f>ABS(Z85-Y85)</f>
        <v>23.2866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/stypes="app*4002*20171024*"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6"/>
        <v>"%USERPROFILE%\Documents\GitHub\eaglep3\Utilities\RefineRTDCRunTimes.py" --tripid 173-24 --locoid 4002 --swversion DE.1.0.9.0 --startMP 204:446 --initTime 2017-10-24T12:41:06 --startdatetime 2017-10-24T12:45:19 --delay 73 --endMP 204:233312 --enddatetime 2017-10-24T13:20:47 --enforcementcount 0 &gt;&gt;%USERPROFILE%\Documents\GitHub\eaglep3-reporting\EC\2017-10-24-refined-times.txt</v>
      </c>
      <c r="AI85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{"issue":{"subject":"","project_id":79,"tracker_id":40,"status_id":1,"priority_id":2,"assigned_to_id":338,"start_date":"2017-10-24","description":"","custom_fields":[{"id":1,"name":"Subdivision","value":"EC"},{"id":4,"name":"Milepost","value":"23.3312"},{"id":17,"name":"Train ID","value":"173-24"},{"id":16,"name":"Locomotive ID","value":"4002"},{"id":130,"name":"Impact","value":""},{"id":150,"name":"Time of Event (Mountain Time)","value":"13:20:47"},{"id":151,"name":"Denver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8"/>
        <v>start /low /b %USERPROFILE%\Documents\GitHub\eaglep3\Utilities\DownloadLogsFromS3.py --loco 4002 --day 2017-10-24</v>
      </c>
      <c r="AN85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20"/>
        <v>https://d0f6bd738d7f1b3e5a7ca70fe4ff75f0.us-east-1.aws.found.io/app/kibana#/discover/Steve-Slow-Train-Analysis-(2080s-and-2083s)?_g=(refreshInterval:(display:Off,pause:!f,section:0,value:0),time:(from:'2017-10-24T11:41:06-0600',mode:absolute,to:'2017-10-24T14:20:47-0600'))&amp;_a=(columns:!('Message%20ID',Summary),filters:!(),index:'emp_*',interval:auto,query:(query_string:(analyze_wildcard:!t,query:'%22rtdc.l.rtdc.4002%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786</v>
      </c>
      <c r="B86" s="7">
        <v>4001</v>
      </c>
      <c r="C86" s="21" t="s">
        <v>194</v>
      </c>
      <c r="D86" s="21" t="s">
        <v>924</v>
      </c>
      <c r="E86" s="13">
        <v>43032.563391203701</v>
      </c>
      <c r="F86" s="13">
        <v>43032.571087962962</v>
      </c>
      <c r="G86" s="7">
        <v>83</v>
      </c>
      <c r="H86" s="21" t="s">
        <v>339</v>
      </c>
      <c r="I86" s="13">
        <v>43032.598055555558</v>
      </c>
      <c r="J86" s="7">
        <v>0</v>
      </c>
      <c r="K86" s="89" t="str">
        <f>IF(ISEVEN(B86),(B86-1)&amp;"/"&amp;B86,B86&amp;"/"&amp;(B86+1))</f>
        <v>4001/4002</v>
      </c>
      <c r="L86" s="185" t="str">
        <f>VLOOKUP(A86,'Trips&amp;Operators'!$C$1:$G$99911,5,FALSE)</f>
        <v>SMITH MICHAEL</v>
      </c>
      <c r="M86" s="6">
        <f>I86-F86</f>
        <v>2.6967592595610768E-2</v>
      </c>
      <c r="N86" s="7">
        <f>24*60*SUM($M86:$M86)</f>
        <v>38.833333337679505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-24T12:31:17-0600',mode:absolute,to:'2017-10-24T15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23.297799999999999</v>
      </c>
      <c r="Z86" s="204">
        <f>RIGHT(H86,LEN(H86)-4)/10000</f>
        <v>1.47E-2</v>
      </c>
      <c r="AA86" s="204">
        <f>ABS(Z86-Y86)</f>
        <v>23.283099999999997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/stypes="app*4001*20171024*"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6"/>
        <v>"%USERPROFILE%\Documents\GitHub\eaglep3\Utilities\RefineRTDCRunTimes.py" --tripid 174-24 --locoid 4001 --swversion DE.1.0.9.0 --startMP 204:232978 --initTime 2017-10-24T13:31:17 --startdatetime 2017-10-24T13:42:22 --delay 83 --endMP 204:147 --enddatetime 2017-10-24T14:21:12 --enforcementcount 0 &gt;&gt;%USERPROFILE%\Documents\GitHub\eaglep3-reporting\EC\2017-10-24-refined-times.txt</v>
      </c>
      <c r="AI86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{"issue":{"subject":"","project_id":79,"tracker_id":40,"status_id":1,"priority_id":2,"assigned_to_id":338,"start_date":"2017-10-24","description":"","custom_fields":[{"id":1,"name":"Subdivision","value":"EC"},{"id":4,"name":"Milepost","value":"0.0147"},{"id":17,"name":"Train ID","value":"174-24"},{"id":16,"name":"Locomotive ID","value":"4001"},{"id":130,"name":"Impact","value":""},{"id":150,"name":"Time of Event (Mountain Time)","value":"14:21:12"},{"id":151,"name":"Denver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8"/>
        <v>start /low /b %USERPROFILE%\Documents\GitHub\eaglep3\Utilities\DownloadLogsFromS3.py --loco 4001 --day 2017-10-24</v>
      </c>
      <c r="AN86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20"/>
        <v>https://d0f6bd738d7f1b3e5a7ca70fe4ff75f0.us-east-1.aws.found.io/app/kibana#/discover/Steve-Slow-Train-Analysis-(2080s-and-2083s)?_g=(refreshInterval:(display:Off,pause:!f,section:0,value:0),time:(from:'2017-10-24T12:31:17-0600',mode:absolute,to:'2017-10-24T15:21:12-0600'))&amp;_a=(columns:!('Message%20ID',Summary),filters:!(),index:'emp_*',interval:auto,query:(query_string:(analyze_wildcard:!t,query:'%22rtdc.l.rtdc.4001%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781</v>
      </c>
      <c r="B87" s="7">
        <v>4026</v>
      </c>
      <c r="C87" s="21" t="s">
        <v>194</v>
      </c>
      <c r="D87" s="21" t="s">
        <v>362</v>
      </c>
      <c r="E87" s="13">
        <v>43032.537604166668</v>
      </c>
      <c r="F87" s="13">
        <v>43032.541851851849</v>
      </c>
      <c r="G87" s="7">
        <v>62</v>
      </c>
      <c r="H87" s="21" t="s">
        <v>567</v>
      </c>
      <c r="I87" s="13">
        <v>43032.567314814813</v>
      </c>
      <c r="J87" s="7">
        <v>0</v>
      </c>
      <c r="K87" s="89" t="str">
        <f>IF(ISEVEN(B87),(B87-1)&amp;"/"&amp;B87,B87&amp;"/"&amp;(B87+1))</f>
        <v>4025/4026</v>
      </c>
      <c r="L87" s="185" t="str">
        <f>VLOOKUP(A87,'Trips&amp;Operators'!$C$1:$G$99911,5,FALSE)</f>
        <v>BRUDER RICHARD</v>
      </c>
      <c r="M87" s="6">
        <f>I87-F87</f>
        <v>2.5462962963501923E-2</v>
      </c>
      <c r="N87" s="7">
        <f>24*60*SUM($M87:$M87)</f>
        <v>36.666666667442769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-24T11:54:09-0600',mode:absolute,to:'2017-10-24T14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4.5999999999999999E-2</v>
      </c>
      <c r="Z87" s="204">
        <f>RIGHT(H87,LEN(H87)-4)/10000</f>
        <v>23.3306</v>
      </c>
      <c r="AA87" s="204">
        <f>ABS(Z87-Y87)</f>
        <v>23.284600000000001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/stypes="app*4026*20171024*"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6"/>
        <v>"%USERPROFILE%\Documents\GitHub\eaglep3\Utilities\RefineRTDCRunTimes.py" --tripid 175-24 --locoid 4026 --swversion DE.1.0.9.0 --startMP 204:460 --initTime 2017-10-24T12:54:09 --startdatetime 2017-10-24T13:00:16 --delay 62 --endMP 204:233306 --enddatetime 2017-10-24T13:36:56 --enforcementcount 0 &gt;&gt;%USERPROFILE%\Documents\GitHub\eaglep3-reporting\EC\2017-10-24-refined-times.txt</v>
      </c>
      <c r="AI87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{"issue":{"subject":"","project_id":79,"tracker_id":40,"status_id":1,"priority_id":2,"assigned_to_id":338,"start_date":"2017-10-24","description":"","custom_fields":[{"id":1,"name":"Subdivision","value":"EC"},{"id":4,"name":"Milepost","value":"23.3306"},{"id":17,"name":"Train ID","value":"175-24"},{"id":16,"name":"Locomotive ID","value":"4026"},{"id":130,"name":"Impact","value":""},{"id":150,"name":"Time of Event (Mountain Time)","value":"13:36:56"},{"id":151,"name":"Denver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8"/>
        <v>start /low /b %USERPROFILE%\Documents\GitHub\eaglep3\Utilities\DownloadLogsFromS3.py --loco 4026 --day 2017-10-24</v>
      </c>
      <c r="AN87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20"/>
        <v>https://d0f6bd738d7f1b3e5a7ca70fe4ff75f0.us-east-1.aws.found.io/app/kibana#/discover/Steve-Slow-Train-Analysis-(2080s-and-2083s)?_g=(refreshInterval:(display:Off,pause:!f,section:0,value:0),time:(from:'2017-10-24T11:54:09-0600',mode:absolute,to:'2017-10-24T14:36:56-0600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788</v>
      </c>
      <c r="B88" s="7">
        <v>4025</v>
      </c>
      <c r="C88" s="21" t="s">
        <v>194</v>
      </c>
      <c r="D88" s="21" t="s">
        <v>560</v>
      </c>
      <c r="E88" s="13">
        <v>43032.5778587963</v>
      </c>
      <c r="F88" s="13">
        <v>43032.581412037034</v>
      </c>
      <c r="G88" s="7">
        <v>58</v>
      </c>
      <c r="H88" s="21" t="s">
        <v>355</v>
      </c>
      <c r="I88" s="13">
        <v>43032.607488425929</v>
      </c>
      <c r="J88" s="7">
        <v>0</v>
      </c>
      <c r="K88" s="89" t="str">
        <f>IF(ISEVEN(B88),(B88-1)&amp;"/"&amp;B88,B88&amp;"/"&amp;(B88+1))</f>
        <v>4025/4026</v>
      </c>
      <c r="L88" s="185" t="str">
        <f>VLOOKUP(A88,'Trips&amp;Operators'!$C$1:$G$99911,5,FALSE)</f>
        <v>BRUDER RICHARD</v>
      </c>
      <c r="M88" s="6">
        <f>I88-F88</f>
        <v>2.6076388894580305E-2</v>
      </c>
      <c r="N88" s="7">
        <f>24*60*SUM($M88:$M88)</f>
        <v>37.550000008195639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-24T12:52:07-0600',mode:absolute,to:'2017-10-24T15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23.299299999999999</v>
      </c>
      <c r="Z88" s="204">
        <f>RIGHT(H88,LEN(H88)-4)/10000</f>
        <v>1.4500000000000001E-2</v>
      </c>
      <c r="AA88" s="204">
        <f>ABS(Z88-Y88)</f>
        <v>23.284799999999997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/stypes="app*4025*20171024*"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6"/>
        <v>"%USERPROFILE%\Documents\GitHub\eaglep3\Utilities\RefineRTDCRunTimes.py" --tripid 176-24 --locoid 4025 --swversion DE.1.0.9.0 --startMP 204:232993 --initTime 2017-10-24T13:52:07 --startdatetime 2017-10-24T13:57:14 --delay 58 --endMP 204:145 --enddatetime 2017-10-24T14:34:47 --enforcementcount 0 &gt;&gt;%USERPROFILE%\Documents\GitHub\eaglep3-reporting\EC\2017-10-24-refined-times.txt</v>
      </c>
      <c r="AI88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{"issue":{"subject":"","project_id":79,"tracker_id":40,"status_id":1,"priority_id":2,"assigned_to_id":338,"start_date":"2017-10-24","description":"","custom_fields":[{"id":1,"name":"Subdivision","value":"EC"},{"id":4,"name":"Milepost","value":"0.0145"},{"id":17,"name":"Train ID","value":"176-24"},{"id":16,"name":"Locomotive ID","value":"4025"},{"id":130,"name":"Impact","value":""},{"id":150,"name":"Time of Event (Mountain Time)","value":"14:34:47"},{"id":151,"name":"Denver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8"/>
        <v>start /low /b %USERPROFILE%\Documents\GitHub\eaglep3\Utilities\DownloadLogsFromS3.py --loco 4025 --day 2017-10-24</v>
      </c>
      <c r="AN88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20"/>
        <v>https://d0f6bd738d7f1b3e5a7ca70fe4ff75f0.us-east-1.aws.found.io/app/kibana#/discover/Steve-Slow-Train-Analysis-(2080s-and-2083s)?_g=(refreshInterval:(display:Off,pause:!f,section:0,value:0),time:(from:'2017-10-24T12:52:07-0600',mode:absolute,to:'2017-10-24T15:34:47-0600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783</v>
      </c>
      <c r="B89" s="7">
        <v>4060</v>
      </c>
      <c r="C89" s="21" t="s">
        <v>194</v>
      </c>
      <c r="D89" s="21" t="s">
        <v>382</v>
      </c>
      <c r="E89" s="13">
        <v>43032.547858796293</v>
      </c>
      <c r="F89" s="13">
        <v>43032.552291666667</v>
      </c>
      <c r="G89" s="7">
        <v>64</v>
      </c>
      <c r="H89" s="21" t="s">
        <v>925</v>
      </c>
      <c r="I89" s="13">
        <v>43032.576782407406</v>
      </c>
      <c r="J89" s="7">
        <v>0</v>
      </c>
      <c r="K89" s="89" t="str">
        <f>IF(ISEVEN(B89),(B89-1)&amp;"/"&amp;B89,B89&amp;"/"&amp;(B89+1))</f>
        <v>4059/4060</v>
      </c>
      <c r="L89" s="185" t="str">
        <f>VLOOKUP(A89,'Trips&amp;Operators'!$C$1:$G$99911,5,FALSE)</f>
        <v>STEWART MICHAEL</v>
      </c>
      <c r="M89" s="6">
        <f>I89-F89</f>
        <v>2.4490740739565808E-2</v>
      </c>
      <c r="N89" s="7">
        <f>24*60*SUM($M89:$M89)</f>
        <v>35.266666664974764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-24T12:08:55-0600',mode:absolute,to:'2017-10-24T14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4.7300000000000002E-2</v>
      </c>
      <c r="Z89" s="204">
        <f>RIGHT(H89,LEN(H89)-4)/10000</f>
        <v>23.331099999999999</v>
      </c>
      <c r="AA89" s="204">
        <f>ABS(Z89-Y89)</f>
        <v>23.283799999999999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/stypes="app*4060*20171024*"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6"/>
        <v>"%USERPROFILE%\Documents\GitHub\eaglep3\Utilities\RefineRTDCRunTimes.py" --tripid 177-24 --locoid 4060 --swversion DE.1.0.9.0 --startMP 204:473 --initTime 2017-10-24T13:08:55 --startdatetime 2017-10-24T13:15:18 --delay 64 --endMP 204:233311 --enddatetime 2017-10-24T13:50:34 --enforcementcount 0 &gt;&gt;%USERPROFILE%\Documents\GitHub\eaglep3-reporting\EC\2017-10-24-refined-times.txt</v>
      </c>
      <c r="AI89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{"issue":{"subject":"","project_id":79,"tracker_id":40,"status_id":1,"priority_id":2,"assigned_to_id":338,"start_date":"2017-10-24","description":"","custom_fields":[{"id":1,"name":"Subdivision","value":"EC"},{"id":4,"name":"Milepost","value":"23.3311"},{"id":17,"name":"Train ID","value":"177-24"},{"id":16,"name":"Locomotive ID","value":"4060"},{"id":130,"name":"Impact","value":""},{"id":150,"name":"Time of Event (Mountain Time)","value":"13:50:34"},{"id":151,"name":"Denver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8"/>
        <v>start /low /b %USERPROFILE%\Documents\GitHub\eaglep3\Utilities\DownloadLogsFromS3.py --loco 4060 --day 2017-10-24</v>
      </c>
      <c r="AN89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20"/>
        <v>https://d0f6bd738d7f1b3e5a7ca70fe4ff75f0.us-east-1.aws.found.io/app/kibana#/discover/Steve-Slow-Train-Analysis-(2080s-and-2083s)?_g=(refreshInterval:(display:Off,pause:!f,section:0,value:0),time:(from:'2017-10-24T12:08:55-0600',mode:absolute,to:'2017-10-24T14:50:34-0600'))&amp;_a=(columns:!('Message%20ID',Summary),filters:!(),index:'emp_*',interval:auto,query:(query_string:(analyze_wildcard:!t,query:'%22rtdc.l.rtdc.4060%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791</v>
      </c>
      <c r="B90" s="7">
        <v>4059</v>
      </c>
      <c r="C90" s="21" t="s">
        <v>194</v>
      </c>
      <c r="D90" s="21" t="s">
        <v>910</v>
      </c>
      <c r="E90" s="13">
        <v>43032.587673611109</v>
      </c>
      <c r="F90" s="13">
        <v>43032.591874999998</v>
      </c>
      <c r="G90" s="7">
        <v>60</v>
      </c>
      <c r="H90" s="21" t="s">
        <v>608</v>
      </c>
      <c r="I90" s="13">
        <v>43032.61824074074</v>
      </c>
      <c r="J90" s="7">
        <v>0</v>
      </c>
      <c r="K90" s="89" t="str">
        <f>IF(ISEVEN(B90),(B90-1)&amp;"/"&amp;B90,B90&amp;"/"&amp;(B90+1))</f>
        <v>4059/4060</v>
      </c>
      <c r="L90" s="185" t="str">
        <f>VLOOKUP(A90,'Trips&amp;Operators'!$C$1:$G$99911,5,FALSE)</f>
        <v>STEWART MICHAEL</v>
      </c>
      <c r="M90" s="6">
        <f>I90-F90</f>
        <v>2.6365740741312038E-2</v>
      </c>
      <c r="N90" s="7">
        <f>24*60*SUM($M90:$M90)</f>
        <v>37.966666667489335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-24T13:06:15-0600',mode:absolute,to:'2017-10-24T15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23.298200000000001</v>
      </c>
      <c r="Z90" s="204">
        <f>RIGHT(H90,LEN(H90)-4)/10000</f>
        <v>1.7600000000000001E-2</v>
      </c>
      <c r="AA90" s="204">
        <f>ABS(Z90-Y90)</f>
        <v>23.2806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/stypes="app*4059*20171024*"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6"/>
        <v>"%USERPROFILE%\Documents\GitHub\eaglep3\Utilities\RefineRTDCRunTimes.py" --tripid 178-24 --locoid 4059 --swversion DE.1.0.9.0 --startMP 204:232982 --initTime 2017-10-24T14:06:15 --startdatetime 2017-10-24T14:12:18 --delay 60 --endMP 204:176 --enddatetime 2017-10-24T14:50:16 --enforcementcount 0 &gt;&gt;%USERPROFILE%\Documents\GitHub\eaglep3-reporting\EC\2017-10-24-refined-times.txt</v>
      </c>
      <c r="AI9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{"issue":{"subject":"","project_id":79,"tracker_id":40,"status_id":1,"priority_id":2,"assigned_to_id":338,"start_date":"2017-10-24","description":"","custom_fields":[{"id":1,"name":"Subdivision","value":"EC"},{"id":4,"name":"Milepost","value":"0.0176"},{"id":17,"name":"Train ID","value":"178-24"},{"id":16,"name":"Locomotive ID","value":"4059"},{"id":130,"name":"Impact","value":""},{"id":150,"name":"Time of Event (Mountain Time)","value":"14:50:16"},{"id":151,"name":"Denver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8"/>
        <v>start /low /b %USERPROFILE%\Documents\GitHub\eaglep3\Utilities\DownloadLogsFromS3.py --loco 4059 --day 2017-10-24</v>
      </c>
      <c r="AN90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20"/>
        <v>https://d0f6bd738d7f1b3e5a7ca70fe4ff75f0.us-east-1.aws.found.io/app/kibana#/discover/Steve-Slow-Train-Analysis-(2080s-and-2083s)?_g=(refreshInterval:(display:Off,pause:!f,section:0,value:0),time:(from:'2017-10-24T13:06:15-0600',mode:absolute,to:'2017-10-24T15:50:16-0600'))&amp;_a=(columns:!('Message%20ID',Summary),filters:!(),index:'emp_*',interval:auto,query:(query_string:(analyze_wildcard:!t,query:'%22rtdc.l.rtdc.4059%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784</v>
      </c>
      <c r="B91" s="7">
        <v>4010</v>
      </c>
      <c r="C91" s="21" t="s">
        <v>194</v>
      </c>
      <c r="D91" s="21" t="s">
        <v>338</v>
      </c>
      <c r="E91" s="13">
        <v>43032.557511574072</v>
      </c>
      <c r="F91" s="13">
        <v>43032.562789351854</v>
      </c>
      <c r="G91" s="7">
        <v>56</v>
      </c>
      <c r="H91" s="21" t="s">
        <v>926</v>
      </c>
      <c r="I91" s="13">
        <v>43032.587604166663</v>
      </c>
      <c r="J91" s="7">
        <v>0</v>
      </c>
      <c r="K91" s="89" t="str">
        <f>IF(ISEVEN(B91),(B91-1)&amp;"/"&amp;B91,B91&amp;"/"&amp;(B91+1))</f>
        <v>4009/4010</v>
      </c>
      <c r="L91" s="185" t="str">
        <f>VLOOKUP(A91,'Trips&amp;Operators'!$C$1:$G$99911,5,FALSE)</f>
        <v>LEVIN SCOTT</v>
      </c>
      <c r="M91" s="6">
        <f>I91-F91</f>
        <v>2.4814814809360541E-2</v>
      </c>
      <c r="N91" s="7">
        <f>24*60*SUM($M91:$M91)</f>
        <v>35.73333332547918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-24T12:22:49-0600',mode:absolute,to:'2017-10-24T15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4.53E-2</v>
      </c>
      <c r="Z91" s="204">
        <f>RIGHT(H91,LEN(H91)-4)/10000</f>
        <v>23.335699999999999</v>
      </c>
      <c r="AA91" s="204">
        <f>ABS(Z91-Y91)</f>
        <v>23.290399999999998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/stypes="app*4010*20171024*"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6"/>
        <v>"%USERPROFILE%\Documents\GitHub\eaglep3\Utilities\RefineRTDCRunTimes.py" --tripid 179-24 --locoid 4010 --swversion DE.1.0.9.0 --startMP 204:453 --initTime 2017-10-24T13:22:49 --startdatetime 2017-10-24T13:30:25 --delay 56 --endMP 204:233357 --enddatetime 2017-10-24T14:06:09 --enforcementcount 0 &gt;&gt;%USERPROFILE%\Documents\GitHub\eaglep3-reporting\EC\2017-10-24-refined-times.txt</v>
      </c>
      <c r="AI9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{"issue":{"subject":"","project_id":79,"tracker_id":40,"status_id":1,"priority_id":2,"assigned_to_id":338,"start_date":"2017-10-24","description":"","custom_fields":[{"id":1,"name":"Subdivision","value":"EC"},{"id":4,"name":"Milepost","value":"23.3357"},{"id":17,"name":"Train ID","value":"179-24"},{"id":16,"name":"Locomotive ID","value":"4010"},{"id":130,"name":"Impact","value":""},{"id":150,"name":"Time of Event (Mountain Time)","value":"14:06:09"},{"id":151,"name":"Denver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8"/>
        <v>start /low /b %USERPROFILE%\Documents\GitHub\eaglep3\Utilities\DownloadLogsFromS3.py --loco 4010 --day 2017-10-24</v>
      </c>
      <c r="AN91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20"/>
        <v>https://d0f6bd738d7f1b3e5a7ca70fe4ff75f0.us-east-1.aws.found.io/app/kibana#/discover/Steve-Slow-Train-Analysis-(2080s-and-2083s)?_g=(refreshInterval:(display:Off,pause:!f,section:0,value:0),time:(from:'2017-10-24T12:22:49-0600',mode:absolute,to:'2017-10-24T15:06:09-0600'))&amp;_a=(columns:!('Message%20ID',Summary),filters:!(),index:'emp_*',interval:auto,query:(query_string:(analyze_wildcard:!t,query:'%22rtdc.l.rtdc.4010%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795</v>
      </c>
      <c r="B92" s="7">
        <v>4009</v>
      </c>
      <c r="C92" s="21" t="s">
        <v>194</v>
      </c>
      <c r="D92" s="21" t="s">
        <v>927</v>
      </c>
      <c r="E92" s="13">
        <v>43032.595949074072</v>
      </c>
      <c r="F92" s="13">
        <v>43032.602256944447</v>
      </c>
      <c r="G92" s="7">
        <v>60</v>
      </c>
      <c r="H92" s="21" t="s">
        <v>355</v>
      </c>
      <c r="I92" s="13">
        <v>43032.628275462965</v>
      </c>
      <c r="J92" s="7">
        <v>0</v>
      </c>
      <c r="K92" s="89" t="str">
        <f>IF(ISEVEN(B92),(B92-1)&amp;"/"&amp;B92,B92&amp;"/"&amp;(B92+1))</f>
        <v>4009/4010</v>
      </c>
      <c r="L92" s="185" t="str">
        <f>VLOOKUP(A92,'Trips&amp;Operators'!$C$1:$G$99911,5,FALSE)</f>
        <v>LEVIN SCOTT</v>
      </c>
      <c r="M92" s="6">
        <f>I92-F92</f>
        <v>2.6018518517958E-2</v>
      </c>
      <c r="N92" s="7">
        <f>24*60*SUM($M92:$M92)</f>
        <v>37.46666666585952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-24T13:18:10-0600',mode:absolute,to:'2017-10-24T16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23.3032</v>
      </c>
      <c r="Z92" s="204">
        <f>RIGHT(H92,LEN(H92)-4)/10000</f>
        <v>1.4500000000000001E-2</v>
      </c>
      <c r="AA92" s="204">
        <f>ABS(Z92-Y92)</f>
        <v>23.288699999999999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/stypes="app*4009*20171024*"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6"/>
        <v>"%USERPROFILE%\Documents\GitHub\eaglep3\Utilities\RefineRTDCRunTimes.py" --tripid 180-24 --locoid 4009 --swversion DE.1.0.9.0 --startMP 204:233032 --initTime 2017-10-24T14:18:10 --startdatetime 2017-10-24T14:27:15 --delay 60 --endMP 204:145 --enddatetime 2017-10-24T15:04:43 --enforcementcount 0 &gt;&gt;%USERPROFILE%\Documents\GitHub\eaglep3-reporting\EC\2017-10-24-refined-times.txt</v>
      </c>
      <c r="AI9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{"issue":{"subject":"","project_id":79,"tracker_id":40,"status_id":1,"priority_id":2,"assigned_to_id":338,"start_date":"2017-10-24","description":"","custom_fields":[{"id":1,"name":"Subdivision","value":"EC"},{"id":4,"name":"Milepost","value":"0.0145"},{"id":17,"name":"Train ID","value":"180-24"},{"id":16,"name":"Locomotive ID","value":"4009"},{"id":130,"name":"Impact","value":""},{"id":150,"name":"Time of Event (Mountain Time)","value":"15:04:43"},{"id":151,"name":"Denver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8"/>
        <v>start /low /b %USERPROFILE%\Documents\GitHub\eaglep3\Utilities\DownloadLogsFromS3.py --loco 4009 --day 2017-10-24</v>
      </c>
      <c r="AN92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20"/>
        <v>https://d0f6bd738d7f1b3e5a7ca70fe4ff75f0.us-east-1.aws.found.io/app/kibana#/discover/Steve-Slow-Train-Analysis-(2080s-and-2083s)?_g=(refreshInterval:(display:Off,pause:!f,section:0,value:0),time:(from:'2017-10-24T13:18:10-0600',mode:absolute,to:'2017-10-24T16:04:43-0600'))&amp;_a=(columns:!('Message%20ID',Summary),filters:!(),index:'emp_*',interval:auto,query:(query_string:(analyze_wildcard:!t,query:'%22rtdc.l.rtdc.4009%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787</v>
      </c>
      <c r="B93" s="7">
        <v>4016</v>
      </c>
      <c r="C93" s="21" t="s">
        <v>194</v>
      </c>
      <c r="D93" s="21" t="s">
        <v>420</v>
      </c>
      <c r="E93" s="13">
        <v>43032.569074074076</v>
      </c>
      <c r="F93" s="13">
        <v>43032.574062500003</v>
      </c>
      <c r="G93" s="7">
        <v>54</v>
      </c>
      <c r="H93" s="21" t="s">
        <v>616</v>
      </c>
      <c r="I93" s="13">
        <v>43032.599062499998</v>
      </c>
      <c r="J93" s="7">
        <v>0</v>
      </c>
      <c r="K93" s="89" t="str">
        <f>IF(ISEVEN(B93),(B93-1)&amp;"/"&amp;B93,B93&amp;"/"&amp;(B93+1))</f>
        <v>4015/4016</v>
      </c>
      <c r="L93" s="185" t="str">
        <f>VLOOKUP(A93,'Trips&amp;Operators'!$C$1:$G$99911,5,FALSE)</f>
        <v>LEVERE CRAIG</v>
      </c>
      <c r="M93" s="6">
        <f>I93-F93</f>
        <v>2.4999999994179234E-2</v>
      </c>
      <c r="N93" s="7">
        <f>24*60*SUM($M93:$M93)</f>
        <v>35.999999991618097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-24T12:39:28-0600',mode:absolute,to:'2017-10-24T15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4.6899999999999997E-2</v>
      </c>
      <c r="Z93" s="204">
        <f>RIGHT(H93,LEN(H93)-4)/10000</f>
        <v>23.331600000000002</v>
      </c>
      <c r="AA93" s="204">
        <f>ABS(Z93-Y93)</f>
        <v>23.284700000000001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/stypes="app*4016*20171024*"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6"/>
        <v>"%USERPROFILE%\Documents\GitHub\eaglep3\Utilities\RefineRTDCRunTimes.py" --tripid 181-24 --locoid 4016 --swversion DE.1.0.9.0 --startMP 204:469 --initTime 2017-10-24T13:39:28 --startdatetime 2017-10-24T13:46:39 --delay 54 --endMP 204:233316 --enddatetime 2017-10-24T14:22:39 --enforcementcount 0 &gt;&gt;%USERPROFILE%\Documents\GitHub\eaglep3-reporting\EC\2017-10-24-refined-times.txt</v>
      </c>
      <c r="AI93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{"issue":{"subject":"","project_id":79,"tracker_id":40,"status_id":1,"priority_id":2,"assigned_to_id":338,"start_date":"2017-10-24","description":"","custom_fields":[{"id":1,"name":"Subdivision","value":"EC"},{"id":4,"name":"Milepost","value":"23.3316"},{"id":17,"name":"Train ID","value":"181-24"},{"id":16,"name":"Locomotive ID","value":"4016"},{"id":130,"name":"Impact","value":""},{"id":150,"name":"Time of Event (Mountain Time)","value":"14:22:39"},{"id":151,"name":"Denver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8"/>
        <v>start /low /b %USERPROFILE%\Documents\GitHub\eaglep3\Utilities\DownloadLogsFromS3.py --loco 4016 --day 2017-10-24</v>
      </c>
      <c r="AN93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20"/>
        <v>https://d0f6bd738d7f1b3e5a7ca70fe4ff75f0.us-east-1.aws.found.io/app/kibana#/discover/Steve-Slow-Train-Analysis-(2080s-and-2083s)?_g=(refreshInterval:(display:Off,pause:!f,section:0,value:0),time:(from:'2017-10-24T12:39:28-0600',mode:absolute,to:'2017-10-24T15:22:39-0600'))&amp;_a=(columns:!('Message%20ID',Summary),filters:!(),index:'emp_*',interval:auto,query:(query_string:(analyze_wildcard:!t,query:'%22rtdc.l.rtdc.4016%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798</v>
      </c>
      <c r="B94" s="7">
        <v>4015</v>
      </c>
      <c r="C94" s="21" t="s">
        <v>194</v>
      </c>
      <c r="D94" s="21" t="s">
        <v>928</v>
      </c>
      <c r="E94" s="13">
        <v>43032.607187499998</v>
      </c>
      <c r="F94" s="13">
        <v>43032.612824074073</v>
      </c>
      <c r="G94" s="7">
        <v>63</v>
      </c>
      <c r="H94" s="21" t="s">
        <v>354</v>
      </c>
      <c r="I94" s="13">
        <v>43032.639976851853</v>
      </c>
      <c r="J94" s="7">
        <v>0</v>
      </c>
      <c r="K94" s="89" t="str">
        <f>IF(ISEVEN(B94),(B94-1)&amp;"/"&amp;B94,B94&amp;"/"&amp;(B94+1))</f>
        <v>4015/4016</v>
      </c>
      <c r="L94" s="185" t="str">
        <f>VLOOKUP(A94,'Trips&amp;Operators'!$C$1:$G$99911,5,FALSE)</f>
        <v>LEVERE CRAIG</v>
      </c>
      <c r="M94" s="6">
        <f>I94-F94</f>
        <v>2.715277778042946E-2</v>
      </c>
      <c r="N94" s="7">
        <f>24*60*SUM($M94:$M94)</f>
        <v>39.100000003818423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-24T13:34:21-0600',mode:absolute,to:'2017-10-24T16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23.3005</v>
      </c>
      <c r="Z94" s="204">
        <f>RIGHT(H94,LEN(H94)-4)/10000</f>
        <v>1.52E-2</v>
      </c>
      <c r="AA94" s="204">
        <f>ABS(Z94-Y94)</f>
        <v>23.285299999999999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/stypes="app*4015*20171024*"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6"/>
        <v>"%USERPROFILE%\Documents\GitHub\eaglep3\Utilities\RefineRTDCRunTimes.py" --tripid 182-24 --locoid 4015 --swversion DE.1.0.9.0 --startMP 204:233005 --initTime 2017-10-24T14:34:21 --startdatetime 2017-10-24T14:42:28 --delay 63 --endMP 204:152 --enddatetime 2017-10-24T15:21:34 --enforcementcount 0 &gt;&gt;%USERPROFILE%\Documents\GitHub\eaglep3-reporting\EC\2017-10-24-refined-times.txt</v>
      </c>
      <c r="AI94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{"issue":{"subject":"","project_id":79,"tracker_id":40,"status_id":1,"priority_id":2,"assigned_to_id":338,"start_date":"2017-10-24","description":"","custom_fields":[{"id":1,"name":"Subdivision","value":"EC"},{"id":4,"name":"Milepost","value":"0.0152"},{"id":17,"name":"Train ID","value":"182-24"},{"id":16,"name":"Locomotive ID","value":"4015"},{"id":130,"name":"Impact","value":""},{"id":150,"name":"Time of Event (Mountain Time)","value":"15:21:34"},{"id":151,"name":"Denver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8"/>
        <v>start /low /b %USERPROFILE%\Documents\GitHub\eaglep3\Utilities\DownloadLogsFromS3.py --loco 4015 --day 2017-10-24</v>
      </c>
      <c r="AN94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20"/>
        <v>https://d0f6bd738d7f1b3e5a7ca70fe4ff75f0.us-east-1.aws.found.io/app/kibana#/discover/Steve-Slow-Train-Analysis-(2080s-and-2083s)?_g=(refreshInterval:(display:Off,pause:!f,section:0,value:0),time:(from:'2017-10-24T13:34:21-0600',mode:absolute,to:'2017-10-24T16:21:34-0600'))&amp;_a=(columns:!('Message%20ID',Summary),filters:!(),index:'emp_*',interval:auto,query:(query_string:(analyze_wildcard:!t,query:'%22rtdc.l.rtdc.4015%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789</v>
      </c>
      <c r="B95" s="7">
        <v>4058</v>
      </c>
      <c r="C95" s="21" t="s">
        <v>194</v>
      </c>
      <c r="D95" s="21" t="s">
        <v>338</v>
      </c>
      <c r="E95" s="13">
        <v>43032.580810185187</v>
      </c>
      <c r="F95" s="13">
        <v>43032.583518518521</v>
      </c>
      <c r="G95" s="7">
        <v>70</v>
      </c>
      <c r="H95" s="21" t="s">
        <v>929</v>
      </c>
      <c r="I95" s="13">
        <v>43032.607974537037</v>
      </c>
      <c r="J95" s="7">
        <v>0</v>
      </c>
      <c r="K95" s="89" t="str">
        <f>IF(ISEVEN(B95),(B95-1)&amp;"/"&amp;B95,B95&amp;"/"&amp;(B95+1))</f>
        <v>4057/4058</v>
      </c>
      <c r="L95" s="185" t="str">
        <f>VLOOKUP(A95,'Trips&amp;Operators'!$C$1:$G$99911,5,FALSE)</f>
        <v>SAFIEF AEIMEN</v>
      </c>
      <c r="M95" s="6">
        <f>I95-F95</f>
        <v>2.4456018516502809E-2</v>
      </c>
      <c r="N95" s="7">
        <f>24*60*SUM($M95:$M95)</f>
        <v>35.216666663764045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-24T12:56:22-0600',mode:absolute,to:'2017-10-24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4.53E-2</v>
      </c>
      <c r="Z95" s="204">
        <f>RIGHT(H95,LEN(H95)-4)/10000</f>
        <v>23.334700000000002</v>
      </c>
      <c r="AA95" s="204">
        <f>ABS(Z95-Y95)</f>
        <v>23.289400000000001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/stypes="app*4058*20171024*"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6"/>
        <v>"%USERPROFILE%\Documents\GitHub\eaglep3\Utilities\RefineRTDCRunTimes.py" --tripid 183-24 --locoid 4058 --swversion DE.1.0.9.0 --startMP 204:453 --initTime 2017-10-24T13:56:22 --startdatetime 2017-10-24T14:00:16 --delay 70 --endMP 204:233347 --enddatetime 2017-10-24T14:35:29 --enforcementcount 0 &gt;&gt;%USERPROFILE%\Documents\GitHub\eaglep3-reporting\EC\2017-10-24-refined-times.txt</v>
      </c>
      <c r="AI95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{"issue":{"subject":"","project_id":79,"tracker_id":40,"status_id":1,"priority_id":2,"assigned_to_id":338,"start_date":"2017-10-24","description":"","custom_fields":[{"id":1,"name":"Subdivision","value":"EC"},{"id":4,"name":"Milepost","value":"23.3347"},{"id":17,"name":"Train ID","value":"183-24"},{"id":16,"name":"Locomotive ID","value":"4058"},{"id":130,"name":"Impact","value":""},{"id":150,"name":"Time of Event (Mountain Time)","value":"14:35:29"},{"id":151,"name":"Denver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8"/>
        <v>start /low /b %USERPROFILE%\Documents\GitHub\eaglep3\Utilities\DownloadLogsFromS3.py --loco 4058 --day 2017-10-24</v>
      </c>
      <c r="AN95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20"/>
        <v>https://d0f6bd738d7f1b3e5a7ca70fe4ff75f0.us-east-1.aws.found.io/app/kibana#/discover/Steve-Slow-Train-Analysis-(2080s-and-2083s)?_g=(refreshInterval:(display:Off,pause:!f,section:0,value:0),time:(from:'2017-10-24T12:56:22-0600',mode:absolute,to:'2017-10-24T15:35:29-0600'))&amp;_a=(columns:!('Message%20ID',Summary),filters:!(),index:'emp_*',interval:auto,query:(query_string:(analyze_wildcard:!t,query:'%22rtdc.l.rtdc.4058%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800</v>
      </c>
      <c r="B96" s="7">
        <v>4057</v>
      </c>
      <c r="C96" s="21" t="s">
        <v>194</v>
      </c>
      <c r="D96" s="21" t="s">
        <v>922</v>
      </c>
      <c r="E96" s="13">
        <v>43032.612974537034</v>
      </c>
      <c r="F96" s="13">
        <v>43032.62332175926</v>
      </c>
      <c r="G96" s="7">
        <v>62</v>
      </c>
      <c r="H96" s="21" t="s">
        <v>355</v>
      </c>
      <c r="I96" s="13">
        <v>43032.64912037037</v>
      </c>
      <c r="J96" s="7">
        <v>0</v>
      </c>
      <c r="K96" s="89" t="str">
        <f>IF(ISEVEN(B96),(B96-1)&amp;"/"&amp;B96,B96&amp;"/"&amp;(B96+1))</f>
        <v>4057/4058</v>
      </c>
      <c r="L96" s="185" t="str">
        <f>VLOOKUP(A96,'Trips&amp;Operators'!$C$1:$G$99911,5,FALSE)</f>
        <v>SAFIEF AEIMEN</v>
      </c>
      <c r="M96" s="6">
        <f>I96-F96</f>
        <v>2.5798611110076308E-2</v>
      </c>
      <c r="N96" s="7">
        <f>24*60*SUM($M96:$M96)</f>
        <v>37.149999998509884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-24T13:42:41-0600',mode:absolute,to:'2017-10-24T16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23.302800000000001</v>
      </c>
      <c r="Z96" s="204">
        <f>RIGHT(H96,LEN(H96)-4)/10000</f>
        <v>1.4500000000000001E-2</v>
      </c>
      <c r="AA96" s="204">
        <f>ABS(Z96-Y96)</f>
        <v>23.2883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/stypes="app*4057*20171024*"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6"/>
        <v>"%USERPROFILE%\Documents\GitHub\eaglep3\Utilities\RefineRTDCRunTimes.py" --tripid 184-24 --locoid 4057 --swversion DE.1.0.9.0 --startMP 204:233028 --initTime 2017-10-24T14:42:41 --startdatetime 2017-10-24T14:57:35 --delay 62 --endMP 204:145 --enddatetime 2017-10-24T15:34:44 --enforcementcount 0 &gt;&gt;%USERPROFILE%\Documents\GitHub\eaglep3-reporting\EC\2017-10-24-refined-times.txt</v>
      </c>
      <c r="AI96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{"issue":{"subject":"","project_id":79,"tracker_id":40,"status_id":1,"priority_id":2,"assigned_to_id":338,"start_date":"2017-10-24","description":"","custom_fields":[{"id":1,"name":"Subdivision","value":"EC"},{"id":4,"name":"Milepost","value":"0.0145"},{"id":17,"name":"Train ID","value":"184-24"},{"id":16,"name":"Locomotive ID","value":"4057"},{"id":130,"name":"Impact","value":""},{"id":150,"name":"Time of Event (Mountain Time)","value":"15:34:44"},{"id":151,"name":"Denver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8"/>
        <v>start /low /b %USERPROFILE%\Documents\GitHub\eaglep3\Utilities\DownloadLogsFromS3.py --loco 4057 --day 2017-10-24</v>
      </c>
      <c r="AN96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20"/>
        <v>https://d0f6bd738d7f1b3e5a7ca70fe4ff75f0.us-east-1.aws.found.io/app/kibana#/discover/Steve-Slow-Train-Analysis-(2080s-and-2083s)?_g=(refreshInterval:(display:Off,pause:!f,section:0,value:0),time:(from:'2017-10-24T13:42:41-0600',mode:absolute,to:'2017-10-24T16:34:44-0600'))&amp;_a=(columns:!('Message%20ID',Summary),filters:!(),index:'emp_*',interval:auto,query:(query_string:(analyze_wildcard:!t,query:'%22rtdc.l.rtdc.4057%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792</v>
      </c>
      <c r="B97" s="7">
        <v>4028</v>
      </c>
      <c r="C97" s="21" t="s">
        <v>194</v>
      </c>
      <c r="D97" s="21" t="s">
        <v>369</v>
      </c>
      <c r="E97" s="13">
        <v>43032.589942129627</v>
      </c>
      <c r="F97" s="13">
        <v>43032.5940162037</v>
      </c>
      <c r="G97" s="7">
        <v>67</v>
      </c>
      <c r="H97" s="21" t="s">
        <v>613</v>
      </c>
      <c r="I97" s="13">
        <v>43032.618969907409</v>
      </c>
      <c r="J97" s="7">
        <v>0</v>
      </c>
      <c r="K97" s="89" t="str">
        <f>IF(ISEVEN(B97),(B97-1)&amp;"/"&amp;B97,B97&amp;"/"&amp;(B97+1))</f>
        <v>4027/4028</v>
      </c>
      <c r="L97" s="185" t="str">
        <f>VLOOKUP(A97,'Trips&amp;Operators'!$C$1:$G$99911,5,FALSE)</f>
        <v>DE LA ROSA ALEX</v>
      </c>
      <c r="M97" s="6">
        <f>I97-F97</f>
        <v>2.4953703708888497E-2</v>
      </c>
      <c r="N97" s="7">
        <f>24*60*SUM($M97:$M97)</f>
        <v>35.933333340799436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-24T13:09:31-0600',mode:absolute,to:'2017-10-24T15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4.7100000000000003E-2</v>
      </c>
      <c r="Z97" s="204">
        <f>RIGHT(H97,LEN(H97)-4)/10000</f>
        <v>23.329499999999999</v>
      </c>
      <c r="AA97" s="204">
        <f>ABS(Z97-Y97)</f>
        <v>23.282399999999999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/stypes="app*4028*20171024*" /stext=" 20:.+((SYSTEM_STATE.+slice.+state.+changed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6"/>
        <v>"%USERPROFILE%\Documents\GitHub\eaglep3\Utilities\RefineRTDCRunTimes.py" --tripid 185-24 --locoid 4028 --swversion DE.1.0.9.0 --startMP 204:471 --initTime 2017-10-24T14:09:31 --startdatetime 2017-10-24T14:15:23 --delay 67 --endMP 204:233295 --enddatetime 2017-10-24T14:51:19 --enforcementcount 0 &gt;&gt;%USERPROFILE%\Documents\GitHub\eaglep3-reporting\EC\2017-10-24-refined-times.txt</v>
      </c>
      <c r="AI97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{"issue":{"subject":"","project_id":79,"tracker_id":40,"status_id":1,"priority_id":2,"assigned_to_id":338,"start_date":"2017-10-24","description":"","custom_fields":[{"id":1,"name":"Subdivision","value":"EC"},{"id":4,"name":"Milepost","value":"23.3295"},{"id":17,"name":"Train ID","value":"185-24"},{"id":16,"name":"Locomotive ID","value":"4028"},{"id":130,"name":"Impact","value":""},{"id":150,"name":"Time of Event (Mountain Time)","value":"14:51:19"},{"id":151,"name":"Denver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8"/>
        <v>start /low /b %USERPROFILE%\Documents\GitHub\eaglep3\Utilities\DownloadLogsFromS3.py --loco 4028 --day 2017-10-24</v>
      </c>
      <c r="AN97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20"/>
        <v>https://d0f6bd738d7f1b3e5a7ca70fe4ff75f0.us-east-1.aws.found.io/app/kibana#/discover/Steve-Slow-Train-Analysis-(2080s-and-2083s)?_g=(refreshInterval:(display:Off,pause:!f,section:0,value:0),time:(from:'2017-10-24T13:09:31-0600',mode:absolute,to:'2017-10-24T15:51:19-0600'))&amp;_a=(columns:!('Message%20ID',Summary),filters:!(),index:'emp_*',interval:auto,query:(query_string:(analyze_wildcard:!t,query:'%22rtdc.l.rtdc.4028%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804</v>
      </c>
      <c r="B98" s="7">
        <v>4027</v>
      </c>
      <c r="C98" s="21" t="s">
        <v>194</v>
      </c>
      <c r="D98" s="21" t="s">
        <v>924</v>
      </c>
      <c r="E98" s="13">
        <v>43032.627824074072</v>
      </c>
      <c r="F98" s="13">
        <v>43032.633518518516</v>
      </c>
      <c r="G98" s="7">
        <v>84</v>
      </c>
      <c r="H98" s="21" t="s">
        <v>371</v>
      </c>
      <c r="I98" s="13">
        <v>43032.659201388888</v>
      </c>
      <c r="J98" s="7">
        <v>0</v>
      </c>
      <c r="K98" s="89" t="str">
        <f>IF(ISEVEN(B98),(B98-1)&amp;"/"&amp;B98,B98&amp;"/"&amp;(B98+1))</f>
        <v>4027/4028</v>
      </c>
      <c r="L98" s="185" t="str">
        <f>VLOOKUP(A98,'Trips&amp;Operators'!$C$1:$G$99911,5,FALSE)</f>
        <v>DE LA ROSA ALEX</v>
      </c>
      <c r="M98" s="6">
        <f>I98-F98</f>
        <v>2.5682870371383615E-2</v>
      </c>
      <c r="N98" s="7">
        <f>24*60*SUM($M98:$M98)</f>
        <v>36.983333334792405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-24T14:04:04-0600',mode:absolute,to:'2017-10-24T16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23.297799999999999</v>
      </c>
      <c r="Z98" s="204">
        <f>RIGHT(H98,LEN(H98)-4)/10000</f>
        <v>1.54E-2</v>
      </c>
      <c r="AA98" s="204">
        <f>ABS(Z98-Y98)</f>
        <v>23.282399999999999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/stypes="app*4027*20171024*"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6"/>
        <v>"%USERPROFILE%\Documents\GitHub\eaglep3\Utilities\RefineRTDCRunTimes.py" --tripid 186-24 --locoid 4027 --swversion DE.1.0.9.0 --startMP 204:232978 --initTime 2017-10-24T15:04:04 --startdatetime 2017-10-24T15:12:16 --delay 84 --endMP 204:154 --enddatetime 2017-10-24T15:49:15 --enforcementcount 0 &gt;&gt;%USERPROFILE%\Documents\GitHub\eaglep3-reporting\EC\2017-10-24-refined-times.txt</v>
      </c>
      <c r="AI98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{"issue":{"subject":"","project_id":79,"tracker_id":40,"status_id":1,"priority_id":2,"assigned_to_id":338,"start_date":"2017-10-24","description":"","custom_fields":[{"id":1,"name":"Subdivision","value":"EC"},{"id":4,"name":"Milepost","value":"0.0154"},{"id":17,"name":"Train ID","value":"186-24"},{"id":16,"name":"Locomotive ID","value":"4027"},{"id":130,"name":"Impact","value":""},{"id":150,"name":"Time of Event (Mountain Time)","value":"15:49:15"},{"id":151,"name":"Denver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8"/>
        <v>start /low /b %USERPROFILE%\Documents\GitHub\eaglep3\Utilities\DownloadLogsFromS3.py --loco 4027 --day 2017-10-24</v>
      </c>
      <c r="AN98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20"/>
        <v>https://d0f6bd738d7f1b3e5a7ca70fe4ff75f0.us-east-1.aws.found.io/app/kibana#/discover/Steve-Slow-Train-Analysis-(2080s-and-2083s)?_g=(refreshInterval:(display:Off,pause:!f,section:0,value:0),time:(from:'2017-10-24T14:04:04-0600',mode:absolute,to:'2017-10-24T16:49:15-0600'))&amp;_a=(columns:!('Message%20ID',Summary),filters:!(),index:'emp_*',interval:auto,query:(query_string:(analyze_wildcard:!t,query:'%22rtdc.l.rtdc.4027%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797</v>
      </c>
      <c r="B99" s="7">
        <v>4002</v>
      </c>
      <c r="C99" s="21" t="s">
        <v>194</v>
      </c>
      <c r="D99" s="21" t="s">
        <v>344</v>
      </c>
      <c r="E99" s="13">
        <v>43032.6</v>
      </c>
      <c r="F99" s="13">
        <v>43032.604363425926</v>
      </c>
      <c r="G99" s="7">
        <v>81</v>
      </c>
      <c r="H99" s="21" t="s">
        <v>451</v>
      </c>
      <c r="I99" s="13">
        <v>43032.629270833335</v>
      </c>
      <c r="J99" s="7">
        <v>0</v>
      </c>
      <c r="K99" s="89" t="str">
        <f>IF(ISEVEN(B99),(B99-1)&amp;"/"&amp;B99,B99&amp;"/"&amp;(B99+1))</f>
        <v>4001/4002</v>
      </c>
      <c r="L99" s="185" t="str">
        <f>VLOOKUP(A99,'Trips&amp;Operators'!$C$1:$G$99911,5,FALSE)</f>
        <v>MOSES BRADLEY</v>
      </c>
      <c r="M99" s="6">
        <f>I99-F99</f>
        <v>2.4907407409045845E-2</v>
      </c>
      <c r="N99" s="7">
        <f>24*60*SUM($M99:$M99)</f>
        <v>35.866666669026017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-24T13:24:00-0600',mode:absolute,to:'2017-10-24T16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4.5499999999999999E-2</v>
      </c>
      <c r="Z99" s="204">
        <f>RIGHT(H99,LEN(H99)-4)/10000</f>
        <v>23.3308</v>
      </c>
      <c r="AA99" s="204">
        <f>ABS(Z99-Y99)</f>
        <v>23.285299999999999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/stypes="app*4002*20171024*"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6"/>
        <v>"%USERPROFILE%\Documents\GitHub\eaglep3\Utilities\RefineRTDCRunTimes.py" --tripid 187-24 --locoid 4002 --swversion DE.1.0.9.0 --startMP 204:455 --initTime 2017-10-24T14:24:00 --startdatetime 2017-10-24T14:30:17 --delay 81 --endMP 204:233308 --enddatetime 2017-10-24T15:06:09 --enforcementcount 0 &gt;&gt;%USERPROFILE%\Documents\GitHub\eaglep3-reporting\EC\2017-10-24-refined-times.txt</v>
      </c>
      <c r="AI99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{"issue":{"subject":"","project_id":79,"tracker_id":40,"status_id":1,"priority_id":2,"assigned_to_id":338,"start_date":"2017-10-24","description":"","custom_fields":[{"id":1,"name":"Subdivision","value":"EC"},{"id":4,"name":"Milepost","value":"23.3308"},{"id":17,"name":"Train ID","value":"187-24"},{"id":16,"name":"Locomotive ID","value":"4002"},{"id":130,"name":"Impact","value":""},{"id":150,"name":"Time of Event (Mountain Time)","value":"15:06:09"},{"id":151,"name":"Denver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8"/>
        <v>start /low /b %USERPROFILE%\Documents\GitHub\eaglep3\Utilities\DownloadLogsFromS3.py --loco 4002 --day 2017-10-24</v>
      </c>
      <c r="AN99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20"/>
        <v>https://d0f6bd738d7f1b3e5a7ca70fe4ff75f0.us-east-1.aws.found.io/app/kibana#/discover/Steve-Slow-Train-Analysis-(2080s-and-2083s)?_g=(refreshInterval:(display:Off,pause:!f,section:0,value:0),time:(from:'2017-10-24T13:24:00-0600',mode:absolute,to:'2017-10-24T16:06:09-0600'))&amp;_a=(columns:!('Message%20ID',Summary),filters:!(),index:'emp_*',interval:auto,query:(query_string:(analyze_wildcard:!t,query:'%22rtdc.l.rtdc.4002%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807</v>
      </c>
      <c r="B100" s="7">
        <v>4001</v>
      </c>
      <c r="C100" s="21" t="s">
        <v>194</v>
      </c>
      <c r="D100" s="21" t="s">
        <v>427</v>
      </c>
      <c r="E100" s="13">
        <v>43032.640949074077</v>
      </c>
      <c r="F100" s="13">
        <v>43032.643935185188</v>
      </c>
      <c r="G100" s="7">
        <v>82</v>
      </c>
      <c r="H100" s="21" t="s">
        <v>336</v>
      </c>
      <c r="I100" s="13">
        <v>43032.669976851852</v>
      </c>
      <c r="J100" s="7">
        <v>0</v>
      </c>
      <c r="K100" s="89" t="str">
        <f>IF(ISEVEN(B100),(B100-1)&amp;"/"&amp;B100,B100&amp;"/"&amp;(B100+1))</f>
        <v>4001/4002</v>
      </c>
      <c r="L100" s="185" t="str">
        <f>VLOOKUP(A100,'Trips&amp;Operators'!$C$1:$G$99911,5,FALSE)</f>
        <v>MOSES BRADLEY</v>
      </c>
      <c r="M100" s="6">
        <f>I100-F100</f>
        <v>2.6041666664241347E-2</v>
      </c>
      <c r="N100" s="7">
        <f>24*60*SUM($M100:$M100)</f>
        <v>37.49999999650754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-24T14:22:58-0600',mode:absolute,to:'2017-10-24T17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23.3002</v>
      </c>
      <c r="Z100" s="204">
        <f>RIGHT(H100,LEN(H100)-4)/10000</f>
        <v>1.49E-2</v>
      </c>
      <c r="AA100" s="204">
        <f>ABS(Z100-Y100)</f>
        <v>23.285299999999999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/stypes="app*4001*20171024*"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6"/>
        <v>"%USERPROFILE%\Documents\GitHub\eaglep3\Utilities\RefineRTDCRunTimes.py" --tripid 188-24 --locoid 4001 --swversion DE.1.0.9.0 --startMP 204:233002 --initTime 2017-10-24T15:22:58 --startdatetime 2017-10-24T15:27:16 --delay 82 --endMP 204:149 --enddatetime 2017-10-24T16:04:46 --enforcementcount 0 &gt;&gt;%USERPROFILE%\Documents\GitHub\eaglep3-reporting\EC\2017-10-24-refined-times.txt</v>
      </c>
      <c r="AI10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{"issue":{"subject":"","project_id":79,"tracker_id":40,"status_id":1,"priority_id":2,"assigned_to_id":338,"start_date":"2017-10-24","description":"","custom_fields":[{"id":1,"name":"Subdivision","value":"EC"},{"id":4,"name":"Milepost","value":"0.0149"},{"id":17,"name":"Train ID","value":"188-24"},{"id":16,"name":"Locomotive ID","value":"4001"},{"id":130,"name":"Impact","value":""},{"id":150,"name":"Time of Event (Mountain Time)","value":"16:04:46"},{"id":151,"name":"Denver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8"/>
        <v>start /low /b %USERPROFILE%\Documents\GitHub\eaglep3\Utilities\DownloadLogsFromS3.py --loco 4001 --day 2017-10-24</v>
      </c>
      <c r="AN100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20"/>
        <v>https://d0f6bd738d7f1b3e5a7ca70fe4ff75f0.us-east-1.aws.found.io/app/kibana#/discover/Steve-Slow-Train-Analysis-(2080s-and-2083s)?_g=(refreshInterval:(display:Off,pause:!f,section:0,value:0),time:(from:'2017-10-24T14:22:58-0600',mode:absolute,to:'2017-10-24T17:04:46-0600'))&amp;_a=(columns:!('Message%20ID',Summary),filters:!(),index:'emp_*',interval:auto,query:(query_string:(analyze_wildcard:!t,query:'%22rtdc.l.rtdc.4001%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799</v>
      </c>
      <c r="B101" s="7">
        <v>4026</v>
      </c>
      <c r="C101" s="21" t="s">
        <v>194</v>
      </c>
      <c r="D101" s="21" t="s">
        <v>372</v>
      </c>
      <c r="E101" s="13">
        <v>43032.610925925925</v>
      </c>
      <c r="F101" s="13">
        <v>43032.614745370367</v>
      </c>
      <c r="G101" s="7">
        <v>60</v>
      </c>
      <c r="H101" s="21" t="s">
        <v>897</v>
      </c>
      <c r="I101" s="13">
        <v>43032.639525462961</v>
      </c>
      <c r="J101" s="7">
        <v>0</v>
      </c>
      <c r="K101" s="89" t="str">
        <f>IF(ISEVEN(B101),(B101-1)&amp;"/"&amp;B101,B101&amp;"/"&amp;(B101+1))</f>
        <v>4025/4026</v>
      </c>
      <c r="L101" s="185" t="str">
        <f>VLOOKUP(A101,'Trips&amp;Operators'!$C$1:$G$99911,5,FALSE)</f>
        <v>BRUDER RICHARD</v>
      </c>
      <c r="M101" s="6">
        <f>I101-F101</f>
        <v>2.4780092593573499E-2</v>
      </c>
      <c r="N101" s="7">
        <f>24*60*SUM($M101:$M101)</f>
        <v>35.683333334745839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-24T13:39:44-0600',mode:absolute,to:'2017-10-24T16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4.4699999999999997E-2</v>
      </c>
      <c r="Z101" s="204">
        <f>RIGHT(H101,LEN(H101)-4)/10000</f>
        <v>23.330100000000002</v>
      </c>
      <c r="AA101" s="204">
        <f>ABS(Z101-Y101)</f>
        <v>23.285400000000003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/stypes="app*4026*20171024*"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6"/>
        <v>"%USERPROFILE%\Documents\GitHub\eaglep3\Utilities\RefineRTDCRunTimes.py" --tripid 189-24 --locoid 4026 --swversion DE.1.0.9.0 --startMP 204:447 --initTime 2017-10-24T14:39:44 --startdatetime 2017-10-24T14:45:14 --delay 60 --endMP 204:233301 --enddatetime 2017-10-24T15:20:55 --enforcementcount 0 &gt;&gt;%USERPROFILE%\Documents\GitHub\eaglep3-reporting\EC\2017-10-24-refined-times.txt</v>
      </c>
      <c r="AI10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{"issue":{"subject":"","project_id":79,"tracker_id":40,"status_id":1,"priority_id":2,"assigned_to_id":338,"start_date":"2017-10-24","description":"","custom_fields":[{"id":1,"name":"Subdivision","value":"EC"},{"id":4,"name":"Milepost","value":"23.3301"},{"id":17,"name":"Train ID","value":"189-24"},{"id":16,"name":"Locomotive ID","value":"4026"},{"id":130,"name":"Impact","value":""},{"id":150,"name":"Time of Event (Mountain Time)","value":"15:20:55"},{"id":151,"name":"Denver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8"/>
        <v>start /low /b %USERPROFILE%\Documents\GitHub\eaglep3\Utilities\DownloadLogsFromS3.py --loco 4026 --day 2017-10-24</v>
      </c>
      <c r="AN101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20"/>
        <v>https://d0f6bd738d7f1b3e5a7ca70fe4ff75f0.us-east-1.aws.found.io/app/kibana#/discover/Steve-Slow-Train-Analysis-(2080s-and-2083s)?_g=(refreshInterval:(display:Off,pause:!f,section:0,value:0),time:(from:'2017-10-24T13:39:44-0600',mode:absolute,to:'2017-10-24T16:20:55-0600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32" t="s">
        <v>810</v>
      </c>
      <c r="B102" s="7">
        <v>4025</v>
      </c>
      <c r="C102" s="21" t="s">
        <v>194</v>
      </c>
      <c r="D102" s="21" t="s">
        <v>428</v>
      </c>
      <c r="E102" s="13">
        <v>43032.650810185187</v>
      </c>
      <c r="F102" s="13">
        <v>43032.654386574075</v>
      </c>
      <c r="G102" s="7">
        <v>57</v>
      </c>
      <c r="H102" s="21" t="s">
        <v>371</v>
      </c>
      <c r="I102" s="13">
        <v>43032.680196759262</v>
      </c>
      <c r="J102" s="7">
        <v>0</v>
      </c>
      <c r="K102" s="89" t="str">
        <f>IF(ISEVEN(B102),(B102-1)&amp;"/"&amp;B102,B102&amp;"/"&amp;(B102+1))</f>
        <v>4025/4026</v>
      </c>
      <c r="L102" s="185" t="str">
        <f>VLOOKUP(A102,'Trips&amp;Operators'!$C$1:$G$99911,5,FALSE)</f>
        <v>BRUDER RICHARD</v>
      </c>
      <c r="M102" s="6">
        <f>I102-F102</f>
        <v>2.5810185186855961E-2</v>
      </c>
      <c r="N102" s="7">
        <f>24*60*SUM($M102:$M102)</f>
        <v>37.166666669072583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-24T14:37:10-0600',mode:absolute,to:'2017-10-24T17:19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23.2988</v>
      </c>
      <c r="Z102" s="204">
        <f>RIGHT(H102,LEN(H102)-4)/10000</f>
        <v>1.54E-2</v>
      </c>
      <c r="AA102" s="204">
        <f>ABS(Z102-Y102)</f>
        <v>23.2834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/stypes="app*4025*20171024*"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6"/>
        <v>"%USERPROFILE%\Documents\GitHub\eaglep3\Utilities\RefineRTDCRunTimes.py" --tripid 190-24 --locoid 4025 --swversion DE.1.0.9.0 --startMP 204:232988 --initTime 2017-10-24T15:37:10 --startdatetime 2017-10-24T15:42:19 --delay 57 --endMP 204:154 --enddatetime 2017-10-24T16:19:29 --enforcementcount 0 &gt;&gt;%USERPROFILE%\Documents\GitHub\eaglep3-reporting\EC\2017-10-24-refined-times.txt</v>
      </c>
      <c r="AI10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{"issue":{"subject":"","project_id":79,"tracker_id":40,"status_id":1,"priority_id":2,"assigned_to_id":338,"start_date":"2017-10-24","description":"","custom_fields":[{"id":1,"name":"Subdivision","value":"EC"},{"id":4,"name":"Milepost","value":"0.0154"},{"id":17,"name":"Train ID","value":"190-24"},{"id":16,"name":"Locomotive ID","value":"4025"},{"id":130,"name":"Impact","value":""},{"id":150,"name":"Time of Event (Mountain Time)","value":"16:19:29"},{"id":151,"name":"Denver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8"/>
        <v>start /low /b %USERPROFILE%\Documents\GitHub\eaglep3\Utilities\DownloadLogsFromS3.py --loco 4025 --day 2017-10-24</v>
      </c>
      <c r="AN102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22:19:29"},{"id":29,"name":"Sharepoint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20"/>
        <v>https://d0f6bd738d7f1b3e5a7ca70fe4ff75f0.us-east-1.aws.found.io/app/kibana#/discover/Steve-Slow-Train-Analysis-(2080s-and-2083s)?_g=(refreshInterval:(display:Off,pause:!f,section:0,value:0),time:(from:'2017-10-24T14:37:10-0600',mode:absolute,to:'2017-10-24T17:19:29-0600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3">
      <c r="A103" s="32" t="s">
        <v>801</v>
      </c>
      <c r="B103" s="7">
        <v>4060</v>
      </c>
      <c r="C103" s="21" t="s">
        <v>194</v>
      </c>
      <c r="D103" s="21" t="s">
        <v>452</v>
      </c>
      <c r="E103" s="13">
        <v>43032.620196759257</v>
      </c>
      <c r="F103" s="13">
        <v>43032.625219907408</v>
      </c>
      <c r="G103" s="7">
        <v>60</v>
      </c>
      <c r="H103" s="21" t="s">
        <v>567</v>
      </c>
      <c r="I103" s="13">
        <v>43032.64984953704</v>
      </c>
      <c r="J103" s="7">
        <v>0</v>
      </c>
      <c r="K103" s="89" t="str">
        <f>IF(ISEVEN(B103),(B103-1)&amp;"/"&amp;B103,B103&amp;"/"&amp;(B103+1))</f>
        <v>4059/4060</v>
      </c>
      <c r="L103" s="185" t="str">
        <f>VLOOKUP(A103,'Trips&amp;Operators'!$C$1:$G$99911,5,FALSE)</f>
        <v>STEWART MICHAEL</v>
      </c>
      <c r="M103" s="6">
        <f>I103-F103</f>
        <v>2.4629629631817807E-2</v>
      </c>
      <c r="N103" s="7">
        <f>24*60*SUM($M103:$M103)</f>
        <v>35.466666669817641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-24T13:53:05-0600',mode:absolute,to:'2017-10-24T16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4.6600000000000003E-2</v>
      </c>
      <c r="Z103" s="204">
        <f>RIGHT(H103,LEN(H103)-4)/10000</f>
        <v>23.3306</v>
      </c>
      <c r="AA103" s="204">
        <f>ABS(Z103-Y103)</f>
        <v>23.283999999999999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/stypes="app*4060*20171024*"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6"/>
        <v>"%USERPROFILE%\Documents\GitHub\eaglep3\Utilities\RefineRTDCRunTimes.py" --tripid 191-24 --locoid 4060 --swversion DE.1.0.9.0 --startMP 204:466 --initTime 2017-10-24T14:53:05 --startdatetime 2017-10-24T15:00:19 --delay 60 --endMP 204:233306 --enddatetime 2017-10-24T15:35:47 --enforcementcount 0 &gt;&gt;%USERPROFILE%\Documents\GitHub\eaglep3-reporting\EC\2017-10-24-refined-times.txt</v>
      </c>
      <c r="AI103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{"issue":{"subject":"","project_id":79,"tracker_id":40,"status_id":1,"priority_id":2,"assigned_to_id":338,"start_date":"2017-10-24","description":"","custom_fields":[{"id":1,"name":"Subdivision","value":"EC"},{"id":4,"name":"Milepost","value":"23.3306"},{"id":17,"name":"Train ID","value":"191-24"},{"id":16,"name":"Locomotive ID","value":"4060"},{"id":130,"name":"Impact","value":""},{"id":150,"name":"Time of Event (Mountain Time)","value":"15:35:47"},{"id":151,"name":"Denver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0"/>
      <c r="AK103" s="47"/>
      <c r="AL103" s="47"/>
      <c r="AM103" s="142" t="str">
        <f t="shared" si="18"/>
        <v>start /low /b %USERPROFILE%\Documents\GitHub\eaglep3\Utilities\DownloadLogsFromS3.py --loco 4060 --day 2017-10-24</v>
      </c>
      <c r="AN103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20"/>
        <v>https://d0f6bd738d7f1b3e5a7ca70fe4ff75f0.us-east-1.aws.found.io/app/kibana#/discover/Steve-Slow-Train-Analysis-(2080s-and-2083s)?_g=(refreshInterval:(display:Off,pause:!f,section:0,value:0),time:(from:'2017-10-24T13:53:05-0600',mode:absolute,to:'2017-10-24T16:35:47-0600'))&amp;_a=(columns:!('Message%20ID',Summary),filters:!(),index:'emp_*',interval:auto,query:(query_string:(analyze_wildcard:!t,query:'%22rtdc.l.rtdc.4060%22')),sort:!(Time.ISO8601,asc))</v>
      </c>
    </row>
    <row r="104" spans="1:91" s="20" customFormat="1" x14ac:dyDescent="0.3">
      <c r="A104" s="32" t="s">
        <v>814</v>
      </c>
      <c r="B104" s="7">
        <v>4059</v>
      </c>
      <c r="C104" s="21" t="s">
        <v>194</v>
      </c>
      <c r="D104" s="21" t="s">
        <v>605</v>
      </c>
      <c r="E104" s="13">
        <v>43032.660324074073</v>
      </c>
      <c r="F104" s="13">
        <v>43032.664826388886</v>
      </c>
      <c r="G104" s="7">
        <v>57</v>
      </c>
      <c r="H104" s="21" t="s">
        <v>354</v>
      </c>
      <c r="I104" s="13">
        <v>43032.692141203705</v>
      </c>
      <c r="J104" s="7">
        <v>0</v>
      </c>
      <c r="K104" s="89" t="str">
        <f>IF(ISEVEN(B104),(B104-1)&amp;"/"&amp;B104,B104&amp;"/"&amp;(B104+1))</f>
        <v>4059/4060</v>
      </c>
      <c r="L104" s="185" t="str">
        <f>VLOOKUP(A104,'Trips&amp;Operators'!$C$1:$G$99911,5,FALSE)</f>
        <v>STEWART MICHAEL</v>
      </c>
      <c r="M104" s="6">
        <f>I104-F104</f>
        <v>2.7314814818964805E-2</v>
      </c>
      <c r="N104" s="7">
        <f>24*60*SUM($M104:$M104)</f>
        <v>39.33333333930932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-24T14:50:52-0600',mode:absolute,to:'2017-10-24T17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23.298300000000001</v>
      </c>
      <c r="Z104" s="204">
        <f>RIGHT(H104,LEN(H104)-4)/10000</f>
        <v>1.52E-2</v>
      </c>
      <c r="AA104" s="204">
        <f>ABS(Z104-Y104)</f>
        <v>23.283100000000001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/stypes="app*4059*20171024*"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6"/>
        <v>"%USERPROFILE%\Documents\GitHub\eaglep3\Utilities\RefineRTDCRunTimes.py" --tripid 192-24 --locoid 4059 --swversion DE.1.0.9.0 --startMP 204:232983 --initTime 2017-10-24T15:50:52 --startdatetime 2017-10-24T15:57:21 --delay 57 --endMP 204:152 --enddatetime 2017-10-24T16:36:41 --enforcementcount 0 &gt;&gt;%USERPROFILE%\Documents\GitHub\eaglep3-reporting\EC\2017-10-24-refined-times.txt</v>
      </c>
      <c r="AI104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{"issue":{"subject":"","project_id":79,"tracker_id":40,"status_id":1,"priority_id":2,"assigned_to_id":338,"start_date":"2017-10-24","description":"","custom_fields":[{"id":1,"name":"Subdivision","value":"EC"},{"id":4,"name":"Milepost","value":"0.0152"},{"id":17,"name":"Train ID","value":"192-24"},{"id":16,"name":"Locomotive ID","value":"4059"},{"id":130,"name":"Impact","value":""},{"id":150,"name":"Time of Event (Mountain Time)","value":"16:36:41"},{"id":151,"name":"Denver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8"/>
        <v>start /low /b %USERPROFILE%\Documents\GitHub\eaglep3\Utilities\DownloadLogsFromS3.py --loco 4059 --day 2017-10-24</v>
      </c>
      <c r="AN104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20"/>
        <v>https://d0f6bd738d7f1b3e5a7ca70fe4ff75f0.us-east-1.aws.found.io/app/kibana#/discover/Steve-Slow-Train-Analysis-(2080s-and-2083s)?_g=(refreshInterval:(display:Off,pause:!f,section:0,value:0),time:(from:'2017-10-24T14:50:52-0600',mode:absolute,to:'2017-10-24T17:36:41-0600'))&amp;_a=(columns:!('Message%20ID',Summary),filters:!(),index:'emp_*',interval:auto,query:(query_string:(analyze_wildcard:!t,query:'%22rtdc.l.rtdc.4059%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805</v>
      </c>
      <c r="B105" s="7">
        <v>4010</v>
      </c>
      <c r="C105" s="21" t="s">
        <v>194</v>
      </c>
      <c r="D105" s="21" t="s">
        <v>917</v>
      </c>
      <c r="E105" s="13">
        <v>43032.631064814814</v>
      </c>
      <c r="F105" s="13">
        <v>43032.635740740741</v>
      </c>
      <c r="G105" s="7">
        <v>56</v>
      </c>
      <c r="H105" s="21" t="s">
        <v>536</v>
      </c>
      <c r="I105" s="13">
        <v>43032.660937499997</v>
      </c>
      <c r="J105" s="7">
        <v>0</v>
      </c>
      <c r="K105" s="89" t="str">
        <f>IF(ISEVEN(B105),(B105-1)&amp;"/"&amp;B105,B105&amp;"/"&amp;(B105+1))</f>
        <v>4009/4010</v>
      </c>
      <c r="L105" s="185" t="str">
        <f>VLOOKUP(A105,'Trips&amp;Operators'!$C$1:$G$99911,5,FALSE)</f>
        <v>LEVIN SCOTT</v>
      </c>
      <c r="M105" s="6">
        <f>I105-F105</f>
        <v>2.5196759255777579E-2</v>
      </c>
      <c r="N105" s="7">
        <f>24*60*SUM($M105:$M105)</f>
        <v>36.283333328319713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-24T14:08:44-0600',mode:absolute,to:'2017-10-24T16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4.4400000000000002E-2</v>
      </c>
      <c r="Z105" s="204">
        <f>RIGHT(H105,LEN(H105)-4)/10000</f>
        <v>23.333600000000001</v>
      </c>
      <c r="AA105" s="204">
        <f>ABS(Z105-Y105)</f>
        <v>23.289200000000001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/stypes="app*4010*20171024*"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6"/>
        <v>"%USERPROFILE%\Documents\GitHub\eaglep3\Utilities\RefineRTDCRunTimes.py" --tripid 193-24 --locoid 4010 --swversion DE.1.0.9.0 --startMP 204:444 --initTime 2017-10-24T15:08:44 --startdatetime 2017-10-24T15:15:28 --delay 56 --endMP 204:233336 --enddatetime 2017-10-24T15:51:45 --enforcementcount 0 &gt;&gt;%USERPROFILE%\Documents\GitHub\eaglep3-reporting\EC\2017-10-24-refined-times.txt</v>
      </c>
      <c r="AI105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{"issue":{"subject":"","project_id":79,"tracker_id":40,"status_id":1,"priority_id":2,"assigned_to_id":338,"start_date":"2017-10-24","description":"","custom_fields":[{"id":1,"name":"Subdivision","value":"EC"},{"id":4,"name":"Milepost","value":"23.3336"},{"id":17,"name":"Train ID","value":"193-24"},{"id":16,"name":"Locomotive ID","value":"4010"},{"id":130,"name":"Impact","value":""},{"id":150,"name":"Time of Event (Mountain Time)","value":"15:51:45"},{"id":151,"name":"Denver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8"/>
        <v>start /low /b %USERPROFILE%\Documents\GitHub\eaglep3\Utilities\DownloadLogsFromS3.py --loco 4010 --day 2017-10-24</v>
      </c>
      <c r="AN105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20"/>
        <v>https://d0f6bd738d7f1b3e5a7ca70fe4ff75f0.us-east-1.aws.found.io/app/kibana#/discover/Steve-Slow-Train-Analysis-(2080s-and-2083s)?_g=(refreshInterval:(display:Off,pause:!f,section:0,value:0),time:(from:'2017-10-24T14:08:44-0600',mode:absolute,to:'2017-10-24T16:51:45-0600'))&amp;_a=(columns:!('Message%20ID',Summary),filters:!(),index:'emp_*',interval:auto,query:(query_string:(analyze_wildcard:!t,query:'%22rtdc.l.rtdc.4010%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818</v>
      </c>
      <c r="B106" s="7">
        <v>4009</v>
      </c>
      <c r="C106" s="21" t="s">
        <v>194</v>
      </c>
      <c r="D106" s="21" t="s">
        <v>446</v>
      </c>
      <c r="E106" s="13">
        <v>43032.671759259261</v>
      </c>
      <c r="F106" s="13">
        <v>43032.675462962965</v>
      </c>
      <c r="G106" s="7">
        <v>58</v>
      </c>
      <c r="H106" s="21" t="s">
        <v>930</v>
      </c>
      <c r="I106" s="13">
        <v>43032.70113425926</v>
      </c>
      <c r="J106" s="7">
        <v>0</v>
      </c>
      <c r="K106" s="89" t="str">
        <f>IF(ISEVEN(B106),(B106-1)&amp;"/"&amp;B106,B106&amp;"/"&amp;(B106+1))</f>
        <v>4009/4010</v>
      </c>
      <c r="L106" s="185" t="str">
        <f>VLOOKUP(A106,'Trips&amp;Operators'!$C$1:$G$99911,5,FALSE)</f>
        <v>LEVIN SCOTT</v>
      </c>
      <c r="M106" s="6">
        <f>I106-F106</f>
        <v>2.5671296294603962E-2</v>
      </c>
      <c r="N106" s="7">
        <f>24*60*SUM($M106:$M106)</f>
        <v>36.966666664229706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-24T15:07:20-0600',mode:absolute,to:'2017-10-24T17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23.301300000000001</v>
      </c>
      <c r="Z106" s="204">
        <f>RIGHT(H106,LEN(H106)-4)/10000</f>
        <v>3.4200000000000001E-2</v>
      </c>
      <c r="AA106" s="204">
        <f>ABS(Z106-Y106)</f>
        <v>23.267100000000003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/stypes="app*4009*20171024*"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6"/>
        <v>"%USERPROFILE%\Documents\GitHub\eaglep3\Utilities\RefineRTDCRunTimes.py" --tripid 194-24 --locoid 4009 --swversion DE.1.0.9.0 --startMP 204:233013 --initTime 2017-10-24T16:07:20 --startdatetime 2017-10-24T16:12:40 --delay 58 --endMP 204:342 --enddatetime 2017-10-24T16:49:38 --enforcementcount 0 &gt;&gt;%USERPROFILE%\Documents\GitHub\eaglep3-reporting\EC\2017-10-24-refined-times.txt</v>
      </c>
      <c r="AI106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{"issue":{"subject":"","project_id":79,"tracker_id":40,"status_id":1,"priority_id":2,"assigned_to_id":338,"start_date":"2017-10-24","description":"","custom_fields":[{"id":1,"name":"Subdivision","value":"EC"},{"id":4,"name":"Milepost","value":"0.0342"},{"id":17,"name":"Train ID","value":"194-24"},{"id":16,"name":"Locomotive ID","value":"4009"},{"id":130,"name":"Impact","value":""},{"id":150,"name":"Time of Event (Mountain Time)","value":"16:49:38"},{"id":151,"name":"Denver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8"/>
        <v>start /low /b %USERPROFILE%\Documents\GitHub\eaglep3\Utilities\DownloadLogsFromS3.py --loco 4009 --day 2017-10-24</v>
      </c>
      <c r="AN106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20"/>
        <v>https://d0f6bd738d7f1b3e5a7ca70fe4ff75f0.us-east-1.aws.found.io/app/kibana#/discover/Steve-Slow-Train-Analysis-(2080s-and-2083s)?_g=(refreshInterval:(display:Off,pause:!f,section:0,value:0),time:(from:'2017-10-24T15:07:20-0600',mode:absolute,to:'2017-10-24T17:49:38-0600'))&amp;_a=(columns:!('Message%20ID',Summary),filters:!(),index:'emp_*',interval:auto,query:(query_string:(analyze_wildcard:!t,query:'%22rtdc.l.rtdc.4009%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809</v>
      </c>
      <c r="B107" s="7">
        <v>4016</v>
      </c>
      <c r="C107" s="21" t="s">
        <v>194</v>
      </c>
      <c r="D107" s="21" t="s">
        <v>334</v>
      </c>
      <c r="E107" s="13">
        <v>43032.641724537039</v>
      </c>
      <c r="F107" s="13">
        <v>43032.646053240744</v>
      </c>
      <c r="G107" s="7">
        <v>86</v>
      </c>
      <c r="H107" s="21" t="s">
        <v>563</v>
      </c>
      <c r="I107" s="13">
        <v>43032.671863425923</v>
      </c>
      <c r="J107" s="7">
        <v>0</v>
      </c>
      <c r="K107" s="89" t="str">
        <f>IF(ISEVEN(B107),(B107-1)&amp;"/"&amp;B107,B107&amp;"/"&amp;(B107+1))</f>
        <v>4015/4016</v>
      </c>
      <c r="L107" s="185" t="str">
        <f>VLOOKUP(A107,'Trips&amp;Operators'!$C$1:$G$99911,5,FALSE)</f>
        <v>LEVERE CRAIG</v>
      </c>
      <c r="M107" s="6">
        <f>I107-F107</f>
        <v>2.5810185179580003E-2</v>
      </c>
      <c r="N107" s="7">
        <f>24*60*SUM($M107:$M107)</f>
        <v>37.166666658595204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-24T14:24:05-0600',mode:absolute,to:'2017-10-24T17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4.4600000000000001E-2</v>
      </c>
      <c r="Z107" s="204">
        <f>RIGHT(H107,LEN(H107)-4)/10000</f>
        <v>23.3325</v>
      </c>
      <c r="AA107" s="204">
        <f>ABS(Z107-Y107)</f>
        <v>23.2879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/stypes="app*4016*20171024*"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6"/>
        <v>"%USERPROFILE%\Documents\GitHub\eaglep3\Utilities\RefineRTDCRunTimes.py" --tripid 195-24 --locoid 4016 --swversion DE.1.0.9.0 --startMP 204:446 --initTime 2017-10-24T15:24:05 --startdatetime 2017-10-24T15:30:19 --delay 86 --endMP 204:233325 --enddatetime 2017-10-24T16:07:29 --enforcementcount 0 &gt;&gt;%USERPROFILE%\Documents\GitHub\eaglep3-reporting\EC\2017-10-24-refined-times.txt</v>
      </c>
      <c r="AI107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{"issue":{"subject":"","project_id":79,"tracker_id":40,"status_id":1,"priority_id":2,"assigned_to_id":338,"start_date":"2017-10-24","description":"","custom_fields":[{"id":1,"name":"Subdivision","value":"EC"},{"id":4,"name":"Milepost","value":"23.3325"},{"id":17,"name":"Train ID","value":"195-24"},{"id":16,"name":"Locomotive ID","value":"4016"},{"id":130,"name":"Impact","value":""},{"id":150,"name":"Time of Event (Mountain Time)","value":"16:07:29"},{"id":151,"name":"Denver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8"/>
        <v>start /low /b %USERPROFILE%\Documents\GitHub\eaglep3\Utilities\DownloadLogsFromS3.py --loco 4016 --day 2017-10-24</v>
      </c>
      <c r="AN107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20"/>
        <v>https://d0f6bd738d7f1b3e5a7ca70fe4ff75f0.us-east-1.aws.found.io/app/kibana#/discover/Steve-Slow-Train-Analysis-(2080s-and-2083s)?_g=(refreshInterval:(display:Off,pause:!f,section:0,value:0),time:(from:'2017-10-24T14:24:05-0600',mode:absolute,to:'2017-10-24T17:07:29-0600'))&amp;_a=(columns:!('Message%20ID',Summary),filters:!(),index:'emp_*',interval:auto,query:(query_string:(analyze_wildcard:!t,query:'%22rtdc.l.rtdc.4016%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820</v>
      </c>
      <c r="B108" s="7">
        <v>4015</v>
      </c>
      <c r="C108" s="21" t="s">
        <v>194</v>
      </c>
      <c r="D108" s="21" t="s">
        <v>568</v>
      </c>
      <c r="E108" s="13">
        <v>43032.679166666669</v>
      </c>
      <c r="F108" s="13">
        <v>43032.685787037037</v>
      </c>
      <c r="G108" s="7">
        <v>69</v>
      </c>
      <c r="H108" s="21" t="s">
        <v>407</v>
      </c>
      <c r="I108" s="13">
        <v>43032.712592592594</v>
      </c>
      <c r="J108" s="7">
        <v>0</v>
      </c>
      <c r="K108" s="89" t="str">
        <f>IF(ISEVEN(B108),(B108-1)&amp;"/"&amp;B108,B108&amp;"/"&amp;(B108+1))</f>
        <v>4015/4016</v>
      </c>
      <c r="L108" s="185" t="str">
        <f>VLOOKUP(A108,'Trips&amp;Operators'!$C$1:$G$99911,5,FALSE)</f>
        <v>LEVERE CRAIG</v>
      </c>
      <c r="M108" s="6">
        <f>I108-F108</f>
        <v>2.6805555557075422E-2</v>
      </c>
      <c r="N108" s="7">
        <f>24*60*SUM($M108:$M108)</f>
        <v>38.600000002188608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-24T15:18:00-0600',mode:absolute,to:'2017-10-24T18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23.300599999999999</v>
      </c>
      <c r="Z108" s="204">
        <f>RIGHT(H108,LEN(H108)-4)/10000</f>
        <v>1.41E-2</v>
      </c>
      <c r="AA108" s="204">
        <f>ABS(Z108-Y108)</f>
        <v>23.2865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/stypes="app*4015*20171024*"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6"/>
        <v>"%USERPROFILE%\Documents\GitHub\eaglep3\Utilities\RefineRTDCRunTimes.py" --tripid 196-24 --locoid 4015 --swversion DE.1.0.9.0 --startMP 204:233006 --initTime 2017-10-24T16:18:00 --startdatetime 2017-10-24T16:27:32 --delay 69 --endMP 204:141 --enddatetime 2017-10-24T17:06:08 --enforcementcount 0 &gt;&gt;%USERPROFILE%\Documents\GitHub\eaglep3-reporting\EC\2017-10-24-refined-times.txt</v>
      </c>
      <c r="AI108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{"issue":{"subject":"","project_id":79,"tracker_id":40,"status_id":1,"priority_id":2,"assigned_to_id":338,"start_date":"2017-10-24","description":"","custom_fields":[{"id":1,"name":"Subdivision","value":"EC"},{"id":4,"name":"Milepost","value":"0.0141"},{"id":17,"name":"Train ID","value":"196-24"},{"id":16,"name":"Locomotive ID","value":"4015"},{"id":130,"name":"Impact","value":""},{"id":150,"name":"Time of Event (Mountain Time)","value":"17:06:08"},{"id":151,"name":"Denver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8"/>
        <v>start /low /b %USERPROFILE%\Documents\GitHub\eaglep3\Utilities\DownloadLogsFromS3.py --loco 4015 --day 2017-10-24</v>
      </c>
      <c r="AN108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20"/>
        <v>https://d0f6bd738d7f1b3e5a7ca70fe4ff75f0.us-east-1.aws.found.io/app/kibana#/discover/Steve-Slow-Train-Analysis-(2080s-and-2083s)?_g=(refreshInterval:(display:Off,pause:!f,section:0,value:0),time:(from:'2017-10-24T15:18:00-0600',mode:absolute,to:'2017-10-24T18:06:08-0600'))&amp;_a=(columns:!('Message%20ID',Summary),filters:!(),index:'emp_*',interval:auto,query:(query_string:(analyze_wildcard:!t,query:'%22rtdc.l.rtdc.4015%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811</v>
      </c>
      <c r="B109" s="7">
        <v>4058</v>
      </c>
      <c r="C109" s="21" t="s">
        <v>194</v>
      </c>
      <c r="D109" s="21" t="s">
        <v>399</v>
      </c>
      <c r="E109" s="13">
        <v>43032.652581018519</v>
      </c>
      <c r="F109" s="13">
        <v>43032.656585648147</v>
      </c>
      <c r="G109" s="7">
        <v>78</v>
      </c>
      <c r="H109" s="21" t="s">
        <v>931</v>
      </c>
      <c r="I109" s="13">
        <v>43032.683946759258</v>
      </c>
      <c r="J109" s="7">
        <v>0</v>
      </c>
      <c r="K109" s="89" t="str">
        <f>IF(ISEVEN(B109),(B109-1)&amp;"/"&amp;B109,B109&amp;"/"&amp;(B109+1))</f>
        <v>4057/4058</v>
      </c>
      <c r="L109" s="185" t="str">
        <f>VLOOKUP(A109,'Trips&amp;Operators'!$C$1:$G$99911,5,FALSE)</f>
        <v>ARNOLD PAUL</v>
      </c>
      <c r="M109" s="6">
        <f>I109-F109</f>
        <v>2.73611111115315E-2</v>
      </c>
      <c r="N109" s="7">
        <f>24*60*SUM($M109:$M109)</f>
        <v>39.40000000060536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-24T14:39:43-0600',mode:absolute,to:'2017-10-24T17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4.6199999999999998E-2</v>
      </c>
      <c r="Z109" s="204">
        <f>RIGHT(H109,LEN(H109)-4)/10000</f>
        <v>23.322399999999998</v>
      </c>
      <c r="AA109" s="204">
        <f>ABS(Z109-Y109)</f>
        <v>23.276199999999999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/stypes="app*4058*20171024*"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6"/>
        <v>"%USERPROFILE%\Documents\GitHub\eaglep3\Utilities\RefineRTDCRunTimes.py" --tripid 197-24 --locoid 4058 --swversion DE.1.0.9.0 --startMP 204:462 --initTime 2017-10-24T15:39:43 --startdatetime 2017-10-24T15:45:29 --delay 78 --endMP 204:233224 --enddatetime 2017-10-24T16:24:53 --enforcementcount 0 &gt;&gt;%USERPROFILE%\Documents\GitHub\eaglep3-reporting\EC\2017-10-24-refined-times.txt</v>
      </c>
      <c r="AI109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{"issue":{"subject":"","project_id":79,"tracker_id":40,"status_id":1,"priority_id":2,"assigned_to_id":338,"start_date":"2017-10-24","description":"","custom_fields":[{"id":1,"name":"Subdivision","value":"EC"},{"id":4,"name":"Milepost","value":"23.3224"},{"id":17,"name":"Train ID","value":"197-24"},{"id":16,"name":"Locomotive ID","value":"4058"},{"id":130,"name":"Impact","value":""},{"id":150,"name":"Time of Event (Mountain Time)","value":"16:24:53"},{"id":151,"name":"Denver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8"/>
        <v>start /low /b %USERPROFILE%\Documents\GitHub\eaglep3\Utilities\DownloadLogsFromS3.py --loco 4058 --day 2017-10-24</v>
      </c>
      <c r="AN109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20"/>
        <v>https://d0f6bd738d7f1b3e5a7ca70fe4ff75f0.us-east-1.aws.found.io/app/kibana#/discover/Steve-Slow-Train-Analysis-(2080s-and-2083s)?_g=(refreshInterval:(display:Off,pause:!f,section:0,value:0),time:(from:'2017-10-24T14:39:43-0600',mode:absolute,to:'2017-10-24T17:24:53-0600'))&amp;_a=(columns:!('Message%20ID',Summary),filters:!(),index:'emp_*',interval:auto,query:(query_string:(analyze_wildcard:!t,query:'%22rtdc.l.rtdc.4058%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824</v>
      </c>
      <c r="B110" s="7">
        <v>4057</v>
      </c>
      <c r="C110" s="21" t="s">
        <v>194</v>
      </c>
      <c r="D110" s="21" t="s">
        <v>932</v>
      </c>
      <c r="E110" s="13">
        <v>43032.690729166665</v>
      </c>
      <c r="F110" s="13">
        <v>43032.696203703701</v>
      </c>
      <c r="G110" s="7">
        <v>97</v>
      </c>
      <c r="H110" s="21" t="s">
        <v>933</v>
      </c>
      <c r="I110" s="13">
        <v>43032.722708333335</v>
      </c>
      <c r="J110" s="7">
        <v>0</v>
      </c>
      <c r="K110" s="89" t="str">
        <f>IF(ISEVEN(B110),(B110-1)&amp;"/"&amp;B110,B110&amp;"/"&amp;(B110+1))</f>
        <v>4057/4058</v>
      </c>
      <c r="L110" s="185" t="str">
        <f>VLOOKUP(A110,'Trips&amp;Operators'!$C$1:$G$99911,5,FALSE)</f>
        <v>ARNOLD PAUL</v>
      </c>
      <c r="M110" s="6">
        <f>I110-F110</f>
        <v>2.6504629633564036E-2</v>
      </c>
      <c r="N110" s="7">
        <f>24*60*SUM($M110:$M110)</f>
        <v>38.166666672332212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-24T15:34:39-0600',mode:absolute,to:'2017-10-24T18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23.2879</v>
      </c>
      <c r="Z110" s="204">
        <f>RIGHT(H110,LEN(H110)-4)/10000</f>
        <v>2.4E-2</v>
      </c>
      <c r="AA110" s="204">
        <f>ABS(Z110-Y110)</f>
        <v>23.2639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/stypes="app*4057*20171024*"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6"/>
        <v>"%USERPROFILE%\Documents\GitHub\eaglep3\Utilities\RefineRTDCRunTimes.py" --tripid 198-24 --locoid 4057 --swversion DE.1.0.9.0 --startMP 204:232879 --initTime 2017-10-24T16:34:39 --startdatetime 2017-10-24T16:42:32 --delay 97 --endMP 204:240 --enddatetime 2017-10-24T17:20:42 --enforcementcount 0 &gt;&gt;%USERPROFILE%\Documents\GitHub\eaglep3-reporting\EC\2017-10-24-refined-times.txt</v>
      </c>
      <c r="AI11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{"issue":{"subject":"","project_id":79,"tracker_id":40,"status_id":1,"priority_id":2,"assigned_to_id":338,"start_date":"2017-10-24","description":"","custom_fields":[{"id":1,"name":"Subdivision","value":"EC"},{"id":4,"name":"Milepost","value":"0.024"},{"id":17,"name":"Train ID","value":"198-24"},{"id":16,"name":"Locomotive ID","value":"4057"},{"id":130,"name":"Impact","value":""},{"id":150,"name":"Time of Event (Mountain Time)","value":"17:20:42"},{"id":151,"name":"Denver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8"/>
        <v>start /low /b %USERPROFILE%\Documents\GitHub\eaglep3\Utilities\DownloadLogsFromS3.py --loco 4057 --day 2017-10-24</v>
      </c>
      <c r="AN110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20"/>
        <v>https://d0f6bd738d7f1b3e5a7ca70fe4ff75f0.us-east-1.aws.found.io/app/kibana#/discover/Steve-Slow-Train-Analysis-(2080s-and-2083s)?_g=(refreshInterval:(display:Off,pause:!f,section:0,value:0),time:(from:'2017-10-24T15:34:39-0600',mode:absolute,to:'2017-10-24T18:20:42-0600'))&amp;_a=(columns:!('Message%20ID',Summary),filters:!(),index:'emp_*',interval:auto,query:(query_string:(analyze_wildcard:!t,query:'%22rtdc.l.rtdc.4057%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815</v>
      </c>
      <c r="B111" s="7">
        <v>4028</v>
      </c>
      <c r="C111" s="21" t="s">
        <v>194</v>
      </c>
      <c r="D111" s="21" t="s">
        <v>533</v>
      </c>
      <c r="E111" s="13">
        <v>43032.662962962961</v>
      </c>
      <c r="F111" s="13">
        <v>43032.666990740741</v>
      </c>
      <c r="G111" s="7">
        <v>89</v>
      </c>
      <c r="H111" s="21" t="s">
        <v>451</v>
      </c>
      <c r="I111" s="13">
        <v>43032.692696759259</v>
      </c>
      <c r="J111" s="7">
        <v>0</v>
      </c>
      <c r="K111" s="89" t="str">
        <f>IF(ISEVEN(B111),(B111-1)&amp;"/"&amp;B111,B111&amp;"/"&amp;(B111+1))</f>
        <v>4027/4028</v>
      </c>
      <c r="L111" s="185" t="str">
        <f>VLOOKUP(A111,'Trips&amp;Operators'!$C$1:$G$99911,5,FALSE)</f>
        <v>DAVIS MICHAEL</v>
      </c>
      <c r="M111" s="6">
        <f>I111-F111</f>
        <v>2.5706018517666962E-2</v>
      </c>
      <c r="N111" s="7">
        <f>24*60*SUM($M111:$M111)</f>
        <v>37.016666665440425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-24T14:54:40-0600',mode:absolute,to:'2017-10-24T17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4.4900000000000002E-2</v>
      </c>
      <c r="Z111" s="204">
        <f>RIGHT(H111,LEN(H111)-4)/10000</f>
        <v>23.3308</v>
      </c>
      <c r="AA111" s="204">
        <f>ABS(Z111-Y111)</f>
        <v>23.285900000000002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/stypes="app*4028*20171024*"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6"/>
        <v>"%USERPROFILE%\Documents\GitHub\eaglep3\Utilities\RefineRTDCRunTimes.py" --tripid 199-24 --locoid 4028 --swversion DE.1.0.9.0 --startMP 204:449 --initTime 2017-10-24T15:54:40 --startdatetime 2017-10-24T16:00:28 --delay 89 --endMP 204:233308 --enddatetime 2017-10-24T16:37:29 --enforcementcount 0 &gt;&gt;%USERPROFILE%\Documents\GitHub\eaglep3-reporting\EC\2017-10-24-refined-times.txt</v>
      </c>
      <c r="AI11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{"issue":{"subject":"","project_id":79,"tracker_id":40,"status_id":1,"priority_id":2,"assigned_to_id":338,"start_date":"2017-10-24","description":"","custom_fields":[{"id":1,"name":"Subdivision","value":"EC"},{"id":4,"name":"Milepost","value":"23.3308"},{"id":17,"name":"Train ID","value":"199-24"},{"id":16,"name":"Locomotive ID","value":"4028"},{"id":130,"name":"Impact","value":""},{"id":150,"name":"Time of Event (Mountain Time)","value":"16:37:29"},{"id":151,"name":"Denver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8"/>
        <v>start /low /b %USERPROFILE%\Documents\GitHub\eaglep3\Utilities\DownloadLogsFromS3.py --loco 4028 --day 2017-10-24</v>
      </c>
      <c r="AN111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20"/>
        <v>https://d0f6bd738d7f1b3e5a7ca70fe4ff75f0.us-east-1.aws.found.io/app/kibana#/discover/Steve-Slow-Train-Analysis-(2080s-and-2083s)?_g=(refreshInterval:(display:Off,pause:!f,section:0,value:0),time:(from:'2017-10-24T14:54:40-0600',mode:absolute,to:'2017-10-24T17:37:29-0600'))&amp;_a=(columns:!('Message%20ID',Summary),filters:!(),index:'emp_*',interval:auto,query:(query_string:(analyze_wildcard:!t,query:'%22rtdc.l.rtdc.4028%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828</v>
      </c>
      <c r="B112" s="7">
        <v>4027</v>
      </c>
      <c r="C112" s="21" t="s">
        <v>194</v>
      </c>
      <c r="D112" s="21" t="s">
        <v>427</v>
      </c>
      <c r="E112" s="13">
        <v>43032.704456018517</v>
      </c>
      <c r="F112" s="13">
        <v>43032.706712962965</v>
      </c>
      <c r="G112" s="7">
        <v>70</v>
      </c>
      <c r="H112" s="21" t="s">
        <v>355</v>
      </c>
      <c r="I112" s="13">
        <v>43032.734085648146</v>
      </c>
      <c r="J112" s="7">
        <v>0</v>
      </c>
      <c r="K112" s="89" t="str">
        <f>IF(ISEVEN(B112),(B112-1)&amp;"/"&amp;B112,B112&amp;"/"&amp;(B112+1))</f>
        <v>4027/4028</v>
      </c>
      <c r="L112" s="185" t="str">
        <f>VLOOKUP(A112,'Trips&amp;Operators'!$C$1:$G$99911,5,FALSE)</f>
        <v>DAVIS MICHAEL</v>
      </c>
      <c r="M112" s="6">
        <f>I112-F112</f>
        <v>2.7372685181035195E-2</v>
      </c>
      <c r="N112" s="7">
        <f>24*60*SUM($M112:$M112)</f>
        <v>39.41666666069068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-24T15:54:25-0600',mode:absolute,to:'2017-10-24T18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23.3002</v>
      </c>
      <c r="Z112" s="204">
        <f>RIGHT(H112,LEN(H112)-4)/10000</f>
        <v>1.4500000000000001E-2</v>
      </c>
      <c r="AA112" s="204">
        <f>ABS(Z112-Y112)</f>
        <v>23.285699999999999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/stypes="app*4027*20171024*"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6"/>
        <v>"%USERPROFILE%\Documents\GitHub\eaglep3\Utilities\RefineRTDCRunTimes.py" --tripid 200-24 --locoid 4027 --swversion DE.1.0.9.0 --startMP 204:233002 --initTime 2017-10-24T16:54:25 --startdatetime 2017-10-24T16:57:40 --delay 70 --endMP 204:145 --enddatetime 2017-10-24T17:37:05 --enforcementcount 0 &gt;&gt;%USERPROFILE%\Documents\GitHub\eaglep3-reporting\EC\2017-10-24-refined-times.txt</v>
      </c>
      <c r="AI11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{"issue":{"subject":"","project_id":79,"tracker_id":40,"status_id":1,"priority_id":2,"assigned_to_id":338,"start_date":"2017-10-24","description":"","custom_fields":[{"id":1,"name":"Subdivision","value":"EC"},{"id":4,"name":"Milepost","value":"0.0145"},{"id":17,"name":"Train ID","value":"200-24"},{"id":16,"name":"Locomotive ID","value":"4027"},{"id":130,"name":"Impact","value":""},{"id":150,"name":"Time of Event (Mountain Time)","value":"17:37:05"},{"id":151,"name":"Denver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8"/>
        <v>start /low /b %USERPROFILE%\Documents\GitHub\eaglep3\Utilities\DownloadLogsFromS3.py --loco 4027 --day 2017-10-24</v>
      </c>
      <c r="AN112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20"/>
        <v>https://d0f6bd738d7f1b3e5a7ca70fe4ff75f0.us-east-1.aws.found.io/app/kibana#/discover/Steve-Slow-Train-Analysis-(2080s-and-2083s)?_g=(refreshInterval:(display:Off,pause:!f,section:0,value:0),time:(from:'2017-10-24T15:54:25-0600',mode:absolute,to:'2017-10-24T18:37:05-0600'))&amp;_a=(columns:!('Message%20ID',Summary),filters:!(),index:'emp_*',interval:auto,query:(query_string:(analyze_wildcard:!t,query:'%22rtdc.l.rtdc.4027%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819</v>
      </c>
      <c r="B113" s="7">
        <v>4002</v>
      </c>
      <c r="C113" s="21" t="s">
        <v>194</v>
      </c>
      <c r="D113" s="21" t="s">
        <v>362</v>
      </c>
      <c r="E113" s="13">
        <v>43032.6719212963</v>
      </c>
      <c r="F113" s="13">
        <v>43032.677291666667</v>
      </c>
      <c r="G113" s="7">
        <v>64</v>
      </c>
      <c r="H113" s="21" t="s">
        <v>410</v>
      </c>
      <c r="I113" s="13">
        <v>43032.702557870369</v>
      </c>
      <c r="J113" s="7">
        <v>0</v>
      </c>
      <c r="K113" s="89" t="str">
        <f>IF(ISEVEN(B113),(B113-1)&amp;"/"&amp;B113,B113&amp;"/"&amp;(B113+1))</f>
        <v>4001/4002</v>
      </c>
      <c r="L113" s="185" t="str">
        <f>VLOOKUP(A113,'Trips&amp;Operators'!$C$1:$G$99911,5,FALSE)</f>
        <v>SMITH MICHAEL</v>
      </c>
      <c r="M113" s="6">
        <f>I113-F113</f>
        <v>2.5266203701903578E-2</v>
      </c>
      <c r="N113" s="7">
        <f>24*60*SUM($M113:$M113)</f>
        <v>36.383333330741152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-24T15:07:34-0600',mode:absolute,to:'2017-10-24T17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4.5999999999999999E-2</v>
      </c>
      <c r="Z113" s="204">
        <f>RIGHT(H113,LEN(H113)-4)/10000</f>
        <v>23.329699999999999</v>
      </c>
      <c r="AA113" s="204">
        <f>ABS(Z113-Y113)</f>
        <v>23.2837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/stypes="app*4002*20171024*"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6"/>
        <v>"%USERPROFILE%\Documents\GitHub\eaglep3\Utilities\RefineRTDCRunTimes.py" --tripid 201-24 --locoid 4002 --swversion DE.1.0.9.0 --startMP 204:460 --initTime 2017-10-24T16:07:34 --startdatetime 2017-10-24T16:15:18 --delay 64 --endMP 204:233297 --enddatetime 2017-10-24T16:51:41 --enforcementcount 0 &gt;&gt;%USERPROFILE%\Documents\GitHub\eaglep3-reporting\EC\2017-10-24-refined-times.txt</v>
      </c>
      <c r="AI113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{"issue":{"subject":"","project_id":79,"tracker_id":40,"status_id":1,"priority_id":2,"assigned_to_id":338,"start_date":"2017-10-24","description":"","custom_fields":[{"id":1,"name":"Subdivision","value":"EC"},{"id":4,"name":"Milepost","value":"23.3297"},{"id":17,"name":"Train ID","value":"201-24"},{"id":16,"name":"Locomotive ID","value":"4002"},{"id":130,"name":"Impact","value":""},{"id":150,"name":"Time of Event (Mountain Time)","value":"16:51:41"},{"id":151,"name":"Denver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8"/>
        <v>start /low /b %USERPROFILE%\Documents\GitHub\eaglep3\Utilities\DownloadLogsFromS3.py --loco 4002 --day 2017-10-24</v>
      </c>
      <c r="AN113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20"/>
        <v>https://d0f6bd738d7f1b3e5a7ca70fe4ff75f0.us-east-1.aws.found.io/app/kibana#/discover/Steve-Slow-Train-Analysis-(2080s-and-2083s)?_g=(refreshInterval:(display:Off,pause:!f,section:0,value:0),time:(from:'2017-10-24T15:07:34-0600',mode:absolute,to:'2017-10-24T17:51:41-0600'))&amp;_a=(columns:!('Message%20ID',Summary),filters:!(),index:'emp_*',interval:auto,query:(query_string:(analyze_wildcard:!t,query:'%22rtdc.l.rtdc.4002%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830</v>
      </c>
      <c r="B114" s="7">
        <v>4001</v>
      </c>
      <c r="C114" s="21" t="s">
        <v>194</v>
      </c>
      <c r="D114" s="21" t="s">
        <v>422</v>
      </c>
      <c r="E114" s="13">
        <v>43032.710289351853</v>
      </c>
      <c r="F114" s="13">
        <v>43032.716874999998</v>
      </c>
      <c r="G114" s="7">
        <v>69</v>
      </c>
      <c r="H114" s="21" t="s">
        <v>335</v>
      </c>
      <c r="I114" s="13">
        <v>43032.7425</v>
      </c>
      <c r="J114" s="7">
        <v>0</v>
      </c>
      <c r="K114" s="89" t="str">
        <f>IF(ISEVEN(B114),(B114-1)&amp;"/"&amp;B114,B114&amp;"/"&amp;(B114+1))</f>
        <v>4001/4002</v>
      </c>
      <c r="L114" s="185" t="str">
        <f>VLOOKUP(A114,'Trips&amp;Operators'!$C$1:$G$99911,5,FALSE)</f>
        <v>SMITH MICHAEL</v>
      </c>
      <c r="M114" s="6">
        <f>I114-F114</f>
        <v>2.5625000002037268E-2</v>
      </c>
      <c r="N114" s="7">
        <f>24*60*SUM($M114:$M114)</f>
        <v>36.900000002933666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-24T16:02:49-0600',mode:absolute,to:'2017-10-24T18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23.297999999999998</v>
      </c>
      <c r="Z114" s="204">
        <f>RIGHT(H114,LEN(H114)-4)/10000</f>
        <v>1.4999999999999999E-2</v>
      </c>
      <c r="AA114" s="204">
        <f>ABS(Z114-Y114)</f>
        <v>23.282999999999998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/stypes="app*4001*20171024*"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6"/>
        <v>"%USERPROFILE%\Documents\GitHub\eaglep3\Utilities\RefineRTDCRunTimes.py" --tripid 202-24 --locoid 4001 --swversion DE.1.0.9.0 --startMP 204:232980 --initTime 2017-10-24T17:02:49 --startdatetime 2017-10-24T17:12:18 --delay 69 --endMP 204:150 --enddatetime 2017-10-24T17:49:12 --enforcementcount 0 &gt;&gt;%USERPROFILE%\Documents\GitHub\eaglep3-reporting\EC\2017-10-24-refined-times.txt</v>
      </c>
      <c r="AI114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{"issue":{"subject":"","project_id":79,"tracker_id":40,"status_id":1,"priority_id":2,"assigned_to_id":338,"start_date":"2017-10-24","description":"","custom_fields":[{"id":1,"name":"Subdivision","value":"EC"},{"id":4,"name":"Milepost","value":"0.015"},{"id":17,"name":"Train ID","value":"202-24"},{"id":16,"name":"Locomotive ID","value":"4001"},{"id":130,"name":"Impact","value":""},{"id":150,"name":"Time of Event (Mountain Time)","value":"17:49:12"},{"id":151,"name":"Denver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8"/>
        <v>start /low /b %USERPROFILE%\Documents\GitHub\eaglep3\Utilities\DownloadLogsFromS3.py --loco 4001 --day 2017-10-24</v>
      </c>
      <c r="AN114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20"/>
        <v>https://d0f6bd738d7f1b3e5a7ca70fe4ff75f0.us-east-1.aws.found.io/app/kibana#/discover/Steve-Slow-Train-Analysis-(2080s-and-2083s)?_g=(refreshInterval:(display:Off,pause:!f,section:0,value:0),time:(from:'2017-10-24T16:02:49-0600',mode:absolute,to:'2017-10-24T18:49:12-0600'))&amp;_a=(columns:!('Message%20ID',Summary),filters:!(),index:'emp_*',interval:auto,query:(query_string:(analyze_wildcard:!t,query:'%22rtdc.l.rtdc.4001%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821</v>
      </c>
      <c r="B115" s="7">
        <v>4026</v>
      </c>
      <c r="C115" s="21" t="s">
        <v>194</v>
      </c>
      <c r="D115" s="21" t="s">
        <v>393</v>
      </c>
      <c r="E115" s="13">
        <v>43032.68372685185</v>
      </c>
      <c r="F115" s="13">
        <v>43032.687708333331</v>
      </c>
      <c r="G115" s="7">
        <v>74</v>
      </c>
      <c r="H115" s="21" t="s">
        <v>609</v>
      </c>
      <c r="I115" s="13">
        <v>43032.712546296294</v>
      </c>
      <c r="J115" s="7">
        <v>0</v>
      </c>
      <c r="K115" s="89" t="str">
        <f>IF(ISEVEN(B115),(B115-1)&amp;"/"&amp;B115,B115&amp;"/"&amp;(B115+1))</f>
        <v>4025/4026</v>
      </c>
      <c r="L115" s="185" t="str">
        <f>VLOOKUP(A115,'Trips&amp;Operators'!$C$1:$G$99911,5,FALSE)</f>
        <v>BRUDER RICHARD</v>
      </c>
      <c r="M115" s="6">
        <f>I115-F115</f>
        <v>2.4837962962919846E-2</v>
      </c>
      <c r="N115" s="7">
        <f>24*60*SUM($M115:$M115)</f>
        <v>35.766666666604578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-24T15:24:34-0600',mode:absolute,to:'2017-10-24T18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4.6399999999999997E-2</v>
      </c>
      <c r="Z115" s="204">
        <f>RIGHT(H115,LEN(H115)-4)/10000</f>
        <v>23.331</v>
      </c>
      <c r="AA115" s="204">
        <f>ABS(Z115-Y115)</f>
        <v>23.284600000000001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/stypes="app*4026*20171024*"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6"/>
        <v>"%USERPROFILE%\Documents\GitHub\eaglep3\Utilities\RefineRTDCRunTimes.py" --tripid 203-24 --locoid 4026 --swversion DE.1.0.9.0 --startMP 204:464 --initTime 2017-10-24T16:24:34 --startdatetime 2017-10-24T16:30:18 --delay 74 --endMP 204:233310 --enddatetime 2017-10-24T17:06:04 --enforcementcount 0 &gt;&gt;%USERPROFILE%\Documents\GitHub\eaglep3-reporting\EC\2017-10-24-refined-times.txt</v>
      </c>
      <c r="AI115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{"issue":{"subject":"","project_id":79,"tracker_id":40,"status_id":1,"priority_id":2,"assigned_to_id":338,"start_date":"2017-10-24","description":"","custom_fields":[{"id":1,"name":"Subdivision","value":"EC"},{"id":4,"name":"Milepost","value":"23.331"},{"id":17,"name":"Train ID","value":"203-24"},{"id":16,"name":"Locomotive ID","value":"4026"},{"id":130,"name":"Impact","value":""},{"id":150,"name":"Time of Event (Mountain Time)","value":"17:06:04"},{"id":151,"name":"Denver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8"/>
        <v>start /low /b %USERPROFILE%\Documents\GitHub\eaglep3\Utilities\DownloadLogsFromS3.py --loco 4026 --day 2017-10-24</v>
      </c>
      <c r="AN115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20"/>
        <v>https://d0f6bd738d7f1b3e5a7ca70fe4ff75f0.us-east-1.aws.found.io/app/kibana#/discover/Steve-Slow-Train-Analysis-(2080s-and-2083s)?_g=(refreshInterval:(display:Off,pause:!f,section:0,value:0),time:(from:'2017-10-24T15:24:34-0600',mode:absolute,to:'2017-10-24T18:06:04-0600'))&amp;_a=(columns:!('Message%20ID',Summary),filters:!(),index:'emp_*',interval:auto,query:(query_string:(analyze_wildcard:!t,query:'%22rtdc.l.rtdc.4026%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833</v>
      </c>
      <c r="B116" s="7">
        <v>4025</v>
      </c>
      <c r="C116" s="21" t="s">
        <v>194</v>
      </c>
      <c r="D116" s="21" t="s">
        <v>605</v>
      </c>
      <c r="E116" s="13">
        <v>43032.724004629628</v>
      </c>
      <c r="F116" s="13">
        <v>43032.727280092593</v>
      </c>
      <c r="G116" s="7">
        <v>53</v>
      </c>
      <c r="H116" s="21" t="s">
        <v>363</v>
      </c>
      <c r="I116" s="13">
        <v>43032.753078703703</v>
      </c>
      <c r="J116" s="7">
        <v>0</v>
      </c>
      <c r="K116" s="89" t="str">
        <f>IF(ISEVEN(B116),(B116-1)&amp;"/"&amp;B116,B116&amp;"/"&amp;(B116+1))</f>
        <v>4025/4026</v>
      </c>
      <c r="L116" s="185" t="str">
        <f>VLOOKUP(A116,'Trips&amp;Operators'!$C$1:$G$99911,5,FALSE)</f>
        <v>BRUDER RICHARD</v>
      </c>
      <c r="M116" s="6">
        <f>I116-F116</f>
        <v>2.5798611110076308E-2</v>
      </c>
      <c r="N116" s="7">
        <f>24*60*SUM($M116:$M116)</f>
        <v>37.149999998509884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-24T16:22:34-0600',mode:absolute,to:'2017-10-24T19:04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23.298300000000001</v>
      </c>
      <c r="Z116" s="204">
        <f>RIGHT(H116,LEN(H116)-4)/10000</f>
        <v>1.5800000000000002E-2</v>
      </c>
      <c r="AA116" s="204">
        <f>ABS(Z116-Y116)</f>
        <v>23.282500000000002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/stypes="app*4025*20171025*"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6"/>
        <v>"%USERPROFILE%\Documents\GitHub\eaglep3\Utilities\RefineRTDCRunTimes.py" --tripid 204-24 --locoid 4025 --swversion DE.1.0.9.0 --startMP 204:232983 --initTime 2017-10-24T17:22:34 --startdatetime 2017-10-24T17:27:17 --delay 53 --endMP 204:158 --enddatetime 2017-10-24T18:04:26 --enforcementcount 0 &gt;&gt;%USERPROFILE%\Documents\GitHub\eaglep3-reporting\EC\2017-10-24-refined-times.txt</v>
      </c>
      <c r="AI116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{"issue":{"subject":"","project_id":79,"tracker_id":40,"status_id":1,"priority_id":2,"assigned_to_id":338,"start_date":"2017-10-24","description":"","custom_fields":[{"id":1,"name":"Subdivision","value":"EC"},{"id":4,"name":"Milepost","value":"0.0158"},{"id":17,"name":"Train ID","value":"204-24"},{"id":16,"name":"Locomotive ID","value":"4025"},{"id":130,"name":"Impact","value":""},{"id":150,"name":"Time of Event (Mountain Time)","value":"18:04:26"},{"id":151,"name":"Denver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8"/>
        <v>start /low /b %USERPROFILE%\Documents\GitHub\eaglep3\Utilities\DownloadLogsFromS3.py --loco 4025 --day 2017-10-24</v>
      </c>
      <c r="AN116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20"/>
        <v>https://d0f6bd738d7f1b3e5a7ca70fe4ff75f0.us-east-1.aws.found.io/app/kibana#/discover/Steve-Slow-Train-Analysis-(2080s-and-2083s)?_g=(refreshInterval:(display:Off,pause:!f,section:0,value:0),time:(from:'2017-10-24T16:22:34-0600',mode:absolute,to:'2017-10-24T19:04:26-0600'))&amp;_a=(columns:!('Message%20ID',Summary),filters:!(),index:'emp_*',interval:auto,query:(query_string:(analyze_wildcard:!t,query:'%22rtdc.l.rtdc.4025%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826</v>
      </c>
      <c r="B117" s="7">
        <v>4060</v>
      </c>
      <c r="C117" s="21" t="s">
        <v>194</v>
      </c>
      <c r="D117" s="21" t="s">
        <v>934</v>
      </c>
      <c r="E117" s="13">
        <v>43032.693923611114</v>
      </c>
      <c r="F117" s="13">
        <v>43032.698136574072</v>
      </c>
      <c r="G117" s="7">
        <v>56</v>
      </c>
      <c r="H117" s="21" t="s">
        <v>564</v>
      </c>
      <c r="I117" s="13">
        <v>43032.723252314812</v>
      </c>
      <c r="J117" s="7">
        <v>0</v>
      </c>
      <c r="K117" s="89" t="str">
        <f>IF(ISEVEN(B117),(B117-1)&amp;"/"&amp;B117,B117&amp;"/"&amp;(B117+1))</f>
        <v>4059/4060</v>
      </c>
      <c r="L117" s="185" t="str">
        <f>VLOOKUP(A117,'Trips&amp;Operators'!$C$1:$G$99911,5,FALSE)</f>
        <v>STEWART MICHAEL</v>
      </c>
      <c r="M117" s="6">
        <f>I117-F117</f>
        <v>2.5115740740147885E-2</v>
      </c>
      <c r="N117" s="7">
        <f>24*60*SUM($M117:$M117)</f>
        <v>36.166666665812954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-24T15:39:15-0600',mode:absolute,to:'2017-10-24T18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0.05</v>
      </c>
      <c r="Z117" s="204">
        <f>RIGHT(H117,LEN(H117)-4)/10000</f>
        <v>23.328900000000001</v>
      </c>
      <c r="AA117" s="204">
        <f>ABS(Z117-Y117)</f>
        <v>23.2789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/stypes="app*4060*20171024*"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6"/>
        <v>"%USERPROFILE%\Documents\GitHub\eaglep3\Utilities\RefineRTDCRunTimes.py" --tripid 205-24 --locoid 4060 --swversion DE.1.0.9.0 --startMP 204:500 --initTime 2017-10-24T16:39:15 --startdatetime 2017-10-24T16:45:19 --delay 56 --endMP 204:233289 --enddatetime 2017-10-24T17:21:29 --enforcementcount 0 &gt;&gt;%USERPROFILE%\Documents\GitHub\eaglep3-reporting\EC\2017-10-24-refined-times.txt</v>
      </c>
      <c r="AI117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{"issue":{"subject":"","project_id":79,"tracker_id":40,"status_id":1,"priority_id":2,"assigned_to_id":338,"start_date":"2017-10-24","description":"","custom_fields":[{"id":1,"name":"Subdivision","value":"EC"},{"id":4,"name":"Milepost","value":"23.3289"},{"id":17,"name":"Train ID","value":"205-24"},{"id":16,"name":"Locomotive ID","value":"4060"},{"id":130,"name":"Impact","value":""},{"id":150,"name":"Time of Event (Mountain Time)","value":"17:21:29"},{"id":151,"name":"Denver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8"/>
        <v>start /low /b %USERPROFILE%\Documents\GitHub\eaglep3\Utilities\DownloadLogsFromS3.py --loco 4060 --day 2017-10-24</v>
      </c>
      <c r="AN117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20"/>
        <v>https://d0f6bd738d7f1b3e5a7ca70fe4ff75f0.us-east-1.aws.found.io/app/kibana#/discover/Steve-Slow-Train-Analysis-(2080s-and-2083s)?_g=(refreshInterval:(display:Off,pause:!f,section:0,value:0),time:(from:'2017-10-24T15:39:15-0600',mode:absolute,to:'2017-10-24T18:21:29-0600'))&amp;_a=(columns:!('Message%20ID',Summary),filters:!(),index:'emp_*',interval:auto,query:(query_string:(analyze_wildcard:!t,query:'%22rtdc.l.rtdc.4060%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668</v>
      </c>
      <c r="B118" s="7">
        <v>4059</v>
      </c>
      <c r="C118" s="21" t="s">
        <v>194</v>
      </c>
      <c r="D118" s="21" t="s">
        <v>556</v>
      </c>
      <c r="E118" s="13">
        <v>43032.733124999999</v>
      </c>
      <c r="F118" s="13">
        <v>43032.737696759257</v>
      </c>
      <c r="G118" s="7">
        <v>56</v>
      </c>
      <c r="H118" s="21" t="s">
        <v>337</v>
      </c>
      <c r="I118" s="13">
        <v>43032.765150462961</v>
      </c>
      <c r="J118" s="7">
        <v>0</v>
      </c>
      <c r="K118" s="89" t="str">
        <f>IF(ISEVEN(B118),(B118-1)&amp;"/"&amp;B118,B118&amp;"/"&amp;(B118+1))</f>
        <v>4059/4060</v>
      </c>
      <c r="L118" s="185" t="str">
        <f>VLOOKUP(A118,'Trips&amp;Operators'!$C$1:$G$99911,5,FALSE)</f>
        <v>STEWART MICHAEL</v>
      </c>
      <c r="M118" s="6">
        <f>I118-F118</f>
        <v>2.7453703703940846E-2</v>
      </c>
      <c r="N118" s="7">
        <f>24*60*SUM($M118:$M118)</f>
        <v>39.533333333674818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-24T16:35:42-0600',mode:absolute,to:'2017-10-24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23.297499999999999</v>
      </c>
      <c r="Z118" s="204">
        <f>RIGHT(H118,LEN(H118)-4)/10000</f>
        <v>1.43E-2</v>
      </c>
      <c r="AA118" s="204">
        <f>ABS(Z118-Y118)</f>
        <v>23.283200000000001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/stypes="app*4059*20171025*"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6"/>
        <v>"%USERPROFILE%\Documents\GitHub\eaglep3\Utilities\RefineRTDCRunTimes.py" --tripid 206-24 --locoid 4059 --swversion DE.1.0.9.0 --startMP 204:232975 --initTime 2017-10-24T17:35:42 --startdatetime 2017-10-24T17:42:17 --delay 56 --endMP 204:143 --enddatetime 2017-10-24T18:21:49 --enforcementcount 0 &gt;&gt;%USERPROFILE%\Documents\GitHub\eaglep3-reporting\EC\2017-10-24-refined-times.txt</v>
      </c>
      <c r="AI118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{"issue":{"subject":"","project_id":79,"tracker_id":40,"status_id":1,"priority_id":2,"assigned_to_id":338,"start_date":"2017-10-24","description":"","custom_fields":[{"id":1,"name":"Subdivision","value":"EC"},{"id":4,"name":"Milepost","value":"0.0143"},{"id":17,"name":"Train ID","value":"206-24"},{"id":16,"name":"Locomotive ID","value":"4059"},{"id":130,"name":"Impact","value":""},{"id":150,"name":"Time of Event (Mountain Time)","value":"18:21:49"},{"id":151,"name":"Denver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8"/>
        <v>start /low /b %USERPROFILE%\Documents\GitHub\eaglep3\Utilities\DownloadLogsFromS3.py --loco 4059 --day 2017-10-24</v>
      </c>
      <c r="AN118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20"/>
        <v>https://d0f6bd738d7f1b3e5a7ca70fe4ff75f0.us-east-1.aws.found.io/app/kibana#/discover/Steve-Slow-Train-Analysis-(2080s-and-2083s)?_g=(refreshInterval:(display:Off,pause:!f,section:0,value:0),time:(from:'2017-10-24T16:35:42-0600',mode:absolute,to:'2017-10-24T19:21:49-0600'))&amp;_a=(columns:!('Message%20ID',Summary),filters:!(),index:'emp_*',interval:auto,query:(query_string:(analyze_wildcard:!t,query:'%22rtdc.l.rtdc.4059%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827</v>
      </c>
      <c r="B119" s="7">
        <v>4010</v>
      </c>
      <c r="C119" s="21" t="s">
        <v>194</v>
      </c>
      <c r="D119" s="21" t="s">
        <v>935</v>
      </c>
      <c r="E119" s="13">
        <v>43032.704259259262</v>
      </c>
      <c r="F119" s="13">
        <v>43032.70857638889</v>
      </c>
      <c r="G119" s="7">
        <v>81</v>
      </c>
      <c r="H119" s="21" t="s">
        <v>919</v>
      </c>
      <c r="I119" s="13">
        <v>43032.733703703707</v>
      </c>
      <c r="J119" s="7">
        <v>0</v>
      </c>
      <c r="K119" s="89" t="str">
        <f>IF(ISEVEN(B119),(B119-1)&amp;"/"&amp;B119,B119&amp;"/"&amp;(B119+1))</f>
        <v>4009/4010</v>
      </c>
      <c r="L119" s="185" t="str">
        <f>VLOOKUP(A119,'Trips&amp;Operators'!$C$1:$G$99911,5,FALSE)</f>
        <v>LEVIN SCOTT</v>
      </c>
      <c r="M119" s="6">
        <f>I119-F119</f>
        <v>2.5127314816927537E-2</v>
      </c>
      <c r="N119" s="7">
        <f>24*60*SUM($M119:$M119)</f>
        <v>36.183333336375654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-24T15:54:08-0600',mode:absolute,to:'2017-10-24T18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6.2199999999999998E-2</v>
      </c>
      <c r="Z119" s="204">
        <f>RIGHT(H119,LEN(H119)-4)/10000</f>
        <v>23.335100000000001</v>
      </c>
      <c r="AA119" s="204">
        <f>ABS(Z119-Y119)</f>
        <v>23.2729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/stypes="app*4010*20171024*"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6"/>
        <v>"%USERPROFILE%\Documents\GitHub\eaglep3\Utilities\RefineRTDCRunTimes.py" --tripid 207-24 --locoid 4010 --swversion DE.1.0.9.0 --startMP 204:622 --initTime 2017-10-24T16:54:08 --startdatetime 2017-10-24T17:00:21 --delay 81 --endMP 204:233351 --enddatetime 2017-10-24T17:36:32 --enforcementcount 0 &gt;&gt;%USERPROFILE%\Documents\GitHub\eaglep3-reporting\EC\2017-10-24-refined-times.txt</v>
      </c>
      <c r="AI119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{"issue":{"subject":"","project_id":79,"tracker_id":40,"status_id":1,"priority_id":2,"assigned_to_id":338,"start_date":"2017-10-24","description":"","custom_fields":[{"id":1,"name":"Subdivision","value":"EC"},{"id":4,"name":"Milepost","value":"23.3351"},{"id":17,"name":"Train ID","value":"207-24"},{"id":16,"name":"Locomotive ID","value":"4010"},{"id":130,"name":"Impact","value":""},{"id":150,"name":"Time of Event (Mountain Time)","value":"17:36:32"},{"id":151,"name":"Denver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8"/>
        <v>start /low /b %USERPROFILE%\Documents\GitHub\eaglep3\Utilities\DownloadLogsFromS3.py --loco 4010 --day 2017-10-24</v>
      </c>
      <c r="AN119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20"/>
        <v>https://d0f6bd738d7f1b3e5a7ca70fe4ff75f0.us-east-1.aws.found.io/app/kibana#/discover/Steve-Slow-Train-Analysis-(2080s-and-2083s)?_g=(refreshInterval:(display:Off,pause:!f,section:0,value:0),time:(from:'2017-10-24T15:54:08-0600',mode:absolute,to:'2017-10-24T18:36:32-0600'))&amp;_a=(columns:!('Message%20ID',Summary),filters:!(),index:'emp_*',interval:auto,query:(query_string:(analyze_wildcard:!t,query:'%22rtdc.l.rtdc.4010%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840</v>
      </c>
      <c r="B120" s="7">
        <v>4009</v>
      </c>
      <c r="C120" s="21" t="s">
        <v>194</v>
      </c>
      <c r="D120" s="21" t="s">
        <v>617</v>
      </c>
      <c r="E120" s="13">
        <v>43032.737557870372</v>
      </c>
      <c r="F120" s="13">
        <v>43032.748078703706</v>
      </c>
      <c r="G120" s="7">
        <v>54</v>
      </c>
      <c r="H120" s="21" t="s">
        <v>936</v>
      </c>
      <c r="I120" s="13">
        <v>43032.774745370371</v>
      </c>
      <c r="J120" s="7">
        <v>0</v>
      </c>
      <c r="K120" s="89" t="str">
        <f>IF(ISEVEN(B120),(B120-1)&amp;"/"&amp;B120,B120&amp;"/"&amp;(B120+1))</f>
        <v>4009/4010</v>
      </c>
      <c r="L120" s="185" t="str">
        <f>VLOOKUP(A120,'Trips&amp;Operators'!$C$1:$G$99911,5,FALSE)</f>
        <v>LEVIN SCOTT</v>
      </c>
      <c r="M120" s="6">
        <f>I120-F120</f>
        <v>2.6666666664823424E-2</v>
      </c>
      <c r="N120" s="7">
        <f>24*60*SUM($M120:$M120)</f>
        <v>38.399999997345731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-24T16:42:05-0600',mode:absolute,to:'2017-10-24T19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23.302099999999999</v>
      </c>
      <c r="Z120" s="204">
        <f>RIGHT(H120,LEN(H120)-4)/10000</f>
        <v>3.2399999999999998E-2</v>
      </c>
      <c r="AA120" s="204">
        <f>ABS(Z120-Y120)</f>
        <v>23.2697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/stypes="app*4009*20171025*"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6"/>
        <v>"%USERPROFILE%\Documents\GitHub\eaglep3\Utilities\RefineRTDCRunTimes.py" --tripid 208-24 --locoid 4009 --swversion DE.1.0.9.0 --startMP 204:233021 --initTime 2017-10-24T17:42:05 --startdatetime 2017-10-24T17:57:14 --delay 54 --endMP 204:324 --enddatetime 2017-10-24T18:35:38 --enforcementcount 0 &gt;&gt;%USERPROFILE%\Documents\GitHub\eaglep3-reporting\EC\2017-10-24-refined-times.txt</v>
      </c>
      <c r="AI12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{"issue":{"subject":"","project_id":79,"tracker_id":40,"status_id":1,"priority_id":2,"assigned_to_id":338,"start_date":"2017-10-24","description":"","custom_fields":[{"id":1,"name":"Subdivision","value":"EC"},{"id":4,"name":"Milepost","value":"0.0324"},{"id":17,"name":"Train ID","value":"208-24"},{"id":16,"name":"Locomotive ID","value":"4009"},{"id":130,"name":"Impact","value":""},{"id":150,"name":"Time of Event (Mountain Time)","value":"18:35:38"},{"id":151,"name":"Denver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8"/>
        <v>start /low /b %USERPROFILE%\Documents\GitHub\eaglep3\Utilities\DownloadLogsFromS3.py --loco 4009 --day 2017-10-24</v>
      </c>
      <c r="AN120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20"/>
        <v>https://d0f6bd738d7f1b3e5a7ca70fe4ff75f0.us-east-1.aws.found.io/app/kibana#/discover/Steve-Slow-Train-Analysis-(2080s-and-2083s)?_g=(refreshInterval:(display:Off,pause:!f,section:0,value:0),time:(from:'2017-10-24T16:42:05-0600',mode:absolute,to:'2017-10-24T19:35:38-0600'))&amp;_a=(columns:!('Message%20ID',Summary),filters:!(),index:'emp_*',interval:auto,query:(query_string:(analyze_wildcard:!t,query:'%22rtdc.l.rtdc.4009%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832</v>
      </c>
      <c r="B121" s="7">
        <v>4016</v>
      </c>
      <c r="C121" s="21" t="s">
        <v>194</v>
      </c>
      <c r="D121" s="21" t="s">
        <v>533</v>
      </c>
      <c r="E121" s="13">
        <v>43032.713993055557</v>
      </c>
      <c r="F121" s="13">
        <v>43032.718969907408</v>
      </c>
      <c r="G121" s="7">
        <v>58</v>
      </c>
      <c r="H121" s="21" t="s">
        <v>915</v>
      </c>
      <c r="I121" s="13">
        <v>43032.744664351849</v>
      </c>
      <c r="J121" s="7">
        <v>0</v>
      </c>
      <c r="K121" s="89" t="str">
        <f>IF(ISEVEN(B121),(B121-1)&amp;"/"&amp;B121,B121&amp;"/"&amp;(B121+1))</f>
        <v>4015/4016</v>
      </c>
      <c r="L121" s="185" t="str">
        <f>VLOOKUP(A121,'Trips&amp;Operators'!$C$1:$G$99911,5,FALSE)</f>
        <v>LEVERE CRAIG</v>
      </c>
      <c r="M121" s="6">
        <f>I121-F121</f>
        <v>2.569444444088731E-2</v>
      </c>
      <c r="N121" s="7">
        <f>24*60*SUM($M121:$M121)</f>
        <v>36.999999994877726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-24T16:08:09-0600',mode:absolute,to:'2017-10-24T18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4.4900000000000002E-2</v>
      </c>
      <c r="Z121" s="204">
        <f>RIGHT(H121,LEN(H121)-4)/10000</f>
        <v>23.3276</v>
      </c>
      <c r="AA121" s="204">
        <f>ABS(Z121-Y121)</f>
        <v>23.282700000000002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/stypes="app*4016*20171024*"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6"/>
        <v>"%USERPROFILE%\Documents\GitHub\eaglep3\Utilities\RefineRTDCRunTimes.py" --tripid 209-24 --locoid 4016 --swversion DE.1.0.9.0 --startMP 204:449 --initTime 2017-10-24T17:08:09 --startdatetime 2017-10-24T17:15:19 --delay 58 --endMP 204:233276 --enddatetime 2017-10-24T17:52:19 --enforcementcount 0 &gt;&gt;%USERPROFILE%\Documents\GitHub\eaglep3-reporting\EC\2017-10-24-refined-times.txt</v>
      </c>
      <c r="AI12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{"issue":{"subject":"","project_id":79,"tracker_id":40,"status_id":1,"priority_id":2,"assigned_to_id":338,"start_date":"2017-10-24","description":"","custom_fields":[{"id":1,"name":"Subdivision","value":"EC"},{"id":4,"name":"Milepost","value":"23.3276"},{"id":17,"name":"Train ID","value":"209-24"},{"id":16,"name":"Locomotive ID","value":"4016"},{"id":130,"name":"Impact","value":""},{"id":150,"name":"Time of Event (Mountain Time)","value":"17:52:19"},{"id":151,"name":"Denver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8"/>
        <v>start /low /b %USERPROFILE%\Documents\GitHub\eaglep3\Utilities\DownloadLogsFromS3.py --loco 4016 --day 2017-10-24</v>
      </c>
      <c r="AN121" s="151" t="str">
        <f t="shared" si="1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20"/>
        <v>https://d0f6bd738d7f1b3e5a7ca70fe4ff75f0.us-east-1.aws.found.io/app/kibana#/discover/Steve-Slow-Train-Analysis-(2080s-and-2083s)?_g=(refreshInterval:(display:Off,pause:!f,section:0,value:0),time:(from:'2017-10-24T16:08:09-0600',mode:absolute,to:'2017-10-24T18:52:19-0600'))&amp;_a=(columns:!('Message%20ID',Summary),filters:!(),index:'emp_*',interval:auto,query:(query_string:(analyze_wildcard:!t,query:'%22rtdc.l.rtdc.4016%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843</v>
      </c>
      <c r="B122" s="7">
        <v>4015</v>
      </c>
      <c r="C122" s="21" t="s">
        <v>194</v>
      </c>
      <c r="D122" s="21" t="s">
        <v>449</v>
      </c>
      <c r="E122" s="13">
        <v>43032.751030092593</v>
      </c>
      <c r="F122" s="13">
        <v>43032.758506944447</v>
      </c>
      <c r="G122" s="7">
        <v>59</v>
      </c>
      <c r="H122" s="21" t="s">
        <v>336</v>
      </c>
      <c r="I122" s="13">
        <v>43032.785694444443</v>
      </c>
      <c r="J122" s="7">
        <v>0</v>
      </c>
      <c r="K122" s="89" t="str">
        <f>IF(ISEVEN(B122),(B122-1)&amp;"/"&amp;B122,B122&amp;"/"&amp;(B122+1))</f>
        <v>4015/4016</v>
      </c>
      <c r="L122" s="185" t="str">
        <f>VLOOKUP(A122,'Trips&amp;Operators'!$C$1:$G$99911,5,FALSE)</f>
        <v>LEVERE CRAIG</v>
      </c>
      <c r="M122" s="6">
        <f>I122-F122</f>
        <v>2.7187499996216502E-2</v>
      </c>
      <c r="N122" s="7">
        <f>24*60*SUM($M122:$M122)</f>
        <v>39.149999994551763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-24T17:01:29-0600',mode:absolute,to:'2017-10-24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23.298400000000001</v>
      </c>
      <c r="Z122" s="204">
        <f>RIGHT(H122,LEN(H122)-4)/10000</f>
        <v>1.49E-2</v>
      </c>
      <c r="AA122" s="204">
        <f>ABS(Z122-Y122)</f>
        <v>23.2835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/stypes="app*4015*20171025*"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6"/>
        <v>"%USERPROFILE%\Documents\GitHub\eaglep3\Utilities\RefineRTDCRunTimes.py" --tripid 210-24 --locoid 4015 --swversion DE.1.0.9.0 --startMP 204:232984 --initTime 2017-10-24T18:01:29 --startdatetime 2017-10-24T18:12:15 --delay 59 --endMP 204:149 --enddatetime 2017-10-24T18:51:24 --enforcementcount 0 &gt;&gt;%USERPROFILE%\Documents\GitHub\eaglep3-reporting\EC\2017-10-24-refined-times.txt</v>
      </c>
      <c r="AI12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{"issue":{"subject":"","project_id":79,"tracker_id":40,"status_id":1,"priority_id":2,"assigned_to_id":338,"start_date":"2017-10-24","description":"","custom_fields":[{"id":1,"name":"Subdivision","value":"EC"},{"id":4,"name":"Milepost","value":"0.0149"},{"id":17,"name":"Train ID","value":"210-24"},{"id":16,"name":"Locomotive ID","value":"4015"},{"id":130,"name":"Impact","value":""},{"id":150,"name":"Time of Event (Mountain Time)","value":"18:51:24"},{"id":151,"name":"Denver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8"/>
        <v>start /low /b %USERPROFILE%\Documents\GitHub\eaglep3\Utilities\DownloadLogsFromS3.py --loco 4015 --day 2017-10-24</v>
      </c>
      <c r="AN122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20"/>
        <v>https://d0f6bd738d7f1b3e5a7ca70fe4ff75f0.us-east-1.aws.found.io/app/kibana#/discover/Steve-Slow-Train-Analysis-(2080s-and-2083s)?_g=(refreshInterval:(display:Off,pause:!f,section:0,value:0),time:(from:'2017-10-24T17:01:29-0600',mode:absolute,to:'2017-10-24T19:51:24-0600'))&amp;_a=(columns:!('Message%20ID',Summary),filters:!(),index:'emp_*',interval:auto,query:(query_string:(analyze_wildcard:!t,query:'%22rtdc.l.rtdc.4015%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835</v>
      </c>
      <c r="B123" s="7">
        <v>4058</v>
      </c>
      <c r="C123" s="21" t="s">
        <v>194</v>
      </c>
      <c r="D123" s="21" t="s">
        <v>937</v>
      </c>
      <c r="E123" s="13">
        <v>43032.727118055554</v>
      </c>
      <c r="F123" s="13">
        <v>43032.729664351849</v>
      </c>
      <c r="G123" s="7">
        <v>79</v>
      </c>
      <c r="H123" s="21" t="s">
        <v>368</v>
      </c>
      <c r="I123" s="13">
        <v>43032.754305555558</v>
      </c>
      <c r="J123" s="7">
        <v>0</v>
      </c>
      <c r="K123" s="89" t="str">
        <f>IF(ISEVEN(B123),(B123-1)&amp;"/"&amp;B123,B123&amp;"/"&amp;(B123+1))</f>
        <v>4057/4058</v>
      </c>
      <c r="L123" s="185" t="str">
        <f>VLOOKUP(A123,'Trips&amp;Operators'!$C$1:$G$99911,5,FALSE)</f>
        <v>SAFIEF AEIMEN</v>
      </c>
      <c r="M123" s="6">
        <f>I123-F123</f>
        <v>2.4641203708597459E-2</v>
      </c>
      <c r="N123" s="7">
        <f>24*60*SUM($M123:$M123)</f>
        <v>35.483333340380341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-24T16:27:03-0600',mode:absolute,to:'2017-10-24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5.4600000000000003E-2</v>
      </c>
      <c r="Z123" s="204">
        <f>RIGHT(H123,LEN(H123)-4)/10000</f>
        <v>23.331199999999999</v>
      </c>
      <c r="AA123" s="204">
        <f>ABS(Z123-Y123)</f>
        <v>23.276599999999998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/stypes="app*4058*20171025*"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6"/>
        <v>"%USERPROFILE%\Documents\GitHub\eaglep3\Utilities\RefineRTDCRunTimes.py" --tripid 211-24 --locoid 4058 --swversion DE.1.0.9.0 --startMP 204:546 --initTime 2017-10-24T17:27:03 --startdatetime 2017-10-24T17:30:43 --delay 79 --endMP 204:233312 --enddatetime 2017-10-24T18:06:12 --enforcementcount 0 &gt;&gt;%USERPROFILE%\Documents\GitHub\eaglep3-reporting\EC\2017-10-24-refined-times.txt</v>
      </c>
      <c r="AI123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{"issue":{"subject":"","project_id":79,"tracker_id":40,"status_id":1,"priority_id":2,"assigned_to_id":338,"start_date":"2017-10-24","description":"","custom_fields":[{"id":1,"name":"Subdivision","value":"EC"},{"id":4,"name":"Milepost","value":"23.3312"},{"id":17,"name":"Train ID","value":"211-24"},{"id":16,"name":"Locomotive ID","value":"4058"},{"id":130,"name":"Impact","value":""},{"id":150,"name":"Time of Event (Mountain Time)","value":"18:06:12"},{"id":151,"name":"Denver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8"/>
        <v>start /low /b %USERPROFILE%\Documents\GitHub\eaglep3\Utilities\DownloadLogsFromS3.py --loco 4058 --day 2017-10-24</v>
      </c>
      <c r="AN123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20"/>
        <v>https://d0f6bd738d7f1b3e5a7ca70fe4ff75f0.us-east-1.aws.found.io/app/kibana#/discover/Steve-Slow-Train-Analysis-(2080s-and-2083s)?_g=(refreshInterval:(display:Off,pause:!f,section:0,value:0),time:(from:'2017-10-24T16:27:03-0600',mode:absolute,to:'2017-10-24T19:06:12-0600'))&amp;_a=(columns:!('Message%20ID',Summary),filters:!(),index:'emp_*',interval:auto,query:(query_string:(analyze_wildcard:!t,query:'%22rtdc.l.rtdc.4058%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846</v>
      </c>
      <c r="B124" s="7">
        <v>4057</v>
      </c>
      <c r="C124" s="21" t="s">
        <v>194</v>
      </c>
      <c r="D124" s="21" t="s">
        <v>400</v>
      </c>
      <c r="E124" s="13">
        <v>43032.758657407408</v>
      </c>
      <c r="F124" s="13">
        <v>43032.76898148148</v>
      </c>
      <c r="G124" s="7">
        <v>96</v>
      </c>
      <c r="H124" s="21" t="s">
        <v>938</v>
      </c>
      <c r="I124" s="13">
        <v>43032.795243055552</v>
      </c>
      <c r="J124" s="7">
        <v>0</v>
      </c>
      <c r="K124" s="89" t="str">
        <f>IF(ISEVEN(B124),(B124-1)&amp;"/"&amp;B124,B124&amp;"/"&amp;(B124+1))</f>
        <v>4057/4058</v>
      </c>
      <c r="L124" s="185" t="str">
        <f>VLOOKUP(A124,'Trips&amp;Operators'!$C$1:$G$99911,5,FALSE)</f>
        <v>SAFIEF AEIMEN</v>
      </c>
      <c r="M124" s="6">
        <f>I124-F124</f>
        <v>2.626157407212304E-2</v>
      </c>
      <c r="N124" s="7">
        <f>24*60*SUM($M124:$M124)</f>
        <v>37.816666663857177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-24T17:12:28-0600',mode:absolute,to:'2017-10-24T20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23.2989</v>
      </c>
      <c r="Z124" s="204">
        <f>RIGHT(H124,LEN(H124)-4)/10000</f>
        <v>2.1600000000000001E-2</v>
      </c>
      <c r="AA124" s="204">
        <f>ABS(Z124-Y124)</f>
        <v>23.2773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/stypes="app*4057*20171025*"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6"/>
        <v>"%USERPROFILE%\Documents\GitHub\eaglep3\Utilities\RefineRTDCRunTimes.py" --tripid 212-24 --locoid 4057 --swversion DE.1.0.9.0 --startMP 204:232989 --initTime 2017-10-24T18:12:28 --startdatetime 2017-10-24T18:27:20 --delay 96 --endMP 204:216 --enddatetime 2017-10-24T19:05:09 --enforcementcount 0 &gt;&gt;%USERPROFILE%\Documents\GitHub\eaglep3-reporting\EC\2017-10-24-refined-times.txt</v>
      </c>
      <c r="AI124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{"issue":{"subject":"","project_id":79,"tracker_id":40,"status_id":1,"priority_id":2,"assigned_to_id":338,"start_date":"2017-10-24","description":"","custom_fields":[{"id":1,"name":"Subdivision","value":"EC"},{"id":4,"name":"Milepost","value":"0.0216"},{"id":17,"name":"Train ID","value":"212-24"},{"id":16,"name":"Locomotive ID","value":"4057"},{"id":130,"name":"Impact","value":""},{"id":150,"name":"Time of Event (Mountain Time)","value":"19:05:09"},{"id":151,"name":"Denver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8"/>
        <v>start /low /b %USERPROFILE%\Documents\GitHub\eaglep3\Utilities\DownloadLogsFromS3.py --loco 4057 --day 2017-10-24</v>
      </c>
      <c r="AN124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20"/>
        <v>https://d0f6bd738d7f1b3e5a7ca70fe4ff75f0.us-east-1.aws.found.io/app/kibana#/discover/Steve-Slow-Train-Analysis-(2080s-and-2083s)?_g=(refreshInterval:(display:Off,pause:!f,section:0,value:0),time:(from:'2017-10-24T17:12:28-0600',mode:absolute,to:'2017-10-24T20:05:09-0600'))&amp;_a=(columns:!('Message%20ID',Summary),filters:!(),index:'emp_*',interval:auto,query:(query_string:(analyze_wildcard:!t,query:'%22rtdc.l.rtdc.4057%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839</v>
      </c>
      <c r="B125" s="7">
        <v>4028</v>
      </c>
      <c r="C125" s="21" t="s">
        <v>194</v>
      </c>
      <c r="D125" s="21" t="s">
        <v>338</v>
      </c>
      <c r="E125" s="13">
        <v>43032.736400462964</v>
      </c>
      <c r="F125" s="13">
        <v>43032.740069444444</v>
      </c>
      <c r="G125" s="7">
        <v>124</v>
      </c>
      <c r="H125" s="21" t="s">
        <v>445</v>
      </c>
      <c r="I125" s="13">
        <v>43032.764884259261</v>
      </c>
      <c r="J125" s="7">
        <v>0</v>
      </c>
      <c r="K125" s="89" t="str">
        <f>IF(ISEVEN(B125),(B125-1)&amp;"/"&amp;B125,B125&amp;"/"&amp;(B125+1))</f>
        <v>4027/4028</v>
      </c>
      <c r="L125" s="185" t="str">
        <f>VLOOKUP(A125,'Trips&amp;Operators'!$C$1:$G$99911,5,FALSE)</f>
        <v>LOZA FIDEL</v>
      </c>
      <c r="M125" s="6">
        <f>I125-F125</f>
        <v>2.4814814816636499E-2</v>
      </c>
      <c r="N125" s="7">
        <f>24*60*SUM($M125:$M125)</f>
        <v>35.733333335956559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-24T16:40:25-0600',mode:absolute,to:'2017-10-24T19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4.53E-2</v>
      </c>
      <c r="Z125" s="204">
        <f>RIGHT(H125,LEN(H125)-4)/10000</f>
        <v>23.3309</v>
      </c>
      <c r="AA125" s="204">
        <f>ABS(Z125-Y125)</f>
        <v>23.285599999999999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/stypes="app*4028*20171025*"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6"/>
        <v>"%USERPROFILE%\Documents\GitHub\eaglep3\Utilities\RefineRTDCRunTimes.py" --tripid 213-24 --locoid 4028 --swversion DE.1.0.9.0 --startMP 204:453 --initTime 2017-10-24T17:40:25 --startdatetime 2017-10-24T17:45:42 --delay 124 --endMP 204:233309 --enddatetime 2017-10-24T18:21:26 --enforcementcount 0 &gt;&gt;%USERPROFILE%\Documents\GitHub\eaglep3-reporting\EC\2017-10-24-refined-times.txt</v>
      </c>
      <c r="AI125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{"issue":{"subject":"","project_id":79,"tracker_id":40,"status_id":1,"priority_id":2,"assigned_to_id":338,"start_date":"2017-10-24","description":"","custom_fields":[{"id":1,"name":"Subdivision","value":"EC"},{"id":4,"name":"Milepost","value":"23.3309"},{"id":17,"name":"Train ID","value":"213-24"},{"id":16,"name":"Locomotive ID","value":"4028"},{"id":130,"name":"Impact","value":""},{"id":150,"name":"Time of Event (Mountain Time)","value":"18:21:26"},{"id":151,"name":"Denver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8"/>
        <v>start /low /b %USERPROFILE%\Documents\GitHub\eaglep3\Utilities\DownloadLogsFromS3.py --loco 4028 --day 2017-10-24</v>
      </c>
      <c r="AN125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20"/>
        <v>https://d0f6bd738d7f1b3e5a7ca70fe4ff75f0.us-east-1.aws.found.io/app/kibana#/discover/Steve-Slow-Train-Analysis-(2080s-and-2083s)?_g=(refreshInterval:(display:Off,pause:!f,section:0,value:0),time:(from:'2017-10-24T16:40:25-0600',mode:absolute,to:'2017-10-24T19:21:26-0600'))&amp;_a=(columns:!('Message%20ID',Summary),filters:!(),index:'emp_*',interval:auto,query:(query_string:(analyze_wildcard:!t,query:'%22rtdc.l.rtdc.4028%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851</v>
      </c>
      <c r="B126" s="7">
        <v>4027</v>
      </c>
      <c r="C126" s="21" t="s">
        <v>194</v>
      </c>
      <c r="D126" s="21" t="s">
        <v>422</v>
      </c>
      <c r="E126" s="13">
        <v>43032.776712962965</v>
      </c>
      <c r="F126" s="13">
        <v>43032.779456018521</v>
      </c>
      <c r="G126" s="7">
        <v>80</v>
      </c>
      <c r="H126" s="21" t="s">
        <v>336</v>
      </c>
      <c r="I126" s="13">
        <v>43032.804826388892</v>
      </c>
      <c r="J126" s="7">
        <v>0</v>
      </c>
      <c r="K126" s="89" t="str">
        <f>IF(ISEVEN(B126),(B126-1)&amp;"/"&amp;B126,B126&amp;"/"&amp;(B126+1))</f>
        <v>4027/4028</v>
      </c>
      <c r="L126" s="185" t="str">
        <f>VLOOKUP(A126,'Trips&amp;Operators'!$C$1:$G$99911,5,FALSE)</f>
        <v>LOZA FIDEL</v>
      </c>
      <c r="M126" s="6">
        <f>I126-F126</f>
        <v>2.5370370371092577E-2</v>
      </c>
      <c r="N126" s="7">
        <f>24*60*SUM($M126:$M126)</f>
        <v>36.53333333437331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-24T17:38:28-0600',mode:absolute,to:'2017-10-24T20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23.297999999999998</v>
      </c>
      <c r="Z126" s="204">
        <f>RIGHT(H126,LEN(H126)-4)/10000</f>
        <v>1.49E-2</v>
      </c>
      <c r="AA126" s="204">
        <f>ABS(Z126-Y126)</f>
        <v>23.283099999999997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/stypes="app*4027*20171025*"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6"/>
        <v>"%USERPROFILE%\Documents\GitHub\eaglep3\Utilities\RefineRTDCRunTimes.py" --tripid 214-24 --locoid 4027 --swversion DE.1.0.9.0 --startMP 204:232980 --initTime 2017-10-24T18:38:28 --startdatetime 2017-10-24T18:42:25 --delay 80 --endMP 204:149 --enddatetime 2017-10-24T19:18:57 --enforcementcount 0 &gt;&gt;%USERPROFILE%\Documents\GitHub\eaglep3-reporting\EC\2017-10-24-refined-times.txt</v>
      </c>
      <c r="AI126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{"issue":{"subject":"","project_id":79,"tracker_id":40,"status_id":1,"priority_id":2,"assigned_to_id":338,"start_date":"2017-10-24","description":"","custom_fields":[{"id":1,"name":"Subdivision","value":"EC"},{"id":4,"name":"Milepost","value":"0.0149"},{"id":17,"name":"Train ID","value":"214-24"},{"id":16,"name":"Locomotive ID","value":"4027"},{"id":130,"name":"Impact","value":""},{"id":150,"name":"Time of Event (Mountain Time)","value":"19:18:57"},{"id":151,"name":"Denver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8"/>
        <v>start /low /b %USERPROFILE%\Documents\GitHub\eaglep3\Utilities\DownloadLogsFromS3.py --loco 4027 --day 2017-10-24</v>
      </c>
      <c r="AN126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20"/>
        <v>https://d0f6bd738d7f1b3e5a7ca70fe4ff75f0.us-east-1.aws.found.io/app/kibana#/discover/Steve-Slow-Train-Analysis-(2080s-and-2083s)?_g=(refreshInterval:(display:Off,pause:!f,section:0,value:0),time:(from:'2017-10-24T17:38:28-0600',mode:absolute,to:'2017-10-24T20:18:57-0600'))&amp;_a=(columns:!('Message%20ID',Summary),filters:!(),index:'emp_*',interval:auto,query:(query_string:(analyze_wildcard:!t,query:'%22rtdc.l.rtdc.4027%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841</v>
      </c>
      <c r="B127" s="7">
        <v>4002</v>
      </c>
      <c r="C127" s="21" t="s">
        <v>194</v>
      </c>
      <c r="D127" s="21" t="s">
        <v>353</v>
      </c>
      <c r="E127" s="13">
        <v>43032.744201388887</v>
      </c>
      <c r="F127" s="13">
        <v>43032.750185185185</v>
      </c>
      <c r="G127" s="7">
        <v>70</v>
      </c>
      <c r="H127" s="21" t="s">
        <v>564</v>
      </c>
      <c r="I127" s="13">
        <v>43032.776354166665</v>
      </c>
      <c r="J127" s="7">
        <v>0</v>
      </c>
      <c r="K127" s="89" t="str">
        <f>IF(ISEVEN(B127),(B127-1)&amp;"/"&amp;B127,B127&amp;"/"&amp;(B127+1))</f>
        <v>4001/4002</v>
      </c>
      <c r="L127" s="185" t="str">
        <f>VLOOKUP(A127,'Trips&amp;Operators'!$C$1:$G$99911,5,FALSE)</f>
        <v>SMITH MICHAEL</v>
      </c>
      <c r="M127" s="6">
        <f>I127-F127</f>
        <v>2.6168981479713693E-2</v>
      </c>
      <c r="N127" s="7">
        <f>24*60*SUM($M127:$M127)</f>
        <v>37.683333330787718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-24T16:51:39-0600',mode:absolute,to:'2017-10-24T19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4.58E-2</v>
      </c>
      <c r="Z127" s="204">
        <f>RIGHT(H127,LEN(H127)-4)/10000</f>
        <v>23.328900000000001</v>
      </c>
      <c r="AA127" s="204">
        <f>ABS(Z127-Y127)</f>
        <v>23.283100000000001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/stypes="app*4002*20171025*"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6"/>
        <v>"%USERPROFILE%\Documents\GitHub\eaglep3\Utilities\RefineRTDCRunTimes.py" --tripid 215-24 --locoid 4002 --swversion DE.1.0.9.0 --startMP 204:458 --initTime 2017-10-24T17:51:39 --startdatetime 2017-10-24T18:00:16 --delay 70 --endMP 204:233289 --enddatetime 2017-10-24T18:37:57 --enforcementcount 0 &gt;&gt;%USERPROFILE%\Documents\GitHub\eaglep3-reporting\EC\2017-10-24-refined-times.txt</v>
      </c>
      <c r="AI127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{"issue":{"subject":"","project_id":79,"tracker_id":40,"status_id":1,"priority_id":2,"assigned_to_id":338,"start_date":"2017-10-24","description":"","custom_fields":[{"id":1,"name":"Subdivision","value":"EC"},{"id":4,"name":"Milepost","value":"23.3289"},{"id":17,"name":"Train ID","value":"215-24"},{"id":16,"name":"Locomotive ID","value":"4002"},{"id":130,"name":"Impact","value":""},{"id":150,"name":"Time of Event (Mountain Time)","value":"18:37:57"},{"id":151,"name":"Denver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8"/>
        <v>start /low /b %USERPROFILE%\Documents\GitHub\eaglep3\Utilities\DownloadLogsFromS3.py --loco 4002 --day 2017-10-24</v>
      </c>
      <c r="AN127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20"/>
        <v>https://d0f6bd738d7f1b3e5a7ca70fe4ff75f0.us-east-1.aws.found.io/app/kibana#/discover/Steve-Slow-Train-Analysis-(2080s-and-2083s)?_g=(refreshInterval:(display:Off,pause:!f,section:0,value:0),time:(from:'2017-10-24T16:51:39-0600',mode:absolute,to:'2017-10-24T19:37:57-0600'))&amp;_a=(columns:!('Message%20ID',Summary),filters:!(),index:'emp_*',interval:auto,query:(query_string:(analyze_wildcard:!t,query:'%22rtdc.l.rtdc.4002%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852</v>
      </c>
      <c r="B128" s="7">
        <v>4001</v>
      </c>
      <c r="C128" s="21" t="s">
        <v>194</v>
      </c>
      <c r="D128" s="21" t="s">
        <v>400</v>
      </c>
      <c r="E128" s="13">
        <v>43032.781319444446</v>
      </c>
      <c r="F128" s="13">
        <v>43032.78979166667</v>
      </c>
      <c r="G128" s="7">
        <v>85</v>
      </c>
      <c r="H128" s="21" t="s">
        <v>939</v>
      </c>
      <c r="I128" s="13">
        <v>43032.816990740743</v>
      </c>
      <c r="J128" s="7">
        <v>0</v>
      </c>
      <c r="K128" s="89" t="str">
        <f>IF(ISEVEN(B128),(B128-1)&amp;"/"&amp;B128,B128&amp;"/"&amp;(B128+1))</f>
        <v>4001/4002</v>
      </c>
      <c r="L128" s="185" t="str">
        <f>VLOOKUP(A128,'Trips&amp;Operators'!$C$1:$G$99911,5,FALSE)</f>
        <v>SMITH MICHAEL</v>
      </c>
      <c r="M128" s="6">
        <f>I128-F128</f>
        <v>2.7199074072996154E-2</v>
      </c>
      <c r="N128" s="7">
        <f>24*60*SUM($M128:$M128)</f>
        <v>39.166666665114462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-24T17:45:06-0600',mode:absolute,to:'2017-10-24T20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23.2989</v>
      </c>
      <c r="Z128" s="204">
        <f>RIGHT(H128,LEN(H128)-4)/10000</f>
        <v>1.14E-2</v>
      </c>
      <c r="AA128" s="204">
        <f>ABS(Z128-Y128)</f>
        <v>23.287500000000001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/stypes="app*4001*20171025*"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6"/>
        <v>"%USERPROFILE%\Documents\GitHub\eaglep3\Utilities\RefineRTDCRunTimes.py" --tripid 216-24 --locoid 4001 --swversion DE.1.0.9.0 --startMP 204:232989 --initTime 2017-10-24T18:45:06 --startdatetime 2017-10-24T18:57:18 --delay 85 --endMP 204:114 --enddatetime 2017-10-24T19:36:28 --enforcementcount 0 &gt;&gt;%USERPROFILE%\Documents\GitHub\eaglep3-reporting\EC\2017-10-24-refined-times.txt</v>
      </c>
      <c r="AI128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{"issue":{"subject":"","project_id":79,"tracker_id":40,"status_id":1,"priority_id":2,"assigned_to_id":338,"start_date":"2017-10-24","description":"","custom_fields":[{"id":1,"name":"Subdivision","value":"EC"},{"id":4,"name":"Milepost","value":"0.0114"},{"id":17,"name":"Train ID","value":"216-24"},{"id":16,"name":"Locomotive ID","value":"4001"},{"id":130,"name":"Impact","value":""},{"id":150,"name":"Time of Event (Mountain Time)","value":"19:36:28"},{"id":151,"name":"Denver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8"/>
        <v>start /low /b %USERPROFILE%\Documents\GitHub\eaglep3\Utilities\DownloadLogsFromS3.py --loco 4001 --day 2017-10-24</v>
      </c>
      <c r="AN128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20"/>
        <v>https://d0f6bd738d7f1b3e5a7ca70fe4ff75f0.us-east-1.aws.found.io/app/kibana#/discover/Steve-Slow-Train-Analysis-(2080s-and-2083s)?_g=(refreshInterval:(display:Off,pause:!f,section:0,value:0),time:(from:'2017-10-24T17:45:06-0600',mode:absolute,to:'2017-10-24T20:36:28-0600'))&amp;_a=(columns:!('Message%20ID',Summary),filters:!(),index:'emp_*',interval:auto,query:(query_string:(analyze_wildcard:!t,query:'%22rtdc.l.rtdc.4001%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845</v>
      </c>
      <c r="B129" s="7">
        <v>4026</v>
      </c>
      <c r="C129" s="21" t="s">
        <v>194</v>
      </c>
      <c r="D129" s="21" t="s">
        <v>452</v>
      </c>
      <c r="E129" s="13">
        <v>43032.755648148152</v>
      </c>
      <c r="F129" s="13">
        <v>43032.760636574072</v>
      </c>
      <c r="G129" s="7">
        <v>87</v>
      </c>
      <c r="H129" s="21" t="s">
        <v>610</v>
      </c>
      <c r="I129" s="13">
        <v>43032.785925925928</v>
      </c>
      <c r="J129" s="7">
        <v>0</v>
      </c>
      <c r="K129" s="89" t="str">
        <f>IF(ISEVEN(B129),(B129-1)&amp;"/"&amp;B129,B129&amp;"/"&amp;(B129+1))</f>
        <v>4025/4026</v>
      </c>
      <c r="L129" s="185" t="str">
        <f>VLOOKUP(A129,'Trips&amp;Operators'!$C$1:$G$99911,5,FALSE)</f>
        <v>MAGEE KENYA</v>
      </c>
      <c r="M129" s="6">
        <f>I129-F129</f>
        <v>2.5289351855462883E-2</v>
      </c>
      <c r="N129" s="7">
        <f>24*60*SUM($M129:$M129)</f>
        <v>36.416666671866551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-24T17:08:08-0600',mode:absolute,to:'2017-10-24T19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4.6600000000000003E-2</v>
      </c>
      <c r="Z129" s="204">
        <f>RIGHT(H129,LEN(H129)-4)/10000</f>
        <v>23.330300000000001</v>
      </c>
      <c r="AA129" s="204">
        <f>ABS(Z129-Y129)</f>
        <v>23.2837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/stypes="app*4026*20171025*"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6"/>
        <v>"%USERPROFILE%\Documents\GitHub\eaglep3\Utilities\RefineRTDCRunTimes.py" --tripid 217-24 --locoid 4026 --swversion DE.1.0.9.0 --startMP 204:466 --initTime 2017-10-24T18:08:08 --startdatetime 2017-10-24T18:15:19 --delay 87 --endMP 204:233303 --enddatetime 2017-10-24T18:51:44 --enforcementcount 0 &gt;&gt;%USERPROFILE%\Documents\GitHub\eaglep3-reporting\EC\2017-10-24-refined-times.txt</v>
      </c>
      <c r="AI129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{"issue":{"subject":"","project_id":79,"tracker_id":40,"status_id":1,"priority_id":2,"assigned_to_id":338,"start_date":"2017-10-24","description":"","custom_fields":[{"id":1,"name":"Subdivision","value":"EC"},{"id":4,"name":"Milepost","value":"23.3303"},{"id":17,"name":"Train ID","value":"217-24"},{"id":16,"name":"Locomotive ID","value":"4026"},{"id":130,"name":"Impact","value":""},{"id":150,"name":"Time of Event (Mountain Time)","value":"18:51:44"},{"id":151,"name":"Denver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8"/>
        <v>start /low /b %USERPROFILE%\Documents\GitHub\eaglep3\Utilities\DownloadLogsFromS3.py --loco 4026 --day 2017-10-24</v>
      </c>
      <c r="AN129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20"/>
        <v>https://d0f6bd738d7f1b3e5a7ca70fe4ff75f0.us-east-1.aws.found.io/app/kibana#/discover/Steve-Slow-Train-Analysis-(2080s-and-2083s)?_g=(refreshInterval:(display:Off,pause:!f,section:0,value:0),time:(from:'2017-10-24T17:08:08-0600',mode:absolute,to:'2017-10-24T19:51:44-0600'))&amp;_a=(columns:!('Message%20ID',Summary),filters:!(),index:'emp_*',interval:auto,query:(query_string:(analyze_wildcard:!t,query:'%22rtdc.l.rtdc.4026%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670</v>
      </c>
      <c r="B130" s="7">
        <v>4025</v>
      </c>
      <c r="C130" s="21" t="s">
        <v>194</v>
      </c>
      <c r="D130" s="21" t="s">
        <v>396</v>
      </c>
      <c r="E130" s="13">
        <v>43032.798495370371</v>
      </c>
      <c r="F130" s="13">
        <v>43032.800162037034</v>
      </c>
      <c r="G130" s="7">
        <v>69</v>
      </c>
      <c r="H130" s="21" t="s">
        <v>940</v>
      </c>
      <c r="I130" s="13">
        <v>43032.826307870368</v>
      </c>
      <c r="J130" s="7">
        <v>0</v>
      </c>
      <c r="K130" s="89" t="str">
        <f>IF(ISEVEN(B130),(B130-1)&amp;"/"&amp;B130,B130&amp;"/"&amp;(B130+1))</f>
        <v>4025/4026</v>
      </c>
      <c r="L130" s="185" t="str">
        <f>VLOOKUP(A130,'Trips&amp;Operators'!$C$1:$G$99911,5,FALSE)</f>
        <v>MAGEE KENYA</v>
      </c>
      <c r="M130" s="6">
        <f>I130-F130</f>
        <v>2.6145833333430346E-2</v>
      </c>
      <c r="N130" s="7">
        <f>24*60*SUM($M130:$M130)</f>
        <v>37.650000000139698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-24T18:09:50-0600',mode:absolute,to:'2017-10-24T20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23.299399999999999</v>
      </c>
      <c r="Z130" s="204">
        <f>RIGHT(H130,LEN(H130)-4)/10000</f>
        <v>2.4500000000000001E-2</v>
      </c>
      <c r="AA130" s="204">
        <f>ABS(Z130-Y130)</f>
        <v>23.274899999999999</v>
      </c>
      <c r="AB130" s="54" t="str">
        <f>VLOOKUP(A130,Enforcements!$C$7:$K$11,8,0)</f>
        <v>Speed (6)</v>
      </c>
      <c r="AC130" s="51" t="str">
        <f>VLOOKUP(A130,Enforcements!$C$7:$E$11,3,0)</f>
        <v>PERMANENT SPEED RESTRICTION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/stypes="app*4025*20171025*"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6"/>
        <v>"%USERPROFILE%\Documents\GitHub\eaglep3\Utilities\RefineRTDCRunTimes.py" --tripid 218-24 --locoid 4025 --swversion DE.1.0.9.0 --startMP 204:232994 --initTime 2017-10-24T19:09:50 --startdatetime 2017-10-24T19:12:14 --delay 69 --endMP 204:245 --enddatetime 2017-10-24T19:49:53 --enforcementcount 0 &gt;&gt;%USERPROFILE%\Documents\GitHub\eaglep3-reporting\EC\2017-10-24-refined-times.txt</v>
      </c>
      <c r="AI13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{"issue":{"subject":"","project_id":79,"tracker_id":40,"status_id":1,"priority_id":2,"assigned_to_id":338,"start_date":"2017-10-24","description":"","custom_fields":[{"id":1,"name":"Subdivision","value":"EC"},{"id":4,"name":"Milepost","value":"0.0245"},{"id":17,"name":"Train ID","value":"218-24"},{"id":16,"name":"Locomotive ID","value":"4025"},{"id":130,"name":"Impact","value":""},{"id":150,"name":"Time of Event (Mountain Time)","value":"19:49:53"},{"id":151,"name":"Denver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8"/>
        <v>start /low /b %USERPROFILE%\Documents\GitHub\eaglep3\Utilities\DownloadLogsFromS3.py --loco 4025 --day 2017-10-24</v>
      </c>
      <c r="AN130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20"/>
        <v>https://d0f6bd738d7f1b3e5a7ca70fe4ff75f0.us-east-1.aws.found.io/app/kibana#/discover/Steve-Slow-Train-Analysis-(2080s-and-2083s)?_g=(refreshInterval:(display:Off,pause:!f,section:0,value:0),time:(from:'2017-10-24T18:09:50-0600',mode:absolute,to:'2017-10-24T20:49:53-0600'))&amp;_a=(columns:!('Message%20ID',Summary),filters:!(),index:'emp_*',interval:auto,query:(query_string:(analyze_wildcard:!t,query:'%22rtdc.l.rtdc.4025%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847</v>
      </c>
      <c r="B131" s="7">
        <v>4060</v>
      </c>
      <c r="C131" s="21" t="s">
        <v>194</v>
      </c>
      <c r="D131" s="21" t="s">
        <v>369</v>
      </c>
      <c r="E131" s="13">
        <v>43032.767928240741</v>
      </c>
      <c r="F131" s="13">
        <v>43032.771296296298</v>
      </c>
      <c r="G131" s="7">
        <v>75</v>
      </c>
      <c r="H131" s="21" t="s">
        <v>941</v>
      </c>
      <c r="I131" s="13">
        <v>43032.795995370368</v>
      </c>
      <c r="J131" s="7">
        <v>0</v>
      </c>
      <c r="K131" s="89" t="str">
        <f>IF(ISEVEN(B131),(B131-1)&amp;"/"&amp;B131,B131&amp;"/"&amp;(B131+1))</f>
        <v>4059/4060</v>
      </c>
      <c r="L131" s="185" t="str">
        <f>VLOOKUP(A131,'Trips&amp;Operators'!$C$1:$G$99911,5,FALSE)</f>
        <v>ANDERS STEVEN</v>
      </c>
      <c r="M131" s="6">
        <f>I131-F131</f>
        <v>2.4699074070667848E-2</v>
      </c>
      <c r="N131" s="7">
        <f>24*60*SUM($M131:$M131)</f>
        <v>35.566666661761701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-24T17:25:49-0600',mode:absolute,to:'2017-10-24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4.7100000000000003E-2</v>
      </c>
      <c r="Z131" s="204">
        <f>RIGHT(H131,LEN(H131)-4)/10000</f>
        <v>23.318300000000001</v>
      </c>
      <c r="AA131" s="204">
        <f>ABS(Z131-Y131)</f>
        <v>23.2712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/stypes="app*4060*20171025*"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6"/>
        <v>"%USERPROFILE%\Documents\GitHub\eaglep3\Utilities\RefineRTDCRunTimes.py" --tripid 219-24 --locoid 4060 --swversion DE.1.0.9.0 --startMP 204:471 --initTime 2017-10-24T18:25:49 --startdatetime 2017-10-24T18:30:40 --delay 75 --endMP 204:233183 --enddatetime 2017-10-24T19:06:14 --enforcementcount 0 &gt;&gt;%USERPROFILE%\Documents\GitHub\eaglep3-reporting\EC\2017-10-24-refined-times.txt</v>
      </c>
      <c r="AI13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{"issue":{"subject":"","project_id":79,"tracker_id":40,"status_id":1,"priority_id":2,"assigned_to_id":338,"start_date":"2017-10-24","description":"","custom_fields":[{"id":1,"name":"Subdivision","value":"EC"},{"id":4,"name":"Milepost","value":"23.3183"},{"id":17,"name":"Train ID","value":"219-24"},{"id":16,"name":"Locomotive ID","value":"4060"},{"id":130,"name":"Impact","value":""},{"id":150,"name":"Time of Event (Mountain Time)","value":"19:06:14"},{"id":151,"name":"Denver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8"/>
        <v>start /low /b %USERPROFILE%\Documents\GitHub\eaglep3\Utilities\DownloadLogsFromS3.py --loco 4060 --day 2017-10-24</v>
      </c>
      <c r="AN131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20"/>
        <v>https://d0f6bd738d7f1b3e5a7ca70fe4ff75f0.us-east-1.aws.found.io/app/kibana#/discover/Steve-Slow-Train-Analysis-(2080s-and-2083s)?_g=(refreshInterval:(display:Off,pause:!f,section:0,value:0),time:(from:'2017-10-24T17:25:49-0600',mode:absolute,to:'2017-10-24T20:06:14-0600'))&amp;_a=(columns:!('Message%20ID',Summary),filters:!(),index:'emp_*',interval:auto,query:(query_string:(analyze_wildcard:!t,query:'%22rtdc.l.rtdc.4060%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857</v>
      </c>
      <c r="B132" s="7">
        <v>4059</v>
      </c>
      <c r="C132" s="21" t="s">
        <v>194</v>
      </c>
      <c r="D132" s="21" t="s">
        <v>942</v>
      </c>
      <c r="E132" s="13">
        <v>43032.799224537041</v>
      </c>
      <c r="F132" s="13">
        <v>43032.810868055552</v>
      </c>
      <c r="G132" s="7">
        <v>74</v>
      </c>
      <c r="H132" s="21" t="s">
        <v>943</v>
      </c>
      <c r="I132" s="13">
        <v>43032.837476851855</v>
      </c>
      <c r="J132" s="7">
        <v>0</v>
      </c>
      <c r="K132" s="89" t="str">
        <f>IF(ISEVEN(B132),(B132-1)&amp;"/"&amp;B132,B132&amp;"/"&amp;(B132+1))</f>
        <v>4059/4060</v>
      </c>
      <c r="L132" s="185" t="str">
        <f>VLOOKUP(A132,'Trips&amp;Operators'!$C$1:$G$99911,5,FALSE)</f>
        <v>ANDERS STEVEN</v>
      </c>
      <c r="M132" s="6">
        <f>I132-F132</f>
        <v>2.6608796302753035E-2</v>
      </c>
      <c r="N132" s="7">
        <f>24*60*SUM($M132:$M132)</f>
        <v>38.31666667596437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-24T18:10:53-0600',mode:absolute,to:'2017-10-24T21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23.286200000000001</v>
      </c>
      <c r="Z132" s="204">
        <f>RIGHT(H132,LEN(H132)-4)/10000</f>
        <v>1.83E-2</v>
      </c>
      <c r="AA132" s="204">
        <f>ABS(Z132-Y132)</f>
        <v>23.267900000000001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/stypes="app*4059*20171025*"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6"/>
        <v>"%USERPROFILE%\Documents\GitHub\eaglep3\Utilities\RefineRTDCRunTimes.py" --tripid 220-24 --locoid 4059 --swversion DE.1.0.9.0 --startMP 204:232862 --initTime 2017-10-24T19:10:53 --startdatetime 2017-10-24T19:27:39 --delay 74 --endMP 204:183 --enddatetime 2017-10-24T20:05:58 --enforcementcount 0 &gt;&gt;%USERPROFILE%\Documents\GitHub\eaglep3-reporting\EC\2017-10-24-refined-times.txt</v>
      </c>
      <c r="AI13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{"issue":{"subject":"","project_id":79,"tracker_id":40,"status_id":1,"priority_id":2,"assigned_to_id":338,"start_date":"2017-10-24","description":"","custom_fields":[{"id":1,"name":"Subdivision","value":"EC"},{"id":4,"name":"Milepost","value":"0.0183"},{"id":17,"name":"Train ID","value":"220-24"},{"id":16,"name":"Locomotive ID","value":"4059"},{"id":130,"name":"Impact","value":""},{"id":150,"name":"Time of Event (Mountain Time)","value":"20:05:58"},{"id":151,"name":"Denver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8"/>
        <v>start /low /b %USERPROFILE%\Documents\GitHub\eaglep3\Utilities\DownloadLogsFromS3.py --loco 4059 --day 2017-10-24</v>
      </c>
      <c r="AN132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02:05:58"},{"id":29,"name":"Sharepoint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20"/>
        <v>https://d0f6bd738d7f1b3e5a7ca70fe4ff75f0.us-east-1.aws.found.io/app/kibana#/discover/Steve-Slow-Train-Analysis-(2080s-and-2083s)?_g=(refreshInterval:(display:Off,pause:!f,section:0,value:0),time:(from:'2017-10-24T18:10:53-0600',mode:absolute,to:'2017-10-24T21:05:58-0600'))&amp;_a=(columns:!('Message%20ID',Summary),filters:!(),index:'emp_*',interval:auto,query:(query_string:(analyze_wildcard:!t,query:'%22rtdc.l.rtdc.4059%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853</v>
      </c>
      <c r="B133" s="7">
        <v>4016</v>
      </c>
      <c r="C133" s="21" t="s">
        <v>194</v>
      </c>
      <c r="D133" s="21" t="s">
        <v>334</v>
      </c>
      <c r="E133" s="13">
        <v>43032.787673611114</v>
      </c>
      <c r="F133" s="13">
        <v>43032.792268518519</v>
      </c>
      <c r="G133" s="7">
        <v>70</v>
      </c>
      <c r="H133" s="21" t="s">
        <v>897</v>
      </c>
      <c r="I133" s="13">
        <v>43032.816412037035</v>
      </c>
      <c r="J133" s="7">
        <v>0</v>
      </c>
      <c r="K133" s="89" t="str">
        <f>IF(ISEVEN(B133),(B133-1)&amp;"/"&amp;B133,B133&amp;"/"&amp;(B133+1))</f>
        <v>4015/4016</v>
      </c>
      <c r="L133" s="185" t="str">
        <f>VLOOKUP(A133,'Trips&amp;Operators'!$C$1:$G$99911,5,FALSE)</f>
        <v>DUNCAN SHEILA</v>
      </c>
      <c r="M133" s="6">
        <f>I133-F133</f>
        <v>2.414351851621177E-2</v>
      </c>
      <c r="N133" s="7">
        <f>24*60*SUM($M133:$M133)</f>
        <v>34.766666663344949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-24T17:54:15-0600',mode:absolute,to:'2017-10-24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4.4600000000000001E-2</v>
      </c>
      <c r="Z133" s="204">
        <f>RIGHT(H133,LEN(H133)-4)/10000</f>
        <v>23.330100000000002</v>
      </c>
      <c r="AA133" s="204">
        <f>ABS(Z133-Y133)</f>
        <v>23.285500000000003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/stypes="app*4016*20171025*"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6"/>
        <v>"%USERPROFILE%\Documents\GitHub\eaglep3\Utilities\RefineRTDCRunTimes.py" --tripid 221-24 --locoid 4016 --swversion DE.1.0.9.0 --startMP 204:446 --initTime 2017-10-24T18:54:15 --startdatetime 2017-10-24T19:00:52 --delay 70 --endMP 204:233301 --enddatetime 2017-10-24T19:35:38 --enforcementcount 0 &gt;&gt;%USERPROFILE%\Documents\GitHub\eaglep3-reporting\EC\2017-10-24-refined-times.txt</v>
      </c>
      <c r="AI133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{"issue":{"subject":"","project_id":79,"tracker_id":40,"status_id":1,"priority_id":2,"assigned_to_id":338,"start_date":"2017-10-24","description":"","custom_fields":[{"id":1,"name":"Subdivision","value":"EC"},{"id":4,"name":"Milepost","value":"23.3301"},{"id":17,"name":"Train ID","value":"221-24"},{"id":16,"name":"Locomotive ID","value":"4016"},{"id":130,"name":"Impact","value":""},{"id":150,"name":"Time of Event (Mountain Time)","value":"19:35:38"},{"id":151,"name":"Denver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8"/>
        <v>start /low /b %USERPROFILE%\Documents\GitHub\eaglep3\Utilities\DownloadLogsFromS3.py --loco 4016 --day 2017-10-24</v>
      </c>
      <c r="AN133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20"/>
        <v>https://d0f6bd738d7f1b3e5a7ca70fe4ff75f0.us-east-1.aws.found.io/app/kibana#/discover/Steve-Slow-Train-Analysis-(2080s-and-2083s)?_g=(refreshInterval:(display:Off,pause:!f,section:0,value:0),time:(from:'2017-10-24T17:54:15-0600',mode:absolute,to:'2017-10-24T20:35:38-0600'))&amp;_a=(columns:!('Message%20ID',Summary),filters:!(),index:'emp_*',interval:auto,query:(query_string:(analyze_wildcard:!t,query:'%22rtdc.l.rtdc.4016%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861</v>
      </c>
      <c r="B134" s="7">
        <v>4015</v>
      </c>
      <c r="C134" s="21" t="s">
        <v>194</v>
      </c>
      <c r="D134" s="21" t="s">
        <v>928</v>
      </c>
      <c r="E134" s="13">
        <v>43032.822812500002</v>
      </c>
      <c r="F134" s="13">
        <v>43032.83148148148</v>
      </c>
      <c r="G134" s="7">
        <v>86</v>
      </c>
      <c r="H134" s="21" t="s">
        <v>944</v>
      </c>
      <c r="I134" s="13">
        <v>43032.857129629629</v>
      </c>
      <c r="J134" s="7">
        <v>0</v>
      </c>
      <c r="K134" s="89" t="str">
        <f>IF(ISEVEN(B134),(B134-1)&amp;"/"&amp;B134,B134&amp;"/"&amp;(B134+1))</f>
        <v>4015/4016</v>
      </c>
      <c r="L134" s="185" t="str">
        <f>VLOOKUP(A134,'Trips&amp;Operators'!$C$1:$G$99911,5,FALSE)</f>
        <v>DUNCAN SHEILA</v>
      </c>
      <c r="M134" s="6">
        <f>I134-F134</f>
        <v>2.5648148148320615E-2</v>
      </c>
      <c r="N134" s="7">
        <f>24*60*SUM($M134:$M134)</f>
        <v>36.933333333581686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-24T18:44:51-0600',mode:absolute,to:'2017-10-24T21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23.3005</v>
      </c>
      <c r="Z134" s="204">
        <f>RIGHT(H134,LEN(H134)-4)/10000</f>
        <v>1.78E-2</v>
      </c>
      <c r="AA134" s="204">
        <f>ABS(Z134-Y134)</f>
        <v>23.282699999999998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/stypes="app*4015*20171025*"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6"/>
        <v>"%USERPROFILE%\Documents\GitHub\eaglep3\Utilities\RefineRTDCRunTimes.py" --tripid 222-24 --locoid 4015 --swversion DE.1.0.9.0 --startMP 204:233005 --initTime 2017-10-24T19:44:51 --startdatetime 2017-10-24T19:57:20 --delay 86 --endMP 204:178 --enddatetime 2017-10-24T20:34:16 --enforcementcount 0 &gt;&gt;%USERPROFILE%\Documents\GitHub\eaglep3-reporting\EC\2017-10-24-refined-times.txt</v>
      </c>
      <c r="AI134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{"issue":{"subject":"","project_id":79,"tracker_id":40,"status_id":1,"priority_id":2,"assigned_to_id":338,"start_date":"2017-10-24","description":"","custom_fields":[{"id":1,"name":"Subdivision","value":"EC"},{"id":4,"name":"Milepost","value":"0.0178"},{"id":17,"name":"Train ID","value":"222-24"},{"id":16,"name":"Locomotive ID","value":"4015"},{"id":130,"name":"Impact","value":""},{"id":150,"name":"Time of Event (Mountain Time)","value":"20:34:16"},{"id":151,"name":"Denver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8"/>
        <v>start /low /b %USERPROFILE%\Documents\GitHub\eaglep3\Utilities\DownloadLogsFromS3.py --loco 4015 --day 2017-10-24</v>
      </c>
      <c r="AN134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02:34:16"},{"id":29,"name":"Sharepoint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20"/>
        <v>https://d0f6bd738d7f1b3e5a7ca70fe4ff75f0.us-east-1.aws.found.io/app/kibana#/discover/Steve-Slow-Train-Analysis-(2080s-and-2083s)?_g=(refreshInterval:(display:Off,pause:!f,section:0,value:0),time:(from:'2017-10-24T18:44:51-0600',mode:absolute,to:'2017-10-24T21:34:16-0600'))&amp;_a=(columns:!('Message%20ID',Summary),filters:!(),index:'emp_*',interval:auto,query:(query_string:(analyze_wildcard:!t,query:'%22rtdc.l.rtdc.4015%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859</v>
      </c>
      <c r="B135" s="7">
        <v>4028</v>
      </c>
      <c r="C135" s="21" t="s">
        <v>194</v>
      </c>
      <c r="D135" s="21" t="s">
        <v>393</v>
      </c>
      <c r="E135" s="13">
        <v>43032.809583333335</v>
      </c>
      <c r="F135" s="13">
        <v>43032.8128125</v>
      </c>
      <c r="G135" s="7">
        <v>68</v>
      </c>
      <c r="H135" s="21" t="s">
        <v>897</v>
      </c>
      <c r="I135" s="13">
        <v>43032.837291666663</v>
      </c>
      <c r="J135" s="7">
        <v>0</v>
      </c>
      <c r="K135" s="89" t="str">
        <f>IF(ISEVEN(B135),(B135-1)&amp;"/"&amp;B135,B135&amp;"/"&amp;(B135+1))</f>
        <v>4027/4028</v>
      </c>
      <c r="L135" s="185" t="str">
        <f>VLOOKUP(A135,'Trips&amp;Operators'!$C$1:$G$99911,5,FALSE)</f>
        <v>LOZA FIDEL</v>
      </c>
      <c r="M135" s="6">
        <f>I135-F135</f>
        <v>2.4479166662786156E-2</v>
      </c>
      <c r="N135" s="7">
        <f>24*60*SUM($M135:$M135)</f>
        <v>35.249999994412065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-24T18:25:48-0600',mode:absolute,to:'2017-10-24T21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4.6399999999999997E-2</v>
      </c>
      <c r="Z135" s="204">
        <f>RIGHT(H135,LEN(H135)-4)/10000</f>
        <v>23.330100000000002</v>
      </c>
      <c r="AA135" s="204">
        <f>ABS(Z135-Y135)</f>
        <v>23.283700000000003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/stypes="app*4028*20171025*"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6"/>
        <v>"%USERPROFILE%\Documents\GitHub\eaglep3\Utilities\RefineRTDCRunTimes.py" --tripid 223-24 --locoid 4028 --swversion DE.1.0.9.0 --startMP 204:464 --initTime 2017-10-24T19:25:48 --startdatetime 2017-10-24T19:30:27 --delay 68 --endMP 204:233301 --enddatetime 2017-10-24T20:05:42 --enforcementcount 0 &gt;&gt;%USERPROFILE%\Documents\GitHub\eaglep3-reporting\EC\2017-10-24-refined-times.txt</v>
      </c>
      <c r="AI135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{"issue":{"subject":"","project_id":79,"tracker_id":40,"status_id":1,"priority_id":2,"assigned_to_id":338,"start_date":"2017-10-24","description":"","custom_fields":[{"id":1,"name":"Subdivision","value":"EC"},{"id":4,"name":"Milepost","value":"23.3301"},{"id":17,"name":"Train ID","value":"223-24"},{"id":16,"name":"Locomotive ID","value":"4028"},{"id":130,"name":"Impact","value":""},{"id":150,"name":"Time of Event (Mountain Time)","value":"20:05:42"},{"id":151,"name":"Denver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8"/>
        <v>start /low /b %USERPROFILE%\Documents\GitHub\eaglep3\Utilities\DownloadLogsFromS3.py --loco 4028 --day 2017-10-24</v>
      </c>
      <c r="AN135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02:05:42"},{"id":29,"name":"Sharepoint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20"/>
        <v>https://d0f6bd738d7f1b3e5a7ca70fe4ff75f0.us-east-1.aws.found.io/app/kibana#/discover/Steve-Slow-Train-Analysis-(2080s-and-2083s)?_g=(refreshInterval:(display:Off,pause:!f,section:0,value:0),time:(from:'2017-10-24T18:25:48-0600',mode:absolute,to:'2017-10-24T21:05:42-0600'))&amp;_a=(columns:!('Message%20ID',Summary),filters:!(),index:'emp_*',interval:auto,query:(query_string:(analyze_wildcard:!t,query:'%22rtdc.l.rtdc.4028%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864</v>
      </c>
      <c r="B136" s="7">
        <v>4027</v>
      </c>
      <c r="C136" s="21" t="s">
        <v>194</v>
      </c>
      <c r="D136" s="21" t="s">
        <v>924</v>
      </c>
      <c r="E136" s="13">
        <v>43032.850497685184</v>
      </c>
      <c r="F136" s="13">
        <v>43032.852280092593</v>
      </c>
      <c r="G136" s="7">
        <v>55</v>
      </c>
      <c r="H136" s="21" t="s">
        <v>337</v>
      </c>
      <c r="I136" s="13">
        <v>43032.878599537034</v>
      </c>
      <c r="J136" s="7">
        <v>0</v>
      </c>
      <c r="K136" s="89" t="str">
        <f>IF(ISEVEN(B136),(B136-1)&amp;"/"&amp;B136,B136&amp;"/"&amp;(B136+1))</f>
        <v>4027/4028</v>
      </c>
      <c r="L136" s="185" t="str">
        <f>VLOOKUP(A136,'Trips&amp;Operators'!$C$1:$G$99911,5,FALSE)</f>
        <v>LOZA FIDEL</v>
      </c>
      <c r="M136" s="6">
        <f>I136-F136</f>
        <v>2.6319444441469386E-2</v>
      </c>
      <c r="N136" s="7">
        <f>24*60*SUM($M136:$M136)</f>
        <v>37.899999995715916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-24T19:24:43-0600',mode:absolute,to:'2017-10-24T22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23.297799999999999</v>
      </c>
      <c r="Z136" s="204">
        <f>RIGHT(H136,LEN(H136)-4)/10000</f>
        <v>1.43E-2</v>
      </c>
      <c r="AA136" s="204">
        <f>ABS(Z136-Y136)</f>
        <v>23.2835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/stypes="app*4027*20171025*"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6"/>
        <v>"%USERPROFILE%\Documents\GitHub\eaglep3\Utilities\RefineRTDCRunTimes.py" --tripid 224-24 --locoid 4027 --swversion DE.1.0.9.0 --startMP 204:232978 --initTime 2017-10-24T20:24:43 --startdatetime 2017-10-24T20:27:17 --delay 55 --endMP 204:143 --enddatetime 2017-10-24T21:05:11 --enforcementcount 0 &gt;&gt;%USERPROFILE%\Documents\GitHub\eaglep3-reporting\EC\2017-10-24-refined-times.txt</v>
      </c>
      <c r="AI136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{"issue":{"subject":"","project_id":79,"tracker_id":40,"status_id":1,"priority_id":2,"assigned_to_id":338,"start_date":"2017-10-24","description":"","custom_fields":[{"id":1,"name":"Subdivision","value":"EC"},{"id":4,"name":"Milepost","value":"0.0143"},{"id":17,"name":"Train ID","value":"224-24"},{"id":16,"name":"Locomotive ID","value":"4027"},{"id":130,"name":"Impact","value":""},{"id":150,"name":"Time of Event (Mountain Time)","value":"21:05:11"},{"id":151,"name":"Denver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8"/>
        <v>start /low /b %USERPROFILE%\Documents\GitHub\eaglep3\Utilities\DownloadLogsFromS3.py --loco 4027 --day 2017-10-24</v>
      </c>
      <c r="AN136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20"/>
        <v>https://d0f6bd738d7f1b3e5a7ca70fe4ff75f0.us-east-1.aws.found.io/app/kibana#/discover/Steve-Slow-Train-Analysis-(2080s-and-2083s)?_g=(refreshInterval:(display:Off,pause:!f,section:0,value:0),time:(from:'2017-10-24T19:24:43-0600',mode:absolute,to:'2017-10-24T22:05:11-0600'))&amp;_a=(columns:!('Message%20ID',Summary),filters:!(),index:'emp_*',interval:auto,query:(query_string:(analyze_wildcard:!t,query:'%22rtdc.l.rtdc.4027%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862</v>
      </c>
      <c r="B137" s="7">
        <v>4026</v>
      </c>
      <c r="C137" s="21" t="s">
        <v>194</v>
      </c>
      <c r="D137" s="21" t="s">
        <v>945</v>
      </c>
      <c r="E137" s="13">
        <v>43032.828657407408</v>
      </c>
      <c r="F137" s="13">
        <v>43032.833541666667</v>
      </c>
      <c r="G137" s="7">
        <v>90</v>
      </c>
      <c r="H137" s="21" t="s">
        <v>410</v>
      </c>
      <c r="I137" s="13">
        <v>43032.859189814815</v>
      </c>
      <c r="J137" s="7">
        <v>0</v>
      </c>
      <c r="K137" s="89" t="str">
        <f>IF(ISEVEN(B137),(B137-1)&amp;"/"&amp;B137,B137&amp;"/"&amp;(B137+1))</f>
        <v>4025/4026</v>
      </c>
      <c r="L137" s="185" t="str">
        <f>VLOOKUP(A137,'Trips&amp;Operators'!$C$1:$G$99911,5,FALSE)</f>
        <v>ZEWDU DEREJE</v>
      </c>
      <c r="M137" s="6">
        <f>I137-F137</f>
        <v>2.5648148148320615E-2</v>
      </c>
      <c r="N137" s="7">
        <f>24*60*SUM($M137:$M137)</f>
        <v>36.933333333581686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-24T18:53:16-0600',mode:absolute,to:'2017-10-24T21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5.5300000000000002E-2</v>
      </c>
      <c r="Z137" s="204">
        <f>RIGHT(H137,LEN(H137)-4)/10000</f>
        <v>23.329699999999999</v>
      </c>
      <c r="AA137" s="204">
        <f>ABS(Z137-Y137)</f>
        <v>23.2744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/stypes="app*4026*20171025*"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6"/>
        <v>"%USERPROFILE%\Documents\GitHub\eaglep3\Utilities\RefineRTDCRunTimes.py" --tripid 225-24 --locoid 4026 --swversion DE.1.0.9.0 --startMP 204:553 --initTime 2017-10-24T19:53:16 --startdatetime 2017-10-24T20:00:18 --delay 90 --endMP 204:233297 --enddatetime 2017-10-24T20:37:14 --enforcementcount 0 &gt;&gt;%USERPROFILE%\Documents\GitHub\eaglep3-reporting\EC\2017-10-24-refined-times.txt</v>
      </c>
      <c r="AI137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{"issue":{"subject":"","project_id":79,"tracker_id":40,"status_id":1,"priority_id":2,"assigned_to_id":338,"start_date":"2017-10-24","description":"","custom_fields":[{"id":1,"name":"Subdivision","value":"EC"},{"id":4,"name":"Milepost","value":"23.3297"},{"id":17,"name":"Train ID","value":"225-24"},{"id":16,"name":"Locomotive ID","value":"4026"},{"id":130,"name":"Impact","value":""},{"id":150,"name":"Time of Event (Mountain Time)","value":"20:37:14"},{"id":151,"name":"Denver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8"/>
        <v>start /low /b %USERPROFILE%\Documents\GitHub\eaglep3\Utilities\DownloadLogsFromS3.py --loco 4026 --day 2017-10-24</v>
      </c>
      <c r="AN137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02:37:14"},{"id":29,"name":"Sharepoint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20"/>
        <v>https://d0f6bd738d7f1b3e5a7ca70fe4ff75f0.us-east-1.aws.found.io/app/kibana#/discover/Steve-Slow-Train-Analysis-(2080s-and-2083s)?_g=(refreshInterval:(display:Off,pause:!f,section:0,value:0),time:(from:'2017-10-24T18:53:16-0600',mode:absolute,to:'2017-10-24T21:37:14-0600'))&amp;_a=(columns:!('Message%20ID',Summary),filters:!(),index:'emp_*',interval:auto,query:(query_string:(analyze_wildcard:!t,query:'%22rtdc.l.rtdc.4026%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867</v>
      </c>
      <c r="B138" s="7">
        <v>4025</v>
      </c>
      <c r="C138" s="21" t="s">
        <v>194</v>
      </c>
      <c r="D138" s="21" t="s">
        <v>902</v>
      </c>
      <c r="E138" s="13">
        <v>43032.869247685187</v>
      </c>
      <c r="F138" s="13">
        <v>43032.873090277775</v>
      </c>
      <c r="G138" s="7">
        <v>73</v>
      </c>
      <c r="H138" s="21" t="s">
        <v>946</v>
      </c>
      <c r="I138" s="13">
        <v>43032.899375000001</v>
      </c>
      <c r="J138" s="7">
        <v>0</v>
      </c>
      <c r="K138" s="89" t="str">
        <f>IF(ISEVEN(B138),(B138-1)&amp;"/"&amp;B138,B138&amp;"/"&amp;(B138+1))</f>
        <v>4025/4026</v>
      </c>
      <c r="L138" s="185" t="str">
        <f>VLOOKUP(A138,'Trips&amp;Operators'!$C$1:$G$99911,5,FALSE)</f>
        <v>ZEWDU DEREJE</v>
      </c>
      <c r="M138" s="6">
        <f>I138-F138</f>
        <v>2.6284722225682344E-2</v>
      </c>
      <c r="N138" s="7">
        <f>24*60*SUM($M138:$M138)</f>
        <v>37.850000004982576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-24T19:51:43-0600',mode:absolute,to:'2017-10-24T22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23.2973</v>
      </c>
      <c r="Z138" s="204">
        <f>RIGHT(H138,LEN(H138)-4)/10000</f>
        <v>2.2700000000000001E-2</v>
      </c>
      <c r="AA138" s="204">
        <f>ABS(Z138-Y138)</f>
        <v>23.2746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/stypes="app*4025*20171025*"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6"/>
        <v>"%USERPROFILE%\Documents\GitHub\eaglep3\Utilities\RefineRTDCRunTimes.py" --tripid 226-24 --locoid 4025 --swversion DE.1.0.9.0 --startMP 204:232973 --initTime 2017-10-24T20:51:43 --startdatetime 2017-10-24T20:57:15 --delay 73 --endMP 204:227 --enddatetime 2017-10-24T21:35:06 --enforcementcount 0 &gt;&gt;%USERPROFILE%\Documents\GitHub\eaglep3-reporting\EC\2017-10-24-refined-times.txt</v>
      </c>
      <c r="AI138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{"issue":{"subject":"","project_id":79,"tracker_id":40,"status_id":1,"priority_id":2,"assigned_to_id":338,"start_date":"2017-10-24","description":"","custom_fields":[{"id":1,"name":"Subdivision","value":"EC"},{"id":4,"name":"Milepost","value":"0.0227"},{"id":17,"name":"Train ID","value":"226-24"},{"id":16,"name":"Locomotive ID","value":"4025"},{"id":130,"name":"Impact","value":""},{"id":150,"name":"Time of Event (Mountain Time)","value":"21:35:06"},{"id":151,"name":"Denver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8"/>
        <v>start /low /b %USERPROFILE%\Documents\GitHub\eaglep3\Utilities\DownloadLogsFromS3.py --loco 4025 --day 2017-10-24</v>
      </c>
      <c r="AN138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03:35:06"},{"id":29,"name":"Sharepoint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20"/>
        <v>https://d0f6bd738d7f1b3e5a7ca70fe4ff75f0.us-east-1.aws.found.io/app/kibana#/discover/Steve-Slow-Train-Analysis-(2080s-and-2083s)?_g=(refreshInterval:(display:Off,pause:!f,section:0,value:0),time:(from:'2017-10-24T19:51:43-0600',mode:absolute,to:'2017-10-24T22:35:06-0600'))&amp;_a=(columns:!('Message%20ID',Summary),filters:!(),index:'emp_*',interval:auto,query:(query_string:(analyze_wildcard:!t,query:'%22rtdc.l.rtdc.4025%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863</v>
      </c>
      <c r="B139" s="7">
        <v>4060</v>
      </c>
      <c r="C139" s="21" t="s">
        <v>194</v>
      </c>
      <c r="D139" s="21" t="s">
        <v>620</v>
      </c>
      <c r="E139" s="13">
        <v>43032.841909722221</v>
      </c>
      <c r="F139" s="13">
        <v>43032.854490740741</v>
      </c>
      <c r="G139" s="7">
        <v>66</v>
      </c>
      <c r="H139" s="21" t="s">
        <v>947</v>
      </c>
      <c r="I139" s="13">
        <v>43032.880057870374</v>
      </c>
      <c r="J139" s="7">
        <v>0</v>
      </c>
      <c r="K139" s="89" t="str">
        <f>IF(ISEVEN(B139),(B139-1)&amp;"/"&amp;B139,B139&amp;"/"&amp;(B139+1))</f>
        <v>4059/4060</v>
      </c>
      <c r="L139" s="185" t="str">
        <f>VLOOKUP(A139,'Trips&amp;Operators'!$C$1:$G$99911,5,FALSE)</f>
        <v>BIRKHOLZ NADINE</v>
      </c>
      <c r="M139" s="6">
        <f>I139-F139</f>
        <v>2.5567129632690921E-2</v>
      </c>
      <c r="N139" s="7">
        <f>24*60*SUM($M139:$M139)</f>
        <v>36.816666671074927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-24T19:12:21-0600',mode:absolute,to:'2017-10-24T22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4.9099999999999998E-2</v>
      </c>
      <c r="Z139" s="204">
        <f>RIGHT(H139,LEN(H139)-4)/10000</f>
        <v>23.317</v>
      </c>
      <c r="AA139" s="204">
        <f>ABS(Z139-Y139)</f>
        <v>23.267900000000001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/stypes="app*4060*20171025*"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6"/>
        <v>"%USERPROFILE%\Documents\GitHub\eaglep3\Utilities\RefineRTDCRunTimes.py" --tripid 227-24 --locoid 4060 --swversion DE.1.0.9.0 --startMP 204:491 --initTime 2017-10-24T20:12:21 --startdatetime 2017-10-24T20:30:28 --delay 66 --endMP 204:233170 --enddatetime 2017-10-24T21:07:17 --enforcementcount 0 &gt;&gt;%USERPROFILE%\Documents\GitHub\eaglep3-reporting\EC\2017-10-24-refined-times.txt</v>
      </c>
      <c r="AI139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{"issue":{"subject":"","project_id":79,"tracker_id":40,"status_id":1,"priority_id":2,"assigned_to_id":338,"start_date":"2017-10-24","description":"","custom_fields":[{"id":1,"name":"Subdivision","value":"EC"},{"id":4,"name":"Milepost","value":"23.317"},{"id":17,"name":"Train ID","value":"227-24"},{"id":16,"name":"Locomotive ID","value":"4060"},{"id":130,"name":"Impact","value":""},{"id":150,"name":"Time of Event (Mountain Time)","value":"21:07:17"},{"id":151,"name":"Denver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8"/>
        <v>start /low /b %USERPROFILE%\Documents\GitHub\eaglep3\Utilities\DownloadLogsFromS3.py --loco 4060 --day 2017-10-24</v>
      </c>
      <c r="AN139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03:07:17"},{"id":29,"name":"Sharepoint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20"/>
        <v>https://d0f6bd738d7f1b3e5a7ca70fe4ff75f0.us-east-1.aws.found.io/app/kibana#/discover/Steve-Slow-Train-Analysis-(2080s-and-2083s)?_g=(refreshInterval:(display:Off,pause:!f,section:0,value:0),time:(from:'2017-10-24T19:12:21-0600',mode:absolute,to:'2017-10-24T22:07:17-0600'))&amp;_a=(columns:!('Message%20ID',Summary),filters:!(),index:'emp_*',interval:auto,query:(query_string:(analyze_wildcard:!t,query:'%22rtdc.l.rtdc.4060%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868</v>
      </c>
      <c r="B140" s="7">
        <v>4059</v>
      </c>
      <c r="C140" s="21" t="s">
        <v>194</v>
      </c>
      <c r="D140" s="21" t="s">
        <v>948</v>
      </c>
      <c r="E140" s="13">
        <v>43032.88894675926</v>
      </c>
      <c r="F140" s="13">
        <v>43032.894050925926</v>
      </c>
      <c r="G140" s="7">
        <v>65</v>
      </c>
      <c r="H140" s="21" t="s">
        <v>949</v>
      </c>
      <c r="I140" s="13">
        <v>43032.920208333337</v>
      </c>
      <c r="J140" s="7">
        <v>0</v>
      </c>
      <c r="K140" s="89" t="str">
        <f>IF(ISEVEN(B140),(B140-1)&amp;"/"&amp;B140,B140&amp;"/"&amp;(B140+1))</f>
        <v>4059/4060</v>
      </c>
      <c r="L140" s="185" t="str">
        <f>VLOOKUP(A140,'Trips&amp;Operators'!$C$1:$G$99911,5,FALSE)</f>
        <v>BIRKHOLZ NADINE</v>
      </c>
      <c r="M140" s="6">
        <f>I140-F140</f>
        <v>2.6157407410209998E-2</v>
      </c>
      <c r="N140" s="7">
        <f>24*60*SUM($M140:$M140)</f>
        <v>37.666666670702398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-24T20:20:05-0600',mode:absolute,to:'2017-10-24T23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23.284199999999998</v>
      </c>
      <c r="Z140" s="204">
        <f>RIGHT(H140,LEN(H140)-4)/10000</f>
        <v>2.7300000000000001E-2</v>
      </c>
      <c r="AA140" s="204">
        <f>ABS(Z140-Y140)</f>
        <v>23.256899999999998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/stypes="app*4059*20171025*"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6"/>
        <v>"%USERPROFILE%\Documents\GitHub\eaglep3\Utilities\RefineRTDCRunTimes.py" --tripid 228-24 --locoid 4059 --swversion DE.1.0.9.0 --startMP 204:232842 --initTime 2017-10-24T21:20:05 --startdatetime 2017-10-24T21:27:26 --delay 65 --endMP 204:273 --enddatetime 2017-10-24T22:05:06 --enforcementcount 0 &gt;&gt;%USERPROFILE%\Documents\GitHub\eaglep3-reporting\EC\2017-10-24-refined-times.txt</v>
      </c>
      <c r="AI140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{"issue":{"subject":"","project_id":79,"tracker_id":40,"status_id":1,"priority_id":2,"assigned_to_id":338,"start_date":"2017-10-24","description":"","custom_fields":[{"id":1,"name":"Subdivision","value":"EC"},{"id":4,"name":"Milepost","value":"0.0273"},{"id":17,"name":"Train ID","value":"228-24"},{"id":16,"name":"Locomotive ID","value":"4059"},{"id":130,"name":"Impact","value":""},{"id":150,"name":"Time of Event (Mountain Time)","value":"22:05:06"},{"id":151,"name":"Denver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8"/>
        <v>start /low /b %USERPROFILE%\Documents\GitHub\eaglep3\Utilities\DownloadLogsFromS3.py --loco 4059 --day 2017-10-24</v>
      </c>
      <c r="AN140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04:05:06"},{"id":29,"name":"Sharepoint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20"/>
        <v>https://d0f6bd738d7f1b3e5a7ca70fe4ff75f0.us-east-1.aws.found.io/app/kibana#/discover/Steve-Slow-Train-Analysis-(2080s-and-2083s)?_g=(refreshInterval:(display:Off,pause:!f,section:0,value:0),time:(from:'2017-10-24T20:20:05-0600',mode:absolute,to:'2017-10-24T23:05:06-0600'))&amp;_a=(columns:!('Message%20ID',Summary),filters:!(),index:'emp_*',interval:auto,query:(query_string:(analyze_wildcard:!t,query:'%22rtdc.l.rtdc.4059%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866</v>
      </c>
      <c r="B141" s="7">
        <v>4016</v>
      </c>
      <c r="C141" s="21" t="s">
        <v>194</v>
      </c>
      <c r="D141" s="21" t="s">
        <v>950</v>
      </c>
      <c r="E141" s="13">
        <v>43032.864918981482</v>
      </c>
      <c r="F141" s="13">
        <v>43032.875324074077</v>
      </c>
      <c r="G141" s="7">
        <v>48</v>
      </c>
      <c r="H141" s="21" t="s">
        <v>951</v>
      </c>
      <c r="I141" s="13">
        <v>43032.900289351855</v>
      </c>
      <c r="J141" s="7">
        <v>0</v>
      </c>
      <c r="K141" s="89" t="str">
        <f>IF(ISEVEN(B141),(B141-1)&amp;"/"&amp;B141,B141&amp;"/"&amp;(B141+1))</f>
        <v>4015/4016</v>
      </c>
      <c r="L141" s="185" t="str">
        <f>VLOOKUP(A141,'Trips&amp;Operators'!$C$1:$G$99911,5,FALSE)</f>
        <v>DUNCAN SHEILA</v>
      </c>
      <c r="M141" s="6">
        <f>I141-F141</f>
        <v>2.4965277778392192E-2</v>
      </c>
      <c r="N141" s="7">
        <f>24*60*SUM($M141:$M141)</f>
        <v>35.950000000884756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-24T19:45:29-0600',mode:absolute,to:'2017-10-24T22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5.0599999999999999E-2</v>
      </c>
      <c r="Z141" s="204">
        <f>RIGHT(H141,LEN(H141)-4)/10000</f>
        <v>23.3339</v>
      </c>
      <c r="AA141" s="204">
        <f>ABS(Z141-Y141)</f>
        <v>23.283300000000001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/stypes="app*4016*20171025*"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6"/>
        <v>"%USERPROFILE%\Documents\GitHub\eaglep3\Utilities\RefineRTDCRunTimes.py" --tripid 229-24 --locoid 4016 --swversion DE.1.0.9.0 --startMP 204:506 --initTime 2017-10-24T20:45:29 --startdatetime 2017-10-24T21:00:28 --delay 48 --endMP 204:233339 --enddatetime 2017-10-24T21:36:25 --enforcementcount 0 &gt;&gt;%USERPROFILE%\Documents\GitHub\eaglep3-reporting\EC\2017-10-24-refined-times.txt</v>
      </c>
      <c r="AI141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{"issue":{"subject":"","project_id":79,"tracker_id":40,"status_id":1,"priority_id":2,"assigned_to_id":338,"start_date":"2017-10-24","description":"","custom_fields":[{"id":1,"name":"Subdivision","value":"EC"},{"id":4,"name":"Milepost","value":"23.3339"},{"id":17,"name":"Train ID","value":"229-24"},{"id":16,"name":"Locomotive ID","value":"4016"},{"id":130,"name":"Impact","value":""},{"id":150,"name":"Time of Event (Mountain Time)","value":"21:36:25"},{"id":151,"name":"Denver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8"/>
        <v>start /low /b %USERPROFILE%\Documents\GitHub\eaglep3\Utilities\DownloadLogsFromS3.py --loco 4016 --day 2017-10-24</v>
      </c>
      <c r="AN141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20"/>
        <v>https://d0f6bd738d7f1b3e5a7ca70fe4ff75f0.us-east-1.aws.found.io/app/kibana#/discover/Steve-Slow-Train-Analysis-(2080s-and-2083s)?_g=(refreshInterval:(display:Off,pause:!f,section:0,value:0),time:(from:'2017-10-24T19:45:29-0600',mode:absolute,to:'2017-10-24T22:36:25-0600'))&amp;_a=(columns:!('Message%20ID',Summary),filters:!(),index:'emp_*',interval:auto,query:(query_string:(analyze_wildcard:!t,query:'%22rtdc.l.rtdc.4016%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871</v>
      </c>
      <c r="B142" s="7">
        <v>4015</v>
      </c>
      <c r="C142" s="21" t="s">
        <v>194</v>
      </c>
      <c r="D142" s="21" t="s">
        <v>618</v>
      </c>
      <c r="E142" s="13">
        <v>43032.90902777778</v>
      </c>
      <c r="F142" s="13">
        <v>43032.914849537039</v>
      </c>
      <c r="G142" s="7">
        <v>47</v>
      </c>
      <c r="H142" s="21" t="s">
        <v>952</v>
      </c>
      <c r="I142" s="13">
        <v>43032.940613425926</v>
      </c>
      <c r="J142" s="7">
        <v>0</v>
      </c>
      <c r="K142" s="89" t="str">
        <f>IF(ISEVEN(B142),(B142-1)&amp;"/"&amp;B142,B142&amp;"/"&amp;(B142+1))</f>
        <v>4015/4016</v>
      </c>
      <c r="L142" s="185" t="str">
        <f>VLOOKUP(A142,'Trips&amp;Operators'!$C$1:$G$99911,5,FALSE)</f>
        <v>DUNCAN SHEILA</v>
      </c>
      <c r="M142" s="6">
        <f>I142-F142</f>
        <v>2.5763888887013309E-2</v>
      </c>
      <c r="N142" s="7">
        <f>24*60*SUM($M142:$M142)</f>
        <v>37.099999997299165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-24T20:49:00-0600',mode:absolute,to:'2017-10-24T23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23.3001</v>
      </c>
      <c r="Z142" s="204">
        <f>RIGHT(H142,LEN(H142)-4)/10000</f>
        <v>1.9099999999999999E-2</v>
      </c>
      <c r="AA142" s="204">
        <f>ABS(Z142-Y142)</f>
        <v>23.280999999999999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/stypes="app*4015*20171025*"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6"/>
        <v>"%USERPROFILE%\Documents\GitHub\eaglep3\Utilities\RefineRTDCRunTimes.py" --tripid 230-24 --locoid 4015 --swversion DE.1.0.9.0 --startMP 204:233001 --initTime 2017-10-24T21:49:00 --startdatetime 2017-10-24T21:57:23 --delay 47 --endMP 204:191 --enddatetime 2017-10-24T22:34:29 --enforcementcount 0 &gt;&gt;%USERPROFILE%\Documents\GitHub\eaglep3-reporting\EC\2017-10-24-refined-times.txt</v>
      </c>
      <c r="AI142" s="96" t="str">
        <f t="shared" si="17"/>
        <v>echo {"issue":{"subject":"","project_id":79,"tracker_id":40,"status_id":1,"priority_id":2,"assigned_to_id":338,"start_date":"2017-10-24","description":"","custom_fields":[{"id":1,"name":"Subdivision","value":"EC"},{"id":4,"name":"Milepost","value":"0.0191"},{"id":17,"name":"Train ID","value":"230-24"},{"id":16,"name":"Locomotive ID","value":"4015"},{"id":130,"name":"Impact","value":""},{"id":150,"name":"Time of Event (Mountain Time)","value":"22:34:29"},{"id":151,"name":"Denver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8"/>
        <v>start /low /b %USERPROFILE%\Documents\GitHub\eaglep3\Utilities\DownloadLogsFromS3.py --loco 4015 --day 2017-10-24</v>
      </c>
      <c r="AN142" s="151" t="str">
        <f t="shared" si="19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20"/>
        <v>https://d0f6bd738d7f1b3e5a7ca70fe4ff75f0.us-east-1.aws.found.io/app/kibana#/discover/Steve-Slow-Train-Analysis-(2080s-and-2083s)?_g=(refreshInterval:(display:Off,pause:!f,section:0,value:0),time:(from:'2017-10-24T20:49:00-0600',mode:absolute,to:'2017-10-24T23:34:29-0600'))&amp;_a=(columns:!('Message%20ID',Summary),filters:!(),index:'emp_*',interval:auto,query:(query_string:(analyze_wildcard:!t,query:'%22rtdc.l.rtdc.4015%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869</v>
      </c>
      <c r="B143" s="7">
        <v>4028</v>
      </c>
      <c r="C143" s="21" t="s">
        <v>194</v>
      </c>
      <c r="D143" s="21" t="s">
        <v>420</v>
      </c>
      <c r="E143" s="13">
        <v>43032.889594907407</v>
      </c>
      <c r="F143" s="13">
        <v>43032.89603009259</v>
      </c>
      <c r="G143" s="7">
        <v>64</v>
      </c>
      <c r="H143" s="21" t="s">
        <v>535</v>
      </c>
      <c r="I143" s="13">
        <v>43032.920243055552</v>
      </c>
      <c r="J143" s="7">
        <v>0</v>
      </c>
      <c r="K143" s="89" t="str">
        <f>IF(ISEVEN(B143),(B143-1)&amp;"/"&amp;B143,B143&amp;"/"&amp;(B143+1))</f>
        <v>4027/4028</v>
      </c>
      <c r="L143" s="185" t="str">
        <f>VLOOKUP(A143,'Trips&amp;Operators'!$C$1:$G$99911,5,FALSE)</f>
        <v>LOZA FIDEL</v>
      </c>
      <c r="M143" s="6">
        <f>I143-F143</f>
        <v>2.421296296233777E-2</v>
      </c>
      <c r="N143" s="7">
        <f>24*60*SUM($M143:$M143)</f>
        <v>34.866666665766388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-24T20:21:01-0600',mode:absolute,to:'2017-10-24T23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4.6899999999999997E-2</v>
      </c>
      <c r="Z143" s="204">
        <f>RIGHT(H143,LEN(H143)-4)/10000</f>
        <v>23.331900000000001</v>
      </c>
      <c r="AA143" s="204">
        <f>ABS(Z143-Y143)</f>
        <v>23.285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/stypes="app*4028*20171025*"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ref="AH143:AH209" si="2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231-24 --locoid 4028 --swversion DE.1.0.9.0 --startMP 204:469 --initTime 2017-10-24T21:21:01 --startdatetime 2017-10-24T21:30:17 --delay 64 --endMP 204:233319 --enddatetime 2017-10-24T22:05:09 --enforcementcount 0 &gt;&gt;%USERPROFILE%\Documents\GitHub\eaglep3-reporting\EC\2017-10-24-refined-times.txt</v>
      </c>
      <c r="AI143" s="96" t="str">
        <f t="shared" ref="AI143:AI209" si="2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{"issue":{"subject":"","project_id":79,"tracker_id":40,"status_id":1,"priority_id":2,"assigned_to_id":338,"start_date":"2017-10-24","description":"","custom_fields":[{"id":1,"name":"Subdivision","value":"EC"},{"id":4,"name":"Milepost","value":"23.3319"},{"id":17,"name":"Train ID","value":"231-24"},{"id":16,"name":"Locomotive ID","value":"4028"},{"id":130,"name":"Impact","value":""},{"id":150,"name":"Time of Event (Mountain Time)","value":"22:05:09"},{"id":151,"name":"Denver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209" si="23">"start /low /b "&amp;dls3logs&amp;" --loco "&amp;B143&amp;" --day "&amp;TEXT(F143,"YYYY-MM-DD")</f>
        <v>start /low /b %USERPROFILE%\Documents\GitHub\eaglep3\Utilities\DownloadLogsFromS3.py --loco 4028 --day 2017-10-24</v>
      </c>
      <c r="AN143" s="151" t="str">
        <f t="shared" ref="AN143:AN209" si="2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209" si="25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-24T20:21:01-0600',mode:absolute,to:'2017-10-24T23:05:09-0600'))&amp;_a=(columns:!('Message%20ID',Summary),filters:!(),index:'emp_*',interval:auto,query:(query_string:(analyze_wildcard:!t,query:'%22rtdc.l.rtdc.4028%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875</v>
      </c>
      <c r="B144" s="7">
        <v>4027</v>
      </c>
      <c r="C144" s="21" t="s">
        <v>194</v>
      </c>
      <c r="D144" s="21" t="s">
        <v>419</v>
      </c>
      <c r="E144" s="13">
        <v>43032.931643518517</v>
      </c>
      <c r="F144" s="13">
        <v>43032.935914351852</v>
      </c>
      <c r="G144" s="7">
        <v>75</v>
      </c>
      <c r="H144" s="21" t="s">
        <v>360</v>
      </c>
      <c r="I144" s="13">
        <v>43032.961678240739</v>
      </c>
      <c r="J144" s="7">
        <v>0</v>
      </c>
      <c r="K144" s="89" t="str">
        <f>IF(ISEVEN(B144),(B144-1)&amp;"/"&amp;B144,B144&amp;"/"&amp;(B144+1))</f>
        <v>4027/4028</v>
      </c>
      <c r="L144" s="185" t="str">
        <f>VLOOKUP(A144,'Trips&amp;Operators'!$C$1:$G$99911,5,FALSE)</f>
        <v>LOZA FIDEL</v>
      </c>
      <c r="M144" s="6">
        <f>I144-F144</f>
        <v>2.5763888887013309E-2</v>
      </c>
      <c r="N144" s="7">
        <f>24*60*SUM($M144:$M144)</f>
        <v>37.099999997299165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-24T21:21:34-0600',mode:absolute,to:'2017-10-25T00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23.299600000000002</v>
      </c>
      <c r="Z144" s="204">
        <f>RIGHT(H144,LEN(H144)-4)/10000</f>
        <v>1.61E-2</v>
      </c>
      <c r="AA144" s="204">
        <f>ABS(Z144-Y144)</f>
        <v>23.2835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/stypes="app*4027*20171025*" /stext=" 05:.+((SYSTEM_STATE.+slice.+state.+changed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21"/>
        <v>"%USERPROFILE%\Documents\GitHub\eaglep3\Utilities\RefineRTDCRunTimes.py" --tripid 232-24 --locoid 4027 --swversion DE.1.0.9.0 --startMP 204:232996 --initTime 2017-10-24T22:21:34 --startdatetime 2017-10-24T22:27:43 --delay 75 --endMP 204:161 --enddatetime 2017-10-24T23:04:49 --enforcementcount 0 &gt;&gt;%USERPROFILE%\Documents\GitHub\eaglep3-reporting\EC\2017-10-24-refined-times.txt</v>
      </c>
      <c r="AI144" s="96" t="str">
        <f t="shared" si="22"/>
        <v>echo {"issue":{"subject":"","project_id":79,"tracker_id":40,"status_id":1,"priority_id":2,"assigned_to_id":338,"start_date":"2017-10-24","description":"","custom_fields":[{"id":1,"name":"Subdivision","value":"EC"},{"id":4,"name":"Milepost","value":"0.0161"},{"id":17,"name":"Train ID","value":"232-24"},{"id":16,"name":"Locomotive ID","value":"4027"},{"id":130,"name":"Impact","value":""},{"id":150,"name":"Time of Event (Mountain Time)","value":"23:04:49"},{"id":151,"name":"Denver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23"/>
        <v>start /low /b %USERPROFILE%\Documents\GitHub\eaglep3\Utilities\DownloadLogsFromS3.py --loco 4027 --day 2017-10-24</v>
      </c>
      <c r="AN144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05:04:49"},{"id":29,"name":"Sharepoint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25"/>
        <v>https://d0f6bd738d7f1b3e5a7ca70fe4ff75f0.us-east-1.aws.found.io/app/kibana#/discover/Steve-Slow-Train-Analysis-(2080s-and-2083s)?_g=(refreshInterval:(display:Off,pause:!f,section:0,value:0),time:(from:'2017-10-24T21:21:34-0600',mode:absolute,to:'2017-10-25T00:04:49-0600'))&amp;_a=(columns:!('Message%20ID',Summary),filters:!(),index:'emp_*',interval:auto,query:(query_string:(analyze_wildcard:!t,query:'%22rtdc.l.rtdc.4027%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872</v>
      </c>
      <c r="B145" s="7">
        <v>4026</v>
      </c>
      <c r="C145" s="21" t="s">
        <v>194</v>
      </c>
      <c r="D145" s="21" t="s">
        <v>953</v>
      </c>
      <c r="E145" s="13">
        <v>43032.913217592592</v>
      </c>
      <c r="F145" s="13">
        <v>43032.916944444441</v>
      </c>
      <c r="G145" s="7">
        <v>98</v>
      </c>
      <c r="H145" s="21" t="s">
        <v>562</v>
      </c>
      <c r="I145" s="13">
        <v>43032.941516203704</v>
      </c>
      <c r="J145" s="7">
        <v>0</v>
      </c>
      <c r="K145" s="89" t="str">
        <f>IF(ISEVEN(B145),(B145-1)&amp;"/"&amp;B145,B145&amp;"/"&amp;(B145+1))</f>
        <v>4025/4026</v>
      </c>
      <c r="L145" s="185" t="str">
        <f>VLOOKUP(A145,'Trips&amp;Operators'!$C$1:$G$99911,5,FALSE)</f>
        <v>MAGEE KENYA</v>
      </c>
      <c r="M145" s="6">
        <f>I145-F145</f>
        <v>2.457175926247146E-2</v>
      </c>
      <c r="N145" s="7">
        <f>24*60*SUM($M145:$M145)</f>
        <v>35.383333337958902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-24T20:55:02-0600',mode:absolute,to:'2017-10-24T23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5.1700000000000003E-2</v>
      </c>
      <c r="Z145" s="204">
        <f>RIGHT(H145,LEN(H145)-4)/10000</f>
        <v>23.3323</v>
      </c>
      <c r="AA145" s="204">
        <f>ABS(Z145-Y145)</f>
        <v>23.2806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/stypes="app*4026*20171025*"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1"/>
        <v>"%USERPROFILE%\Documents\GitHub\eaglep3\Utilities\RefineRTDCRunTimes.py" --tripid 233-24 --locoid 4026 --swversion DE.1.0.9.0 --startMP 204:517 --initTime 2017-10-24T21:55:02 --startdatetime 2017-10-24T22:00:24 --delay 98 --endMP 204:233323 --enddatetime 2017-10-24T22:35:47 --enforcementcount 0 &gt;&gt;%USERPROFILE%\Documents\GitHub\eaglep3-reporting\EC\2017-10-24-refined-times.txt</v>
      </c>
      <c r="AI145" s="96" t="str">
        <f t="shared" si="22"/>
        <v>echo {"issue":{"subject":"","project_id":79,"tracker_id":40,"status_id":1,"priority_id":2,"assigned_to_id":338,"start_date":"2017-10-24","description":"","custom_fields":[{"id":1,"name":"Subdivision","value":"EC"},{"id":4,"name":"Milepost","value":"23.3323"},{"id":17,"name":"Train ID","value":"233-24"},{"id":16,"name":"Locomotive ID","value":"4026"},{"id":130,"name":"Impact","value":""},{"id":150,"name":"Time of Event (Mountain Time)","value":"22:35:47"},{"id":151,"name":"Denver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3"/>
        <v>start /low /b %USERPROFILE%\Documents\GitHub\eaglep3\Utilities\DownloadLogsFromS3.py --loco 4026 --day 2017-10-24</v>
      </c>
      <c r="AN145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25"/>
        <v>https://d0f6bd738d7f1b3e5a7ca70fe4ff75f0.us-east-1.aws.found.io/app/kibana#/discover/Steve-Slow-Train-Analysis-(2080s-and-2083s)?_g=(refreshInterval:(display:Off,pause:!f,section:0,value:0),time:(from:'2017-10-24T20:55:02-0600',mode:absolute,to:'2017-10-24T23:35:47-0600'))&amp;_a=(columns:!('Message%20ID',Summary),filters:!(),index:'emp_*',interval:auto,query:(query_string:(analyze_wildcard:!t,query:'%22rtdc.l.rtdc.4026%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673</v>
      </c>
      <c r="B146" s="7">
        <v>4025</v>
      </c>
      <c r="C146" s="21" t="s">
        <v>194</v>
      </c>
      <c r="D146" s="21" t="s">
        <v>557</v>
      </c>
      <c r="E146" s="13">
        <v>43032.951469907406</v>
      </c>
      <c r="F146" s="13">
        <v>43032.956446759257</v>
      </c>
      <c r="G146" s="7">
        <v>159</v>
      </c>
      <c r="H146" s="21" t="s">
        <v>954</v>
      </c>
      <c r="I146" s="13">
        <v>43032.985567129632</v>
      </c>
      <c r="J146" s="7">
        <v>0</v>
      </c>
      <c r="K146" s="89" t="str">
        <f>IF(ISEVEN(B146),(B146-1)&amp;"/"&amp;B146,B146&amp;"/"&amp;(B146+1))</f>
        <v>4025/4026</v>
      </c>
      <c r="L146" s="185" t="str">
        <f>VLOOKUP(A146,'Trips&amp;Operators'!$C$1:$G$99911,5,FALSE)</f>
        <v>MAGEE KENYA</v>
      </c>
      <c r="M146" s="6">
        <f>I146-F146</f>
        <v>2.9120370374585036E-2</v>
      </c>
      <c r="N146" s="7">
        <f>24*60*SUM($M146:$M146)</f>
        <v>41.933333339402452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-24T21:50:07-0600',mode:absolute,to:'2017-10-25T00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23.301100000000002</v>
      </c>
      <c r="Z146" s="204">
        <f>RIGHT(H146,LEN(H146)-4)/10000</f>
        <v>2.29E-2</v>
      </c>
      <c r="AA146" s="204">
        <f>ABS(Z146-Y146)</f>
        <v>23.278200000000002</v>
      </c>
      <c r="AB146" s="54" t="str">
        <f>VLOOKUP(A146,Enforcements!$C$7:$K$11,8,0)</f>
        <v>Signal based authority (5)</v>
      </c>
      <c r="AC146" s="51" t="str">
        <f>VLOOKUP(A146,Enforcements!$C$7:$E$11,3,0)</f>
        <v>SIGNAL</v>
      </c>
      <c r="AD146" s="179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/stypes="app*4025*20171025*"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1"/>
        <v>"%USERPROFILE%\Documents\GitHub\eaglep3\Utilities\RefineRTDCRunTimes.py" --tripid 234-24 --locoid 4025 --swversion DE.1.0.9.0 --startMP 204:233011 --initTime 2017-10-24T22:50:07 --startdatetime 2017-10-24T22:57:17 --delay 159 --endMP 204:229 --enddatetime 2017-10-24T23:39:13 --enforcementcount 0 &gt;&gt;%USERPROFILE%\Documents\GitHub\eaglep3-reporting\EC\2017-10-24-refined-times.txt</v>
      </c>
      <c r="AI146" s="96" t="str">
        <f t="shared" si="22"/>
        <v>echo {"issue":{"subject":"","project_id":79,"tracker_id":40,"status_id":1,"priority_id":2,"assigned_to_id":338,"start_date":"2017-10-24","description":"","custom_fields":[{"id":1,"name":"Subdivision","value":"EC"},{"id":4,"name":"Milepost","value":"0.0229"},{"id":17,"name":"Train ID","value":"234-24"},{"id":16,"name":"Locomotive ID","value":"4025"},{"id":130,"name":"Impact","value":""},{"id":150,"name":"Time of Event (Mountain Time)","value":"23:39:13"},{"id":151,"name":"Denver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3"/>
        <v>start /low /b %USERPROFILE%\Documents\GitHub\eaglep3\Utilities\DownloadLogsFromS3.py --loco 4025 --day 2017-10-24</v>
      </c>
      <c r="AN14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05:39:13"},{"id":29,"name":"Sharepoint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25"/>
        <v>https://d0f6bd738d7f1b3e5a7ca70fe4ff75f0.us-east-1.aws.found.io/app/kibana#/discover/Steve-Slow-Train-Analysis-(2080s-and-2083s)?_g=(refreshInterval:(display:Off,pause:!f,section:0,value:0),time:(from:'2017-10-24T21:50:07-0600',mode:absolute,to:'2017-10-25T00:39:13-0600'))&amp;_a=(columns:!('Message%20ID',Summary),filters:!(),index:'emp_*',interval:auto,query:(query_string:(analyze_wildcard:!t,query:'%22rtdc.l.rtdc.4025%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874</v>
      </c>
      <c r="B147" s="7">
        <v>4060</v>
      </c>
      <c r="C147" s="21" t="s">
        <v>194</v>
      </c>
      <c r="D147" s="21" t="s">
        <v>955</v>
      </c>
      <c r="E147" s="13">
        <v>43032.922395833331</v>
      </c>
      <c r="F147" s="13">
        <v>43032.937731481485</v>
      </c>
      <c r="G147" s="7">
        <v>70</v>
      </c>
      <c r="H147" s="21" t="s">
        <v>956</v>
      </c>
      <c r="I147" s="13">
        <v>43032.963055555556</v>
      </c>
      <c r="J147" s="7">
        <v>0</v>
      </c>
      <c r="K147" s="89" t="str">
        <f>IF(ISEVEN(B147),(B147-1)&amp;"/"&amp;B147,B147&amp;"/"&amp;(B147+1))</f>
        <v>4059/4060</v>
      </c>
      <c r="L147" s="185" t="str">
        <f>VLOOKUP(A147,'Trips&amp;Operators'!$C$1:$G$99911,5,FALSE)</f>
        <v>ANDERS STEVEN</v>
      </c>
      <c r="M147" s="6">
        <f>I147-F147</f>
        <v>2.5324074071249925E-2</v>
      </c>
      <c r="N147" s="7">
        <f>24*60*SUM($M147:$M147)</f>
        <v>36.466666662599891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-24T21:08:15-0600',mode:absolute,to:'2017-10-25T00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5.8200000000000002E-2</v>
      </c>
      <c r="Z147" s="204">
        <f>RIGHT(H147,LEN(H147)-4)/10000</f>
        <v>23.318100000000001</v>
      </c>
      <c r="AA147" s="204">
        <f>ABS(Z147-Y147)</f>
        <v>23.259900000000002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 &amp; 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/stypes="app*4060*20171025*"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1"/>
        <v>"%USERPROFILE%\Documents\GitHub\eaglep3\Utilities\RefineRTDCRunTimes.py" --tripid 235-24 --locoid 4060 --swversion DE.1.0.9.0 --startMP 204:582 --initTime 2017-10-24T22:08:15 --startdatetime 2017-10-24T22:30:20 --delay 70 --endMP 204:233181 --enddatetime 2017-10-24T23:06:48 --enforcementcount 0 &gt;&gt;%USERPROFILE%\Documents\GitHub\eaglep3-reporting\EC\2017-10-24-refined-times.txt</v>
      </c>
      <c r="AI147" s="96" t="str">
        <f t="shared" si="22"/>
        <v>echo {"issue":{"subject":"","project_id":79,"tracker_id":40,"status_id":1,"priority_id":2,"assigned_to_id":338,"start_date":"2017-10-24","description":"","custom_fields":[{"id":1,"name":"Subdivision","value":"EC"},{"id":4,"name":"Milepost","value":"23.3181"},{"id":17,"name":"Train ID","value":"235-24"},{"id":16,"name":"Locomotive ID","value":"4060"},{"id":130,"name":"Impact","value":""},{"id":150,"name":"Time of Event (Mountain Time)","value":"23:06:48"},{"id":151,"name":"Denver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3"/>
        <v>start /low /b %USERPROFILE%\Documents\GitHub\eaglep3\Utilities\DownloadLogsFromS3.py --loco 4060 --day 2017-10-24</v>
      </c>
      <c r="AN14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05:06:48"},{"id":29,"name":"Sharepoint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25"/>
        <v>https://d0f6bd738d7f1b3e5a7ca70fe4ff75f0.us-east-1.aws.found.io/app/kibana#/discover/Steve-Slow-Train-Analysis-(2080s-and-2083s)?_g=(refreshInterval:(display:Off,pause:!f,section:0,value:0),time:(from:'2017-10-24T21:08:15-0600',mode:absolute,to:'2017-10-25T00:06:48-0600'))&amp;_a=(columns:!('Message%20ID',Summary),filters:!(),index:'emp_*',interval:auto,query:(query_string:(analyze_wildcard:!t,query:'%22rtdc.l.rtdc.4060%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880</v>
      </c>
      <c r="B148" s="7">
        <v>4059</v>
      </c>
      <c r="C148" s="21" t="s">
        <v>194</v>
      </c>
      <c r="D148" s="21" t="s">
        <v>957</v>
      </c>
      <c r="E148" s="13">
        <v>43032.967731481483</v>
      </c>
      <c r="F148" s="13">
        <v>43032.977511574078</v>
      </c>
      <c r="G148" s="7">
        <v>66</v>
      </c>
      <c r="H148" s="21" t="s">
        <v>946</v>
      </c>
      <c r="I148" s="13">
        <v>43033.004247685189</v>
      </c>
      <c r="J148" s="7">
        <v>0</v>
      </c>
      <c r="K148" s="89" t="str">
        <f>IF(ISEVEN(B148),(B148-1)&amp;"/"&amp;B148,B148&amp;"/"&amp;(B148+1))</f>
        <v>4059/4060</v>
      </c>
      <c r="L148" s="185" t="str">
        <f>VLOOKUP(A148,'Trips&amp;Operators'!$C$1:$G$99911,5,FALSE)</f>
        <v>ANDERS STEVEN</v>
      </c>
      <c r="M148" s="6">
        <f>I148-F148</f>
        <v>2.6736111110949423E-2</v>
      </c>
      <c r="N148" s="7">
        <f>24*60*SUM($M148:$M148)</f>
        <v>38.499999999767169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-24T22:13:32-0600',mode:absolute,to:'2017-10-25T01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23.286799999999999</v>
      </c>
      <c r="Z148" s="204">
        <f>RIGHT(H148,LEN(H148)-4)/10000</f>
        <v>2.2700000000000001E-2</v>
      </c>
      <c r="AA148" s="204">
        <f>ABS(Z148-Y148)</f>
        <v>23.264099999999999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/stypes="app*4059*20171025*"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21"/>
        <v>"%USERPROFILE%\Documents\GitHub\eaglep3\Utilities\RefineRTDCRunTimes.py" --tripid 236-24 --locoid 4059 --swversion DE.1.0.9.0 --startMP 204:232868 --initTime 2017-10-24T23:13:32 --startdatetime 2017-10-24T23:27:37 --delay 66 --endMP 204:227 --enddatetime 2017-10-25T00:06:07 --enforcementcount 0 &gt;&gt;%USERPROFILE%\Documents\GitHub\eaglep3-reporting\EC\2017-10-24-refined-times.txt</v>
      </c>
      <c r="AI148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{"issue":{"subject":"","project_id":79,"tracker_id":40,"status_id":1,"priority_id":2,"assigned_to_id":338,"start_date":"2017-10-25","description":"","custom_fields":[{"id":1,"name":"Subdivision","value":"EC"},{"id":4,"name":"Milepost","value":"0.0227"},{"id":17,"name":"Train ID","value":"236-24"},{"id":16,"name":"Locomotive ID","value":"4059"},{"id":130,"name":"Impact","value":""},{"id":150,"name":"Time of Event (Mountain Time)","value":"00:06:07"},{"id":151,"name":"Denver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23"/>
        <v>start /low /b %USERPROFILE%\Documents\GitHub\eaglep3\Utilities\DownloadLogsFromS3.py --loco 4059 --day 2017-10-24</v>
      </c>
      <c r="AN148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06:06:07"},{"id":29,"name":"Sharepoint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25"/>
        <v>https://d0f6bd738d7f1b3e5a7ca70fe4ff75f0.us-east-1.aws.found.io/app/kibana#/discover/Steve-Slow-Train-Analysis-(2080s-and-2083s)?_g=(refreshInterval:(display:Off,pause:!f,section:0,value:0),time:(from:'2017-10-24T22:13:32-0600',mode:absolute,to:'2017-10-25T01:06:07-0600'))&amp;_a=(columns:!('Message%20ID',Summary),filters:!(),index:'emp_*',interval:auto,query:(query_string:(analyze_wildcard:!t,query:'%22rtdc.l.rtdc.4059%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876</v>
      </c>
      <c r="B149" s="7">
        <v>4016</v>
      </c>
      <c r="C149" s="21" t="s">
        <v>194</v>
      </c>
      <c r="D149" s="21" t="s">
        <v>453</v>
      </c>
      <c r="E149" s="13">
        <v>43032.942847222221</v>
      </c>
      <c r="F149" s="13">
        <v>43032.958506944444</v>
      </c>
      <c r="G149" s="7">
        <v>62</v>
      </c>
      <c r="H149" s="21" t="s">
        <v>451</v>
      </c>
      <c r="I149" s="13">
        <v>43032.984224537038</v>
      </c>
      <c r="J149" s="7">
        <v>0</v>
      </c>
      <c r="K149" s="89" t="str">
        <f>IF(ISEVEN(B149),(B149-1)&amp;"/"&amp;B149,B149&amp;"/"&amp;(B149+1))</f>
        <v>4015/4016</v>
      </c>
      <c r="L149" s="185" t="str">
        <f>VLOOKUP(A149,'Trips&amp;Operators'!$C$1:$G$99911,5,FALSE)</f>
        <v>GUNTHIER ERIC</v>
      </c>
      <c r="M149" s="6">
        <f>I149-F149</f>
        <v>2.5717592594446614E-2</v>
      </c>
      <c r="N149" s="7">
        <f>24*60*SUM($M149:$M149)</f>
        <v>37.033333336003125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-24T21:37:42-0600',mode:absolute,to:'2017-10-25T00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4.8399999999999999E-2</v>
      </c>
      <c r="Z149" s="204">
        <f>RIGHT(H149,LEN(H149)-4)/10000</f>
        <v>23.3308</v>
      </c>
      <c r="AA149" s="204">
        <f>ABS(Z149-Y149)</f>
        <v>23.282399999999999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 &amp; 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/stypes="app*4016*20171025*"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1"/>
        <v>"%USERPROFILE%\Documents\GitHub\eaglep3\Utilities\RefineRTDCRunTimes.py" --tripid 237-24 --locoid 4016 --swversion DE.1.0.9.0 --startMP 204:484 --initTime 2017-10-24T22:37:42 --startdatetime 2017-10-24T23:00:15 --delay 62 --endMP 204:233308 --enddatetime 2017-10-24T23:37:17 --enforcementcount 0 &gt;&gt;%USERPROFILE%\Documents\GitHub\eaglep3-reporting\EC\2017-10-24-refined-times.txt</v>
      </c>
      <c r="AI149" s="96" t="str">
        <f t="shared" si="22"/>
        <v>echo {"issue":{"subject":"","project_id":79,"tracker_id":40,"status_id":1,"priority_id":2,"assigned_to_id":338,"start_date":"2017-10-24","description":"","custom_fields":[{"id":1,"name":"Subdivision","value":"EC"},{"id":4,"name":"Milepost","value":"23.3308"},{"id":17,"name":"Train ID","value":"237-24"},{"id":16,"name":"Locomotive ID","value":"4016"},{"id":130,"name":"Impact","value":""},{"id":150,"name":"Time of Event (Mountain Time)","value":"23:37:17"},{"id":151,"name":"Denver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3"/>
        <v>start /low /b %USERPROFILE%\Documents\GitHub\eaglep3\Utilities\DownloadLogsFromS3.py --loco 4016 --day 2017-10-24</v>
      </c>
      <c r="AN14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25"/>
        <v>https://d0f6bd738d7f1b3e5a7ca70fe4ff75f0.us-east-1.aws.found.io/app/kibana#/discover/Steve-Slow-Train-Analysis-(2080s-and-2083s)?_g=(refreshInterval:(display:Off,pause:!f,section:0,value:0),time:(from:'2017-10-24T21:37:42-0600',mode:absolute,to:'2017-10-25T00:37:17-0600'))&amp;_a=(columns:!('Message%20ID',Summary),filters:!(),index:'emp_*',interval:auto,query:(query_string:(analyze_wildcard:!t,query:'%22rtdc.l.rtdc.4016%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882</v>
      </c>
      <c r="B150" s="7">
        <v>4015</v>
      </c>
      <c r="C150" s="21" t="s">
        <v>194</v>
      </c>
      <c r="D150" s="21" t="s">
        <v>958</v>
      </c>
      <c r="E150" s="13">
        <v>43032.986192129632</v>
      </c>
      <c r="F150" s="13">
        <v>43032.998078703706</v>
      </c>
      <c r="G150" s="7">
        <v>67</v>
      </c>
      <c r="H150" s="21" t="s">
        <v>959</v>
      </c>
      <c r="I150" s="13">
        <v>43033.024421296293</v>
      </c>
      <c r="J150" s="7">
        <v>0</v>
      </c>
      <c r="K150" s="89" t="str">
        <f>IF(ISEVEN(B150),(B150-1)&amp;"/"&amp;B150,B150&amp;"/"&amp;(B150+1))</f>
        <v>4015/4016</v>
      </c>
      <c r="L150" s="185" t="str">
        <f>VLOOKUP(A150,'Trips&amp;Operators'!$C$1:$G$99911,5,FALSE)</f>
        <v>GUNTHIER ERIC</v>
      </c>
      <c r="M150" s="6">
        <f>I150-F150</f>
        <v>2.6342592587752733E-2</v>
      </c>
      <c r="N150" s="7">
        <f>24*60*SUM($M150:$M150)</f>
        <v>37.933333326363936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-24T22:40:07-0600',mode:absolute,to:'2017-10-25T01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23.2987</v>
      </c>
      <c r="Z150" s="204">
        <f>RIGHT(H150,LEN(H150)-4)/10000</f>
        <v>2.58E-2</v>
      </c>
      <c r="AA150" s="204">
        <f>ABS(Z150-Y150)</f>
        <v>23.2729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/stypes="app*4015*20171025*"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1"/>
        <v>"%USERPROFILE%\Documents\GitHub\eaglep3\Utilities\RefineRTDCRunTimes.py" --tripid 238-24 --locoid 4015 --swversion DE.1.0.9.0 --startMP 204:232987 --initTime 2017-10-24T23:40:07 --startdatetime 2017-10-24T23:57:14 --delay 67 --endMP 204:258 --enddatetime 2017-10-25T00:35:10 --enforcementcount 0 &gt;&gt;%USERPROFILE%\Documents\GitHub\eaglep3-reporting\EC\2017-10-24-refined-times.txt</v>
      </c>
      <c r="AI150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{"issue":{"subject":"","project_id":79,"tracker_id":40,"status_id":1,"priority_id":2,"assigned_to_id":338,"start_date":"2017-10-25","description":"","custom_fields":[{"id":1,"name":"Subdivision","value":"EC"},{"id":4,"name":"Milepost","value":"0.0258"},{"id":17,"name":"Train ID","value":"238-24"},{"id":16,"name":"Locomotive ID","value":"4015"},{"id":130,"name":"Impact","value":""},{"id":150,"name":"Time of Event (Mountain Time)","value":"00:35:10"},{"id":151,"name":"Denver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3"/>
        <v>start /low /b %USERPROFILE%\Documents\GitHub\eaglep3\Utilities\DownloadLogsFromS3.py --loco 4015 --day 2017-10-24</v>
      </c>
      <c r="AN150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25"/>
        <v>https://d0f6bd738d7f1b3e5a7ca70fe4ff75f0.us-east-1.aws.found.io/app/kibana#/discover/Steve-Slow-Train-Analysis-(2080s-and-2083s)?_g=(refreshInterval:(display:Off,pause:!f,section:0,value:0),time:(from:'2017-10-24T22:40:07-0600',mode:absolute,to:'2017-10-25T01:35:10-0600'))&amp;_a=(columns:!('Message%20ID',Summary),filters:!(),index:'emp_*',interval:auto,query:(query_string:(analyze_wildcard:!t,query:'%22rtdc.l.rtdc.4015%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879</v>
      </c>
      <c r="B151" s="7">
        <v>4028</v>
      </c>
      <c r="C151" s="21" t="s">
        <v>194</v>
      </c>
      <c r="D151" s="21" t="s">
        <v>453</v>
      </c>
      <c r="E151" s="13">
        <v>43032.964270833334</v>
      </c>
      <c r="F151" s="13">
        <v>43032.979351851849</v>
      </c>
      <c r="G151" s="7">
        <v>61</v>
      </c>
      <c r="H151" s="21" t="s">
        <v>563</v>
      </c>
      <c r="I151" s="13">
        <v>43033.003425925926</v>
      </c>
      <c r="J151" s="7">
        <v>0</v>
      </c>
      <c r="K151" s="89" t="str">
        <f>IF(ISEVEN(B151),(B151-1)&amp;"/"&amp;B151,B151&amp;"/"&amp;(B151+1))</f>
        <v>4027/4028</v>
      </c>
      <c r="L151" s="185" t="str">
        <f>VLOOKUP(A151,'Trips&amp;Operators'!$C$1:$G$99911,5,FALSE)</f>
        <v>LOZA FIDEL</v>
      </c>
      <c r="M151" s="6">
        <f>I151-F151</f>
        <v>2.4074074077361729E-2</v>
      </c>
      <c r="N151" s="7">
        <f>24*60*SUM($M151:$M151)</f>
        <v>34.66666667140089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-24T22:08:33-0600',mode:absolute,to:'2017-10-25T01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4.8399999999999999E-2</v>
      </c>
      <c r="Z151" s="204">
        <f>RIGHT(H151,LEN(H151)-4)/10000</f>
        <v>23.3325</v>
      </c>
      <c r="AA151" s="204">
        <f>ABS(Z151-Y151)</f>
        <v>23.284099999999999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/stypes="app*4028*20171025*"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21"/>
        <v>"%USERPROFILE%\Documents\GitHub\eaglep3\Utilities\RefineRTDCRunTimes.py" --tripid 239-24 --locoid 4028 --swversion DE.1.0.9.0 --startMP 204:484 --initTime 2017-10-24T23:08:33 --startdatetime 2017-10-24T23:30:16 --delay 61 --endMP 204:233325 --enddatetime 2017-10-25T00:04:56 --enforcementcount 0 &gt;&gt;%USERPROFILE%\Documents\GitHub\eaglep3-reporting\EC\2017-10-24-refined-times.txt</v>
      </c>
      <c r="AI151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{"issue":{"subject":"","project_id":79,"tracker_id":40,"status_id":1,"priority_id":2,"assigned_to_id":338,"start_date":"2017-10-25","description":"","custom_fields":[{"id":1,"name":"Subdivision","value":"EC"},{"id":4,"name":"Milepost","value":"23.3325"},{"id":17,"name":"Train ID","value":"239-24"},{"id":16,"name":"Locomotive ID","value":"4028"},{"id":130,"name":"Impact","value":""},{"id":150,"name":"Time of Event (Mountain Time)","value":"00:04:56"},{"id":151,"name":"Denver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23"/>
        <v>start /low /b %USERPROFILE%\Documents\GitHub\eaglep3\Utilities\DownloadLogsFromS3.py --loco 4028 --day 2017-10-24</v>
      </c>
      <c r="AN151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06:04:56"},{"id":29,"name":"Sharepoint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25"/>
        <v>https://d0f6bd738d7f1b3e5a7ca70fe4ff75f0.us-east-1.aws.found.io/app/kibana#/discover/Steve-Slow-Train-Analysis-(2080s-and-2083s)?_g=(refreshInterval:(display:Off,pause:!f,section:0,value:0),time:(from:'2017-10-24T22:08:33-0600',mode:absolute,to:'2017-10-25T01:04:56-0600'))&amp;_a=(columns:!('Message%20ID',Summary),filters:!(),index:'emp_*',interval:auto,query:(query_string:(analyze_wildcard:!t,query:'%22rtdc.l.rtdc.4028%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885</v>
      </c>
      <c r="B152" s="7">
        <v>4027</v>
      </c>
      <c r="C152" s="21" t="s">
        <v>194</v>
      </c>
      <c r="D152" s="21" t="s">
        <v>920</v>
      </c>
      <c r="E152" s="13">
        <v>43033.016053240739</v>
      </c>
      <c r="F152" s="13">
        <v>43033.018969907411</v>
      </c>
      <c r="G152" s="7">
        <v>77</v>
      </c>
      <c r="H152" s="21" t="s">
        <v>960</v>
      </c>
      <c r="I152" s="13">
        <v>43033.044548611113</v>
      </c>
      <c r="J152" s="7">
        <v>0</v>
      </c>
      <c r="K152" s="89" t="str">
        <f>IF(ISEVEN(B152),(B152-1)&amp;"/"&amp;B152,B152&amp;"/"&amp;(B152+1))</f>
        <v>4027/4028</v>
      </c>
      <c r="L152" s="185" t="str">
        <f>VLOOKUP(A152,'Trips&amp;Operators'!$C$1:$G$99911,5,FALSE)</f>
        <v>LOZA FIDEL</v>
      </c>
      <c r="M152" s="6">
        <f>I152-F152</f>
        <v>2.5578703702194616E-2</v>
      </c>
      <c r="N152" s="7">
        <f>24*60*SUM($M152:$M152)</f>
        <v>36.833333331160247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-24T23:23:07-0600',mode:absolute,to:'2017-10-25T02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23.3</v>
      </c>
      <c r="Z152" s="204">
        <f>RIGHT(H152,LEN(H152)-4)/10000</f>
        <v>1.6400000000000001E-2</v>
      </c>
      <c r="AA152" s="204">
        <f>ABS(Z152-Y152)</f>
        <v>23.2836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 &amp; 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/stypes="app*4027*20171025*"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1"/>
        <v>"%USERPROFILE%\Documents\GitHub\eaglep3\Utilities\RefineRTDCRunTimes.py" --tripid 240-24 --locoid 4027 --swversion DE.1.0.9.0 --startMP 204:233000 --initTime 2017-10-25T00:23:07 --startdatetime 2017-10-25T00:27:19 --delay 77 --endMP 204:164 --enddatetime 2017-10-25T01:04:09 --enforcementcount 0 &gt;&gt;%USERPROFILE%\Documents\GitHub\eaglep3-reporting\EC\2017-10-24-refined-times.txt</v>
      </c>
      <c r="AI152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{"issue":{"subject":"","project_id":79,"tracker_id":40,"status_id":1,"priority_id":2,"assigned_to_id":338,"start_date":"2017-10-25","description":"","custom_fields":[{"id":1,"name":"Subdivision","value":"EC"},{"id":4,"name":"Milepost","value":"0.0164"},{"id":17,"name":"Train ID","value":"240-24"},{"id":16,"name":"Locomotive ID","value":"4027"},{"id":130,"name":"Impact","value":""},{"id":150,"name":"Time of Event (Mountain Time)","value":"01:04:09"},{"id":151,"name":"Denver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3"/>
        <v>start /low /b %USERPROFILE%\Documents\GitHub\eaglep3\Utilities\DownloadLogsFromS3.py --loco 4027 --day 2017-10-25</v>
      </c>
      <c r="AN152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07:04:09"},{"id":29,"name":"Sharepoint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25"/>
        <v>https://d0f6bd738d7f1b3e5a7ca70fe4ff75f0.us-east-1.aws.found.io/app/kibana#/discover/Steve-Slow-Train-Analysis-(2080s-and-2083s)?_g=(refreshInterval:(display:Off,pause:!f,section:0,value:0),time:(from:'2017-10-24T23:23:07-0600',mode:absolute,to:'2017-10-25T02:04:09-0600'))&amp;_a=(columns:!('Message%20ID',Summary),filters:!(),index:'emp_*',interval:auto,query:(query_string:(analyze_wildcard:!t,query:'%22rtdc.l.rtdc.4027%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883</v>
      </c>
      <c r="B153" s="7">
        <v>4026</v>
      </c>
      <c r="C153" s="21" t="s">
        <v>194</v>
      </c>
      <c r="D153" s="21" t="s">
        <v>961</v>
      </c>
      <c r="E153" s="13">
        <v>43032.99082175926</v>
      </c>
      <c r="F153" s="13">
        <v>43033.000243055554</v>
      </c>
      <c r="G153" s="7">
        <v>56</v>
      </c>
      <c r="H153" s="21" t="s">
        <v>903</v>
      </c>
      <c r="I153" s="13">
        <v>43033.024780092594</v>
      </c>
      <c r="J153" s="7">
        <v>0</v>
      </c>
      <c r="K153" s="89" t="str">
        <f>IF(ISEVEN(B153),(B153-1)&amp;"/"&amp;B153,B153&amp;"/"&amp;(B153+1))</f>
        <v>4025/4026</v>
      </c>
      <c r="L153" s="185" t="str">
        <f>VLOOKUP(A153,'Trips&amp;Operators'!$C$1:$G$99911,5,FALSE)</f>
        <v>MAGEE KENYA</v>
      </c>
      <c r="M153" s="6">
        <f>I153-F153</f>
        <v>2.453703703940846E-2</v>
      </c>
      <c r="N153" s="7">
        <f>24*60*SUM($M153:$M153)</f>
        <v>35.333333336748183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-24T22:46:47-0600',mode:absolute,to:'2017-10-25T01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5.2600000000000001E-2</v>
      </c>
      <c r="Z153" s="204">
        <f>RIGHT(H153,LEN(H153)-4)/10000</f>
        <v>23.328499999999998</v>
      </c>
      <c r="AA153" s="204">
        <f>ABS(Z153-Y153)</f>
        <v>23.275899999999996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 &amp; 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/stypes="app*4026*20171025*"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1"/>
        <v>"%USERPROFILE%\Documents\GitHub\eaglep3\Utilities\RefineRTDCRunTimes.py" --tripid 241-24 --locoid 4026 --swversion DE.1.0.9.0 --startMP 204:526 --initTime 2017-10-24T23:46:47 --startdatetime 2017-10-25T00:00:21 --delay 56 --endMP 204:233285 --enddatetime 2017-10-25T00:35:41 --enforcementcount 0 &gt;&gt;%USERPROFILE%\Documents\GitHub\eaglep3-reporting\EC\2017-10-24-refined-times.txt</v>
      </c>
      <c r="AI153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{"issue":{"subject":"","project_id":79,"tracker_id":40,"status_id":1,"priority_id":2,"assigned_to_id":338,"start_date":"2017-10-25","description":"","custom_fields":[{"id":1,"name":"Subdivision","value":"EC"},{"id":4,"name":"Milepost","value":"23.3285"},{"id":17,"name":"Train ID","value":"241-24"},{"id":16,"name":"Locomotive ID","value":"4026"},{"id":130,"name":"Impact","value":""},{"id":150,"name":"Time of Event (Mountain Time)","value":"00:35:41"},{"id":151,"name":"Denver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23"/>
        <v>start /low /b %USERPROFILE%\Documents\GitHub\eaglep3\Utilities\DownloadLogsFromS3.py --loco 4026 --day 2017-10-25</v>
      </c>
      <c r="AN153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06:35:41"},{"id":29,"name":"Sharepoint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25"/>
        <v>https://d0f6bd738d7f1b3e5a7ca70fe4ff75f0.us-east-1.aws.found.io/app/kibana#/discover/Steve-Slow-Train-Analysis-(2080s-and-2083s)?_g=(refreshInterval:(display:Off,pause:!f,section:0,value:0),time:(from:'2017-10-24T22:46:47-0600',mode:absolute,to:'2017-10-25T01:35:41-0600'))&amp;_a=(columns:!('Message%20ID',Summary),filters:!(),index:'emp_*',interval:auto,query:(query_string:(analyze_wildcard:!t,query:'%22rtdc.l.rtdc.4026%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887</v>
      </c>
      <c r="B154" s="7">
        <v>4025</v>
      </c>
      <c r="C154" s="21" t="s">
        <v>194</v>
      </c>
      <c r="D154" s="21" t="s">
        <v>395</v>
      </c>
      <c r="E154" s="13">
        <v>43033.028738425928</v>
      </c>
      <c r="F154" s="13">
        <v>43033.03974537037</v>
      </c>
      <c r="G154" s="7">
        <v>152</v>
      </c>
      <c r="H154" s="21" t="s">
        <v>605</v>
      </c>
      <c r="I154" s="13">
        <v>43033.067060185182</v>
      </c>
      <c r="J154" s="7">
        <v>0</v>
      </c>
      <c r="K154" s="89" t="str">
        <f>IF(ISEVEN(B154),(B154-1)&amp;"/"&amp;B154,B154&amp;"/"&amp;(B154+1))</f>
        <v>4025/4026</v>
      </c>
      <c r="L154" s="185" t="str">
        <f>VLOOKUP(A154,'Trips&amp;Operators'!$C$1:$G$99911,5,FALSE)</f>
        <v>MAGEE KENYA</v>
      </c>
      <c r="M154" s="6">
        <f>I154-F154</f>
        <v>2.7314814811688848E-2</v>
      </c>
      <c r="N154" s="7"/>
      <c r="O154" s="7"/>
      <c r="P154" s="7"/>
      <c r="Q154" s="22"/>
      <c r="R154" s="174"/>
      <c r="S154" s="221"/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0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-24T23:41:23-0600',mode:absolute,to:'2017-10-25T02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4" s="204" t="str">
        <f>IF(AA154&lt;VLOOKUP(AG154,Variables!$AC$3:$AD$8,2,FALSE),"Y","N")</f>
        <v>Y</v>
      </c>
      <c r="X154" s="204">
        <f>VALUE(LEFT(AD154,4))-VALUE(LEFT(AD153,4))</f>
        <v>1</v>
      </c>
      <c r="Y154" s="204">
        <f>RIGHT(D154,LEN(D154)-4)/10000</f>
        <v>23.298500000000001</v>
      </c>
      <c r="Z154" s="204">
        <f>RIGHT(H154,LEN(H154)-4)/10000</f>
        <v>23.298300000000001</v>
      </c>
      <c r="AA154" s="204">
        <f>ABS(Z154-Y154)</f>
        <v>1.9999999999953388E-4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 &amp; 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/stypes="app*4025*20171025*"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1"/>
        <v>"%USERPROFILE%\Documents\GitHub\eaglep3\Utilities\RefineRTDCRunTimes.py" --tripid 242-24 --locoid 4025 --swversion DE.1.0.9.0 --startMP 204:232985 --initTime 2017-10-25T00:41:23 --startdatetime 2017-10-25T00:57:14 --delay 152 --endMP 204:232983 --enddatetime 2017-10-25T01:36:34 --enforcementcount 0 &gt;&gt;%USERPROFILE%\Documents\GitHub\eaglep3-reporting\EC\2017-10-24-refined-times.txt</v>
      </c>
      <c r="AI154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{"issue":{"subject":"","project_id":79,"tracker_id":40,"status_id":1,"priority_id":2,"assigned_to_id":338,"start_date":"2017-10-25","description":"","custom_fields":[{"id":1,"name":"Subdivision","value":"EC"},{"id":4,"name":"Milepost","value":"23.2983"},{"id":17,"name":"Train ID","value":"242-24"},{"id":16,"name":"Locomotive ID","value":"4025"},{"id":130,"name":"Impact","value":""},{"id":150,"name":"Time of Event (Mountain Time)","value":"01:36:34"},{"id":151,"name":"Denver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3"/>
        <v>start /low /b %USERPROFILE%\Documents\GitHub\eaglep3\Utilities\DownloadLogsFromS3.py --loco 4025 --day 2017-10-25</v>
      </c>
      <c r="AN154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25"/>
        <v>https://d0f6bd738d7f1b3e5a7ca70fe4ff75f0.us-east-1.aws.found.io/app/kibana#/discover/Steve-Slow-Train-Analysis-(2080s-and-2083s)?_g=(refreshInterval:(display:Off,pause:!f,section:0,value:0),time:(from:'2017-10-24T23:41:23-0600',mode:absolute,to:'2017-10-25T02:36:34-0600'))&amp;_a=(columns:!('Message%20ID',Summary),filters:!(),index:'emp_*',interval:auto,query:(query_string:(analyze_wildcard:!t,query:'%22rtdc.l.rtdc.4025%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887</v>
      </c>
      <c r="B155" s="7">
        <v>4025</v>
      </c>
      <c r="C155" s="21" t="s">
        <v>194</v>
      </c>
      <c r="D155" s="21" t="s">
        <v>395</v>
      </c>
      <c r="E155" s="13">
        <v>43033.036678240744</v>
      </c>
      <c r="F155" s="13">
        <v>43033.03974537037</v>
      </c>
      <c r="G155" s="7">
        <v>62</v>
      </c>
      <c r="H155" s="21" t="s">
        <v>962</v>
      </c>
      <c r="I155" s="13">
        <v>43033.067060185182</v>
      </c>
      <c r="J155" s="7">
        <v>0</v>
      </c>
      <c r="K155" s="89" t="str">
        <f>IF(ISEVEN(B155),(B155-1)&amp;"/"&amp;B155,B155&amp;"/"&amp;(B155+1))</f>
        <v>4025/4026</v>
      </c>
      <c r="L155" s="185" t="str">
        <f>VLOOKUP(A155,'Trips&amp;Operators'!$C$1:$G$99911,5,FALSE)</f>
        <v>MAGEE KENYA</v>
      </c>
      <c r="M155" s="6">
        <f>I155-F155</f>
        <v>2.7314814811688848E-2</v>
      </c>
      <c r="N155" s="7">
        <f>24*60*SUM($M155:$M155)</f>
        <v>39.333333328831941</v>
      </c>
      <c r="O155" s="7"/>
      <c r="P155" s="7"/>
      <c r="Q155" s="22"/>
      <c r="R155" s="174" t="s">
        <v>1100</v>
      </c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-24T23:52:49-0600',mode:absolute,to:'2017-10-25T02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0</v>
      </c>
      <c r="Y155" s="204">
        <f>RIGHT(D155,LEN(D155)-4)/10000</f>
        <v>23.298500000000001</v>
      </c>
      <c r="Z155" s="204">
        <f>RIGHT(H155,LEN(H155)-4)/10000</f>
        <v>1.4800000000000001E-2</v>
      </c>
      <c r="AA155" s="204">
        <f>ABS(Z155-Y155)</f>
        <v>23.2837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 &amp; 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/stypes="app*4025*20171025*"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1"/>
        <v>"%USERPROFILE%\Documents\GitHub\eaglep3\Utilities\RefineRTDCRunTimes.py" --tripid 242-24 --locoid 4025 --swversion DE.1.0.9.0 --startMP 204:232985 --initTime 2017-10-25T00:52:49 --startdatetime 2017-10-25T00:57:14 --delay 62 --endMP 204:148 --enddatetime 2017-10-25T01:36:34 --enforcementcount 0 &gt;&gt;%USERPROFILE%\Documents\GitHub\eaglep3-reporting\EC\2017-10-24-refined-times.txt</v>
      </c>
      <c r="AI155" s="96" t="str">
        <f t="shared" si="22"/>
        <v>echo {"issue":{"subject":"Operator cut-out and re-initialized at DIA; completed run without incident","project_id":79,"tracker_id":40,"status_id":1,"priority_id":2,"assigned_to_id":338,"start_date":"2017-10-25","description":"","custom_fields":[{"id":1,"name":"Subdivision","value":"EC"},{"id":4,"name":"Milepost","value":"0.0148"},{"id":17,"name":"Train ID","value":"242-24"},{"id":16,"name":"Locomotive ID","value":"4025"},{"id":130,"name":"Impact","value":""},{"id":150,"name":"Time of Event (Mountain Time)","value":"01:36:34"},{"id":151,"name":"Denver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3"/>
        <v>start /low /b %USERPROFILE%\Documents\GitHub\eaglep3\Utilities\DownloadLogsFromS3.py --loco 4025 --day 2017-10-25</v>
      </c>
      <c r="AN155" s="151" t="str">
        <f t="shared" si="24"/>
        <v>echo {"issue":{"subject":"Operator cut-out and re-initialized at DIA; completed run without incident","project_id":30,"tracker_id":4,"status_id":1,"priority_id":1,"assigned_to_id":10,"start_date":"2017-10-25","description":"","custom_fields":[{"id":30,"name":"Category","value":"Issue"},{"id":3,"name":"Functional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07:36:34"},{"id":29,"name":"Sharepoint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25"/>
        <v>https://d0f6bd738d7f1b3e5a7ca70fe4ff75f0.us-east-1.aws.found.io/app/kibana#/discover/Steve-Slow-Train-Analysis-(2080s-and-2083s)?_g=(refreshInterval:(display:Off,pause:!f,section:0,value:0),time:(from:'2017-10-24T23:52:49-0600',mode:absolute,to:'2017-10-25T02:36:34-0600'))&amp;_a=(columns:!('Message%20ID',Summary),filters:!(),index:'emp_*',interval:auto,query:(query_string:(analyze_wildcard:!t,query:'%22rtdc.l.rtdc.4025%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884</v>
      </c>
      <c r="B156" s="7">
        <v>4060</v>
      </c>
      <c r="C156" s="21" t="s">
        <v>194</v>
      </c>
      <c r="D156" s="21" t="s">
        <v>963</v>
      </c>
      <c r="E156" s="13">
        <v>43033.008310185185</v>
      </c>
      <c r="F156" s="13">
        <v>43033.021064814813</v>
      </c>
      <c r="G156" s="7">
        <v>71</v>
      </c>
      <c r="H156" s="21" t="s">
        <v>613</v>
      </c>
      <c r="I156" s="13">
        <v>43033.045613425929</v>
      </c>
      <c r="J156" s="7">
        <v>0</v>
      </c>
      <c r="K156" s="89" t="str">
        <f>IF(ISEVEN(B156),(B156-1)&amp;"/"&amp;B156,B156&amp;"/"&amp;(B156+1))</f>
        <v>4059/4060</v>
      </c>
      <c r="L156" s="185" t="str">
        <f>VLOOKUP(A156,'Trips&amp;Operators'!$C$1:$G$99911,5,FALSE)</f>
        <v>ANDERS STEVEN</v>
      </c>
      <c r="M156" s="6">
        <f>I156-F156</f>
        <v>2.4548611116188113E-2</v>
      </c>
      <c r="N156" s="7">
        <f>24*60*SUM($M156:$M156)</f>
        <v>35.350000007310882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-24T23:11:58-0600',mode:absolute,to:'2017-10-25T02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5.4800000000000001E-2</v>
      </c>
      <c r="Z156" s="204">
        <f>RIGHT(H156,LEN(H156)-4)/10000</f>
        <v>23.329499999999999</v>
      </c>
      <c r="AA156" s="204">
        <f>ABS(Z156-Y156)</f>
        <v>23.274699999999999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 &amp; 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/stypes="app*4060*20171025*"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1"/>
        <v>"%USERPROFILE%\Documents\GitHub\eaglep3\Utilities\RefineRTDCRunTimes.py" --tripid 243-24 --locoid 4060 --swversion DE.1.0.9.0 --startMP 204:548 --initTime 2017-10-25T00:11:58 --startdatetime 2017-10-25T00:30:20 --delay 71 --endMP 204:233295 --enddatetime 2017-10-25T01:05:41 --enforcementcount 0 &gt;&gt;%USERPROFILE%\Documents\GitHub\eaglep3-reporting\EC\2017-10-24-refined-times.txt</v>
      </c>
      <c r="AI156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{"issue":{"subject":"","project_id":79,"tracker_id":40,"status_id":1,"priority_id":2,"assigned_to_id":338,"start_date":"2017-10-25","description":"","custom_fields":[{"id":1,"name":"Subdivision","value":"EC"},{"id":4,"name":"Milepost","value":"23.3295"},{"id":17,"name":"Train ID","value":"243-24"},{"id":16,"name":"Locomotive ID","value":"4060"},{"id":130,"name":"Impact","value":""},{"id":150,"name":"Time of Event (Mountain Time)","value":"01:05:41"},{"id":151,"name":"Denver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23"/>
        <v>start /low /b %USERPROFILE%\Documents\GitHub\eaglep3\Utilities\DownloadLogsFromS3.py --loco 4060 --day 2017-10-25</v>
      </c>
      <c r="AN15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07:05:41"},{"id":29,"name":"Sharepoint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25"/>
        <v>https://d0f6bd738d7f1b3e5a7ca70fe4ff75f0.us-east-1.aws.found.io/app/kibana#/discover/Steve-Slow-Train-Analysis-(2080s-and-2083s)?_g=(refreshInterval:(display:Off,pause:!f,section:0,value:0),time:(from:'2017-10-24T23:11:58-0600',mode:absolute,to:'2017-10-25T02:05:41-0600'))&amp;_a=(columns:!('Message%20ID',Summary),filters:!(),index:'emp_*',interval:auto,query:(query_string:(analyze_wildcard:!t,query:'%22rtdc.l.rtdc.4060%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889</v>
      </c>
      <c r="B157" s="7">
        <v>4059</v>
      </c>
      <c r="C157" s="21" t="s">
        <v>194</v>
      </c>
      <c r="D157" s="21" t="s">
        <v>924</v>
      </c>
      <c r="E157" s="13">
        <v>43033.048888888887</v>
      </c>
      <c r="F157" s="13">
        <v>43033.060636574075</v>
      </c>
      <c r="G157" s="7">
        <v>67</v>
      </c>
      <c r="H157" s="21" t="s">
        <v>902</v>
      </c>
      <c r="I157" s="13">
        <v>43033.087384259263</v>
      </c>
      <c r="J157" s="7">
        <v>0</v>
      </c>
      <c r="K157" s="89" t="str">
        <f>IF(ISEVEN(B157),(B157-1)&amp;"/"&amp;B157,B157&amp;"/"&amp;(B157+1))</f>
        <v>4059/4060</v>
      </c>
      <c r="L157" s="185" t="str">
        <f>VLOOKUP(A157,'Trips&amp;Operators'!$C$1:$G$99911,5,FALSE)</f>
        <v>ANDERS STEVEN</v>
      </c>
      <c r="M157" s="6">
        <f>I157-F157</f>
        <v>2.6747685187729076E-2</v>
      </c>
      <c r="N157" s="7"/>
      <c r="O157" s="7"/>
      <c r="P157" s="7"/>
      <c r="Q157" s="22"/>
      <c r="R157" s="174"/>
      <c r="S157" s="221"/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-25T00:10:24-0600',mode:absolute,to:'2017-10-25T03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7" s="204" t="str">
        <f>IF(AA157&lt;VLOOKUP(AG157,Variables!$AC$3:$AD$8,2,FALSE),"Y","N")</f>
        <v>Y</v>
      </c>
      <c r="X157" s="204">
        <f>VALUE(LEFT(AD157,4))-VALUE(LEFT(AD156,4))</f>
        <v>1</v>
      </c>
      <c r="Y157" s="204">
        <f>RIGHT(D157,LEN(D157)-4)/10000</f>
        <v>23.297799999999999</v>
      </c>
      <c r="Z157" s="204">
        <f>RIGHT(H157,LEN(H157)-4)/10000</f>
        <v>23.2973</v>
      </c>
      <c r="AA157" s="204">
        <f>ABS(Z157-Y157)</f>
        <v>4.9999999999883471E-4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 &amp; 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/stypes="app*4059*20171025*"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1"/>
        <v>"%USERPROFILE%\Documents\GitHub\eaglep3\Utilities\RefineRTDCRunTimes.py" --tripid 244-24 --locoid 4059 --swversion DE.1.0.9.0 --startMP 204:232978 --initTime 2017-10-25T01:10:24 --startdatetime 2017-10-25T01:27:19 --delay 67 --endMP 204:232973 --enddatetime 2017-10-25T02:05:50 --enforcementcount 0 &gt;&gt;%USERPROFILE%\Documents\GitHub\eaglep3-reporting\EC\2017-10-24-refined-times.txt</v>
      </c>
      <c r="AI157" s="96" t="str">
        <f t="shared" si="22"/>
        <v>echo {"issue":{"subject":"","project_id":79,"tracker_id":40,"status_id":1,"priority_id":2,"assigned_to_id":338,"start_date":"2017-10-25","description":"","custom_fields":[{"id":1,"name":"Subdivision","value":"EC"},{"id":4,"name":"Milepost","value":"23.2973"},{"id":17,"name":"Train ID","value":"244-24"},{"id":16,"name":"Locomotive ID","value":"4059"},{"id":130,"name":"Impact","value":""},{"id":150,"name":"Time of Event (Mountain Time)","value":"02:05:50"},{"id":151,"name":"Denver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3"/>
        <v>start /low /b %USERPROFILE%\Documents\GitHub\eaglep3\Utilities\DownloadLogsFromS3.py --loco 4059 --day 2017-10-25</v>
      </c>
      <c r="AN15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25"/>
        <v>https://d0f6bd738d7f1b3e5a7ca70fe4ff75f0.us-east-1.aws.found.io/app/kibana#/discover/Steve-Slow-Train-Analysis-(2080s-and-2083s)?_g=(refreshInterval:(display:Off,pause:!f,section:0,value:0),time:(from:'2017-10-25T00:10:24-0600',mode:absolute,to:'2017-10-25T03:05:50-0600'))&amp;_a=(columns:!('Message%20ID',Summary),filters:!(),index:'emp_*',interval:auto,query:(query_string:(analyze_wildcard:!t,query:'%22rtdc.l.rtdc.4059%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889</v>
      </c>
      <c r="B158" s="7">
        <v>4059</v>
      </c>
      <c r="C158" s="21" t="s">
        <v>194</v>
      </c>
      <c r="D158" s="21" t="s">
        <v>902</v>
      </c>
      <c r="E158" s="13">
        <v>43033.057928240742</v>
      </c>
      <c r="F158" s="13">
        <v>43033.060636574075</v>
      </c>
      <c r="G158" s="7">
        <v>99</v>
      </c>
      <c r="H158" s="21" t="s">
        <v>946</v>
      </c>
      <c r="I158" s="13">
        <v>43033.087384259263</v>
      </c>
      <c r="J158" s="7">
        <v>0</v>
      </c>
      <c r="K158" s="89" t="str">
        <f>IF(ISEVEN(B158),(B158-1)&amp;"/"&amp;B158,B158&amp;"/"&amp;(B158+1))</f>
        <v>4059/4060</v>
      </c>
      <c r="L158" s="185" t="str">
        <f>VLOOKUP(A158,'Trips&amp;Operators'!$C$1:$G$99911,5,FALSE)</f>
        <v>ANDERS STEVEN</v>
      </c>
      <c r="M158" s="6">
        <f>I158-F158</f>
        <v>2.6747685187729076E-2</v>
      </c>
      <c r="N158" s="7">
        <f>24*60*SUM($M158:$M158)</f>
        <v>38.516666670329869</v>
      </c>
      <c r="O158" s="7"/>
      <c r="P158" s="7"/>
      <c r="Q158" s="22"/>
      <c r="R158" s="174" t="s">
        <v>1101</v>
      </c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-25T00:23:25-0600',mode:absolute,to:'2017-10-25T03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0</v>
      </c>
      <c r="Y158" s="204">
        <f>RIGHT(D158,LEN(D158)-4)/10000</f>
        <v>23.2973</v>
      </c>
      <c r="Z158" s="204">
        <f>RIGHT(H158,LEN(H158)-4)/10000</f>
        <v>2.2700000000000001E-2</v>
      </c>
      <c r="AA158" s="204">
        <f>ABS(Z158-Y158)</f>
        <v>23.2746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244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 &amp; 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/stypes="app*4059*20171025*" /stext=" 08:.+((SYSTEM_STATE.+slice.+state.+changed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21"/>
        <v>"%USERPROFILE%\Documents\GitHub\eaglep3\Utilities\RefineRTDCRunTimes.py" --tripid 244-24 --locoid 4059 --swversion DE.1.0.9.0 --startMP 204:232973 --initTime 2017-10-25T01:23:25 --startdatetime 2017-10-25T01:27:19 --delay 99 --endMP 204:227 --enddatetime 2017-10-25T02:05:50 --enforcementcount 0 &gt;&gt;%USERPROFILE%\Documents\GitHub\eaglep3-reporting\EC\2017-10-24-refined-times.txt</v>
      </c>
      <c r="AI158" s="96" t="str">
        <f t="shared" si="22"/>
        <v>echo {"issue":{"subject":"Dispatcher-initiated cut-out; re-initialized at DIA and completed run without incident","project_id":79,"tracker_id":40,"status_id":1,"priority_id":2,"assigned_to_id":338,"start_date":"2017-10-25","description":"","custom_fields":[{"id":1,"name":"Subdivision","value":"EC"},{"id":4,"name":"Milepost","value":"0.0227"},{"id":17,"name":"Train ID","value":"244-24"},{"id":16,"name":"Locomotive ID","value":"4059"},{"id":130,"name":"Impact","value":""},{"id":150,"name":"Time of Event (Mountain Time)","value":"02:05:50"},{"id":151,"name":"Denver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3"/>
        <v>start /low /b %USERPROFILE%\Documents\GitHub\eaglep3\Utilities\DownloadLogsFromS3.py --loco 4059 --day 2017-10-25</v>
      </c>
      <c r="AN158" s="151" t="str">
        <f t="shared" si="24"/>
        <v>echo {"issue":{"subject":"Dispatcher-initiated cut-out; re-initialized at DIA and completed run without incident","project_id":30,"tracker_id":4,"status_id":1,"priority_id":1,"assigned_to_id":10,"start_date":"2017-10-25","description":"","custom_fields":[{"id":30,"name":"Category","value":"Issue"},{"id":3,"name":"Functional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08:05:50"},{"id":29,"name":"Sharepoint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25"/>
        <v>https://d0f6bd738d7f1b3e5a7ca70fe4ff75f0.us-east-1.aws.found.io/app/kibana#/discover/Steve-Slow-Train-Analysis-(2080s-and-2083s)?_g=(refreshInterval:(display:Off,pause:!f,section:0,value:0),time:(from:'2017-10-25T00:23:25-0600',mode:absolute,to:'2017-10-25T03:05:50-0600'))&amp;_a=(columns:!('Message%20ID',Summary),filters:!(),index:'emp_*',interval:auto,query:(query_string:(analyze_wildcard:!t,query:'%22rtdc.l.rtdc.4059%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644</v>
      </c>
      <c r="B159" s="7">
        <v>4063</v>
      </c>
      <c r="C159" s="21" t="s">
        <v>194</v>
      </c>
      <c r="D159" s="21" t="s">
        <v>998</v>
      </c>
      <c r="E159" s="13">
        <v>43032.212175925924</v>
      </c>
      <c r="F159" s="13">
        <v>43032.21434027778</v>
      </c>
      <c r="G159" s="7">
        <v>86</v>
      </c>
      <c r="H159" s="21" t="s">
        <v>1013</v>
      </c>
      <c r="I159" s="13">
        <v>43032.225254629629</v>
      </c>
      <c r="J159" s="7">
        <v>0</v>
      </c>
      <c r="K159" s="89" t="str">
        <f>IF(ISEVEN(B159),(B159-1)&amp;"/"&amp;B159,B159&amp;"/"&amp;(B159+1))</f>
        <v>4063/4064</v>
      </c>
      <c r="L159" s="185" t="str">
        <f>VLOOKUP(A159,'Trips&amp;Operators'!$C$1:$G$99911,5,FALSE)</f>
        <v>STRICKLAND EVAN</v>
      </c>
      <c r="M159" s="6">
        <f>I159-F159</f>
        <v>1.0914351849351078E-2</v>
      </c>
      <c r="N159" s="7">
        <f>24*60*SUM($M159:$M159)</f>
        <v>15.716666663065553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-24T04:05:32-0600',mode:absolute,to:'2017-10-24T06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204" t="str">
        <f>IF(AA159&lt;VLOOKUP(AG159,Variables!$AC$3:$AD$8,2,FALSE),"Y","N")</f>
        <v>Y</v>
      </c>
      <c r="X159" s="204">
        <f>VALUE(LEFT(AD159,4))-VALUE(LEFT(AD158,4))</f>
        <v>556</v>
      </c>
      <c r="Y159" s="204">
        <f>RIGHT(D159,LEN(D159)-4)/10000</f>
        <v>5.8653000000000004</v>
      </c>
      <c r="Z159" s="204">
        <f>RIGHT(H159,LEN(H159)-4)/10000</f>
        <v>0.45650000000000002</v>
      </c>
      <c r="AA159" s="204">
        <f>ABS(Z159-Y159)</f>
        <v>5.4088000000000003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800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/stypes="app*4063*20171024*"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21"/>
        <v>"%USERPROFILE%\Documents\GitHub\eaglep3\Utilities\RefineRTDCRunTimes.py" --tripid 800-24 --locoid 4063 --swversion DE.1.0.9.0 --startMP 300:58653 --initTime 2017-10-24T05:05:32 --startdatetime 2017-10-24T05:08:39 --delay 86 --endMP 204:4565 --enddatetime 2017-10-24T05:24:22 --enforcementcount 0 &gt;&gt;%USERPROFILE%\Documents\GitHub\eaglep3-reporting\EC\2017-10-24-refined-times.txt</v>
      </c>
      <c r="AI159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{"issue":{"subject":"","project_id":79,"tracker_id":40,"status_id":1,"priority_id":2,"assigned_to_id":338,"start_date":"2017-10-24","description":"","custom_fields":[{"id":1,"name":"Subdivision","value":"NW"},{"id":4,"name":"Milepost","value":"0.4565"},{"id":17,"name":"Train ID","value":"800-24"},{"id":16,"name":"Locomotive ID","value":"4063"},{"id":130,"name":"Impact","value":""},{"id":150,"name":"Time of Event (Mountain Time)","value":"05:24:22"},{"id":151,"name":"Denver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3"/>
        <v>start /low /b %USERPROFILE%\Documents\GitHub\eaglep3\Utilities\DownloadLogsFromS3.py --loco 4063 --day 2017-10-24</v>
      </c>
      <c r="AN159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25"/>
        <v>https://d0f6bd738d7f1b3e5a7ca70fe4ff75f0.us-east-1.aws.found.io/app/kibana#/discover/Steve-Slow-Train-Analysis-(2080s-and-2083s)?_g=(refreshInterval:(display:Off,pause:!f,section:0,value:0),time:(from:'2017-10-24T04:05:32-0600',mode:absolute,to:'2017-10-24T06:24:22-0600'))&amp;_a=(columns:!('Message%20ID',Summary),filters:!(),index:'emp_*',interval:auto,query:(query_string:(analyze_wildcard:!t,query:'%22rtdc.l.rtdc.4063%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699</v>
      </c>
      <c r="B160" s="7">
        <v>4064</v>
      </c>
      <c r="C160" s="21" t="s">
        <v>194</v>
      </c>
      <c r="D160" s="21" t="s">
        <v>1014</v>
      </c>
      <c r="E160" s="13">
        <v>43032.230416666665</v>
      </c>
      <c r="F160" s="13">
        <v>43032.235810185186</v>
      </c>
      <c r="G160" s="7">
        <v>63</v>
      </c>
      <c r="H160" s="21" t="s">
        <v>1015</v>
      </c>
      <c r="I160" s="13">
        <v>43032.245069444441</v>
      </c>
      <c r="J160" s="7">
        <v>0</v>
      </c>
      <c r="K160" s="89" t="str">
        <f>IF(ISEVEN(B160),(B160-1)&amp;"/"&amp;B160,B160&amp;"/"&amp;(B160+1))</f>
        <v>4063/4064</v>
      </c>
      <c r="L160" s="185" t="str">
        <f>VLOOKUP(A160,'Trips&amp;Operators'!$C$1:$G$99911,5,FALSE)</f>
        <v>STRICKLAND EVAN</v>
      </c>
      <c r="M160" s="6">
        <f>I160-F160</f>
        <v>9.2592592554865405E-3</v>
      </c>
      <c r="N160" s="7">
        <f>24*60*SUM($M160:$M160)</f>
        <v>13.333333327900618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-24T04:31:48-0600',mode:absolute,to:'2017-10-24T06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9.64E-2</v>
      </c>
      <c r="Z160" s="204">
        <f>RIGHT(H160,LEN(H160)-4)/10000</f>
        <v>5.8978000000000002</v>
      </c>
      <c r="AA160" s="204">
        <f>ABS(Z160-Y160)</f>
        <v>5.8014000000000001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801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/stypes="app*4064*20171024*" /stext=" 11:.+((SYSTEM_STATE.+slice.+state.+changed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1"/>
        <v>"%USERPROFILE%\Documents\GitHub\eaglep3\Utilities\RefineRTDCRunTimes.py" --tripid 801-24 --locoid 4064 --swversion DE.1.0.9.0 --startMP 204:964 --initTime 2017-10-24T05:31:48 --startdatetime 2017-10-24T05:39:34 --delay 63 --endMP 300:58978 --enddatetime 2017-10-24T05:52:54 --enforcementcount 0 &gt;&gt;%USERPROFILE%\Documents\GitHub\eaglep3-reporting\EC\2017-10-24-refined-times.txt</v>
      </c>
      <c r="AI160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{"issue":{"subject":"","project_id":79,"tracker_id":40,"status_id":1,"priority_id":2,"assigned_to_id":338,"start_date":"2017-10-24","description":"","custom_fields":[{"id":1,"name":"Subdivision","value":"NW"},{"id":4,"name":"Milepost","value":"5.8978"},{"id":17,"name":"Train ID","value":"801-24"},{"id":16,"name":"Locomotive ID","value":"4064"},{"id":130,"name":"Impact","value":""},{"id":150,"name":"Time of Event (Mountain Time)","value":"05:52:54"},{"id":151,"name":"Denver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3"/>
        <v>start /low /b %USERPROFILE%\Documents\GitHub\eaglep3\Utilities\DownloadLogsFromS3.py --loco 4064 --day 2017-10-24</v>
      </c>
      <c r="AN160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25"/>
        <v>https://d0f6bd738d7f1b3e5a7ca70fe4ff75f0.us-east-1.aws.found.io/app/kibana#/discover/Steve-Slow-Train-Analysis-(2080s-and-2083s)?_g=(refreshInterval:(display:Off,pause:!f,section:0,value:0),time:(from:'2017-10-24T04:31:48-0600',mode:absolute,to:'2017-10-24T06:52:54-0600'))&amp;_a=(columns:!('Message%20ID',Summary),filters:!(),index:'emp_*',interval:auto,query:(query_string:(analyze_wildcard:!t,query:'%22rtdc.l.rtdc.4064%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708</v>
      </c>
      <c r="B161" s="7">
        <v>4063</v>
      </c>
      <c r="C161" s="21" t="s">
        <v>194</v>
      </c>
      <c r="D161" s="21" t="s">
        <v>1016</v>
      </c>
      <c r="E161" s="13">
        <v>43032.246365740742</v>
      </c>
      <c r="F161" s="13">
        <v>43032.259155092594</v>
      </c>
      <c r="G161" s="7">
        <v>58</v>
      </c>
      <c r="H161" s="21" t="s">
        <v>1017</v>
      </c>
      <c r="I161" s="13">
        <v>43032.269502314812</v>
      </c>
      <c r="J161" s="7">
        <v>0</v>
      </c>
      <c r="K161" s="89" t="str">
        <f>IF(ISEVEN(B161),(B161-1)&amp;"/"&amp;B161,B161&amp;"/"&amp;(B161+1))</f>
        <v>4063/4064</v>
      </c>
      <c r="L161" s="185" t="str">
        <f>VLOOKUP(A161,'Trips&amp;Operators'!$C$1:$G$99911,5,FALSE)</f>
        <v>STRICKLAND EVAN</v>
      </c>
      <c r="M161" s="6">
        <f>I161-F161</f>
        <v>1.0347222218115348E-2</v>
      </c>
      <c r="N161" s="7">
        <f>24*60*SUM($M161:$M161)</f>
        <v>14.899999994086102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-24T04:54:46-0600',mode:absolute,to:'2017-10-24T07:28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5.8666</v>
      </c>
      <c r="Z161" s="204">
        <f>RIGHT(H161,LEN(H161)-4)/10000</f>
        <v>6.54E-2</v>
      </c>
      <c r="AA161" s="204">
        <f>ABS(Z161-Y161)</f>
        <v>5.8011999999999997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802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/stypes="app*4063*20171024*"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1"/>
        <v>"%USERPROFILE%\Documents\GitHub\eaglep3\Utilities\RefineRTDCRunTimes.py" --tripid 802-24 --locoid 4063 --swversion DE.1.0.9.0 --startMP 300:58666 --initTime 2017-10-24T05:54:46 --startdatetime 2017-10-24T06:13:11 --delay 58 --endMP 204:654 --enddatetime 2017-10-24T06:28:05 --enforcementcount 0 &gt;&gt;%USERPROFILE%\Documents\GitHub\eaglep3-reporting\EC\2017-10-24-refined-times.txt</v>
      </c>
      <c r="AI161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{"issue":{"subject":"","project_id":79,"tracker_id":40,"status_id":1,"priority_id":2,"assigned_to_id":338,"start_date":"2017-10-24","description":"","custom_fields":[{"id":1,"name":"Subdivision","value":"NW"},{"id":4,"name":"Milepost","value":"0.0654"},{"id":17,"name":"Train ID","value":"802-24"},{"id":16,"name":"Locomotive ID","value":"4063"},{"id":130,"name":"Impact","value":""},{"id":150,"name":"Time of Event (Mountain Time)","value":"06:28:05"},{"id":151,"name":"Denver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3"/>
        <v>start /low /b %USERPROFILE%\Documents\GitHub\eaglep3\Utilities\DownloadLogsFromS3.py --loco 4063 --day 2017-10-24</v>
      </c>
      <c r="AN161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12:28:05"},{"id":29,"name":"Sharepoint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25"/>
        <v>https://d0f6bd738d7f1b3e5a7ca70fe4ff75f0.us-east-1.aws.found.io/app/kibana#/discover/Steve-Slow-Train-Analysis-(2080s-and-2083s)?_g=(refreshInterval:(display:Off,pause:!f,section:0,value:0),time:(from:'2017-10-24T04:54:46-0600',mode:absolute,to:'2017-10-24T07:28:05-0600'))&amp;_a=(columns:!('Message%20ID',Summary),filters:!(),index:'emp_*',interval:auto,query:(query_string:(analyze_wildcard:!t,query:'%22rtdc.l.rtdc.4063%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709</v>
      </c>
      <c r="B162" s="7">
        <v>4036</v>
      </c>
      <c r="C162" s="21" t="s">
        <v>194</v>
      </c>
      <c r="D162" s="21" t="s">
        <v>1018</v>
      </c>
      <c r="E162" s="13">
        <v>43032.249814814815</v>
      </c>
      <c r="F162" s="13">
        <v>43032.256701388891</v>
      </c>
      <c r="G162" s="7">
        <v>57</v>
      </c>
      <c r="H162" s="21" t="s">
        <v>1019</v>
      </c>
      <c r="I162" s="13">
        <v>43032.266840277778</v>
      </c>
      <c r="J162" s="7">
        <v>0</v>
      </c>
      <c r="K162" s="89" t="str">
        <f>IF(ISEVEN(B162),(B162-1)&amp;"/"&amp;B162,B162&amp;"/"&amp;(B162+1))</f>
        <v>4035/4036</v>
      </c>
      <c r="L162" s="185" t="str">
        <f>VLOOKUP(A162,'Trips&amp;Operators'!$C$1:$G$99911,5,FALSE)</f>
        <v>FORTUNATO FRANK</v>
      </c>
      <c r="M162" s="6">
        <f>I162-F162</f>
        <v>1.0138888887013309E-2</v>
      </c>
      <c r="N162" s="7">
        <f>24*60*SUM($M162:$M162)</f>
        <v>14.599999997299165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-24T04:59:44-0600',mode:absolute,to:'2017-10-24T07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9.9500000000000005E-2</v>
      </c>
      <c r="Z162" s="204">
        <f>RIGHT(H162,LEN(H162)-4)/10000</f>
        <v>5.8986000000000001</v>
      </c>
      <c r="AA162" s="204">
        <f>ABS(Z162-Y162)</f>
        <v>5.7991000000000001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803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/stypes="app*4036*20171024*"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1"/>
        <v>"%USERPROFILE%\Documents\GitHub\eaglep3\Utilities\RefineRTDCRunTimes.py" --tripid 803-24 --locoid 4036 --swversion DE.1.0.9.0 --startMP 204:995 --initTime 2017-10-24T05:59:44 --startdatetime 2017-10-24T06:09:39 --delay 57 --endMP 300:58986 --enddatetime 2017-10-24T06:24:15 --enforcementcount 0 &gt;&gt;%USERPROFILE%\Documents\GitHub\eaglep3-reporting\EC\2017-10-24-refined-times.txt</v>
      </c>
      <c r="AI162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{"issue":{"subject":"","project_id":79,"tracker_id":40,"status_id":1,"priority_id":2,"assigned_to_id":338,"start_date":"2017-10-24","description":"","custom_fields":[{"id":1,"name":"Subdivision","value":"NW"},{"id":4,"name":"Milepost","value":"5.8986"},{"id":17,"name":"Train ID","value":"803-24"},{"id":16,"name":"Locomotive ID","value":"4036"},{"id":130,"name":"Impact","value":""},{"id":150,"name":"Time of Event (Mountain Time)","value":"06:24:15"},{"id":151,"name":"Denver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3"/>
        <v>start /low /b %USERPROFILE%\Documents\GitHub\eaglep3\Utilities\DownloadLogsFromS3.py --loco 4036 --day 2017-10-24</v>
      </c>
      <c r="AN162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25"/>
        <v>https://d0f6bd738d7f1b3e5a7ca70fe4ff75f0.us-east-1.aws.found.io/app/kibana#/discover/Steve-Slow-Train-Analysis-(2080s-and-2083s)?_g=(refreshInterval:(display:Off,pause:!f,section:0,value:0),time:(from:'2017-10-24T04:59:44-0600',mode:absolute,to:'2017-10-24T07:24:15-0600'))&amp;_a=(columns:!('Message%20ID',Summary),filters:!(),index:'emp_*',interval:auto,query:(query_string:(analyze_wildcard:!t,query:'%22rtdc.l.rtdc.4036%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712</v>
      </c>
      <c r="B163" s="7">
        <v>4035</v>
      </c>
      <c r="C163" s="21" t="s">
        <v>194</v>
      </c>
      <c r="D163" s="21" t="s">
        <v>1020</v>
      </c>
      <c r="E163" s="13">
        <v>43032.268229166664</v>
      </c>
      <c r="F163" s="13">
        <v>43032.279918981483</v>
      </c>
      <c r="G163" s="7">
        <v>49</v>
      </c>
      <c r="H163" s="21" t="s">
        <v>1021</v>
      </c>
      <c r="I163" s="13">
        <v>43032.288576388892</v>
      </c>
      <c r="J163" s="7">
        <v>0</v>
      </c>
      <c r="K163" s="89" t="str">
        <f>IF(ISEVEN(B163),(B163-1)&amp;"/"&amp;B163,B163&amp;"/"&amp;(B163+1))</f>
        <v>4035/4036</v>
      </c>
      <c r="L163" s="185" t="str">
        <f>VLOOKUP(A163,'Trips&amp;Operators'!$C$1:$G$99911,5,FALSE)</f>
        <v>FORTUNATO FRANK</v>
      </c>
      <c r="M163" s="6">
        <f>I163-F163</f>
        <v>8.6574074084637687E-3</v>
      </c>
      <c r="N163" s="7">
        <f>24*60*SUM($M163:$M163)</f>
        <v>12.466666668187827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-24T05:26:15-0600',mode:absolute,to:'2017-10-24T07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5.8673000000000002</v>
      </c>
      <c r="Z163" s="204">
        <f>RIGHT(H163,LEN(H163)-4)/10000</f>
        <v>8.2699999999999996E-2</v>
      </c>
      <c r="AA163" s="204">
        <f>ABS(Z163-Y163)</f>
        <v>5.7846000000000002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804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/stypes="app*4035*20171024*"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1"/>
        <v>"%USERPROFILE%\Documents\GitHub\eaglep3\Utilities\RefineRTDCRunTimes.py" --tripid 804-24 --locoid 4035 --swversion DE.1.0.9.0 --startMP 300:58673 --initTime 2017-10-24T06:26:15 --startdatetime 2017-10-24T06:43:05 --delay 49 --endMP 204:827 --enddatetime 2017-10-24T06:55:33 --enforcementcount 0 &gt;&gt;%USERPROFILE%\Documents\GitHub\eaglep3-reporting\EC\2017-10-24-refined-times.txt</v>
      </c>
      <c r="AI163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{"issue":{"subject":"","project_id":79,"tracker_id":40,"status_id":1,"priority_id":2,"assigned_to_id":338,"start_date":"2017-10-24","description":"","custom_fields":[{"id":1,"name":"Subdivision","value":"NW"},{"id":4,"name":"Milepost","value":"0.0827"},{"id":17,"name":"Train ID","value":"804-24"},{"id":16,"name":"Locomotive ID","value":"4035"},{"id":130,"name":"Impact","value":""},{"id":150,"name":"Time of Event (Mountain Time)","value":"06:55:33"},{"id":151,"name":"Denver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3"/>
        <v>start /low /b %USERPROFILE%\Documents\GitHub\eaglep3\Utilities\DownloadLogsFromS3.py --loco 4035 --day 2017-10-24</v>
      </c>
      <c r="AN163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25"/>
        <v>https://d0f6bd738d7f1b3e5a7ca70fe4ff75f0.us-east-1.aws.found.io/app/kibana#/discover/Steve-Slow-Train-Analysis-(2080s-and-2083s)?_g=(refreshInterval:(display:Off,pause:!f,section:0,value:0),time:(from:'2017-10-24T05:26:15-0600',mode:absolute,to:'2017-10-24T07:55:33-0600'))&amp;_a=(columns:!('Message%20ID',Summary),filters:!(),index:'emp_*',interval:auto,query:(query_string:(analyze_wildcard:!t,query:'%22rtdc.l.rtdc.4035%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714</v>
      </c>
      <c r="B164" s="7">
        <v>4064</v>
      </c>
      <c r="C164" s="21" t="s">
        <v>194</v>
      </c>
      <c r="D164" s="21" t="s">
        <v>630</v>
      </c>
      <c r="E164" s="13">
        <v>43032.271747685183</v>
      </c>
      <c r="F164" s="13">
        <v>43032.277569444443</v>
      </c>
      <c r="G164" s="7">
        <v>75</v>
      </c>
      <c r="H164" s="21" t="s">
        <v>1003</v>
      </c>
      <c r="I164" s="13">
        <v>43032.289143518516</v>
      </c>
      <c r="J164" s="7">
        <v>0</v>
      </c>
      <c r="K164" s="89" t="str">
        <f>IF(ISEVEN(B164),(B164-1)&amp;"/"&amp;B164,B164&amp;"/"&amp;(B164+1))</f>
        <v>4063/4064</v>
      </c>
      <c r="L164" s="185" t="str">
        <f>VLOOKUP(A164,'Trips&amp;Operators'!$C$1:$G$99911,5,FALSE)</f>
        <v>STRICKLAND EVAN</v>
      </c>
      <c r="M164" s="6">
        <f>I164-F164</f>
        <v>1.1574074072996154E-2</v>
      </c>
      <c r="N164" s="7">
        <f>24*60*SUM($M164:$M164)</f>
        <v>16.666666665114462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-24T05:31:19-0600',mode:absolute,to:'2017-10-24T07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9.6000000000000002E-2</v>
      </c>
      <c r="Z164" s="204">
        <f>RIGHT(H164,LEN(H164)-4)/10000</f>
        <v>5.8973000000000004</v>
      </c>
      <c r="AA164" s="204">
        <f>ABS(Z164-Y164)</f>
        <v>5.8013000000000003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805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/stypes="app*4064*20171024*"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1"/>
        <v>"%USERPROFILE%\Documents\GitHub\eaglep3\Utilities\RefineRTDCRunTimes.py" --tripid 805-24 --locoid 4064 --swversion DE.1.0.9.0 --startMP 204:960 --initTime 2017-10-24T06:31:19 --startdatetime 2017-10-24T06:39:42 --delay 75 --endMP 300:58973 --enddatetime 2017-10-24T06:56:22 --enforcementcount 0 &gt;&gt;%USERPROFILE%\Documents\GitHub\eaglep3-reporting\EC\2017-10-24-refined-times.txt</v>
      </c>
      <c r="AI164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{"issue":{"subject":"","project_id":79,"tracker_id":40,"status_id":1,"priority_id":2,"assigned_to_id":338,"start_date":"2017-10-24","description":"","custom_fields":[{"id":1,"name":"Subdivision","value":"NW"},{"id":4,"name":"Milepost","value":"5.8973"},{"id":17,"name":"Train ID","value":"805-24"},{"id":16,"name":"Locomotive ID","value":"4064"},{"id":130,"name":"Impact","value":""},{"id":150,"name":"Time of Event (Mountain Time)","value":"06:56:22"},{"id":151,"name":"Denver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3"/>
        <v>start /low /b %USERPROFILE%\Documents\GitHub\eaglep3\Utilities\DownloadLogsFromS3.py --loco 4064 --day 2017-10-24</v>
      </c>
      <c r="AN164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12:56:22"},{"id":29,"name":"Sharepoint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25"/>
        <v>https://d0f6bd738d7f1b3e5a7ca70fe4ff75f0.us-east-1.aws.found.io/app/kibana#/discover/Steve-Slow-Train-Analysis-(2080s-and-2083s)?_g=(refreshInterval:(display:Off,pause:!f,section:0,value:0),time:(from:'2017-10-24T05:31:19-0600',mode:absolute,to:'2017-10-24T07:56:22-0600'))&amp;_a=(columns:!('Message%20ID',Summary),filters:!(),index:'emp_*',interval:auto,query:(query_string:(analyze_wildcard:!t,query:'%22rtdc.l.rtdc.4064%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720</v>
      </c>
      <c r="B165" s="7">
        <v>4063</v>
      </c>
      <c r="C165" s="21" t="s">
        <v>194</v>
      </c>
      <c r="D165" s="21" t="s">
        <v>1022</v>
      </c>
      <c r="E165" s="13">
        <v>43032.290532407409</v>
      </c>
      <c r="F165" s="13">
        <v>43032.300532407404</v>
      </c>
      <c r="G165" s="7">
        <v>74</v>
      </c>
      <c r="H165" s="21" t="s">
        <v>1023</v>
      </c>
      <c r="I165" s="13">
        <v>43032.309050925927</v>
      </c>
      <c r="J165" s="7">
        <v>0</v>
      </c>
      <c r="K165" s="89" t="str">
        <f>IF(ISEVEN(B165),(B165-1)&amp;"/"&amp;B165,B165&amp;"/"&amp;(B165+1))</f>
        <v>4063/4064</v>
      </c>
      <c r="L165" s="185" t="str">
        <f>VLOOKUP(A165,'Trips&amp;Operators'!$C$1:$G$99911,5,FALSE)</f>
        <v>STRICKLAND EVAN</v>
      </c>
      <c r="M165" s="6">
        <f>I165-F165</f>
        <v>8.5185185234877281E-3</v>
      </c>
      <c r="N165" s="7">
        <f>24*60*SUM($M165:$M165)</f>
        <v>12.266666673822328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-24T05:58:22-0600',mode:absolute,to:'2017-10-24T08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5.8655999999999997</v>
      </c>
      <c r="Z165" s="204">
        <f>RIGHT(H165,LEN(H165)-4)/10000</f>
        <v>6.6100000000000006E-2</v>
      </c>
      <c r="AA165" s="204">
        <f>ABS(Z165-Y165)</f>
        <v>5.7995000000000001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806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/stypes="app*4063*20171024*"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1"/>
        <v>"%USERPROFILE%\Documents\GitHub\eaglep3\Utilities\RefineRTDCRunTimes.py" --tripid 806-24 --locoid 4063 --swversion DE.1.0.9.0 --startMP 300:58656 --initTime 2017-10-24T06:58:22 --startdatetime 2017-10-24T07:12:46 --delay 74 --endMP 204:661 --enddatetime 2017-10-24T07:25:02 --enforcementcount 0 &gt;&gt;%USERPROFILE%\Documents\GitHub\eaglep3-reporting\EC\2017-10-24-refined-times.txt</v>
      </c>
      <c r="AI165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{"issue":{"subject":"","project_id":79,"tracker_id":40,"status_id":1,"priority_id":2,"assigned_to_id":338,"start_date":"2017-10-24","description":"","custom_fields":[{"id":1,"name":"Subdivision","value":"NW"},{"id":4,"name":"Milepost","value":"0.0661"},{"id":17,"name":"Train ID","value":"806-24"},{"id":16,"name":"Locomotive ID","value":"4063"},{"id":130,"name":"Impact","value":""},{"id":150,"name":"Time of Event (Mountain Time)","value":"07:25:02"},{"id":151,"name":"Denver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3"/>
        <v>start /low /b %USERPROFILE%\Documents\GitHub\eaglep3\Utilities\DownloadLogsFromS3.py --loco 4063 --day 2017-10-24</v>
      </c>
      <c r="AN165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25"/>
        <v>https://d0f6bd738d7f1b3e5a7ca70fe4ff75f0.us-east-1.aws.found.io/app/kibana#/discover/Steve-Slow-Train-Analysis-(2080s-and-2083s)?_g=(refreshInterval:(display:Off,pause:!f,section:0,value:0),time:(from:'2017-10-24T05:58:22-0600',mode:absolute,to:'2017-10-24T08:25:02-0600'))&amp;_a=(columns:!('Message%20ID',Summary),filters:!(),index:'emp_*',interval:auto,query:(query_string:(analyze_wildcard:!t,query:'%22rtdc.l.rtdc.4063%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648</v>
      </c>
      <c r="B166" s="7">
        <v>4036</v>
      </c>
      <c r="C166" s="21" t="s">
        <v>194</v>
      </c>
      <c r="D166" s="21" t="s">
        <v>1024</v>
      </c>
      <c r="E166" s="13">
        <v>43032.290034722224</v>
      </c>
      <c r="F166" s="13">
        <v>43032.298067129632</v>
      </c>
      <c r="G166" s="7">
        <v>50</v>
      </c>
      <c r="H166" s="21" t="s">
        <v>1003</v>
      </c>
      <c r="I166" s="13">
        <v>43032.308194444442</v>
      </c>
      <c r="J166" s="7">
        <v>0</v>
      </c>
      <c r="K166" s="89" t="str">
        <f>IF(ISEVEN(B166),(B166-1)&amp;"/"&amp;B166,B166&amp;"/"&amp;(B166+1))</f>
        <v>4035/4036</v>
      </c>
      <c r="L166" s="185" t="str">
        <f>VLOOKUP(A166,'Trips&amp;Operators'!$C$1:$G$99911,5,FALSE)</f>
        <v>FORTUNATO FRANK</v>
      </c>
      <c r="M166" s="6">
        <f>I166-F166</f>
        <v>1.0127314810233656E-2</v>
      </c>
      <c r="N166" s="7">
        <f>24*60*SUM($M166:$M166)</f>
        <v>14.583333326736465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-24T05:57:39-0600',mode:absolute,to:'2017-10-24T08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0.1128</v>
      </c>
      <c r="Z166" s="204">
        <f>RIGHT(H166,LEN(H166)-4)/10000</f>
        <v>5.8973000000000004</v>
      </c>
      <c r="AA166" s="204">
        <f>ABS(Z166-Y166)</f>
        <v>5.7845000000000004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807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/stypes="app*4036*20171024*"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1"/>
        <v>"%USERPROFILE%\Documents\GitHub\eaglep3\Utilities\RefineRTDCRunTimes.py" --tripid 807-24 --locoid 4036 --swversion DE.1.0.9.0 --startMP 204:1128 --initTime 2017-10-24T06:57:39 --startdatetime 2017-10-24T07:09:13 --delay 50 --endMP 300:58973 --enddatetime 2017-10-24T07:23:48 --enforcementcount 0 &gt;&gt;%USERPROFILE%\Documents\GitHub\eaglep3-reporting\EC\2017-10-24-refined-times.txt</v>
      </c>
      <c r="AI166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{"issue":{"subject":"","project_id":79,"tracker_id":40,"status_id":1,"priority_id":2,"assigned_to_id":338,"start_date":"2017-10-24","description":"","custom_fields":[{"id":1,"name":"Subdivision","value":"NW"},{"id":4,"name":"Milepost","value":"5.8973"},{"id":17,"name":"Train ID","value":"807-24"},{"id":16,"name":"Locomotive ID","value":"4036"},{"id":130,"name":"Impact","value":""},{"id":150,"name":"Time of Event (Mountain Time)","value":"07:23:48"},{"id":151,"name":"Denver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3"/>
        <v>start /low /b %USERPROFILE%\Documents\GitHub\eaglep3\Utilities\DownloadLogsFromS3.py --loco 4036 --day 2017-10-24</v>
      </c>
      <c r="AN166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25"/>
        <v>https://d0f6bd738d7f1b3e5a7ca70fe4ff75f0.us-east-1.aws.found.io/app/kibana#/discover/Steve-Slow-Train-Analysis-(2080s-and-2083s)?_g=(refreshInterval:(display:Off,pause:!f,section:0,value:0),time:(from:'2017-10-24T05:57:39-0600',mode:absolute,to:'2017-10-24T08:23:48-0600'))&amp;_a=(columns:!('Message%20ID',Summary),filters:!(),index:'emp_*',interval:auto,query:(query_string:(analyze_wildcard:!t,query:'%22rtdc.l.rtdc.4036%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724</v>
      </c>
      <c r="B167" s="7">
        <v>4035</v>
      </c>
      <c r="C167" s="21" t="s">
        <v>194</v>
      </c>
      <c r="D167" s="21" t="s">
        <v>1025</v>
      </c>
      <c r="E167" s="13">
        <v>43032.309629629628</v>
      </c>
      <c r="F167" s="13">
        <v>43032.321574074071</v>
      </c>
      <c r="G167" s="7">
        <v>49</v>
      </c>
      <c r="H167" s="21" t="s">
        <v>1026</v>
      </c>
      <c r="I167" s="13">
        <v>43032.330023148148</v>
      </c>
      <c r="J167" s="7">
        <v>0</v>
      </c>
      <c r="K167" s="89" t="str">
        <f>IF(ISEVEN(B167),(B167-1)&amp;"/"&amp;B167,B167&amp;"/"&amp;(B167+1))</f>
        <v>4035/4036</v>
      </c>
      <c r="L167" s="185" t="str">
        <f>VLOOKUP(A167,'Trips&amp;Operators'!$C$1:$G$99911,5,FALSE)</f>
        <v>FORTUNATO FRANK</v>
      </c>
      <c r="M167" s="6">
        <f>I167-F167</f>
        <v>8.449074077361729E-3</v>
      </c>
      <c r="N167" s="7">
        <f>24*60*SUM($M167:$M167)</f>
        <v>12.16666667140089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-24T06:25:52-0600',mode:absolute,to:'2017-10-24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5.8651</v>
      </c>
      <c r="Z167" s="204">
        <f>RIGHT(H167,LEN(H167)-4)/10000</f>
        <v>8.2900000000000001E-2</v>
      </c>
      <c r="AA167" s="204">
        <f>ABS(Z167-Y167)</f>
        <v>5.7821999999999996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808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/stypes="app*4035*20171024*"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1"/>
        <v>"%USERPROFILE%\Documents\GitHub\eaglep3\Utilities\RefineRTDCRunTimes.py" --tripid 808-24 --locoid 4035 --swversion DE.1.0.9.0 --startMP 300:58651 --initTime 2017-10-24T07:25:52 --startdatetime 2017-10-24T07:43:04 --delay 49 --endMP 204:829 --enddatetime 2017-10-24T07:55:14 --enforcementcount 0 &gt;&gt;%USERPROFILE%\Documents\GitHub\eaglep3-reporting\EC\2017-10-24-refined-times.txt</v>
      </c>
      <c r="AI167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{"issue":{"subject":"","project_id":79,"tracker_id":40,"status_id":1,"priority_id":2,"assigned_to_id":338,"start_date":"2017-10-24","description":"","custom_fields":[{"id":1,"name":"Subdivision","value":"NW"},{"id":4,"name":"Milepost","value":"0.0829"},{"id":17,"name":"Train ID","value":"808-24"},{"id":16,"name":"Locomotive ID","value":"4035"},{"id":130,"name":"Impact","value":""},{"id":150,"name":"Time of Event (Mountain Time)","value":"07:55:14"},{"id":151,"name":"Denver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3"/>
        <v>start /low /b %USERPROFILE%\Documents\GitHub\eaglep3\Utilities\DownloadLogsFromS3.py --loco 4035 --day 2017-10-24</v>
      </c>
      <c r="AN167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25"/>
        <v>https://d0f6bd738d7f1b3e5a7ca70fe4ff75f0.us-east-1.aws.found.io/app/kibana#/discover/Steve-Slow-Train-Analysis-(2080s-and-2083s)?_g=(refreshInterval:(display:Off,pause:!f,section:0,value:0),time:(from:'2017-10-24T06:25:52-0600',mode:absolute,to:'2017-10-24T08:55:14-0600'))&amp;_a=(columns:!('Message%20ID',Summary),filters:!(),index:'emp_*',interval:auto,query:(query_string:(analyze_wildcard:!t,query:'%22rtdc.l.rtdc.4035%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725</v>
      </c>
      <c r="B168" s="7">
        <v>4064</v>
      </c>
      <c r="C168" s="21" t="s">
        <v>194</v>
      </c>
      <c r="D168" s="21" t="s">
        <v>1027</v>
      </c>
      <c r="E168" s="13">
        <v>43032.310717592591</v>
      </c>
      <c r="F168" s="13">
        <v>43032.319548611114</v>
      </c>
      <c r="G168" s="7">
        <v>81</v>
      </c>
      <c r="H168" s="21" t="s">
        <v>1028</v>
      </c>
      <c r="I168" s="13">
        <v>43032.329756944448</v>
      </c>
      <c r="J168" s="7">
        <v>0</v>
      </c>
      <c r="K168" s="89" t="str">
        <f>IF(ISEVEN(B168),(B168-1)&amp;"/"&amp;B168,B168&amp;"/"&amp;(B168+1))</f>
        <v>4063/4064</v>
      </c>
      <c r="L168" s="185" t="str">
        <f>VLOOKUP(A168,'Trips&amp;Operators'!$C$1:$G$99911,5,FALSE)</f>
        <v>STRICKLAND EVAN</v>
      </c>
      <c r="M168" s="6">
        <f>I168-F168</f>
        <v>1.0208333333139308E-2</v>
      </c>
      <c r="N168" s="7">
        <f>24*60*SUM($M168:$M168)</f>
        <v>14.699999999720603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-24T06:27:26-0600',mode:absolute,to:'2017-10-24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9.6500000000000002E-2</v>
      </c>
      <c r="Z168" s="204">
        <f>RIGHT(H168,LEN(H168)-4)/10000</f>
        <v>5.8979999999999997</v>
      </c>
      <c r="AA168" s="204">
        <f>ABS(Z168-Y168)</f>
        <v>5.8014999999999999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809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/stypes="app*4064*20171024*"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1"/>
        <v>"%USERPROFILE%\Documents\GitHub\eaglep3\Utilities\RefineRTDCRunTimes.py" --tripid 809-24 --locoid 4064 --swversion DE.1.0.9.0 --startMP 204:965 --initTime 2017-10-24T07:27:26 --startdatetime 2017-10-24T07:40:09 --delay 81 --endMP 300:58980 --enddatetime 2017-10-24T07:54:51 --enforcementcount 0 &gt;&gt;%USERPROFILE%\Documents\GitHub\eaglep3-reporting\EC\2017-10-24-refined-times.txt</v>
      </c>
      <c r="AI168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{"issue":{"subject":"","project_id":79,"tracker_id":40,"status_id":1,"priority_id":2,"assigned_to_id":338,"start_date":"2017-10-24","description":"","custom_fields":[{"id":1,"name":"Subdivision","value":"NW"},{"id":4,"name":"Milepost","value":"5.898"},{"id":17,"name":"Train ID","value":"809-24"},{"id":16,"name":"Locomotive ID","value":"4064"},{"id":130,"name":"Impact","value":""},{"id":150,"name":"Time of Event (Mountain Time)","value":"07:54:51"},{"id":151,"name":"Denver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3"/>
        <v>start /low /b %USERPROFILE%\Documents\GitHub\eaglep3\Utilities\DownloadLogsFromS3.py --loco 4064 --day 2017-10-24</v>
      </c>
      <c r="AN168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25"/>
        <v>https://d0f6bd738d7f1b3e5a7ca70fe4ff75f0.us-east-1.aws.found.io/app/kibana#/discover/Steve-Slow-Train-Analysis-(2080s-and-2083s)?_g=(refreshInterval:(display:Off,pause:!f,section:0,value:0),time:(from:'2017-10-24T06:27:26-0600',mode:absolute,to:'2017-10-24T08:54:51-0600'))&amp;_a=(columns:!('Message%20ID',Summary),filters:!(),index:'emp_*',interval:auto,query:(query_string:(analyze_wildcard:!t,query:'%22rtdc.l.rtdc.4064%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651</v>
      </c>
      <c r="B169" s="7">
        <v>4063</v>
      </c>
      <c r="C169" s="21" t="s">
        <v>194</v>
      </c>
      <c r="D169" s="21" t="s">
        <v>1029</v>
      </c>
      <c r="E169" s="13">
        <v>43032.331006944441</v>
      </c>
      <c r="F169" s="13">
        <v>43032.342615740738</v>
      </c>
      <c r="G169" s="7">
        <v>89</v>
      </c>
      <c r="H169" s="21" t="s">
        <v>639</v>
      </c>
      <c r="I169" s="13">
        <v>43032.351238425923</v>
      </c>
      <c r="J169" s="7">
        <v>0</v>
      </c>
      <c r="K169" s="89" t="str">
        <f>IF(ISEVEN(B169),(B169-1)&amp;"/"&amp;B169,B169&amp;"/"&amp;(B169+1))</f>
        <v>4063/4064</v>
      </c>
      <c r="L169" s="185" t="str">
        <f>VLOOKUP(A169,'Trips&amp;Operators'!$C$1:$G$99911,5,FALSE)</f>
        <v>STRICKLAND EVAN</v>
      </c>
      <c r="M169" s="6">
        <f>I169-F169</f>
        <v>8.6226851854007691E-3</v>
      </c>
      <c r="N169" s="7">
        <f>24*60*SUM($M169:$M169)</f>
        <v>12.416666666977108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-24T06:56:39-0600',mode:absolute,to:'2017-10-24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5.867</v>
      </c>
      <c r="Z169" s="204">
        <f>RIGHT(H169,LEN(H169)-4)/10000</f>
        <v>6.4899999999999999E-2</v>
      </c>
      <c r="AA169" s="204">
        <f>ABS(Z169-Y169)</f>
        <v>5.8021000000000003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810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/stypes="app*4063*20171024*"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1"/>
        <v>"%USERPROFILE%\Documents\GitHub\eaglep3\Utilities\RefineRTDCRunTimes.py" --tripid 810-24 --locoid 4063 --swversion DE.1.0.9.0 --startMP 300:58670 --initTime 2017-10-24T07:56:39 --startdatetime 2017-10-24T08:13:22 --delay 89 --endMP 204:649 --enddatetime 2017-10-24T08:25:47 --enforcementcount 0 &gt;&gt;%USERPROFILE%\Documents\GitHub\eaglep3-reporting\EC\2017-10-24-refined-times.txt</v>
      </c>
      <c r="AI169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{"issue":{"subject":"","project_id":79,"tracker_id":40,"status_id":1,"priority_id":2,"assigned_to_id":338,"start_date":"2017-10-24","description":"","custom_fields":[{"id":1,"name":"Subdivision","value":"NW"},{"id":4,"name":"Milepost","value":"0.0649"},{"id":17,"name":"Train ID","value":"810-24"},{"id":16,"name":"Locomotive ID","value":"4063"},{"id":130,"name":"Impact","value":""},{"id":150,"name":"Time of Event (Mountain Time)","value":"08:25:47"},{"id":151,"name":"Denver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3"/>
        <v>start /low /b %USERPROFILE%\Documents\GitHub\eaglep3\Utilities\DownloadLogsFromS3.py --loco 4063 --day 2017-10-24</v>
      </c>
      <c r="AN169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25"/>
        <v>https://d0f6bd738d7f1b3e5a7ca70fe4ff75f0.us-east-1.aws.found.io/app/kibana#/discover/Steve-Slow-Train-Analysis-(2080s-and-2083s)?_g=(refreshInterval:(display:Off,pause:!f,section:0,value:0),time:(from:'2017-10-24T06:56:39-0600',mode:absolute,to:'2017-10-24T09:25:47-0600'))&amp;_a=(columns:!('Message%20ID',Summary),filters:!(),index:'emp_*',interval:auto,query:(query_string:(analyze_wildcard:!t,query:'%22rtdc.l.rtdc.4063%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730</v>
      </c>
      <c r="B170" s="7">
        <v>4036</v>
      </c>
      <c r="C170" s="21" t="s">
        <v>194</v>
      </c>
      <c r="D170" s="21" t="s">
        <v>1030</v>
      </c>
      <c r="E170" s="13">
        <v>43032.331574074073</v>
      </c>
      <c r="F170" s="13">
        <v>43032.339733796296</v>
      </c>
      <c r="G170" s="7">
        <v>48</v>
      </c>
      <c r="H170" s="21" t="s">
        <v>1031</v>
      </c>
      <c r="I170" s="13">
        <v>43032.349803240744</v>
      </c>
      <c r="J170" s="7">
        <v>0</v>
      </c>
      <c r="K170" s="89" t="str">
        <f>IF(ISEVEN(B170),(B170-1)&amp;"/"&amp;B170,B170&amp;"/"&amp;(B170+1))</f>
        <v>4035/4036</v>
      </c>
      <c r="L170" s="185" t="str">
        <f>VLOOKUP(A170,'Trips&amp;Operators'!$C$1:$G$99911,5,FALSE)</f>
        <v>FORTUNATO FRANK</v>
      </c>
      <c r="M170" s="6">
        <f>I170-F170</f>
        <v>1.0069444448163267E-2</v>
      </c>
      <c r="N170" s="7">
        <f>24*60*SUM($M170:$M170)</f>
        <v>14.500000005355105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-24T06:57:28-0600',mode:absolute,to:'2017-10-24T09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0.11210000000000001</v>
      </c>
      <c r="Z170" s="204">
        <f>RIGHT(H170,LEN(H170)-4)/10000</f>
        <v>5.8963000000000001</v>
      </c>
      <c r="AA170" s="204">
        <f>ABS(Z170-Y170)</f>
        <v>5.7842000000000002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/stypes="app*4036*20171024*"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1"/>
        <v>"%USERPROFILE%\Documents\GitHub\eaglep3\Utilities\RefineRTDCRunTimes.py" --tripid 811-24 --locoid 4036 --swversion DE.1.0.9.0 --startMP 204:1121 --initTime 2017-10-24T07:57:28 --startdatetime 2017-10-24T08:09:13 --delay 48 --endMP 300:58963 --enddatetime 2017-10-24T08:23:43 --enforcementcount 0 &gt;&gt;%USERPROFILE%\Documents\GitHub\eaglep3-reporting\EC\2017-10-24-refined-times.txt</v>
      </c>
      <c r="AI170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{"issue":{"subject":"","project_id":79,"tracker_id":40,"status_id":1,"priority_id":2,"assigned_to_id":338,"start_date":"2017-10-24","description":"","custom_fields":[{"id":1,"name":"Subdivision","value":"NW"},{"id":4,"name":"Milepost","value":"5.8963"},{"id":17,"name":"Train ID","value":"811-24"},{"id":16,"name":"Locomotive ID","value":"4036"},{"id":130,"name":"Impact","value":""},{"id":150,"name":"Time of Event (Mountain Time)","value":"08:23:43"},{"id":151,"name":"Denver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3"/>
        <v>start /low /b %USERPROFILE%\Documents\GitHub\eaglep3\Utilities\DownloadLogsFromS3.py --loco 4036 --day 2017-10-24</v>
      </c>
      <c r="AN170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25"/>
        <v>https://d0f6bd738d7f1b3e5a7ca70fe4ff75f0.us-east-1.aws.found.io/app/kibana#/discover/Steve-Slow-Train-Analysis-(2080s-and-2083s)?_g=(refreshInterval:(display:Off,pause:!f,section:0,value:0),time:(from:'2017-10-24T06:57:28-0600',mode:absolute,to:'2017-10-24T09:23:43-0600'))&amp;_a=(columns:!('Message%20ID',Summary),filters:!(),index:'emp_*',interval:auto,query:(query_string:(analyze_wildcard:!t,query:'%22rtdc.l.rtdc.4036%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733</v>
      </c>
      <c r="B171" s="7">
        <v>4035</v>
      </c>
      <c r="C171" s="21" t="s">
        <v>194</v>
      </c>
      <c r="D171" s="21" t="s">
        <v>1032</v>
      </c>
      <c r="E171" s="13">
        <v>43032.351238425923</v>
      </c>
      <c r="F171" s="13">
        <v>43032.363229166665</v>
      </c>
      <c r="G171" s="7">
        <v>56</v>
      </c>
      <c r="H171" s="21" t="s">
        <v>1033</v>
      </c>
      <c r="I171" s="13">
        <v>43032.371701388889</v>
      </c>
      <c r="J171" s="7">
        <v>0</v>
      </c>
      <c r="K171" s="89" t="str">
        <f>IF(ISEVEN(B171),(B171-1)&amp;"/"&amp;B171,B171&amp;"/"&amp;(B171+1))</f>
        <v>4035/4036</v>
      </c>
      <c r="L171" s="185" t="str">
        <f>VLOOKUP(A171,'Trips&amp;Operators'!$C$1:$G$99911,5,FALSE)</f>
        <v>FORTUNATO FRANK</v>
      </c>
      <c r="M171" s="6">
        <f>I171-F171</f>
        <v>8.4722222236450762E-3</v>
      </c>
      <c r="N171" s="7">
        <f>24*60*SUM($M171:$M171)</f>
        <v>12.20000000204891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-24T07:25:47-0600',mode:absolute,to:'2017-10-24T09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5.8643000000000001</v>
      </c>
      <c r="Z171" s="204">
        <f>RIGHT(H171,LEN(H171)-4)/10000</f>
        <v>8.2400000000000001E-2</v>
      </c>
      <c r="AA171" s="204">
        <f>ABS(Z171-Y171)</f>
        <v>5.7819000000000003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/stypes="app*4035*20171024*"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1"/>
        <v>"%USERPROFILE%\Documents\GitHub\eaglep3\Utilities\RefineRTDCRunTimes.py" --tripid 812-24 --locoid 4035 --swversion DE.1.0.9.0 --startMP 300:58643 --initTime 2017-10-24T08:25:47 --startdatetime 2017-10-24T08:43:03 --delay 56 --endMP 204:824 --enddatetime 2017-10-24T08:55:15 --enforcementcount 0 &gt;&gt;%USERPROFILE%\Documents\GitHub\eaglep3-reporting\EC\2017-10-24-refined-times.txt</v>
      </c>
      <c r="AI171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{"issue":{"subject":"","project_id":79,"tracker_id":40,"status_id":1,"priority_id":2,"assigned_to_id":338,"start_date":"2017-10-24","description":"","custom_fields":[{"id":1,"name":"Subdivision","value":"NW"},{"id":4,"name":"Milepost","value":"0.0824"},{"id":17,"name":"Train ID","value":"812-24"},{"id":16,"name":"Locomotive ID","value":"4035"},{"id":130,"name":"Impact","value":""},{"id":150,"name":"Time of Event (Mountain Time)","value":"08:55:15"},{"id":151,"name":"Denver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3"/>
        <v>start /low /b %USERPROFILE%\Documents\GitHub\eaglep3\Utilities\DownloadLogsFromS3.py --loco 4035 --day 2017-10-24</v>
      </c>
      <c r="AN171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25"/>
        <v>https://d0f6bd738d7f1b3e5a7ca70fe4ff75f0.us-east-1.aws.found.io/app/kibana#/discover/Steve-Slow-Train-Analysis-(2080s-and-2083s)?_g=(refreshInterval:(display:Off,pause:!f,section:0,value:0),time:(from:'2017-10-24T07:25:47-0600',mode:absolute,to:'2017-10-24T09:55:15-0600'))&amp;_a=(columns:!('Message%20ID',Summary),filters:!(),index:'emp_*',interval:auto,query:(query_string:(analyze_wildcard:!t,query:'%22rtdc.l.rtdc.4035%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741</v>
      </c>
      <c r="B172" s="7">
        <v>4036</v>
      </c>
      <c r="C172" s="21" t="s">
        <v>194</v>
      </c>
      <c r="D172" s="21" t="s">
        <v>1034</v>
      </c>
      <c r="E172" s="13">
        <v>43032.374305555553</v>
      </c>
      <c r="F172" s="13">
        <v>43032.381435185183</v>
      </c>
      <c r="G172" s="7">
        <v>59</v>
      </c>
      <c r="H172" s="21" t="s">
        <v>1035</v>
      </c>
      <c r="I172" s="13">
        <v>43032.391643518517</v>
      </c>
      <c r="J172" s="7">
        <v>0</v>
      </c>
      <c r="K172" s="89" t="str">
        <f>IF(ISEVEN(B172),(B172-1)&amp;"/"&amp;B172,B172&amp;"/"&amp;(B172+1))</f>
        <v>4035/4036</v>
      </c>
      <c r="L172" s="185" t="str">
        <f>VLOOKUP(A172,'Trips&amp;Operators'!$C$1:$G$99911,5,FALSE)</f>
        <v>FORTUNATO FRANK</v>
      </c>
      <c r="M172" s="6">
        <f>I172-F172</f>
        <v>1.0208333333139308E-2</v>
      </c>
      <c r="N172" s="7">
        <f>24*60*SUM($M172:$M172)</f>
        <v>14.699999999720603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-24T07:59:00-0600',mode:absolute,to:'2017-10-24T10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0.1118</v>
      </c>
      <c r="Z172" s="204">
        <f>RIGHT(H172,LEN(H172)-4)/10000</f>
        <v>5.9009999999999998</v>
      </c>
      <c r="AA172" s="204">
        <f>ABS(Z172-Y172)</f>
        <v>5.7892000000000001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/stypes="app*4036*20171024*"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1"/>
        <v>"%USERPROFILE%\Documents\GitHub\eaglep3\Utilities\RefineRTDCRunTimes.py" --tripid 813-24 --locoid 4036 --swversion DE.1.0.9.0 --startMP 204:1118 --initTime 2017-10-24T08:59:00 --startdatetime 2017-10-24T09:09:16 --delay 59 --endMP 300:59010 --enddatetime 2017-10-24T09:23:58 --enforcementcount 0 &gt;&gt;%USERPROFILE%\Documents\GitHub\eaglep3-reporting\EC\2017-10-24-refined-times.txt</v>
      </c>
      <c r="AI172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{"issue":{"subject":"","project_id":79,"tracker_id":40,"status_id":1,"priority_id":2,"assigned_to_id":338,"start_date":"2017-10-24","description":"","custom_fields":[{"id":1,"name":"Subdivision","value":"NW"},{"id":4,"name":"Milepost","value":"5.901"},{"id":17,"name":"Train ID","value":"813-24"},{"id":16,"name":"Locomotive ID","value":"4036"},{"id":130,"name":"Impact","value":""},{"id":150,"name":"Time of Event (Mountain Time)","value":"09:23:58"},{"id":151,"name":"Denver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3"/>
        <v>start /low /b %USERPROFILE%\Documents\GitHub\eaglep3\Utilities\DownloadLogsFromS3.py --loco 4036 --day 2017-10-24</v>
      </c>
      <c r="AN172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25"/>
        <v>https://d0f6bd738d7f1b3e5a7ca70fe4ff75f0.us-east-1.aws.found.io/app/kibana#/discover/Steve-Slow-Train-Analysis-(2080s-and-2083s)?_g=(refreshInterval:(display:Off,pause:!f,section:0,value:0),time:(from:'2017-10-24T07:59:00-0600',mode:absolute,to:'2017-10-24T10:23:58-0600'))&amp;_a=(columns:!('Message%20ID',Summary),filters:!(),index:'emp_*',interval:auto,query:(query_string:(analyze_wildcard:!t,query:'%22rtdc.l.rtdc.4036%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746</v>
      </c>
      <c r="B173" s="7">
        <v>4035</v>
      </c>
      <c r="C173" s="21" t="s">
        <v>194</v>
      </c>
      <c r="D173" s="21" t="s">
        <v>1036</v>
      </c>
      <c r="E173" s="13">
        <v>43032.392951388887</v>
      </c>
      <c r="F173" s="13">
        <v>43032.404490740744</v>
      </c>
      <c r="G173" s="7">
        <v>51</v>
      </c>
      <c r="H173" s="21" t="s">
        <v>1037</v>
      </c>
      <c r="I173" s="13">
        <v>43032.413530092592</v>
      </c>
      <c r="J173" s="7">
        <v>0</v>
      </c>
      <c r="K173" s="89" t="str">
        <f>IF(ISEVEN(B173),(B173-1)&amp;"/"&amp;B173,B173&amp;"/"&amp;(B173+1))</f>
        <v>4035/4036</v>
      </c>
      <c r="L173" s="185" t="str">
        <f>VLOOKUP(A173,'Trips&amp;Operators'!$C$1:$G$99911,5,FALSE)</f>
        <v>FORTUNATO FRANK</v>
      </c>
      <c r="M173" s="6">
        <f>I173-F173</f>
        <v>9.0393518476048484E-3</v>
      </c>
      <c r="N173" s="7">
        <f>24*60*SUM($M173:$M173)</f>
        <v>13.016666660550982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-24T08:25:51-0600',mode:absolute,to:'2017-10-24T10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5.8686999999999996</v>
      </c>
      <c r="Z173" s="204">
        <f>RIGHT(H173,LEN(H173)-4)/10000</f>
        <v>8.3199999999999996E-2</v>
      </c>
      <c r="AA173" s="204">
        <f>ABS(Z173-Y173)</f>
        <v>5.7854999999999999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/stypes="app*4035*20171024*"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1"/>
        <v>"%USERPROFILE%\Documents\GitHub\eaglep3\Utilities\RefineRTDCRunTimes.py" --tripid 814-24 --locoid 4035 --swversion DE.1.0.9.0 --startMP 300:58687 --initTime 2017-10-24T09:25:51 --startdatetime 2017-10-24T09:42:28 --delay 51 --endMP 204:832 --enddatetime 2017-10-24T09:55:29 --enforcementcount 0 &gt;&gt;%USERPROFILE%\Documents\GitHub\eaglep3-reporting\EC\2017-10-24-refined-times.txt</v>
      </c>
      <c r="AI173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{"issue":{"subject":"","project_id":79,"tracker_id":40,"status_id":1,"priority_id":2,"assigned_to_id":338,"start_date":"2017-10-24","description":"","custom_fields":[{"id":1,"name":"Subdivision","value":"NW"},{"id":4,"name":"Milepost","value":"0.0832"},{"id":17,"name":"Train ID","value":"814-24"},{"id":16,"name":"Locomotive ID","value":"4035"},{"id":130,"name":"Impact","value":""},{"id":150,"name":"Time of Event (Mountain Time)","value":"09:55:29"},{"id":151,"name":"Denver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3"/>
        <v>start /low /b %USERPROFILE%\Documents\GitHub\eaglep3\Utilities\DownloadLogsFromS3.py --loco 4035 --day 2017-10-24</v>
      </c>
      <c r="AN173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25"/>
        <v>https://d0f6bd738d7f1b3e5a7ca70fe4ff75f0.us-east-1.aws.found.io/app/kibana#/discover/Steve-Slow-Train-Analysis-(2080s-and-2083s)?_g=(refreshInterval:(display:Off,pause:!f,section:0,value:0),time:(from:'2017-10-24T08:25:51-0600',mode:absolute,to:'2017-10-24T10:55:29-0600'))&amp;_a=(columns:!('Message%20ID',Summary),filters:!(),index:'emp_*',interval:auto,query:(query_string:(analyze_wildcard:!t,query:'%22rtdc.l.rtdc.4035%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660</v>
      </c>
      <c r="B174" s="7">
        <v>4036</v>
      </c>
      <c r="C174" s="21" t="s">
        <v>194</v>
      </c>
      <c r="D174" s="21" t="s">
        <v>1038</v>
      </c>
      <c r="E174" s="13">
        <v>43032.414930555555</v>
      </c>
      <c r="F174" s="13">
        <v>43032.423090277778</v>
      </c>
      <c r="G174" s="7">
        <v>78</v>
      </c>
      <c r="H174" s="21" t="s">
        <v>1039</v>
      </c>
      <c r="I174" s="13">
        <v>43032.432233796295</v>
      </c>
      <c r="J174" s="7">
        <v>0</v>
      </c>
      <c r="K174" s="89" t="str">
        <f>IF(ISEVEN(B174),(B174-1)&amp;"/"&amp;B174,B174&amp;"/"&amp;(B174+1))</f>
        <v>4035/4036</v>
      </c>
      <c r="L174" s="185" t="str">
        <f>VLOOKUP(A174,'Trips&amp;Operators'!$C$1:$G$99911,5,FALSE)</f>
        <v>FORTUNATO FRANK</v>
      </c>
      <c r="M174" s="6">
        <f>I174-F174</f>
        <v>9.1435185167938471E-3</v>
      </c>
      <c r="N174" s="7">
        <f>24*60*SUM($M174:$M174)</f>
        <v>13.16666666418314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-24T08:57:30-0600',mode:absolute,to:'2017-10-24T11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0.1116</v>
      </c>
      <c r="Z174" s="204">
        <f>RIGHT(H174,LEN(H174)-4)/10000</f>
        <v>5.8087999999999997</v>
      </c>
      <c r="AA174" s="204">
        <f>ABS(Z174-Y174)</f>
        <v>5.6971999999999996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/stypes="app*4036*20171024*"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1"/>
        <v>"%USERPROFILE%\Documents\GitHub\eaglep3\Utilities\RefineRTDCRunTimes.py" --tripid 815-24 --locoid 4036 --swversion DE.1.0.9.0 --startMP 204:1116 --initTime 2017-10-24T09:57:30 --startdatetime 2017-10-24T10:09:15 --delay 78 --endMP 300:58088 --enddatetime 2017-10-24T10:22:25 --enforcementcount 0 &gt;&gt;%USERPROFILE%\Documents\GitHub\eaglep3-reporting\EC\2017-10-24-refined-times.txt</v>
      </c>
      <c r="AI174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{"issue":{"subject":"","project_id":79,"tracker_id":40,"status_id":1,"priority_id":2,"assigned_to_id":338,"start_date":"2017-10-24","description":"","custom_fields":[{"id":1,"name":"Subdivision","value":"NW"},{"id":4,"name":"Milepost","value":"5.8088"},{"id":17,"name":"Train ID","value":"815-24"},{"id":16,"name":"Locomotive ID","value":"4036"},{"id":130,"name":"Impact","value":""},{"id":150,"name":"Time of Event (Mountain Time)","value":"10:22:25"},{"id":151,"name":"Denver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3"/>
        <v>start /low /b %USERPROFILE%\Documents\GitHub\eaglep3\Utilities\DownloadLogsFromS3.py --loco 4036 --day 2017-10-24</v>
      </c>
      <c r="AN174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25"/>
        <v>https://d0f6bd738d7f1b3e5a7ca70fe4ff75f0.us-east-1.aws.found.io/app/kibana#/discover/Steve-Slow-Train-Analysis-(2080s-and-2083s)?_g=(refreshInterval:(display:Off,pause:!f,section:0,value:0),time:(from:'2017-10-24T08:57:30-0600',mode:absolute,to:'2017-10-24T11:22:25-0600'))&amp;_a=(columns:!('Message%20ID',Summary),filters:!(),index:'emp_*',interval:auto,query:(query_string:(analyze_wildcard:!t,query:'%22rtdc.l.rtdc.4036%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753</v>
      </c>
      <c r="B175" s="7">
        <v>4035</v>
      </c>
      <c r="C175" s="21" t="s">
        <v>194</v>
      </c>
      <c r="D175" s="21" t="s">
        <v>1040</v>
      </c>
      <c r="E175" s="13">
        <v>43032.433587962965</v>
      </c>
      <c r="F175" s="13">
        <v>43032.446157407408</v>
      </c>
      <c r="G175" s="7">
        <v>51</v>
      </c>
      <c r="H175" s="21" t="s">
        <v>1041</v>
      </c>
      <c r="I175" s="13">
        <v>43032.455034722225</v>
      </c>
      <c r="J175" s="7">
        <v>0</v>
      </c>
      <c r="K175" s="89" t="str">
        <f>IF(ISEVEN(B175),(B175-1)&amp;"/"&amp;B175,B175&amp;"/"&amp;(B175+1))</f>
        <v>4035/4036</v>
      </c>
      <c r="L175" s="185" t="str">
        <f>VLOOKUP(A175,'Trips&amp;Operators'!$C$1:$G$99911,5,FALSE)</f>
        <v>FORTUNATO FRANK</v>
      </c>
      <c r="M175" s="6">
        <f>I175-F175</f>
        <v>8.8773148163454607E-3</v>
      </c>
      <c r="N175" s="7">
        <f>24*60*SUM($M175:$M175)</f>
        <v>12.783333335537463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-24T09:24:22-0600',mode:absolute,to:'2017-10-24T11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5.8716999999999997</v>
      </c>
      <c r="Z175" s="204">
        <f>RIGHT(H175,LEN(H175)-4)/10000</f>
        <v>8.1799999999999998E-2</v>
      </c>
      <c r="AA175" s="204">
        <f>ABS(Z175-Y175)</f>
        <v>5.7898999999999994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/stypes="app*4035*20171024*"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1"/>
        <v>"%USERPROFILE%\Documents\GitHub\eaglep3\Utilities\RefineRTDCRunTimes.py" --tripid 816-24 --locoid 4035 --swversion DE.1.0.9.0 --startMP 300:58717 --initTime 2017-10-24T10:24:22 --startdatetime 2017-10-24T10:42:28 --delay 51 --endMP 204:818 --enddatetime 2017-10-24T10:55:15 --enforcementcount 0 &gt;&gt;%USERPROFILE%\Documents\GitHub\eaglep3-reporting\EC\2017-10-24-refined-times.txt</v>
      </c>
      <c r="AI175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{"issue":{"subject":"","project_id":79,"tracker_id":40,"status_id":1,"priority_id":2,"assigned_to_id":338,"start_date":"2017-10-24","description":"","custom_fields":[{"id":1,"name":"Subdivision","value":"NW"},{"id":4,"name":"Milepost","value":"0.0818"},{"id":17,"name":"Train ID","value":"816-24"},{"id":16,"name":"Locomotive ID","value":"4035"},{"id":130,"name":"Impact","value":""},{"id":150,"name":"Time of Event (Mountain Time)","value":"10:55:15"},{"id":151,"name":"Denver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3"/>
        <v>start /low /b %USERPROFILE%\Documents\GitHub\eaglep3\Utilities\DownloadLogsFromS3.py --loco 4035 --day 2017-10-24</v>
      </c>
      <c r="AN175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25"/>
        <v>https://d0f6bd738d7f1b3e5a7ca70fe4ff75f0.us-east-1.aws.found.io/app/kibana#/discover/Steve-Slow-Train-Analysis-(2080s-and-2083s)?_g=(refreshInterval:(display:Off,pause:!f,section:0,value:0),time:(from:'2017-10-24T09:24:22-0600',mode:absolute,to:'2017-10-24T11:55:15-0600'))&amp;_a=(columns:!('Message%20ID',Summary),filters:!(),index:'emp_*',interval:auto,query:(query_string:(analyze_wildcard:!t,query:'%22rtdc.l.rtdc.4035%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761</v>
      </c>
      <c r="B176" s="7">
        <v>4036</v>
      </c>
      <c r="C176" s="21" t="s">
        <v>194</v>
      </c>
      <c r="D176" s="21" t="s">
        <v>1042</v>
      </c>
      <c r="E176" s="13">
        <v>43032.457326388889</v>
      </c>
      <c r="F176" s="13">
        <v>43032.464756944442</v>
      </c>
      <c r="G176" s="7">
        <v>50</v>
      </c>
      <c r="H176" s="21" t="s">
        <v>1043</v>
      </c>
      <c r="I176" s="13">
        <v>43032.477037037039</v>
      </c>
      <c r="J176" s="7">
        <v>0</v>
      </c>
      <c r="K176" s="89" t="str">
        <f>IF(ISEVEN(B176),(B176-1)&amp;"/"&amp;B176,B176&amp;"/"&amp;(B176+1))</f>
        <v>4035/4036</v>
      </c>
      <c r="L176" s="185" t="str">
        <f>VLOOKUP(A176,'Trips&amp;Operators'!$C$1:$G$99911,5,FALSE)</f>
        <v>FORTUNATO FRANK</v>
      </c>
      <c r="M176" s="6">
        <f>I176-F176</f>
        <v>1.2280092596483883E-2</v>
      </c>
      <c r="N176" s="7">
        <f>24*60*SUM($M176:$M176)</f>
        <v>17.683333338936791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-24T09:58:33-0600',mode:absolute,to:'2017-10-24T12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0.11119999999999999</v>
      </c>
      <c r="Z176" s="204">
        <f>RIGHT(H176,LEN(H176)-4)/10000</f>
        <v>5.8967000000000001</v>
      </c>
      <c r="AA176" s="204">
        <f>ABS(Z176-Y176)</f>
        <v>5.7854999999999999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/stypes="app*4036*20171024*"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1"/>
        <v>"%USERPROFILE%\Documents\GitHub\eaglep3\Utilities\RefineRTDCRunTimes.py" --tripid 817-24 --locoid 4036 --swversion DE.1.0.9.0 --startMP 204:1112 --initTime 2017-10-24T10:58:33 --startdatetime 2017-10-24T11:09:15 --delay 50 --endMP 300:58967 --enddatetime 2017-10-24T11:26:56 --enforcementcount 0 &gt;&gt;%USERPROFILE%\Documents\GitHub\eaglep3-reporting\EC\2017-10-24-refined-times.txt</v>
      </c>
      <c r="AI176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{"issue":{"subject":"","project_id":79,"tracker_id":40,"status_id":1,"priority_id":2,"assigned_to_id":338,"start_date":"2017-10-24","description":"","custom_fields":[{"id":1,"name":"Subdivision","value":"NW"},{"id":4,"name":"Milepost","value":"5.8967"},{"id":17,"name":"Train ID","value":"817-24"},{"id":16,"name":"Locomotive ID","value":"4036"},{"id":130,"name":"Impact","value":""},{"id":150,"name":"Time of Event (Mountain Time)","value":"11:26:56"},{"id":151,"name":"Denver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3"/>
        <v>start /low /b %USERPROFILE%\Documents\GitHub\eaglep3\Utilities\DownloadLogsFromS3.py --loco 4036 --day 2017-10-24</v>
      </c>
      <c r="AN176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25"/>
        <v>https://d0f6bd738d7f1b3e5a7ca70fe4ff75f0.us-east-1.aws.found.io/app/kibana#/discover/Steve-Slow-Train-Analysis-(2080s-and-2083s)?_g=(refreshInterval:(display:Off,pause:!f,section:0,value:0),time:(from:'2017-10-24T09:58:33-0600',mode:absolute,to:'2017-10-24T12:26:56-0600'))&amp;_a=(columns:!('Message%20ID',Summary),filters:!(),index:'emp_*',interval:auto,query:(query_string:(analyze_wildcard:!t,query:'%22rtdc.l.rtdc.4036%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767</v>
      </c>
      <c r="B177" s="7">
        <v>4035</v>
      </c>
      <c r="C177" s="21" t="s">
        <v>194</v>
      </c>
      <c r="D177" s="21" t="s">
        <v>1044</v>
      </c>
      <c r="E177" s="13">
        <v>43032.478819444441</v>
      </c>
      <c r="F177" s="13">
        <v>43032.480127314811</v>
      </c>
      <c r="G177" s="7">
        <v>49</v>
      </c>
      <c r="H177" s="21" t="s">
        <v>1045</v>
      </c>
      <c r="I177" s="13">
        <v>43032.496655092589</v>
      </c>
      <c r="J177" s="7">
        <v>0</v>
      </c>
      <c r="K177" s="89" t="str">
        <f>IF(ISEVEN(B177),(B177-1)&amp;"/"&amp;B177,B177&amp;"/"&amp;(B177+1))</f>
        <v>4035/4036</v>
      </c>
      <c r="L177" s="185" t="str">
        <f>VLOOKUP(A177,'Trips&amp;Operators'!$C$1:$G$99911,5,FALSE)</f>
        <v>FORTUNATO FRANK</v>
      </c>
      <c r="M177" s="6">
        <f>I177-F177</f>
        <v>1.6527777777810115E-2</v>
      </c>
      <c r="N177" s="7">
        <f>24*60*SUM($M177:$M177)</f>
        <v>23.800000000046566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-24T10:29:30-0600',mode:absolute,to:'2017-10-24T12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5.8654999999999999</v>
      </c>
      <c r="Z177" s="204">
        <f>RIGHT(H177,LEN(H177)-4)/10000</f>
        <v>8.48E-2</v>
      </c>
      <c r="AA177" s="204">
        <f>ABS(Z177-Y177)</f>
        <v>5.7806999999999995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/stypes="app*4035*20171024*"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1"/>
        <v>"%USERPROFILE%\Documents\GitHub\eaglep3\Utilities\RefineRTDCRunTimes.py" --tripid 818-24 --locoid 4035 --swversion DE.1.0.9.0 --startMP 300:58655 --initTime 2017-10-24T11:29:30 --startdatetime 2017-10-24T11:31:23 --delay 49 --endMP 204:848 --enddatetime 2017-10-24T11:55:11 --enforcementcount 0 &gt;&gt;%USERPROFILE%\Documents\GitHub\eaglep3-reporting\EC\2017-10-24-refined-times.txt</v>
      </c>
      <c r="AI177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{"issue":{"subject":"","project_id":79,"tracker_id":40,"status_id":1,"priority_id":2,"assigned_to_id":338,"start_date":"2017-10-24","description":"","custom_fields":[{"id":1,"name":"Subdivision","value":"NW"},{"id":4,"name":"Milepost","value":"0.0848"},{"id":17,"name":"Train ID","value":"818-24"},{"id":16,"name":"Locomotive ID","value":"4035"},{"id":130,"name":"Impact","value":""},{"id":150,"name":"Time of Event (Mountain Time)","value":"11:55:11"},{"id":151,"name":"Denver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3"/>
        <v>start /low /b %USERPROFILE%\Documents\GitHub\eaglep3\Utilities\DownloadLogsFromS3.py --loco 4035 --day 2017-10-24</v>
      </c>
      <c r="AN177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25"/>
        <v>https://d0f6bd738d7f1b3e5a7ca70fe4ff75f0.us-east-1.aws.found.io/app/kibana#/discover/Steve-Slow-Train-Analysis-(2080s-and-2083s)?_g=(refreshInterval:(display:Off,pause:!f,section:0,value:0),time:(from:'2017-10-24T10:29:30-0600',mode:absolute,to:'2017-10-24T12:55:11-0600'))&amp;_a=(columns:!('Message%20ID',Summary),filters:!(),index:'emp_*',interval:auto,query:(query_string:(analyze_wildcard:!t,query:'%22rtdc.l.rtdc.4035%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663</v>
      </c>
      <c r="B178" s="7">
        <v>4036</v>
      </c>
      <c r="C178" s="21" t="s">
        <v>194</v>
      </c>
      <c r="D178" s="21" t="s">
        <v>1046</v>
      </c>
      <c r="E178" s="13">
        <v>43032.497939814813</v>
      </c>
      <c r="F178" s="13">
        <v>43032.506435185183</v>
      </c>
      <c r="G178" s="7">
        <v>62</v>
      </c>
      <c r="H178" s="21" t="s">
        <v>1047</v>
      </c>
      <c r="I178" s="13">
        <v>43032.516377314816</v>
      </c>
      <c r="J178" s="7">
        <v>0</v>
      </c>
      <c r="K178" s="89" t="str">
        <f>IF(ISEVEN(B178),(B178-1)&amp;"/"&amp;B178,B178&amp;"/"&amp;(B178+1))</f>
        <v>4035/4036</v>
      </c>
      <c r="L178" s="185" t="str">
        <f>VLOOKUP(A178,'Trips&amp;Operators'!$C$1:$G$99911,5,FALSE)</f>
        <v>FORTUNATO FRANK</v>
      </c>
      <c r="M178" s="6">
        <f>I178-F178</f>
        <v>9.9421296326909214E-3</v>
      </c>
      <c r="N178" s="7">
        <f>24*60*SUM($M178:$M178)</f>
        <v>14.316666671074927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-24T10:57:02-0600',mode:absolute,to:'2017-10-24T13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0.11260000000000001</v>
      </c>
      <c r="Z178" s="204">
        <f>RIGHT(H178,LEN(H178)-4)/10000</f>
        <v>5.8992000000000004</v>
      </c>
      <c r="AA178" s="204">
        <f>ABS(Z178-Y178)</f>
        <v>5.7866000000000009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/stypes="app*4036*20171024*"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1"/>
        <v>"%USERPROFILE%\Documents\GitHub\eaglep3\Utilities\RefineRTDCRunTimes.py" --tripid 819-24 --locoid 4036 --swversion DE.1.0.9.0 --startMP 204:1126 --initTime 2017-10-24T11:57:02 --startdatetime 2017-10-24T12:09:16 --delay 62 --endMP 300:58992 --enddatetime 2017-10-24T12:23:35 --enforcementcount 0 &gt;&gt;%USERPROFILE%\Documents\GitHub\eaglep3-reporting\EC\2017-10-24-refined-times.txt</v>
      </c>
      <c r="AI178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{"issue":{"subject":"","project_id":79,"tracker_id":40,"status_id":1,"priority_id":2,"assigned_to_id":338,"start_date":"2017-10-24","description":"","custom_fields":[{"id":1,"name":"Subdivision","value":"NW"},{"id":4,"name":"Milepost","value":"5.8992"},{"id":17,"name":"Train ID","value":"819-24"},{"id":16,"name":"Locomotive ID","value":"4036"},{"id":130,"name":"Impact","value":""},{"id":150,"name":"Time of Event (Mountain Time)","value":"12:23:35"},{"id":151,"name":"Denver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3"/>
        <v>start /low /b %USERPROFILE%\Documents\GitHub\eaglep3\Utilities\DownloadLogsFromS3.py --loco 4036 --day 2017-10-24</v>
      </c>
      <c r="AN178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25"/>
        <v>https://d0f6bd738d7f1b3e5a7ca70fe4ff75f0.us-east-1.aws.found.io/app/kibana#/discover/Steve-Slow-Train-Analysis-(2080s-and-2083s)?_g=(refreshInterval:(display:Off,pause:!f,section:0,value:0),time:(from:'2017-10-24T10:57:02-0600',mode:absolute,to:'2017-10-24T13:23:35-0600'))&amp;_a=(columns:!('Message%20ID',Summary),filters:!(),index:'emp_*',interval:auto,query:(query_string:(analyze_wildcard:!t,query:'%22rtdc.l.rtdc.4036%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776</v>
      </c>
      <c r="B179" s="7">
        <v>4035</v>
      </c>
      <c r="C179" s="21" t="s">
        <v>194</v>
      </c>
      <c r="D179" s="21" t="s">
        <v>993</v>
      </c>
      <c r="E179" s="13">
        <v>43032.51761574074</v>
      </c>
      <c r="F179" s="13">
        <v>43032.529814814814</v>
      </c>
      <c r="G179" s="7">
        <v>49</v>
      </c>
      <c r="H179" s="21" t="s">
        <v>1048</v>
      </c>
      <c r="I179" s="13">
        <v>43032.538391203707</v>
      </c>
      <c r="J179" s="7">
        <v>0</v>
      </c>
      <c r="K179" s="89" t="str">
        <f>IF(ISEVEN(B179),(B179-1)&amp;"/"&amp;B179,B179&amp;"/"&amp;(B179+1))</f>
        <v>4035/4036</v>
      </c>
      <c r="L179" s="185" t="str">
        <f>VLOOKUP(A179,'Trips&amp;Operators'!$C$1:$G$99911,5,FALSE)</f>
        <v>FORTUNATO FRANK</v>
      </c>
      <c r="M179" s="6">
        <f>I179-F179</f>
        <v>8.5763888928340748E-3</v>
      </c>
      <c r="N179" s="7">
        <f>24*60*SUM($M179:$M179)</f>
        <v>12.350000005681068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-24T11:25:22-0600',mode:absolute,to:'2017-10-24T13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5.8685</v>
      </c>
      <c r="Z179" s="204">
        <f>RIGHT(H179,LEN(H179)-4)/10000</f>
        <v>8.3599999999999994E-2</v>
      </c>
      <c r="AA179" s="204">
        <f>ABS(Z179-Y179)</f>
        <v>5.7849000000000004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/stypes="app*4035*20171024*"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1"/>
        <v>"%USERPROFILE%\Documents\GitHub\eaglep3\Utilities\RefineRTDCRunTimes.py" --tripid 820-24 --locoid 4035 --swversion DE.1.0.9.0 --startMP 300:58685 --initTime 2017-10-24T12:25:22 --startdatetime 2017-10-24T12:42:56 --delay 49 --endMP 204:836 --enddatetime 2017-10-24T12:55:17 --enforcementcount 0 &gt;&gt;%USERPROFILE%\Documents\GitHub\eaglep3-reporting\EC\2017-10-24-refined-times.txt</v>
      </c>
      <c r="AI179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{"issue":{"subject":"","project_id":79,"tracker_id":40,"status_id":1,"priority_id":2,"assigned_to_id":338,"start_date":"2017-10-24","description":"","custom_fields":[{"id":1,"name":"Subdivision","value":"NW"},{"id":4,"name":"Milepost","value":"0.0836"},{"id":17,"name":"Train ID","value":"820-24"},{"id":16,"name":"Locomotive ID","value":"4035"},{"id":130,"name":"Impact","value":""},{"id":150,"name":"Time of Event (Mountain Time)","value":"12:55:17"},{"id":151,"name":"Denver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3"/>
        <v>start /low /b %USERPROFILE%\Documents\GitHub\eaglep3\Utilities\DownloadLogsFromS3.py --loco 4035 --day 2017-10-24</v>
      </c>
      <c r="AN179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18:55:17"},{"id":29,"name":"Sharepoint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25"/>
        <v>https://d0f6bd738d7f1b3e5a7ca70fe4ff75f0.us-east-1.aws.found.io/app/kibana#/discover/Steve-Slow-Train-Analysis-(2080s-and-2083s)?_g=(refreshInterval:(display:Off,pause:!f,section:0,value:0),time:(from:'2017-10-24T11:25:22-0600',mode:absolute,to:'2017-10-24T13:55:17-0600'))&amp;_a=(columns:!('Message%20ID',Summary),filters:!(),index:'emp_*',interval:auto,query:(query_string:(analyze_wildcard:!t,query:'%22rtdc.l.rtdc.4035%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664</v>
      </c>
      <c r="B180" s="7">
        <v>4036</v>
      </c>
      <c r="C180" s="21" t="s">
        <v>194</v>
      </c>
      <c r="D180" s="21" t="s">
        <v>1038</v>
      </c>
      <c r="E180" s="13">
        <v>43032.540393518517</v>
      </c>
      <c r="F180" s="13">
        <v>43032.548090277778</v>
      </c>
      <c r="G180" s="7">
        <v>77</v>
      </c>
      <c r="H180" s="21" t="s">
        <v>631</v>
      </c>
      <c r="I180" s="13">
        <v>43032.557337962964</v>
      </c>
      <c r="J180" s="7">
        <v>0</v>
      </c>
      <c r="K180" s="89" t="str">
        <f>IF(ISEVEN(B180),(B180-1)&amp;"/"&amp;B180,B180&amp;"/"&amp;(B180+1))</f>
        <v>4035/4036</v>
      </c>
      <c r="L180" s="185" t="str">
        <f>VLOOKUP(A180,'Trips&amp;Operators'!$C$1:$G$99911,5,FALSE)</f>
        <v>GUZMAN DANNY</v>
      </c>
      <c r="M180" s="6">
        <f>I180-F180</f>
        <v>9.2476851859828457E-3</v>
      </c>
      <c r="N180" s="7">
        <f>24*60*SUM($M180:$M180)</f>
        <v>13.316666667815298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-24T11:58:10-0600',mode:absolute,to:'2017-10-24T14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0.1116</v>
      </c>
      <c r="Z180" s="204">
        <f>RIGHT(H180,LEN(H180)-4)/10000</f>
        <v>5.8930999999999996</v>
      </c>
      <c r="AA180" s="204">
        <f>ABS(Z180-Y180)</f>
        <v>5.7814999999999994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/stypes="app*4036*20171024*"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1"/>
        <v>"%USERPROFILE%\Documents\GitHub\eaglep3\Utilities\RefineRTDCRunTimes.py" --tripid 821-24 --locoid 4036 --swversion DE.1.0.9.0 --startMP 204:1116 --initTime 2017-10-24T12:58:10 --startdatetime 2017-10-24T13:09:15 --delay 77 --endMP 300:58931 --enddatetime 2017-10-24T13:22:34 --enforcementcount 0 &gt;&gt;%USERPROFILE%\Documents\GitHub\eaglep3-reporting\EC\2017-10-24-refined-times.txt</v>
      </c>
      <c r="AI180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{"issue":{"subject":"","project_id":79,"tracker_id":40,"status_id":1,"priority_id":2,"assigned_to_id":338,"start_date":"2017-10-24","description":"","custom_fields":[{"id":1,"name":"Subdivision","value":"NW"},{"id":4,"name":"Milepost","value":"5.8931"},{"id":17,"name":"Train ID","value":"821-24"},{"id":16,"name":"Locomotive ID","value":"4036"},{"id":130,"name":"Impact","value":""},{"id":150,"name":"Time of Event (Mountain Time)","value":"13:22:34"},{"id":151,"name":"Denver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3"/>
        <v>start /low /b %USERPROFILE%\Documents\GitHub\eaglep3\Utilities\DownloadLogsFromS3.py --loco 4036 --day 2017-10-24</v>
      </c>
      <c r="AN180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25"/>
        <v>https://d0f6bd738d7f1b3e5a7ca70fe4ff75f0.us-east-1.aws.found.io/app/kibana#/discover/Steve-Slow-Train-Analysis-(2080s-and-2083s)?_g=(refreshInterval:(display:Off,pause:!f,section:0,value:0),time:(from:'2017-10-24T11:58:10-0600',mode:absolute,to:'2017-10-24T14:22:34-0600'))&amp;_a=(columns:!('Message%20ID',Summary),filters:!(),index:'emp_*',interval:auto,query:(query_string:(analyze_wildcard:!t,query:'%22rtdc.l.rtdc.4036%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785</v>
      </c>
      <c r="B181" s="7">
        <v>4035</v>
      </c>
      <c r="C181" s="21" t="s">
        <v>194</v>
      </c>
      <c r="D181" s="21" t="s">
        <v>626</v>
      </c>
      <c r="E181" s="13">
        <v>43032.560914351852</v>
      </c>
      <c r="F181" s="13">
        <v>43032.571585648147</v>
      </c>
      <c r="G181" s="7">
        <v>58</v>
      </c>
      <c r="H181" s="21" t="s">
        <v>1049</v>
      </c>
      <c r="I181" s="13">
        <v>43032.579722222225</v>
      </c>
      <c r="J181" s="7">
        <v>0</v>
      </c>
      <c r="K181" s="89" t="str">
        <f>IF(ISEVEN(B181),(B181-1)&amp;"/"&amp;B181,B181&amp;"/"&amp;(B181+1))</f>
        <v>4035/4036</v>
      </c>
      <c r="L181" s="185" t="str">
        <f>VLOOKUP(A181,'Trips&amp;Operators'!$C$1:$G$99911,5,FALSE)</f>
        <v>GUZMAN DANNY</v>
      </c>
      <c r="M181" s="6">
        <f>I181-F181</f>
        <v>8.1365740770706907E-3</v>
      </c>
      <c r="N181" s="7">
        <f>24*60*SUM($M181:$M181)</f>
        <v>11.716666670981795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-24T12:27:43-0600',mode:absolute,to:'2017-10-24T14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5.8609</v>
      </c>
      <c r="Z181" s="204">
        <f>RIGHT(H181,LEN(H181)-4)/10000</f>
        <v>7.9699999999999993E-2</v>
      </c>
      <c r="AA181" s="204">
        <f>ABS(Z181-Y181)</f>
        <v>5.7812000000000001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/stypes="app*4035*20171024*"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1"/>
        <v>"%USERPROFILE%\Documents\GitHub\eaglep3\Utilities\RefineRTDCRunTimes.py" --tripid 822-24 --locoid 4035 --swversion DE.1.0.9.0 --startMP 300:58609 --initTime 2017-10-24T13:27:43 --startdatetime 2017-10-24T13:43:05 --delay 58 --endMP 204:797 --enddatetime 2017-10-24T13:54:48 --enforcementcount 0 &gt;&gt;%USERPROFILE%\Documents\GitHub\eaglep3-reporting\EC\2017-10-24-refined-times.txt</v>
      </c>
      <c r="AI181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{"issue":{"subject":"","project_id":79,"tracker_id":40,"status_id":1,"priority_id":2,"assigned_to_id":338,"start_date":"2017-10-24","description":"","custom_fields":[{"id":1,"name":"Subdivision","value":"NW"},{"id":4,"name":"Milepost","value":"0.0797"},{"id":17,"name":"Train ID","value":"822-24"},{"id":16,"name":"Locomotive ID","value":"4035"},{"id":130,"name":"Impact","value":""},{"id":150,"name":"Time of Event (Mountain Time)","value":"13:54:48"},{"id":151,"name":"Denver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3"/>
        <v>start /low /b %USERPROFILE%\Documents\GitHub\eaglep3\Utilities\DownloadLogsFromS3.py --loco 4035 --day 2017-10-24</v>
      </c>
      <c r="AN181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25"/>
        <v>https://d0f6bd738d7f1b3e5a7ca70fe4ff75f0.us-east-1.aws.found.io/app/kibana#/discover/Steve-Slow-Train-Analysis-(2080s-and-2083s)?_g=(refreshInterval:(display:Off,pause:!f,section:0,value:0),time:(from:'2017-10-24T12:27:43-0600',mode:absolute,to:'2017-10-24T14:54:48-0600'))&amp;_a=(columns:!('Message%20ID',Summary),filters:!(),index:'emp_*',interval:auto,query:(query_string:(analyze_wildcard:!t,query:'%22rtdc.l.rtdc.4035%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790</v>
      </c>
      <c r="B182" s="7">
        <v>4036</v>
      </c>
      <c r="C182" s="21" t="s">
        <v>194</v>
      </c>
      <c r="D182" s="21" t="s">
        <v>1050</v>
      </c>
      <c r="E182" s="13">
        <v>43032.584317129629</v>
      </c>
      <c r="F182" s="13">
        <v>43032.589780092596</v>
      </c>
      <c r="G182" s="7">
        <v>50</v>
      </c>
      <c r="H182" s="21" t="s">
        <v>1051</v>
      </c>
      <c r="I182" s="13">
        <v>43032.599120370367</v>
      </c>
      <c r="J182" s="7">
        <v>0</v>
      </c>
      <c r="K182" s="89" t="str">
        <f>IF(ISEVEN(B182),(B182-1)&amp;"/"&amp;B182,B182&amp;"/"&amp;(B182+1))</f>
        <v>4035/4036</v>
      </c>
      <c r="L182" s="185" t="str">
        <f>VLOOKUP(A182,'Trips&amp;Operators'!$C$1:$G$99911,5,FALSE)</f>
        <v>GUZMAN DANNY</v>
      </c>
      <c r="M182" s="6">
        <f>I182-F182</f>
        <v>9.3402777711162344E-3</v>
      </c>
      <c r="N182" s="7">
        <f>24*60*SUM($M182:$M182)</f>
        <v>13.449999990407377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-24T13:01:25-0600',mode:absolute,to:'2017-10-24T15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0.1105</v>
      </c>
      <c r="Z182" s="204">
        <f>RIGHT(H182,LEN(H182)-4)/10000</f>
        <v>5.8939000000000004</v>
      </c>
      <c r="AA182" s="204">
        <f>ABS(Z182-Y182)</f>
        <v>5.7834000000000003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/stypes="app*4036*20171024*"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1"/>
        <v>"%USERPROFILE%\Documents\GitHub\eaglep3\Utilities\RefineRTDCRunTimes.py" --tripid 823-24 --locoid 4036 --swversion DE.1.0.9.0 --startMP 204:1105 --initTime 2017-10-24T14:01:25 --startdatetime 2017-10-24T14:09:17 --delay 50 --endMP 300:58939 --enddatetime 2017-10-24T14:22:44 --enforcementcount 0 &gt;&gt;%USERPROFILE%\Documents\GitHub\eaglep3-reporting\EC\2017-10-24-refined-times.txt</v>
      </c>
      <c r="AI182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{"issue":{"subject":"","project_id":79,"tracker_id":40,"status_id":1,"priority_id":2,"assigned_to_id":338,"start_date":"2017-10-24","description":"","custom_fields":[{"id":1,"name":"Subdivision","value":"NW"},{"id":4,"name":"Milepost","value":"5.8939"},{"id":17,"name":"Train ID","value":"823-24"},{"id":16,"name":"Locomotive ID","value":"4036"},{"id":130,"name":"Impact","value":""},{"id":150,"name":"Time of Event (Mountain Time)","value":"14:22:44"},{"id":151,"name":"Denver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3"/>
        <v>start /low /b %USERPROFILE%\Documents\GitHub\eaglep3\Utilities\DownloadLogsFromS3.py --loco 4036 --day 2017-10-24</v>
      </c>
      <c r="AN182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25"/>
        <v>https://d0f6bd738d7f1b3e5a7ca70fe4ff75f0.us-east-1.aws.found.io/app/kibana#/discover/Steve-Slow-Train-Analysis-(2080s-and-2083s)?_g=(refreshInterval:(display:Off,pause:!f,section:0,value:0),time:(from:'2017-10-24T13:01:25-0600',mode:absolute,to:'2017-10-24T15:22:44-0600'))&amp;_a=(columns:!('Message%20ID',Summary),filters:!(),index:'emp_*',interval:auto,query:(query_string:(analyze_wildcard:!t,query:'%22rtdc.l.rtdc.4036%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796</v>
      </c>
      <c r="B183" s="7">
        <v>4035</v>
      </c>
      <c r="C183" s="21" t="s">
        <v>194</v>
      </c>
      <c r="D183" s="21" t="s">
        <v>637</v>
      </c>
      <c r="E183" s="13">
        <v>43032.60019675926</v>
      </c>
      <c r="F183" s="13">
        <v>43032.613252314812</v>
      </c>
      <c r="G183" s="7">
        <v>48</v>
      </c>
      <c r="H183" s="21" t="s">
        <v>1052</v>
      </c>
      <c r="I183" s="13">
        <v>43032.621377314812</v>
      </c>
      <c r="J183" s="7">
        <v>0</v>
      </c>
      <c r="K183" s="89" t="str">
        <f>IF(ISEVEN(B183),(B183-1)&amp;"/"&amp;B183,B183&amp;"/"&amp;(B183+1))</f>
        <v>4035/4036</v>
      </c>
      <c r="L183" s="185" t="str">
        <f>VLOOKUP(A183,'Trips&amp;Operators'!$C$1:$G$99911,5,FALSE)</f>
        <v>GUZMAN DANNY</v>
      </c>
      <c r="M183" s="6">
        <f>I183-F183</f>
        <v>8.1250000002910383E-3</v>
      </c>
      <c r="N183" s="7">
        <f>24*60*SUM($M183:$M183)</f>
        <v>11.700000000419095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-24T13:24:17-0600',mode:absolute,to:'2017-10-24T15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5.8616999999999999</v>
      </c>
      <c r="Z183" s="204">
        <f>RIGHT(H183,LEN(H183)-4)/10000</f>
        <v>8.0399999999999999E-2</v>
      </c>
      <c r="AA183" s="204">
        <f>ABS(Z183-Y183)</f>
        <v>5.7812999999999999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/stypes="app*4035*20171024*"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1"/>
        <v>"%USERPROFILE%\Documents\GitHub\eaglep3\Utilities\RefineRTDCRunTimes.py" --tripid 824-24 --locoid 4035 --swversion DE.1.0.9.0 --startMP 300:58617 --initTime 2017-10-24T14:24:17 --startdatetime 2017-10-24T14:43:05 --delay 48 --endMP 204:804 --enddatetime 2017-10-24T14:54:47 --enforcementcount 0 &gt;&gt;%USERPROFILE%\Documents\GitHub\eaglep3-reporting\EC\2017-10-24-refined-times.txt</v>
      </c>
      <c r="AI183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{"issue":{"subject":"","project_id":79,"tracker_id":40,"status_id":1,"priority_id":2,"assigned_to_id":338,"start_date":"2017-10-24","description":"","custom_fields":[{"id":1,"name":"Subdivision","value":"NW"},{"id":4,"name":"Milepost","value":"0.0804"},{"id":17,"name":"Train ID","value":"824-24"},{"id":16,"name":"Locomotive ID","value":"4035"},{"id":130,"name":"Impact","value":""},{"id":150,"name":"Time of Event (Mountain Time)","value":"14:54:47"},{"id":151,"name":"Denver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3"/>
        <v>start /low /b %USERPROFILE%\Documents\GitHub\eaglep3\Utilities\DownloadLogsFromS3.py --loco 4035 --day 2017-10-24</v>
      </c>
      <c r="AN183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25"/>
        <v>https://d0f6bd738d7f1b3e5a7ca70fe4ff75f0.us-east-1.aws.found.io/app/kibana#/discover/Steve-Slow-Train-Analysis-(2080s-and-2083s)?_g=(refreshInterval:(display:Off,pause:!f,section:0,value:0),time:(from:'2017-10-24T13:24:17-0600',mode:absolute,to:'2017-10-24T15:54:47-0600'))&amp;_a=(columns:!('Message%20ID',Summary),filters:!(),index:'emp_*',interval:auto,query:(query_string:(analyze_wildcard:!t,query:'%22rtdc.l.rtdc.4035%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802</v>
      </c>
      <c r="B184" s="7">
        <v>4036</v>
      </c>
      <c r="C184" s="21" t="s">
        <v>194</v>
      </c>
      <c r="D184" s="21" t="s">
        <v>1053</v>
      </c>
      <c r="E184" s="13">
        <v>43032.623240740744</v>
      </c>
      <c r="F184" s="13">
        <v>43032.631493055553</v>
      </c>
      <c r="G184" s="7">
        <v>64</v>
      </c>
      <c r="H184" s="21" t="s">
        <v>628</v>
      </c>
      <c r="I184" s="13">
        <v>43032.641030092593</v>
      </c>
      <c r="J184" s="7">
        <v>0</v>
      </c>
      <c r="K184" s="89" t="str">
        <f>IF(ISEVEN(B184),(B184-1)&amp;"/"&amp;B184,B184&amp;"/"&amp;(B184+1))</f>
        <v>4035/4036</v>
      </c>
      <c r="L184" s="185" t="str">
        <f>VLOOKUP(A184,'Trips&amp;Operators'!$C$1:$G$99911,5,FALSE)</f>
        <v>NEWELL JAMES</v>
      </c>
      <c r="M184" s="6">
        <f>I184-F184</f>
        <v>9.5370370399905369E-3</v>
      </c>
      <c r="N184" s="7">
        <f>24*60*SUM($M184:$M184)</f>
        <v>13.733333337586373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-24T13:57:28-0600',mode:absolute,to:'2017-10-24T16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0.10979999999999999</v>
      </c>
      <c r="Z184" s="204">
        <f>RIGHT(H184,LEN(H184)-4)/10000</f>
        <v>5.8925999999999998</v>
      </c>
      <c r="AA184" s="204">
        <f>ABS(Z184-Y184)</f>
        <v>5.7827999999999999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/stypes="app*4036*20171024*"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1"/>
        <v>"%USERPROFILE%\Documents\GitHub\eaglep3\Utilities\RefineRTDCRunTimes.py" --tripid 825-24 --locoid 4036 --swversion DE.1.0.9.0 --startMP 204:1098 --initTime 2017-10-24T14:57:28 --startdatetime 2017-10-24T15:09:21 --delay 64 --endMP 300:58926 --enddatetime 2017-10-24T15:23:05 --enforcementcount 0 &gt;&gt;%USERPROFILE%\Documents\GitHub\eaglep3-reporting\EC\2017-10-24-refined-times.txt</v>
      </c>
      <c r="AI184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{"issue":{"subject":"","project_id":79,"tracker_id":40,"status_id":1,"priority_id":2,"assigned_to_id":338,"start_date":"2017-10-24","description":"","custom_fields":[{"id":1,"name":"Subdivision","value":"NW"},{"id":4,"name":"Milepost","value":"5.8926"},{"id":17,"name":"Train ID","value":"825-24"},{"id":16,"name":"Locomotive ID","value":"4036"},{"id":130,"name":"Impact","value":""},{"id":150,"name":"Time of Event (Mountain Time)","value":"15:23:05"},{"id":151,"name":"Denver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3"/>
        <v>start /low /b %USERPROFILE%\Documents\GitHub\eaglep3\Utilities\DownloadLogsFromS3.py --loco 4036 --day 2017-10-24</v>
      </c>
      <c r="AN184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25"/>
        <v>https://d0f6bd738d7f1b3e5a7ca70fe4ff75f0.us-east-1.aws.found.io/app/kibana#/discover/Steve-Slow-Train-Analysis-(2080s-and-2083s)?_g=(refreshInterval:(display:Off,pause:!f,section:0,value:0),time:(from:'2017-10-24T13:57:28-0600',mode:absolute,to:'2017-10-24T16:23:05-0600'))&amp;_a=(columns:!('Message%20ID',Summary),filters:!(),index:'emp_*',interval:auto,query:(query_string:(analyze_wildcard:!t,query:'%22rtdc.l.rtdc.4036%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808</v>
      </c>
      <c r="B185" s="7">
        <v>4035</v>
      </c>
      <c r="C185" s="21" t="s">
        <v>194</v>
      </c>
      <c r="D185" s="21" t="s">
        <v>1054</v>
      </c>
      <c r="E185" s="13">
        <v>43032.642025462963</v>
      </c>
      <c r="F185" s="13">
        <v>43032.654895833337</v>
      </c>
      <c r="G185" s="7">
        <v>59</v>
      </c>
      <c r="H185" s="21" t="s">
        <v>1055</v>
      </c>
      <c r="I185" s="13">
        <v>43032.662453703706</v>
      </c>
      <c r="J185" s="7">
        <v>0</v>
      </c>
      <c r="K185" s="89" t="str">
        <f>IF(ISEVEN(B185),(B185-1)&amp;"/"&amp;B185,B185&amp;"/"&amp;(B185+1))</f>
        <v>4035/4036</v>
      </c>
      <c r="L185" s="185" t="str">
        <f>VLOOKUP(A185,'Trips&amp;Operators'!$C$1:$G$99911,5,FALSE)</f>
        <v>NEWELL JAMES</v>
      </c>
      <c r="M185" s="6">
        <f>I185-F185</f>
        <v>7.5578703690553084E-3</v>
      </c>
      <c r="N185" s="7">
        <f>24*60*SUM($M185:$M185)</f>
        <v>10.883333331439644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-24T14:24:31-0600',mode:absolute,to:'2017-10-24T16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5.8601999999999999</v>
      </c>
      <c r="Z185" s="204">
        <f>RIGHT(H185,LEN(H185)-4)/10000</f>
        <v>8.1699999999999995E-2</v>
      </c>
      <c r="AA185" s="204">
        <f>ABS(Z185-Y185)</f>
        <v>5.7785000000000002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/stypes="app*4035*20171024*"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1"/>
        <v>"%USERPROFILE%\Documents\GitHub\eaglep3\Utilities\RefineRTDCRunTimes.py" --tripid 826-24 --locoid 4035 --swversion DE.1.0.9.0 --startMP 300:58602 --initTime 2017-10-24T15:24:31 --startdatetime 2017-10-24T15:43:03 --delay 59 --endMP 204:817 --enddatetime 2017-10-24T15:53:56 --enforcementcount 0 &gt;&gt;%USERPROFILE%\Documents\GitHub\eaglep3-reporting\EC\2017-10-24-refined-times.txt</v>
      </c>
      <c r="AI185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{"issue":{"subject":"","project_id":79,"tracker_id":40,"status_id":1,"priority_id":2,"assigned_to_id":338,"start_date":"2017-10-24","description":"","custom_fields":[{"id":1,"name":"Subdivision","value":"NW"},{"id":4,"name":"Milepost","value":"0.0817"},{"id":17,"name":"Train ID","value":"826-24"},{"id":16,"name":"Locomotive ID","value":"4035"},{"id":130,"name":"Impact","value":""},{"id":150,"name":"Time of Event (Mountain Time)","value":"15:53:56"},{"id":151,"name":"Denver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3"/>
        <v>start /low /b %USERPROFILE%\Documents\GitHub\eaglep3\Utilities\DownloadLogsFromS3.py --loco 4035 --day 2017-10-24</v>
      </c>
      <c r="AN185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25"/>
        <v>https://d0f6bd738d7f1b3e5a7ca70fe4ff75f0.us-east-1.aws.found.io/app/kibana#/discover/Steve-Slow-Train-Analysis-(2080s-and-2083s)?_g=(refreshInterval:(display:Off,pause:!f,section:0,value:0),time:(from:'2017-10-24T14:24:31-0600',mode:absolute,to:'2017-10-24T16:53:56-0600'))&amp;_a=(columns:!('Message%20ID',Summary),filters:!(),index:'emp_*',interval:auto,query:(query_string:(analyze_wildcard:!t,query:'%22rtdc.l.rtdc.4035%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666</v>
      </c>
      <c r="B186" s="7">
        <v>4064</v>
      </c>
      <c r="C186" s="21" t="s">
        <v>194</v>
      </c>
      <c r="D186" s="21" t="s">
        <v>1056</v>
      </c>
      <c r="E186" s="13">
        <v>43032.644999999997</v>
      </c>
      <c r="F186" s="13">
        <v>43032.652245370373</v>
      </c>
      <c r="G186" s="7">
        <v>144</v>
      </c>
      <c r="H186" s="21" t="s">
        <v>1057</v>
      </c>
      <c r="I186" s="13">
        <v>43032.663229166668</v>
      </c>
      <c r="J186" s="7">
        <v>0</v>
      </c>
      <c r="K186" s="89" t="str">
        <f>IF(ISEVEN(B186),(B186-1)&amp;"/"&amp;B186,B186&amp;"/"&amp;(B186+1))</f>
        <v>4063/4064</v>
      </c>
      <c r="L186" s="185" t="str">
        <f>VLOOKUP(A186,'Trips&amp;Operators'!$C$1:$G$99911,5,FALSE)</f>
        <v>ROBINSON KADDIBA</v>
      </c>
      <c r="M186" s="6">
        <f>I186-F186</f>
        <v>1.0983796295477077E-2</v>
      </c>
      <c r="N186" s="7">
        <f>24*60*SUM($M186:$M186)</f>
        <v>15.816666665486991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-24T14:28:48-0600',mode:absolute,to:'2017-10-24T16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9.4399999999999998E-2</v>
      </c>
      <c r="Z186" s="204">
        <f>RIGHT(H186,LEN(H186)-4)/10000</f>
        <v>5.9006999999999996</v>
      </c>
      <c r="AA186" s="204">
        <f>ABS(Z186-Y186)</f>
        <v>5.8062999999999994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/stypes="app*4064*20171024*"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1"/>
        <v>"%USERPROFILE%\Documents\GitHub\eaglep3\Utilities\RefineRTDCRunTimes.py" --tripid 827-24 --locoid 4064 --swversion DE.1.0.9.0 --startMP 204:944 --initTime 2017-10-24T15:28:48 --startdatetime 2017-10-24T15:39:14 --delay 144 --endMP 300:59007 --enddatetime 2017-10-24T15:55:03 --enforcementcount 0 &gt;&gt;%USERPROFILE%\Documents\GitHub\eaglep3-reporting\EC\2017-10-24-refined-times.txt</v>
      </c>
      <c r="AI186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{"issue":{"subject":"","project_id":79,"tracker_id":40,"status_id":1,"priority_id":2,"assigned_to_id":338,"start_date":"2017-10-24","description":"","custom_fields":[{"id":1,"name":"Subdivision","value":"NW"},{"id":4,"name":"Milepost","value":"5.9007"},{"id":17,"name":"Train ID","value":"827-24"},{"id":16,"name":"Locomotive ID","value":"4064"},{"id":130,"name":"Impact","value":""},{"id":150,"name":"Time of Event (Mountain Time)","value":"15:55:03"},{"id":151,"name":"Denver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3"/>
        <v>start /low /b %USERPROFILE%\Documents\GitHub\eaglep3\Utilities\DownloadLogsFromS3.py --loco 4064 --day 2017-10-24</v>
      </c>
      <c r="AN186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25"/>
        <v>https://d0f6bd738d7f1b3e5a7ca70fe4ff75f0.us-east-1.aws.found.io/app/kibana#/discover/Steve-Slow-Train-Analysis-(2080s-and-2083s)?_g=(refreshInterval:(display:Off,pause:!f,section:0,value:0),time:(from:'2017-10-24T14:28:48-0600',mode:absolute,to:'2017-10-24T16:55:03-0600'))&amp;_a=(columns:!('Message%20ID',Summary),filters:!(),index:'emp_*',interval:auto,query:(query_string:(analyze_wildcard:!t,query:'%22rtdc.l.rtdc.4064%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816</v>
      </c>
      <c r="B187" s="7">
        <v>4063</v>
      </c>
      <c r="C187" s="21" t="s">
        <v>194</v>
      </c>
      <c r="D187" s="21" t="s">
        <v>1058</v>
      </c>
      <c r="E187" s="13">
        <v>43032.664907407408</v>
      </c>
      <c r="F187" s="13">
        <v>43032.675752314812</v>
      </c>
      <c r="G187" s="7">
        <v>60</v>
      </c>
      <c r="H187" s="21" t="s">
        <v>1059</v>
      </c>
      <c r="I187" s="13">
        <v>43032.685983796298</v>
      </c>
      <c r="J187" s="7">
        <v>0</v>
      </c>
      <c r="K187" s="89" t="str">
        <f>IF(ISEVEN(B187),(B187-1)&amp;"/"&amp;B187,B187&amp;"/"&amp;(B187+1))</f>
        <v>4063/4064</v>
      </c>
      <c r="L187" s="185" t="str">
        <f>VLOOKUP(A187,'Trips&amp;Operators'!$C$1:$G$99911,5,FALSE)</f>
        <v>STAMBAUGH JAMES</v>
      </c>
      <c r="M187" s="6">
        <f>I187-F187</f>
        <v>1.0231481486698613E-2</v>
      </c>
      <c r="N187" s="7">
        <f>24*60*SUM($M187:$M187)</f>
        <v>14.733333340846002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-24T14:57:28-0600',mode:absolute,to:'2017-10-24T17:27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5.8696000000000002</v>
      </c>
      <c r="Z187" s="204">
        <f>RIGHT(H187,LEN(H187)-4)/10000</f>
        <v>7.0499999999999993E-2</v>
      </c>
      <c r="AA187" s="204">
        <f>ABS(Z187-Y187)</f>
        <v>5.7991000000000001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/stypes="app*4063*20171024*"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1"/>
        <v>"%USERPROFILE%\Documents\GitHub\eaglep3\Utilities\RefineRTDCRunTimes.py" --tripid 828-24 --locoid 4063 --swversion DE.1.0.9.0 --startMP 300:58696 --initTime 2017-10-24T15:57:28 --startdatetime 2017-10-24T16:13:05 --delay 60 --endMP 204:705 --enddatetime 2017-10-24T16:27:49 --enforcementcount 0 &gt;&gt;%USERPROFILE%\Documents\GitHub\eaglep3-reporting\EC\2017-10-24-refined-times.txt</v>
      </c>
      <c r="AI187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{"issue":{"subject":"","project_id":79,"tracker_id":40,"status_id":1,"priority_id":2,"assigned_to_id":338,"start_date":"2017-10-24","description":"","custom_fields":[{"id":1,"name":"Subdivision","value":"NW"},{"id":4,"name":"Milepost","value":"0.0705"},{"id":17,"name":"Train ID","value":"828-24"},{"id":16,"name":"Locomotive ID","value":"4063"},{"id":130,"name":"Impact","value":""},{"id":150,"name":"Time of Event (Mountain Time)","value":"16:27:49"},{"id":151,"name":"Denver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3"/>
        <v>start /low /b %USERPROFILE%\Documents\GitHub\eaglep3\Utilities\DownloadLogsFromS3.py --loco 4063 --day 2017-10-24</v>
      </c>
      <c r="AN187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22:27:49"},{"id":29,"name":"Sharepoint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25"/>
        <v>https://d0f6bd738d7f1b3e5a7ca70fe4ff75f0.us-east-1.aws.found.io/app/kibana#/discover/Steve-Slow-Train-Analysis-(2080s-and-2083s)?_g=(refreshInterval:(display:Off,pause:!f,section:0,value:0),time:(from:'2017-10-24T14:57:28-0600',mode:absolute,to:'2017-10-24T17:27:49-0600'))&amp;_a=(columns:!('Message%20ID',Summary),filters:!(),index:'emp_*',interval:auto,query:(query_string:(analyze_wildcard:!t,query:'%22rtdc.l.rtdc.4063%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817</v>
      </c>
      <c r="B188" s="7">
        <v>4036</v>
      </c>
      <c r="C188" s="21" t="s">
        <v>194</v>
      </c>
      <c r="D188" s="21" t="s">
        <v>1060</v>
      </c>
      <c r="E188" s="13">
        <v>43032.669861111113</v>
      </c>
      <c r="F188" s="13">
        <v>43032.673090277778</v>
      </c>
      <c r="G188" s="7">
        <v>63</v>
      </c>
      <c r="H188" s="21" t="s">
        <v>625</v>
      </c>
      <c r="I188" s="13">
        <v>43032.684155092589</v>
      </c>
      <c r="J188" s="7">
        <v>0</v>
      </c>
      <c r="K188" s="89" t="str">
        <f>IF(ISEVEN(B188),(B188-1)&amp;"/"&amp;B188,B188&amp;"/"&amp;(B188+1))</f>
        <v>4035/4036</v>
      </c>
      <c r="L188" s="185" t="str">
        <f>VLOOKUP(A188,'Trips&amp;Operators'!$C$1:$G$99911,5,FALSE)</f>
        <v>GUZMAN DANNY</v>
      </c>
      <c r="M188" s="6">
        <f>I188-F188</f>
        <v>1.1064814811106771E-2</v>
      </c>
      <c r="N188" s="7">
        <f>24*60*SUM($M188:$M188)</f>
        <v>15.933333327993751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-24T15:04:36-0600',mode:absolute,to:'2017-10-24T17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0.1095</v>
      </c>
      <c r="Z188" s="204">
        <f>RIGHT(H188,LEN(H188)-4)/10000</f>
        <v>5.8929</v>
      </c>
      <c r="AA188" s="204">
        <f>ABS(Z188-Y188)</f>
        <v>5.7834000000000003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/stypes="app*4036*20171024*"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1"/>
        <v>"%USERPROFILE%\Documents\GitHub\eaglep3\Utilities\RefineRTDCRunTimes.py" --tripid 829-24 --locoid 4036 --swversion DE.1.0.9.0 --startMP 204:1095 --initTime 2017-10-24T16:04:36 --startdatetime 2017-10-24T16:09:15 --delay 63 --endMP 300:58929 --enddatetime 2017-10-24T16:25:11 --enforcementcount 0 &gt;&gt;%USERPROFILE%\Documents\GitHub\eaglep3-reporting\EC\2017-10-24-refined-times.txt</v>
      </c>
      <c r="AI188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{"issue":{"subject":"","project_id":79,"tracker_id":40,"status_id":1,"priority_id":2,"assigned_to_id":338,"start_date":"2017-10-24","description":"","custom_fields":[{"id":1,"name":"Subdivision","value":"NW"},{"id":4,"name":"Milepost","value":"5.8929"},{"id":17,"name":"Train ID","value":"829-24"},{"id":16,"name":"Locomotive ID","value":"4036"},{"id":130,"name":"Impact","value":""},{"id":150,"name":"Time of Event (Mountain Time)","value":"16:25:11"},{"id":151,"name":"Denver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3"/>
        <v>start /low /b %USERPROFILE%\Documents\GitHub\eaglep3\Utilities\DownloadLogsFromS3.py --loco 4036 --day 2017-10-24</v>
      </c>
      <c r="AN188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25"/>
        <v>https://d0f6bd738d7f1b3e5a7ca70fe4ff75f0.us-east-1.aws.found.io/app/kibana#/discover/Steve-Slow-Train-Analysis-(2080s-and-2083s)?_g=(refreshInterval:(display:Off,pause:!f,section:0,value:0),time:(from:'2017-10-24T15:04:36-0600',mode:absolute,to:'2017-10-24T17:25:11-0600'))&amp;_a=(columns:!('Message%20ID',Summary),filters:!(),index:'emp_*',interval:auto,query:(query_string:(analyze_wildcard:!t,query:'%22rtdc.l.rtdc.4036%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822</v>
      </c>
      <c r="B189" s="7">
        <v>4035</v>
      </c>
      <c r="C189" s="21" t="s">
        <v>194</v>
      </c>
      <c r="D189" s="21" t="s">
        <v>626</v>
      </c>
      <c r="E189" s="13">
        <v>43032.685115740744</v>
      </c>
      <c r="F189" s="13">
        <v>43032.696145833332</v>
      </c>
      <c r="G189" s="7">
        <v>54</v>
      </c>
      <c r="H189" s="21" t="s">
        <v>1061</v>
      </c>
      <c r="I189" s="13">
        <v>43032.704513888886</v>
      </c>
      <c r="J189" s="7">
        <v>0</v>
      </c>
      <c r="K189" s="89" t="str">
        <f>IF(ISEVEN(B189),(B189-1)&amp;"/"&amp;B189,B189&amp;"/"&amp;(B189+1))</f>
        <v>4035/4036</v>
      </c>
      <c r="L189" s="185" t="str">
        <f>VLOOKUP(A189,'Trips&amp;Operators'!$C$1:$G$99911,5,FALSE)</f>
        <v>GUZMAN DANNY</v>
      </c>
      <c r="M189" s="6">
        <f>I189-F189</f>
        <v>8.3680555544560775E-3</v>
      </c>
      <c r="N189" s="7">
        <f>24*60*SUM($M189:$M189)</f>
        <v>12.049999998416752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-24T15:26:34-0600',mode:absolute,to:'2017-10-24T17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5.8609</v>
      </c>
      <c r="Z189" s="204">
        <f>RIGHT(H189,LEN(H189)-4)/10000</f>
        <v>7.8299999999999995E-2</v>
      </c>
      <c r="AA189" s="204">
        <f>ABS(Z189-Y189)</f>
        <v>5.7826000000000004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/stypes="app*4035*20171024*"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1"/>
        <v>"%USERPROFILE%\Documents\GitHub\eaglep3\Utilities\RefineRTDCRunTimes.py" --tripid 830-24 --locoid 4035 --swversion DE.1.0.9.0 --startMP 300:58609 --initTime 2017-10-24T16:26:34 --startdatetime 2017-10-24T16:42:27 --delay 54 --endMP 204:783 --enddatetime 2017-10-24T16:54:30 --enforcementcount 0 &gt;&gt;%USERPROFILE%\Documents\GitHub\eaglep3-reporting\EC\2017-10-24-refined-times.txt</v>
      </c>
      <c r="AI189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{"issue":{"subject":"","project_id":79,"tracker_id":40,"status_id":1,"priority_id":2,"assigned_to_id":338,"start_date":"2017-10-24","description":"","custom_fields":[{"id":1,"name":"Subdivision","value":"NW"},{"id":4,"name":"Milepost","value":"0.0783"},{"id":17,"name":"Train ID","value":"830-24"},{"id":16,"name":"Locomotive ID","value":"4035"},{"id":130,"name":"Impact","value":""},{"id":150,"name":"Time of Event (Mountain Time)","value":"16:54:30"},{"id":151,"name":"Denver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3"/>
        <v>start /low /b %USERPROFILE%\Documents\GitHub\eaglep3\Utilities\DownloadLogsFromS3.py --loco 4035 --day 2017-10-24</v>
      </c>
      <c r="AN189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25"/>
        <v>https://d0f6bd738d7f1b3e5a7ca70fe4ff75f0.us-east-1.aws.found.io/app/kibana#/discover/Steve-Slow-Train-Analysis-(2080s-and-2083s)?_g=(refreshInterval:(display:Off,pause:!f,section:0,value:0),time:(from:'2017-10-24T15:26:34-0600',mode:absolute,to:'2017-10-24T17:54:30-0600'))&amp;_a=(columns:!('Message%20ID',Summary),filters:!(),index:'emp_*',interval:auto,query:(query_string:(analyze_wildcard:!t,query:'%22rtdc.l.rtdc.4035%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825</v>
      </c>
      <c r="B190" s="7">
        <v>4064</v>
      </c>
      <c r="C190" s="21" t="s">
        <v>194</v>
      </c>
      <c r="D190" s="21" t="s">
        <v>629</v>
      </c>
      <c r="E190" s="13">
        <v>43032.691678240742</v>
      </c>
      <c r="F190" s="13">
        <v>43032.694178240738</v>
      </c>
      <c r="G190" s="7">
        <v>61</v>
      </c>
      <c r="H190" s="21" t="s">
        <v>633</v>
      </c>
      <c r="I190" s="13">
        <v>43032.703923611109</v>
      </c>
      <c r="J190" s="7">
        <v>0</v>
      </c>
      <c r="K190" s="89" t="str">
        <f>IF(ISEVEN(B190),(B190-1)&amp;"/"&amp;B190,B190&amp;"/"&amp;(B190+1))</f>
        <v>4063/4064</v>
      </c>
      <c r="L190" s="185" t="str">
        <f>VLOOKUP(A190,'Trips&amp;Operators'!$C$1:$G$99911,5,FALSE)</f>
        <v>STAMBAUGH JAMES</v>
      </c>
      <c r="M190" s="6">
        <f>I190-F190</f>
        <v>9.7453703710925765E-3</v>
      </c>
      <c r="N190" s="7">
        <f>24*60*SUM($M190:$M190)</f>
        <v>14.03333333437331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-24T15:36:01-0600',mode:absolute,to:'2017-10-24T17:53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9.5699999999999993E-2</v>
      </c>
      <c r="Z190" s="204">
        <f>RIGHT(H190,LEN(H190)-4)/10000</f>
        <v>5.8943000000000003</v>
      </c>
      <c r="AA190" s="204">
        <f>ABS(Z190-Y190)</f>
        <v>5.7986000000000004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/stypes="app*4064*20171024*"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1"/>
        <v>"%USERPROFILE%\Documents\GitHub\eaglep3\Utilities\RefineRTDCRunTimes.py" --tripid 831-24 --locoid 4064 --swversion DE.1.0.9.0 --startMP 204:957 --initTime 2017-10-24T16:36:01 --startdatetime 2017-10-24T16:39:37 --delay 61 --endMP 300:58943 --enddatetime 2017-10-24T16:53:39 --enforcementcount 0 &gt;&gt;%USERPROFILE%\Documents\GitHub\eaglep3-reporting\EC\2017-10-24-refined-times.txt</v>
      </c>
      <c r="AI190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{"issue":{"subject":"","project_id":79,"tracker_id":40,"status_id":1,"priority_id":2,"assigned_to_id":338,"start_date":"2017-10-24","description":"","custom_fields":[{"id":1,"name":"Subdivision","value":"NW"},{"id":4,"name":"Milepost","value":"5.8943"},{"id":17,"name":"Train ID","value":"831-24"},{"id":16,"name":"Locomotive ID","value":"4064"},{"id":130,"name":"Impact","value":""},{"id":150,"name":"Time of Event (Mountain Time)","value":"16:53:39"},{"id":151,"name":"Denver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3"/>
        <v>start /low /b %USERPROFILE%\Documents\GitHub\eaglep3\Utilities\DownloadLogsFromS3.py --loco 4064 --day 2017-10-24</v>
      </c>
      <c r="AN190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22:53:39"},{"id":29,"name":"Sharepoint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25"/>
        <v>https://d0f6bd738d7f1b3e5a7ca70fe4ff75f0.us-east-1.aws.found.io/app/kibana#/discover/Steve-Slow-Train-Analysis-(2080s-and-2083s)?_g=(refreshInterval:(display:Off,pause:!f,section:0,value:0),time:(from:'2017-10-24T15:36:01-0600',mode:absolute,to:'2017-10-24T17:53:39-0600'))&amp;_a=(columns:!('Message%20ID',Summary),filters:!(),index:'emp_*',interval:auto,query:(query_string:(analyze_wildcard:!t,query:'%22rtdc.l.rtdc.4064%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829</v>
      </c>
      <c r="B191" s="7">
        <v>4063</v>
      </c>
      <c r="C191" s="21" t="s">
        <v>194</v>
      </c>
      <c r="D191" s="21" t="s">
        <v>636</v>
      </c>
      <c r="E191" s="13">
        <v>43032.704861111109</v>
      </c>
      <c r="F191" s="13">
        <v>43032.717488425929</v>
      </c>
      <c r="G191" s="7">
        <v>66</v>
      </c>
      <c r="H191" s="21" t="s">
        <v>1062</v>
      </c>
      <c r="I191" s="13">
        <v>43032.72515046296</v>
      </c>
      <c r="J191" s="7">
        <v>0</v>
      </c>
      <c r="K191" s="89" t="str">
        <f>IF(ISEVEN(B191),(B191-1)&amp;"/"&amp;B191,B191&amp;"/"&amp;(B191+1))</f>
        <v>4063/4064</v>
      </c>
      <c r="L191" s="185" t="str">
        <f>VLOOKUP(A191,'Trips&amp;Operators'!$C$1:$G$99911,5,FALSE)</f>
        <v>STAMBAUGH JAMES</v>
      </c>
      <c r="M191" s="6">
        <f>I191-F191</f>
        <v>7.6620370309683494E-3</v>
      </c>
      <c r="N191" s="7">
        <f>24*60*SUM($M191:$M191)</f>
        <v>11.033333324594423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-24T15:55:00-0600',mode:absolute,to:'2017-10-24T18:24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5.8630000000000004</v>
      </c>
      <c r="Z191" s="204">
        <f>RIGHT(H191,LEN(H191)-4)/10000</f>
        <v>6.3799999999999996E-2</v>
      </c>
      <c r="AA191" s="204">
        <f>ABS(Z191-Y191)</f>
        <v>5.7992000000000008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/stypes="app*4063*20171024*"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21"/>
        <v>"%USERPROFILE%\Documents\GitHub\eaglep3\Utilities\RefineRTDCRunTimes.py" --tripid 832-24 --locoid 4063 --swversion DE.1.0.9.0 --startMP 300:58630 --initTime 2017-10-24T16:55:00 --startdatetime 2017-10-24T17:13:11 --delay 66 --endMP 204:638 --enddatetime 2017-10-24T17:24:13 --enforcementcount 0 &gt;&gt;%USERPROFILE%\Documents\GitHub\eaglep3-reporting\EC\2017-10-24-refined-times.txt</v>
      </c>
      <c r="AI191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{"issue":{"subject":"","project_id":79,"tracker_id":40,"status_id":1,"priority_id":2,"assigned_to_id":338,"start_date":"2017-10-24","description":"","custom_fields":[{"id":1,"name":"Subdivision","value":"NW"},{"id":4,"name":"Milepost","value":"0.0638"},{"id":17,"name":"Train ID","value":"832-24"},{"id":16,"name":"Locomotive ID","value":"4063"},{"id":130,"name":"Impact","value":""},{"id":150,"name":"Time of Event (Mountain Time)","value":"17:24:13"},{"id":151,"name":"Denver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23"/>
        <v>start /low /b %USERPROFILE%\Documents\GitHub\eaglep3\Utilities\DownloadLogsFromS3.py --loco 4063 --day 2017-10-24</v>
      </c>
      <c r="AN191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25"/>
        <v>https://d0f6bd738d7f1b3e5a7ca70fe4ff75f0.us-east-1.aws.found.io/app/kibana#/discover/Steve-Slow-Train-Analysis-(2080s-and-2083s)?_g=(refreshInterval:(display:Off,pause:!f,section:0,value:0),time:(from:'2017-10-24T15:55:00-0600',mode:absolute,to:'2017-10-24T18:24:13-0600'))&amp;_a=(columns:!('Message%20ID',Summary),filters:!(),index:'emp_*',interval:auto,query:(query_string:(analyze_wildcard:!t,query:'%22rtdc.l.rtdc.4063%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831</v>
      </c>
      <c r="B192" s="7">
        <v>4036</v>
      </c>
      <c r="C192" s="21" t="s">
        <v>194</v>
      </c>
      <c r="D192" s="21" t="s">
        <v>1063</v>
      </c>
      <c r="E192" s="13">
        <v>43032.71199074074</v>
      </c>
      <c r="F192" s="13">
        <v>43032.714942129627</v>
      </c>
      <c r="G192" s="7">
        <v>46</v>
      </c>
      <c r="H192" s="21" t="s">
        <v>565</v>
      </c>
      <c r="I192" s="13">
        <v>43032.725451388891</v>
      </c>
      <c r="J192" s="7">
        <v>0</v>
      </c>
      <c r="K192" s="89" t="str">
        <f>IF(ISEVEN(B192),(B192-1)&amp;"/"&amp;B192,B192&amp;"/"&amp;(B192+1))</f>
        <v>4035/4036</v>
      </c>
      <c r="L192" s="185" t="str">
        <f>VLOOKUP(A192,'Trips&amp;Operators'!$C$1:$G$99911,5,FALSE)</f>
        <v>GUZMAN DANNY</v>
      </c>
      <c r="M192" s="6">
        <f>I192-F192</f>
        <v>1.0509259263926651E-2</v>
      </c>
      <c r="N192" s="7">
        <f>24*60*SUM($M192:$M192)</f>
        <v>15.133333340054378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-24T16:05:16-0600',mode:absolute,to:'2017-10-24T18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0.107</v>
      </c>
      <c r="Z192" s="204">
        <f>RIGHT(H192,LEN(H192)-4)/10000</f>
        <v>5.8933</v>
      </c>
      <c r="AA192" s="204">
        <f>ABS(Z192-Y192)</f>
        <v>5.7862999999999998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/stypes="app*4036*20171024*"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1"/>
        <v>"%USERPROFILE%\Documents\GitHub\eaglep3\Utilities\RefineRTDCRunTimes.py" --tripid 833-24 --locoid 4036 --swversion DE.1.0.9.0 --startMP 204:1070 --initTime 2017-10-24T17:05:16 --startdatetime 2017-10-24T17:09:31 --delay 46 --endMP 300:58933 --enddatetime 2017-10-24T17:24:39 --enforcementcount 0 &gt;&gt;%USERPROFILE%\Documents\GitHub\eaglep3-reporting\EC\2017-10-24-refined-times.txt</v>
      </c>
      <c r="AI192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{"issue":{"subject":"","project_id":79,"tracker_id":40,"status_id":1,"priority_id":2,"assigned_to_id":338,"start_date":"2017-10-24","description":"","custom_fields":[{"id":1,"name":"Subdivision","value":"NW"},{"id":4,"name":"Milepost","value":"5.8933"},{"id":17,"name":"Train ID","value":"833-24"},{"id":16,"name":"Locomotive ID","value":"4036"},{"id":130,"name":"Impact","value":""},{"id":150,"name":"Time of Event (Mountain Time)","value":"17:24:39"},{"id":151,"name":"Denver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3"/>
        <v>start /low /b %USERPROFILE%\Documents\GitHub\eaglep3\Utilities\DownloadLogsFromS3.py --loco 4036 --day 2017-10-24</v>
      </c>
      <c r="AN192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25"/>
        <v>https://d0f6bd738d7f1b3e5a7ca70fe4ff75f0.us-east-1.aws.found.io/app/kibana#/discover/Steve-Slow-Train-Analysis-(2080s-and-2083s)?_g=(refreshInterval:(display:Off,pause:!f,section:0,value:0),time:(from:'2017-10-24T16:05:16-0600',mode:absolute,to:'2017-10-24T18:24:39-0600'))&amp;_a=(columns:!('Message%20ID',Summary),filters:!(),index:'emp_*',interval:auto,query:(query_string:(analyze_wildcard:!t,query:'%22rtdc.l.rtdc.4036%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834</v>
      </c>
      <c r="B193" s="7">
        <v>4035</v>
      </c>
      <c r="C193" s="21" t="s">
        <v>194</v>
      </c>
      <c r="D193" s="21" t="s">
        <v>1064</v>
      </c>
      <c r="E193" s="13">
        <v>43032.726805555554</v>
      </c>
      <c r="F193" s="13">
        <v>43032.737754629627</v>
      </c>
      <c r="G193" s="7">
        <v>47</v>
      </c>
      <c r="H193" s="21" t="s">
        <v>1065</v>
      </c>
      <c r="I193" s="13">
        <v>43032.746678240743</v>
      </c>
      <c r="J193" s="7">
        <v>0</v>
      </c>
      <c r="K193" s="89" t="str">
        <f>IF(ISEVEN(B193),(B193-1)&amp;"/"&amp;B193,B193&amp;"/"&amp;(B193+1))</f>
        <v>4035/4036</v>
      </c>
      <c r="L193" s="185" t="str">
        <f>VLOOKUP(A193,'Trips&amp;Operators'!$C$1:$G$99911,5,FALSE)</f>
        <v>GUZMAN DANNY</v>
      </c>
      <c r="M193" s="6">
        <f>I193-F193</f>
        <v>8.9236111161881126E-3</v>
      </c>
      <c r="N193" s="7">
        <f>24*60*SUM($M193:$M193)</f>
        <v>12.850000007310882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-24T16:26:36-0600',mode:absolute,to:'2017-10-24T18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5.8611000000000004</v>
      </c>
      <c r="Z193" s="204">
        <f>RIGHT(H193,LEN(H193)-4)/10000</f>
        <v>7.7799999999999994E-2</v>
      </c>
      <c r="AA193" s="204">
        <f>ABS(Z193-Y193)</f>
        <v>5.7833000000000006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/stypes="app*4035*20171024*"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1"/>
        <v>"%USERPROFILE%\Documents\GitHub\eaglep3\Utilities\RefineRTDCRunTimes.py" --tripid 834-24 --locoid 4035 --swversion DE.1.0.9.0 --startMP 300:58611 --initTime 2017-10-24T17:26:36 --startdatetime 2017-10-24T17:42:22 --delay 47 --endMP 204:778 --enddatetime 2017-10-24T17:55:13 --enforcementcount 0 &gt;&gt;%USERPROFILE%\Documents\GitHub\eaglep3-reporting\EC\2017-10-24-refined-times.txt</v>
      </c>
      <c r="AI193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{"issue":{"subject":"","project_id":79,"tracker_id":40,"status_id":1,"priority_id":2,"assigned_to_id":338,"start_date":"2017-10-24","description":"","custom_fields":[{"id":1,"name":"Subdivision","value":"NW"},{"id":4,"name":"Milepost","value":"0.0778"},{"id":17,"name":"Train ID","value":"834-24"},{"id":16,"name":"Locomotive ID","value":"4035"},{"id":130,"name":"Impact","value":""},{"id":150,"name":"Time of Event (Mountain Time)","value":"17:55:13"},{"id":151,"name":"Denver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3"/>
        <v>start /low /b %USERPROFILE%\Documents\GitHub\eaglep3\Utilities\DownloadLogsFromS3.py --loco 4035 --day 2017-10-24</v>
      </c>
      <c r="AN193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25"/>
        <v>https://d0f6bd738d7f1b3e5a7ca70fe4ff75f0.us-east-1.aws.found.io/app/kibana#/discover/Steve-Slow-Train-Analysis-(2080s-and-2083s)?_g=(refreshInterval:(display:Off,pause:!f,section:0,value:0),time:(from:'2017-10-24T16:26:36-0600',mode:absolute,to:'2017-10-24T18:55:13-0600'))&amp;_a=(columns:!('Message%20ID',Summary),filters:!(),index:'emp_*',interval:auto,query:(query_string:(analyze_wildcard:!t,query:'%22rtdc.l.rtdc.4035%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836</v>
      </c>
      <c r="B194" s="7">
        <v>4064</v>
      </c>
      <c r="C194" s="21" t="s">
        <v>194</v>
      </c>
      <c r="D194" s="21" t="s">
        <v>1066</v>
      </c>
      <c r="E194" s="13">
        <v>43032.732511574075</v>
      </c>
      <c r="F194" s="13">
        <v>43032.735601851855</v>
      </c>
      <c r="G194" s="7">
        <v>64</v>
      </c>
      <c r="H194" s="21" t="s">
        <v>633</v>
      </c>
      <c r="I194" s="13">
        <v>43032.745555555557</v>
      </c>
      <c r="J194" s="7">
        <v>0</v>
      </c>
      <c r="K194" s="89" t="str">
        <f>IF(ISEVEN(B194),(B194-1)&amp;"/"&amp;B194,B194&amp;"/"&amp;(B194+1))</f>
        <v>4063/4064</v>
      </c>
      <c r="L194" s="185" t="str">
        <f>VLOOKUP(A194,'Trips&amp;Operators'!$C$1:$G$99911,5,FALSE)</f>
        <v>STAMBAUGH JAMES</v>
      </c>
      <c r="M194" s="6">
        <f>I194-F194</f>
        <v>9.9537037021946162E-3</v>
      </c>
      <c r="N194" s="7">
        <f>24*60*SUM($M194:$M194)</f>
        <v>14.333333331160247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-24T16:34:49-0600',mode:absolute,to:'2017-10-24T18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9.2499999999999999E-2</v>
      </c>
      <c r="Z194" s="204">
        <f>RIGHT(H194,LEN(H194)-4)/10000</f>
        <v>5.8943000000000003</v>
      </c>
      <c r="AA194" s="204">
        <f>ABS(Z194-Y194)</f>
        <v>5.8018000000000001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/stypes="app*4064*20171024*"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1"/>
        <v>"%USERPROFILE%\Documents\GitHub\eaglep3\Utilities\RefineRTDCRunTimes.py" --tripid 835-24 --locoid 4064 --swversion DE.1.0.9.0 --startMP 204:925 --initTime 2017-10-24T17:34:49 --startdatetime 2017-10-24T17:39:16 --delay 64 --endMP 300:58943 --enddatetime 2017-10-24T17:53:36 --enforcementcount 0 &gt;&gt;%USERPROFILE%\Documents\GitHub\eaglep3-reporting\EC\2017-10-24-refined-times.txt</v>
      </c>
      <c r="AI194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{"issue":{"subject":"","project_id":79,"tracker_id":40,"status_id":1,"priority_id":2,"assigned_to_id":338,"start_date":"2017-10-24","description":"","custom_fields":[{"id":1,"name":"Subdivision","value":"NW"},{"id":4,"name":"Milepost","value":"5.8943"},{"id":17,"name":"Train ID","value":"835-24"},{"id":16,"name":"Locomotive ID","value":"4064"},{"id":130,"name":"Impact","value":""},{"id":150,"name":"Time of Event (Mountain Time)","value":"17:53:36"},{"id":151,"name":"Denver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3"/>
        <v>start /low /b %USERPROFILE%\Documents\GitHub\eaglep3\Utilities\DownloadLogsFromS3.py --loco 4064 --day 2017-10-24</v>
      </c>
      <c r="AN194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25"/>
        <v>https://d0f6bd738d7f1b3e5a7ca70fe4ff75f0.us-east-1.aws.found.io/app/kibana#/discover/Steve-Slow-Train-Analysis-(2080s-and-2083s)?_g=(refreshInterval:(display:Off,pause:!f,section:0,value:0),time:(from:'2017-10-24T16:34:49-0600',mode:absolute,to:'2017-10-24T18:53:36-0600'))&amp;_a=(columns:!('Message%20ID',Summary),filters:!(),index:'emp_*',interval:auto,query:(query_string:(analyze_wildcard:!t,query:'%22rtdc.l.rtdc.4064%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669</v>
      </c>
      <c r="B195" s="7">
        <v>4063</v>
      </c>
      <c r="C195" s="21" t="s">
        <v>194</v>
      </c>
      <c r="D195" s="21" t="s">
        <v>636</v>
      </c>
      <c r="E195" s="13">
        <v>43032.746446759258</v>
      </c>
      <c r="F195" s="13">
        <v>43032.759143518517</v>
      </c>
      <c r="G195" s="7">
        <v>53</v>
      </c>
      <c r="H195" s="21" t="s">
        <v>1067</v>
      </c>
      <c r="I195" s="13">
        <v>43032.767013888886</v>
      </c>
      <c r="J195" s="7">
        <v>0</v>
      </c>
      <c r="K195" s="89" t="str">
        <f>IF(ISEVEN(B195),(B195-1)&amp;"/"&amp;B195,B195&amp;"/"&amp;(B195+1))</f>
        <v>4063/4064</v>
      </c>
      <c r="L195" s="185" t="str">
        <f>VLOOKUP(A195,'Trips&amp;Operators'!$C$1:$G$99911,5,FALSE)</f>
        <v>STAMBAUGH JAMES</v>
      </c>
      <c r="M195" s="6">
        <f>I195-F195</f>
        <v>7.8703703693463467E-3</v>
      </c>
      <c r="N195" s="7">
        <f>24*60*SUM($M195:$M195)</f>
        <v>11.333333331858739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-24T16:54:53-0600',mode:absolute,to:'2017-10-24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5.8630000000000004</v>
      </c>
      <c r="Z195" s="204">
        <f>RIGHT(H195,LEN(H195)-4)/10000</f>
        <v>6.3600000000000004E-2</v>
      </c>
      <c r="AA195" s="204">
        <f>ABS(Z195-Y195)</f>
        <v>5.7994000000000003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/stypes="app*4063*20171025*"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21"/>
        <v>"%USERPROFILE%\Documents\GitHub\eaglep3\Utilities\RefineRTDCRunTimes.py" --tripid 836-24 --locoid 4063 --swversion DE.1.0.9.0 --startMP 300:58630 --initTime 2017-10-24T17:54:53 --startdatetime 2017-10-24T18:13:10 --delay 53 --endMP 204:636 --enddatetime 2017-10-24T18:24:30 --enforcementcount 0 &gt;&gt;%USERPROFILE%\Documents\GitHub\eaglep3-reporting\EC\2017-10-24-refined-times.txt</v>
      </c>
      <c r="AI195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{"issue":{"subject":"","project_id":79,"tracker_id":40,"status_id":1,"priority_id":2,"assigned_to_id":338,"start_date":"2017-10-24","description":"","custom_fields":[{"id":1,"name":"Subdivision","value":"NW"},{"id":4,"name":"Milepost","value":"0.0636"},{"id":17,"name":"Train ID","value":"836-24"},{"id":16,"name":"Locomotive ID","value":"4063"},{"id":130,"name":"Impact","value":""},{"id":150,"name":"Time of Event (Mountain Time)","value":"18:24:30"},{"id":151,"name":"Denver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23"/>
        <v>start /low /b %USERPROFILE%\Documents\GitHub\eaglep3\Utilities\DownloadLogsFromS3.py --loco 4063 --day 2017-10-24</v>
      </c>
      <c r="AN195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25"/>
        <v>https://d0f6bd738d7f1b3e5a7ca70fe4ff75f0.us-east-1.aws.found.io/app/kibana#/discover/Steve-Slow-Train-Analysis-(2080s-and-2083s)?_g=(refreshInterval:(display:Off,pause:!f,section:0,value:0),time:(from:'2017-10-24T16:54:53-0600',mode:absolute,to:'2017-10-24T19:24:30-0600'))&amp;_a=(columns:!('Message%20ID',Summary),filters:!(),index:'emp_*',interval:auto,query:(query_string:(analyze_wildcard:!t,query:'%22rtdc.l.rtdc.4063%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844</v>
      </c>
      <c r="B196" s="7">
        <v>4036</v>
      </c>
      <c r="C196" s="21" t="s">
        <v>194</v>
      </c>
      <c r="D196" s="21" t="s">
        <v>1068</v>
      </c>
      <c r="E196" s="13">
        <v>43032.753298611111</v>
      </c>
      <c r="F196" s="13">
        <v>43032.756516203706</v>
      </c>
      <c r="G196" s="7">
        <v>63</v>
      </c>
      <c r="H196" s="21" t="s">
        <v>625</v>
      </c>
      <c r="I196" s="13">
        <v>43032.767199074071</v>
      </c>
      <c r="J196" s="7">
        <v>0</v>
      </c>
      <c r="K196" s="89" t="str">
        <f>IF(ISEVEN(B196),(B196-1)&amp;"/"&amp;B196,B196&amp;"/"&amp;(B196+1))</f>
        <v>4035/4036</v>
      </c>
      <c r="L196" s="185" t="str">
        <f>VLOOKUP(A196,'Trips&amp;Operators'!$C$1:$G$99911,5,FALSE)</f>
        <v>GUZMAN DANNY</v>
      </c>
      <c r="M196" s="6">
        <f>I196-F196</f>
        <v>1.0682870364689734E-2</v>
      </c>
      <c r="N196" s="7">
        <f>24*60*SUM($M196:$M196)</f>
        <v>15.383333325153217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-24T17:04:45-0600',mode:absolute,to:'2017-10-24T19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0.1042</v>
      </c>
      <c r="Z196" s="204">
        <f>RIGHT(H196,LEN(H196)-4)/10000</f>
        <v>5.8929</v>
      </c>
      <c r="AA196" s="204">
        <f>ABS(Z196-Y196)</f>
        <v>5.7887000000000004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/stypes="app*4036*20171025*"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1"/>
        <v>"%USERPROFILE%\Documents\GitHub\eaglep3\Utilities\RefineRTDCRunTimes.py" --tripid 837-24 --locoid 4036 --swversion DE.1.0.9.0 --startMP 204:1042 --initTime 2017-10-24T18:04:45 --startdatetime 2017-10-24T18:09:23 --delay 63 --endMP 300:58929 --enddatetime 2017-10-24T18:24:46 --enforcementcount 0 &gt;&gt;%USERPROFILE%\Documents\GitHub\eaglep3-reporting\EC\2017-10-24-refined-times.txt</v>
      </c>
      <c r="AI196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{"issue":{"subject":"","project_id":79,"tracker_id":40,"status_id":1,"priority_id":2,"assigned_to_id":338,"start_date":"2017-10-24","description":"","custom_fields":[{"id":1,"name":"Subdivision","value":"NW"},{"id":4,"name":"Milepost","value":"5.8929"},{"id":17,"name":"Train ID","value":"837-24"},{"id":16,"name":"Locomotive ID","value":"4036"},{"id":130,"name":"Impact","value":""},{"id":150,"name":"Time of Event (Mountain Time)","value":"18:24:46"},{"id":151,"name":"Denver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3"/>
        <v>start /low /b %USERPROFILE%\Documents\GitHub\eaglep3\Utilities\DownloadLogsFromS3.py --loco 4036 --day 2017-10-24</v>
      </c>
      <c r="AN19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25"/>
        <v>https://d0f6bd738d7f1b3e5a7ca70fe4ff75f0.us-east-1.aws.found.io/app/kibana#/discover/Steve-Slow-Train-Analysis-(2080s-and-2083s)?_g=(refreshInterval:(display:Off,pause:!f,section:0,value:0),time:(from:'2017-10-24T17:04:45-0600',mode:absolute,to:'2017-10-24T19:24:46-0600'))&amp;_a=(columns:!('Message%20ID',Summary),filters:!(),index:'emp_*',interval:auto,query:(query_string:(analyze_wildcard:!t,query:'%22rtdc.l.rtdc.4036%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848</v>
      </c>
      <c r="B197" s="7">
        <v>4035</v>
      </c>
      <c r="C197" s="21" t="s">
        <v>194</v>
      </c>
      <c r="D197" s="21" t="s">
        <v>634</v>
      </c>
      <c r="E197" s="13">
        <v>43032.768553240741</v>
      </c>
      <c r="F197" s="13">
        <v>43032.779918981483</v>
      </c>
      <c r="G197" s="7">
        <v>58</v>
      </c>
      <c r="H197" s="21" t="s">
        <v>1052</v>
      </c>
      <c r="I197" s="13">
        <v>43032.787916666668</v>
      </c>
      <c r="J197" s="7">
        <v>0</v>
      </c>
      <c r="K197" s="89" t="str">
        <f>IF(ISEVEN(B197),(B197-1)&amp;"/"&amp;B197,B197&amp;"/"&amp;(B197+1))</f>
        <v>4035/4036</v>
      </c>
      <c r="L197" s="185" t="str">
        <f>VLOOKUP(A197,'Trips&amp;Operators'!$C$1:$G$99911,5,FALSE)</f>
        <v>GUZMAN DANNY</v>
      </c>
      <c r="M197" s="6">
        <f>I197-F197</f>
        <v>7.9976851848186925E-3</v>
      </c>
      <c r="N197" s="7">
        <f>24*60*SUM($M197:$M197)</f>
        <v>11.516666666138917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-24T17:26:43-0600',mode:absolute,to:'2017-10-24T19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5.8613</v>
      </c>
      <c r="Z197" s="204">
        <f>RIGHT(H197,LEN(H197)-4)/10000</f>
        <v>8.0399999999999999E-2</v>
      </c>
      <c r="AA197" s="204">
        <f>ABS(Z197-Y197)</f>
        <v>5.7808999999999999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/stypes="app*4035*20171025*"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1"/>
        <v>"%USERPROFILE%\Documents\GitHub\eaglep3\Utilities\RefineRTDCRunTimes.py" --tripid 838-24 --locoid 4035 --swversion DE.1.0.9.0 --startMP 300:58613 --initTime 2017-10-24T18:26:43 --startdatetime 2017-10-24T18:43:05 --delay 58 --endMP 204:804 --enddatetime 2017-10-24T18:54:36 --enforcementcount 0 &gt;&gt;%USERPROFILE%\Documents\GitHub\eaglep3-reporting\EC\2017-10-24-refined-times.txt</v>
      </c>
      <c r="AI197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{"issue":{"subject":"","project_id":79,"tracker_id":40,"status_id":1,"priority_id":2,"assigned_to_id":338,"start_date":"2017-10-24","description":"","custom_fields":[{"id":1,"name":"Subdivision","value":"NW"},{"id":4,"name":"Milepost","value":"0.0804"},{"id":17,"name":"Train ID","value":"838-24"},{"id":16,"name":"Locomotive ID","value":"4035"},{"id":130,"name":"Impact","value":""},{"id":150,"name":"Time of Event (Mountain Time)","value":"18:54:36"},{"id":151,"name":"Denver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3"/>
        <v>start /low /b %USERPROFILE%\Documents\GitHub\eaglep3\Utilities\DownloadLogsFromS3.py --loco 4035 --day 2017-10-24</v>
      </c>
      <c r="AN19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25"/>
        <v>https://d0f6bd738d7f1b3e5a7ca70fe4ff75f0.us-east-1.aws.found.io/app/kibana#/discover/Steve-Slow-Train-Analysis-(2080s-and-2083s)?_g=(refreshInterval:(display:Off,pause:!f,section:0,value:0),time:(from:'2017-10-24T17:26:43-0600',mode:absolute,to:'2017-10-24T19:54:36-0600'))&amp;_a=(columns:!('Message%20ID',Summary),filters:!(),index:'emp_*',interval:auto,query:(query_string:(analyze_wildcard:!t,query:'%22rtdc.l.rtdc.4035%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849</v>
      </c>
      <c r="B198" s="7">
        <v>4064</v>
      </c>
      <c r="C198" s="21" t="s">
        <v>194</v>
      </c>
      <c r="D198" s="21" t="s">
        <v>1069</v>
      </c>
      <c r="E198" s="13">
        <v>43032.774826388886</v>
      </c>
      <c r="F198" s="13">
        <v>43032.777361111112</v>
      </c>
      <c r="G198" s="7">
        <v>50</v>
      </c>
      <c r="H198" s="21" t="s">
        <v>635</v>
      </c>
      <c r="I198" s="13">
        <v>43032.787662037037</v>
      </c>
      <c r="J198" s="7">
        <v>0</v>
      </c>
      <c r="K198" s="89" t="str">
        <f>IF(ISEVEN(B198),(B198-1)&amp;"/"&amp;B198,B198&amp;"/"&amp;(B198+1))</f>
        <v>4063/4064</v>
      </c>
      <c r="L198" s="185" t="str">
        <f>VLOOKUP(A198,'Trips&amp;Operators'!$C$1:$G$99911,5,FALSE)</f>
        <v>STAMBAUGH JAMES</v>
      </c>
      <c r="M198" s="6">
        <f>I198-F198</f>
        <v>1.0300925925548654E-2</v>
      </c>
      <c r="N198" s="7">
        <f>24*60*SUM($M198:$M198)</f>
        <v>14.833333332790062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-24T17:35:45-0600',mode:absolute,to:'2017-10-24T19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9.2700000000000005E-2</v>
      </c>
      <c r="Z198" s="204">
        <f>RIGHT(H198,LEN(H198)-4)/10000</f>
        <v>5.8948</v>
      </c>
      <c r="AA198" s="204">
        <f>ABS(Z198-Y198)</f>
        <v>5.8021000000000003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/stypes="app*4064*20171025*"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1"/>
        <v>"%USERPROFILE%\Documents\GitHub\eaglep3\Utilities\RefineRTDCRunTimes.py" --tripid 839-24 --locoid 4064 --swversion DE.1.0.9.0 --startMP 204:927 --initTime 2017-10-24T18:35:45 --startdatetime 2017-10-24T18:39:24 --delay 50 --endMP 300:58948 --enddatetime 2017-10-24T18:54:14 --enforcementcount 0 &gt;&gt;%USERPROFILE%\Documents\GitHub\eaglep3-reporting\EC\2017-10-24-refined-times.txt</v>
      </c>
      <c r="AI198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{"issue":{"subject":"","project_id":79,"tracker_id":40,"status_id":1,"priority_id":2,"assigned_to_id":338,"start_date":"2017-10-24","description":"","custom_fields":[{"id":1,"name":"Subdivision","value":"NW"},{"id":4,"name":"Milepost","value":"5.8948"},{"id":17,"name":"Train ID","value":"839-24"},{"id":16,"name":"Locomotive ID","value":"4064"},{"id":130,"name":"Impact","value":""},{"id":150,"name":"Time of Event (Mountain Time)","value":"18:54:14"},{"id":151,"name":"Denver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3"/>
        <v>start /low /b %USERPROFILE%\Documents\GitHub\eaglep3\Utilities\DownloadLogsFromS3.py --loco 4064 --day 2017-10-24</v>
      </c>
      <c r="AN198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25"/>
        <v>https://d0f6bd738d7f1b3e5a7ca70fe4ff75f0.us-east-1.aws.found.io/app/kibana#/discover/Steve-Slow-Train-Analysis-(2080s-and-2083s)?_g=(refreshInterval:(display:Off,pause:!f,section:0,value:0),time:(from:'2017-10-24T17:35:45-0600',mode:absolute,to:'2017-10-24T19:54:14-0600'))&amp;_a=(columns:!('Message%20ID',Summary),filters:!(),index:'emp_*',interval:auto,query:(query_string:(analyze_wildcard:!t,query:'%22rtdc.l.rtdc.4064%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858</v>
      </c>
      <c r="B199" s="7">
        <v>4035</v>
      </c>
      <c r="C199" s="21" t="s">
        <v>194</v>
      </c>
      <c r="D199" s="21" t="s">
        <v>1070</v>
      </c>
      <c r="E199" s="13">
        <v>43032.818425925929</v>
      </c>
      <c r="F199" s="13">
        <v>43032.821689814817</v>
      </c>
      <c r="G199" s="7">
        <v>96</v>
      </c>
      <c r="H199" s="21" t="s">
        <v>1071</v>
      </c>
      <c r="I199" s="13">
        <v>43032.832951388889</v>
      </c>
      <c r="J199" s="7">
        <v>0</v>
      </c>
      <c r="K199" s="89" t="str">
        <f>IF(ISEVEN(B199),(B199-1)&amp;"/"&amp;B199,B199&amp;"/"&amp;(B199+1))</f>
        <v>4035/4036</v>
      </c>
      <c r="L199" s="185" t="str">
        <f>VLOOKUP(A199,'Trips&amp;Operators'!$C$1:$G$99911,5,FALSE)</f>
        <v>GUZMAN DANNY</v>
      </c>
      <c r="M199" s="6">
        <f>I199-F199</f>
        <v>1.1261574072705116E-2</v>
      </c>
      <c r="N199" s="7">
        <f>24*60*SUM($M199:$M199)</f>
        <v>16.216666664695367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-24T18:38:32-0600',mode:absolute,to:'2017-10-24T20:59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99" s="204" t="str">
        <f>IF(AA199&lt;VLOOKUP(AG199,Variables!$AC$3:$AD$8,2,FALSE),"Y","N")</f>
        <v>Y</v>
      </c>
      <c r="X199" s="204">
        <f>VALUE(LEFT(AD199,4))-VALUE(LEFT(AD198,4))</f>
        <v>1</v>
      </c>
      <c r="Y199" s="204">
        <f>RIGHT(D199,LEN(D199)-4)/10000</f>
        <v>5.7241999999999997</v>
      </c>
      <c r="Z199" s="204">
        <f>RIGHT(H199,LEN(H199)-4)/10000</f>
        <v>7.6899999999999996E-2</v>
      </c>
      <c r="AA199" s="204">
        <f>ABS(Z199-Y199)</f>
        <v>5.6472999999999995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/stypes="app*4035*20171025*"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1"/>
        <v>"%USERPROFILE%\Documents\GitHub\eaglep3\Utilities\RefineRTDCRunTimes.py" --tripid 840-24 --locoid 4035 --swversion DE.1.0.9.0 --startMP 300:57242 --initTime 2017-10-24T19:38:32 --startdatetime 2017-10-24T19:43:14 --delay 96 --endMP 204:769 --enddatetime 2017-10-24T19:59:27 --enforcementcount 0 &gt;&gt;%USERPROFILE%\Documents\GitHub\eaglep3-reporting\EC\2017-10-24-refined-times.txt</v>
      </c>
      <c r="AI199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{"issue":{"subject":"","project_id":79,"tracker_id":40,"status_id":1,"priority_id":2,"assigned_to_id":338,"start_date":"2017-10-24","description":"","custom_fields":[{"id":1,"name":"Subdivision","value":"NW"},{"id":4,"name":"Milepost","value":"0.0769"},{"id":17,"name":"Train ID","value":"840-24"},{"id":16,"name":"Locomotive ID","value":"4035"},{"id":130,"name":"Impact","value":""},{"id":150,"name":"Time of Event (Mountain Time)","value":"19:59:27"},{"id":151,"name":"Denver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3"/>
        <v>start /low /b %USERPROFILE%\Documents\GitHub\eaglep3\Utilities\DownloadLogsFromS3.py --loco 4035 --day 2017-10-24</v>
      </c>
      <c r="AN19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01:59:27"},{"id":29,"name":"Sharepoint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25"/>
        <v>https://d0f6bd738d7f1b3e5a7ca70fe4ff75f0.us-east-1.aws.found.io/app/kibana#/discover/Steve-Slow-Train-Analysis-(2080s-and-2083s)?_g=(refreshInterval:(display:Off,pause:!f,section:0,value:0),time:(from:'2017-10-24T18:38:32-0600',mode:absolute,to:'2017-10-24T20:59:27-0600'))&amp;_a=(columns:!('Message%20ID',Summary),filters:!(),index:'emp_*',interval:auto,query:(query_string:(analyze_wildcard:!t,query:'%22rtdc.l.rtdc.4035%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855</v>
      </c>
      <c r="B200" s="7">
        <v>4036</v>
      </c>
      <c r="C200" s="21" t="s">
        <v>194</v>
      </c>
      <c r="D200" s="21" t="s">
        <v>1038</v>
      </c>
      <c r="E200" s="13">
        <v>43032.79519675926</v>
      </c>
      <c r="F200" s="13">
        <v>43032.798090277778</v>
      </c>
      <c r="G200" s="7">
        <v>52</v>
      </c>
      <c r="H200" s="21" t="s">
        <v>635</v>
      </c>
      <c r="I200" s="13">
        <v>43032.807824074072</v>
      </c>
      <c r="J200" s="7">
        <v>0</v>
      </c>
      <c r="K200" s="89" t="str">
        <f>IF(ISEVEN(B200),(B200-1)&amp;"/"&amp;B200,B200&amp;"/"&amp;(B200+1))</f>
        <v>4035/4036</v>
      </c>
      <c r="L200" s="185" t="str">
        <f>VLOOKUP(A200,'Trips&amp;Operators'!$C$1:$G$99911,5,FALSE)</f>
        <v>GUZMAN DANNY</v>
      </c>
      <c r="M200" s="6">
        <f>I200-F200</f>
        <v>9.7337962943129241E-3</v>
      </c>
      <c r="N200" s="7">
        <f>24*60*SUM($M200:$M200)</f>
        <v>14.016666663810611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-24T18:05:05-0600',mode:absolute,to:'2017-10-24T20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0.1116</v>
      </c>
      <c r="Z200" s="204">
        <f>RIGHT(H200,LEN(H200)-4)/10000</f>
        <v>5.8948</v>
      </c>
      <c r="AA200" s="204">
        <f>ABS(Z200-Y200)</f>
        <v>5.7831999999999999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/stypes="app*4036*20171025*"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1"/>
        <v>"%USERPROFILE%\Documents\GitHub\eaglep3\Utilities\RefineRTDCRunTimes.py" --tripid 841-24 --locoid 4036 --swversion DE.1.0.9.0 --startMP 204:1116 --initTime 2017-10-24T19:05:05 --startdatetime 2017-10-24T19:09:15 --delay 52 --endMP 300:58948 --enddatetime 2017-10-24T19:23:16 --enforcementcount 0 &gt;&gt;%USERPROFILE%\Documents\GitHub\eaglep3-reporting\EC\2017-10-24-refined-times.txt</v>
      </c>
      <c r="AI200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{"issue":{"subject":"","project_id":79,"tracker_id":40,"status_id":1,"priority_id":2,"assigned_to_id":338,"start_date":"2017-10-24","description":"","custom_fields":[{"id":1,"name":"Subdivision","value":"NW"},{"id":4,"name":"Milepost","value":"5.8948"},{"id":17,"name":"Train ID","value":"841-24"},{"id":16,"name":"Locomotive ID","value":"4036"},{"id":130,"name":"Impact","value":""},{"id":150,"name":"Time of Event (Mountain Time)","value":"19:23:16"},{"id":151,"name":"Denver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3"/>
        <v>start /low /b %USERPROFILE%\Documents\GitHub\eaglep3\Utilities\DownloadLogsFromS3.py --loco 4036 --day 2017-10-24</v>
      </c>
      <c r="AN200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25"/>
        <v>https://d0f6bd738d7f1b3e5a7ca70fe4ff75f0.us-east-1.aws.found.io/app/kibana#/discover/Steve-Slow-Train-Analysis-(2080s-and-2083s)?_g=(refreshInterval:(display:Off,pause:!f,section:0,value:0),time:(from:'2017-10-24T18:05:05-0600',mode:absolute,to:'2017-10-24T20:23:16-0600'))&amp;_a=(columns:!('Message%20ID',Summary),filters:!(),index:'emp_*',interval:auto,query:(query_string:(analyze_wildcard:!t,query:'%22rtdc.l.rtdc.4036%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865</v>
      </c>
      <c r="B201" s="7">
        <v>4035</v>
      </c>
      <c r="C201" s="21" t="s">
        <v>194</v>
      </c>
      <c r="D201" s="21" t="s">
        <v>1038</v>
      </c>
      <c r="E201" s="13">
        <v>43032.79519675926</v>
      </c>
      <c r="F201" s="13">
        <v>43032.863252314812</v>
      </c>
      <c r="G201" s="7">
        <v>52</v>
      </c>
      <c r="H201" s="21" t="s">
        <v>635</v>
      </c>
      <c r="I201" s="13">
        <v>43032.871770833335</v>
      </c>
      <c r="J201" s="7">
        <v>0</v>
      </c>
      <c r="K201" s="89" t="str">
        <f>IF(ISEVEN(B201),(B201-1)&amp;"/"&amp;B201,B201&amp;"/"&amp;(B201+1))</f>
        <v>4035/4036</v>
      </c>
      <c r="L201" s="185" t="str">
        <f>VLOOKUP(A201,'Trips&amp;Operators'!$C$1:$G$99911,5,FALSE)</f>
        <v>GUZMAN DANNY</v>
      </c>
      <c r="M201" s="6">
        <f>I201-F201</f>
        <v>8.5185185234877281E-3</v>
      </c>
      <c r="N201" s="7">
        <f>24*60*SUM($M201:$M201)</f>
        <v>12.266666673822328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-24T18:05:05-0600',mode:absolute,to:'2017-10-24T21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v>5.8613</v>
      </c>
      <c r="Z201" s="204">
        <v>8.0399999999999999E-2</v>
      </c>
      <c r="AA201" s="204">
        <f>ABS(Z201-Y201)</f>
        <v>5.7808999999999999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/stypes="app*4035*20171025*"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ref="AH201" si="26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842-24 --locoid 4035 --swversion DE.1.0.9.0 --startMP 204:1116 --initTime 2017-10-24T19:05:05 --startdatetime 2017-10-24T20:43:05 --delay 52 --endMP 300:58948 --enddatetime 2017-10-24T20:55:21 --enforcementcount 0 &gt;&gt;%USERPROFILE%\Documents\GitHub\eaglep3-reporting\EC\2017-10-24-refined-times.txt</v>
      </c>
      <c r="AI201" s="96" t="str">
        <f t="shared" ref="AI201" si="27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{"issue":{"subject":"","project_id":79,"tracker_id":40,"status_id":1,"priority_id":2,"assigned_to_id":338,"start_date":"2017-10-24","description":"","custom_fields":[{"id":1,"name":"Subdivision","value":"NW"},{"id":4,"name":"Milepost","value":"0.0804"},{"id":17,"name":"Train ID","value":"842-24"},{"id":16,"name":"Locomotive ID","value":"4035"},{"id":130,"name":"Impact","value":""},{"id":150,"name":"Time of Event (Mountain Time)","value":"20:55:21"},{"id":151,"name":"Denver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28">"start /low /b "&amp;dls3logs&amp;" --loco "&amp;B201&amp;" --day "&amp;TEXT(F201,"YYYY-MM-DD")</f>
        <v>start /low /b %USERPROFILE%\Documents\GitHub\eaglep3\Utilities\DownloadLogsFromS3.py --loco 4035 --day 2017-10-24</v>
      </c>
      <c r="AN201" s="151" t="str">
        <f t="shared" ref="AN201" si="29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02:55:21"},{"id":29,"name":"Sharepoint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30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-24T18:05:05-0600',mode:absolute,to:'2017-10-24T21:55:21-0600'))&amp;_a=(columns:!('Message%20ID',Summary),filters:!(),index:'emp_*',interval:auto,query:(query_string:(analyze_wildcard:!t,query:'%22rtdc.l.rtdc.4035%22')),sort:!(Time.ISO8601,asc))</v>
      </c>
    </row>
    <row r="202" spans="1:91" s="20" customFormat="1" x14ac:dyDescent="0.3">
      <c r="A202" s="32" t="s">
        <v>671</v>
      </c>
      <c r="B202" s="7">
        <v>4036</v>
      </c>
      <c r="C202" s="21" t="s">
        <v>194</v>
      </c>
      <c r="D202" s="21" t="s">
        <v>1072</v>
      </c>
      <c r="E202" s="13">
        <v>43032.837430555555</v>
      </c>
      <c r="F202" s="13">
        <v>43032.840092592596</v>
      </c>
      <c r="G202" s="7">
        <v>57</v>
      </c>
      <c r="H202" s="21" t="s">
        <v>1073</v>
      </c>
      <c r="I202" s="13">
        <v>43032.840231481481</v>
      </c>
      <c r="J202" s="7">
        <v>0</v>
      </c>
      <c r="K202" s="89" t="str">
        <f>IF(ISEVEN(B202),(B202-1)&amp;"/"&amp;B202,B202&amp;"/"&amp;(B202+1))</f>
        <v>4035/4036</v>
      </c>
      <c r="L202" s="185" t="str">
        <f>VLOOKUP(A202,'Trips&amp;Operators'!$C$1:$G$99911,5,FALSE)</f>
        <v>GUZMAN DANNY</v>
      </c>
      <c r="M202" s="6">
        <f>I202-F202</f>
        <v>1.3888888497604057E-4</v>
      </c>
      <c r="N202" s="7"/>
      <c r="O202" s="7"/>
      <c r="P202" s="7">
        <f>24*60*SUM($M202:$M202)</f>
        <v>0.19999999436549842</v>
      </c>
      <c r="Q202" s="22"/>
      <c r="R202" s="174" t="s">
        <v>640</v>
      </c>
      <c r="S202" s="221">
        <f>1/IF(AG202="EC",12,1)*SUM(U202:U202)</f>
        <v>0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-24T19:05:54-0600',mode:absolute,to:'2017-10-24T21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2" s="204" t="str">
        <f>IF(AA202&lt;VLOOKUP(AG202,Variables!$AC$3:$AD$8,2,FALSE),"Y","N")</f>
        <v>Y</v>
      </c>
      <c r="X202" s="204">
        <f t="shared" ref="X202:X203" si="31">VALUE(LEFT(AD202,4))-VALUE(LEFT(AD201,4))</f>
        <v>1</v>
      </c>
      <c r="Y202" s="204">
        <f>RIGHT(D202,LEN(D202)-4)/10000</f>
        <v>0.10440000000000001</v>
      </c>
      <c r="Z202" s="204">
        <f>RIGHT(H202,LEN(H202)-4)/10000</f>
        <v>0.18970000000000001</v>
      </c>
      <c r="AA202" s="204">
        <f>ABS(Z202-Y202)</f>
        <v>8.5300000000000001E-2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/stypes="app*4036*20171025*"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1"/>
        <v>"%USERPROFILE%\Documents\GitHub\eaglep3\Utilities\RefineRTDCRunTimes.py" --tripid 843-24 --locoid 4036 --swversion DE.1.0.9.0 --startMP 204:1044 --initTime 2017-10-24T20:05:54 --startdatetime 2017-10-24T20:09:44 --delay 57 --endMP 204:1897 --enddatetime 2017-10-24T20:09:56 --enforcementcount 0 &gt;&gt;%USERPROFILE%\Documents\GitHub\eaglep3-reporting\EC\2017-10-24-refined-times.txt</v>
      </c>
      <c r="AI202" s="96" t="str">
        <f t="shared" si="22"/>
        <v>echo {"issue":{"subject":"Poor GPS at DUS","project_id":79,"tracker_id":40,"status_id":1,"priority_id":2,"assigned_to_id":338,"start_date":"2017-10-24","description":"","custom_fields":[{"id":1,"name":"Subdivision","value":"NW"},{"id":4,"name":"Milepost","value":"0.1897"},{"id":17,"name":"Train ID","value":"843-24"},{"id":16,"name":"Locomotive ID","value":"4036"},{"id":130,"name":"Impact","value":""},{"id":150,"name":"Time of Event (Mountain Time)","value":"20:09:56"},{"id":151,"name":"Denver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3"/>
        <v>start /low /b %USERPROFILE%\Documents\GitHub\eaglep3\Utilities\DownloadLogsFromS3.py --loco 4036 --day 2017-10-24</v>
      </c>
      <c r="AN202" s="151" t="str">
        <f t="shared" si="24"/>
        <v>echo {"issue":{"subject":"Poor GPS at DUS","project_id":30,"tracker_id":4,"status_id":1,"priority_id":1,"assigned_to_id":10,"start_date":"2017-10-25","description":"","custom_fields":[{"id":30,"name":"Category","value":"Issue"},{"id":3,"name":"Functional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02:09:56"},{"id":29,"name":"Sharepoint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25"/>
        <v>https://d0f6bd738d7f1b3e5a7ca70fe4ff75f0.us-east-1.aws.found.io/app/kibana#/discover/Steve-Slow-Train-Analysis-(2080s-and-2083s)?_g=(refreshInterval:(display:Off,pause:!f,section:0,value:0),time:(from:'2017-10-24T19:05:54-0600',mode:absolute,to:'2017-10-24T21:09:56-0600'))&amp;_a=(columns:!('Message%20ID',Summary),filters:!(),index:'emp_*',interval:auto,query:(query_string:(analyze_wildcard:!t,query:'%22rtdc.l.rtdc.4036%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870</v>
      </c>
      <c r="B203" s="7">
        <v>4035</v>
      </c>
      <c r="C203" s="21" t="s">
        <v>194</v>
      </c>
      <c r="D203" s="21" t="s">
        <v>638</v>
      </c>
      <c r="E203" s="13">
        <v>43032.891562500001</v>
      </c>
      <c r="F203" s="13">
        <v>43032.904930555553</v>
      </c>
      <c r="G203" s="7">
        <v>239</v>
      </c>
      <c r="H203" s="21" t="s">
        <v>1017</v>
      </c>
      <c r="I203" s="13">
        <v>43032.912488425929</v>
      </c>
      <c r="J203" s="7">
        <v>0</v>
      </c>
      <c r="K203" s="89" t="str">
        <f>IF(ISEVEN(B203),(B203-1)&amp;"/"&amp;B203,B203&amp;"/"&amp;(B203+1))</f>
        <v>4035/4036</v>
      </c>
      <c r="L203" s="185" t="str">
        <f>VLOOKUP(A203,'Trips&amp;Operators'!$C$1:$G$99911,5,FALSE)</f>
        <v>STAMBAUGH JAMES</v>
      </c>
      <c r="M203" s="6">
        <f>I203-F203</f>
        <v>7.557870376331266E-3</v>
      </c>
      <c r="N203" s="7">
        <f>24*60*SUM($M203:$M203)</f>
        <v>10.883333341917023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-24T20:23:51-0600',mode:absolute,to:'2017-10-24T22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3" s="204" t="str">
        <f>IF(AA203&lt;VLOOKUP(AG203,Variables!$AC$3:$AD$8,2,FALSE),"Y","N")</f>
        <v>N</v>
      </c>
      <c r="X203" s="204">
        <f t="shared" si="31"/>
        <v>1</v>
      </c>
      <c r="Y203" s="204">
        <f>RIGHT(D203,LEN(D203)-4)/10000</f>
        <v>5.8634000000000004</v>
      </c>
      <c r="Z203" s="204">
        <f>RIGHT(H203,LEN(H203)-4)/10000</f>
        <v>6.54E-2</v>
      </c>
      <c r="AA203" s="204">
        <f>ABS(Z203-Y203)</f>
        <v>5.798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/stypes="app*4035*20171025*"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1"/>
        <v>"%USERPROFILE%\Documents\GitHub\eaglep3\Utilities\RefineRTDCRunTimes.py" --tripid 844-24 --locoid 4035 --swversion DE.1.0.9.0 --startMP 300:58634 --initTime 2017-10-24T21:23:51 --startdatetime 2017-10-24T21:43:06 --delay 239 --endMP 204:654 --enddatetime 2017-10-24T21:53:59 --enforcementcount 0 &gt;&gt;%USERPROFILE%\Documents\GitHub\eaglep3-reporting\EC\2017-10-24-refined-times.txt</v>
      </c>
      <c r="AI203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{"issue":{"subject":"","project_id":79,"tracker_id":40,"status_id":1,"priority_id":2,"assigned_to_id":338,"start_date":"2017-10-24","description":"","custom_fields":[{"id":1,"name":"Subdivision","value":"NW"},{"id":4,"name":"Milepost","value":"0.0654"},{"id":17,"name":"Train ID","value":"844-24"},{"id":16,"name":"Locomotive ID","value":"4035"},{"id":130,"name":"Impact","value":""},{"id":150,"name":"Time of Event (Mountain Time)","value":"21:53:59"},{"id":151,"name":"Denver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3"/>
        <v>start /low /b %USERPROFILE%\Documents\GitHub\eaglep3\Utilities\DownloadLogsFromS3.py --loco 4035 --day 2017-10-24</v>
      </c>
      <c r="AN203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03:53:59"},{"id":29,"name":"Sharepoint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25"/>
        <v>https://d0f6bd738d7f1b3e5a7ca70fe4ff75f0.us-east-1.aws.found.io/app/kibana#/discover/Steve-Slow-Train-Analysis-(2080s-and-2083s)?_g=(refreshInterval:(display:Off,pause:!f,section:0,value:0),time:(from:'2017-10-24T20:23:51-0600',mode:absolute,to:'2017-10-24T22:53:59-0600'))&amp;_a=(columns:!('Message%20ID',Summary),filters:!(),index:'emp_*',interval:auto,query:(query_string:(analyze_wildcard:!t,query:'%22rtdc.l.rtdc.4035%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672</v>
      </c>
      <c r="B204" s="7">
        <v>4036</v>
      </c>
      <c r="C204" s="21" t="s">
        <v>194</v>
      </c>
      <c r="D204" s="21" t="s">
        <v>638</v>
      </c>
      <c r="E204" s="13">
        <v>43032.891562500001</v>
      </c>
      <c r="F204" s="13">
        <v>43032.881608796299</v>
      </c>
      <c r="G204" s="7">
        <v>239</v>
      </c>
      <c r="H204" s="21" t="s">
        <v>1017</v>
      </c>
      <c r="I204" s="13">
        <v>43032.890648148146</v>
      </c>
      <c r="J204" s="7">
        <v>0</v>
      </c>
      <c r="K204" s="89" t="str">
        <f>IF(ISEVEN(B204),(B204-1)&amp;"/"&amp;B204,B204&amp;"/"&amp;(B204+1))</f>
        <v>4035/4036</v>
      </c>
      <c r="L204" s="185" t="str">
        <f>VLOOKUP(A204,'Trips&amp;Operators'!$C$1:$G$99911,5,FALSE)</f>
        <v>STAMBAUGH JAMES</v>
      </c>
      <c r="M204" s="6">
        <f>I204-F204</f>
        <v>9.0393518476048484E-3</v>
      </c>
      <c r="N204" s="7">
        <f>24*60*SUM($M204:$M204)</f>
        <v>13.016666660550982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-24T20:23:51-0600',mode:absolute,to:'2017-10-24T22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4" s="204" t="str">
        <f>IF(AA204&lt;VLOOKUP(AG204,Variables!$AC$3:$AD$8,2,FALSE),"Y","N")</f>
        <v>N</v>
      </c>
      <c r="X204" s="204">
        <f t="shared" ref="X204:X207" si="32">VALUE(LEFT(AD204,4))-VALUE(LEFT(AD203,4))</f>
        <v>1</v>
      </c>
      <c r="Y204" s="204">
        <v>0.1116</v>
      </c>
      <c r="Z204" s="204">
        <v>5.8948</v>
      </c>
      <c r="AA204" s="204">
        <f>ABS(Z204-Y204)</f>
        <v>5.7831999999999999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/stypes="app*4036*20171025*"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ref="AH204" si="3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845-24 --locoid 4036 --swversion DE.1.0.9.0 --startMP 300:58634 --initTime 2017-10-24T21:23:51 --startdatetime 2017-10-24T21:09:31 --delay 239 --endMP 204:654 --enddatetime 2017-10-24T21:22:32 --enforcementcount 0 &gt;&gt;%USERPROFILE%\Documents\GitHub\eaglep3-reporting\EC\2017-10-24-refined-times.txt</v>
      </c>
      <c r="AI204" s="96" t="str">
        <f t="shared" ref="AI204" si="3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{"issue":{"subject":"","project_id":79,"tracker_id":40,"status_id":1,"priority_id":2,"assigned_to_id":338,"start_date":"2017-10-24","description":"","custom_fields":[{"id":1,"name":"Subdivision","value":"NW"},{"id":4,"name":"Milepost","value":"5.8948"},{"id":17,"name":"Train ID","value":"845-24"},{"id":16,"name":"Locomotive ID","value":"4036"},{"id":130,"name":"Impact","value":""},{"id":150,"name":"Time of Event (Mountain Time)","value":"21:22:32"},{"id":151,"name":"Denver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ref="AM204" si="35">"start /low /b "&amp;dls3logs&amp;" --loco "&amp;B204&amp;" --day "&amp;TEXT(F204,"YYYY-MM-DD")</f>
        <v>start /low /b %USERPROFILE%\Documents\GitHub\eaglep3\Utilities\DownloadLogsFromS3.py --loco 4036 --day 2017-10-24</v>
      </c>
      <c r="AN204" s="151" t="str">
        <f t="shared" ref="AN204" si="3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03:22:32"},{"id":29,"name":"Sharepoint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ref="AO204" si="3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-24T20:23:51-0600',mode:absolute,to:'2017-10-24T22:22:32-0600'))&amp;_a=(columns:!('Message%20ID',Summary),filters:!(),index:'emp_*',interval:auto,query:(query_string:(analyze_wildcard:!t,query:'%22rtdc.l.rtdc.4036%22')),sort:!(Time.ISO8601,asc))</v>
      </c>
    </row>
    <row r="205" spans="1:91" s="20" customFormat="1" x14ac:dyDescent="0.3">
      <c r="A205" s="32" t="s">
        <v>877</v>
      </c>
      <c r="B205" s="7">
        <v>4035</v>
      </c>
      <c r="C205" s="21" t="s">
        <v>194</v>
      </c>
      <c r="D205" s="21" t="s">
        <v>638</v>
      </c>
      <c r="E205" s="13">
        <v>43032.891562500001</v>
      </c>
      <c r="F205" s="13">
        <v>43032.945300925923</v>
      </c>
      <c r="G205" s="7">
        <v>239</v>
      </c>
      <c r="H205" s="21" t="s">
        <v>1017</v>
      </c>
      <c r="I205" s="13">
        <v>43032.954918981479</v>
      </c>
      <c r="J205" s="7">
        <v>0</v>
      </c>
      <c r="K205" s="89" t="str">
        <f>IF(ISEVEN(B205),(B205-1)&amp;"/"&amp;B205,B205&amp;"/"&amp;(B205+1))</f>
        <v>4035/4036</v>
      </c>
      <c r="L205" s="185" t="str">
        <f>VLOOKUP(A205,'Trips&amp;Operators'!$C$1:$G$99911,5,FALSE)</f>
        <v>RESPASS AARON</v>
      </c>
      <c r="M205" s="6">
        <f>I205-F205</f>
        <v>9.6180555556202307E-3</v>
      </c>
      <c r="N205" s="7">
        <f>24*60*SUM($M205:$M205)</f>
        <v>13.850000000093132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-24T20:23:51-0600',mode:absolute,to:'2017-10-24T23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05" s="204" t="str">
        <f>IF(AA205&lt;VLOOKUP(AG205,Variables!$AC$3:$AD$8,2,FALSE),"Y","N")</f>
        <v>N</v>
      </c>
      <c r="X205" s="204">
        <f t="shared" si="32"/>
        <v>1</v>
      </c>
      <c r="Y205" s="204">
        <v>5.8634000000000004</v>
      </c>
      <c r="Z205" s="204">
        <v>6.54E-2</v>
      </c>
      <c r="AA205" s="204">
        <f>ABS(Z205-Y205)</f>
        <v>5.798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846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/stypes="app*4035*20171025*"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ref="AH205" si="3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846-24 --locoid 4035 --swversion DE.1.0.9.0 --startMP 300:58634 --initTime 2017-10-24T21:23:51 --startdatetime 2017-10-24T22:41:14 --delay 239 --endMP 204:654 --enddatetime 2017-10-24T22:55:05 --enforcementcount 0 &gt;&gt;%USERPROFILE%\Documents\GitHub\eaglep3-reporting\EC\2017-10-24-refined-times.txt</v>
      </c>
      <c r="AI205" s="96" t="str">
        <f t="shared" ref="AI205" si="3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{"issue":{"subject":"","project_id":79,"tracker_id":40,"status_id":1,"priority_id":2,"assigned_to_id":338,"start_date":"2017-10-24","description":"","custom_fields":[{"id":1,"name":"Subdivision","value":"NW"},{"id":4,"name":"Milepost","value":"0.0654"},{"id":17,"name":"Train ID","value":"846-24"},{"id":16,"name":"Locomotive ID","value":"4035"},{"id":130,"name":"Impact","value":""},{"id":150,"name":"Time of Event (Mountain Time)","value":"22:55:05"},{"id":151,"name":"Denver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ref="AM205" si="40">"start /low /b "&amp;dls3logs&amp;" --loco "&amp;B205&amp;" --day "&amp;TEXT(F205,"YYYY-MM-DD")</f>
        <v>start /low /b %USERPROFILE%\Documents\GitHub\eaglep3\Utilities\DownloadLogsFromS3.py --loco 4035 --day 2017-10-24</v>
      </c>
      <c r="AN205" s="151" t="str">
        <f t="shared" ref="AN205" si="41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04:55:05"},{"id":29,"name":"Sharepoint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" si="4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-24T20:23:51-0600',mode:absolute,to:'2017-10-24T23:55:05-0600'))&amp;_a=(columns:!('Message%20ID',Summary),filters:!(),index:'emp_*',interval:auto,query:(query_string:(analyze_wildcard:!t,query:'%22rtdc.l.rtdc.4035%22')),sort:!(Time.ISO8601,asc))</v>
      </c>
    </row>
    <row r="206" spans="1:91" s="20" customFormat="1" x14ac:dyDescent="0.3">
      <c r="A206" s="32" t="s">
        <v>873</v>
      </c>
      <c r="B206" s="7">
        <v>4036</v>
      </c>
      <c r="C206" s="21" t="s">
        <v>194</v>
      </c>
      <c r="D206" s="21" t="s">
        <v>1074</v>
      </c>
      <c r="E206" s="13">
        <v>43032.917430555557</v>
      </c>
      <c r="F206" s="13">
        <v>43032.923090277778</v>
      </c>
      <c r="G206" s="7">
        <v>73</v>
      </c>
      <c r="H206" s="21" t="s">
        <v>625</v>
      </c>
      <c r="I206" s="13">
        <v>43032.934791666667</v>
      </c>
      <c r="J206" s="7">
        <v>0</v>
      </c>
      <c r="K206" s="89" t="str">
        <f>IF(ISEVEN(B206),(B206-1)&amp;"/"&amp;B206,B206&amp;"/"&amp;(B206+1))</f>
        <v>4035/4036</v>
      </c>
      <c r="L206" s="185" t="str">
        <f>VLOOKUP(A206,'Trips&amp;Operators'!$C$1:$G$99911,5,FALSE)</f>
        <v>RESPASS AARON</v>
      </c>
      <c r="M206" s="6">
        <f>I206-F206</f>
        <v>1.17013888884685E-2</v>
      </c>
      <c r="N206" s="7">
        <f>24*60*SUM($M206:$M206)</f>
        <v>16.84999999939464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-24T21:01:06-0600',mode:absolute,to:'2017-10-24T23:26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6" s="204" t="str">
        <f>IF(AA206&lt;VLOOKUP(AG206,Variables!$AC$3:$AD$8,2,FALSE),"Y","N")</f>
        <v>N</v>
      </c>
      <c r="X206" s="204">
        <f t="shared" si="32"/>
        <v>1</v>
      </c>
      <c r="Y206" s="204">
        <f>RIGHT(D206,LEN(D206)-4)/10000</f>
        <v>9.2200000000000004E-2</v>
      </c>
      <c r="Z206" s="204">
        <f>RIGHT(H206,LEN(H206)-4)/10000</f>
        <v>5.8929</v>
      </c>
      <c r="AA206" s="204">
        <f>ABS(Z206-Y206)</f>
        <v>5.8007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847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/stypes="app*4036*20171025*" /stext=" 04:.+((SYSTEM_STATE.+slice.+state.+changed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1"/>
        <v>"%USERPROFILE%\Documents\GitHub\eaglep3\Utilities\RefineRTDCRunTimes.py" --tripid 847-24 --locoid 4036 --swversion DE.1.0.9.0 --startMP 204:922 --initTime 2017-10-24T22:01:06 --startdatetime 2017-10-24T22:09:15 --delay 73 --endMP 300:58929 --enddatetime 2017-10-24T22:26:06 --enforcementcount 0 &gt;&gt;%USERPROFILE%\Documents\GitHub\eaglep3-reporting\EC\2017-10-24-refined-times.txt</v>
      </c>
      <c r="AI206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{"issue":{"subject":"","project_id":79,"tracker_id":40,"status_id":1,"priority_id":2,"assigned_to_id":338,"start_date":"2017-10-24","description":"","custom_fields":[{"id":1,"name":"Subdivision","value":"NW"},{"id":4,"name":"Milepost","value":"5.8929"},{"id":17,"name":"Train ID","value":"847-24"},{"id":16,"name":"Locomotive ID","value":"4036"},{"id":130,"name":"Impact","value":""},{"id":150,"name":"Time of Event (Mountain Time)","value":"22:26:06"},{"id":151,"name":"Denver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3"/>
        <v>start /low /b %USERPROFILE%\Documents\GitHub\eaglep3\Utilities\DownloadLogsFromS3.py --loco 4036 --day 2017-10-24</v>
      </c>
      <c r="AN206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04:26:06"},{"id":29,"name":"Sharepoint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25"/>
        <v>https://d0f6bd738d7f1b3e5a7ca70fe4ff75f0.us-east-1.aws.found.io/app/kibana#/discover/Steve-Slow-Train-Analysis-(2080s-and-2083s)?_g=(refreshInterval:(display:Off,pause:!f,section:0,value:0),time:(from:'2017-10-24T21:01:06-0600',mode:absolute,to:'2017-10-24T23:26:06-0600'))&amp;_a=(columns:!('Message%20ID',Summary),filters:!(),index:'emp_*',interval:auto,query:(query_string:(analyze_wildcard:!t,query:'%22rtdc.l.rtdc.4036%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878</v>
      </c>
      <c r="B207" s="7">
        <v>4036</v>
      </c>
      <c r="C207" s="21" t="s">
        <v>194</v>
      </c>
      <c r="D207" s="21" t="s">
        <v>627</v>
      </c>
      <c r="E207" s="13">
        <v>43032.959687499999</v>
      </c>
      <c r="F207" s="13">
        <v>43032.964756944442</v>
      </c>
      <c r="G207" s="7">
        <v>56</v>
      </c>
      <c r="H207" s="21" t="s">
        <v>1031</v>
      </c>
      <c r="I207" s="13">
        <v>43032.973969907405</v>
      </c>
      <c r="J207" s="7">
        <v>0</v>
      </c>
      <c r="K207" s="89" t="str">
        <f>IF(ISEVEN(B207),(B207-1)&amp;"/"&amp;B207,B207&amp;"/"&amp;(B207+1))</f>
        <v>4035/4036</v>
      </c>
      <c r="L207" s="185" t="str">
        <f>VLOOKUP(A207,'Trips&amp;Operators'!$C$1:$G$99911,5,FALSE)</f>
        <v>STAMBAUGH JAMES</v>
      </c>
      <c r="M207" s="6">
        <f>I207-F207</f>
        <v>9.2129629629198462E-3</v>
      </c>
      <c r="N207" s="7">
        <f>24*60*SUM($M207:$M207)</f>
        <v>13.266666666604578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-24T22:01:57-0600',mode:absolute,to:'2017-10-25T00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7" s="204" t="str">
        <f>IF(AA207&lt;VLOOKUP(AG207,Variables!$AC$3:$AD$8,2,FALSE),"Y","N")</f>
        <v>N</v>
      </c>
      <c r="X207" s="204">
        <f t="shared" si="32"/>
        <v>2</v>
      </c>
      <c r="Y207" s="204">
        <f>RIGHT(D207,LEN(D207)-4)/10000</f>
        <v>9.9699999999999997E-2</v>
      </c>
      <c r="Z207" s="204">
        <f>RIGHT(H207,LEN(H207)-4)/10000</f>
        <v>5.8963000000000001</v>
      </c>
      <c r="AA207" s="204">
        <f>ABS(Z207-Y207)</f>
        <v>5.7965999999999998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849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/stypes="app*4036*20171025*" /stext=" 05:.+((SYSTEM_STATE.+slice.+state.+changed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21"/>
        <v>"%USERPROFILE%\Documents\GitHub\eaglep3\Utilities\RefineRTDCRunTimes.py" --tripid 849-24 --locoid 4036 --swversion DE.1.0.9.0 --startMP 204:997 --initTime 2017-10-24T23:01:57 --startdatetime 2017-10-24T23:09:15 --delay 56 --endMP 300:58963 --enddatetime 2017-10-24T23:22:31 --enforcementcount 0 &gt;&gt;%USERPROFILE%\Documents\GitHub\eaglep3-reporting\EC\2017-10-24-refined-times.txt</v>
      </c>
      <c r="AI207" s="96" t="str">
        <f t="shared" si="22"/>
        <v>echo {"issue":{"subject":"","project_id":79,"tracker_id":40,"status_id":1,"priority_id":2,"assigned_to_id":338,"start_date":"2017-10-24","description":"","custom_fields":[{"id":1,"name":"Subdivision","value":"NW"},{"id":4,"name":"Milepost","value":"5.8963"},{"id":17,"name":"Train ID","value":"849-24"},{"id":16,"name":"Locomotive ID","value":"4036"},{"id":130,"name":"Impact","value":""},{"id":150,"name":"Time of Event (Mountain Time)","value":"23:22:31"},{"id":151,"name":"Denver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23"/>
        <v>start /low /b %USERPROFILE%\Documents\GitHub\eaglep3\Utilities\DownloadLogsFromS3.py --loco 4036 --day 2017-10-24</v>
      </c>
      <c r="AN207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05:22:31"},{"id":29,"name":"Sharepoint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25"/>
        <v>https://d0f6bd738d7f1b3e5a7ca70fe4ff75f0.us-east-1.aws.found.io/app/kibana#/discover/Steve-Slow-Train-Analysis-(2080s-and-2083s)?_g=(refreshInterval:(display:Off,pause:!f,section:0,value:0),time:(from:'2017-10-24T22:01:57-0600',mode:absolute,to:'2017-10-25T00:22:31-0600'))&amp;_a=(columns:!('Message%20ID',Summary),filters:!(),index:'emp_*',interval:auto,query:(query_string:(analyze_wildcard:!t,query:'%22rtdc.l.rtdc.4036%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674</v>
      </c>
      <c r="B208" s="7">
        <v>4009</v>
      </c>
      <c r="C208" s="21" t="s">
        <v>194</v>
      </c>
      <c r="D208" s="21" t="s">
        <v>964</v>
      </c>
      <c r="E208" s="13">
        <v>43032.119317129633</v>
      </c>
      <c r="F208" s="13">
        <v>43032.125497685185</v>
      </c>
      <c r="G208" s="7">
        <v>312</v>
      </c>
      <c r="H208" s="21" t="s">
        <v>360</v>
      </c>
      <c r="I208" s="13">
        <v>43032.130613425928</v>
      </c>
      <c r="J208" s="7">
        <v>0</v>
      </c>
      <c r="K208" s="89" t="str">
        <f>IF(ISEVEN(B208),(B208-1)&amp;"/"&amp;B208,B208&amp;"/"&amp;(B208+1))</f>
        <v>4009/4010</v>
      </c>
      <c r="L208" s="185" t="str">
        <f>VLOOKUP(A208,'Trips&amp;Operators'!$C$1:$G$99911,5,FALSE)</f>
        <v>ROCHA YAOTL</v>
      </c>
      <c r="M208" s="6">
        <f>I208-F208</f>
        <v>5.1157407433493063E-3</v>
      </c>
      <c r="N208" s="7">
        <f>24*60*SUM($M208:$M208)</f>
        <v>7.3666666704230011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-24T01:51:49-0600',mode:absolute,to:'2017-10-24T04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-549</v>
      </c>
      <c r="Y208" s="204">
        <f>RIGHT(D208,LEN(D208)-4)/10000</f>
        <v>2.3249</v>
      </c>
      <c r="Z208" s="204">
        <f>RIGHT(H208,LEN(H208)-4)/10000</f>
        <v>1.61E-2</v>
      </c>
      <c r="AA208" s="204">
        <f>ABS(Z208-Y208)</f>
        <v>2.3088000000000002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300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/stypes="app*4009*20171024*" /stext=" 09:.+((SYSTEM_STATE.+slice.+state.+changed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21"/>
        <v>"%USERPROFILE%\Documents\GitHub\eaglep3\Utilities\RefineRTDCRunTimes.py" --tripid 300-24 --locoid 4009 --swversion DE.1.0.9.0 --startMP 300:23249 --initTime 2017-10-24T02:51:49 --startdatetime 2017-10-24T03:00:43 --delay 312 --endMP 204:161 --enddatetime 2017-10-24T03:08:05 --enforcementcount 0 &gt;&gt;%USERPROFILE%\Documents\GitHub\eaglep3-reporting\EC\2017-10-24-refined-times.txt</v>
      </c>
      <c r="AI208" s="96" t="str">
        <f t="shared" si="22"/>
        <v>echo {"issue":{"subject":"","project_id":79,"tracker_id":40,"status_id":1,"priority_id":2,"assigned_to_id":338,"start_date":"2017-10-24","description":"","custom_fields":[{"id":1,"name":"Subdivision","value":"Other"},{"id":4,"name":"Milepost","value":"0.0161"},{"id":17,"name":"Train ID","value":"300-24"},{"id":16,"name":"Locomotive ID","value":"4009"},{"id":130,"name":"Impact","value":""},{"id":150,"name":"Time of Event (Mountain Time)","value":"03:08:05"},{"id":151,"name":"Denver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3"/>
        <v>start /low /b %USERPROFILE%\Documents\GitHub\eaglep3\Utilities\DownloadLogsFromS3.py --loco 4009 --day 2017-10-24</v>
      </c>
      <c r="AN208" s="151" t="str">
        <f t="shared" si="2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09:08:05"},{"id":29,"name":"Sharepoint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25"/>
        <v>https://d0f6bd738d7f1b3e5a7ca70fe4ff75f0.us-east-1.aws.found.io/app/kibana#/discover/Steve-Slow-Train-Analysis-(2080s-and-2083s)?_g=(refreshInterval:(display:Off,pause:!f,section:0,value:0),time:(from:'2017-10-24T01:51:49-0600',mode:absolute,to:'2017-10-24T04:08:05-0600'))&amp;_a=(columns:!('Message%20ID',Summary),filters:!(),index:'emp_*',interval:auto,query:(query_string:(analyze_wildcard:!t,query:'%22rtdc.l.rtdc.4009%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850</v>
      </c>
      <c r="B209" s="7">
        <v>4010</v>
      </c>
      <c r="C209" s="21" t="s">
        <v>194</v>
      </c>
      <c r="D209" s="21" t="s">
        <v>965</v>
      </c>
      <c r="E209" s="13">
        <v>43032.776053240741</v>
      </c>
      <c r="F209" s="13">
        <v>43032.777430555558</v>
      </c>
      <c r="G209" s="7">
        <v>73</v>
      </c>
      <c r="H209" s="21" t="s">
        <v>401</v>
      </c>
      <c r="I209" s="13">
        <v>43032.783553240741</v>
      </c>
      <c r="J209" s="7">
        <v>0</v>
      </c>
      <c r="K209" s="89" t="str">
        <f>IF(ISEVEN(B209),(B209-1)&amp;"/"&amp;B209,B209&amp;"/"&amp;(B209+1))</f>
        <v>4009/4010</v>
      </c>
      <c r="L209" s="185" t="str">
        <f>VLOOKUP(A209,'Trips&amp;Operators'!$C$1:$G$99911,5,FALSE)</f>
        <v>LEVIN SCOTT</v>
      </c>
      <c r="M209" s="6">
        <f>I209-F209</f>
        <v>6.1226851830724627E-3</v>
      </c>
      <c r="N209" s="7">
        <f>24*60*SUM($M209:$M209)</f>
        <v>8.8166666636243463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-24T17:37:31-0600',mode:absolute,to:'2017-10-24T19:48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6.0600000000000001E-2</v>
      </c>
      <c r="Z209" s="204">
        <f>RIGHT(H209,LEN(H209)-4)/10000</f>
        <v>2.3346</v>
      </c>
      <c r="AA209" s="204">
        <f>ABS(Z209-Y209)</f>
        <v>2.274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301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/stypes="app*4010*20171025*" /stext=" 00:.+((SYSTEM_STATE.+slice.+state.+changed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21"/>
        <v>"%USERPROFILE%\Documents\GitHub\eaglep3\Utilities\RefineRTDCRunTimes.py" --tripid 301-24 --locoid 4010 --swversion DE.1.0.9.0 --startMP 204:606 --initTime 2017-10-24T18:37:31 --startdatetime 2017-10-24T18:39:30 --delay 73 --endMP 300:23346 --enddatetime 2017-10-24T18:48:19 --enforcementcount 0 &gt;&gt;%USERPROFILE%\Documents\GitHub\eaglep3-reporting\EC\2017-10-24-refined-times.txt</v>
      </c>
      <c r="AI209" s="96" t="str">
        <f t="shared" si="22"/>
        <v>echo {"issue":{"subject":"","project_id":79,"tracker_id":40,"status_id":1,"priority_id":2,"assigned_to_id":338,"start_date":"2017-10-24","description":"","custom_fields":[{"id":1,"name":"Subdivision","value":"Other"},{"id":4,"name":"Milepost","value":"2.3346"},{"id":17,"name":"Train ID","value":"301-24"},{"id":16,"name":"Locomotive ID","value":"4010"},{"id":130,"name":"Impact","value":""},{"id":150,"name":"Time of Event (Mountain Time)","value":"18:48:19"},{"id":151,"name":"Denver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23"/>
        <v>start /low /b %USERPROFILE%\Documents\GitHub\eaglep3\Utilities\DownloadLogsFromS3.py --loco 4010 --day 2017-10-24</v>
      </c>
      <c r="AN209" s="151" t="str">
        <f t="shared" si="24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00:48:19"},{"id":29,"name":"Sharepoint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25"/>
        <v>https://d0f6bd738d7f1b3e5a7ca70fe4ff75f0.us-east-1.aws.found.io/app/kibana#/discover/Steve-Slow-Train-Analysis-(2080s-and-2083s)?_g=(refreshInterval:(display:Off,pause:!f,section:0,value:0),time:(from:'2017-10-24T17:37:31-0600',mode:absolute,to:'2017-10-24T19:48:19-0600'))&amp;_a=(columns:!('Message%20ID',Summary),filters:!(),index:'emp_*',interval:auto,query:(query_string:(analyze_wildcard:!t,query:'%22rtdc.l.rtdc.4010%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678</v>
      </c>
      <c r="B210" s="7">
        <v>4027</v>
      </c>
      <c r="C210" s="21" t="s">
        <v>194</v>
      </c>
      <c r="D210" s="21" t="s">
        <v>966</v>
      </c>
      <c r="E210" s="13">
        <v>43032.140173611115</v>
      </c>
      <c r="F210" s="13">
        <v>43032.144918981481</v>
      </c>
      <c r="G210" s="7">
        <v>63</v>
      </c>
      <c r="H210" s="21" t="s">
        <v>371</v>
      </c>
      <c r="I210" s="13">
        <v>43032.150520833333</v>
      </c>
      <c r="J210" s="7">
        <v>0</v>
      </c>
      <c r="K210" s="89" t="str">
        <f>IF(ISEVEN(B210),(B210-1)&amp;"/"&amp;B210,B210&amp;"/"&amp;(B210+1))</f>
        <v>4027/4028</v>
      </c>
      <c r="L210" s="185" t="str">
        <f>VLOOKUP(A210,'Trips&amp;Operators'!$C$1:$G$99911,5,FALSE)</f>
        <v>BONDS REYNALDO</v>
      </c>
      <c r="M210" s="6">
        <f>I210-F210</f>
        <v>5.6018518516793847E-3</v>
      </c>
      <c r="N210" s="7">
        <f>24*60*SUM($M210:$M210)</f>
        <v>8.066666666418314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-24T02:21:51-0600',mode:absolute,to:'2017-10-24T04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2.3489</v>
      </c>
      <c r="Z210" s="204">
        <f>RIGHT(H210,LEN(H210)-4)/10000</f>
        <v>1.54E-2</v>
      </c>
      <c r="AA210" s="204">
        <f>ABS(Z210-Y210)</f>
        <v>2.3334999999999999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302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/stypes="app*4027*20171024*" /stext=" 09:.+((SYSTEM_STATE.+slice.+state.+changed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ref="AH210:AH251" si="43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302-24 --locoid 4027 --swversion DE.1.0.9.0 --startMP 300:23489 --initTime 2017-10-24T03:21:51 --startdatetime 2017-10-24T03:28:41 --delay 63 --endMP 204:154 --enddatetime 2017-10-24T03:36:45 --enforcementcount 0 &gt;&gt;%USERPROFILE%\Documents\GitHub\eaglep3-reporting\EC\2017-10-24-refined-times.txt</v>
      </c>
      <c r="AI210" s="96" t="str">
        <f t="shared" ref="AI210:AI251" si="44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{"issue":{"subject":"","project_id":79,"tracker_id":40,"status_id":1,"priority_id":2,"assigned_to_id":338,"start_date":"2017-10-24","description":"","custom_fields":[{"id":1,"name":"Subdivision","value":"Other"},{"id":4,"name":"Milepost","value":"0.0154"},{"id":17,"name":"Train ID","value":"302-24"},{"id":16,"name":"Locomotive ID","value":"4027"},{"id":130,"name":"Impact","value":""},{"id":150,"name":"Time of Event (Mountain Time)","value":"03:36:45"},{"id":151,"name":"Denver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ref="AM210:AM251" si="45">"start /low /b "&amp;dls3logs&amp;" --loco "&amp;B210&amp;" --day "&amp;TEXT(F210,"YYYY-MM-DD")</f>
        <v>start /low /b %USERPROFILE%\Documents\GitHub\eaglep3\Utilities\DownloadLogsFromS3.py --loco 4027 --day 2017-10-24</v>
      </c>
      <c r="AN210" s="151" t="str">
        <f t="shared" ref="AN210:AN251" si="46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09:36:45"},{"id":29,"name":"Sharepoint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51" si="47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-24T02:21:51-0600',mode:absolute,to:'2017-10-24T04:36:45-0600'))&amp;_a=(columns:!('Message%20ID',Summary),filters:!(),index:'emp_*',interval:auto,query:(query_string:(analyze_wildcard:!t,query:'%22rtdc.l.rtdc.4027%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856</v>
      </c>
      <c r="B211" s="7">
        <v>4058</v>
      </c>
      <c r="C211" s="21" t="s">
        <v>194</v>
      </c>
      <c r="D211" s="21" t="s">
        <v>967</v>
      </c>
      <c r="E211" s="13">
        <v>43032.797164351854</v>
      </c>
      <c r="F211" s="13">
        <v>43032.802418981482</v>
      </c>
      <c r="G211" s="7">
        <v>57</v>
      </c>
      <c r="H211" s="21" t="s">
        <v>968</v>
      </c>
      <c r="I211" s="13">
        <v>43032.808912037035</v>
      </c>
      <c r="J211" s="7">
        <v>0</v>
      </c>
      <c r="K211" s="89" t="str">
        <f>IF(ISEVEN(B211),(B211-1)&amp;"/"&amp;B211,B211&amp;"/"&amp;(B211+1))</f>
        <v>4057/4058</v>
      </c>
      <c r="L211" s="185" t="str">
        <f>VLOOKUP(A211,'Trips&amp;Operators'!$C$1:$G$99911,5,FALSE)</f>
        <v>SAFIEF AEIMEN</v>
      </c>
      <c r="M211" s="6">
        <f>I211-F211</f>
        <v>6.4930555527098477E-3</v>
      </c>
      <c r="N211" s="7">
        <f>24*60*SUM($M211:$M211)</f>
        <v>9.3499999959021807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-24T18:07:55-0600',mode:absolute,to:'2017-10-24T20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5.0799999999999998E-2</v>
      </c>
      <c r="Z211" s="204">
        <f>RIGHT(H211,LEN(H211)-4)/10000</f>
        <v>2.3292999999999999</v>
      </c>
      <c r="AA211" s="204">
        <f>ABS(Z211-Y211)</f>
        <v>2.2784999999999997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303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/stypes="app*4058*20171025*" /stext=" 01:.+((SYSTEM_STATE.+slice.+state.+changed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43"/>
        <v>"%USERPROFILE%\Documents\GitHub\eaglep3\Utilities\RefineRTDCRunTimes.py" --tripid 303-24 --locoid 4058 --swversion DE.1.0.9.0 --startMP 204:508 --initTime 2017-10-24T19:07:55 --startdatetime 2017-10-24T19:15:29 --delay 57 --endMP 300:23293 --enddatetime 2017-10-24T19:24:50 --enforcementcount 0 &gt;&gt;%USERPROFILE%\Documents\GitHub\eaglep3-reporting\EC\2017-10-24-refined-times.txt</v>
      </c>
      <c r="AI211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{"issue":{"subject":"","project_id":79,"tracker_id":40,"status_id":1,"priority_id":2,"assigned_to_id":338,"start_date":"2017-10-24","description":"","custom_fields":[{"id":1,"name":"Subdivision","value":"Other"},{"id":4,"name":"Milepost","value":"2.3293"},{"id":17,"name":"Train ID","value":"303-24"},{"id":16,"name":"Locomotive ID","value":"4058"},{"id":130,"name":"Impact","value":""},{"id":150,"name":"Time of Event (Mountain Time)","value":"19:24:50"},{"id":151,"name":"Denver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45"/>
        <v>start /low /b %USERPROFILE%\Documents\GitHub\eaglep3\Utilities\DownloadLogsFromS3.py --loco 4058 --day 2017-10-24</v>
      </c>
      <c r="AN211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47"/>
        <v>https://d0f6bd738d7f1b3e5a7ca70fe4ff75f0.us-east-1.aws.found.io/app/kibana#/discover/Steve-Slow-Train-Analysis-(2080s-and-2083s)?_g=(refreshInterval:(display:Off,pause:!f,section:0,value:0),time:(from:'2017-10-24T18:07:55-0600',mode:absolute,to:'2017-10-24T20:24:50-0600'))&amp;_a=(columns:!('Message%20ID',Summary),filters:!(),index:'emp_*',interval:auto,query:(query_string:(analyze_wildcard:!t,query:'%22rtdc.l.rtdc.4058%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680</v>
      </c>
      <c r="B212" s="7">
        <v>4025</v>
      </c>
      <c r="C212" s="21" t="s">
        <v>194</v>
      </c>
      <c r="D212" s="21" t="s">
        <v>969</v>
      </c>
      <c r="E212" s="13">
        <v>43032.159155092595</v>
      </c>
      <c r="F212" s="13">
        <v>43032.162615740737</v>
      </c>
      <c r="G212" s="7">
        <v>78</v>
      </c>
      <c r="H212" s="21" t="s">
        <v>339</v>
      </c>
      <c r="I212" s="13">
        <v>43032.16915509259</v>
      </c>
      <c r="J212" s="7">
        <v>0</v>
      </c>
      <c r="K212" s="89" t="str">
        <f>IF(ISEVEN(B212),(B212-1)&amp;"/"&amp;B212,B212&amp;"/"&amp;(B212+1))</f>
        <v>4025/4026</v>
      </c>
      <c r="L212" s="185" t="str">
        <f>VLOOKUP(A212,'Trips&amp;Operators'!$C$1:$G$99911,5,FALSE)</f>
        <v>THOMPSON LESTER</v>
      </c>
      <c r="M212" s="6">
        <f>I212-F212</f>
        <v>6.5393518525524996E-3</v>
      </c>
      <c r="N212" s="7">
        <f>24*60*SUM($M212:$M212)</f>
        <v>9.4166666676755995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-24T02:49:11-0600',mode:absolute,to:'2017-10-24T05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2.351</v>
      </c>
      <c r="Z212" s="204">
        <f>RIGHT(H212,LEN(H212)-4)/10000</f>
        <v>1.47E-2</v>
      </c>
      <c r="AA212" s="204">
        <f>ABS(Z212-Y212)</f>
        <v>2.3363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304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/stypes="app*4025*20171024*" /stext=" 10:.+((SYSTEM_STATE.+slice.+state.+changed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43"/>
        <v>"%USERPROFILE%\Documents\GitHub\eaglep3\Utilities\RefineRTDCRunTimes.py" --tripid 304-24 --locoid 4025 --swversion DE.1.0.9.0 --startMP 300:23510 --initTime 2017-10-24T03:49:11 --startdatetime 2017-10-24T03:54:10 --delay 78 --endMP 204:147 --enddatetime 2017-10-24T04:03:35 --enforcementcount 0 &gt;&gt;%USERPROFILE%\Documents\GitHub\eaglep3-reporting\EC\2017-10-24-refined-times.txt</v>
      </c>
      <c r="AI212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{"issue":{"subject":"","project_id":79,"tracker_id":40,"status_id":1,"priority_id":2,"assigned_to_id":338,"start_date":"2017-10-24","description":"","custom_fields":[{"id":1,"name":"Subdivision","value":"Other"},{"id":4,"name":"Milepost","value":"0.0147"},{"id":17,"name":"Train ID","value":"304-24"},{"id":16,"name":"Locomotive ID","value":"4025"},{"id":130,"name":"Impact","value":""},{"id":150,"name":"Time of Event (Mountain Time)","value":"04:03:35"},{"id":151,"name":"Denver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45"/>
        <v>start /low /b %USERPROFILE%\Documents\GitHub\eaglep3\Utilities\DownloadLogsFromS3.py --loco 4025 --day 2017-10-24</v>
      </c>
      <c r="AN212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47"/>
        <v>https://d0f6bd738d7f1b3e5a7ca70fe4ff75f0.us-east-1.aws.found.io/app/kibana#/discover/Steve-Slow-Train-Analysis-(2080s-and-2083s)?_g=(refreshInterval:(display:Off,pause:!f,section:0,value:0),time:(from:'2017-10-24T02:49:11-0600',mode:absolute,to:'2017-10-24T05:03:35-0600'))&amp;_a=(columns:!('Message%20ID',Summary),filters:!(),index:'emp_*',interval:auto,query:(query_string:(analyze_wildcard:!t,query:'%22rtdc.l.rtdc.4025%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860</v>
      </c>
      <c r="B213" s="7">
        <v>4002</v>
      </c>
      <c r="C213" s="21" t="s">
        <v>194</v>
      </c>
      <c r="D213" s="21" t="s">
        <v>970</v>
      </c>
      <c r="E213" s="13">
        <v>43032.819166666668</v>
      </c>
      <c r="F213" s="13">
        <v>43032.821250000001</v>
      </c>
      <c r="G213" s="7">
        <v>62</v>
      </c>
      <c r="H213" s="21" t="s">
        <v>621</v>
      </c>
      <c r="I213" s="13">
        <v>43032.829756944448</v>
      </c>
      <c r="J213" s="7">
        <v>0</v>
      </c>
      <c r="K213" s="89" t="str">
        <f>IF(ISEVEN(B213),(B213-1)&amp;"/"&amp;B213,B213&amp;"/"&amp;(B213+1))</f>
        <v>4001/4002</v>
      </c>
      <c r="L213" s="185" t="str">
        <f>VLOOKUP(A213,'Trips&amp;Operators'!$C$1:$G$99911,5,FALSE)</f>
        <v>SMITH MICHAEL</v>
      </c>
      <c r="M213" s="6">
        <f>I213-F213</f>
        <v>8.5069444467080757E-3</v>
      </c>
      <c r="N213" s="7">
        <f>24*60*SUM($M213:$M213)</f>
        <v>12.250000003259629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-24T18:39:36-0600',mode:absolute,to:'2017-10-24T20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4.2000000000000003E-2</v>
      </c>
      <c r="Z213" s="204">
        <f>RIGHT(H213,LEN(H213)-4)/10000</f>
        <v>2.3298999999999999</v>
      </c>
      <c r="AA213" s="204">
        <f>ABS(Z213-Y213)</f>
        <v>2.2879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305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s3://rtdc.mdm.uploadarchive.raw/RTDC4002/ "%USERPROFILE%\AppData\Local\Temp\OnboardLogs"\RTDC4002\2017-10-24 --exclude "*" --recursive --include "*20171024*" &amp; "%USERPROFILE%\Documents\GitHub\mrs-test-scripts\Headless Mode &amp; Sideloading\WalkAndUnGZ.bat" "%USERPROFILE%\AppData\Local\Temp\OnboardLogs"\RTDC4002\2017-10-24 &amp; aws s3 cp s3://rtdc.mdm.uploadarchive.raw/RTDC4002/ "%USERPROFILE%\AppData\Local\Temp\OnboardLogs"\RTDC4002\2017-10-25 --exclude "*" --recursive --include "*20171025*" &amp; "%USERPROFILE%\Documents\GitHub\mrs-test-scripts\Headless Mode &amp; Sideloading\WalkAndUnGZ.bat" "%USERPROFILE%\AppData\Local\Temp\OnboardLogs"\RTDC4002\2017-10-25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/stypes="app*4002*20171025*" /stext=" 01:.+((SYSTEM_STATE.+slice.+state.+changed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43"/>
        <v>"%USERPROFILE%\Documents\GitHub\eaglep3\Utilities\RefineRTDCRunTimes.py" --tripid 305-24 --locoid 4002 --swversion DE.1.0.9.0 --startMP 204:420 --initTime 2017-10-24T19:39:36 --startdatetime 2017-10-24T19:42:36 --delay 62 --endMP 300:23299 --enddatetime 2017-10-24T19:54:51 --enforcementcount 0 &gt;&gt;%USERPROFILE%\Documents\GitHub\eaglep3-reporting\EC\2017-10-24-refined-times.txt</v>
      </c>
      <c r="AI213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{"issue":{"subject":"","project_id":79,"tracker_id":40,"status_id":1,"priority_id":2,"assigned_to_id":338,"start_date":"2017-10-24","description":"","custom_fields":[{"id":1,"name":"Subdivision","value":"Other"},{"id":4,"name":"Milepost","value":"2.3299"},{"id":17,"name":"Train ID","value":"305-24"},{"id":16,"name":"Locomotive ID","value":"4002"},{"id":130,"name":"Impact","value":""},{"id":150,"name":"Time of Event (Mountain Time)","value":"19:54:51"},{"id":151,"name":"Denver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45"/>
        <v>start /low /b %USERPROFILE%\Documents\GitHub\eaglep3\Utilities\DownloadLogsFromS3.py --loco 4002 --day 2017-10-24</v>
      </c>
      <c r="AN213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47"/>
        <v>https://d0f6bd738d7f1b3e5a7ca70fe4ff75f0.us-east-1.aws.found.io/app/kibana#/discover/Steve-Slow-Train-Analysis-(2080s-and-2083s)?_g=(refreshInterval:(display:Off,pause:!f,section:0,value:0),time:(from:'2017-10-24T18:39:36-0600',mode:absolute,to:'2017-10-24T20:54:51-0600'))&amp;_a=(columns:!('Message%20ID',Summary),filters:!(),index:'emp_*',interval:auto,query:(query_string:(analyze_wildcard:!t,query:'%22rtdc.l.rtdc.4002%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682</v>
      </c>
      <c r="B214" s="7">
        <v>4059</v>
      </c>
      <c r="C214" s="21" t="s">
        <v>194</v>
      </c>
      <c r="D214" s="21" t="s">
        <v>971</v>
      </c>
      <c r="E214" s="13">
        <v>43032.170937499999</v>
      </c>
      <c r="F214" s="13">
        <v>43032.174780092595</v>
      </c>
      <c r="G214" s="7">
        <v>148</v>
      </c>
      <c r="H214" s="21" t="s">
        <v>450</v>
      </c>
      <c r="I214" s="13">
        <v>43032.181446759256</v>
      </c>
      <c r="J214" s="7">
        <v>0</v>
      </c>
      <c r="K214" s="89" t="str">
        <f>IF(ISEVEN(B214),(B214-1)&amp;"/"&amp;B214,B214&amp;"/"&amp;(B214+1))</f>
        <v>4059/4060</v>
      </c>
      <c r="L214" s="185" t="str">
        <f>VLOOKUP(A214,'Trips&amp;Operators'!$C$1:$G$99911,5,FALSE)</f>
        <v>BARRON PERLA</v>
      </c>
      <c r="M214" s="6">
        <f>I214-F214</f>
        <v>6.6666666607488878E-3</v>
      </c>
      <c r="N214" s="7">
        <f>24*60*SUM($M214:$M214)</f>
        <v>9.5999999914783984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-24T03:06:09-0600',mode:absolute,to:'2017-10-24T05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2.347</v>
      </c>
      <c r="Z214" s="204">
        <f>RIGHT(H214,LEN(H214)-4)/10000</f>
        <v>1.6299999999999999E-2</v>
      </c>
      <c r="AA214" s="204">
        <f>ABS(Z214-Y214)</f>
        <v>2.3306999999999998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306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/stypes="app*4059*20171024*"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43"/>
        <v>"%USERPROFILE%\Documents\GitHub\eaglep3\Utilities\RefineRTDCRunTimes.py" --tripid 306-24 --locoid 4059 --swversion DE.1.0.9.0 --startMP 300:23470 --initTime 2017-10-24T04:06:09 --startdatetime 2017-10-24T04:11:41 --delay 148 --endMP 204:163 --enddatetime 2017-10-24T04:21:17 --enforcementcount 0 &gt;&gt;%USERPROFILE%\Documents\GitHub\eaglep3-reporting\EC\2017-10-24-refined-times.txt</v>
      </c>
      <c r="AI214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{"issue":{"subject":"","project_id":79,"tracker_id":40,"status_id":1,"priority_id":2,"assigned_to_id":338,"start_date":"2017-10-24","description":"","custom_fields":[{"id":1,"name":"Subdivision","value":"Other"},{"id":4,"name":"Milepost","value":"0.0163"},{"id":17,"name":"Train ID","value":"306-24"},{"id":16,"name":"Locomotive ID","value":"4059"},{"id":130,"name":"Impact","value":""},{"id":150,"name":"Time of Event (Mountain Time)","value":"04:21:17"},{"id":151,"name":"Denver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45"/>
        <v>start /low /b %USERPROFILE%\Documents\GitHub\eaglep3\Utilities\DownloadLogsFromS3.py --loco 4059 --day 2017-10-24</v>
      </c>
      <c r="AN214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47"/>
        <v>https://d0f6bd738d7f1b3e5a7ca70fe4ff75f0.us-east-1.aws.found.io/app/kibana#/discover/Steve-Slow-Train-Analysis-(2080s-and-2083s)?_g=(refreshInterval:(display:Off,pause:!f,section:0,value:0),time:(from:'2017-10-24T03:06:09-0600',mode:absolute,to:'2017-10-24T05:21:17-0600'))&amp;_a=(columns:!('Message%20ID',Summary),filters:!(),index:'emp_*',interval:auto,query:(query_string:(analyze_wildcard:!t,query:'%22rtdc.l.rtdc.4059%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888</v>
      </c>
      <c r="B215" s="7">
        <v>4028</v>
      </c>
      <c r="C215" s="21" t="s">
        <v>194</v>
      </c>
      <c r="D215" s="21" t="s">
        <v>367</v>
      </c>
      <c r="E215" s="13">
        <v>43033.048194444447</v>
      </c>
      <c r="F215" s="13">
        <v>43033.049305555556</v>
      </c>
      <c r="G215" s="7">
        <v>52</v>
      </c>
      <c r="H215" s="21" t="s">
        <v>624</v>
      </c>
      <c r="I215" s="13">
        <v>43033.058530092596</v>
      </c>
      <c r="J215" s="7">
        <v>0</v>
      </c>
      <c r="K215" s="89" t="str">
        <f>IF(ISEVEN(B215),(B215-1)&amp;"/"&amp;B215,B215&amp;"/"&amp;(B215+1))</f>
        <v>4027/4028</v>
      </c>
      <c r="L215" s="185" t="str">
        <f>VLOOKUP(A215,'Trips&amp;Operators'!$C$1:$G$99911,5,FALSE)</f>
        <v>LOZA FIDEL</v>
      </c>
      <c r="M215" s="6">
        <f>I215-F215</f>
        <v>9.2245370396994986E-3</v>
      </c>
      <c r="N215" s="7">
        <f>24*60*SUM($M215:$M215)</f>
        <v>13.283333337167278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-25T00:09:24-0600',mode:absolute,to:'2017-10-25T02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4.5100000000000001E-2</v>
      </c>
      <c r="Z215" s="204">
        <f>RIGHT(H215,LEN(H215)-4)/10000</f>
        <v>2.3294999999999999</v>
      </c>
      <c r="AA215" s="204">
        <f>ABS(Z215-Y215)</f>
        <v>2.2843999999999998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307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 &amp; 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/stypes="app*4028*20171025*" /stext=" 07:.+((SYSTEM_STATE.+slice.+state.+changed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43"/>
        <v>"%USERPROFILE%\Documents\GitHub\eaglep3\Utilities\RefineRTDCRunTimes.py" --tripid 307-24 --locoid 4028 --swversion DE.1.0.9.0 --startMP 204:451 --initTime 2017-10-25T01:09:24 --startdatetime 2017-10-25T01:11:00 --delay 52 --endMP 300:23295 --enddatetime 2017-10-25T01:24:17 --enforcementcount 0 &gt;&gt;%USERPROFILE%\Documents\GitHub\eaglep3-reporting\EC\2017-10-24-refined-times.txt</v>
      </c>
      <c r="AI215" s="96" t="str">
        <f t="shared" si="44"/>
        <v>echo {"issue":{"subject":"","project_id":79,"tracker_id":40,"status_id":1,"priority_id":2,"assigned_to_id":338,"start_date":"2017-10-25","description":"","custom_fields":[{"id":1,"name":"Subdivision","value":"Other"},{"id":4,"name":"Milepost","value":"2.3295"},{"id":17,"name":"Train ID","value":"307-24"},{"id":16,"name":"Locomotive ID","value":"4028"},{"id":130,"name":"Impact","value":""},{"id":150,"name":"Time of Event (Mountain Time)","value":"01:24:17"},{"id":151,"name":"Denver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45"/>
        <v>start /low /b %USERPROFILE%\Documents\GitHub\eaglep3\Utilities\DownloadLogsFromS3.py --loco 4028 --day 2017-10-25</v>
      </c>
      <c r="AN215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07:24:17"},{"id":29,"name":"Sharepoint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47"/>
        <v>https://d0f6bd738d7f1b3e5a7ca70fe4ff75f0.us-east-1.aws.found.io/app/kibana#/discover/Steve-Slow-Train-Analysis-(2080s-and-2083s)?_g=(refreshInterval:(display:Off,pause:!f,section:0,value:0),time:(from:'2017-10-25T00:09:24-0600',mode:absolute,to:'2017-10-25T02:24:17-0600'))&amp;_a=(columns:!('Message%20ID',Summary),filters:!(),index:'emp_*',interval:auto,query:(query_string:(analyze_wildcard:!t,query:'%22rtdc.l.rtdc.4028%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684</v>
      </c>
      <c r="B216" s="7">
        <v>4065</v>
      </c>
      <c r="C216" s="21" t="s">
        <v>194</v>
      </c>
      <c r="D216" s="21" t="s">
        <v>972</v>
      </c>
      <c r="E216" s="13">
        <v>43032.181458333333</v>
      </c>
      <c r="F216" s="13">
        <v>43032.184675925928</v>
      </c>
      <c r="G216" s="7">
        <v>79</v>
      </c>
      <c r="H216" s="21" t="s">
        <v>450</v>
      </c>
      <c r="I216" s="13">
        <v>43032.19017361111</v>
      </c>
      <c r="J216" s="7">
        <v>0</v>
      </c>
      <c r="K216" s="89" t="str">
        <f>IF(ISEVEN(B216),(B216-1)&amp;"/"&amp;B216,B216&amp;"/"&amp;(B216+1))</f>
        <v>4065/4066</v>
      </c>
      <c r="L216" s="185" t="str">
        <f>VLOOKUP(A216,'Trips&amp;Operators'!$C$1:$G$99911,5,FALSE)</f>
        <v>LAMAR NEKESHA</v>
      </c>
      <c r="M216" s="6">
        <f>I216-F216</f>
        <v>5.4976851824903861E-3</v>
      </c>
      <c r="N216" s="7">
        <f>24*60*SUM($M216:$M216)</f>
        <v>7.9166666627861559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-24T03:21:18-0600',mode:absolute,to:'2017-10-24T05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2.2761999999999998</v>
      </c>
      <c r="Z216" s="204">
        <f>RIGHT(H216,LEN(H216)-4)/10000</f>
        <v>1.6299999999999999E-2</v>
      </c>
      <c r="AA216" s="204">
        <f>ABS(Z216-Y216)</f>
        <v>2.2598999999999996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308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s3://rtdc.mdm.uploadarchive.raw/RTDC4065/ "%USERPROFILE%\AppData\Local\Temp\OnboardLogs"\RTDC4065\2017-10-24 --exclude "*" --recursive --include "*20171024*" &amp; "%USERPROFILE%\Documents\GitHub\mrs-test-scripts\Headless Mode &amp; Sideloading\WalkAndUnGZ.bat" "%USERPROFILE%\AppData\Local\Temp\OnboardLogs"\RTDC4065\2017-10-24 &amp; aws s3 cp s3://rtdc.mdm.uploadarchive.raw/RTDC4065/ "%USERPROFILE%\AppData\Local\Temp\OnboardLogs"\RTDC4065\2017-10-25 --exclude "*" --recursive --include "*20171025*" &amp; "%USERPROFILE%\Documents\GitHub\mrs-test-scripts\Headless Mode &amp; Sideloading\WalkAndUnGZ.bat" "%USERPROFILE%\AppData\Local\Temp\OnboardLogs"\RTDC4065\2017-10-25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/stypes="app*4065*20171024*" /stext=" 10:.+((SYSTEM_STATE.+slice.+state.+changed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43"/>
        <v>"%USERPROFILE%\Documents\GitHub\eaglep3\Utilities\RefineRTDCRunTimes.py" --tripid 308-24 --locoid 4065 --swversion DE.1.0.9.0 --startMP 300:22762 --initTime 2017-10-24T04:21:18 --startdatetime 2017-10-24T04:25:56 --delay 79 --endMP 204:163 --enddatetime 2017-10-24T04:33:51 --enforcementcount 0 &gt;&gt;%USERPROFILE%\Documents\GitHub\eaglep3-reporting\EC\2017-10-24-refined-times.txt</v>
      </c>
      <c r="AI216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{"issue":{"subject":"","project_id":79,"tracker_id":40,"status_id":1,"priority_id":2,"assigned_to_id":338,"start_date":"2017-10-24","description":"","custom_fields":[{"id":1,"name":"Subdivision","value":"Other"},{"id":4,"name":"Milepost","value":"0.0163"},{"id":17,"name":"Train ID","value":"308-24"},{"id":16,"name":"Locomotive ID","value":"4065"},{"id":130,"name":"Impact","value":""},{"id":150,"name":"Time of Event (Mountain Time)","value":"04:33:51"},{"id":151,"name":"Denver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45"/>
        <v>start /low /b %USERPROFILE%\Documents\GitHub\eaglep3\Utilities\DownloadLogsFromS3.py --loco 4065 --day 2017-10-24</v>
      </c>
      <c r="AN216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47"/>
        <v>https://d0f6bd738d7f1b3e5a7ca70fe4ff75f0.us-east-1.aws.found.io/app/kibana#/discover/Steve-Slow-Train-Analysis-(2080s-and-2083s)?_g=(refreshInterval:(display:Off,pause:!f,section:0,value:0),time:(from:'2017-10-24T03:21:18-0600',mode:absolute,to:'2017-10-24T05:33:51-0600'))&amp;_a=(columns:!('Message%20ID',Summary),filters:!(),index:'emp_*',interval:auto,query:(query_string:(analyze_wildcard:!t,query:'%22rtdc.l.rtdc.4065%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890</v>
      </c>
      <c r="B217" s="7">
        <v>4026</v>
      </c>
      <c r="C217" s="21" t="s">
        <v>194</v>
      </c>
      <c r="D217" s="21" t="s">
        <v>917</v>
      </c>
      <c r="E217" s="13">
        <v>43033.068865740737</v>
      </c>
      <c r="F217" s="13">
        <v>43033.070868055554</v>
      </c>
      <c r="G217" s="7">
        <v>81</v>
      </c>
      <c r="H217" s="21" t="s">
        <v>401</v>
      </c>
      <c r="I217" s="13">
        <v>43033.098136574074</v>
      </c>
      <c r="J217" s="7">
        <v>0</v>
      </c>
      <c r="K217" s="89" t="str">
        <f>IF(ISEVEN(B217),(B217-1)&amp;"/"&amp;B217,B217&amp;"/"&amp;(B217+1))</f>
        <v>4025/4026</v>
      </c>
      <c r="L217" s="185" t="str">
        <f>VLOOKUP(A217,'Trips&amp;Operators'!$C$1:$G$99911,5,FALSE)</f>
        <v>MAGEE KENYA</v>
      </c>
      <c r="M217" s="6">
        <f>I217-F217</f>
        <v>2.7268518519122154E-2</v>
      </c>
      <c r="N217" s="7">
        <f>24*60*SUM($M217:$M217)</f>
        <v>39.266666667535901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-25T00:39:10-0600',mode:absolute,to:'2017-10-25T03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4.4400000000000002E-2</v>
      </c>
      <c r="Z217" s="204">
        <f>RIGHT(H217,LEN(H217)-4)/10000</f>
        <v>2.3346</v>
      </c>
      <c r="AA217" s="204">
        <f>ABS(Z217-Y217)</f>
        <v>2.2902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309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 &amp; 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/stypes="app*4026*20171025*" /stext=" 08:.+((SYSTEM_STATE.+slice.+state.+changed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43"/>
        <v>"%USERPROFILE%\Documents\GitHub\eaglep3\Utilities\RefineRTDCRunTimes.py" --tripid 309-24 --locoid 4026 --swversion DE.1.0.9.0 --startMP 204:444 --initTime 2017-10-25T01:39:10 --startdatetime 2017-10-25T01:42:03 --delay 81 --endMP 300:23346 --enddatetime 2017-10-25T02:21:19 --enforcementcount 0 &gt;&gt;%USERPROFILE%\Documents\GitHub\eaglep3-reporting\EC\2017-10-24-refined-times.txt</v>
      </c>
      <c r="AI217" s="96" t="str">
        <f t="shared" si="44"/>
        <v>echo {"issue":{"subject":"","project_id":79,"tracker_id":40,"status_id":1,"priority_id":2,"assigned_to_id":338,"start_date":"2017-10-25","description":"","custom_fields":[{"id":1,"name":"Subdivision","value":"Other"},{"id":4,"name":"Milepost","value":"2.3346"},{"id":17,"name":"Train ID","value":"309-24"},{"id":16,"name":"Locomotive ID","value":"4026"},{"id":130,"name":"Impact","value":""},{"id":150,"name":"Time of Event (Mountain Time)","value":"02:21:19"},{"id":151,"name":"Denver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45"/>
        <v>start /low /b %USERPROFILE%\Documents\GitHub\eaglep3\Utilities\DownloadLogsFromS3.py --loco 4026 --day 2017-10-25</v>
      </c>
      <c r="AN217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08:21:19"},{"id":29,"name":"Sharepoint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47"/>
        <v>https://d0f6bd738d7f1b3e5a7ca70fe4ff75f0.us-east-1.aws.found.io/app/kibana#/discover/Steve-Slow-Train-Analysis-(2080s-and-2083s)?_g=(refreshInterval:(display:Off,pause:!f,section:0,value:0),time:(from:'2017-10-25T00:39:10-0600',mode:absolute,to:'2017-10-25T03:21:19-0600'))&amp;_a=(columns:!('Message%20ID',Summary),filters:!(),index:'emp_*',interval:auto,query:(query_string:(analyze_wildcard:!t,query:'%22rtdc.l.rtdc.4026%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688</v>
      </c>
      <c r="B218" s="7">
        <v>4057</v>
      </c>
      <c r="C218" s="21" t="s">
        <v>194</v>
      </c>
      <c r="D218" s="21" t="s">
        <v>973</v>
      </c>
      <c r="E218" s="13">
        <v>43032.196967592594</v>
      </c>
      <c r="F218" s="13">
        <v>43032.199606481481</v>
      </c>
      <c r="G218" s="7">
        <v>109</v>
      </c>
      <c r="H218" s="21" t="s">
        <v>354</v>
      </c>
      <c r="I218" s="13">
        <v>43032.206909722219</v>
      </c>
      <c r="J218" s="7">
        <v>0</v>
      </c>
      <c r="K218" s="89" t="str">
        <f>IF(ISEVEN(B218),(B218-1)&amp;"/"&amp;B218,B218&amp;"/"&amp;(B218+1))</f>
        <v>4057/4058</v>
      </c>
      <c r="L218" s="185" t="str">
        <f>VLOOKUP(A218,'Trips&amp;Operators'!$C$1:$G$99911,5,FALSE)</f>
        <v>YANAI IAN</v>
      </c>
      <c r="M218" s="6">
        <f>I218-F218</f>
        <v>7.3032407381106168E-3</v>
      </c>
      <c r="N218" s="7">
        <f>24*60*SUM($M218:$M218)</f>
        <v>10.516666662879288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-24T03:43:38-0600',mode:absolute,to:'2017-10-24T05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2.3742999999999999</v>
      </c>
      <c r="Z218" s="204">
        <f>RIGHT(H218,LEN(H218)-4)/10000</f>
        <v>1.52E-2</v>
      </c>
      <c r="AA218" s="204">
        <f>ABS(Z218-Y218)</f>
        <v>2.3590999999999998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310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s3://rtdc.mdm.uploadarchive.raw/RTDC4057/ "%USERPROFILE%\AppData\Local\Temp\OnboardLogs"\RTDC4057\2017-10-24 --exclude "*" --recursive --include "*20171024*" &amp; "%USERPROFILE%\Documents\GitHub\mrs-test-scripts\Headless Mode &amp; Sideloading\WalkAndUnGZ.bat" "%USERPROFILE%\AppData\Local\Temp\OnboardLogs"\RTDC4057\2017-10-24 &amp; aws s3 cp s3://rtdc.mdm.uploadarchive.raw/RTDC4057/ "%USERPROFILE%\AppData\Local\Temp\OnboardLogs"\RTDC4057\2017-10-25 --exclude "*" --recursive --include "*20171025*" &amp; "%USERPROFILE%\Documents\GitHub\mrs-test-scripts\Headless Mode &amp; Sideloading\WalkAndUnGZ.bat" "%USERPROFILE%\AppData\Local\Temp\OnboardLogs"\RTDC4057\2017-10-25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/stypes="app*4057*20171024*" /stext=" 10:.+((SYSTEM_STATE.+slice.+state.+changed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43"/>
        <v>"%USERPROFILE%\Documents\GitHub\eaglep3\Utilities\RefineRTDCRunTimes.py" --tripid 310-24 --locoid 4057 --swversion DE.1.0.9.0 --startMP 300:23743 --initTime 2017-10-24T04:43:38 --startdatetime 2017-10-24T04:47:26 --delay 109 --endMP 204:152 --enddatetime 2017-10-24T04:57:57 --enforcementcount 0 &gt;&gt;%USERPROFILE%\Documents\GitHub\eaglep3-reporting\EC\2017-10-24-refined-times.txt</v>
      </c>
      <c r="AI218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{"issue":{"subject":"","project_id":79,"tracker_id":40,"status_id":1,"priority_id":2,"assigned_to_id":338,"start_date":"2017-10-24","description":"","custom_fields":[{"id":1,"name":"Subdivision","value":"Other"},{"id":4,"name":"Milepost","value":"0.0152"},{"id":17,"name":"Train ID","value":"310-24"},{"id":16,"name":"Locomotive ID","value":"4057"},{"id":130,"name":"Impact","value":""},{"id":150,"name":"Time of Event (Mountain Time)","value":"04:57:57"},{"id":151,"name":"Denver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45"/>
        <v>start /low /b %USERPROFILE%\Documents\GitHub\eaglep3\Utilities\DownloadLogsFromS3.py --loco 4057 --day 2017-10-24</v>
      </c>
      <c r="AN218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10:57:57"},{"id":29,"name":"Sharepoint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47"/>
        <v>https://d0f6bd738d7f1b3e5a7ca70fe4ff75f0.us-east-1.aws.found.io/app/kibana#/discover/Steve-Slow-Train-Analysis-(2080s-and-2083s)?_g=(refreshInterval:(display:Off,pause:!f,section:0,value:0),time:(from:'2017-10-24T03:43:38-0600',mode:absolute,to:'2017-10-24T05:57:57-0600'))&amp;_a=(columns:!('Message%20ID',Summary),filters:!(),index:'emp_*',interval:auto,query:(query_string:(analyze_wildcard:!t,query:'%22rtdc.l.rtdc.4057%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891</v>
      </c>
      <c r="B219" s="7">
        <v>4060</v>
      </c>
      <c r="C219" s="21" t="s">
        <v>194</v>
      </c>
      <c r="D219" s="21" t="s">
        <v>967</v>
      </c>
      <c r="E219" s="13">
        <v>43033.089270833334</v>
      </c>
      <c r="F219" s="13">
        <v>43033.090590277781</v>
      </c>
      <c r="G219" s="7">
        <v>54</v>
      </c>
      <c r="H219" s="21" t="s">
        <v>621</v>
      </c>
      <c r="I219" s="13">
        <v>43033.100821759261</v>
      </c>
      <c r="J219" s="7">
        <v>0</v>
      </c>
      <c r="K219" s="89" t="str">
        <f>IF(ISEVEN(B219),(B219-1)&amp;"/"&amp;B219,B219&amp;"/"&amp;(B219+1))</f>
        <v>4059/4060</v>
      </c>
      <c r="L219" s="185" t="str">
        <f>VLOOKUP(A219,'Trips&amp;Operators'!$C$1:$G$99911,5,FALSE)</f>
        <v>ANDERS STEVEN</v>
      </c>
      <c r="M219" s="6">
        <f>I219-F219</f>
        <v>1.0231481479422655E-2</v>
      </c>
      <c r="N219" s="7">
        <f>24*60*SUM($M219:$M219)</f>
        <v>14.733333330368623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-25T01:08:33-0600',mode:absolute,to:'2017-10-25T03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5.0799999999999998E-2</v>
      </c>
      <c r="Z219" s="204">
        <f>RIGHT(H219,LEN(H219)-4)/10000</f>
        <v>2.3298999999999999</v>
      </c>
      <c r="AA219" s="204">
        <f>ABS(Z219-Y219)</f>
        <v>2.2790999999999997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s3://rtdc.mdm.uploadarchive.raw/RTDC4060/ "%USERPROFILE%\AppData\Local\Temp\OnboardLogs"\RTDC4060\2017-10-25 --exclude "*" --recursive --include "*20171025*" &amp; "%USERPROFILE%\Documents\GitHub\mrs-test-scripts\Headless Mode &amp; Sideloading\WalkAndUnGZ.bat" "%USERPROFILE%\AppData\Local\Temp\OnboardLogs"\RTDC4060\2017-10-25 &amp; 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/stypes="app*4060*20171025*" /stext=" 08:.+((SYSTEM_STATE.+slice.+state.+changed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43"/>
        <v>"%USERPROFILE%\Documents\GitHub\eaglep3\Utilities\RefineRTDCRunTimes.py" --tripid 311-24 --locoid 4060 --swversion DE.1.0.9.0 --startMP 204:508 --initTime 2017-10-25T02:08:33 --startdatetime 2017-10-25T02:10:27 --delay 54 --endMP 300:23299 --enddatetime 2017-10-25T02:25:11 --enforcementcount 0 &gt;&gt;%USERPROFILE%\Documents\GitHub\eaglep3-reporting\EC\2017-10-24-refined-times.txt</v>
      </c>
      <c r="AI219" s="96" t="str">
        <f t="shared" si="44"/>
        <v>echo {"issue":{"subject":"","project_id":79,"tracker_id":40,"status_id":1,"priority_id":2,"assigned_to_id":338,"start_date":"2017-10-25","description":"","custom_fields":[{"id":1,"name":"Subdivision","value":"Other"},{"id":4,"name":"Milepost","value":"2.3299"},{"id":17,"name":"Train ID","value":"311-24"},{"id":16,"name":"Locomotive ID","value":"4060"},{"id":130,"name":"Impact","value":""},{"id":150,"name":"Time of Event (Mountain Time)","value":"02:25:11"},{"id":151,"name":"Denver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45"/>
        <v>start /low /b %USERPROFILE%\Documents\GitHub\eaglep3\Utilities\DownloadLogsFromS3.py --loco 4060 --day 2017-10-25</v>
      </c>
      <c r="AN219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08:25:11"},{"id":29,"name":"Sharepoint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47"/>
        <v>https://d0f6bd738d7f1b3e5a7ca70fe4ff75f0.us-east-1.aws.found.io/app/kibana#/discover/Steve-Slow-Train-Analysis-(2080s-and-2083s)?_g=(refreshInterval:(display:Off,pause:!f,section:0,value:0),time:(from:'2017-10-25T01:08:33-0600',mode:absolute,to:'2017-10-25T03:25:11-0600'))&amp;_a=(columns:!('Message%20ID',Summary),filters:!(),index:'emp_*',interval:auto,query:(query_string:(analyze_wildcard:!t,query:'%22rtdc.l.rtdc.4060%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697</v>
      </c>
      <c r="B220" s="7">
        <v>4001</v>
      </c>
      <c r="C220" s="21" t="s">
        <v>194</v>
      </c>
      <c r="D220" s="21" t="s">
        <v>974</v>
      </c>
      <c r="E220" s="13">
        <v>43032.223877314813</v>
      </c>
      <c r="F220" s="13">
        <v>43032.228263888886</v>
      </c>
      <c r="G220" s="7">
        <v>71</v>
      </c>
      <c r="H220" s="21" t="s">
        <v>911</v>
      </c>
      <c r="I220" s="13">
        <v>43032.233981481484</v>
      </c>
      <c r="J220" s="7">
        <v>0</v>
      </c>
      <c r="K220" s="89" t="str">
        <f>IF(ISEVEN(B220),(B220-1)&amp;"/"&amp;B220,B220&amp;"/"&amp;(B220+1))</f>
        <v>4001/4002</v>
      </c>
      <c r="L220" s="185" t="str">
        <f>VLOOKUP(A220,'Trips&amp;Operators'!$C$1:$G$99911,5,FALSE)</f>
        <v>MACDONALD THOMAS</v>
      </c>
      <c r="M220" s="6">
        <f>I220-F220</f>
        <v>5.7175925976480357E-3</v>
      </c>
      <c r="N220" s="7">
        <f>24*60*SUM($M220:$M220)</f>
        <v>8.2333333406131715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-24T04:22:23-0600',mode:absolute,to:'2017-10-24T06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2.5766</v>
      </c>
      <c r="Z220" s="204">
        <f>RIGHT(H220,LEN(H220)-4)/10000</f>
        <v>1.6500000000000001E-2</v>
      </c>
      <c r="AA220" s="204">
        <f>ABS(Z220-Y220)</f>
        <v>2.5600999999999998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s3://rtdc.mdm.uploadarchive.raw/RTDC4001/ "%USERPROFILE%\AppData\Local\Temp\OnboardLogs"\RTDC4001\2017-10-24 --exclude "*" --recursive --include "*20171024*" &amp; "%USERPROFILE%\Documents\GitHub\mrs-test-scripts\Headless Mode &amp; Sideloading\WalkAndUnGZ.bat" "%USERPROFILE%\AppData\Local\Temp\OnboardLogs"\RTDC4001\2017-10-24 &amp; aws s3 cp s3://rtdc.mdm.uploadarchive.raw/RTDC4001/ "%USERPROFILE%\AppData\Local\Temp\OnboardLogs"\RTDC4001\2017-10-25 --exclude "*" --recursive --include "*20171025*" &amp; "%USERPROFILE%\Documents\GitHub\mrs-test-scripts\Headless Mode &amp; Sideloading\WalkAndUnGZ.bat" "%USERPROFILE%\AppData\Local\Temp\OnboardLogs"\RTDC4001\2017-10-25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/stypes="app*4001*20171024*"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43"/>
        <v>"%USERPROFILE%\Documents\GitHub\eaglep3\Utilities\RefineRTDCRunTimes.py" --tripid 312-24 --locoid 4001 --swversion DE.1.0.9.0 --startMP 300:25766 --initTime 2017-10-24T05:22:23 --startdatetime 2017-10-24T05:28:42 --delay 71 --endMP 204:165 --enddatetime 2017-10-24T05:36:56 --enforcementcount 0 &gt;&gt;%USERPROFILE%\Documents\GitHub\eaglep3-reporting\EC\2017-10-24-refined-times.txt</v>
      </c>
      <c r="AI220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{"issue":{"subject":"","project_id":79,"tracker_id":40,"status_id":1,"priority_id":2,"assigned_to_id":338,"start_date":"2017-10-24","description":"","custom_fields":[{"id":1,"name":"Subdivision","value":"Other"},{"id":4,"name":"Milepost","value":"0.0165"},{"id":17,"name":"Train ID","value":"312-24"},{"id":16,"name":"Locomotive ID","value":"4001"},{"id":130,"name":"Impact","value":""},{"id":150,"name":"Time of Event (Mountain Time)","value":"05:36:56"},{"id":151,"name":"Denver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45"/>
        <v>start /low /b %USERPROFILE%\Documents\GitHub\eaglep3\Utilities\DownloadLogsFromS3.py --loco 4001 --day 2017-10-24</v>
      </c>
      <c r="AN220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47"/>
        <v>https://d0f6bd738d7f1b3e5a7ca70fe4ff75f0.us-east-1.aws.found.io/app/kibana#/discover/Steve-Slow-Train-Analysis-(2080s-and-2083s)?_g=(refreshInterval:(display:Off,pause:!f,section:0,value:0),time:(from:'2017-10-24T04:22:23-0600',mode:absolute,to:'2017-10-24T06:36:56-0600'))&amp;_a=(columns:!('Message%20ID',Summary),filters:!(),index:'emp_*',interval:auto,query:(query_string:(analyze_wildcard:!t,query:'%22rtdc.l.rtdc.4001%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886</v>
      </c>
      <c r="B221" s="7">
        <v>4016</v>
      </c>
      <c r="C221" s="21" t="s">
        <v>194</v>
      </c>
      <c r="D221" s="21" t="s">
        <v>975</v>
      </c>
      <c r="E221" s="13">
        <v>43033.026180555556</v>
      </c>
      <c r="F221" s="13">
        <v>43033.028078703705</v>
      </c>
      <c r="G221" s="7">
        <v>81</v>
      </c>
      <c r="H221" s="21" t="s">
        <v>976</v>
      </c>
      <c r="I221" s="13">
        <v>43033.030729166669</v>
      </c>
      <c r="J221" s="7">
        <v>0</v>
      </c>
      <c r="K221" s="89" t="str">
        <f>IF(ISEVEN(B221),(B221-1)&amp;"/"&amp;B221,B221&amp;"/"&amp;(B221+1))</f>
        <v>4015/4016</v>
      </c>
      <c r="L221" s="185" t="str">
        <f>VLOOKUP(A221,'Trips&amp;Operators'!$C$1:$G$99911,5,FALSE)</f>
        <v>DUNCAN SHEILA</v>
      </c>
      <c r="M221" s="6">
        <f>I221-F221</f>
        <v>2.6504629640839994E-3</v>
      </c>
      <c r="N221" s="7">
        <f>24*60*SUM($M221:$M221)</f>
        <v>3.8166666682809591</v>
      </c>
      <c r="O221" s="7"/>
      <c r="P221" s="7"/>
      <c r="Q221" s="22"/>
      <c r="R221" s="174"/>
      <c r="S221" s="221">
        <f>1/IF(AG221="EC",12,1)*SUM(U221:U221)</f>
        <v>0</v>
      </c>
      <c r="T221" s="174" t="str">
        <f>IF(ISEVEN(LEFT(AD221,4)),"Southbound","NorthBound")</f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-24T23:37:42-0600',mode:absolute,to:'2017-10-25T01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5.5500000000000001E-2</v>
      </c>
      <c r="Z221" s="204">
        <f>RIGHT(H221,LEN(H221)-4)/10000</f>
        <v>0.84940000000000004</v>
      </c>
      <c r="AA221" s="204">
        <f>ABS(Z221-Y221)</f>
        <v>0.79390000000000005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313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s3://rtdc.mdm.uploadarchive.raw/RTDC4016/ "%USERPROFILE%\AppData\Local\Temp\OnboardLogs"\RTDC4016\2017-10-25 --exclude "*" --recursive --include "*20171025*" &amp; "%USERPROFILE%\Documents\GitHub\mrs-test-scripts\Headless Mode &amp; Sideloading\WalkAndUnGZ.bat" "%USERPROFILE%\AppData\Local\Temp\OnboardLogs"\RTDC4016\2017-10-25 &amp; 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/stypes="app*4016*20171025*" /stext=" 06:.+((SYSTEM_STATE.+slice.+state.+changed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43"/>
        <v>"%USERPROFILE%\Documents\GitHub\eaglep3\Utilities\RefineRTDCRunTimes.py" --tripid 313-24 --locoid 4016 --swversion DE.1.0.9.0 --startMP 204:555 --initTime 2017-10-25T00:37:42 --startdatetime 2017-10-25T00:40:26 --delay 81 --endMP 300:8494 --enddatetime 2017-10-25T00:44:15 --enforcementcount 0 &gt;&gt;%USERPROFILE%\Documents\GitHub\eaglep3-reporting\EC\2017-10-24-refined-times.txt</v>
      </c>
      <c r="AI221" s="96" t="str">
        <f t="shared" si="44"/>
        <v>echo {"issue":{"subject":"","project_id":79,"tracker_id":40,"status_id":1,"priority_id":2,"assigned_to_id":338,"start_date":"2017-10-25","description":"","custom_fields":[{"id":1,"name":"Subdivision","value":"Other"},{"id":4,"name":"Milepost","value":"0.8494"},{"id":17,"name":"Train ID","value":"313-24"},{"id":16,"name":"Locomotive ID","value":"4016"},{"id":130,"name":"Impact","value":""},{"id":150,"name":"Time of Event (Mountain Time)","value":"00:44:15"},{"id":151,"name":"Denver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45"/>
        <v>start /low /b %USERPROFILE%\Documents\GitHub\eaglep3\Utilities\DownloadLogsFromS3.py --loco 4016 --day 2017-10-25</v>
      </c>
      <c r="AN221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06:44:15"},{"id":29,"name":"Sharepoint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47"/>
        <v>https://d0f6bd738d7f1b3e5a7ca70fe4ff75f0.us-east-1.aws.found.io/app/kibana#/discover/Steve-Slow-Train-Analysis-(2080s-and-2083s)?_g=(refreshInterval:(display:Off,pause:!f,section:0,value:0),time:(from:'2017-10-24T23:37:42-0600',mode:absolute,to:'2017-10-25T01:44:15-0600'))&amp;_a=(columns:!('Message%20ID',Summary),filters:!(),index:'emp_*',interval:auto,query:(query_string:(analyze_wildcard:!t,query:'%22rtdc.l.rtdc.4016%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689</v>
      </c>
      <c r="B222" s="7">
        <v>4064</v>
      </c>
      <c r="C222" s="21" t="s">
        <v>194</v>
      </c>
      <c r="D222" s="21" t="s">
        <v>1075</v>
      </c>
      <c r="E222" s="13">
        <v>43032.199143518519</v>
      </c>
      <c r="F222" s="13">
        <v>43032.203553240739</v>
      </c>
      <c r="G222" s="7">
        <v>91</v>
      </c>
      <c r="H222" s="21" t="s">
        <v>1003</v>
      </c>
      <c r="I222" s="13">
        <v>43032.209363425929</v>
      </c>
      <c r="J222" s="7">
        <v>0</v>
      </c>
      <c r="K222" s="89" t="str">
        <f>IF(ISEVEN(B222),(B222-1)&amp;"/"&amp;B222,B222&amp;"/"&amp;(B222+1))</f>
        <v>4063/4064</v>
      </c>
      <c r="L222" s="185" t="str">
        <f>VLOOKUP(A222,'Trips&amp;Operators'!$C$1:$G$99911,5,FALSE)</f>
        <v>STRICKLAND EVAN</v>
      </c>
      <c r="M222" s="6">
        <f>I222-F222</f>
        <v>5.810185190057382E-3</v>
      </c>
      <c r="N222" s="7">
        <f>24*60*SUM($M222:$M222)</f>
        <v>8.3666666736826301</v>
      </c>
      <c r="O222" s="7"/>
      <c r="P222" s="7"/>
      <c r="Q222" s="22"/>
      <c r="R222" s="174"/>
      <c r="S222" s="221">
        <f>1/IF(AG222="EC",12,1)*SUM(U222:U222)</f>
        <v>0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-24T03:46:46-0600',mode:absolute,to:'2017-10-24T06:01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588</v>
      </c>
      <c r="Y222" s="204">
        <f>RIGHT(D222,LEN(D222)-4)/10000</f>
        <v>3.0129000000000001</v>
      </c>
      <c r="Z222" s="204">
        <f>RIGHT(H222,LEN(H222)-4)/10000</f>
        <v>5.8973000000000004</v>
      </c>
      <c r="AA222" s="204">
        <f>ABS(Z222-Y222)</f>
        <v>2.8844000000000003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901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/stypes="app*4064*20171024*" /stext=" 11:.+((SYSTEM_STATE.+slice.+state.+changed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43"/>
        <v>"%USERPROFILE%\Documents\GitHub\eaglep3\Utilities\RefineRTDCRunTimes.py" --tripid 901-24 --locoid 4064 --swversion DE.1.0.9.0 --startMP 300:30129 --initTime 2017-10-24T04:46:46 --startdatetime 2017-10-24T04:53:07 --delay 91 --endMP 300:58973 --enddatetime 2017-10-24T05:01:29 --enforcementcount 0 &gt;&gt;%USERPROFILE%\Documents\GitHub\eaglep3-reporting\EC\2017-10-24-refined-times.txt</v>
      </c>
      <c r="AI222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{"issue":{"subject":"","project_id":79,"tracker_id":40,"status_id":1,"priority_id":2,"assigned_to_id":338,"start_date":"2017-10-24","description":"","custom_fields":[{"id":1,"name":"Subdivision","value":"Other"},{"id":4,"name":"Milepost","value":"5.8973"},{"id":17,"name":"Train ID","value":"901-24"},{"id":16,"name":"Locomotive ID","value":"4064"},{"id":130,"name":"Impact","value":""},{"id":150,"name":"Time of Event (Mountain Time)","value":"05:01:29"},{"id":151,"name":"Denver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45"/>
        <v>start /low /b %USERPROFILE%\Documents\GitHub\eaglep3\Utilities\DownloadLogsFromS3.py --loco 4064 --day 2017-10-24</v>
      </c>
      <c r="AN222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11:01:29"},{"id":29,"name":"Sharepoint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47"/>
        <v>https://d0f6bd738d7f1b3e5a7ca70fe4ff75f0.us-east-1.aws.found.io/app/kibana#/discover/Steve-Slow-Train-Analysis-(2080s-and-2083s)?_g=(refreshInterval:(display:Off,pause:!f,section:0,value:0),time:(from:'2017-10-24T03:46:46-0600',mode:absolute,to:'2017-10-24T06:01:29-0600'))&amp;_a=(columns:!('Message%20ID',Summary),filters:!(),index:'emp_*',interval:auto,query:(query_string:(analyze_wildcard:!t,query:'%22rtdc.l.rtdc.4064%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703</v>
      </c>
      <c r="B223" s="7">
        <v>4035</v>
      </c>
      <c r="C223" s="21" t="s">
        <v>194</v>
      </c>
      <c r="D223" s="21" t="s">
        <v>1076</v>
      </c>
      <c r="E223" s="13">
        <v>43032.235694444447</v>
      </c>
      <c r="F223" s="13">
        <v>43032.240393518521</v>
      </c>
      <c r="G223" s="7">
        <v>78</v>
      </c>
      <c r="H223" s="21" t="s">
        <v>1077</v>
      </c>
      <c r="I223" s="13">
        <v>43032.243379629632</v>
      </c>
      <c r="J223" s="7">
        <v>0</v>
      </c>
      <c r="K223" s="89" t="str">
        <f>IF(ISEVEN(B223),(B223-1)&amp;"/"&amp;B223,B223&amp;"/"&amp;(B223+1))</f>
        <v>4035/4036</v>
      </c>
      <c r="L223" s="185" t="str">
        <f>VLOOKUP(A223,'Trips&amp;Operators'!$C$1:$G$99911,5,FALSE)</f>
        <v>FORTUNATO FRANK</v>
      </c>
      <c r="M223" s="6">
        <f>I223-F223</f>
        <v>2.9861111106583849E-3</v>
      </c>
      <c r="N223" s="7"/>
      <c r="O223" s="7"/>
      <c r="P223" s="7">
        <f>24*60*SUM($M223:$M223)</f>
        <v>4.2999999993480742</v>
      </c>
      <c r="Q223" s="22"/>
      <c r="R223" s="174" t="s">
        <v>1102</v>
      </c>
      <c r="S223" s="221">
        <f>1/IF(AG223="EC",12,1)*SUM(U223:U223)</f>
        <v>0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-24T04:39:24-0600',mode:absolute,to:'2017-10-24T06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2.3892000000000002</v>
      </c>
      <c r="Z223" s="204">
        <f>RIGHT(H223,LEN(H223)-4)/10000</f>
        <v>1.9281999999999999</v>
      </c>
      <c r="AA223" s="204">
        <f>ABS(Z223-Y223)</f>
        <v>0.4610000000000003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902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/stypes="app*4035*20171024*" /stext=" 11:.+((SYSTEM_STATE.+slice.+state.+changed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43"/>
        <v>"%USERPROFILE%\Documents\GitHub\eaglep3\Utilities\RefineRTDCRunTimes.py" --tripid 902-24 --locoid 4035 --swversion DE.1.0.9.0 --startMP 300:23892 --initTime 2017-10-24T05:39:24 --startdatetime 2017-10-24T05:46:10 --delay 78 --endMP 300:19282 --enddatetime 2017-10-24T05:50:28 --enforcementcount 0 &gt;&gt;%USERPROFILE%\Documents\GitHub\eaglep3-reporting\EC\2017-10-24-refined-times.txt</v>
      </c>
      <c r="AI223" s="96" t="str">
        <f t="shared" si="44"/>
        <v>echo {"issue":{"subject":"Mid-block init","project_id":79,"tracker_id":40,"status_id":1,"priority_id":2,"assigned_to_id":338,"start_date":"2017-10-24","description":"","custom_fields":[{"id":1,"name":"Subdivision","value":"Other"},{"id":4,"name":"Milepost","value":"1.9282"},{"id":17,"name":"Train ID","value":"902-24"},{"id":16,"name":"Locomotive ID","value":"4035"},{"id":130,"name":"Impact","value":""},{"id":150,"name":"Time of Event (Mountain Time)","value":"05:50:28"},{"id":151,"name":"Denver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45"/>
        <v>start /low /b %USERPROFILE%\Documents\GitHub\eaglep3\Utilities\DownloadLogsFromS3.py --loco 4035 --day 2017-10-24</v>
      </c>
      <c r="AN223" s="151" t="str">
        <f t="shared" si="46"/>
        <v>echo {"issue":{"subject":"Mid-block init","project_id":30,"tracker_id":4,"status_id":1,"priority_id":1,"assigned_to_id":10,"start_date":"2017-10-24","description":"","custom_fields":[{"id":30,"name":"Category","value":"Issue"},{"id":3,"name":"Functional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11:50:28"},{"id":29,"name":"Sharepoint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47"/>
        <v>https://d0f6bd738d7f1b3e5a7ca70fe4ff75f0.us-east-1.aws.found.io/app/kibana#/discover/Steve-Slow-Train-Analysis-(2080s-and-2083s)?_g=(refreshInterval:(display:Off,pause:!f,section:0,value:0),time:(from:'2017-10-24T04:39:24-0600',mode:absolute,to:'2017-10-24T06:50:28-0600'))&amp;_a=(columns:!('Message%20ID',Summary),filters:!(),index:'emp_*',interval:auto,query:(query_string:(analyze_wildcard:!t,query:'%22rtdc.l.rtdc.4035%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735</v>
      </c>
      <c r="B224" s="7">
        <v>4064</v>
      </c>
      <c r="C224" s="21" t="s">
        <v>194</v>
      </c>
      <c r="D224" s="21" t="s">
        <v>1078</v>
      </c>
      <c r="E224" s="13">
        <v>43032.353055555555</v>
      </c>
      <c r="F224" s="13">
        <v>43032.355810185189</v>
      </c>
      <c r="G224" s="7">
        <v>57</v>
      </c>
      <c r="H224" s="21" t="s">
        <v>1079</v>
      </c>
      <c r="I224" s="13">
        <v>43032.36041666667</v>
      </c>
      <c r="J224" s="7">
        <v>0</v>
      </c>
      <c r="K224" s="89" t="str">
        <f>IF(ISEVEN(B224),(B224-1)&amp;"/"&amp;B224,B224&amp;"/"&amp;(B224+1))</f>
        <v>4063/4064</v>
      </c>
      <c r="L224" s="185" t="str">
        <f>VLOOKUP(A224,'Trips&amp;Operators'!$C$1:$G$99911,5,FALSE)</f>
        <v>STRICKLAND EVAN</v>
      </c>
      <c r="M224" s="6">
        <f>I224-F224</f>
        <v>4.6064814814599231E-3</v>
      </c>
      <c r="N224" s="7">
        <f>24*60*SUM($M224:$M224)</f>
        <v>6.6333333333022892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-24T07:28:24-0600',mode:absolute,to:'2017-10-24T09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0.1651</v>
      </c>
      <c r="Z224" s="204">
        <f>RIGHT(H224,LEN(H224)-4)/10000</f>
        <v>2.4237000000000002</v>
      </c>
      <c r="AA224" s="204">
        <f>ABS(Z224-Y224)</f>
        <v>2.2586000000000004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903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/stypes="app*4064*20171024*" /stext=" 14:.+((SYSTEM_STATE.+slice.+state.+changed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43"/>
        <v>"%USERPROFILE%\Documents\GitHub\eaglep3\Utilities\RefineRTDCRunTimes.py" --tripid 903-24 --locoid 4064 --swversion DE.1.0.9.0 --startMP 204:1651 --initTime 2017-10-24T08:28:24 --startdatetime 2017-10-24T08:32:22 --delay 57 --endMP 300:24237 --enddatetime 2017-10-24T08:39:00 --enforcementcount 0 &gt;&gt;%USERPROFILE%\Documents\GitHub\eaglep3-reporting\EC\2017-10-24-refined-times.txt</v>
      </c>
      <c r="AI224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{"issue":{"subject":"","project_id":79,"tracker_id":40,"status_id":1,"priority_id":2,"assigned_to_id":338,"start_date":"2017-10-24","description":"","custom_fields":[{"id":1,"name":"Subdivision","value":"Other"},{"id":4,"name":"Milepost","value":"2.4237"},{"id":17,"name":"Train ID","value":"903-24"},{"id":16,"name":"Locomotive ID","value":"4064"},{"id":130,"name":"Impact","value":""},{"id":150,"name":"Time of Event (Mountain Time)","value":"08:39:00"},{"id":151,"name":"Denver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45"/>
        <v>start /low /b %USERPROFILE%\Documents\GitHub\eaglep3\Utilities\DownloadLogsFromS3.py --loco 4064 --day 2017-10-24</v>
      </c>
      <c r="AN224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47"/>
        <v>https://d0f6bd738d7f1b3e5a7ca70fe4ff75f0.us-east-1.aws.found.io/app/kibana#/discover/Steve-Slow-Train-Analysis-(2080s-and-2083s)?_g=(refreshInterval:(display:Off,pause:!f,section:0,value:0),time:(from:'2017-10-24T07:28:24-0600',mode:absolute,to:'2017-10-24T09:39:00-0600'))&amp;_a=(columns:!('Message%20ID',Summary),filters:!(),index:'emp_*',interval:auto,query:(query_string:(analyze_wildcard:!t,query:'%22rtdc.l.rtdc.4064%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806</v>
      </c>
      <c r="B225" s="7">
        <v>4063</v>
      </c>
      <c r="C225" s="21" t="s">
        <v>194</v>
      </c>
      <c r="D225" s="21" t="s">
        <v>1080</v>
      </c>
      <c r="E225" s="13">
        <v>43032.633703703701</v>
      </c>
      <c r="F225" s="13">
        <v>43032.639189814814</v>
      </c>
      <c r="G225" s="7">
        <v>96</v>
      </c>
      <c r="H225" s="21" t="s">
        <v>1081</v>
      </c>
      <c r="I225" s="13">
        <v>43032.644050925926</v>
      </c>
      <c r="J225" s="7">
        <v>0</v>
      </c>
      <c r="K225" s="89" t="str">
        <f>IF(ISEVEN(B225),(B225-1)&amp;"/"&amp;B225,B225&amp;"/"&amp;(B225+1))</f>
        <v>4063/4064</v>
      </c>
      <c r="L225" s="185" t="str">
        <f>VLOOKUP(A225,'Trips&amp;Operators'!$C$1:$G$99911,5,FALSE)</f>
        <v>STAMBAUGH JAMES</v>
      </c>
      <c r="M225" s="6">
        <f>I225-F225</f>
        <v>4.8611111124046147E-3</v>
      </c>
      <c r="N225" s="7">
        <f>24*60*SUM($M225:$M225)</f>
        <v>7.0000000018626451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-24T14:12:32-0600',mode:absolute,to:'2017-10-24T16:27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2.3723999999999998</v>
      </c>
      <c r="Z225" s="204">
        <f>RIGHT(H225,LEN(H225)-4)/10000</f>
        <v>6.6299999999999998E-2</v>
      </c>
      <c r="AA225" s="204">
        <f>ABS(Z225-Y225)</f>
        <v>2.3060999999999998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904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/stypes="app*4063*20171024*" /stext=" 21:.+((SYSTEM_STATE.+slice.+state.+changed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43"/>
        <v>"%USERPROFILE%\Documents\GitHub\eaglep3\Utilities\RefineRTDCRunTimes.py" --tripid 904-24 --locoid 4063 --swversion DE.1.0.9.0 --startMP 300:23724 --initTime 2017-10-24T15:12:32 --startdatetime 2017-10-24T15:20:26 --delay 96 --endMP 204:663 --enddatetime 2017-10-24T15:27:26 --enforcementcount 0 &gt;&gt;%USERPROFILE%\Documents\GitHub\eaglep3-reporting\EC\2017-10-24-refined-times.txt</v>
      </c>
      <c r="AI225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{"issue":{"subject":"","project_id":79,"tracker_id":40,"status_id":1,"priority_id":2,"assigned_to_id":338,"start_date":"2017-10-24","description":"","custom_fields":[{"id":1,"name":"Subdivision","value":"Other"},{"id":4,"name":"Milepost","value":"0.0663"},{"id":17,"name":"Train ID","value":"904-24"},{"id":16,"name":"Locomotive ID","value":"4063"},{"id":130,"name":"Impact","value":""},{"id":150,"name":"Time of Event (Mountain Time)","value":"15:27:26"},{"id":151,"name":"Denver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45"/>
        <v>start /low /b %USERPROFILE%\Documents\GitHub\eaglep3\Utilities\DownloadLogsFromS3.py --loco 4063 --day 2017-10-24</v>
      </c>
      <c r="AN225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21:27:26"},{"id":29,"name":"Sharepoint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47"/>
        <v>https://d0f6bd738d7f1b3e5a7ca70fe4ff75f0.us-east-1.aws.found.io/app/kibana#/discover/Steve-Slow-Train-Analysis-(2080s-and-2083s)?_g=(refreshInterval:(display:Off,pause:!f,section:0,value:0),time:(from:'2017-10-24T14:12:32-0600',mode:absolute,to:'2017-10-24T16:27:26-0600'))&amp;_a=(columns:!('Message%20ID',Summary),filters:!(),index:'emp_*',interval:auto,query:(query_string:(analyze_wildcard:!t,query:'%22rtdc.l.rtdc.4063%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854</v>
      </c>
      <c r="B226" s="7">
        <v>4063</v>
      </c>
      <c r="C226" s="21" t="s">
        <v>194</v>
      </c>
      <c r="D226" s="21" t="s">
        <v>1082</v>
      </c>
      <c r="E226" s="13">
        <v>43032.788217592592</v>
      </c>
      <c r="F226" s="13">
        <v>43032.789305555554</v>
      </c>
      <c r="G226" s="7">
        <v>53</v>
      </c>
      <c r="H226" s="21" t="s">
        <v>1083</v>
      </c>
      <c r="I226" s="13">
        <v>43032.794907407406</v>
      </c>
      <c r="J226" s="7">
        <v>0</v>
      </c>
      <c r="K226" s="89" t="str">
        <f>IF(ISEVEN(B226),(B226-1)&amp;"/"&amp;B226,B226&amp;"/"&amp;(B226+1))</f>
        <v>4063/4064</v>
      </c>
      <c r="L226" s="185" t="str">
        <f>VLOOKUP(A226,'Trips&amp;Operators'!$C$1:$G$99911,5,FALSE)</f>
        <v>STAMBAUGH JAMES</v>
      </c>
      <c r="M226" s="6">
        <f>I226-F226</f>
        <v>5.6018518516793847E-3</v>
      </c>
      <c r="N226" s="7">
        <f>24*60*SUM($M226:$M226)</f>
        <v>8.066666666418314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-24T17:55:02-0600',mode:absolute,to:'2017-10-24T20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2</v>
      </c>
      <c r="Y226" s="204">
        <f>RIGHT(D226,LEN(D226)-4)/10000</f>
        <v>5.8632</v>
      </c>
      <c r="Z226" s="204">
        <f>RIGHT(H226,LEN(H226)-4)/10000</f>
        <v>2.8782000000000001</v>
      </c>
      <c r="AA226" s="204">
        <f>ABS(Z226-Y226)</f>
        <v>2.9849999999999999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906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/stypes="app*4063*20171025*" /stext=" 01:.+((SYSTEM_STATE.+slice.+state.+changed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43"/>
        <v>"%USERPROFILE%\Documents\GitHub\eaglep3\Utilities\RefineRTDCRunTimes.py" --tripid 906-24 --locoid 4063 --swversion DE.1.0.9.0 --startMP 300:58632 --initTime 2017-10-24T18:55:02 --startdatetime 2017-10-24T18:56:36 --delay 53 --endMP 300:28782 --enddatetime 2017-10-24T19:04:40 --enforcementcount 0 &gt;&gt;%USERPROFILE%\Documents\GitHub\eaglep3-reporting\EC\2017-10-24-refined-times.txt</v>
      </c>
      <c r="AI226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{"issue":{"subject":"","project_id":79,"tracker_id":40,"status_id":1,"priority_id":2,"assigned_to_id":338,"start_date":"2017-10-24","description":"","custom_fields":[{"id":1,"name":"Subdivision","value":"Other"},{"id":4,"name":"Milepost","value":"2.8782"},{"id":17,"name":"Train ID","value":"906-24"},{"id":16,"name":"Locomotive ID","value":"4063"},{"id":130,"name":"Impact","value":""},{"id":150,"name":"Time of Event (Mountain Time)","value":"19:04:40"},{"id":151,"name":"Denver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45"/>
        <v>start /low /b %USERPROFILE%\Documents\GitHub\eaglep3\Utilities\DownloadLogsFromS3.py --loco 4063 --day 2017-10-24</v>
      </c>
      <c r="AN226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01:04:40"},{"id":29,"name":"Sharepoint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47"/>
        <v>https://d0f6bd738d7f1b3e5a7ca70fe4ff75f0.us-east-1.aws.found.io/app/kibana#/discover/Steve-Slow-Train-Analysis-(2080s-and-2083s)?_g=(refreshInterval:(display:Off,pause:!f,section:0,value:0),time:(from:'2017-10-24T17:55:02-0600',mode:absolute,to:'2017-10-24T20:04:40-0600'))&amp;_a=(columns:!('Message%20ID',Summary),filters:!(),index:'emp_*',interval:auto,query:(query_string:(analyze_wildcard:!t,query:'%22rtdc.l.rtdc.4063%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881</v>
      </c>
      <c r="B227" s="7">
        <v>4035</v>
      </c>
      <c r="C227" s="21" t="s">
        <v>194</v>
      </c>
      <c r="D227" s="21" t="s">
        <v>995</v>
      </c>
      <c r="E227" s="13">
        <v>43032.974733796298</v>
      </c>
      <c r="F227" s="13">
        <v>43032.975856481484</v>
      </c>
      <c r="G227" s="7">
        <v>57</v>
      </c>
      <c r="H227" s="21" t="s">
        <v>1084</v>
      </c>
      <c r="I227" s="13">
        <v>43032.982187499998</v>
      </c>
      <c r="J227" s="7">
        <v>0</v>
      </c>
      <c r="K227" s="89" t="str">
        <f>IF(ISEVEN(B227),(B227-1)&amp;"/"&amp;B227,B227&amp;"/"&amp;(B227+1))</f>
        <v>4035/4036</v>
      </c>
      <c r="L227" s="185" t="str">
        <f>VLOOKUP(A227,'Trips&amp;Operators'!$C$1:$G$99911,5,FALSE)</f>
        <v>STAMBAUGH JAMES</v>
      </c>
      <c r="M227" s="6">
        <f>I227-F227</f>
        <v>6.3310185141745023E-3</v>
      </c>
      <c r="N227" s="7">
        <f>24*60*SUM($M227:$M227)</f>
        <v>9.1166666604112834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-24T22:23:37-0600',mode:absolute,to:'2017-10-25T00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2</v>
      </c>
      <c r="Y227" s="204">
        <f>RIGHT(D227,LEN(D227)-4)/10000</f>
        <v>5.8635999999999999</v>
      </c>
      <c r="Z227" s="204">
        <f>RIGHT(H227,LEN(H227)-4)/10000</f>
        <v>2.8759000000000001</v>
      </c>
      <c r="AA227" s="204">
        <f>ABS(Z227-Y227)</f>
        <v>2.9876999999999998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908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s3://rtdc.mdm.uploadarchive.raw/RTDC4035/ "%USERPROFILE%\AppData\Local\Temp\OnboardLogs"\RTDC4035\2017-10-24 --exclude "*" --recursive --include "*20171024*" &amp; "%USERPROFILE%\Documents\GitHub\mrs-test-scripts\Headless Mode &amp; Sideloading\WalkAndUnGZ.bat" "%USERPROFILE%\AppData\Local\Temp\OnboardLogs"\RTDC4035\2017-10-24 &amp; aws s3 cp s3://rtdc.mdm.uploadarchive.raw/RTDC4035/ "%USERPROFILE%\AppData\Local\Temp\OnboardLogs"\RTDC4035\2017-10-25 --exclude "*" --recursive --include "*20171025*" &amp; "%USERPROFILE%\Documents\GitHub\mrs-test-scripts\Headless Mode &amp; Sideloading\WalkAndUnGZ.bat" "%USERPROFILE%\AppData\Local\Temp\OnboardLogs"\RTDC4035\2017-10-25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/stypes="app*4035*20171025*" /stext=" 05:.+((SYSTEM_STATE.+slice.+state.+changed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43"/>
        <v>"%USERPROFILE%\Documents\GitHub\eaglep3\Utilities\RefineRTDCRunTimes.py" --tripid 908-24 --locoid 4035 --swversion DE.1.0.9.0 --startMP 300:58636 --initTime 2017-10-24T23:23:37 --startdatetime 2017-10-24T23:25:14 --delay 57 --endMP 300:28759 --enddatetime 2017-10-24T23:34:21 --enforcementcount 0 &gt;&gt;%USERPROFILE%\Documents\GitHub\eaglep3-reporting\EC\2017-10-24-refined-times.txt</v>
      </c>
      <c r="AI227" s="96" t="str">
        <f t="shared" si="44"/>
        <v>echo {"issue":{"subject":"","project_id":79,"tracker_id":40,"status_id":1,"priority_id":2,"assigned_to_id":338,"start_date":"2017-10-24","description":"","custom_fields":[{"id":1,"name":"Subdivision","value":"Other"},{"id":4,"name":"Milepost","value":"2.8759"},{"id":17,"name":"Train ID","value":"908-24"},{"id":16,"name":"Locomotive ID","value":"4035"},{"id":130,"name":"Impact","value":""},{"id":150,"name":"Time of Event (Mountain Time)","value":"23:34:21"},{"id":151,"name":"Denver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45"/>
        <v>start /low /b %USERPROFILE%\Documents\GitHub\eaglep3\Utilities\DownloadLogsFromS3.py --loco 4035 --day 2017-10-24</v>
      </c>
      <c r="AN227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05:34:21"},{"id":29,"name":"Sharepoint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47"/>
        <v>https://d0f6bd738d7f1b3e5a7ca70fe4ff75f0.us-east-1.aws.found.io/app/kibana#/discover/Steve-Slow-Train-Analysis-(2080s-and-2083s)?_g=(refreshInterval:(display:Off,pause:!f,section:0,value:0),time:(from:'2017-10-24T22:23:37-0600',mode:absolute,to:'2017-10-25T00:34:21-0600'))&amp;_a=(columns:!('Message%20ID',Summary),filters:!(),index:'emp_*',interval:auto,query:(query_string:(analyze_wildcard:!t,query:'%22rtdc.l.rtdc.4035%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679</v>
      </c>
      <c r="B228" s="7">
        <v>4010</v>
      </c>
      <c r="C228" s="21" t="s">
        <v>194</v>
      </c>
      <c r="D228" s="21" t="s">
        <v>977</v>
      </c>
      <c r="E228" s="13">
        <v>43032.157997685186</v>
      </c>
      <c r="F228" s="13">
        <v>43032.159363425926</v>
      </c>
      <c r="G228" s="7">
        <v>68</v>
      </c>
      <c r="H228" s="21" t="s">
        <v>978</v>
      </c>
      <c r="I228" s="13">
        <v>43032.16033564815</v>
      </c>
      <c r="J228" s="7">
        <v>0</v>
      </c>
      <c r="K228" s="89" t="str">
        <f>IF(ISEVEN(B228),(B228-1)&amp;"/"&amp;B228,B228&amp;"/"&amp;(B228+1))</f>
        <v>4009/4010</v>
      </c>
      <c r="L228" s="185" t="str">
        <f>VLOOKUP(A228,'Trips&amp;Operators'!$C$1:$G$99911,5,FALSE)</f>
        <v>STARKS ANGELINA</v>
      </c>
      <c r="M228" s="6">
        <f>I228-F228</f>
        <v>9.7222222393611446E-4</v>
      </c>
      <c r="N228" s="7">
        <f>24*60*SUM($M228:$M228)</f>
        <v>1.4000000024680048</v>
      </c>
      <c r="O228" s="7"/>
      <c r="P228" s="7"/>
      <c r="Q228" s="22"/>
      <c r="R228" s="174"/>
      <c r="S228" s="221">
        <f>1/IF(AG228="EC",12,1)*SUM(U228:U228)</f>
        <v>0</v>
      </c>
      <c r="T228" s="174" t="str">
        <f>IF(ISEVEN(LEFT(AD228,4)),"Southbound","NorthBound")</f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-24T02:47:31-0600',mode:absolute,to:'2017-10-24T04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-857</v>
      </c>
      <c r="Y228" s="204">
        <f>RIGHT(D228,LEN(D228)-4)/10000</f>
        <v>4.8599999999999997E-2</v>
      </c>
      <c r="Z228" s="204">
        <f>RIGHT(H228,LEN(H228)-4)/10000</f>
        <v>0.3548</v>
      </c>
      <c r="AA228" s="204">
        <f>ABS(Z228-Y228)</f>
        <v>0.30620000000000003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51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/stypes="app*4010*20171024*" /stext=" 09:.+((SYSTEM_STATE.+slice.+state.+changed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43"/>
        <v>"%USERPROFILE%\Documents\GitHub\eaglep3\Utilities\RefineRTDCRunTimes.py" --tripid 51-24 --locoid 4010 --swversion DE.1.0.9.0 --startMP 204:486 --initTime 2017-10-24T03:47:31 --startdatetime 2017-10-24T03:49:29 --delay 68 --endMP 204:3548 --enddatetime 2017-10-24T03:50:53 --enforcementcount 0 &gt;&gt;%USERPROFILE%\Documents\GitHub\eaglep3-reporting\EC\2017-10-24-refined-times.txt</v>
      </c>
      <c r="AI228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0.3548"},{"id":17,"name":"Train ID","value":"51-24"},{"id":16,"name":"Locomotive ID","value":"4010"},{"id":130,"name":"Impact","value":""},{"id":150,"name":"Time of Event (Mountain Time)","value":"03:50:53"},{"id":151,"name":"Denver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45"/>
        <v>start /low /b %USERPROFILE%\Documents\GitHub\eaglep3\Utilities\DownloadLogsFromS3.py --loco 4010 --day 2017-10-24</v>
      </c>
      <c r="AN228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09:50:53"},{"id":29,"name":"Sharepoint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47"/>
        <v>https://d0f6bd738d7f1b3e5a7ca70fe4ff75f0.us-east-1.aws.found.io/app/kibana#/discover/Steve-Slow-Train-Analysis-(2080s-and-2083s)?_g=(refreshInterval:(display:Off,pause:!f,section:0,value:0),time:(from:'2017-10-24T02:47:31-0600',mode:absolute,to:'2017-10-24T04:50:53-0600'))&amp;_a=(columns:!('Message%20ID',Summary),filters:!(),index:'emp_*',interval:auto,query:(query_string:(analyze_wildcard:!t,query:'%22rtdc.l.rtdc.4010%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681</v>
      </c>
      <c r="B229" s="7">
        <v>4009</v>
      </c>
      <c r="C229" s="21" t="s">
        <v>194</v>
      </c>
      <c r="D229" s="21" t="s">
        <v>979</v>
      </c>
      <c r="E229" s="13">
        <v>43032.161064814813</v>
      </c>
      <c r="F229" s="13">
        <v>43032.162210648145</v>
      </c>
      <c r="G229" s="7">
        <v>61</v>
      </c>
      <c r="H229" s="21" t="s">
        <v>980</v>
      </c>
      <c r="I229" s="13">
        <v>43032.163240740738</v>
      </c>
      <c r="J229" s="7">
        <v>0</v>
      </c>
      <c r="K229" s="89" t="str">
        <f>IF(ISEVEN(B229),(B229-1)&amp;"/"&amp;B229,B229&amp;"/"&amp;(B229+1))</f>
        <v>4009/4010</v>
      </c>
      <c r="L229" s="185" t="str">
        <f>VLOOKUP(A229,'Trips&amp;Operators'!$C$1:$G$99911,5,FALSE)</f>
        <v>STARKS ANGELINA</v>
      </c>
      <c r="M229" s="6">
        <f>I229-F229</f>
        <v>1.0300925932824612E-3</v>
      </c>
      <c r="N229" s="7">
        <f>24*60*SUM($M229:$M229)</f>
        <v>1.4833333343267441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-24T02:51:56-0600',mode:absolute,to:'2017-10-24T04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0.32150000000000001</v>
      </c>
      <c r="Z229" s="204">
        <f>RIGHT(H229,LEN(H229)-4)/10000</f>
        <v>0.1173</v>
      </c>
      <c r="AA229" s="204">
        <f>ABS(Z229-Y229)</f>
        <v>0.20419999999999999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52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/stypes="app*4009*20171024*" /stext=" 09:.+((SYSTEM_STATE.+slice.+state.+changed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43"/>
        <v>"%USERPROFILE%\Documents\GitHub\eaglep3\Utilities\RefineRTDCRunTimes.py" --tripid 52-24 --locoid 4009 --swversion DE.1.0.9.0 --startMP 204:3215 --initTime 2017-10-24T03:51:56 --startdatetime 2017-10-24T03:53:35 --delay 61 --endMP 204:1173 --enddatetime 2017-10-24T03:55:04 --enforcementcount 0 &gt;&gt;%USERPROFILE%\Documents\GitHub\eaglep3-reporting\EC\2017-10-24-refined-times.txt</v>
      </c>
      <c r="AI229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0.1173"},{"id":17,"name":"Train ID","value":"52-24"},{"id":16,"name":"Locomotive ID","value":"4009"},{"id":130,"name":"Impact","value":""},{"id":150,"name":"Time of Event (Mountain Time)","value":"03:55:04"},{"id":151,"name":"Denver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45"/>
        <v>start /low /b %USERPROFILE%\Documents\GitHub\eaglep3\Utilities\DownloadLogsFromS3.py --loco 4009 --day 2017-10-24</v>
      </c>
      <c r="AN229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09:55:04"},{"id":29,"name":"Sharepoint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47"/>
        <v>https://d0f6bd738d7f1b3e5a7ca70fe4ff75f0.us-east-1.aws.found.io/app/kibana#/discover/Steve-Slow-Train-Analysis-(2080s-and-2083s)?_g=(refreshInterval:(display:Off,pause:!f,section:0,value:0),time:(from:'2017-10-24T02:51:56-0600',mode:absolute,to:'2017-10-24T04:55:04-0600'))&amp;_a=(columns:!('Message%20ID',Summary),filters:!(),index:'emp_*',interval:auto,query:(query_string:(analyze_wildcard:!t,query:'%22rtdc.l.rtdc.4009%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681</v>
      </c>
      <c r="B230" s="7">
        <v>4010</v>
      </c>
      <c r="C230" s="21" t="s">
        <v>194</v>
      </c>
      <c r="D230" s="21" t="s">
        <v>623</v>
      </c>
      <c r="E230" s="13">
        <v>43032.257835648146</v>
      </c>
      <c r="F230" s="13">
        <v>43032.271122685182</v>
      </c>
      <c r="G230" s="7">
        <v>50</v>
      </c>
      <c r="H230" s="21" t="s">
        <v>981</v>
      </c>
      <c r="I230" s="13">
        <v>43032.296979166669</v>
      </c>
      <c r="J230" s="7">
        <v>0</v>
      </c>
      <c r="K230" s="89" t="str">
        <f>IF(ISEVEN(B230),(B230-1)&amp;"/"&amp;B230,B230&amp;"/"&amp;(B230+1))</f>
        <v>4009/4010</v>
      </c>
      <c r="L230" s="185" t="str">
        <f>VLOOKUP(A230,'Trips&amp;Operators'!$C$1:$G$99911,5,FALSE)</f>
        <v>STARKS ANGELINA</v>
      </c>
      <c r="M230" s="6">
        <f>I230-F230</f>
        <v>2.5856481486698613E-2</v>
      </c>
      <c r="N230" s="7">
        <f>24*60*SUM($M230:$M230)</f>
        <v>37.233333340846002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-24T05:11:17-0600',mode:absolute,to:'2017-10-24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0.1492</v>
      </c>
      <c r="Z230" s="204">
        <f>RIGHT(H230,LEN(H230)-4)/10000</f>
        <v>0.43240000000000001</v>
      </c>
      <c r="AA230" s="204">
        <f>ABS(Z230-Y230)</f>
        <v>0.28320000000000001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52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s3://rtdc.mdm.uploadarchive.raw/RTDC4010/ "%USERPROFILE%\AppData\Local\Temp\OnboardLogs"\RTDC4010\2017-10-24 --exclude "*" --recursive --include "*20171024*" &amp; "%USERPROFILE%\Documents\GitHub\mrs-test-scripts\Headless Mode &amp; Sideloading\WalkAndUnGZ.bat" "%USERPROFILE%\AppData\Local\Temp\OnboardLogs"\RTDC4010\2017-10-24 &amp; aws s3 cp s3://rtdc.mdm.uploadarchive.raw/RTDC4010/ "%USERPROFILE%\AppData\Local\Temp\OnboardLogs"\RTDC4010\2017-10-25 --exclude "*" --recursive --include "*20171025*" &amp; "%USERPROFILE%\Documents\GitHub\mrs-test-scripts\Headless Mode &amp; Sideloading\WalkAndUnGZ.bat" "%USERPROFILE%\AppData\Local\Temp\OnboardLogs"\RTDC4010\2017-10-25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/stypes="app*4010*20171024*" /stext=" 13:.+((SYSTEM_STATE.+slice.+state.+changed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43"/>
        <v>"%USERPROFILE%\Documents\GitHub\eaglep3\Utilities\RefineRTDCRunTimes.py" --tripid 52-24 --locoid 4010 --swversion DE.1.0.9.0 --startMP 204:1492 --initTime 2017-10-24T06:11:17 --startdatetime 2017-10-24T06:30:25 --delay 50 --endMP 204:4324 --enddatetime 2017-10-24T07:07:39 --enforcementcount 0 &gt;&gt;%USERPROFILE%\Documents\GitHub\eaglep3-reporting\EC\2017-10-24-refined-times.txt</v>
      </c>
      <c r="AI230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0.4324"},{"id":17,"name":"Train ID","value":"52-24"},{"id":16,"name":"Locomotive ID","value":"4010"},{"id":130,"name":"Impact","value":""},{"id":150,"name":"Time of Event (Mountain Time)","value":"07:07:39"},{"id":151,"name":"Denver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45"/>
        <v>start /low /b %USERPROFILE%\Documents\GitHub\eaglep3\Utilities\DownloadLogsFromS3.py --loco 4010 --day 2017-10-24</v>
      </c>
      <c r="AN230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47"/>
        <v>https://d0f6bd738d7f1b3e5a7ca70fe4ff75f0.us-east-1.aws.found.io/app/kibana#/discover/Steve-Slow-Train-Analysis-(2080s-and-2083s)?_g=(refreshInterval:(display:Off,pause:!f,section:0,value:0),time:(from:'2017-10-24T05:11:17-0600',mode:absolute,to:'2017-10-24T08:07:39-0600'))&amp;_a=(columns:!('Message%20ID',Summary),filters:!(),index:'emp_*',interval:auto,query:(query_string:(analyze_wildcard:!t,query:'%22rtdc.l.rtdc.4010%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681</v>
      </c>
      <c r="B231" s="7">
        <v>4009</v>
      </c>
      <c r="C231" s="21" t="s">
        <v>194</v>
      </c>
      <c r="D231" s="21" t="s">
        <v>982</v>
      </c>
      <c r="E231" s="13">
        <v>43032.261712962965</v>
      </c>
      <c r="F231" s="13">
        <v>43032.271122685182</v>
      </c>
      <c r="G231" s="7">
        <v>76</v>
      </c>
      <c r="H231" s="21" t="s">
        <v>335</v>
      </c>
      <c r="I231" s="13">
        <v>43032.296979166669</v>
      </c>
      <c r="J231" s="7">
        <v>0</v>
      </c>
      <c r="K231" s="89" t="str">
        <f>IF(ISEVEN(B231),(B231-1)&amp;"/"&amp;B231,B231&amp;"/"&amp;(B231+1))</f>
        <v>4009/4010</v>
      </c>
      <c r="L231" s="185" t="str">
        <f>VLOOKUP(A231,'Trips&amp;Operators'!$C$1:$G$99911,5,FALSE)</f>
        <v>STARKS ANGELINA</v>
      </c>
      <c r="M231" s="6">
        <f>I231-F231</f>
        <v>2.5856481486698613E-2</v>
      </c>
      <c r="N231" s="7">
        <f>24*60*SUM($M231:$M231)</f>
        <v>37.233333340846002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-24T05:16:52-0600',mode:absolute,to:'2017-10-24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0</v>
      </c>
      <c r="Y231" s="204">
        <f>RIGHT(D231,LEN(D231)-4)/10000</f>
        <v>0.39850000000000002</v>
      </c>
      <c r="Z231" s="204">
        <f>RIGHT(H231,LEN(H231)-4)/10000</f>
        <v>1.4999999999999999E-2</v>
      </c>
      <c r="AA231" s="204">
        <f>ABS(Z231-Y231)</f>
        <v>0.38350000000000001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52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s3://rtdc.mdm.uploadarchive.raw/RTDC4009/ "%USERPROFILE%\AppData\Local\Temp\OnboardLogs"\RTDC4009\2017-10-24 --exclude "*" --recursive --include "*20171024*" &amp; "%USERPROFILE%\Documents\GitHub\mrs-test-scripts\Headless Mode &amp; Sideloading\WalkAndUnGZ.bat" "%USERPROFILE%\AppData\Local\Temp\OnboardLogs"\RTDC4009\2017-10-24 &amp; aws s3 cp s3://rtdc.mdm.uploadarchive.raw/RTDC4009/ "%USERPROFILE%\AppData\Local\Temp\OnboardLogs"\RTDC4009\2017-10-25 --exclude "*" --recursive --include "*20171025*" &amp; "%USERPROFILE%\Documents\GitHub\mrs-test-scripts\Headless Mode &amp; Sideloading\WalkAndUnGZ.bat" "%USERPROFILE%\AppData\Local\Temp\OnboardLogs"\RTDC4009\2017-10-25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/stypes="app*4009*20171024*" /stext=" 13:.+((SYSTEM_STATE.+slice.+state.+changed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43"/>
        <v>"%USERPROFILE%\Documents\GitHub\eaglep3\Utilities\RefineRTDCRunTimes.py" --tripid 52-24 --locoid 4009 --swversion DE.1.0.9.0 --startMP 204:3985 --initTime 2017-10-24T06:16:52 --startdatetime 2017-10-24T06:30:25 --delay 76 --endMP 204:150 --enddatetime 2017-10-24T07:07:39 --enforcementcount 0 &gt;&gt;%USERPROFILE%\Documents\GitHub\eaglep3-reporting\EC\2017-10-24-refined-times.txt</v>
      </c>
      <c r="AI231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0.015"},{"id":17,"name":"Train ID","value":"52-24"},{"id":16,"name":"Locomotive ID","value":"4009"},{"id":130,"name":"Impact","value":""},{"id":150,"name":"Time of Event (Mountain Time)","value":"07:07:39"},{"id":151,"name":"Denver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45"/>
        <v>start /low /b %USERPROFILE%\Documents\GitHub\eaglep3\Utilities\DownloadLogsFromS3.py --loco 4009 --day 2017-10-24</v>
      </c>
      <c r="AN231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47"/>
        <v>https://d0f6bd738d7f1b3e5a7ca70fe4ff75f0.us-east-1.aws.found.io/app/kibana#/discover/Steve-Slow-Train-Analysis-(2080s-and-2083s)?_g=(refreshInterval:(display:Off,pause:!f,section:0,value:0),time:(from:'2017-10-24T05:16:52-0600',mode:absolute,to:'2017-10-24T08:07:39-0600'))&amp;_a=(columns:!('Message%20ID',Summary),filters:!(),index:'emp_*',interval:auto,query:(query_string:(analyze_wildcard:!t,query:'%22rtdc.l.rtdc.4009%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740</v>
      </c>
      <c r="B232" s="7">
        <v>4024</v>
      </c>
      <c r="C232" s="21" t="s">
        <v>194</v>
      </c>
      <c r="D232" s="21" t="s">
        <v>983</v>
      </c>
      <c r="E232" s="13">
        <v>43032.361284722225</v>
      </c>
      <c r="F232" s="13">
        <v>43032.378449074073</v>
      </c>
      <c r="G232" s="7">
        <v>97</v>
      </c>
      <c r="H232" s="21" t="s">
        <v>984</v>
      </c>
      <c r="I232" s="13">
        <v>43032.380682870367</v>
      </c>
      <c r="J232" s="7">
        <v>0</v>
      </c>
      <c r="K232" s="89" t="str">
        <f>IF(ISEVEN(B232),(B232-1)&amp;"/"&amp;B232,B232&amp;"/"&amp;(B232+1))</f>
        <v>4023/4024</v>
      </c>
      <c r="L232" s="185" t="str">
        <f>VLOOKUP(A232,'Trips&amp;Operators'!$C$1:$G$99911,5,FALSE)</f>
        <v>LANGERAK WILLIAM</v>
      </c>
      <c r="M232" s="6">
        <f>I232-F232</f>
        <v>2.2337962946039625E-3</v>
      </c>
      <c r="N232" s="7">
        <f>24*60*SUM($M232:$M232)</f>
        <v>3.2166666642297059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-24T07:40:15-0600',mode:absolute,to:'2017-10-24T10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2</v>
      </c>
      <c r="Y232" s="204">
        <f>RIGHT(D232,LEN(D232)-4)/10000</f>
        <v>3.09E-2</v>
      </c>
      <c r="Z232" s="204">
        <f>RIGHT(H232,LEN(H232)-4)/10000</f>
        <v>0.53290000000000004</v>
      </c>
      <c r="AA232" s="204">
        <f>ABS(Z232-Y232)</f>
        <v>0.502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54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s3://rtdc.mdm.uploadarchive.raw/RTDC4024/ "%USERPROFILE%\AppData\Local\Temp\OnboardLogs"\RTDC4024\2017-10-24 --exclude "*" --recursive --include "*20171024*" &amp; "%USERPROFILE%\Documents\GitHub\mrs-test-scripts\Headless Mode &amp; Sideloading\WalkAndUnGZ.bat" "%USERPROFILE%\AppData\Local\Temp\OnboardLogs"\RTDC4024\2017-10-24 &amp; 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/stypes="app*4024*20171024*" /stext=" 15:.+((SYSTEM_STATE.+slice.+state.+changed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43"/>
        <v>"%USERPROFILE%\Documents\GitHub\eaglep3\Utilities\RefineRTDCRunTimes.py" --tripid 54-24 --locoid 4024 --swversion DE.1.0.9.0 --startMP 204:309 --initTime 2017-10-24T08:40:15 --startdatetime 2017-10-24T09:04:58 --delay 97 --endMP 300:5329 --enddatetime 2017-10-24T09:08:11 --enforcementcount 0 &gt;&gt;%USERPROFILE%\Documents\GitHub\eaglep3-reporting\EC\2017-10-24-refined-times.txt</v>
      </c>
      <c r="AI232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0.5329"},{"id":17,"name":"Train ID","value":"54-24"},{"id":16,"name":"Locomotive ID","value":"4024"},{"id":130,"name":"Impact","value":""},{"id":150,"name":"Time of Event (Mountain Time)","value":"09:08:11"},{"id":151,"name":"Denver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45"/>
        <v>start /low /b %USERPROFILE%\Documents\GitHub\eaglep3\Utilities\DownloadLogsFromS3.py --loco 4024 --day 2017-10-24</v>
      </c>
      <c r="AN232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47"/>
        <v>https://d0f6bd738d7f1b3e5a7ca70fe4ff75f0.us-east-1.aws.found.io/app/kibana#/discover/Steve-Slow-Train-Analysis-(2080s-and-2083s)?_g=(refreshInterval:(display:Off,pause:!f,section:0,value:0),time:(from:'2017-10-24T07:40:15-0600',mode:absolute,to:'2017-10-24T10:08:11-0600'))&amp;_a=(columns:!('Message%20ID',Summary),filters:!(),index:'emp_*',interval:auto,query:(query_string:(analyze_wildcard:!t,query:'%22rtdc.l.rtdc.4024%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740</v>
      </c>
      <c r="B233" s="7">
        <v>4023</v>
      </c>
      <c r="C233" s="21" t="s">
        <v>194</v>
      </c>
      <c r="D233" s="21" t="s">
        <v>985</v>
      </c>
      <c r="E233" s="13">
        <v>43032.376018518517</v>
      </c>
      <c r="F233" s="13">
        <v>43032.378449074073</v>
      </c>
      <c r="G233" s="7">
        <v>66</v>
      </c>
      <c r="H233" s="21" t="s">
        <v>986</v>
      </c>
      <c r="I233" s="13">
        <v>43032.380682870367</v>
      </c>
      <c r="J233" s="7">
        <v>0</v>
      </c>
      <c r="K233" s="89" t="str">
        <f>IF(ISEVEN(B233),(B233-1)&amp;"/"&amp;B233,B233&amp;"/"&amp;(B233+1))</f>
        <v>4023/4024</v>
      </c>
      <c r="L233" s="185" t="str">
        <f>VLOOKUP(A233,'Trips&amp;Operators'!$C$1:$G$99911,5,FALSE)</f>
        <v>LANGERAK WILLIAM</v>
      </c>
      <c r="M233" s="6">
        <f>I233-F233</f>
        <v>2.2337962946039625E-3</v>
      </c>
      <c r="N233" s="7">
        <f>24*60*SUM($M233:$M233)</f>
        <v>3.2166666642297059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-24T08:01:28-0600',mode:absolute,to:'2017-10-24T10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0</v>
      </c>
      <c r="Y233" s="204">
        <f>RIGHT(D233,LEN(D233)-4)/10000</f>
        <v>0.51039999999999996</v>
      </c>
      <c r="Z233" s="204">
        <f>RIGHT(H233,LEN(H233)-4)/10000</f>
        <v>0.1004</v>
      </c>
      <c r="AA233" s="204">
        <f>ABS(Z233-Y233)</f>
        <v>0.41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54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s3://rtdc.mdm.uploadarchive.raw/RTDC4023/ "%USERPROFILE%\AppData\Local\Temp\OnboardLogs"\RTDC4023\2017-10-24 --exclude "*" --recursive --include "*20171024*" &amp; "%USERPROFILE%\Documents\GitHub\mrs-test-scripts\Headless Mode &amp; Sideloading\WalkAndUnGZ.bat" "%USERPROFILE%\AppData\Local\Temp\OnboardLogs"\RTDC4023\2017-10-24 &amp; 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/stypes="app*4023*20171024*" /stext=" 15:.+((SYSTEM_STATE.+slice.+state.+changed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43"/>
        <v>"%USERPROFILE%\Documents\GitHub\eaglep3\Utilities\RefineRTDCRunTimes.py" --tripid 54-24 --locoid 4023 --swversion DE.1.0.9.0 --startMP 300:5104 --initTime 2017-10-24T09:01:28 --startdatetime 2017-10-24T09:04:58 --delay 66 --endMP 204:1004 --enddatetime 2017-10-24T09:08:11 --enforcementcount 0 &gt;&gt;%USERPROFILE%\Documents\GitHub\eaglep3-reporting\EC\2017-10-24-refined-times.txt</v>
      </c>
      <c r="AI233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0.1004"},{"id":17,"name":"Train ID","value":"54-24"},{"id":16,"name":"Locomotive ID","value":"4023"},{"id":130,"name":"Impact","value":""},{"id":150,"name":"Time of Event (Mountain Time)","value":"09:08:11"},{"id":151,"name":"Denver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45"/>
        <v>start /low /b %USERPROFILE%\Documents\GitHub\eaglep3\Utilities\DownloadLogsFromS3.py --loco 4023 --day 2017-10-24</v>
      </c>
      <c r="AN233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47"/>
        <v>https://d0f6bd738d7f1b3e5a7ca70fe4ff75f0.us-east-1.aws.found.io/app/kibana#/discover/Steve-Slow-Train-Analysis-(2080s-and-2083s)?_g=(refreshInterval:(display:Off,pause:!f,section:0,value:0),time:(from:'2017-10-24T08:01:28-0600',mode:absolute,to:'2017-10-24T10:08:11-0600'))&amp;_a=(columns:!('Message%20ID',Summary),filters:!(),index:'emp_*',interval:auto,query:(query_string:(analyze_wildcard:!t,query:'%22rtdc.l.rtdc.4023%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722</v>
      </c>
      <c r="B234" s="7">
        <v>4066</v>
      </c>
      <c r="C234" s="21" t="s">
        <v>194</v>
      </c>
      <c r="D234" s="21" t="s">
        <v>987</v>
      </c>
      <c r="E234" s="13">
        <v>43032.303923611114</v>
      </c>
      <c r="F234" s="13">
        <v>43032.306793981479</v>
      </c>
      <c r="G234" s="7">
        <v>148</v>
      </c>
      <c r="H234" s="21" t="s">
        <v>570</v>
      </c>
      <c r="I234" s="13">
        <v>43032.318842592591</v>
      </c>
      <c r="J234" s="7">
        <v>0</v>
      </c>
      <c r="K234" s="89" t="str">
        <f>IF(ISEVEN(B234),(B234-1)&amp;"/"&amp;B234,B234&amp;"/"&amp;(B234+1))</f>
        <v>4065/4066</v>
      </c>
      <c r="L234" s="185" t="str">
        <f>VLOOKUP(A234,'Trips&amp;Operators'!$C$1:$G$99911,5,FALSE)</f>
        <v>BROWN JACOB</v>
      </c>
      <c r="M234" s="6">
        <f>I234-F234</f>
        <v>1.2048611111822538E-2</v>
      </c>
      <c r="N234" s="7">
        <f>24*60*SUM($M234:$M234)</f>
        <v>17.350000001024455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-24T06:17:39-0600',mode:absolute,to:'2017-10-24T08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1</v>
      </c>
      <c r="Y234" s="204">
        <f>RIGHT(D234,LEN(D234)-4)/10000</f>
        <v>0.12590000000000001</v>
      </c>
      <c r="Z234" s="204">
        <f>RIGHT(H234,LEN(H234)-4)/10000</f>
        <v>2.331</v>
      </c>
      <c r="AA234" s="204">
        <f>ABS(Z234-Y234)</f>
        <v>2.2050999999999998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55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s3://rtdc.mdm.uploadarchive.raw/RTDC4066/ "%USERPROFILE%\AppData\Local\Temp\OnboardLogs"\RTDC4066\2017-10-24 --exclude "*" --recursive --include "*20171024*" &amp; "%USERPROFILE%\Documents\GitHub\mrs-test-scripts\Headless Mode &amp; Sideloading\WalkAndUnGZ.bat" "%USERPROFILE%\AppData\Local\Temp\OnboardLogs"\RTDC4066\2017-10-24 &amp; aws s3 cp s3://rtdc.mdm.uploadarchive.raw/RTDC4066/ "%USERPROFILE%\AppData\Local\Temp\OnboardLogs"\RTDC4066\2017-10-25 --exclude "*" --recursive --include "*20171025*" &amp; "%USERPROFILE%\Documents\GitHub\mrs-test-scripts\Headless Mode &amp; Sideloading\WalkAndUnGZ.bat" "%USERPROFILE%\AppData\Local\Temp\OnboardLogs"\RTDC4066\2017-10-25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/stypes="app*4066*20171024*" /stext=" 13:.+((SYSTEM_STATE.+slice.+state.+changed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43"/>
        <v>"%USERPROFILE%\Documents\GitHub\eaglep3\Utilities\RefineRTDCRunTimes.py" --tripid 55-24 --locoid 4066 --swversion DE.1.0.9.0 --startMP 204:1259 --initTime 2017-10-24T07:17:39 --startdatetime 2017-10-24T07:21:47 --delay 148 --endMP 300:23310 --enddatetime 2017-10-24T07:39:08 --enforcementcount 0 &gt;&gt;%USERPROFILE%\Documents\GitHub\eaglep3-reporting\EC\2017-10-24-refined-times.txt</v>
      </c>
      <c r="AI234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2.331"},{"id":17,"name":"Train ID","value":"55-24"},{"id":16,"name":"Locomotive ID","value":"4066"},{"id":130,"name":"Impact","value":""},{"id":150,"name":"Time of Event (Mountain Time)","value":"07:39:08"},{"id":151,"name":"Denver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45"/>
        <v>start /low /b %USERPROFILE%\Documents\GitHub\eaglep3\Utilities\DownloadLogsFromS3.py --loco 4066 --day 2017-10-24</v>
      </c>
      <c r="AN234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13:39:08"},{"id":29,"name":"Sharepoint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47"/>
        <v>https://d0f6bd738d7f1b3e5a7ca70fe4ff75f0.us-east-1.aws.found.io/app/kibana#/discover/Steve-Slow-Train-Analysis-(2080s-and-2083s)?_g=(refreshInterval:(display:Off,pause:!f,section:0,value:0),time:(from:'2017-10-24T06:17:39-0600',mode:absolute,to:'2017-10-24T08:39:08-0600'))&amp;_a=(columns:!('Message%20ID',Summary),filters:!(),index:'emp_*',interval:auto,query:(query_string:(analyze_wildcard:!t,query:'%22rtdc.l.rtdc.4066%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728</v>
      </c>
      <c r="B235" s="7">
        <v>4015</v>
      </c>
      <c r="C235" s="21" t="s">
        <v>194</v>
      </c>
      <c r="D235" s="21" t="s">
        <v>988</v>
      </c>
      <c r="E235" s="13">
        <v>43032.321666666663</v>
      </c>
      <c r="F235" s="13">
        <v>43032.324826388889</v>
      </c>
      <c r="G235" s="7">
        <v>65</v>
      </c>
      <c r="H235" s="21" t="s">
        <v>989</v>
      </c>
      <c r="I235" s="13">
        <v>43032.39271990741</v>
      </c>
      <c r="J235" s="7">
        <v>0</v>
      </c>
      <c r="K235" s="89" t="str">
        <f>IF(ISEVEN(B235),(B235-1)&amp;"/"&amp;B235,B235&amp;"/"&amp;(B235+1))</f>
        <v>4015/4016</v>
      </c>
      <c r="L235" s="185" t="str">
        <f>VLOOKUP(A235,'Trips&amp;Operators'!$C$1:$G$99911,5,FALSE)</f>
        <v>BROWN JACOB</v>
      </c>
      <c r="M235" s="6">
        <f>I235-F235</f>
        <v>6.7893518520577345E-2</v>
      </c>
      <c r="N235" s="7">
        <f>24*60*SUM($M235:$M235)</f>
        <v>97.766666669631377</v>
      </c>
      <c r="O235" s="7"/>
      <c r="P235" s="7"/>
      <c r="Q235" s="22"/>
      <c r="R235" s="174"/>
      <c r="S235" s="221">
        <f>1/IF(AG235="EC",12,1)*SUM(U235:U235)</f>
        <v>0</v>
      </c>
      <c r="T235" s="174" t="str">
        <f>IF(ISEVEN(LEFT(AD235,4)),"Southbound","NorthBound")</f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-24T06:43:12-0600',mode:absolute,to:'2017-10-24T10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2.3237000000000001</v>
      </c>
      <c r="Z235" s="204">
        <f>RIGHT(H235,LEN(H235)-4)/10000</f>
        <v>2.1478999999999999</v>
      </c>
      <c r="AA235" s="204">
        <f>ABS(Z235-Y235)</f>
        <v>0.17580000000000018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56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 &amp; aws s3 cp s3://rtdc.mdm.uploadarchive.raw/RTDC4015/ "%USERPROFILE%\AppData\Local\Temp\OnboardLogs"\RTDC4015\2017-10-25 --exclude "*" --recursive --include "*20171025*" &amp; "%USERPROFILE%\Documents\GitHub\mrs-test-scripts\Headless Mode &amp; Sideloading\WalkAndUnGZ.bat" "%USERPROFILE%\AppData\Local\Temp\OnboardLogs"\RTDC4015\2017-10-25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/stypes="app*4015*20171024*" /stext=" 15:.+((SYSTEM_STATE.+slice.+state.+changed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43"/>
        <v>"%USERPROFILE%\Documents\GitHub\eaglep3\Utilities\RefineRTDCRunTimes.py" --tripid 56-24 --locoid 4015 --swversion DE.1.0.9.0 --startMP 300:23237 --initTime 2017-10-24T07:43:12 --startdatetime 2017-10-24T07:47:45 --delay 65 --endMP 300:21479 --enddatetime 2017-10-24T09:25:31 --enforcementcount 0 &gt;&gt;%USERPROFILE%\Documents\GitHub\eaglep3-reporting\EC\2017-10-24-refined-times.txt</v>
      </c>
      <c r="AI235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2.1479"},{"id":17,"name":"Train ID","value":"56-24"},{"id":16,"name":"Locomotive ID","value":"4015"},{"id":130,"name":"Impact","value":""},{"id":150,"name":"Time of Event (Mountain Time)","value":"09:25:31"},{"id":151,"name":"Denver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45"/>
        <v>start /low /b %USERPROFILE%\Documents\GitHub\eaglep3\Utilities\DownloadLogsFromS3.py --loco 4015 --day 2017-10-24</v>
      </c>
      <c r="AN235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47"/>
        <v>https://d0f6bd738d7f1b3e5a7ca70fe4ff75f0.us-east-1.aws.found.io/app/kibana#/discover/Steve-Slow-Train-Analysis-(2080s-and-2083s)?_g=(refreshInterval:(display:Off,pause:!f,section:0,value:0),time:(from:'2017-10-24T06:43:12-0600',mode:absolute,to:'2017-10-24T10:25:31-0600'))&amp;_a=(columns:!('Message%20ID',Summary),filters:!(),index:'emp_*',interval:auto,query:(query_string:(analyze_wildcard:!t,query:'%22rtdc.l.rtdc.4015%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823</v>
      </c>
      <c r="B236" s="7">
        <v>4024</v>
      </c>
      <c r="C236" s="21" t="s">
        <v>194</v>
      </c>
      <c r="D236" s="21" t="s">
        <v>990</v>
      </c>
      <c r="E236" s="13">
        <v>43032.687743055554</v>
      </c>
      <c r="F236" s="13">
        <v>43032.690046296295</v>
      </c>
      <c r="G236" s="7">
        <v>116</v>
      </c>
      <c r="H236" s="21" t="s">
        <v>991</v>
      </c>
      <c r="I236" s="13">
        <v>43032.697418981479</v>
      </c>
      <c r="J236" s="7">
        <v>0</v>
      </c>
      <c r="K236" s="89" t="str">
        <f>IF(ISEVEN(B236),(B236-1)&amp;"/"&amp;B236,B236&amp;"/"&amp;(B236+1))</f>
        <v>4023/4024</v>
      </c>
      <c r="L236" s="185" t="str">
        <f>VLOOKUP(A236,'Trips&amp;Operators'!$C$1:$G$99911,5,FALSE)</f>
        <v>DE LA ROSA ALEX</v>
      </c>
      <c r="M236" s="6">
        <f>I236-F236</f>
        <v>7.3726851842366159E-3</v>
      </c>
      <c r="N236" s="7">
        <f>24*60*SUM($M236:$M236)</f>
        <v>10.616666665300727</v>
      </c>
      <c r="O236" s="7"/>
      <c r="P236" s="7"/>
      <c r="Q236" s="22"/>
      <c r="R236" s="174"/>
      <c r="S236" s="221">
        <f>1/IF(AG236="EC",12,1)*SUM(U236:U236)</f>
        <v>1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-24T15:30:21-0600',mode:absolute,to:'2017-10-24T17:44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3</v>
      </c>
      <c r="Y236" s="204">
        <f>RIGHT(D236,LEN(D236)-4)/10000</f>
        <v>0.13150000000000001</v>
      </c>
      <c r="Z236" s="204">
        <f>RIGHT(H236,LEN(H236)-4)/10000</f>
        <v>2.3306</v>
      </c>
      <c r="AA236" s="204">
        <f>ABS(Z236-Y236)</f>
        <v>2.1991000000000001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59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s3://rtdc.mdm.uploadarchive.raw/RTDC4024/ "%USERPROFILE%\AppData\Local\Temp\OnboardLogs"\RTDC4024\2017-10-24 --exclude "*" --recursive --include "*20171024*" &amp; "%USERPROFILE%\Documents\GitHub\mrs-test-scripts\Headless Mode &amp; Sideloading\WalkAndUnGZ.bat" "%USERPROFILE%\AppData\Local\Temp\OnboardLogs"\RTDC4024\2017-10-24 &amp; aws s3 cp s3://rtdc.mdm.uploadarchive.raw/RTDC4024/ "%USERPROFILE%\AppData\Local\Temp\OnboardLogs"\RTDC4024\2017-10-25 --exclude "*" --recursive --include "*20171025*" &amp; "%USERPROFILE%\Documents\GitHub\mrs-test-scripts\Headless Mode &amp; Sideloading\WalkAndUnGZ.bat" "%USERPROFILE%\AppData\Local\Temp\OnboardLogs"\RTDC4024\2017-10-25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/stypes="app*4024*20171024*" /stext=" 22:.+((SYSTEM_STATE.+slice.+state.+changed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43"/>
        <v>"%USERPROFILE%\Documents\GitHub\eaglep3\Utilities\RefineRTDCRunTimes.py" --tripid 59-24 --locoid 4024 --swversion DE.1.0.9.0 --startMP 204:1315 --initTime 2017-10-24T16:30:21 --startdatetime 2017-10-24T16:33:40 --delay 116 --endMP 300:23306 --enddatetime 2017-10-24T16:44:17 --enforcementcount 0 &gt;&gt;%USERPROFILE%\Documents\GitHub\eaglep3-reporting\EC\2017-10-24-refined-times.txt</v>
      </c>
      <c r="AI236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2.3306"},{"id":17,"name":"Train ID","value":"59-24"},{"id":16,"name":"Locomotive ID","value":"4024"},{"id":130,"name":"Impact","value":""},{"id":150,"name":"Time of Event (Mountain Time)","value":"16:44:17"},{"id":151,"name":"Denver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45"/>
        <v>start /low /b %USERPROFILE%\Documents\GitHub\eaglep3\Utilities\DownloadLogsFromS3.py --loco 4024 --day 2017-10-24</v>
      </c>
      <c r="AN236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22:44:17"},{"id":29,"name":"Sharepoint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47"/>
        <v>https://d0f6bd738d7f1b3e5a7ca70fe4ff75f0.us-east-1.aws.found.io/app/kibana#/discover/Steve-Slow-Train-Analysis-(2080s-and-2083s)?_g=(refreshInterval:(display:Off,pause:!f,section:0,value:0),time:(from:'2017-10-24T15:30:21-0600',mode:absolute,to:'2017-10-24T17:44:17-0600'))&amp;_a=(columns:!('Message%20ID',Summary),filters:!(),index:'emp_*',interval:auto,query:(query_string:(analyze_wildcard:!t,query:'%22rtdc.l.rtdc.4024%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658</v>
      </c>
      <c r="B237" s="7">
        <v>4041</v>
      </c>
      <c r="C237" s="21" t="s">
        <v>194</v>
      </c>
      <c r="D237" s="21" t="s">
        <v>992</v>
      </c>
      <c r="E237" s="13">
        <v>43032.359849537039</v>
      </c>
      <c r="F237" s="13">
        <v>43032.365856481483</v>
      </c>
      <c r="G237" s="7">
        <v>148</v>
      </c>
      <c r="H237" s="21" t="s">
        <v>612</v>
      </c>
      <c r="I237" s="13">
        <v>43032.371319444443</v>
      </c>
      <c r="J237" s="7">
        <v>0</v>
      </c>
      <c r="K237" s="89" t="str">
        <f>IF(ISEVEN(B237),(B237-1)&amp;"/"&amp;B237,B237&amp;"/"&amp;(B237+1))</f>
        <v>4041/4042</v>
      </c>
      <c r="L237" s="185" t="str">
        <f>VLOOKUP(A237,'Trips&amp;Operators'!$C$1:$G$99911,5,FALSE)</f>
        <v>PELLITIER GEORGE</v>
      </c>
      <c r="M237" s="6">
        <f>I237-F237</f>
        <v>5.4629629594273865E-3</v>
      </c>
      <c r="N237" s="7">
        <f>24*60*SUM($M237:$M237)</f>
        <v>7.8666666615754366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-24T07:38:11-0600',mode:absolute,to:'2017-10-24T09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1</v>
      </c>
      <c r="Y237" s="204">
        <f>RIGHT(D237,LEN(D237)-4)/10000</f>
        <v>2.2109000000000001</v>
      </c>
      <c r="Z237" s="204">
        <f>RIGHT(H237,LEN(H237)-4)/10000</f>
        <v>1.6E-2</v>
      </c>
      <c r="AA237" s="204">
        <f>ABS(Z237-Y237)</f>
        <v>2.1949000000000001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60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/stypes="app*4041*20171024*" /stext=" 14:.+((SYSTEM_STATE.+slice.+state.+changed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43"/>
        <v>"%USERPROFILE%\Documents\GitHub\eaglep3\Utilities\RefineRTDCRunTimes.py" --tripid 60-24 --locoid 4041 --swversion DE.1.0.9.0 --startMP 300:22109 --initTime 2017-10-24T08:38:11 --startdatetime 2017-10-24T08:46:50 --delay 148 --endMP 204:160 --enddatetime 2017-10-24T08:54:42 --enforcementcount 0 &gt;&gt;%USERPROFILE%\Documents\GitHub\eaglep3-reporting\EC\2017-10-24-refined-times.txt</v>
      </c>
      <c r="AI237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0.016"},{"id":17,"name":"Train ID","value":"60-24"},{"id":16,"name":"Locomotive ID","value":"4041"},{"id":130,"name":"Impact","value":""},{"id":150,"name":"Time of Event (Mountain Time)","value":"08:54:42"},{"id":151,"name":"Denver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45"/>
        <v>start /low /b %USERPROFILE%\Documents\GitHub\eaglep3\Utilities\DownloadLogsFromS3.py --loco 4041 --day 2017-10-24</v>
      </c>
      <c r="AN237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47"/>
        <v>https://d0f6bd738d7f1b3e5a7ca70fe4ff75f0.us-east-1.aws.found.io/app/kibana#/discover/Steve-Slow-Train-Analysis-(2080s-and-2083s)?_g=(refreshInterval:(display:Off,pause:!f,section:0,value:0),time:(from:'2017-10-24T07:38:11-0600',mode:absolute,to:'2017-10-24T09:54:42-0600'))&amp;_a=(columns:!('Message%20ID',Summary),filters:!(),index:'emp_*',interval:auto,query:(query_string:(analyze_wildcard:!t,query:'%22rtdc.l.rtdc.4041%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658</v>
      </c>
      <c r="B238" s="7">
        <v>4041</v>
      </c>
      <c r="C238" s="21" t="s">
        <v>194</v>
      </c>
      <c r="D238" s="21" t="s">
        <v>993</v>
      </c>
      <c r="E238" s="13">
        <v>43032.392210648148</v>
      </c>
      <c r="F238" s="13">
        <v>43032.407210648147</v>
      </c>
      <c r="G238" s="7">
        <v>52</v>
      </c>
      <c r="H238" s="21" t="s">
        <v>994</v>
      </c>
      <c r="I238" s="13">
        <v>43032.41810185185</v>
      </c>
      <c r="J238" s="7">
        <v>0</v>
      </c>
      <c r="K238" s="89" t="str">
        <f>IF(ISEVEN(B238),(B238-1)&amp;"/"&amp;B238,B238&amp;"/"&amp;(B238+1))</f>
        <v>4041/4042</v>
      </c>
      <c r="L238" s="185" t="str">
        <f>VLOOKUP(A238,'Trips&amp;Operators'!$C$1:$G$99911,5,FALSE)</f>
        <v>PELLITIER GEORGE</v>
      </c>
      <c r="M238" s="6">
        <f>I238-F238</f>
        <v>1.0891203703067731E-2</v>
      </c>
      <c r="N238" s="7">
        <f>24*60*SUM($M238:$M238)</f>
        <v>15.683333332417533</v>
      </c>
      <c r="O238" s="7"/>
      <c r="P238" s="7"/>
      <c r="Q238" s="22"/>
      <c r="R238" s="174"/>
      <c r="S238" s="221">
        <f>1/IF(AG238="EC",12,1)*SUM(U238:U238)</f>
        <v>1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-24T08:24:47-0600',mode:absolute,to:'2017-10-24T11:02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0</v>
      </c>
      <c r="Y238" s="204">
        <f>RIGHT(D238,LEN(D238)-4)/10000</f>
        <v>5.8685</v>
      </c>
      <c r="Z238" s="204">
        <f>RIGHT(H238,LEN(H238)-4)/10000</f>
        <v>1.35E-2</v>
      </c>
      <c r="AA238" s="204">
        <f>ABS(Z238-Y238)</f>
        <v>5.8550000000000004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60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/stypes="app*4041*20171024*" /stext=" 16:.+((SYSTEM_STATE.+slice.+state.+changed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43"/>
        <v>"%USERPROFILE%\Documents\GitHub\eaglep3\Utilities\RefineRTDCRunTimes.py" --tripid 60-24 --locoid 4041 --swversion DE.1.0.9.0 --startMP 300:58685 --initTime 2017-10-24T09:24:47 --startdatetime 2017-10-24T09:46:23 --delay 52 --endMP 204:135 --enddatetime 2017-10-24T10:02:04 --enforcementcount 0 &gt;&gt;%USERPROFILE%\Documents\GitHub\eaglep3-reporting\EC\2017-10-24-refined-times.txt</v>
      </c>
      <c r="AI238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0.0135"},{"id":17,"name":"Train ID","value":"60-24"},{"id":16,"name":"Locomotive ID","value":"4041"},{"id":130,"name":"Impact","value":""},{"id":150,"name":"Time of Event (Mountain Time)","value":"10:02:04"},{"id":151,"name":"Denver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45"/>
        <v>start /low /b %USERPROFILE%\Documents\GitHub\eaglep3\Utilities\DownloadLogsFromS3.py --loco 4041 --day 2017-10-24</v>
      </c>
      <c r="AN238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16:02:04"},{"id":29,"name":"Sharepoint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47"/>
        <v>https://d0f6bd738d7f1b3e5a7ca70fe4ff75f0.us-east-1.aws.found.io/app/kibana#/discover/Steve-Slow-Train-Analysis-(2080s-and-2083s)?_g=(refreshInterval:(display:Off,pause:!f,section:0,value:0),time:(from:'2017-10-24T08:24:47-0600',mode:absolute,to:'2017-10-24T11:02:04-0600'))&amp;_a=(columns:!('Message%20ID',Summary),filters:!(),index:'emp_*',interval:auto,query:(query_string:(analyze_wildcard:!t,query:'%22rtdc.l.rtdc.4041%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658</v>
      </c>
      <c r="B239" s="7">
        <v>4041</v>
      </c>
      <c r="C239" s="21" t="s">
        <v>194</v>
      </c>
      <c r="D239" s="21" t="s">
        <v>995</v>
      </c>
      <c r="E239" s="13">
        <v>43032.456585648149</v>
      </c>
      <c r="F239" s="13">
        <v>43032.459247685183</v>
      </c>
      <c r="G239" s="7">
        <v>60</v>
      </c>
      <c r="H239" s="21" t="s">
        <v>996</v>
      </c>
      <c r="I239" s="13">
        <v>43032.470891203702</v>
      </c>
      <c r="J239" s="7">
        <v>0</v>
      </c>
      <c r="K239" s="89" t="str">
        <f>IF(ISEVEN(B239),(B239-1)&amp;"/"&amp;B239,B239&amp;"/"&amp;(B239+1))</f>
        <v>4041/4042</v>
      </c>
      <c r="L239" s="185" t="str">
        <f>VLOOKUP(A239,'Trips&amp;Operators'!$C$1:$G$99911,5,FALSE)</f>
        <v>PELLITIER GEORGE</v>
      </c>
      <c r="M239" s="6">
        <f>I239-F239</f>
        <v>1.1643518519122154E-2</v>
      </c>
      <c r="N239" s="7">
        <f>24*60*SUM($M239:$M239)</f>
        <v>16.766666667535901</v>
      </c>
      <c r="O239" s="7"/>
      <c r="P239" s="7"/>
      <c r="Q239" s="22"/>
      <c r="R239" s="174"/>
      <c r="S239" s="221">
        <f>1/IF(AG239="EC",12,1)*SUM(U239:U239)</f>
        <v>1</v>
      </c>
      <c r="T239" s="174" t="str">
        <f>IF(ISEVEN(LEFT(AD239,4)),"Southbound","NorthBound")</f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-24T09:57:29-0600',mode:absolute,to:'2017-10-24T12:18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0</v>
      </c>
      <c r="Y239" s="204">
        <f>RIGHT(D239,LEN(D239)-4)/10000</f>
        <v>5.8635999999999999</v>
      </c>
      <c r="Z239" s="204">
        <f>RIGHT(H239,LEN(H239)-4)/10000</f>
        <v>4.6800000000000001E-2</v>
      </c>
      <c r="AA239" s="204">
        <f>ABS(Z239-Y239)</f>
        <v>5.8167999999999997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60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/stypes="app*4041*20171024*" /stext=" 17:.+((SYSTEM_STATE.+slice.+state.+changed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43"/>
        <v>"%USERPROFILE%\Documents\GitHub\eaglep3\Utilities\RefineRTDCRunTimes.py" --tripid 60-24 --locoid 4041 --swversion DE.1.0.9.0 --startMP 300:58636 --initTime 2017-10-24T10:57:29 --startdatetime 2017-10-24T11:01:19 --delay 60 --endMP 204:468 --enddatetime 2017-10-24T11:18:05 --enforcementcount 0 &gt;&gt;%USERPROFILE%\Documents\GitHub\eaglep3-reporting\EC\2017-10-24-refined-times.txt</v>
      </c>
      <c r="AI239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0.0468"},{"id":17,"name":"Train ID","value":"60-24"},{"id":16,"name":"Locomotive ID","value":"4041"},{"id":130,"name":"Impact","value":""},{"id":150,"name":"Time of Event (Mountain Time)","value":"11:18:05"},{"id":151,"name":"Denver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45"/>
        <v>start /low /b %USERPROFILE%\Documents\GitHub\eaglep3\Utilities\DownloadLogsFromS3.py --loco 4041 --day 2017-10-24</v>
      </c>
      <c r="AN239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17:18:05"},{"id":29,"name":"Sharepoint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47"/>
        <v>https://d0f6bd738d7f1b3e5a7ca70fe4ff75f0.us-east-1.aws.found.io/app/kibana#/discover/Steve-Slow-Train-Analysis-(2080s-and-2083s)?_g=(refreshInterval:(display:Off,pause:!f,section:0,value:0),time:(from:'2017-10-24T09:57:29-0600',mode:absolute,to:'2017-10-24T12:18:05-0600'))&amp;_a=(columns:!('Message%20ID',Summary),filters:!(),index:'emp_*',interval:auto,query:(query_string:(analyze_wildcard:!t,query:'%22rtdc.l.rtdc.4041%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658</v>
      </c>
      <c r="B240" s="7">
        <v>4041</v>
      </c>
      <c r="C240" s="21" t="s">
        <v>194</v>
      </c>
      <c r="D240" s="21" t="s">
        <v>997</v>
      </c>
      <c r="E240" s="13">
        <v>43032.497835648152</v>
      </c>
      <c r="F240" s="13">
        <v>43032.584699074076</v>
      </c>
      <c r="G240" s="7">
        <v>58</v>
      </c>
      <c r="H240" s="21" t="s">
        <v>608</v>
      </c>
      <c r="I240" s="13">
        <v>43032.593865740739</v>
      </c>
      <c r="J240" s="7">
        <v>0</v>
      </c>
      <c r="K240" s="89" t="str">
        <f>IF(ISEVEN(B240),(B240-1)&amp;"/"&amp;B240,B240&amp;"/"&amp;(B240+1))</f>
        <v>4041/4042</v>
      </c>
      <c r="L240" s="185" t="str">
        <f>VLOOKUP(A240,'Trips&amp;Operators'!$C$1:$G$99911,5,FALSE)</f>
        <v>PELLITIER GEORGE</v>
      </c>
      <c r="M240" s="6">
        <f>I240-F240</f>
        <v>9.1666666630771942E-3</v>
      </c>
      <c r="N240" s="7">
        <f>24*60*SUM($M240:$M240)</f>
        <v>13.19999999483116</v>
      </c>
      <c r="O240" s="7"/>
      <c r="P240" s="7"/>
      <c r="Q240" s="22"/>
      <c r="S240" s="221">
        <f>1/IF(AG240="EC",12,1)*SUM(U240:U240)</f>
        <v>1</v>
      </c>
      <c r="T240" s="174" t="str">
        <f>IF(ISEVEN(LEFT(AD240,4)),"Southbound","NorthBound")</f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-24T10:56:53-0600',mode:absolute,to:'2017-10-24T15:15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0</v>
      </c>
      <c r="Y240" s="204">
        <f>RIGHT(D240,LEN(D240)-4)/10000</f>
        <v>5.8647</v>
      </c>
      <c r="Z240" s="204">
        <f>RIGHT(H240,LEN(H240)-4)/10000</f>
        <v>1.7600000000000001E-2</v>
      </c>
      <c r="AA240" s="204">
        <f>ABS(Z240-Y240)</f>
        <v>5.8471000000000002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60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/stypes="app*4041*20171024*" /stext=" 20:.+((SYSTEM_STATE.+slice.+state.+changed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43"/>
        <v>"%USERPROFILE%\Documents\GitHub\eaglep3\Utilities\RefineRTDCRunTimes.py" --tripid 60-24 --locoid 4041 --swversion DE.1.0.9.0 --startMP 300:58647 --initTime 2017-10-24T11:56:53 --startdatetime 2017-10-24T14:01:58 --delay 58 --endMP 204:176 --enddatetime 2017-10-24T14:15:10 --enforcementcount 0 &gt;&gt;%USERPROFILE%\Documents\GitHub\eaglep3-reporting\EC\2017-10-24-refined-times.txt</v>
      </c>
      <c r="AI240" s="96" t="e">
        <f>"echo {""issue"":{""subject"":"""&amp;#REF!&amp;""",""project_id"":79,""tracker_id"":40,""status_id"":"&amp;redmine_status&amp;",""priority_id"":"&amp;redmine_priority&amp;",""assigned_to_id"":"&amp;redmine_assignee&amp;",""start_date"":"""&amp;TEXT(I240,"YYYY-mm-dd")&amp;""",""description"":"""&amp;AJ240&amp;""",""custom_fields"":[{""id"":1,""name"":""Subdivision"",""value"":"""&amp;AG240&amp;"""},{""id"":4,""name"":""Milepost"",""value"":"""&amp;Z240&amp;"""},{""id"":17,""name"":""Train ID"",""value"":"""&amp;A240&amp;"""},{""id"":16,""name"":""Locomotive ID"",""value"":"""&amp;B240&amp;"""},{""id"":130,""name"":""Impact"",""value"":"""&amp;AK240&amp;"""},{""id"":150,""name"":""Time of Event (Mountain Time)"",""value"":"""&amp;TEXT(I240,"hh:mm:ss")&amp;"""},{""id"":151,""name"":""Denver Issue ID"",""value"":"""&amp;"""},{""id"":178,""name"":""Operational Impact"",""value"":"""&amp;redmine_op_impact&amp;"""},{""id"":179,""name"":""Denver Segment Assigned"",""value"":"""&amp;AL240&amp;"""}]}}"&amp;" | curl --insecure -X POST -H ""Content-Type: application/json"" -H ""X-Redmine-API-Key: "&amp;redm_api_key&amp;""" "&amp;redm_url&amp;" --data @-"</f>
        <v>#REF!</v>
      </c>
      <c r="AK240" s="47"/>
      <c r="AL240" s="47"/>
      <c r="AM240" s="142" t="str">
        <f t="shared" si="45"/>
        <v>start /low /b %USERPROFILE%\Documents\GitHub\eaglep3\Utilities\DownloadLogsFromS3.py --loco 4041 --day 2017-10-24</v>
      </c>
      <c r="AN240" s="151" t="e">
        <f>"echo {""issue"":{""subject"":"""&amp;#REF!&amp;""",""project_id"":30,""tracker_id"":4,""status_id"":"&amp;redmine_status_wcr&amp;",""priority_id"":"&amp;redmine_priority_wcr&amp;",""assigned_to_id"":"&amp;redmine_assignee_wcr&amp;",""start_date"":"""&amp;TEXT(I240-utc_offset/24,"YYYY-mm-dd")&amp;""",""description"":"""&amp;AJ240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#REF!</v>
      </c>
      <c r="AO240" s="168" t="str">
        <f t="shared" si="47"/>
        <v>https://d0f6bd738d7f1b3e5a7ca70fe4ff75f0.us-east-1.aws.found.io/app/kibana#/discover/Steve-Slow-Train-Analysis-(2080s-and-2083s)?_g=(refreshInterval:(display:Off,pause:!f,section:0,value:0),time:(from:'2017-10-24T10:56:53-0600',mode:absolute,to:'2017-10-24T15:15:10-0600'))&amp;_a=(columns:!('Message%20ID',Summary),filters:!(),index:'emp_*',interval:auto,query:(query_string:(analyze_wildcard:!t,query:'%22rtdc.l.rtdc.4041%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658</v>
      </c>
      <c r="B241" s="7">
        <v>4041</v>
      </c>
      <c r="C241" s="21" t="s">
        <v>194</v>
      </c>
      <c r="D241" s="21" t="s">
        <v>998</v>
      </c>
      <c r="E241" s="13">
        <v>43032.581469907411</v>
      </c>
      <c r="F241" s="13">
        <v>43032.584699074076</v>
      </c>
      <c r="G241" s="7">
        <v>52</v>
      </c>
      <c r="H241" s="21" t="s">
        <v>999</v>
      </c>
      <c r="I241" s="13">
        <v>43032.593865740739</v>
      </c>
      <c r="J241" s="7">
        <v>0</v>
      </c>
      <c r="K241" s="89" t="str">
        <f>IF(ISEVEN(B241),(B241-1)&amp;"/"&amp;B241,B241&amp;"/"&amp;(B241+1))</f>
        <v>4041/4042</v>
      </c>
      <c r="L241" s="185" t="str">
        <f>VLOOKUP(A241,'Trips&amp;Operators'!$C$1:$G$99911,5,FALSE)</f>
        <v>PELLITIER GEORGE</v>
      </c>
      <c r="M241" s="6">
        <f>I241-F241</f>
        <v>9.1666666630771942E-3</v>
      </c>
      <c r="N241" s="7">
        <f>24*60*SUM($M241:$M241)</f>
        <v>13.19999999483116</v>
      </c>
      <c r="O241" s="7"/>
      <c r="P241" s="7"/>
      <c r="Q241" s="22"/>
      <c r="R241" s="174"/>
      <c r="S241" s="221">
        <f>1/IF(AG241="EC",12,1)*SUM(U241:U241)</f>
        <v>1</v>
      </c>
      <c r="T241" s="174" t="str">
        <f>IF(ISEVEN(LEFT(AD241,4)),"Southbound","NorthBound")</f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-24T12:57:19-0600',mode:absolute,to:'2017-10-24T15:15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0</v>
      </c>
      <c r="Y241" s="204">
        <f>RIGHT(D241,LEN(D241)-4)/10000</f>
        <v>5.8653000000000004</v>
      </c>
      <c r="Z241" s="204">
        <f>RIGHT(H241,LEN(H241)-4)/10000</f>
        <v>0.46039999999999998</v>
      </c>
      <c r="AA241" s="204">
        <f>ABS(Z241-Y241)</f>
        <v>5.4049000000000005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60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/stypes="app*4041*20171024*" /stext=" 20:.+((SYSTEM_STATE.+slice.+state.+changed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43"/>
        <v>"%USERPROFILE%\Documents\GitHub\eaglep3\Utilities\RefineRTDCRunTimes.py" --tripid 60-24 --locoid 4041 --swversion DE.1.0.9.0 --startMP 300:58653 --initTime 2017-10-24T13:57:19 --startdatetime 2017-10-24T14:01:58 --delay 52 --endMP 204:4604 --enddatetime 2017-10-24T14:15:10 --enforcementcount 0 &gt;&gt;%USERPROFILE%\Documents\GitHub\eaglep3-reporting\EC\2017-10-24-refined-times.txt</v>
      </c>
      <c r="AI241" s="96" t="e">
        <f>"echo {""issue"":{""subject"":"""&amp;#REF!&amp;""",""project_id"":79,""tracker_id"":40,""status_id"":"&amp;redmine_status&amp;",""priority_id"":"&amp;redmine_priority&amp;",""assigned_to_id"":"&amp;redmine_assignee&amp;",""start_date"":"""&amp;TEXT(I241,"YYYY-mm-dd")&amp;""",""description"":"""&amp;AJ241&amp;""",""custom_fields"":[{""id"":1,""name"":""Subdivision"",""value"":"""&amp;AG241&amp;"""},{""id"":4,""name"":""Milepost"",""value"":"""&amp;Z241&amp;"""},{""id"":17,""name"":""Train ID"",""value"":"""&amp;A241&amp;"""},{""id"":16,""name"":""Locomotive ID"",""value"":"""&amp;B241&amp;"""},{""id"":130,""name"":""Impact"",""value"":"""&amp;AK241&amp;"""},{""id"":150,""name"":""Time of Event (Mountain Time)"",""value"":"""&amp;TEXT(I241,"hh:mm:ss")&amp;"""},{""id"":151,""name"":""Denver Issue ID"",""value"":"""&amp;"""},{""id"":178,""name"":""Operational Impact"",""value"":"""&amp;redmine_op_impact&amp;"""},{""id"":179,""name"":""Denver Segment Assigned"",""value"":"""&amp;AL241&amp;"""}]}}"&amp;" | curl --insecure -X POST -H ""Content-Type: application/json"" -H ""X-Redmine-API-Key: "&amp;redm_api_key&amp;""" "&amp;redm_url&amp;" --data @-"</f>
        <v>#REF!</v>
      </c>
      <c r="AK241" s="47"/>
      <c r="AL241" s="47"/>
      <c r="AM241" s="142" t="str">
        <f t="shared" si="45"/>
        <v>start /low /b %USERPROFILE%\Documents\GitHub\eaglep3\Utilities\DownloadLogsFromS3.py --loco 4041 --day 2017-10-24</v>
      </c>
      <c r="AN241" s="151" t="e">
        <f>"echo {""issue"":{""subject"":"""&amp;#REF!&amp;""",""project_id"":30,""tracker_id"":4,""status_id"":"&amp;redmine_status_wcr&amp;",""priority_id"":"&amp;redmine_priority_wcr&amp;",""assigned_to_id"":"&amp;redmine_assignee_wcr&amp;",""start_date"":"""&amp;TEXT(I241-utc_offset/24,"YYYY-mm-dd")&amp;""",""description"":"""&amp;AJ241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#REF!</v>
      </c>
      <c r="AO241" s="168" t="str">
        <f t="shared" si="47"/>
        <v>https://d0f6bd738d7f1b3e5a7ca70fe4ff75f0.us-east-1.aws.found.io/app/kibana#/discover/Steve-Slow-Train-Analysis-(2080s-and-2083s)?_g=(refreshInterval:(display:Off,pause:!f,section:0,value:0),time:(from:'2017-10-24T12:57:19-0600',mode:absolute,to:'2017-10-24T15:15:10-0600'))&amp;_a=(columns:!('Message%20ID',Summary),filters:!(),index:'emp_*',interval:auto,query:(query_string:(analyze_wildcard:!t,query:'%22rtdc.l.rtdc.4041%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654</v>
      </c>
      <c r="B242" s="7">
        <v>4042</v>
      </c>
      <c r="C242" s="21" t="s">
        <v>194</v>
      </c>
      <c r="D242" s="21" t="s">
        <v>996</v>
      </c>
      <c r="E242" s="13">
        <v>43032.373541666668</v>
      </c>
      <c r="F242" s="13">
        <v>43032.376192129632</v>
      </c>
      <c r="G242" s="7">
        <v>127</v>
      </c>
      <c r="H242" s="21" t="s">
        <v>1000</v>
      </c>
      <c r="I242" s="13">
        <v>43032.386782407404</v>
      </c>
      <c r="J242" s="7">
        <v>0</v>
      </c>
      <c r="K242" s="89" t="str">
        <f>IF(ISEVEN(B242),(B242-1)&amp;"/"&amp;B242,B242&amp;"/"&amp;(B242+1))</f>
        <v>4041/4042</v>
      </c>
      <c r="L242" s="185" t="str">
        <f>VLOOKUP(A242,'Trips&amp;Operators'!$C$1:$G$99911,5,FALSE)</f>
        <v>PELLITIER GEORGE</v>
      </c>
      <c r="M242" s="6">
        <f>I242-F242</f>
        <v>1.0590277772280388E-2</v>
      </c>
      <c r="N242" s="7">
        <f>24*60*SUM($M242:$M242)</f>
        <v>15.249999992083758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-24T07:57:54-0600',mode:absolute,to:'2017-10-24T10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</v>
      </c>
      <c r="Y242" s="204">
        <f>RIGHT(D242,LEN(D242)-4)/10000</f>
        <v>4.6800000000000001E-2</v>
      </c>
      <c r="Z242" s="204">
        <f>RIGHT(H242,LEN(H242)-4)/10000</f>
        <v>5.9001000000000001</v>
      </c>
      <c r="AA242" s="204">
        <f>ABS(Z242-Y242)</f>
        <v>5.8532999999999999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61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/stypes="app*4042*20171024*" /stext=" 15:.+((SYSTEM_STATE.+slice.+state.+changed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43"/>
        <v>"%USERPROFILE%\Documents\GitHub\eaglep3\Utilities\RefineRTDCRunTimes.py" --tripid 61-24 --locoid 4042 --swversion DE.1.0.9.0 --startMP 204:468 --initTime 2017-10-24T08:57:54 --startdatetime 2017-10-24T09:01:43 --delay 127 --endMP 300:59001 --enddatetime 2017-10-24T09:16:58 --enforcementcount 0 &gt;&gt;%USERPROFILE%\Documents\GitHub\eaglep3-reporting\EC\2017-10-24-refined-times.txt</v>
      </c>
      <c r="AI242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5.9001"},{"id":17,"name":"Train ID","value":"61-24"},{"id":16,"name":"Locomotive ID","value":"4042"},{"id":130,"name":"Impact","value":""},{"id":150,"name":"Time of Event (Mountain Time)","value":"09:16:58"},{"id":151,"name":"Denver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45"/>
        <v>start /low /b %USERPROFILE%\Documents\GitHub\eaglep3\Utilities\DownloadLogsFromS3.py --loco 4042 --day 2017-10-24</v>
      </c>
      <c r="AN242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15:16:58"},{"id":29,"name":"Sharepoint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47"/>
        <v>https://d0f6bd738d7f1b3e5a7ca70fe4ff75f0.us-east-1.aws.found.io/app/kibana#/discover/Steve-Slow-Train-Analysis-(2080s-and-2083s)?_g=(refreshInterval:(display:Off,pause:!f,section:0,value:0),time:(from:'2017-10-24T07:57:54-0600',mode:absolute,to:'2017-10-24T10:16:58-0600'))&amp;_a=(columns:!('Message%20ID',Summary),filters:!(),index:'emp_*',interval:auto,query:(query_string:(analyze_wildcard:!t,query:'%22rtdc.l.rtdc.4042%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654</v>
      </c>
      <c r="B243" s="7">
        <v>4042</v>
      </c>
      <c r="C243" s="21" t="s">
        <v>194</v>
      </c>
      <c r="D243" s="21" t="s">
        <v>534</v>
      </c>
      <c r="E243" s="13">
        <v>43032.425486111111</v>
      </c>
      <c r="F243" s="13">
        <v>43032.484699074077</v>
      </c>
      <c r="G243" s="7">
        <v>51</v>
      </c>
      <c r="H243" s="21" t="s">
        <v>1001</v>
      </c>
      <c r="I243" s="13">
        <v>43032.496898148151</v>
      </c>
      <c r="J243" s="7">
        <v>0</v>
      </c>
      <c r="K243" s="89" t="str">
        <f>IF(ISEVEN(B243),(B243-1)&amp;"/"&amp;B243,B243&amp;"/"&amp;(B243+1))</f>
        <v>4041/4042</v>
      </c>
      <c r="L243" s="185" t="str">
        <f>VLOOKUP(A243,'Trips&amp;Operators'!$C$1:$G$99911,5,FALSE)</f>
        <v>PELLITIER GEORGE</v>
      </c>
      <c r="M243" s="6">
        <f>I243-F243</f>
        <v>1.2199074073578231E-2</v>
      </c>
      <c r="N243" s="7">
        <f>24*60*SUM($M243:$M243)</f>
        <v>17.566666665952653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-24T09:12:42-0600',mode:absolute,to:'2017-10-24T12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0</v>
      </c>
      <c r="Y243" s="204">
        <f>RIGHT(D243,LEN(D243)-4)/10000</f>
        <v>4.3499999999999997E-2</v>
      </c>
      <c r="Z243" s="204">
        <f>RIGHT(H243,LEN(H243)-4)/10000</f>
        <v>5.8952</v>
      </c>
      <c r="AA243" s="204">
        <f>ABS(Z243-Y243)</f>
        <v>5.8517000000000001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61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/stypes="app*4042*20171024*" /stext=" 17:.+((SYSTEM_STATE.+slice.+state.+changed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43"/>
        <v>"%USERPROFILE%\Documents\GitHub\eaglep3\Utilities\RefineRTDCRunTimes.py" --tripid 61-24 --locoid 4042 --swversion DE.1.0.9.0 --startMP 204:435 --initTime 2017-10-24T10:12:42 --startdatetime 2017-10-24T11:37:58 --delay 51 --endMP 300:58952 --enddatetime 2017-10-24T11:55:32 --enforcementcount 0 &gt;&gt;%USERPROFILE%\Documents\GitHub\eaglep3-reporting\EC\2017-10-24-refined-times.txt</v>
      </c>
      <c r="AI243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5.8952"},{"id":17,"name":"Train ID","value":"61-24"},{"id":16,"name":"Locomotive ID","value":"4042"},{"id":130,"name":"Impact","value":""},{"id":150,"name":"Time of Event (Mountain Time)","value":"11:55:32"},{"id":151,"name":"Denver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45"/>
        <v>start /low /b %USERPROFILE%\Documents\GitHub\eaglep3\Utilities\DownloadLogsFromS3.py --loco 4042 --day 2017-10-24</v>
      </c>
      <c r="AN243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47"/>
        <v>https://d0f6bd738d7f1b3e5a7ca70fe4ff75f0.us-east-1.aws.found.io/app/kibana#/discover/Steve-Slow-Train-Analysis-(2080s-and-2083s)?_g=(refreshInterval:(display:Off,pause:!f,section:0,value:0),time:(from:'2017-10-24T09:12:42-0600',mode:absolute,to:'2017-10-24T12:55:32-0600'))&amp;_a=(columns:!('Message%20ID',Summary),filters:!(),index:'emp_*',interval:auto,query:(query_string:(analyze_wildcard:!t,query:'%22rtdc.l.rtdc.4042%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654</v>
      </c>
      <c r="B244" s="7">
        <v>4042</v>
      </c>
      <c r="C244" s="21" t="s">
        <v>194</v>
      </c>
      <c r="D244" s="21" t="s">
        <v>1002</v>
      </c>
      <c r="E244" s="13">
        <v>43032.472939814812</v>
      </c>
      <c r="F244" s="13">
        <v>43032.484699074077</v>
      </c>
      <c r="G244" s="7">
        <v>53</v>
      </c>
      <c r="H244" s="21" t="s">
        <v>1003</v>
      </c>
      <c r="I244" s="13">
        <v>43032.496898148151</v>
      </c>
      <c r="J244" s="7">
        <v>0</v>
      </c>
      <c r="K244" s="89" t="str">
        <f>IF(ISEVEN(B244),(B244-1)&amp;"/"&amp;B244,B244&amp;"/"&amp;(B244+1))</f>
        <v>4041/4042</v>
      </c>
      <c r="L244" s="185" t="str">
        <f>VLOOKUP(A244,'Trips&amp;Operators'!$C$1:$G$99911,5,FALSE)</f>
        <v>PELLITIER GEORGE</v>
      </c>
      <c r="M244" s="6">
        <f>I244-F244</f>
        <v>1.2199074073578231E-2</v>
      </c>
      <c r="N244" s="7">
        <f>24*60*SUM($M244:$M244)</f>
        <v>17.566666665952653</v>
      </c>
      <c r="O244" s="7"/>
      <c r="P244" s="7"/>
      <c r="Q244" s="22"/>
      <c r="S244" s="221">
        <f>1/IF(AG244="EC",12,1)*SUM(U244:U244)</f>
        <v>1</v>
      </c>
      <c r="T244" s="174" t="str">
        <f>IF(ISEVEN(LEFT(AD244,4)),"Southbound","NorthBound")</f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-10-24T10:21:02-0600',mode:absolute,to:'2017-10-24T12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0</v>
      </c>
      <c r="Y244" s="204">
        <f>RIGHT(D244,LEN(D244)-4)/10000</f>
        <v>7.3200000000000001E-2</v>
      </c>
      <c r="Z244" s="204">
        <f>RIGHT(H244,LEN(H244)-4)/10000</f>
        <v>5.8973000000000004</v>
      </c>
      <c r="AA244" s="204">
        <f>ABS(Z244-Y244)</f>
        <v>5.8241000000000005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>VALUE(LEFT(A244,LEN(A244)-3))</f>
        <v>61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/stypes="app*4042*20171024*" /stext=" 17:.+((SYSTEM_STATE.+slice.+state.+changed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43"/>
        <v>"%USERPROFILE%\Documents\GitHub\eaglep3\Utilities\RefineRTDCRunTimes.py" --tripid 61-24 --locoid 4042 --swversion DE.1.0.9.0 --startMP 204:732 --initTime 2017-10-24T11:21:02 --startdatetime 2017-10-24T11:37:58 --delay 53 --endMP 300:58973 --enddatetime 2017-10-24T11:55:32 --enforcementcount 0 &gt;&gt;%USERPROFILE%\Documents\GitHub\eaglep3-reporting\EC\2017-10-24-refined-times.txt</v>
      </c>
      <c r="AI244" s="96" t="str">
        <f>"echo {""issue"":{""subject"":"""&amp;R241&amp;""",""project_id"":79,""tracker_id"":40,""status_id"":"&amp;redmine_status&amp;",""priority_id"":"&amp;redmine_priority&amp;",""assigned_to_id"":"&amp;redmine_assignee&amp;",""start_date"":"""&amp;TEXT(I244,"YYYY-mm-dd")&amp;""",""description"":"""&amp;AJ244&amp;""",""custom_fields"":[{""id"":1,""name"":""Subdivision"",""value"":"""&amp;AG244&amp;"""},{""id"":4,""name"":""Milepost"",""value"":"""&amp;Z244&amp;"""},{""id"":17,""name"":""Train ID"",""value"":"""&amp;A244&amp;"""},{""id"":16,""name"":""Locomotive ID"",""value"":"""&amp;B244&amp;"""},{""id"":130,""name"":""Impact"",""value"":"""&amp;AK244&amp;"""},{""id"":150,""name"":""Time of Event (Mountain Time)"",""value"":"""&amp;TEXT(I244,"hh:mm:ss")&amp;"""},{""id"":151,""name"":""Denver Issue ID"",""value"":"""&amp;"""},{""id"":178,""name"":""Operational Impact"",""value"":"""&amp;redmine_op_impact&amp;"""},{""id"":179,""name"":""Denver Segment Assigned"",""value"":"""&amp;AL244&amp;"""}]}}"&amp;"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5.8973"},{"id":17,"name":"Train ID","value":"61-24"},{"id":16,"name":"Locomotive ID","value":"4042"},{"id":130,"name":"Impact","value":""},{"id":150,"name":"Time of Event (Mountain Time)","value":"11:55:32"},{"id":151,"name":"Denver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45"/>
        <v>start /low /b %USERPROFILE%\Documents\GitHub\eaglep3\Utilities\DownloadLogsFromS3.py --loco 4042 --day 2017-10-24</v>
      </c>
      <c r="AN244" s="151" t="str">
        <f>"echo {""issue"":{""subject"":"""&amp;R241&amp;""",""project_id"":30,""tracker_id"":4,""status_id"":"&amp;redmine_status_wcr&amp;",""priority_id"":"&amp;redmine_priority_wcr&amp;",""assigned_to_id"":"&amp;redmine_assignee_wcr&amp;",""start_date"":"""&amp;TEXT(I244-utc_offset/24,"YYYY-mm-dd")&amp;""",""description"":"""&amp;AJ244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47"/>
        <v>https://d0f6bd738d7f1b3e5a7ca70fe4ff75f0.us-east-1.aws.found.io/app/kibana#/discover/Steve-Slow-Train-Analysis-(2080s-and-2083s)?_g=(refreshInterval:(display:Off,pause:!f,section:0,value:0),time:(from:'2017-10-24T10:21:02-0600',mode:absolute,to:'2017-10-24T12:55:32-0600'))&amp;_a=(columns:!('Message%20ID',Summary),filters:!(),index:'emp_*',interval:auto,query:(query_string:(analyze_wildcard:!t,query:'%22rtdc.l.rtdc.4042%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654</v>
      </c>
      <c r="B245" s="7">
        <v>4042</v>
      </c>
      <c r="C245" s="21" t="s">
        <v>194</v>
      </c>
      <c r="D245" s="21" t="s">
        <v>1002</v>
      </c>
      <c r="E245" s="13">
        <v>43032.478333333333</v>
      </c>
      <c r="F245" s="13">
        <v>43032.484699074077</v>
      </c>
      <c r="G245" s="7">
        <v>54</v>
      </c>
      <c r="H245" s="21" t="s">
        <v>1003</v>
      </c>
      <c r="I245" s="13">
        <v>43032.496898148151</v>
      </c>
      <c r="J245" s="7">
        <v>0</v>
      </c>
      <c r="K245" s="89" t="str">
        <f>IF(ISEVEN(B245),(B245-1)&amp;"/"&amp;B245,B245&amp;"/"&amp;(B245+1))</f>
        <v>4041/4042</v>
      </c>
      <c r="L245" s="185" t="str">
        <f>VLOOKUP(A245,'Trips&amp;Operators'!$C$1:$G$99911,5,FALSE)</f>
        <v>PELLITIER GEORGE</v>
      </c>
      <c r="M245" s="6">
        <f>I245-F245</f>
        <v>1.2199074073578231E-2</v>
      </c>
      <c r="N245" s="7">
        <f>24*60*SUM($M245:$M245)</f>
        <v>17.566666665952653</v>
      </c>
      <c r="O245" s="7"/>
      <c r="P245" s="7"/>
      <c r="Q245" s="22"/>
      <c r="R245" s="174"/>
      <c r="S245" s="221">
        <f>1/IF(AG245="EC",12,1)*SUM(U245:U245)</f>
        <v>1</v>
      </c>
      <c r="T245" s="174" t="str">
        <f>IF(ISEVEN(LEFT(AD245,4)),"Southbound","NorthBound")</f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-10-24T10:28:48-0600',mode:absolute,to:'2017-10-24T12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0</v>
      </c>
      <c r="Y245" s="204">
        <f>RIGHT(D245,LEN(D245)-4)/10000</f>
        <v>7.3200000000000001E-2</v>
      </c>
      <c r="Z245" s="204">
        <f>RIGHT(H245,LEN(H245)-4)/10000</f>
        <v>5.8973000000000004</v>
      </c>
      <c r="AA245" s="204">
        <f>ABS(Z245-Y245)</f>
        <v>5.8241000000000005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>VALUE(LEFT(A245,LEN(A245)-3))</f>
        <v>61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/stypes="app*4042*20171024*" /stext=" 17:.+((SYSTEM_STATE.+slice.+state.+changed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43"/>
        <v>"%USERPROFILE%\Documents\GitHub\eaglep3\Utilities\RefineRTDCRunTimes.py" --tripid 61-24 --locoid 4042 --swversion DE.1.0.9.0 --startMP 204:732 --initTime 2017-10-24T11:28:48 --startdatetime 2017-10-24T11:37:58 --delay 54 --endMP 300:58973 --enddatetime 2017-10-24T11:55:32 --enforcementcount 0 &gt;&gt;%USERPROFILE%\Documents\GitHub\eaglep3-reporting\EC\2017-10-24-refined-times.txt</v>
      </c>
      <c r="AI245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5.8973"},{"id":17,"name":"Train ID","value":"61-24"},{"id":16,"name":"Locomotive ID","value":"4042"},{"id":130,"name":"Impact","value":""},{"id":150,"name":"Time of Event (Mountain Time)","value":"11:55:32"},{"id":151,"name":"Denver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45"/>
        <v>start /low /b %USERPROFILE%\Documents\GitHub\eaglep3\Utilities\DownloadLogsFromS3.py --loco 4042 --day 2017-10-24</v>
      </c>
      <c r="AN245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47"/>
        <v>https://d0f6bd738d7f1b3e5a7ca70fe4ff75f0.us-east-1.aws.found.io/app/kibana#/discover/Steve-Slow-Train-Analysis-(2080s-and-2083s)?_g=(refreshInterval:(display:Off,pause:!f,section:0,value:0),time:(from:'2017-10-24T10:28:48-0600',mode:absolute,to:'2017-10-24T12:55:32-0600'))&amp;_a=(columns:!('Message%20ID',Summary),filters:!(),index:'emp_*',interval:auto,query:(query_string:(analyze_wildcard:!t,query:'%22rtdc.l.rtdc.4042%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32" t="s">
        <v>654</v>
      </c>
      <c r="B246" s="7">
        <v>4042</v>
      </c>
      <c r="C246" s="21" t="s">
        <v>194</v>
      </c>
      <c r="D246" s="21" t="s">
        <v>344</v>
      </c>
      <c r="E246" s="13">
        <v>43032.561215277776</v>
      </c>
      <c r="F246" s="13">
        <v>43032.569085648145</v>
      </c>
      <c r="G246" s="7">
        <v>73</v>
      </c>
      <c r="H246" s="21" t="s">
        <v>1004</v>
      </c>
      <c r="I246" s="13">
        <v>43032.579837962963</v>
      </c>
      <c r="J246" s="7">
        <v>0</v>
      </c>
      <c r="K246" s="89" t="str">
        <f>IF(ISEVEN(B246),(B246-1)&amp;"/"&amp;B246,B246&amp;"/"&amp;(B246+1))</f>
        <v>4041/4042</v>
      </c>
      <c r="L246" s="185" t="str">
        <f>VLOOKUP(A246,'Trips&amp;Operators'!$C$1:$G$99911,5,FALSE)</f>
        <v>PELLITIER GEORGE</v>
      </c>
      <c r="M246" s="6">
        <f>I246-F246</f>
        <v>1.0752314818091691E-2</v>
      </c>
      <c r="N246" s="7">
        <f>24*60*SUM($M246:$M246)</f>
        <v>15.483333338052034</v>
      </c>
      <c r="O246" s="7"/>
      <c r="P246" s="7"/>
      <c r="Q246" s="22"/>
      <c r="R246" s="174"/>
      <c r="S246" s="221">
        <f>1/IF(AG246="EC",12,1)*SUM(U246:U246)</f>
        <v>1</v>
      </c>
      <c r="T246" s="174" t="str">
        <f>IF(ISEVEN(LEFT(AD246,4)),"Southbound","NorthBound")</f>
        <v>NorthBound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-10-24T12:28:09-0600',mode:absolute,to:'2017-10-24T14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6" s="204" t="str">
        <f>IF(AA246&lt;VLOOKUP(AG246,Variables!$AC$3:$AD$8,2,FALSE),"Y","N")</f>
        <v>Y</v>
      </c>
      <c r="X246" s="204">
        <f>VALUE(LEFT(AD246,4))-VALUE(LEFT(AD245,4))</f>
        <v>0</v>
      </c>
      <c r="Y246" s="204">
        <f>RIGHT(D246,LEN(D246)-4)/10000</f>
        <v>4.5499999999999999E-2</v>
      </c>
      <c r="Z246" s="204">
        <f>RIGHT(H246,LEN(H246)-4)/10000</f>
        <v>5.8982000000000001</v>
      </c>
      <c r="AA246" s="204">
        <f>ABS(Z246-Y246)</f>
        <v>5.8527000000000005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>VALUE(LEFT(A246,LEN(A246)-3))</f>
        <v>61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/stypes="app*4042*20171024*" /stext=" 19:.+((SYSTEM_STATE.+slice.+state.+changed )|(ment ac)|(multiple cpu faults)|(system.+state.+changed )|(\[timeout)|(PRM\|1\|D)|(kpr)|(kdp)|(train st.+moving)|(\|lc)|(penalty))"</v>
      </c>
      <c r="AG246" s="182" t="str">
        <f>DetSubdiv(A246)</f>
        <v>Shuttle/Test</v>
      </c>
      <c r="AH246" s="78" t="str">
        <f t="shared" si="43"/>
        <v>"%USERPROFILE%\Documents\GitHub\eaglep3\Utilities\RefineRTDCRunTimes.py" --tripid 61-24 --locoid 4042 --swversion DE.1.0.9.0 --startMP 204:455 --initTime 2017-10-24T13:28:09 --startdatetime 2017-10-24T13:39:29 --delay 73 --endMP 300:58982 --enddatetime 2017-10-24T13:54:58 --enforcementcount 0 &gt;&gt;%USERPROFILE%\Documents\GitHub\eaglep3-reporting\EC\2017-10-24-refined-times.txt</v>
      </c>
      <c r="AI246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5.8982"},{"id":17,"name":"Train ID","value":"61-24"},{"id":16,"name":"Locomotive ID","value":"4042"},{"id":130,"name":"Impact","value":""},{"id":150,"name":"Time of Event (Mountain Time)","value":"13:54:58"},{"id":151,"name":"Denver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6" s="47"/>
      <c r="AL246" s="47"/>
      <c r="AM246" s="142" t="str">
        <f t="shared" si="45"/>
        <v>start /low /b %USERPROFILE%\Documents\GitHub\eaglep3\Utilities\DownloadLogsFromS3.py --loco 4042 --day 2017-10-24</v>
      </c>
      <c r="AN246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19:54:58"},{"id":29,"name":"Sharepoint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47"/>
        <v>https://d0f6bd738d7f1b3e5a7ca70fe4ff75f0.us-east-1.aws.found.io/app/kibana#/discover/Steve-Slow-Train-Analysis-(2080s-and-2083s)?_g=(refreshInterval:(display:Off,pause:!f,section:0,value:0),time:(from:'2017-10-24T12:28:09-0600',mode:absolute,to:'2017-10-24T14:54:58-0600'))&amp;_a=(columns:!('Message%20ID',Summary),filters:!(),index:'emp_*',interval:auto,query:(query_string:(analyze_wildcard:!t,query:'%22rtdc.l.rtdc.4042%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 s="32" t="s">
        <v>654</v>
      </c>
      <c r="B247" s="7">
        <v>4042</v>
      </c>
      <c r="C247" s="21" t="s">
        <v>194</v>
      </c>
      <c r="D247" s="21" t="s">
        <v>1005</v>
      </c>
      <c r="E247" s="13">
        <v>43032.614814814813</v>
      </c>
      <c r="F247" s="13">
        <v>43032.618935185186</v>
      </c>
      <c r="G247" s="7">
        <v>52</v>
      </c>
      <c r="H247" s="21" t="s">
        <v>622</v>
      </c>
      <c r="I247" s="13">
        <v>43032.630474537036</v>
      </c>
      <c r="J247" s="7">
        <v>0</v>
      </c>
      <c r="K247" s="89" t="str">
        <f>IF(ISEVEN(B247),(B247-1)&amp;"/"&amp;B247,B247&amp;"/"&amp;(B247+1))</f>
        <v>4041/4042</v>
      </c>
      <c r="L247" s="185" t="str">
        <f>VLOOKUP(A247,'Trips&amp;Operators'!$C$1:$G$99911,5,FALSE)</f>
        <v>PELLITIER GEORGE</v>
      </c>
      <c r="M247" s="6">
        <f>I247-F247</f>
        <v>1.1539351849933155E-2</v>
      </c>
      <c r="N247" s="7">
        <f>24*60*SUM($M247:$M247)</f>
        <v>16.616666663903743</v>
      </c>
      <c r="O247" s="7"/>
      <c r="P247" s="7"/>
      <c r="Q247" s="22"/>
      <c r="R247" s="174"/>
      <c r="S247" s="221">
        <f>1/IF(AG247="EC",12,1)*SUM(U247:U247)</f>
        <v>1</v>
      </c>
      <c r="T247" s="174" t="str">
        <f>IF(ISEVEN(LEFT(AD247,4)),"Southbound","NorthBound")</f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16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-10-24T13:45:20-0600',mode:absolute,to:'2017-10-24T16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7" s="204" t="str">
        <f>IF(AA247&lt;VLOOKUP(AG247,Variables!$AC$3:$AD$8,2,FALSE),"Y","N")</f>
        <v>Y</v>
      </c>
      <c r="X247" s="204">
        <f>VALUE(LEFT(AD247,4))-VALUE(LEFT(AD246,4))</f>
        <v>0</v>
      </c>
      <c r="Y247" s="204">
        <f>RIGHT(D247,LEN(D247)-4)/10000</f>
        <v>4.41E-2</v>
      </c>
      <c r="Z247" s="204">
        <f>RIGHT(H247,LEN(H247)-4)/10000</f>
        <v>2.3308</v>
      </c>
      <c r="AA247" s="204">
        <f>ABS(Z247-Y247)</f>
        <v>2.2867000000000002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>VALUE(LEFT(A247,LEN(A247)-3))</f>
        <v>61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/stypes="app*4042*20171024*" /stext=" 21:.+((SYSTEM_STATE.+slice.+state.+changed )|(ment ac)|(multiple cpu faults)|(system.+state.+changed )|(\[timeout)|(PRM\|1\|D)|(kpr)|(kdp)|(train st.+moving)|(\|lc)|(penalty))"</v>
      </c>
      <c r="AG247" s="182" t="str">
        <f>DetSubdiv(A247)</f>
        <v>Shuttle/Test</v>
      </c>
      <c r="AH247" s="78" t="str">
        <f t="shared" si="43"/>
        <v>"%USERPROFILE%\Documents\GitHub\eaglep3\Utilities\RefineRTDCRunTimes.py" --tripid 61-24 --locoid 4042 --swversion DE.1.0.9.0 --startMP 204:441 --initTime 2017-10-24T14:45:20 --startdatetime 2017-10-24T14:51:16 --delay 52 --endMP 300:23308 --enddatetime 2017-10-24T15:07:53 --enforcementcount 0 &gt;&gt;%USERPROFILE%\Documents\GitHub\eaglep3-reporting\EC\2017-10-24-refined-times.txt</v>
      </c>
      <c r="AI247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2.3308"},{"id":17,"name":"Train ID","value":"61-24"},{"id":16,"name":"Locomotive ID","value":"4042"},{"id":130,"name":"Impact","value":""},{"id":150,"name":"Time of Event (Mountain Time)","value":"15:07:53"},{"id":151,"name":"Denver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47"/>
      <c r="AL247" s="47"/>
      <c r="AM247" s="142" t="str">
        <f t="shared" si="45"/>
        <v>start /low /b %USERPROFILE%\Documents\GitHub\eaglep3\Utilities\DownloadLogsFromS3.py --loco 4042 --day 2017-10-24</v>
      </c>
      <c r="AN247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21:07:53"},{"id":29,"name":"Sharepoint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47"/>
        <v>https://d0f6bd738d7f1b3e5a7ca70fe4ff75f0.us-east-1.aws.found.io/app/kibana#/discover/Steve-Slow-Train-Analysis-(2080s-and-2083s)?_g=(refreshInterval:(display:Off,pause:!f,section:0,value:0),time:(from:'2017-10-24T13:45:20-0600',mode:absolute,to:'2017-10-24T16:07:53-0600'))&amp;_a=(columns:!('Message%20ID',Summary),filters:!(),index:'emp_*',interval:auto,query:(query_string:(analyze_wildcard:!t,query:'%22rtdc.l.rtdc.4042%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 s="32" t="s">
        <v>842</v>
      </c>
      <c r="B248" s="7">
        <v>4033</v>
      </c>
      <c r="C248" s="21" t="s">
        <v>194</v>
      </c>
      <c r="D248" s="21" t="s">
        <v>1006</v>
      </c>
      <c r="E248" s="13">
        <v>43032.738425925927</v>
      </c>
      <c r="F248" s="13">
        <v>43032.747372685182</v>
      </c>
      <c r="G248" s="7">
        <v>678</v>
      </c>
      <c r="H248" s="21" t="s">
        <v>1007</v>
      </c>
      <c r="I248" s="13">
        <v>43032.753819444442</v>
      </c>
      <c r="J248" s="7">
        <v>0</v>
      </c>
      <c r="K248" s="89" t="str">
        <f>IF(ISEVEN(B248),(B248-1)&amp;"/"&amp;B248,B248&amp;"/"&amp;(B248+1))</f>
        <v>4033/4034</v>
      </c>
      <c r="L248" s="185" t="str">
        <f>VLOOKUP(A248,'Trips&amp;Operators'!$C$1:$G$99911,5,FALSE)</f>
        <v>RESPASS AARON</v>
      </c>
      <c r="M248" s="6">
        <f>I248-F248</f>
        <v>6.4467592601431534E-3</v>
      </c>
      <c r="N248" s="7">
        <f>24*60*SUM($M248:$M248)</f>
        <v>9.2833333346061409</v>
      </c>
      <c r="O248" s="7"/>
      <c r="P248" s="7"/>
      <c r="Q248" s="22"/>
      <c r="R248" s="174"/>
      <c r="S248" s="221">
        <f>1/IF(AG248="EC",12,1)*SUM(U248:U248)</f>
        <v>1</v>
      </c>
      <c r="T248" s="174" t="str">
        <f>IF(ISEVEN(LEFT(AD248,4)),"Southbound","NorthBound")</f>
        <v>Southbound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16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-10-24T16:43:20-0600',mode:absolute,to:'2017-10-24T19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8" s="204" t="str">
        <f>IF(AA248&lt;VLOOKUP(AG248,Variables!$AC$3:$AD$8,2,FALSE),"Y","N")</f>
        <v>Y</v>
      </c>
      <c r="X248" s="204">
        <f>VALUE(LEFT(AD248,4))-VALUE(LEFT(AD247,4))</f>
        <v>3</v>
      </c>
      <c r="Y248" s="204">
        <f>RIGHT(D248,LEN(D248)-4)/10000</f>
        <v>2.3714</v>
      </c>
      <c r="Z248" s="204">
        <f>RIGHT(H248,LEN(H248)-4)/10000</f>
        <v>0.12239999999999999</v>
      </c>
      <c r="AA248" s="204">
        <f>ABS(Z248-Y248)</f>
        <v>2.2490000000000001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>VALUE(LEFT(A248,LEN(A248)-3))</f>
        <v>64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s3://rtdc.mdm.uploadarchive.raw/RTDC4033/ "%USERPROFILE%\AppData\Local\Temp\OnboardLogs"\RTDC4033\2017-10-24 --exclude "*" --recursive --include "*20171024*" &amp; "%USERPROFILE%\Documents\GitHub\mrs-test-scripts\Headless Mode &amp; Sideloading\WalkAndUnGZ.bat" "%USERPROFILE%\AppData\Local\Temp\OnboardLogs"\RTDC4033\2017-10-24 &amp; aws s3 cp s3://rtdc.mdm.uploadarchive.raw/RTDC4033/ "%USERPROFILE%\AppData\Local\Temp\OnboardLogs"\RTDC4033\2017-10-25 --exclude "*" --recursive --include "*20171025*" &amp; "%USERPROFILE%\Documents\GitHub\mrs-test-scripts\Headless Mode &amp; Sideloading\WalkAndUnGZ.bat" "%USERPROFILE%\AppData\Local\Temp\OnboardLogs"\RTDC4033\2017-10-25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/stypes="app*4033*20171025*" /stext=" 00:.+((SYSTEM_STATE.+slice.+state.+changed )|(ment ac)|(multiple cpu faults)|(system.+state.+changed )|(\[timeout)|(PRM\|1\|D)|(kpr)|(kdp)|(train st.+moving)|(\|lc)|(penalty))"</v>
      </c>
      <c r="AG248" s="182" t="str">
        <f>DetSubdiv(A248)</f>
        <v>Shuttle/Test</v>
      </c>
      <c r="AH248" s="78" t="str">
        <f t="shared" si="43"/>
        <v>"%USERPROFILE%\Documents\GitHub\eaglep3\Utilities\RefineRTDCRunTimes.py" --tripid 64-24 --locoid 4033 --swversion DE.1.0.9.0 --startMP 300:23714 --initTime 2017-10-24T17:43:20 --startdatetime 2017-10-24T17:56:13 --delay 678 --endMP 204:1224 --enddatetime 2017-10-24T18:05:30 --enforcementcount 0 &gt;&gt;%USERPROFILE%\Documents\GitHub\eaglep3-reporting\EC\2017-10-24-refined-times.txt</v>
      </c>
      <c r="AI248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0.1224"},{"id":17,"name":"Train ID","value":"64-24"},{"id":16,"name":"Locomotive ID","value":"4033"},{"id":130,"name":"Impact","value":""},{"id":150,"name":"Time of Event (Mountain Time)","value":"18:05:30"},{"id":151,"name":"Denver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47"/>
      <c r="AL248" s="47"/>
      <c r="AM248" s="142" t="str">
        <f t="shared" si="45"/>
        <v>start /low /b %USERPROFILE%\Documents\GitHub\eaglep3\Utilities\DownloadLogsFromS3.py --loco 4033 --day 2017-10-24</v>
      </c>
      <c r="AN248" s="151" t="str">
        <f t="shared" si="46"/>
        <v>echo {"issue":{"subject":"","project_id":30,"tracker_id":4,"status_id":1,"priority_id":1,"assigned_to_id":10,"start_date":"2017-10-25","description":"","custom_fields":[{"id":30,"name":"Category","value":"Issue"},{"id":3,"name":"Functional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UTC","value":"2017-10-25 00:05:30"},{"id":29,"name":"Sharepoint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47"/>
        <v>https://d0f6bd738d7f1b3e5a7ca70fe4ff75f0.us-east-1.aws.found.io/app/kibana#/discover/Steve-Slow-Train-Analysis-(2080s-and-2083s)?_g=(refreshInterval:(display:Off,pause:!f,section:0,value:0),time:(from:'2017-10-24T16:43:20-0600',mode:absolute,to:'2017-10-24T19:05:30-0600'))&amp;_a=(columns:!('Message%20ID',Summary),filters:!(),index:'emp_*',interval:auto,query:(query_string:(analyze_wildcard:!t,query:'%22rtdc.l.rtdc.4033%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 s="32" t="s">
        <v>755</v>
      </c>
      <c r="B249" s="7">
        <v>4007</v>
      </c>
      <c r="C249" s="21" t="s">
        <v>194</v>
      </c>
      <c r="D249" s="21" t="s">
        <v>1008</v>
      </c>
      <c r="E249" s="13">
        <v>43032.446377314816</v>
      </c>
      <c r="F249" s="13">
        <v>43032.451273148145</v>
      </c>
      <c r="G249" s="7">
        <v>70</v>
      </c>
      <c r="H249" s="21" t="s">
        <v>994</v>
      </c>
      <c r="I249" s="13">
        <v>43032.456782407404</v>
      </c>
      <c r="J249" s="7">
        <v>0</v>
      </c>
      <c r="K249" s="89" t="str">
        <f>IF(ISEVEN(B249),(B249-1)&amp;"/"&amp;B249,B249&amp;"/"&amp;(B249+1))</f>
        <v>4007/4008</v>
      </c>
      <c r="L249" s="185" t="str">
        <f>VLOOKUP(A249,'Trips&amp;Operators'!$C$1:$G$99911,5,FALSE)</f>
        <v>MOSES BRADLEY</v>
      </c>
      <c r="M249" s="6">
        <f>I249-F249</f>
        <v>5.5092592592700385E-3</v>
      </c>
      <c r="N249" s="7">
        <f>24*60*SUM($M249:$M249)</f>
        <v>7.9333333333488554</v>
      </c>
      <c r="O249" s="7"/>
      <c r="P249" s="7"/>
      <c r="Q249" s="22"/>
      <c r="R249" s="174"/>
      <c r="S249" s="221">
        <f>1/IF(AG249="EC",12,1)*SUM(U249:U249)</f>
        <v>1</v>
      </c>
      <c r="T249" s="174" t="str">
        <f>IF(ISEVEN(LEFT(AD249,4)),"Southbound","NorthBound")</f>
        <v>Southbound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16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2017-10-24T09:42:47-0600',mode:absolute,to:'2017-10-24T11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9" s="204" t="str">
        <f>IF(AA249&lt;VLOOKUP(AG249,Variables!$AC$3:$AD$8,2,FALSE),"Y","N")</f>
        <v>Y</v>
      </c>
      <c r="X249" s="204">
        <f>VALUE(LEFT(AD249,4))-VALUE(LEFT(AD248,4))</f>
        <v>6</v>
      </c>
      <c r="Y249" s="204">
        <f>RIGHT(D249,LEN(D249)-4)/10000</f>
        <v>2.2176</v>
      </c>
      <c r="Z249" s="204">
        <f>RIGHT(H249,LEN(H249)-4)/10000</f>
        <v>1.35E-2</v>
      </c>
      <c r="AA249" s="204">
        <f>ABS(Z249-Y249)</f>
        <v>2.2040999999999999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>VALUE(LEFT(A249,LEN(A249)-3))</f>
        <v>70</v>
      </c>
      <c r="AE249" s="77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 &amp; aws s3 cp s3://rtdc.mdm.uploadarchive.raw/RTDC4007/ "%USERPROFILE%\AppData\Local\Temp\OnboardLogs"\RTDC4007\2017-10-25 --exclude "*" --recursive --include "*20171025*" &amp; "%USERPROFILE%\Documents\GitHub\mrs-test-scripts\Headless Mode &amp; Sideloading\WalkAndUnGZ.bat" "%USERPROFILE%\AppData\Local\Temp\OnboardLogs"\RTDC4007\2017-10-25</v>
      </c>
      <c r="AF249" s="7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/stypes="app*4007*20171024*" /stext=" 16:.+((SYSTEM_STATE.+slice.+state.+changed )|(ment ac)|(multiple cpu faults)|(system.+state.+changed )|(\[timeout)|(PRM\|1\|D)|(kpr)|(kdp)|(train st.+moving)|(\|lc)|(penalty))"</v>
      </c>
      <c r="AG249" s="182" t="str">
        <f>DetSubdiv(A249)</f>
        <v>Shuttle/Test</v>
      </c>
      <c r="AH249" s="78" t="str">
        <f t="shared" si="43"/>
        <v>"%USERPROFILE%\Documents\GitHub\eaglep3\Utilities\RefineRTDCRunTimes.py" --tripid 70-24 --locoid 4007 --swversion DE.1.0.9.0 --startMP 300:22176 --initTime 2017-10-24T10:42:47 --startdatetime 2017-10-24T10:49:50 --delay 70 --endMP 204:135 --enddatetime 2017-10-24T10:57:46 --enforcementcount 0 &gt;&gt;%USERPROFILE%\Documents\GitHub\eaglep3-reporting\EC\2017-10-24-refined-times.txt</v>
      </c>
      <c r="AI249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0.0135"},{"id":17,"name":"Train ID","value":"70-24"},{"id":16,"name":"Locomotive ID","value":"4007"},{"id":130,"name":"Impact","value":""},{"id":150,"name":"Time of Event (Mountain Time)","value":"10:57:46"},{"id":151,"name":"Denver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47"/>
      <c r="AL249" s="47"/>
      <c r="AM249" s="142" t="str">
        <f t="shared" si="45"/>
        <v>start /low /b %USERPROFILE%\Documents\GitHub\eaglep3\Utilities\DownloadLogsFromS3.py --loco 4007 --day 2017-10-24</v>
      </c>
      <c r="AN249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16:57:46"},{"id":29,"name":"Sharepoint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47"/>
        <v>https://d0f6bd738d7f1b3e5a7ca70fe4ff75f0.us-east-1.aws.found.io/app/kibana#/discover/Steve-Slow-Train-Analysis-(2080s-and-2083s)?_g=(refreshInterval:(display:Off,pause:!f,section:0,value:0),time:(from:'2017-10-24T09:42:47-0600',mode:absolute,to:'2017-10-24T11:57:46-0600'))&amp;_a=(columns:!('Message%20ID',Summary),filters:!(),index:'emp_*',interval:auto,query:(query_string:(analyze_wildcard:!t,query:'%22rtdc.l.rtdc.4007%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 s="32" t="s">
        <v>768</v>
      </c>
      <c r="B250" s="7">
        <v>4008</v>
      </c>
      <c r="C250" s="21" t="s">
        <v>194</v>
      </c>
      <c r="D250" s="21" t="s">
        <v>1009</v>
      </c>
      <c r="E250" s="13">
        <v>43032.482245370367</v>
      </c>
      <c r="F250" s="13">
        <v>43032.48636574074</v>
      </c>
      <c r="G250" s="7">
        <v>89</v>
      </c>
      <c r="H250" s="21" t="s">
        <v>1010</v>
      </c>
      <c r="I250" s="13">
        <v>43032.495057870372</v>
      </c>
      <c r="J250" s="7">
        <v>0</v>
      </c>
      <c r="K250" s="89" t="str">
        <f>IF(ISEVEN(B250),(B250-1)&amp;"/"&amp;B250,B250&amp;"/"&amp;(B250+1))</f>
        <v>4007/4008</v>
      </c>
      <c r="L250" s="185" t="str">
        <f>VLOOKUP(A250,'Trips&amp;Operators'!$C$1:$G$99911,5,FALSE)</f>
        <v>BROWN JACOB</v>
      </c>
      <c r="M250" s="6">
        <f>I250-F250</f>
        <v>8.6921296315267682E-3</v>
      </c>
      <c r="N250" s="7">
        <f>24*60*SUM($M250:$M250)</f>
        <v>12.516666669398546</v>
      </c>
      <c r="O250" s="7"/>
      <c r="P250" s="7"/>
      <c r="Q250" s="22"/>
      <c r="R250" s="174"/>
      <c r="S250" s="221">
        <f>1/IF(AG250="EC",12,1)*SUM(U250:U250)</f>
        <v>1</v>
      </c>
      <c r="T250" s="174" t="str">
        <f>IF(ISEVEN(LEFT(AD250,4)),"Southbound","NorthBound")</f>
        <v>NorthBound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16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2017-10-24T10:34:26-0600',mode:absolute,to:'2017-10-24T12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0" s="204" t="str">
        <f>IF(AA250&lt;VLOOKUP(AG250,Variables!$AC$3:$AD$8,2,FALSE),"Y","N")</f>
        <v>Y</v>
      </c>
      <c r="X250" s="204">
        <f>VALUE(LEFT(AD250,4))-VALUE(LEFT(AD249,4))</f>
        <v>1</v>
      </c>
      <c r="Y250" s="204">
        <f>RIGHT(D250,LEN(D250)-4)/10000</f>
        <v>4.48E-2</v>
      </c>
      <c r="Z250" s="204">
        <f>RIGHT(H250,LEN(H250)-4)/10000</f>
        <v>2.4220000000000002</v>
      </c>
      <c r="AA250" s="204">
        <f>ABS(Z250-Y250)</f>
        <v>2.3772000000000002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>VALUE(LEFT(A250,LEN(A250)-3))</f>
        <v>71</v>
      </c>
      <c r="AE250" s="77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 &amp; aws s3 cp s3://rtdc.mdm.uploadarchive.raw/RTDC4008/ "%USERPROFILE%\AppData\Local\Temp\OnboardLogs"\RTDC4008\2017-10-25 --exclude "*" --recursive --include "*20171025*" &amp; "%USERPROFILE%\Documents\GitHub\mrs-test-scripts\Headless Mode &amp; Sideloading\WalkAndUnGZ.bat" "%USERPROFILE%\AppData\Local\Temp\OnboardLogs"\RTDC4008\2017-10-25</v>
      </c>
      <c r="AF250" s="7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/stypes="app*4008*20171024*" /stext=" 17:.+((SYSTEM_STATE.+slice.+state.+changed )|(ment ac)|(multiple cpu faults)|(system.+state.+changed )|(\[timeout)|(PRM\|1\|D)|(kpr)|(kdp)|(train st.+moving)|(\|lc)|(penalty))"</v>
      </c>
      <c r="AG250" s="182" t="str">
        <f>DetSubdiv(A250)</f>
        <v>Shuttle/Test</v>
      </c>
      <c r="AH250" s="78" t="str">
        <f t="shared" si="43"/>
        <v>"%USERPROFILE%\Documents\GitHub\eaglep3\Utilities\RefineRTDCRunTimes.py" --tripid 71-24 --locoid 4008 --swversion DE.1.0.9.0 --startMP 204:448 --initTime 2017-10-24T11:34:26 --startdatetime 2017-10-24T11:40:22 --delay 89 --endMP 300:24220 --enddatetime 2017-10-24T11:52:53 --enforcementcount 0 &gt;&gt;%USERPROFILE%\Documents\GitHub\eaglep3-reporting\EC\2017-10-24-refined-times.txt</v>
      </c>
      <c r="AI250" s="96" t="str">
        <f t="shared" si="44"/>
        <v>echo {"issue":{"subject":"","project_id":79,"tracker_id":40,"status_id":1,"priority_id":2,"assigned_to_id":338,"start_date":"2017-10-24","description":"","custom_fields":[{"id":1,"name":"Subdivision","value":"Shuttle/Test"},{"id":4,"name":"Milepost","value":"2.422"},{"id":17,"name":"Train ID","value":"71-24"},{"id":16,"name":"Locomotive ID","value":"4008"},{"id":130,"name":"Impact","value":""},{"id":150,"name":"Time of Event (Mountain Time)","value":"11:52:53"},{"id":151,"name":"Denver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47"/>
      <c r="AL250" s="47"/>
      <c r="AM250" s="142" t="str">
        <f t="shared" si="45"/>
        <v>start /low /b %USERPROFILE%\Documents\GitHub\eaglep3\Utilities\DownloadLogsFromS3.py --loco 4008 --day 2017-10-24</v>
      </c>
      <c r="AN250" s="151" t="str">
        <f t="shared" si="46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17:52:53"},{"id":29,"name":"Sharepoint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47"/>
        <v>https://d0f6bd738d7f1b3e5a7ca70fe4ff75f0.us-east-1.aws.found.io/app/kibana#/discover/Steve-Slow-Train-Analysis-(2080s-and-2083s)?_g=(refreshInterval:(display:Off,pause:!f,section:0,value:0),time:(from:'2017-10-24T10:34:26-0600',mode:absolute,to:'2017-10-24T12:52:53-0600'))&amp;_a=(columns:!('Message%20ID',Summary),filters:!(),index:'emp_*',interval:auto,query:(query_string:(analyze_wildcard:!t,query:'%22rtdc.l.rtdc.4008%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 s="32" t="s">
        <v>667</v>
      </c>
      <c r="B251" s="7">
        <v>4032</v>
      </c>
      <c r="C251" s="21" t="s">
        <v>194</v>
      </c>
      <c r="D251" s="21" t="s">
        <v>1011</v>
      </c>
      <c r="E251" s="13">
        <v>43032.732824074075</v>
      </c>
      <c r="F251" s="13">
        <v>43032.736319444448</v>
      </c>
      <c r="G251" s="7">
        <v>210</v>
      </c>
      <c r="H251" s="21" t="s">
        <v>1012</v>
      </c>
      <c r="I251" s="13">
        <v>43032.736446759256</v>
      </c>
      <c r="J251" s="7">
        <v>0</v>
      </c>
      <c r="K251" s="89" t="str">
        <f>IF(ISEVEN(B251),(B251-1)&amp;"/"&amp;B251,B251&amp;"/"&amp;(B251+1))</f>
        <v>4031/4032</v>
      </c>
      <c r="L251" s="185" t="str">
        <f>VLOOKUP(A251,'Trips&amp;Operators'!$C$1:$G$99911,5,FALSE)</f>
        <v>NELSON ARIANE</v>
      </c>
      <c r="M251" s="6">
        <f>I251-F251</f>
        <v>1.2731480819638819E-4</v>
      </c>
      <c r="N251" s="7"/>
      <c r="O251" s="7"/>
      <c r="P251" s="7">
        <f>24*60*SUM($M251:$M251)</f>
        <v>0.18333332380279899</v>
      </c>
      <c r="Q251" s="22"/>
      <c r="R251" s="174" t="s">
        <v>1103</v>
      </c>
      <c r="S251" s="221">
        <f>1/IF(AG251="EC",12,1)*SUM(U251:U251)</f>
        <v>0</v>
      </c>
      <c r="T251" s="174" t="str">
        <f>IF(ISEVEN(LEFT(AD251,4)),"Southbound","NorthBound")</f>
        <v>NorthBound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216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2017-10-24T16:35:16-0600',mode:absolute,to:'2017-10-24T18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1" s="204" t="str">
        <f>IF(AA251&lt;VLOOKUP(AG251,Variables!$AC$3:$AD$8,2,FALSE),"Y","N")</f>
        <v>Y</v>
      </c>
      <c r="X251" s="204">
        <f>VALUE(LEFT(AD251,4))-VALUE(LEFT(AD250,4))</f>
        <v>4</v>
      </c>
      <c r="Y251" s="204">
        <f>RIGHT(D251,LEN(D251)-4)/10000</f>
        <v>0.14030000000000001</v>
      </c>
      <c r="Z251" s="204">
        <f>RIGHT(H251,LEN(H251)-4)/10000</f>
        <v>0.17510000000000001</v>
      </c>
      <c r="AA251" s="204">
        <f>ABS(Z251-Y251)</f>
        <v>3.4799999999999998E-2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>VALUE(LEFT(A251,LEN(A251)-3))</f>
        <v>75</v>
      </c>
      <c r="AE251" s="77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s3://rtdc.mdm.uploadarchive.raw/RTDC4032/ "%USERPROFILE%\AppData\Local\Temp\OnboardLogs"\RTDC4032\2017-10-24 --exclude "*" --recursive --include "*20171024*" &amp; "%USERPROFILE%\Documents\GitHub\mrs-test-scripts\Headless Mode &amp; Sideloading\WalkAndUnGZ.bat" "%USERPROFILE%\AppData\Local\Temp\OnboardLogs"\RTDC4032\2017-10-24 &amp; 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</v>
      </c>
      <c r="AF251" s="7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/stypes="app*4032*20171024*" /stext=" 23:.+((SYSTEM_STATE.+slice.+state.+changed )|(ment ac)|(multiple cpu faults)|(system.+state.+changed )|(\[timeout)|(PRM\|1\|D)|(kpr)|(kdp)|(train st.+moving)|(\|lc)|(penalty))"</v>
      </c>
      <c r="AG251" s="182" t="str">
        <f>DetSubdiv(A251)</f>
        <v>Shuttle/Test</v>
      </c>
      <c r="AH251" s="78" t="str">
        <f t="shared" si="43"/>
        <v>"%USERPROFILE%\Documents\GitHub\eaglep3\Utilities\RefineRTDCRunTimes.py" --tripid 75-24 --locoid 4032 --swversion DE.1.0.9.0 --startMP 204:1403 --initTime 2017-10-24T17:35:16 --startdatetime 2017-10-24T17:40:18 --delay 210 --endMP 204:1751 --enddatetime 2017-10-24T17:40:29 --enforcementcount 0 &gt;&gt;%USERPROFILE%\Documents\GitHub\eaglep3-reporting\EC\2017-10-24-refined-times.txt</v>
      </c>
      <c r="AI251" s="96" t="str">
        <f t="shared" si="44"/>
        <v>echo {"issue":{"subject":"Main 3 departure","project_id":79,"tracker_id":40,"status_id":1,"priority_id":2,"assigned_to_id":338,"start_date":"2017-10-24","description":"","custom_fields":[{"id":1,"name":"Subdivision","value":"Shuttle/Test"},{"id":4,"name":"Milepost","value":"0.1751"},{"id":17,"name":"Train ID","value":"75-24"},{"id":16,"name":"Locomotive ID","value":"4032"},{"id":130,"name":"Impact","value":""},{"id":150,"name":"Time of Event (Mountain Time)","value":"17:40:29"},{"id":151,"name":"Denver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1" s="47"/>
      <c r="AL251" s="47"/>
      <c r="AM251" s="142" t="str">
        <f t="shared" si="45"/>
        <v>start /low /b %USERPROFILE%\Documents\GitHub\eaglep3\Utilities\DownloadLogsFromS3.py --loco 4032 --day 2017-10-24</v>
      </c>
      <c r="AN251" s="151" t="str">
        <f t="shared" si="46"/>
        <v>echo {"issue":{"subject":"Main 3 departure","project_id":30,"tracker_id":4,"status_id":1,"priority_id":1,"assigned_to_id":10,"start_date":"2017-10-24","description":"","custom_fields":[{"id":30,"name":"Category","value":"Issue"},{"id":3,"name":"Functional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23:40:29"},{"id":29,"name":"Sharepoint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47"/>
        <v>https://d0f6bd738d7f1b3e5a7ca70fe4ff75f0.us-east-1.aws.found.io/app/kibana#/discover/Steve-Slow-Train-Analysis-(2080s-and-2083s)?_g=(refreshInterval:(display:Off,pause:!f,section:0,value:0),time:(from:'2017-10-24T16:35:16-0600',mode:absolute,to:'2017-10-24T18:40:29-0600'))&amp;_a=(columns:!('Message%20ID',Summary),filters:!(),index:'emp_*',interval:auto,query:(query_string:(analyze_wildcard:!t,query:'%22rtdc.l.rtdc.4032%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4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4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4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4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4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4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4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4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4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4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4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4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4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4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4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4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</sheetData>
  <autoFilter ref="A12:AG415">
    <sortState ref="A13:AG415">
      <sortCondition ref="AG13:AG251"/>
      <sortCondition ref="AD13:AD251"/>
    </sortState>
  </autoFilter>
  <sortState ref="A13:AN320">
    <sortCondition ref="AG13:AG320"/>
    <sortCondition ref="AD13:AD320"/>
  </sortState>
  <mergeCells count="1">
    <mergeCell ref="A11:P11"/>
  </mergeCells>
  <conditionalFormatting sqref="W11:W12 W421:X1048576 W13:X251">
    <cfRule type="cellIs" dxfId="14" priority="457" operator="equal">
      <formula>"Y"</formula>
    </cfRule>
  </conditionalFormatting>
  <conditionalFormatting sqref="X421:X1048576 X13:X251">
    <cfRule type="cellIs" dxfId="13" priority="440" operator="greaterThan">
      <formula>1</formula>
    </cfRule>
  </conditionalFormatting>
  <conditionalFormatting sqref="X421:X1048576 X12:X251">
    <cfRule type="cellIs" dxfId="12" priority="437" operator="equal">
      <formula>0</formula>
    </cfRule>
  </conditionalFormatting>
  <conditionalFormatting sqref="A13:S239 A242:S243 A244:Q244 S244 A240:Q241 S240:S241 A245:S251">
    <cfRule type="expression" dxfId="11" priority="431" stopIfTrue="1">
      <formula>$P13&gt;0</formula>
    </cfRule>
    <cfRule type="expression" dxfId="10" priority="432" stopIfTrue="1">
      <formula>$O13&gt;0</formula>
    </cfRule>
  </conditionalFormatting>
  <conditionalFormatting sqref="R241">
    <cfRule type="expression" dxfId="7" priority="460" stopIfTrue="1">
      <formula>$P244&gt;0</formula>
    </cfRule>
    <cfRule type="expression" dxfId="6" priority="461" stopIfTrue="1">
      <formula>$O244&gt;0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 A242:S243 A244:Q244 S244 A240:Q241 S240:S241 A245:S251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 A242:S243 A244:Q244 S244 A240:Q241 S240:S241 A245:S251</xm:sqref>
        </x14:conditionalFormatting>
        <x14:conditionalFormatting xmlns:xm="http://schemas.microsoft.com/office/excel/2006/main">
          <x14:cfRule type="expression" priority="463" stopIfTrue="1" id="{07B64F47-9FD1-48B1-84DC-90BBCF0B8697}">
            <xm:f>IF($AG244="EC",OR($N244&gt;Variables!$C$2,$N244&lt;Variables!$C$5),OR($N244&gt;Variables!$D$2,$N244&lt;Variables!$D$5))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R241</xm:sqref>
        </x14:conditionalFormatting>
        <x14:conditionalFormatting xmlns:xm="http://schemas.microsoft.com/office/excel/2006/main">
          <x14:cfRule type="expression" priority="467" stopIfTrue="1" id="{44578D0A-3CE8-4388-A6D0-8700858490EC}">
            <xm:f>IF($AG244="EC",OR($N244&gt;Variables!#REF!,$N244&lt;Variables!#REF!),OR($N244&gt;Variables!#REF!,$N244&lt;Variables!#REF!))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Values'!$C$2:$C$15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9" zoomScaleNormal="100" workbookViewId="0">
      <selection activeCell="P43" sqref="P43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32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- 2017-10-24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43032.341770833336</v>
      </c>
      <c r="B7" s="30" t="s">
        <v>457</v>
      </c>
      <c r="C7" s="30" t="s">
        <v>650</v>
      </c>
      <c r="D7" s="30" t="s">
        <v>49</v>
      </c>
      <c r="E7" s="30" t="s">
        <v>185</v>
      </c>
      <c r="F7" s="42">
        <v>0</v>
      </c>
      <c r="G7" s="42">
        <v>189</v>
      </c>
      <c r="H7" s="42">
        <v>33305</v>
      </c>
      <c r="I7" s="42">
        <v>33144</v>
      </c>
      <c r="J7" s="30" t="s">
        <v>186</v>
      </c>
      <c r="K7" s="42">
        <v>33257</v>
      </c>
      <c r="L7" s="131" t="s">
        <v>51</v>
      </c>
      <c r="M7" s="132">
        <f>CONVERT((I7-K7)/10000,"mi","ft")*IF(L7="Increasing Mileposts (1)",-1,1)</f>
        <v>-59.664000000000001</v>
      </c>
      <c r="N7" s="133" t="str">
        <f>VLOOKUP(C7,'Trips&amp;Operators'!$C$1:$G$99911,5,FALSE)</f>
        <v>ROCHA YAOTL</v>
      </c>
      <c r="O7" s="176" t="s">
        <v>178</v>
      </c>
      <c r="P7" s="134" t="s">
        <v>356</v>
      </c>
      <c r="Q7" s="30"/>
      <c r="R7" s="81" t="str">
        <f>VLOOKUP(C7,'Train Runs'!$A$13:$AE$10074,31,0)</f>
        <v>aws s3 cp s3://rtdc.mdm.uploadarchive.raw/RTDC4023/ "%USERPROFILE%\AppData\Local\Temp\OnboardLogs"\RTDC4023\2017-10-24 --exclude "*" --recursive --include "*20171024*" &amp; "%USERPROFILE%\Documents\GitHub\mrs-test-scripts\Headless Mode &amp; Sideloading\WalkAndUnGZ.bat" "%USERPROFILE%\AppData\Local\Temp\OnboardLogs"\RTDC4023\2017-10-24 &amp; aws s3 cp s3://rtdc.mdm.uploadarchive.raw/RTDC4023/ "%USERPROFILE%\AppData\Local\Temp\OnboardLogs"\RTDC4023\2017-10-25 --exclude "*" --recursive --include "*20171025*" &amp; "%USERPROFILE%\Documents\GitHub\mrs-test-scripts\Headless Mode &amp; Sideloading\WalkAndUnGZ.bat" "%USERPROFILE%\AppData\Local\Temp\OnboardLogs"\RTDC4023\2017-10-25</v>
      </c>
      <c r="S7" s="84" t="str">
        <f>VLOOKUP(C7,'Train Runs'!$A$13:$AE$10074,22,0)</f>
        <v>https://d0f6bd738d7f1b3e5a7ca70fe4ff75f0.us-east-1.aws.found.io/app/kibana#/discover/Steve-Slow-Train-Analysis-(2080s-and-2083s)?_g=(refreshInterval:(display:Off,pause:!f,section:0,value:0),time:(from:'2017-10-24T06:24:04-0600',mode:absolute,to:'2017-10-24T09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/stypes="*4023*201710241*" /stext=" 14:.+((SYSTEM_STATE.+slice.+state.+changed )|(ment ac)|(multiple cpu faults)|(system.+state.+changed )|(\[timeout)|(PRM\|1\|D)|(kpr)|(kdp)|(train st.+moving)|(\|lc)|(penalty))"</v>
      </c>
      <c r="U7" s="9" t="str">
        <f>MID(B7,13,4)</f>
        <v>4023</v>
      </c>
      <c r="V7" s="31">
        <f>A7-utc_offset/24</f>
        <v>43032.591770833336</v>
      </c>
      <c r="W7" s="45" t="str">
        <f>DetSubdiv(C7)</f>
        <v>EC</v>
      </c>
      <c r="X7" s="22">
        <f>VALUE(LEFT(C7,LEN(C7)-3))</f>
        <v>126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Arrival","project_id":79,"tracker_id":40,"status_id":1,"priority_id":2,"assigned_to_id":338,"start_date":"2017-10-24","description":"","custom_fields":[{"id":1,"name":"Subdivision","value":"EC"},{"id":4,"name":"Milepost","value":"3.3257"},{"id":17,"name":"Train ID","value":"126-24"},{"id":16,"name":"Locomotive ID","value":"4023"},{"id":130,"name":"Impact","value":""},{"id":150,"name":"Time of Event (Mountain Time)","value":"08:12:09"},{"id":151,"name":"Denver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/c/Users/stu/AppData/Local/Temp/OnboardLogs/RTDC4023 --include="*4023*201710241*"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"%USERPROFILE%\AppData\Local\Temp\OnboardLogs"\RTDC4023\*4023*201710241* &gt;&gt; 2017-10-24-SliceDisagreementCheck.txt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4023 --day 2017-10-24</v>
      </c>
    </row>
    <row r="8" spans="1:32" s="1" customFormat="1" x14ac:dyDescent="0.3">
      <c r="A8" s="31">
        <v>43032.358206018522</v>
      </c>
      <c r="B8" s="30" t="s">
        <v>652</v>
      </c>
      <c r="C8" s="30" t="s">
        <v>653</v>
      </c>
      <c r="D8" s="30" t="s">
        <v>95</v>
      </c>
      <c r="E8" s="30" t="s">
        <v>185</v>
      </c>
      <c r="F8" s="42">
        <v>280</v>
      </c>
      <c r="G8" s="42">
        <v>341</v>
      </c>
      <c r="H8" s="42">
        <v>63211</v>
      </c>
      <c r="I8" s="42">
        <v>62320</v>
      </c>
      <c r="J8" s="30" t="s">
        <v>186</v>
      </c>
      <c r="K8" s="42">
        <v>63309</v>
      </c>
      <c r="L8" s="131" t="s">
        <v>51</v>
      </c>
      <c r="M8" s="132">
        <f>CONVERT((I8-K8)/10000,"mi","ft")*IF(L8="Increasing Mileposts (1)",-1,1)</f>
        <v>-522.19200000000001</v>
      </c>
      <c r="N8" s="133" t="str">
        <f>VLOOKUP(C8,'Trips&amp;Operators'!$C$1:$G$99911,5,FALSE)</f>
        <v>BONDS REYNALDO</v>
      </c>
      <c r="O8" s="176" t="s">
        <v>178</v>
      </c>
      <c r="P8" s="134" t="s">
        <v>356</v>
      </c>
      <c r="Q8" s="30"/>
      <c r="R8" s="81" t="str">
        <f>VLOOKUP(C8,'Train Runs'!$A$13:$AE$10074,31,0)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S8" s="84" t="str">
        <f>VLOOKUP(C8,'Train Runs'!$A$13:$AE$10074,22,0)</f>
        <v>https://d0f6bd738d7f1b3e5a7ca70fe4ff75f0.us-east-1.aws.found.io/app/kibana#/discover/Steve-Slow-Train-Analysis-(2080s-and-2083s)?_g=(refreshInterval:(display:Off,pause:!f,section:0,value:0),time:(from:'2017-10-24T07:07:24-0600',mode:absolute,to:'2017-10-24T09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/stypes="*4027*201710241*" /stext=" 14:.+((SYSTEM_STATE.+slice.+state.+changed )|(ment ac)|(multiple cpu faults)|(system.+state.+changed )|(\[timeout)|(PRM\|1\|D)|(kpr)|(kdp)|(train st.+moving)|(\|lc)|(penalty))"</v>
      </c>
      <c r="U8" s="9" t="str">
        <f>MID(B8,13,4)</f>
        <v>4027</v>
      </c>
      <c r="V8" s="31">
        <f>A8-utc_offset/24</f>
        <v>43032.608206018522</v>
      </c>
      <c r="W8" s="45" t="str">
        <f>DetSubdiv(C8)</f>
        <v>EC</v>
      </c>
      <c r="X8" s="22">
        <f>VALUE(LEFT(C8,LEN(C8)-3))</f>
        <v>130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Arrival","project_id":79,"tracker_id":40,"status_id":1,"priority_id":2,"assigned_to_id":338,"start_date":"2017-10-24","description":"","custom_fields":[{"id":1,"name":"Subdivision","value":"EC"},{"id":4,"name":"Milepost","value":"6.3309"},{"id":17,"name":"Train ID","value":"130-24"},{"id":16,"name":"Locomotive ID","value":"4027"},{"id":130,"name":"Impact","value":""},{"id":150,"name":"Time of Event (Mountain Time)","value":"08:35:49"},{"id":151,"name":"Denver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/c/Users/stu/AppData/Local/Temp/OnboardLogs/RTDC4027 --include="*4027*201710241*"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"%USERPROFILE%\AppData\Local\Temp\OnboardLogs"\RTDC4027\*4027*201710241* &gt;&gt; 2017-10-24-SliceDisagreementCheck.txt</v>
      </c>
      <c r="AE8" s="145" t="str">
        <f t="shared" ref="AE8:AE42" si="1">"start /low /b "&amp;dls3logs&amp;" --loco "&amp;U8&amp;" --day "&amp;TEXT(V8,"YYYY-MM-DD")</f>
        <v>start /low /b %USERPROFILE%\Documents\GitHub\eaglep3\Utilities\DownloadLogsFromS3.py --loco 4027 --day 2017-10-24</v>
      </c>
    </row>
    <row r="9" spans="1:32" s="1" customFormat="1" x14ac:dyDescent="0.3">
      <c r="A9" s="31">
        <v>43032.1799537037</v>
      </c>
      <c r="B9" s="30" t="s">
        <v>540</v>
      </c>
      <c r="C9" s="30" t="s">
        <v>642</v>
      </c>
      <c r="D9" s="30" t="s">
        <v>49</v>
      </c>
      <c r="E9" s="30" t="s">
        <v>192</v>
      </c>
      <c r="F9" s="42">
        <v>400</v>
      </c>
      <c r="G9" s="42">
        <v>523</v>
      </c>
      <c r="H9" s="42">
        <v>17264</v>
      </c>
      <c r="I9" s="42">
        <v>17989</v>
      </c>
      <c r="J9" s="30" t="s">
        <v>193</v>
      </c>
      <c r="K9" s="42">
        <v>17867</v>
      </c>
      <c r="L9" s="131" t="s">
        <v>50</v>
      </c>
      <c r="M9" s="132">
        <f>CONVERT((I9-K9)/10000,"mi","ft")*IF(L9="Increasing Mileposts (1)",-1,1)</f>
        <v>-64.415999999999997</v>
      </c>
      <c r="N9" s="133" t="str">
        <f>VLOOKUP(C9,'Trips&amp;Operators'!$C$1:$G$99911,5,FALSE)</f>
        <v>THOMPSON LESTER</v>
      </c>
      <c r="O9" s="176" t="s">
        <v>178</v>
      </c>
      <c r="P9" s="134"/>
      <c r="Q9" s="30"/>
      <c r="R9" s="81" t="str">
        <f>VLOOKUP(C9,'Train Runs'!$A$13:$AE$10074,31,0)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S9" s="84" t="str">
        <f>VLOOKUP(C9,'Train Runs'!$A$13:$AE$10074,22,0)</f>
        <v>https://d0f6bd738d7f1b3e5a7ca70fe4ff75f0.us-east-1.aws.found.io/app/kibana#/discover/Steve-Slow-Train-Analysis-(2080s-and-2083s)?_g=(refreshInterval:(display:Off,pause:!f,section:0,value:0),time:(from:'2017-10-24T03:06:35-0600',mode:absolute,to:'2017-10-24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/stypes="*4026*201710241*" /stext=" 10:.+((SYSTEM_STATE.+slice.+state.+changed )|(ment ac)|(multiple cpu faults)|(system.+state.+changed )|(\[timeout)|(PRM\|1\|D)|(kpr)|(kdp)|(train st.+moving)|(\|lc)|(penalty))"</v>
      </c>
      <c r="U9" s="9" t="str">
        <f>MID(B9,13,4)</f>
        <v>4026</v>
      </c>
      <c r="V9" s="31">
        <f>A9-utc_offset/24</f>
        <v>43032.4299537037</v>
      </c>
      <c r="W9" s="45" t="str">
        <f>DetSubdiv(C9)</f>
        <v>EC</v>
      </c>
      <c r="X9" s="22">
        <f>VALUE(LEFT(C9,LEN(C9)-3))</f>
        <v>105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{"issue":{"subject":"","project_id":79,"tracker_id":40,"status_id":1,"priority_id":2,"assigned_to_id":338,"start_date":"2017-10-24","description":"","custom_fields":[{"id":1,"name":"Subdivision","value":"EC"},{"id":4,"name":"Milepost","value":"1.7867"},{"id":17,"name":"Train ID","value":"105-24"},{"id":16,"name":"Locomotive ID","value":"4026"},{"id":130,"name":"Impact","value":""},{"id":150,"name":"Time of Event (Mountain Time)","value":"04:19:08"},{"id":151,"name":"Denver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/c/Users/stu/AppData/Local/Temp/OnboardLogs/RTDC4026 --include="*4026*201710241*"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"%USERPROFILE%\AppData\Local\Temp\OnboardLogs"\RTDC4026\*4026*201710241* &gt;&gt; 2017-10-24-SliceDisagreementCheck.txt</v>
      </c>
      <c r="AE9" s="145" t="str">
        <f t="shared" si="1"/>
        <v>start /low /b %USERPROFILE%\Documents\GitHub\eaglep3\Utilities\DownloadLogsFromS3.py --loco 4026 --day 2017-10-24</v>
      </c>
    </row>
    <row r="10" spans="1:32" s="1" customFormat="1" x14ac:dyDescent="0.3">
      <c r="A10" s="31">
        <v>43032.8046412037</v>
      </c>
      <c r="B10" s="30" t="s">
        <v>537</v>
      </c>
      <c r="C10" s="30" t="s">
        <v>670</v>
      </c>
      <c r="D10" s="30" t="s">
        <v>95</v>
      </c>
      <c r="E10" s="30" t="s">
        <v>192</v>
      </c>
      <c r="F10" s="42">
        <v>700</v>
      </c>
      <c r="G10" s="42">
        <v>750</v>
      </c>
      <c r="H10" s="42">
        <v>180269</v>
      </c>
      <c r="I10" s="42">
        <v>177070</v>
      </c>
      <c r="J10" s="30" t="s">
        <v>193</v>
      </c>
      <c r="K10" s="42">
        <v>183829</v>
      </c>
      <c r="L10" s="131" t="s">
        <v>51</v>
      </c>
      <c r="M10" s="132">
        <f>CONVERT((I10-K10)/10000,"mi","ft")*IF(L10="Increasing Mileposts (1)",-1,1)</f>
        <v>-3568.752</v>
      </c>
      <c r="N10" s="133" t="str">
        <f>VLOOKUP(C10,'Trips&amp;Operators'!$C$1:$G$99911,5,FALSE)</f>
        <v>MAGEE KENYA</v>
      </c>
      <c r="O10" s="176" t="s">
        <v>178</v>
      </c>
      <c r="P10" s="134"/>
      <c r="Q10" s="30"/>
      <c r="R10" s="81" t="str">
        <f>VLOOKUP(C10,'Train Runs'!$A$13:$AE$10074,31,0)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S10" s="84" t="str">
        <f>VLOOKUP(C10,'Train Runs'!$A$13:$AE$10074,22,0)</f>
        <v>https://d0f6bd738d7f1b3e5a7ca70fe4ff75f0.us-east-1.aws.found.io/app/kibana#/discover/Steve-Slow-Train-Analysis-(2080s-and-2083s)?_g=(refreshInterval:(display:Off,pause:!f,section:0,value:0),time:(from:'2017-10-24T18:09:50-0600',mode:absolute,to:'2017-10-24T20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/stypes="*4025*201710250*" /stext=" 01:.+((SYSTEM_STATE.+slice.+state.+changed )|(ment ac)|(multiple cpu faults)|(system.+state.+changed )|(\[timeout)|(PRM\|1\|D)|(kpr)|(kdp)|(train st.+moving)|(\|lc)|(penalty))"</v>
      </c>
      <c r="U10" s="9" t="str">
        <f>MID(B10,13,4)</f>
        <v>4025</v>
      </c>
      <c r="V10" s="31">
        <f>A10-utc_offset/24</f>
        <v>43033.0546412037</v>
      </c>
      <c r="W10" s="45" t="str">
        <f>DetSubdiv(C10)</f>
        <v>EC</v>
      </c>
      <c r="X10" s="22">
        <f>VALUE(LEFT(C10,LEN(C10)-3))</f>
        <v>218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{"issue":{"subject":"","project_id":79,"tracker_id":40,"status_id":1,"priority_id":2,"assigned_to_id":338,"start_date":"2017-10-24","description":"","custom_fields":[{"id":1,"name":"Subdivision","value":"EC"},{"id":4,"name":"Milepost","value":"18.3829"},{"id":17,"name":"Train ID","value":"218-24"},{"id":16,"name":"Locomotive ID","value":"4025"},{"id":130,"name":"Impact","value":""},{"id":150,"name":"Time of Event (Mountain Time)","value":"19:18:41"},{"id":151,"name":"Denver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/c/Users/stu/AppData/Local/Temp/OnboardLogs/RTDC4025 --include="*4025*201710250*"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"%USERPROFILE%\AppData\Local\Temp\OnboardLogs"\RTDC4025\*4025*201710250* &gt;&gt; 2017-10-24-SliceDisagreementCheck.txt</v>
      </c>
      <c r="AE10" s="145" t="str">
        <f t="shared" si="1"/>
        <v>start /low /b %USERPROFILE%\Documents\GitHub\eaglep3\Utilities\DownloadLogsFromS3.py --loco 4025 --day 2017-10-25</v>
      </c>
    </row>
    <row r="11" spans="1:32" s="1" customFormat="1" x14ac:dyDescent="0.3">
      <c r="A11" s="31">
        <v>43032.97115740741</v>
      </c>
      <c r="B11" s="30" t="s">
        <v>537</v>
      </c>
      <c r="C11" s="30" t="s">
        <v>673</v>
      </c>
      <c r="D11" s="30" t="s">
        <v>49</v>
      </c>
      <c r="E11" s="30" t="s">
        <v>402</v>
      </c>
      <c r="F11" s="42">
        <v>0</v>
      </c>
      <c r="G11" s="42">
        <v>536</v>
      </c>
      <c r="H11" s="42">
        <v>82061</v>
      </c>
      <c r="I11" s="42">
        <v>80246</v>
      </c>
      <c r="J11" s="30" t="s">
        <v>403</v>
      </c>
      <c r="K11" s="42">
        <v>81751</v>
      </c>
      <c r="L11" s="131" t="s">
        <v>51</v>
      </c>
      <c r="M11" s="132">
        <f>CONVERT((I11-K11)/10000,"mi","ft")*IF(L11="Increasing Mileposts (1)",-1,1)</f>
        <v>-794.64</v>
      </c>
      <c r="N11" s="133" t="str">
        <f>VLOOKUP(C11,'Trips&amp;Operators'!$C$1:$G$99911,5,FALSE)</f>
        <v>MAGEE KENYA</v>
      </c>
      <c r="O11" s="176" t="s">
        <v>375</v>
      </c>
      <c r="P11" s="134" t="s">
        <v>408</v>
      </c>
      <c r="Q11" s="30"/>
      <c r="R11" s="81" t="str">
        <f>VLOOKUP(C11,'Train Runs'!$A$13:$AE$10074,31,0)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S11" s="84" t="str">
        <f>VLOOKUP(C11,'Train Runs'!$A$13:$AE$10074,22,0)</f>
        <v>https://d0f6bd738d7f1b3e5a7ca70fe4ff75f0.us-east-1.aws.found.io/app/kibana#/discover/Steve-Slow-Train-Analysis-(2080s-and-2083s)?_g=(refreshInterval:(display:Off,pause:!f,section:0,value:0),time:(from:'2017-10-24T21:50:07-0600',mode:absolute,to:'2017-10-25T00:39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/stypes="*4025*201710250*" /stext=" 05:.+((SYSTEM_STATE.+slice.+state.+changed )|(ment ac)|(multiple cpu faults)|(system.+state.+changed )|(\[timeout)|(PRM\|1\|D)|(kpr)|(kdp)|(train st.+moving)|(\|lc)|(penalty))"</v>
      </c>
      <c r="U11" s="9" t="str">
        <f>MID(B11,13,4)</f>
        <v>4025</v>
      </c>
      <c r="V11" s="31">
        <f>A11-utc_offset/24</f>
        <v>43033.22115740741</v>
      </c>
      <c r="W11" s="45" t="str">
        <f>DetSubdiv(C11)</f>
        <v>EC</v>
      </c>
      <c r="X11" s="22">
        <f>VALUE(LEFT(C11,LEN(C11)-3))</f>
        <v>234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drop","project_id":79,"tracker_id":40,"status_id":1,"priority_id":2,"assigned_to_id":338,"start_date":"2017-10-24","description":"","custom_fields":[{"id":1,"name":"Subdivision","value":"EC"},{"id":4,"name":"Milepost","value":"8.1751"},{"id":17,"name":"Train ID","value":"234-24"},{"id":16,"name":"Locomotive ID","value":"4025"},{"id":130,"name":"Impact","value":""},{"id":150,"name":"Time of Event (Mountain Time)","value":"23:18:28"},{"id":151,"name":"Denver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/c/Users/stu/AppData/Local/Temp/OnboardLogs/RTDC4025 --include="*4025*201710250*"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"%USERPROFILE%\AppData\Local\Temp\OnboardLogs"\RTDC4025\*4025*201710250* &gt;&gt; 2017-10-24-SliceDisagreementCheck.txt</v>
      </c>
      <c r="AE11" s="145" t="str">
        <f t="shared" si="1"/>
        <v>start /low /b %USERPROFILE%\Documents\GitHub\eaglep3\Utilities\DownloadLogsFromS3.py --loco 4025 --day 2017-10-25</v>
      </c>
    </row>
    <row r="12" spans="1:32" x14ac:dyDescent="0.3">
      <c r="A12" s="31">
        <v>43032.754791666666</v>
      </c>
      <c r="B12" s="30" t="s">
        <v>412</v>
      </c>
      <c r="C12" s="30" t="s">
        <v>668</v>
      </c>
      <c r="D12" s="30" t="s">
        <v>49</v>
      </c>
      <c r="E12" s="30" t="s">
        <v>434</v>
      </c>
      <c r="F12" s="42">
        <v>0</v>
      </c>
      <c r="G12" s="42">
        <v>408</v>
      </c>
      <c r="H12" s="42">
        <v>57881</v>
      </c>
      <c r="I12" s="42">
        <v>56441</v>
      </c>
      <c r="J12" s="30" t="s">
        <v>432</v>
      </c>
      <c r="K12" s="42">
        <v>57801</v>
      </c>
      <c r="L12" s="131" t="s">
        <v>51</v>
      </c>
      <c r="M12" s="132">
        <f>CONVERT((I12-K12)/10000,"mi","ft")*IF(L12="Increasing Mileposts (1)",-1,1)</f>
        <v>-718.08</v>
      </c>
      <c r="N12" s="133" t="str">
        <f>VLOOKUP(C12,'Trips&amp;Operators'!$C$1:$G$99911,5,FALSE)</f>
        <v>STEWART MICHAEL</v>
      </c>
      <c r="O12" s="176" t="s">
        <v>375</v>
      </c>
      <c r="P12" s="134" t="s">
        <v>408</v>
      </c>
      <c r="Q12" s="30"/>
      <c r="R12" s="81" t="str">
        <f>VLOOKUP(C12,'Train Runs'!$A$13:$AE$10074,31,0)</f>
        <v>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 &amp; aws s3 cp s3://rtdc.mdm.uploadarchive.raw/RTDC4059/ "%USERPROFILE%\AppData\Local\Temp\OnboardLogs"\RTDC4059\2017-10-25 --exclude "*" --recursive --include "*20171025*" &amp; "%USERPROFILE%\Documents\GitHub\mrs-test-scripts\Headless Mode &amp; Sideloading\WalkAndUnGZ.bat" "%USERPROFILE%\AppData\Local\Temp\OnboardLogs"\RTDC4059\2017-10-25</v>
      </c>
      <c r="S12" s="84" t="str">
        <f>VLOOKUP(C12,'Train Runs'!$A$13:$AE$10074,22,0)</f>
        <v>https://d0f6bd738d7f1b3e5a7ca70fe4ff75f0.us-east-1.aws.found.io/app/kibana#/discover/Steve-Slow-Train-Analysis-(2080s-and-2083s)?_g=(refreshInterval:(display:Off,pause:!f,section:0,value:0),time:(from:'2017-10-24T16:35:42-0600',mode:absolute,to:'2017-10-24T19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/stypes="*4059*201710250*" /stext=" 00:.+((SYSTEM_STATE.+slice.+state.+changed )|(ment ac)|(multiple cpu faults)|(system.+state.+changed )|(\[timeout)|(PRM\|1\|D)|(kpr)|(kdp)|(train st.+moving)|(\|lc)|(penalty))"</v>
      </c>
      <c r="U12" s="9" t="str">
        <f>MID(B12,13,4)</f>
        <v>4059</v>
      </c>
      <c r="V12" s="31">
        <f>A12-utc_offset/24</f>
        <v>43033.004791666666</v>
      </c>
      <c r="W12" s="45" t="str">
        <f>DetSubdiv(C12)</f>
        <v>EC</v>
      </c>
      <c r="X12" s="22">
        <f>VALUE(LEFT(C12,LEN(C12)-3))</f>
        <v>206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drop","project_id":79,"tracker_id":40,"status_id":1,"priority_id":2,"assigned_to_id":338,"start_date":"2017-10-24","description":"","custom_fields":[{"id":1,"name":"Subdivision","value":"EC"},{"id":4,"name":"Milepost","value":"5.7801"},{"id":17,"name":"Train ID","value":"206-24"},{"id":16,"name":"Locomotive ID","value":"4059"},{"id":130,"name":"Impact","value":""},{"id":150,"name":"Time of Event (Mountain Time)","value":"18:06:54"},{"id":151,"name":"Denver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/c/Users/stu/AppData/Local/Temp/OnboardLogs/RTDC4059 --include="*4059*201710250*"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"%USERPROFILE%\AppData\Local\Temp\OnboardLogs"\RTDC4059\*4059*201710250* &gt;&gt; 2017-10-24-SliceDisagreementCheck.txt</v>
      </c>
      <c r="AE12" s="145" t="str">
        <f t="shared" si="1"/>
        <v>start /low /b %USERPROFILE%\Documents\GitHub\eaglep3\Utilities\DownloadLogsFromS3.py --loco 4059 --day 2017-10-25</v>
      </c>
      <c r="AF12" s="1"/>
    </row>
    <row r="13" spans="1:32" x14ac:dyDescent="0.3">
      <c r="A13" s="31">
        <v>43032.368009259262</v>
      </c>
      <c r="B13" s="30" t="s">
        <v>652</v>
      </c>
      <c r="C13" s="30" t="s">
        <v>653</v>
      </c>
      <c r="D13" s="30" t="s">
        <v>49</v>
      </c>
      <c r="E13" s="30" t="s">
        <v>179</v>
      </c>
      <c r="F13" s="42">
        <v>0</v>
      </c>
      <c r="G13" s="42">
        <v>70</v>
      </c>
      <c r="H13" s="42">
        <v>265</v>
      </c>
      <c r="I13" s="42">
        <v>185</v>
      </c>
      <c r="J13" s="30" t="s">
        <v>180</v>
      </c>
      <c r="K13" s="42">
        <v>1</v>
      </c>
      <c r="L13" s="131" t="s">
        <v>51</v>
      </c>
      <c r="M13" s="132">
        <f>CONVERT((I13-K13)/10000,"mi","ft")*IF(L13="Increasing Mileposts (1)",-1,1)</f>
        <v>97.152000000000001</v>
      </c>
      <c r="N13" s="133" t="str">
        <f>VLOOKUP(C13,'Trips&amp;Operators'!$C$1:$G$99911,5,FALSE)</f>
        <v>BONDS REYNALDO</v>
      </c>
      <c r="O13" s="176" t="s">
        <v>178</v>
      </c>
      <c r="P13" s="134"/>
      <c r="Q13" s="30"/>
      <c r="R13" s="81" t="str">
        <f>VLOOKUP(C13,'Train Runs'!$A$13:$AE$10074,31,0)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S13" s="84" t="str">
        <f>VLOOKUP(C13,'Train Runs'!$A$13:$AE$10074,22,0)</f>
        <v>https://d0f6bd738d7f1b3e5a7ca70fe4ff75f0.us-east-1.aws.found.io/app/kibana#/discover/Steve-Slow-Train-Analysis-(2080s-and-2083s)?_g=(refreshInterval:(display:Off,pause:!f,section:0,value:0),time:(from:'2017-10-24T07:07:24-0600',mode:absolute,to:'2017-10-24T09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/stypes="*4027*201710241*" /stext=" 14:.+((SYSTEM_STATE.+slice.+state.+changed )|(ment ac)|(multiple cpu faults)|(system.+state.+changed )|(\[timeout)|(PRM\|1\|D)|(kpr)|(kdp)|(train st.+moving)|(\|lc)|(penalty))"</v>
      </c>
      <c r="U13" s="9" t="str">
        <f>MID(B13,13,4)</f>
        <v>4027</v>
      </c>
      <c r="V13" s="31">
        <f>A13-utc_offset/24</f>
        <v>43032.618009259262</v>
      </c>
      <c r="W13" s="45" t="str">
        <f>DetSubdiv(C13)</f>
        <v>EC</v>
      </c>
      <c r="X13" s="22">
        <f>VALUE(LEFT(C13,LEN(C13)-3))</f>
        <v>130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{"issue":{"subject":"","project_id":79,"tracker_id":40,"status_id":1,"priority_id":2,"assigned_to_id":338,"start_date":"2017-10-24","description":"","custom_fields":[{"id":1,"name":"Subdivision","value":"EC"},{"id":4,"name":"Milepost","value":"0.0001"},{"id":17,"name":"Train ID","value":"130-24"},{"id":16,"name":"Locomotive ID","value":"4027"},{"id":130,"name":"Impact","value":""},{"id":150,"name":"Time of Event (Mountain Time)","value":"08:49:56"},{"id":151,"name":"Denver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/c/Users/stu/AppData/Local/Temp/OnboardLogs/RTDC4027 --include="*4027*201710241*"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"%USERPROFILE%\AppData\Local\Temp\OnboardLogs"\RTDC4027\*4027*201710241* &gt;&gt; 2017-10-24-SliceDisagreementCheck.txt</v>
      </c>
      <c r="AE13" s="145" t="str">
        <f t="shared" si="1"/>
        <v>start /low /b %USERPROFILE%\Documents\GitHub\eaglep3\Utilities\DownloadLogsFromS3.py --loco 4027 --day 2017-10-24</v>
      </c>
      <c r="AF13" s="1"/>
    </row>
    <row r="14" spans="1:32" x14ac:dyDescent="0.3">
      <c r="A14" s="31">
        <v>43032.390509259261</v>
      </c>
      <c r="B14" s="30" t="s">
        <v>537</v>
      </c>
      <c r="C14" s="30" t="s">
        <v>656</v>
      </c>
      <c r="D14" s="30" t="s">
        <v>49</v>
      </c>
      <c r="E14" s="30" t="s">
        <v>179</v>
      </c>
      <c r="F14" s="42">
        <v>0</v>
      </c>
      <c r="G14" s="42">
        <v>51</v>
      </c>
      <c r="H14" s="42">
        <v>156</v>
      </c>
      <c r="I14" s="42">
        <v>109</v>
      </c>
      <c r="J14" s="30" t="s">
        <v>180</v>
      </c>
      <c r="K14" s="42">
        <v>1</v>
      </c>
      <c r="L14" s="131" t="s">
        <v>51</v>
      </c>
      <c r="M14" s="132">
        <f>CONVERT((I14-K14)/10000,"mi","ft")*IF(L14="Increasing Mileposts (1)",-1,1)</f>
        <v>57.024000000000001</v>
      </c>
      <c r="N14" s="133" t="str">
        <f>VLOOKUP(C14,'Trips&amp;Operators'!$C$1:$G$99911,5,FALSE)</f>
        <v>THOMPSON LESTER</v>
      </c>
      <c r="O14" s="176" t="s">
        <v>178</v>
      </c>
      <c r="P14" s="134"/>
      <c r="Q14" s="30"/>
      <c r="R14" s="81" t="str">
        <f>VLOOKUP(C14,'Train Runs'!$A$13:$AE$10074,31,0)</f>
        <v>aws s3 cp s3://rtdc.mdm.uploadarchive.raw/RTDC4025/ "%USERPROFILE%\AppData\Local\Temp\OnboardLogs"\RTDC4025\2017-10-24 --exclude "*" --recursive --include "*20171024*" &amp; "%USERPROFILE%\Documents\GitHub\mrs-test-scripts\Headless Mode &amp; Sideloading\WalkAndUnGZ.bat" "%USERPROFILE%\AppData\Local\Temp\OnboardLogs"\RTDC4025\2017-10-24 &amp; aws s3 cp s3://rtdc.mdm.uploadarchive.raw/RTDC4025/ "%USERPROFILE%\AppData\Local\Temp\OnboardLogs"\RTDC4025\2017-10-25 --exclude "*" --recursive --include "*20171025*" &amp; "%USERPROFILE%\Documents\GitHub\mrs-test-scripts\Headless Mode &amp; Sideloading\WalkAndUnGZ.bat" "%USERPROFILE%\AppData\Local\Temp\OnboardLogs"\RTDC4025\2017-10-25</v>
      </c>
      <c r="S14" s="84" t="str">
        <f>VLOOKUP(C14,'Train Runs'!$A$13:$AE$10074,22,0)</f>
        <v>https://d0f6bd738d7f1b3e5a7ca70fe4ff75f0.us-east-1.aws.found.io/app/kibana#/discover/Steve-Slow-Train-Analysis-(2080s-and-2083s)?_g=(refreshInterval:(display:Off,pause:!f,section:0,value:0),time:(from:'2017-10-24T07:38:14-0600',mode:absolute,to:'2017-10-24T10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/stypes="*4025*201710241*" /stext=" 15:.+((SYSTEM_STATE.+slice.+state.+changed )|(ment ac)|(multiple cpu faults)|(system.+state.+changed )|(\[timeout)|(PRM\|1\|D)|(kpr)|(kdp)|(train st.+moving)|(\|lc)|(penalty))"</v>
      </c>
      <c r="U14" s="9" t="str">
        <f>MID(B14,13,4)</f>
        <v>4025</v>
      </c>
      <c r="V14" s="31">
        <f>A14-utc_offset/24</f>
        <v>43032.640509259261</v>
      </c>
      <c r="W14" s="45" t="str">
        <f>DetSubdiv(C14)</f>
        <v>EC</v>
      </c>
      <c r="X14" s="22">
        <f>VALUE(LEFT(C14,LEN(C14)-3))</f>
        <v>134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{"issue":{"subject":"","project_id":79,"tracker_id":40,"status_id":1,"priority_id":2,"assigned_to_id":338,"start_date":"2017-10-24","description":"","custom_fields":[{"id":1,"name":"Subdivision","value":"EC"},{"id":4,"name":"Milepost","value":"0.0001"},{"id":17,"name":"Train ID","value":"134-24"},{"id":16,"name":"Locomotive ID","value":"4025"},{"id":130,"name":"Impact","value":""},{"id":150,"name":"Time of Event (Mountain Time)","value":"09:22:20"},{"id":151,"name":"Denver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/c/Users/stu/AppData/Local/Temp/OnboardLogs/RTDC4025 --include="*4025*201710241*"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"%USERPROFILE%\AppData\Local\Temp\OnboardLogs"\RTDC4025\*4025*201710241* &gt;&gt; 2017-10-24-SliceDisagreementCheck.txt</v>
      </c>
      <c r="AE14" s="145" t="str">
        <f t="shared" si="1"/>
        <v>start /low /b %USERPROFILE%\Documents\GitHub\eaglep3\Utilities\DownloadLogsFromS3.py --loco 4025 --day 2017-10-24</v>
      </c>
      <c r="AF14" s="1"/>
    </row>
    <row r="15" spans="1:32" x14ac:dyDescent="0.3">
      <c r="A15" s="31">
        <v>43032.588680555556</v>
      </c>
      <c r="B15" s="30" t="s">
        <v>652</v>
      </c>
      <c r="C15" s="30" t="s">
        <v>665</v>
      </c>
      <c r="D15" s="30" t="s">
        <v>49</v>
      </c>
      <c r="E15" s="30" t="s">
        <v>179</v>
      </c>
      <c r="F15" s="42">
        <v>0</v>
      </c>
      <c r="G15" s="42">
        <v>40</v>
      </c>
      <c r="H15" s="42">
        <v>160</v>
      </c>
      <c r="I15" s="42">
        <v>136</v>
      </c>
      <c r="J15" s="30" t="s">
        <v>180</v>
      </c>
      <c r="K15" s="42">
        <v>1</v>
      </c>
      <c r="L15" s="131" t="s">
        <v>51</v>
      </c>
      <c r="M15" s="132">
        <f>CONVERT((I15-K15)/10000,"mi","ft")*IF(L15="Increasing Mileposts (1)",-1,1)</f>
        <v>71.28</v>
      </c>
      <c r="N15" s="133" t="str">
        <f>VLOOKUP(C15,'Trips&amp;Operators'!$C$1:$G$99911,5,FALSE)</f>
        <v>DAVIS MICHAEL</v>
      </c>
      <c r="O15" s="176" t="s">
        <v>178</v>
      </c>
      <c r="P15" s="134"/>
      <c r="Q15" s="30"/>
      <c r="R15" s="81" t="str">
        <f>VLOOKUP(C15,'Train Runs'!$A$13:$AE$10074,31,0)</f>
        <v>aws s3 cp s3://rtdc.mdm.uploadarchive.raw/RTDC4027/ "%USERPROFILE%\AppData\Local\Temp\OnboardLogs"\RTDC4027\2017-10-24 --exclude "*" --recursive --include "*20171024*" &amp; "%USERPROFILE%\Documents\GitHub\mrs-test-scripts\Headless Mode &amp; Sideloading\WalkAndUnGZ.bat" "%USERPROFILE%\AppData\Local\Temp\OnboardLogs"\RTDC4027\2017-10-24 &amp; aws s3 cp s3://rtdc.mdm.uploadarchive.raw/RTDC4027/ "%USERPROFILE%\AppData\Local\Temp\OnboardLogs"\RTDC4027\2017-10-25 --exclude "*" --recursive --include "*20171025*" &amp; "%USERPROFILE%\Documents\GitHub\mrs-test-scripts\Headless Mode &amp; Sideloading\WalkAndUnGZ.bat" "%USERPROFILE%\AppData\Local\Temp\OnboardLogs"\RTDC4027\2017-10-25</v>
      </c>
      <c r="S15" s="84" t="str">
        <f>VLOOKUP(C15,'Train Runs'!$A$13:$AE$10074,22,0)</f>
        <v>https://d0f6bd738d7f1b3e5a7ca70fe4ff75f0.us-east-1.aws.found.io/app/kibana#/discover/Steve-Slow-Train-Analysis-(2080s-and-2083s)?_g=(refreshInterval:(display:Off,pause:!f,section:0,value:0),time:(from:'2017-10-24T12:22:37-0600',mode:absolute,to:'2017-10-24T15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/stypes="*4027*201710242*" /stext=" 20:.+((SYSTEM_STATE.+slice.+state.+changed )|(ment ac)|(multiple cpu faults)|(system.+state.+changed )|(\[timeout)|(PRM\|1\|D)|(kpr)|(kdp)|(train st.+moving)|(\|lc)|(penalty))"</v>
      </c>
      <c r="U15" s="9" t="str">
        <f>MID(B15,13,4)</f>
        <v>4027</v>
      </c>
      <c r="V15" s="31">
        <f>A15-utc_offset/24</f>
        <v>43032.838680555556</v>
      </c>
      <c r="W15" s="45" t="str">
        <f>DetSubdiv(C15)</f>
        <v>EC</v>
      </c>
      <c r="X15" s="22">
        <f>VALUE(LEFT(C15,LEN(C15)-3))</f>
        <v>172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{"issue":{"subject":"","project_id":79,"tracker_id":40,"status_id":1,"priority_id":2,"assigned_to_id":338,"start_date":"2017-10-24","description":"","custom_fields":[{"id":1,"name":"Subdivision","value":"EC"},{"id":4,"name":"Milepost","value":"0.0001"},{"id":17,"name":"Train ID","value":"172-24"},{"id":16,"name":"Locomotive ID","value":"4027"},{"id":130,"name":"Impact","value":""},{"id":150,"name":"Time of Event (Mountain Time)","value":"14:07:42"},{"id":151,"name":"Denver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/c/Users/stu/AppData/Local/Temp/OnboardLogs/RTDC4027 --include="*4027*201710242*"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"%USERPROFILE%\AppData\Local\Temp\OnboardLogs"\RTDC4027\*4027*201710242* &gt;&gt; 2017-10-24-SliceDisagreementCheck.txt</v>
      </c>
      <c r="AE15" s="145" t="str">
        <f t="shared" si="1"/>
        <v>start /low /b %USERPROFILE%\Documents\GitHub\eaglep3\Utilities\DownloadLogsFromS3.py --loco 4027 --day 2017-10-24</v>
      </c>
      <c r="AF15" s="1"/>
    </row>
    <row r="16" spans="1:32" x14ac:dyDescent="0.3">
      <c r="A16" s="31">
        <v>43032.181562500002</v>
      </c>
      <c r="B16" s="30" t="s">
        <v>538</v>
      </c>
      <c r="C16" s="30" t="s">
        <v>643</v>
      </c>
      <c r="D16" s="30" t="s">
        <v>49</v>
      </c>
      <c r="E16" s="30" t="s">
        <v>179</v>
      </c>
      <c r="F16" s="42">
        <v>0</v>
      </c>
      <c r="G16" s="42">
        <v>65</v>
      </c>
      <c r="H16" s="42">
        <v>233244</v>
      </c>
      <c r="I16" s="42">
        <v>233308</v>
      </c>
      <c r="J16" s="30" t="s">
        <v>180</v>
      </c>
      <c r="K16" s="42">
        <v>233491</v>
      </c>
      <c r="L16" s="131" t="s">
        <v>50</v>
      </c>
      <c r="M16" s="132">
        <f>CONVERT((I16-K16)/10000,"mi","ft")*IF(L16="Increasing Mileposts (1)",-1,1)</f>
        <v>96.623999999999995</v>
      </c>
      <c r="N16" s="133" t="str">
        <f>VLOOKUP(C16,'Trips&amp;Operators'!$C$1:$G$99911,5,FALSE)</f>
        <v>BONDS REYNALDO</v>
      </c>
      <c r="O16" s="176" t="s">
        <v>178</v>
      </c>
      <c r="P16" s="134"/>
      <c r="Q16" s="30"/>
      <c r="R16" s="81" t="str">
        <f>VLOOKUP(C16,'Train Runs'!$A$13:$AE$10074,31,0)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S16" s="84" t="str">
        <f>VLOOKUP(C16,'Train Runs'!$A$13:$AE$10074,22,0)</f>
        <v>https://d0f6bd738d7f1b3e5a7ca70fe4ff75f0.us-east-1.aws.found.io/app/kibana#/discover/Steve-Slow-Train-Analysis-(2080s-and-2083s)?_g=(refreshInterval:(display:Off,pause:!f,section:0,value:0),time:(from:'2017-10-24T02:39:30-0600',mode:absolute,to:'2017-10-24T05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/stypes="*4028*201710241*" /stext=" 10:.+((SYSTEM_STATE.+slice.+state.+changed )|(ment ac)|(multiple cpu faults)|(system.+state.+changed )|(\[timeout)|(PRM\|1\|D)|(kpr)|(kdp)|(train st.+moving)|(\|lc)|(penalty))"</v>
      </c>
      <c r="U16" s="9" t="str">
        <f>MID(B16,13,4)</f>
        <v>4028</v>
      </c>
      <c r="V16" s="31">
        <f>A16-utc_offset/24</f>
        <v>43032.431562500002</v>
      </c>
      <c r="W16" s="45" t="str">
        <f>DetSubdiv(C16)</f>
        <v>EC</v>
      </c>
      <c r="X16" s="22">
        <f>VALUE(LEFT(C16,LEN(C16)-3))</f>
        <v>103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ID","value":"103-24"},{"id":16,"name":"Locomotive ID","value":"4028"},{"id":130,"name":"Impact","value":""},{"id":150,"name":"Time of Event (Mountain Time)","value":"04:21:27"},{"id":151,"name":"Denver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/c/Users/stu/AppData/Local/Temp/OnboardLogs/RTDC4028 --include="*4028*201710241*"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"%USERPROFILE%\AppData\Local\Temp\OnboardLogs"\RTDC4028\*4028*201710241* &gt;&gt; 2017-10-24-SliceDisagreementCheck.txt</v>
      </c>
      <c r="AE16" s="145" t="str">
        <f t="shared" si="1"/>
        <v>start /low /b %USERPROFILE%\Documents\GitHub\eaglep3\Utilities\DownloadLogsFromS3.py --loco 4028 --day 2017-10-24</v>
      </c>
      <c r="AF16" s="1"/>
    </row>
    <row r="17" spans="1:32" x14ac:dyDescent="0.3">
      <c r="A17" s="31">
        <v>43032.254641203705</v>
      </c>
      <c r="B17" s="30" t="s">
        <v>538</v>
      </c>
      <c r="C17" s="30" t="s">
        <v>645</v>
      </c>
      <c r="D17" s="30" t="s">
        <v>49</v>
      </c>
      <c r="E17" s="30" t="s">
        <v>179</v>
      </c>
      <c r="F17" s="42">
        <v>0</v>
      </c>
      <c r="G17" s="42">
        <v>51</v>
      </c>
      <c r="H17" s="42">
        <v>233285</v>
      </c>
      <c r="I17" s="42">
        <v>233334</v>
      </c>
      <c r="J17" s="30" t="s">
        <v>180</v>
      </c>
      <c r="K17" s="42">
        <v>233491</v>
      </c>
      <c r="L17" s="131" t="s">
        <v>50</v>
      </c>
      <c r="M17" s="132">
        <f>CONVERT((I17-K17)/10000,"mi","ft")*IF(L17="Increasing Mileposts (1)",-1,1)</f>
        <v>82.895999999999987</v>
      </c>
      <c r="N17" s="133" t="str">
        <f>VLOOKUP(C17,'Trips&amp;Operators'!$C$1:$G$99911,5,FALSE)</f>
        <v>BONDS REYNALDO</v>
      </c>
      <c r="O17" s="176" t="s">
        <v>178</v>
      </c>
      <c r="P17" s="134"/>
      <c r="Q17" s="30"/>
      <c r="R17" s="81" t="str">
        <f>VLOOKUP(C17,'Train Runs'!$A$13:$AE$10074,31,0)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S17" s="84" t="str">
        <f>VLOOKUP(C17,'Train Runs'!$A$13:$AE$10074,22,0)</f>
        <v>https://d0f6bd738d7f1b3e5a7ca70fe4ff75f0.us-east-1.aws.found.io/app/kibana#/discover/Steve-Slow-Train-Analysis-(2080s-and-2083s)?_g=(refreshInterval:(display:Off,pause:!f,section:0,value:0),time:(from:'2017-10-24T04:22:44-0600',mode:absolute,to:'2017-10-24T07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/stypes="*4028*201710241*" /stext=" 12:.+((SYSTEM_STATE.+slice.+state.+changed )|(ment ac)|(multiple cpu faults)|(system.+state.+changed )|(\[timeout)|(PRM\|1\|D)|(kpr)|(kdp)|(train st.+moving)|(\|lc)|(penalty))"</v>
      </c>
      <c r="U17" s="9" t="str">
        <f>MID(B17,13,4)</f>
        <v>4028</v>
      </c>
      <c r="V17" s="31">
        <f>A17-utc_offset/24</f>
        <v>43032.504641203705</v>
      </c>
      <c r="W17" s="45" t="str">
        <f>DetSubdiv(C17)</f>
        <v>EC</v>
      </c>
      <c r="X17" s="22">
        <f>VALUE(LEFT(C17,LEN(C17)-3))</f>
        <v>115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ID","value":"115-24"},{"id":16,"name":"Locomotive ID","value":"4028"},{"id":130,"name":"Impact","value":""},{"id":150,"name":"Time of Event (Mountain Time)","value":"06:06:41"},{"id":151,"name":"Denver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/c/Users/stu/AppData/Local/Temp/OnboardLogs/RTDC4028 --include="*4028*201710241*"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"%USERPROFILE%\AppData\Local\Temp\OnboardLogs"\RTDC4028\*4028*201710241* &gt;&gt; 2017-10-24-SliceDisagreementCheck.txt</v>
      </c>
      <c r="AE17" s="145" t="str">
        <f t="shared" si="1"/>
        <v>start /low /b %USERPROFILE%\Documents\GitHub\eaglep3\Utilities\DownloadLogsFromS3.py --loco 4028 --day 2017-10-24</v>
      </c>
      <c r="AF17" s="1"/>
    </row>
    <row r="18" spans="1:32" x14ac:dyDescent="0.3">
      <c r="A18" s="31">
        <v>43032.27721064815</v>
      </c>
      <c r="B18" s="30" t="s">
        <v>540</v>
      </c>
      <c r="C18" s="30" t="s">
        <v>646</v>
      </c>
      <c r="D18" s="30" t="s">
        <v>49</v>
      </c>
      <c r="E18" s="30" t="s">
        <v>179</v>
      </c>
      <c r="F18" s="42">
        <v>0</v>
      </c>
      <c r="G18" s="42">
        <v>165</v>
      </c>
      <c r="H18" s="42">
        <v>232741</v>
      </c>
      <c r="I18" s="42">
        <v>232959</v>
      </c>
      <c r="J18" s="30" t="s">
        <v>180</v>
      </c>
      <c r="K18" s="42">
        <v>233491</v>
      </c>
      <c r="L18" s="131" t="s">
        <v>50</v>
      </c>
      <c r="M18" s="132">
        <f>CONVERT((I18-K18)/10000,"mi","ft")*IF(L18="Increasing Mileposts (1)",-1,1)</f>
        <v>280.89600000000002</v>
      </c>
      <c r="N18" s="133" t="str">
        <f>VLOOKUP(C18,'Trips&amp;Operators'!$C$1:$G$99911,5,FALSE)</f>
        <v>THOMPSON LESTER</v>
      </c>
      <c r="O18" s="176" t="s">
        <v>178</v>
      </c>
      <c r="P18" s="134"/>
      <c r="Q18" s="30"/>
      <c r="R18" s="81" t="str">
        <f>VLOOKUP(C18,'Train Runs'!$A$13:$AE$10074,31,0)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S18" s="84" t="str">
        <f>VLOOKUP(C18,'Train Runs'!$A$13:$AE$10074,22,0)</f>
        <v>https://d0f6bd738d7f1b3e5a7ca70fe4ff75f0.us-east-1.aws.found.io/app/kibana#/discover/Steve-Slow-Train-Analysis-(2080s-and-2083s)?_g=(refreshInterval:(display:Off,pause:!f,section:0,value:0),time:(from:'2017-10-24T04:57:33-0600',mode:absolute,to:'2017-10-24T07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/stypes="*4026*201710241*" /stext=" 12:.+((SYSTEM_STATE.+slice.+state.+changed )|(ment ac)|(multiple cpu faults)|(system.+state.+changed )|(\[timeout)|(PRM\|1\|D)|(kpr)|(kdp)|(train st.+moving)|(\|lc)|(penalty))"</v>
      </c>
      <c r="U18" s="9" t="str">
        <f>MID(B18,13,4)</f>
        <v>4026</v>
      </c>
      <c r="V18" s="31">
        <f>A18-utc_offset/24</f>
        <v>43032.52721064815</v>
      </c>
      <c r="W18" s="45" t="str">
        <f>DetSubdiv(C18)</f>
        <v>EC</v>
      </c>
      <c r="X18" s="22">
        <f>VALUE(LEFT(C18,LEN(C18)-3))</f>
        <v>119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ID","value":"119-24"},{"id":16,"name":"Locomotive ID","value":"4026"},{"id":130,"name":"Impact","value":""},{"id":150,"name":"Time of Event (Mountain Time)","value":"06:39:11"},{"id":151,"name":"Denver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/c/Users/stu/AppData/Local/Temp/OnboardLogs/RTDC4026 --include="*4026*201710241*"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"%USERPROFILE%\AppData\Local\Temp\OnboardLogs"\RTDC4026\*4026*201710241* &gt;&gt; 2017-10-24-SliceDisagreementCheck.txt</v>
      </c>
      <c r="AE18" s="145" t="str">
        <f t="shared" si="1"/>
        <v>start /low /b %USERPROFILE%\Documents\GitHub\eaglep3\Utilities\DownloadLogsFromS3.py --loco 4026 --day 2017-10-24</v>
      </c>
      <c r="AF18" s="1"/>
    </row>
    <row r="19" spans="1:32" x14ac:dyDescent="0.3">
      <c r="A19" s="31">
        <v>43032.326944444445</v>
      </c>
      <c r="B19" s="30" t="s">
        <v>538</v>
      </c>
      <c r="C19" s="30" t="s">
        <v>649</v>
      </c>
      <c r="D19" s="30" t="s">
        <v>49</v>
      </c>
      <c r="E19" s="30" t="s">
        <v>179</v>
      </c>
      <c r="F19" s="42">
        <v>0</v>
      </c>
      <c r="G19" s="42">
        <v>52</v>
      </c>
      <c r="H19" s="42">
        <v>233311</v>
      </c>
      <c r="I19" s="42">
        <v>233345</v>
      </c>
      <c r="J19" s="30" t="s">
        <v>180</v>
      </c>
      <c r="K19" s="42">
        <v>233491</v>
      </c>
      <c r="L19" s="131" t="s">
        <v>50</v>
      </c>
      <c r="M19" s="132">
        <f>CONVERT((I19-K19)/10000,"mi","ft")*IF(L19="Increasing Mileposts (1)",-1,1)</f>
        <v>77.087999999999994</v>
      </c>
      <c r="N19" s="133" t="str">
        <f>VLOOKUP(C19,'Trips&amp;Operators'!$C$1:$G$99911,5,FALSE)</f>
        <v>BONDS REYNALDO</v>
      </c>
      <c r="O19" s="176" t="s">
        <v>178</v>
      </c>
      <c r="P19" s="134"/>
      <c r="Q19" s="30"/>
      <c r="R19" s="81" t="str">
        <f>VLOOKUP(C19,'Train Runs'!$A$13:$AE$10074,31,0)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S19" s="84" t="str">
        <f>VLOOKUP(C19,'Train Runs'!$A$13:$AE$10074,22,0)</f>
        <v>https://d0f6bd738d7f1b3e5a7ca70fe4ff75f0.us-east-1.aws.found.io/app/kibana#/discover/Steve-Slow-Train-Analysis-(2080s-and-2083s)?_g=(refreshInterval:(display:Off,pause:!f,section:0,value:0),time:(from:'2017-10-24T06:11:11-0600',mode:absolute,to:'2017-10-24T08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/stypes="*4028*201710241*" /stext=" 13:.+((SYSTEM_STATE.+slice.+state.+changed )|(ment ac)|(multiple cpu faults)|(system.+state.+changed )|(\[timeout)|(PRM\|1\|D)|(kpr)|(kdp)|(train st.+moving)|(\|lc)|(penalty))"</v>
      </c>
      <c r="U19" s="9" t="str">
        <f>MID(B19,13,4)</f>
        <v>4028</v>
      </c>
      <c r="V19" s="31">
        <f>A19-utc_offset/24</f>
        <v>43032.576944444445</v>
      </c>
      <c r="W19" s="45" t="str">
        <f>DetSubdiv(C19)</f>
        <v>EC</v>
      </c>
      <c r="X19" s="22">
        <f>VALUE(LEFT(C19,LEN(C19)-3))</f>
        <v>129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ID","value":"129-24"},{"id":16,"name":"Locomotive ID","value":"4028"},{"id":130,"name":"Impact","value":""},{"id":150,"name":"Time of Event (Mountain Time)","value":"07:50:48"},{"id":151,"name":"Denver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/c/Users/stu/AppData/Local/Temp/OnboardLogs/RTDC4028 --include="*4028*201710241*"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"%USERPROFILE%\AppData\Local\Temp\OnboardLogs"\RTDC4028\*4028*201710241* &gt;&gt; 2017-10-24-SliceDisagreementCheck.txt</v>
      </c>
      <c r="AE19" s="145" t="str">
        <f t="shared" si="1"/>
        <v>start /low /b %USERPROFILE%\Documents\GitHub\eaglep3\Utilities\DownloadLogsFromS3.py --loco 4028 --day 2017-10-24</v>
      </c>
      <c r="AF19" s="1"/>
    </row>
    <row r="20" spans="1:32" x14ac:dyDescent="0.3">
      <c r="A20" s="31">
        <v>43032.400451388887</v>
      </c>
      <c r="B20" s="30" t="s">
        <v>538</v>
      </c>
      <c r="C20" s="30" t="s">
        <v>657</v>
      </c>
      <c r="D20" s="30" t="s">
        <v>49</v>
      </c>
      <c r="E20" s="30" t="s">
        <v>179</v>
      </c>
      <c r="F20" s="42">
        <v>0</v>
      </c>
      <c r="G20" s="42">
        <v>60</v>
      </c>
      <c r="H20" s="42">
        <v>233249</v>
      </c>
      <c r="I20" s="42">
        <v>233297</v>
      </c>
      <c r="J20" s="30" t="s">
        <v>180</v>
      </c>
      <c r="K20" s="42">
        <v>233491</v>
      </c>
      <c r="L20" s="131" t="s">
        <v>50</v>
      </c>
      <c r="M20" s="132">
        <f>CONVERT((I20-K20)/10000,"mi","ft")*IF(L20="Increasing Mileposts (1)",-1,1)</f>
        <v>102.432</v>
      </c>
      <c r="N20" s="133" t="str">
        <f>VLOOKUP(C20,'Trips&amp;Operators'!$C$1:$G$99911,5,FALSE)</f>
        <v>BONDS REYNALDO</v>
      </c>
      <c r="O20" s="176" t="s">
        <v>178</v>
      </c>
      <c r="P20" s="134"/>
      <c r="Q20" s="30"/>
      <c r="R20" s="81" t="str">
        <f>VLOOKUP(C20,'Train Runs'!$A$13:$AE$10074,31,0)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S20" s="84" t="str">
        <f>VLOOKUP(C20,'Train Runs'!$A$13:$AE$10074,22,0)</f>
        <v>https://d0f6bd738d7f1b3e5a7ca70fe4ff75f0.us-east-1.aws.found.io/app/kibana#/discover/Steve-Slow-Train-Analysis-(2080s-and-2083s)?_g=(refreshInterval:(display:Off,pause:!f,section:0,value:0),time:(from:'2017-10-24T07:53:23-0600',mode:absolute,to:'2017-10-24T10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/stypes="*4028*201710241*" /stext=" 15:.+((SYSTEM_STATE.+slice.+state.+changed )|(ment ac)|(multiple cpu faults)|(system.+state.+changed )|(\[timeout)|(PRM\|1\|D)|(kpr)|(kdp)|(train st.+moving)|(\|lc)|(penalty))"</v>
      </c>
      <c r="U20" s="9" t="str">
        <f>MID(B20,13,4)</f>
        <v>4028</v>
      </c>
      <c r="V20" s="31">
        <f>A20-utc_offset/24</f>
        <v>43032.650451388887</v>
      </c>
      <c r="W20" s="45" t="str">
        <f>DetSubdiv(C20)</f>
        <v>EC</v>
      </c>
      <c r="X20" s="22">
        <f>VALUE(LEFT(C20,LEN(C20)-3))</f>
        <v>143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ID","value":"143-24"},{"id":16,"name":"Locomotive ID","value":"4028"},{"id":130,"name":"Impact","value":""},{"id":150,"name":"Time of Event (Mountain Time)","value":"09:36:39"},{"id":151,"name":"Denver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/c/Users/stu/AppData/Local/Temp/OnboardLogs/RTDC4028 --include="*4028*201710241*"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"%USERPROFILE%\AppData\Local\Temp\OnboardLogs"\RTDC4028\*4028*201710241* &gt;&gt; 2017-10-24-SliceDisagreementCheck.txt</v>
      </c>
      <c r="AE20" s="145" t="str">
        <f t="shared" si="1"/>
        <v>start /low /b %USERPROFILE%\Documents\GitHub\eaglep3\Utilities\DownloadLogsFromS3.py --loco 4028 --day 2017-10-24</v>
      </c>
      <c r="AF20" s="1"/>
    </row>
    <row r="21" spans="1:32" x14ac:dyDescent="0.3">
      <c r="A21" s="31">
        <v>43032.421678240738</v>
      </c>
      <c r="B21" s="30" t="s">
        <v>540</v>
      </c>
      <c r="C21" s="30" t="s">
        <v>659</v>
      </c>
      <c r="D21" s="30" t="s">
        <v>49</v>
      </c>
      <c r="E21" s="30" t="s">
        <v>179</v>
      </c>
      <c r="F21" s="42">
        <v>0</v>
      </c>
      <c r="G21" s="42">
        <v>108</v>
      </c>
      <c r="H21" s="42">
        <v>233013</v>
      </c>
      <c r="I21" s="42">
        <v>233162</v>
      </c>
      <c r="J21" s="30" t="s">
        <v>180</v>
      </c>
      <c r="K21" s="42">
        <v>233491</v>
      </c>
      <c r="L21" s="131" t="s">
        <v>50</v>
      </c>
      <c r="M21" s="132">
        <f>CONVERT((I21-K21)/10000,"mi","ft")*IF(L21="Increasing Mileposts (1)",-1,1)</f>
        <v>173.71199999999999</v>
      </c>
      <c r="N21" s="133" t="str">
        <f>VLOOKUP(C21,'Trips&amp;Operators'!$C$1:$G$99911,5,FALSE)</f>
        <v>THOMPSON LESTER</v>
      </c>
      <c r="O21" s="176" t="s">
        <v>178</v>
      </c>
      <c r="P21" s="134"/>
      <c r="Q21" s="30"/>
      <c r="R21" s="81" t="str">
        <f>VLOOKUP(C21,'Train Runs'!$A$13:$AE$10074,31,0)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S21" s="84" t="str">
        <f>VLOOKUP(C21,'Train Runs'!$A$13:$AE$10074,22,0)</f>
        <v>https://d0f6bd738d7f1b3e5a7ca70fe4ff75f0.us-east-1.aws.found.io/app/kibana#/discover/Steve-Slow-Train-Analysis-(2080s-and-2083s)?_g=(refreshInterval:(display:Off,pause:!f,section:0,value:0),time:(from:'2017-10-24T08:26:46-0600',mode:absolute,to:'2017-10-24T11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/stypes="*4026*201710241*" /stext=" 16:.+((SYSTEM_STATE.+slice.+state.+changed )|(ment ac)|(multiple cpu faults)|(system.+state.+changed )|(\[timeout)|(PRM\|1\|D)|(kpr)|(kdp)|(train st.+moving)|(\|lc)|(penalty))"</v>
      </c>
      <c r="U21" s="9" t="str">
        <f>MID(B21,13,4)</f>
        <v>4026</v>
      </c>
      <c r="V21" s="31">
        <f>A21-utc_offset/24</f>
        <v>43032.671678240738</v>
      </c>
      <c r="W21" s="45" t="str">
        <f>DetSubdiv(C21)</f>
        <v>EC</v>
      </c>
      <c r="X21" s="22">
        <f>VALUE(LEFT(C21,LEN(C21)-3))</f>
        <v>147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ID","value":"147-24"},{"id":16,"name":"Locomotive ID","value":"4026"},{"id":130,"name":"Impact","value":""},{"id":150,"name":"Time of Event (Mountain Time)","value":"10:07:13"},{"id":151,"name":"Denver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/c/Users/stu/AppData/Local/Temp/OnboardLogs/RTDC4026 --include="*4026*201710241*"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"%USERPROFILE%\AppData\Local\Temp\OnboardLogs"\RTDC4026\*4026*201710241* &gt;&gt; 2017-10-24-SliceDisagreementCheck.txt</v>
      </c>
      <c r="AE21" s="145" t="str">
        <f t="shared" si="1"/>
        <v>start /low /b %USERPROFILE%\Documents\GitHub\eaglep3\Utilities\DownloadLogsFromS3.py --loco 4026 --day 2017-10-24</v>
      </c>
      <c r="AF21" s="1"/>
    </row>
    <row r="22" spans="1:32" x14ac:dyDescent="0.3">
      <c r="A22" s="31">
        <v>43032.422129629631</v>
      </c>
      <c r="B22" s="30" t="s">
        <v>540</v>
      </c>
      <c r="C22" s="30" t="s">
        <v>659</v>
      </c>
      <c r="D22" s="30" t="s">
        <v>49</v>
      </c>
      <c r="E22" s="30" t="s">
        <v>179</v>
      </c>
      <c r="F22" s="42">
        <v>0</v>
      </c>
      <c r="G22" s="42">
        <v>39</v>
      </c>
      <c r="H22" s="42">
        <v>233274</v>
      </c>
      <c r="I22" s="42">
        <v>233310</v>
      </c>
      <c r="J22" s="30" t="s">
        <v>180</v>
      </c>
      <c r="K22" s="42">
        <v>233491</v>
      </c>
      <c r="L22" s="131" t="s">
        <v>50</v>
      </c>
      <c r="M22" s="132">
        <f>CONVERT((I22-K22)/10000,"mi","ft")*IF(L22="Increasing Mileposts (1)",-1,1)</f>
        <v>95.567999999999998</v>
      </c>
      <c r="N22" s="133" t="str">
        <f>VLOOKUP(C22,'Trips&amp;Operators'!$C$1:$G$99911,5,FALSE)</f>
        <v>THOMPSON LESTER</v>
      </c>
      <c r="O22" s="176" t="s">
        <v>178</v>
      </c>
      <c r="P22" s="134"/>
      <c r="Q22" s="30"/>
      <c r="R22" s="81" t="str">
        <f>VLOOKUP(C22,'Train Runs'!$A$13:$AE$10074,31,0)</f>
        <v>aws s3 cp s3://rtdc.mdm.uploadarchive.raw/RTDC4026/ "%USERPROFILE%\AppData\Local\Temp\OnboardLogs"\RTDC4026\2017-10-24 --exclude "*" --recursive --include "*20171024*" &amp; "%USERPROFILE%\Documents\GitHub\mrs-test-scripts\Headless Mode &amp; Sideloading\WalkAndUnGZ.bat" "%USERPROFILE%\AppData\Local\Temp\OnboardLogs"\RTDC4026\2017-10-24 &amp; aws s3 cp s3://rtdc.mdm.uploadarchive.raw/RTDC4026/ "%USERPROFILE%\AppData\Local\Temp\OnboardLogs"\RTDC4026\2017-10-25 --exclude "*" --recursive --include "*20171025*" &amp; "%USERPROFILE%\Documents\GitHub\mrs-test-scripts\Headless Mode &amp; Sideloading\WalkAndUnGZ.bat" "%USERPROFILE%\AppData\Local\Temp\OnboardLogs"\RTDC4026\2017-10-25</v>
      </c>
      <c r="S22" s="84" t="str">
        <f>VLOOKUP(C22,'Train Runs'!$A$13:$AE$10074,22,0)</f>
        <v>https://d0f6bd738d7f1b3e5a7ca70fe4ff75f0.us-east-1.aws.found.io/app/kibana#/discover/Steve-Slow-Train-Analysis-(2080s-and-2083s)?_g=(refreshInterval:(display:Off,pause:!f,section:0,value:0),time:(from:'2017-10-24T08:26:46-0600',mode:absolute,to:'2017-10-24T11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/stypes="*4026*201710241*" /stext=" 16:.+((SYSTEM_STATE.+slice.+state.+changed )|(ment ac)|(multiple cpu faults)|(system.+state.+changed )|(\[timeout)|(PRM\|1\|D)|(kpr)|(kdp)|(train st.+moving)|(\|lc)|(penalty))"</v>
      </c>
      <c r="U22" s="9" t="str">
        <f>MID(B22,13,4)</f>
        <v>4026</v>
      </c>
      <c r="V22" s="31">
        <f>A22-utc_offset/24</f>
        <v>43032.672129629631</v>
      </c>
      <c r="W22" s="45" t="str">
        <f>DetSubdiv(C22)</f>
        <v>EC</v>
      </c>
      <c r="X22" s="22">
        <f>VALUE(LEFT(C22,LEN(C22)-3))</f>
        <v>147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ID","value":"147-24"},{"id":16,"name":"Locomotive ID","value":"4026"},{"id":130,"name":"Impact","value":""},{"id":150,"name":"Time of Event (Mountain Time)","value":"10:07:52"},{"id":151,"name":"Denver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/c/Users/stu/AppData/Local/Temp/OnboardLogs/RTDC4026 --include="*4026*201710241*"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"%USERPROFILE%\AppData\Local\Temp\OnboardLogs"\RTDC4026\*4026*201710241* &gt;&gt; 2017-10-24-SliceDisagreementCheck.txt</v>
      </c>
      <c r="AE22" s="145" t="str">
        <f t="shared" si="1"/>
        <v>start /low /b %USERPROFILE%\Documents\GitHub\eaglep3\Utilities\DownloadLogsFromS3.py --loco 4026 --day 2017-10-24</v>
      </c>
      <c r="AF22" s="1"/>
    </row>
    <row r="23" spans="1:32" x14ac:dyDescent="0.3">
      <c r="A23" s="31">
        <v>43032.462245370371</v>
      </c>
      <c r="B23" s="30" t="s">
        <v>455</v>
      </c>
      <c r="C23" s="30" t="s">
        <v>661</v>
      </c>
      <c r="D23" s="30" t="s">
        <v>49</v>
      </c>
      <c r="E23" s="30" t="s">
        <v>179</v>
      </c>
      <c r="F23" s="42">
        <v>0</v>
      </c>
      <c r="G23" s="42">
        <v>45</v>
      </c>
      <c r="H23" s="42">
        <v>233308</v>
      </c>
      <c r="I23" s="42">
        <v>233351</v>
      </c>
      <c r="J23" s="30" t="s">
        <v>180</v>
      </c>
      <c r="K23" s="42">
        <v>233491</v>
      </c>
      <c r="L23" s="131" t="s">
        <v>50</v>
      </c>
      <c r="M23" s="132">
        <f>CONVERT((I23-K23)/10000,"mi","ft")*IF(L23="Increasing Mileposts (1)",-1,1)</f>
        <v>73.92</v>
      </c>
      <c r="N23" s="133" t="str">
        <f>VLOOKUP(C23,'Trips&amp;Operators'!$C$1:$G$99911,5,FALSE)</f>
        <v>YANAI IAN</v>
      </c>
      <c r="O23" s="176" t="s">
        <v>178</v>
      </c>
      <c r="P23" s="134"/>
      <c r="Q23" s="30"/>
      <c r="R23" s="81" t="str">
        <f>VLOOKUP(C23,'Train Runs'!$A$13:$AE$10074,31,0)</f>
        <v>aws s3 cp s3://rtdc.mdm.uploadarchive.raw/RTDC4058/ "%USERPROFILE%\AppData\Local\Temp\OnboardLogs"\RTDC4058\2017-10-24 --exclude "*" --recursive --include "*20171024*" &amp; "%USERPROFILE%\Documents\GitHub\mrs-test-scripts\Headless Mode &amp; Sideloading\WalkAndUnGZ.bat" "%USERPROFILE%\AppData\Local\Temp\OnboardLogs"\RTDC4058\2017-10-24 &amp; aws s3 cp s3://rtdc.mdm.uploadarchive.raw/RTDC4058/ "%USERPROFILE%\AppData\Local\Temp\OnboardLogs"\RTDC4058\2017-10-25 --exclude "*" --recursive --include "*20171025*" &amp; "%USERPROFILE%\Documents\GitHub\mrs-test-scripts\Headless Mode &amp; Sideloading\WalkAndUnGZ.bat" "%USERPROFILE%\AppData\Local\Temp\OnboardLogs"\RTDC4058\2017-10-25</v>
      </c>
      <c r="S23" s="84" t="str">
        <f>VLOOKUP(C23,'Train Runs'!$A$13:$AE$10074,22,0)</f>
        <v>https://d0f6bd738d7f1b3e5a7ca70fe4ff75f0.us-east-1.aws.found.io/app/kibana#/discover/Steve-Slow-Train-Analysis-(2080s-and-2083s)?_g=(refreshInterval:(display:Off,pause:!f,section:0,value:0),time:(from:'2017-10-24T09:51:57-0600',mode:absolute,to:'2017-10-24T12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/stypes="*4058*201710241*" /stext=" 17:.+((SYSTEM_STATE.+slice.+state.+changed )|(ment ac)|(multiple cpu faults)|(system.+state.+changed )|(\[timeout)|(PRM\|1\|D)|(kpr)|(kdp)|(train st.+moving)|(\|lc)|(penalty))"</v>
      </c>
      <c r="U23" s="9" t="str">
        <f>MID(B23,13,4)</f>
        <v>4058</v>
      </c>
      <c r="V23" s="31">
        <f>A23-utc_offset/24</f>
        <v>43032.712245370371</v>
      </c>
      <c r="W23" s="45" t="str">
        <f>DetSubdiv(C23)</f>
        <v>EC</v>
      </c>
      <c r="X23" s="22">
        <f>VALUE(LEFT(C23,LEN(C23)-3))</f>
        <v>155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ID","value":"155-24"},{"id":16,"name":"Locomotive ID","value":"4058"},{"id":130,"name":"Impact","value":""},{"id":150,"name":"Time of Event (Mountain Time)","value":"11:05:38"},{"id":151,"name":"Denver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/c/Users/stu/AppData/Local/Temp/OnboardLogs/RTDC4058 --include="*4058*201710241*"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"%USERPROFILE%\AppData\Local\Temp\OnboardLogs"\RTDC4058\*4058*201710241* &gt;&gt; 2017-10-24-SliceDisagreementCheck.txt</v>
      </c>
      <c r="AE23" s="145" t="str">
        <f t="shared" si="1"/>
        <v>start /low /b %USERPROFILE%\Documents\GitHub\eaglep3\Utilities\DownloadLogsFromS3.py --loco 4058 --day 2017-10-24</v>
      </c>
      <c r="AF23" s="1"/>
    </row>
    <row r="24" spans="1:32" x14ac:dyDescent="0.3">
      <c r="A24" s="31">
        <v>43032.476331018515</v>
      </c>
      <c r="B24" s="30" t="s">
        <v>538</v>
      </c>
      <c r="C24" s="30" t="s">
        <v>662</v>
      </c>
      <c r="D24" s="30" t="s">
        <v>49</v>
      </c>
      <c r="E24" s="30" t="s">
        <v>179</v>
      </c>
      <c r="F24" s="42">
        <v>0</v>
      </c>
      <c r="G24" s="42">
        <v>36</v>
      </c>
      <c r="H24" s="42">
        <v>233322</v>
      </c>
      <c r="I24" s="42">
        <v>233357</v>
      </c>
      <c r="J24" s="30" t="s">
        <v>180</v>
      </c>
      <c r="K24" s="42">
        <v>233491</v>
      </c>
      <c r="L24" s="131" t="s">
        <v>50</v>
      </c>
      <c r="M24" s="132">
        <f>CONVERT((I24-K24)/10000,"mi","ft")*IF(L24="Increasing Mileposts (1)",-1,1)</f>
        <v>70.751999999999995</v>
      </c>
      <c r="N24" s="133" t="str">
        <f>VLOOKUP(C24,'Trips&amp;Operators'!$C$1:$G$99911,5,FALSE)</f>
        <v>DAVIS MICHAEL</v>
      </c>
      <c r="O24" s="176" t="s">
        <v>178</v>
      </c>
      <c r="P24" s="134"/>
      <c r="Q24" s="30"/>
      <c r="R24" s="81" t="str">
        <f>VLOOKUP(C24,'Train Runs'!$A$13:$AE$10074,31,0)</f>
        <v>aws s3 cp s3://rtdc.mdm.uploadarchive.raw/RTDC4028/ "%USERPROFILE%\AppData\Local\Temp\OnboardLogs"\RTDC4028\2017-10-24 --exclude "*" --recursive --include "*20171024*" &amp; "%USERPROFILE%\Documents\GitHub\mrs-test-scripts\Headless Mode &amp; Sideloading\WalkAndUnGZ.bat" "%USERPROFILE%\AppData\Local\Temp\OnboardLogs"\RTDC4028\2017-10-24 &amp; aws s3 cp s3://rtdc.mdm.uploadarchive.raw/RTDC4028/ "%USERPROFILE%\AppData\Local\Temp\OnboardLogs"\RTDC4028\2017-10-25 --exclude "*" --recursive --include "*20171025*" &amp; "%USERPROFILE%\Documents\GitHub\mrs-test-scripts\Headless Mode &amp; Sideloading\WalkAndUnGZ.bat" "%USERPROFILE%\AppData\Local\Temp\OnboardLogs"\RTDC4028\2017-10-25</v>
      </c>
      <c r="S24" s="84" t="str">
        <f>VLOOKUP(C24,'Train Runs'!$A$13:$AE$10074,22,0)</f>
        <v>https://d0f6bd738d7f1b3e5a7ca70fe4ff75f0.us-east-1.aws.found.io/app/kibana#/discover/Steve-Slow-Train-Analysis-(2080s-and-2083s)?_g=(refreshInterval:(display:Off,pause:!f,section:0,value:0),time:(from:'2017-10-24T09:40:31-0600',mode:absolute,to:'2017-10-24T12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/stypes="*4028*201710241*" /stext=" 17:.+((SYSTEM_STATE.+slice.+state.+changed )|(ment ac)|(multiple cpu faults)|(system.+state.+changed )|(\[timeout)|(PRM\|1\|D)|(kpr)|(kdp)|(train st.+moving)|(\|lc)|(penalty))"</v>
      </c>
      <c r="U24" s="9" t="str">
        <f>MID(B24,13,4)</f>
        <v>4028</v>
      </c>
      <c r="V24" s="31">
        <f>A24-utc_offset/24</f>
        <v>43032.726331018515</v>
      </c>
      <c r="W24" s="45" t="str">
        <f>DetSubdiv(C24)</f>
        <v>EC</v>
      </c>
      <c r="X24" s="22">
        <f>VALUE(LEFT(C24,LEN(C24)-3))</f>
        <v>157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ID","value":"157-24"},{"id":16,"name":"Locomotive ID","value":"4028"},{"id":130,"name":"Impact","value":""},{"id":150,"name":"Time of Event (Mountain Time)","value":"11:25:55"},{"id":151,"name":"Denver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/c/Users/stu/AppData/Local/Temp/OnboardLogs/RTDC4028 --include="*4028*201710241*"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"%USERPROFILE%\AppData\Local\Temp\OnboardLogs"\RTDC4028\*4028*201710241* &gt;&gt; 2017-10-24-SliceDisagreementCheck.txt</v>
      </c>
      <c r="AE24" s="145" t="str">
        <f t="shared" si="1"/>
        <v>start /low /b %USERPROFILE%\Documents\GitHub\eaglep3\Utilities\DownloadLogsFromS3.py --loco 4028 --day 2017-10-24</v>
      </c>
      <c r="AF24" s="1"/>
    </row>
    <row r="25" spans="1:32" x14ac:dyDescent="0.3">
      <c r="A25" s="31">
        <v>43032.508125</v>
      </c>
      <c r="B25" s="30" t="s">
        <v>647</v>
      </c>
      <c r="C25" s="30" t="s">
        <v>663</v>
      </c>
      <c r="D25" s="30" t="s">
        <v>95</v>
      </c>
      <c r="E25" s="30" t="s">
        <v>192</v>
      </c>
      <c r="F25" s="42">
        <v>150</v>
      </c>
      <c r="G25" s="42">
        <v>209</v>
      </c>
      <c r="H25" s="42">
        <v>5542</v>
      </c>
      <c r="I25" s="42">
        <v>5820</v>
      </c>
      <c r="J25" s="30" t="s">
        <v>193</v>
      </c>
      <c r="K25" s="42">
        <v>574</v>
      </c>
      <c r="L25" s="131" t="s">
        <v>50</v>
      </c>
      <c r="M25" s="132">
        <f>CONVERT((I25-K25)/10000,"mi","ft")*IF(L25="Increasing Mileposts (1)",-1,1)</f>
        <v>-2769.8879999999995</v>
      </c>
      <c r="N25" s="133" t="str">
        <f>VLOOKUP(C25,'Trips&amp;Operators'!$C$1:$G$99911,5,FALSE)</f>
        <v>FORTUNATO FRANK</v>
      </c>
      <c r="O25" s="176" t="s">
        <v>178</v>
      </c>
      <c r="P25" s="134"/>
      <c r="Q25" s="30"/>
      <c r="R25" s="81" t="str">
        <f>VLOOKUP(C25,'Train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25" s="84" t="str">
        <f>VLOOKUP(C25,'Train Runs'!$A$13:$AE$10074,22,0)</f>
        <v>https://d0f6bd738d7f1b3e5a7ca70fe4ff75f0.us-east-1.aws.found.io/app/kibana#/discover/Steve-Slow-Train-Analysis-(2080s-and-2083s)?_g=(refreshInterval:(display:Off,pause:!f,section:0,value:0),time:(from:'2017-10-24T10:57:02-0600',mode:absolute,to:'2017-10-24T13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/stypes="*4036*201710241*" /stext=" 18:.+((SYSTEM_STATE.+slice.+state.+changed )|(ment ac)|(multiple cpu faults)|(system.+state.+changed )|(\[timeout)|(PRM\|1\|D)|(kpr)|(kdp)|(train st.+moving)|(\|lc)|(penalty))"</v>
      </c>
      <c r="U25" s="9" t="str">
        <f>MID(B25,13,4)</f>
        <v>4036</v>
      </c>
      <c r="V25" s="31">
        <f>A25-utc_offset/24</f>
        <v>43032.758125</v>
      </c>
      <c r="W25" s="45" t="str">
        <f>DetSubdiv(C25)</f>
        <v>NW</v>
      </c>
      <c r="X25" s="22">
        <f>VALUE(LEFT(C25,LEN(C25)-3))</f>
        <v>819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{"issue":{"subject":"","project_id":79,"tracker_id":40,"status_id":1,"priority_id":2,"assigned_to_id":338,"start_date":"2017-10-24","description":"","custom_fields":[{"id":1,"name":"Subdivision","value":"NW"},{"id":4,"name":"Milepost","value":"0.0574"},{"id":17,"name":"Train ID","value":"819-24"},{"id":16,"name":"Locomotive ID","value":"4036"},{"id":130,"name":"Impact","value":""},{"id":150,"name":"Time of Event (Mountain Time)","value":"12:11:42"},{"id":151,"name":"Denver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/c/Users/stu/AppData/Local/Temp/OnboardLogs/RTDC4036 --include="*4036*201710241*"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"%USERPROFILE%\AppData\Local\Temp\OnboardLogs"\RTDC4036\*4036*201710241* &gt;&gt; 2017-10-24-SliceDisagreementCheck.txt</v>
      </c>
      <c r="AE25" s="145" t="str">
        <f t="shared" si="1"/>
        <v>start /low /b %USERPROFILE%\Documents\GitHub\eaglep3\Utilities\DownloadLogsFromS3.py --loco 4036 --day 2017-10-24</v>
      </c>
      <c r="AF25" s="1"/>
    </row>
    <row r="26" spans="1:32" x14ac:dyDescent="0.3">
      <c r="A26" s="31">
        <v>43032.840243055558</v>
      </c>
      <c r="B26" s="30" t="s">
        <v>647</v>
      </c>
      <c r="C26" s="30" t="s">
        <v>671</v>
      </c>
      <c r="D26" s="30" t="s">
        <v>95</v>
      </c>
      <c r="E26" s="30" t="s">
        <v>402</v>
      </c>
      <c r="F26" s="42">
        <v>0</v>
      </c>
      <c r="G26" s="42">
        <v>78</v>
      </c>
      <c r="H26" s="42">
        <v>1819</v>
      </c>
      <c r="I26" s="42">
        <v>1912</v>
      </c>
      <c r="J26" s="30" t="s">
        <v>403</v>
      </c>
      <c r="K26" s="42">
        <v>1725</v>
      </c>
      <c r="L26" s="131" t="s">
        <v>50</v>
      </c>
      <c r="M26" s="132">
        <f>CONVERT((I26-K26)/10000,"mi","ft")*IF(L26="Increasing Mileposts (1)",-1,1)</f>
        <v>-98.736000000000004</v>
      </c>
      <c r="N26" s="133" t="str">
        <f>VLOOKUP(C26,'Trips&amp;Operators'!$C$1:$G$99911,5,FALSE)</f>
        <v>GUZMAN DANNY</v>
      </c>
      <c r="O26" s="176" t="s">
        <v>375</v>
      </c>
      <c r="P26" s="134" t="s">
        <v>640</v>
      </c>
      <c r="Q26" s="30"/>
      <c r="R26" s="81" t="str">
        <f>VLOOKUP(C26,'Train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26" s="84" t="str">
        <f>VLOOKUP(C26,'Train Runs'!$A$13:$AE$10074,22,0)</f>
        <v>https://d0f6bd738d7f1b3e5a7ca70fe4ff75f0.us-east-1.aws.found.io/app/kibana#/discover/Steve-Slow-Train-Analysis-(2080s-and-2083s)?_g=(refreshInterval:(display:Off,pause:!f,section:0,value:0),time:(from:'2017-10-24T19:05:54-0600',mode:absolute,to:'2017-10-24T21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/stypes="*4036*201710250*" /stext=" 02:.+((SYSTEM_STATE.+slice.+state.+changed )|(ment ac)|(multiple cpu faults)|(system.+state.+changed )|(\[timeout)|(PRM\|1\|D)|(kpr)|(kdp)|(train st.+moving)|(\|lc)|(penalty))"</v>
      </c>
      <c r="U26" s="9" t="str">
        <f>MID(B26,13,4)</f>
        <v>4036</v>
      </c>
      <c r="V26" s="31">
        <f>A26-utc_offset/24</f>
        <v>43033.090243055558</v>
      </c>
      <c r="W26" s="45" t="str">
        <f>DetSubdiv(C26)</f>
        <v>NW</v>
      </c>
      <c r="X26" s="22">
        <f>VALUE(LEFT(C26,LEN(C26)-3))</f>
        <v>843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DUS","project_id":79,"tracker_id":40,"status_id":1,"priority_id":2,"assigned_to_id":338,"start_date":"2017-10-24","description":"","custom_fields":[{"id":1,"name":"Subdivision","value":"NW"},{"id":4,"name":"Milepost","value":"0.1725"},{"id":17,"name":"Train ID","value":"843-24"},{"id":16,"name":"Locomotive ID","value":"4036"},{"id":130,"name":"Impact","value":""},{"id":150,"name":"Time of Event (Mountain Time)","value":"20:09:57"},{"id":151,"name":"Denver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/c/Users/stu/AppData/Local/Temp/OnboardLogs/RTDC4036 --include="*4036*201710250*"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"%USERPROFILE%\AppData\Local\Temp\OnboardLogs"\RTDC4036\*4036*201710250* &gt;&gt; 2017-10-24-SliceDisagreementCheck.txt</v>
      </c>
      <c r="AE26" s="145" t="str">
        <f t="shared" si="1"/>
        <v>start /low /b %USERPROFILE%\Documents\GitHub\eaglep3\Utilities\DownloadLogsFromS3.py --loco 4036 --day 2017-10-25</v>
      </c>
      <c r="AF26" s="1"/>
    </row>
    <row r="27" spans="1:32" x14ac:dyDescent="0.3">
      <c r="A27" s="31">
        <v>43032.225254629629</v>
      </c>
      <c r="B27" s="30" t="s">
        <v>582</v>
      </c>
      <c r="C27" s="30" t="s">
        <v>644</v>
      </c>
      <c r="D27" s="30" t="s">
        <v>49</v>
      </c>
      <c r="E27" s="30" t="s">
        <v>402</v>
      </c>
      <c r="F27" s="42">
        <v>0</v>
      </c>
      <c r="G27" s="42">
        <v>73</v>
      </c>
      <c r="H27" s="42">
        <v>4845</v>
      </c>
      <c r="I27" s="42">
        <v>4738</v>
      </c>
      <c r="J27" s="30" t="s">
        <v>403</v>
      </c>
      <c r="K27" s="42">
        <v>4798</v>
      </c>
      <c r="L27" s="131" t="s">
        <v>51</v>
      </c>
      <c r="M27" s="132">
        <f>CONVERT((I27-K27)/10000,"mi","ft")*IF(L27="Increasing Mileposts (1)",-1,1)</f>
        <v>-31.68</v>
      </c>
      <c r="N27" s="133" t="str">
        <f>VLOOKUP(C27,'Trips&amp;Operators'!$C$1:$G$99911,5,FALSE)</f>
        <v>STRICKLAND EVAN</v>
      </c>
      <c r="O27" s="176" t="s">
        <v>375</v>
      </c>
      <c r="P27" s="134" t="s">
        <v>641</v>
      </c>
      <c r="Q27" s="30"/>
      <c r="R27" s="81" t="str">
        <f>VLOOKUP(C27,'Train Runs'!$A$13:$AE$10074,31,0)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S27" s="84" t="str">
        <f>VLOOKUP(C27,'Train Runs'!$A$13:$AE$10074,22,0)</f>
        <v>https://d0f6bd738d7f1b3e5a7ca70fe4ff75f0.us-east-1.aws.found.io/app/kibana#/discover/Steve-Slow-Train-Analysis-(2080s-and-2083s)?_g=(refreshInterval:(display:Off,pause:!f,section:0,value:0),time:(from:'2017-10-24T04:05:32-0600',mode:absolute,to:'2017-10-24T06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/stypes="*4063*201710241*" /stext=" 11:.+((SYSTEM_STATE.+slice.+state.+changed )|(ment ac)|(multiple cpu faults)|(system.+state.+changed )|(\[timeout)|(PRM\|1\|D)|(kpr)|(kdp)|(train st.+moving)|(\|lc)|(penalty))"</v>
      </c>
      <c r="U27" s="9" t="str">
        <f>MID(B27,13,4)</f>
        <v>4063</v>
      </c>
      <c r="V27" s="31">
        <f>A27-utc_offset/24</f>
        <v>43032.475254629629</v>
      </c>
      <c r="W27" s="45" t="str">
        <f>DetSubdiv(C27)</f>
        <v>NW</v>
      </c>
      <c r="X27" s="22">
        <f>VALUE(LEFT(C27,LEN(C27)-3))</f>
        <v>800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overpass","project_id":79,"tracker_id":40,"status_id":1,"priority_id":2,"assigned_to_id":338,"start_date":"2017-10-24","description":"","custom_fields":[{"id":1,"name":"Subdivision","value":"NW"},{"id":4,"name":"Milepost","value":"0.4798"},{"id":17,"name":"Train ID","value":"800-24"},{"id":16,"name":"Locomotive ID","value":"4063"},{"id":130,"name":"Impact","value":""},{"id":150,"name":"Time of Event (Mountain Time)","value":"05:24:22"},{"id":151,"name":"Denver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/c/Users/stu/AppData/Local/Temp/OnboardLogs/RTDC4063 --include="*4063*201710241*"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"%USERPROFILE%\AppData\Local\Temp\OnboardLogs"\RTDC4063\*4063*201710241* &gt;&gt; 2017-10-24-SliceDisagreementCheck.txt</v>
      </c>
      <c r="AE27" s="145" t="str">
        <f t="shared" si="1"/>
        <v>start /low /b %USERPROFILE%\Documents\GitHub\eaglep3\Utilities\DownloadLogsFromS3.py --loco 4063 --day 2017-10-24</v>
      </c>
      <c r="AF27" s="1"/>
    </row>
    <row r="28" spans="1:32" x14ac:dyDescent="0.3">
      <c r="A28" s="31">
        <v>43032.351238425923</v>
      </c>
      <c r="B28" s="30" t="s">
        <v>582</v>
      </c>
      <c r="C28" s="30" t="s">
        <v>651</v>
      </c>
      <c r="D28" s="30" t="s">
        <v>49</v>
      </c>
      <c r="E28" s="30" t="s">
        <v>179</v>
      </c>
      <c r="F28" s="42">
        <v>0</v>
      </c>
      <c r="G28" s="42">
        <v>31</v>
      </c>
      <c r="H28" s="42">
        <v>643</v>
      </c>
      <c r="I28" s="42">
        <v>617</v>
      </c>
      <c r="J28" s="30" t="s">
        <v>180</v>
      </c>
      <c r="K28" s="42">
        <v>575</v>
      </c>
      <c r="L28" s="131" t="s">
        <v>51</v>
      </c>
      <c r="M28" s="132">
        <f>CONVERT((I28-K28)/10000,"mi","ft")*IF(L28="Increasing Mileposts (1)",-1,1)</f>
        <v>22.175999999999998</v>
      </c>
      <c r="N28" s="133" t="str">
        <f>VLOOKUP(C28,'Trips&amp;Operators'!$C$1:$G$99911,5,FALSE)</f>
        <v>STRICKLAND EVAN</v>
      </c>
      <c r="O28" s="176" t="s">
        <v>178</v>
      </c>
      <c r="P28" s="134"/>
      <c r="Q28" s="30"/>
      <c r="R28" s="81" t="str">
        <f>VLOOKUP(C28,'Train Runs'!$A$13:$AE$10074,31,0)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S28" s="84" t="str">
        <f>VLOOKUP(C28,'Train Runs'!$A$13:$AE$10074,22,0)</f>
        <v>https://d0f6bd738d7f1b3e5a7ca70fe4ff75f0.us-east-1.aws.found.io/app/kibana#/discover/Steve-Slow-Train-Analysis-(2080s-and-2083s)?_g=(refreshInterval:(display:Off,pause:!f,section:0,value:0),time:(from:'2017-10-24T06:56:39-0600',mode:absolute,to:'2017-10-24T09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/stypes="*4063*201710241*" /stext=" 14:.+((SYSTEM_STATE.+slice.+state.+changed )|(ment ac)|(multiple cpu faults)|(system.+state.+changed )|(\[timeout)|(PRM\|1\|D)|(kpr)|(kdp)|(train st.+moving)|(\|lc)|(penalty))"</v>
      </c>
      <c r="U28" s="9" t="str">
        <f>MID(B28,13,4)</f>
        <v>4063</v>
      </c>
      <c r="V28" s="31">
        <f>A28-utc_offset/24</f>
        <v>43032.601238425923</v>
      </c>
      <c r="W28" s="45" t="str">
        <f>DetSubdiv(C28)</f>
        <v>NW</v>
      </c>
      <c r="X28" s="22">
        <f>VALUE(LEFT(C28,LEN(C28)-3))</f>
        <v>810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{"issue":{"subject":"","project_id":79,"tracker_id":40,"status_id":1,"priority_id":2,"assigned_to_id":338,"start_date":"2017-10-24","description":"","custom_fields":[{"id":1,"name":"Subdivision","value":"NW"},{"id":4,"name":"Milepost","value":"0.0575"},{"id":17,"name":"Train ID","value":"810-24"},{"id":16,"name":"Locomotive ID","value":"4063"},{"id":130,"name":"Impact","value":""},{"id":150,"name":"Time of Event (Mountain Time)","value":"08:25:47"},{"id":151,"name":"Denver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/c/Users/stu/AppData/Local/Temp/OnboardLogs/RTDC4063 --include="*4063*201710241*"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"%USERPROFILE%\AppData\Local\Temp\OnboardLogs"\RTDC4063\*4063*201710241* &gt;&gt; 2017-10-24-SliceDisagreementCheck.txt</v>
      </c>
      <c r="AE28" s="145" t="str">
        <f t="shared" si="1"/>
        <v>start /low /b %USERPROFILE%\Documents\GitHub\eaglep3\Utilities\DownloadLogsFromS3.py --loco 4063 --day 2017-10-24</v>
      </c>
      <c r="AF28" s="1"/>
    </row>
    <row r="29" spans="1:32" x14ac:dyDescent="0.3">
      <c r="A29" s="31">
        <v>43032.767013888886</v>
      </c>
      <c r="B29" s="30" t="s">
        <v>582</v>
      </c>
      <c r="C29" s="30" t="s">
        <v>669</v>
      </c>
      <c r="D29" s="30" t="s">
        <v>49</v>
      </c>
      <c r="E29" s="30" t="s">
        <v>179</v>
      </c>
      <c r="F29" s="42">
        <v>0</v>
      </c>
      <c r="G29" s="42">
        <v>27</v>
      </c>
      <c r="H29" s="42">
        <v>628</v>
      </c>
      <c r="I29" s="42">
        <v>607</v>
      </c>
      <c r="J29" s="30" t="s">
        <v>180</v>
      </c>
      <c r="K29" s="42">
        <v>575</v>
      </c>
      <c r="L29" s="131" t="s">
        <v>51</v>
      </c>
      <c r="M29" s="132">
        <f>CONVERT((I29-K29)/10000,"mi","ft")*IF(L29="Increasing Mileposts (1)",-1,1)</f>
        <v>16.896000000000001</v>
      </c>
      <c r="N29" s="133" t="str">
        <f>VLOOKUP(C29,'Trips&amp;Operators'!$C$1:$G$99911,5,FALSE)</f>
        <v>STAMBAUGH JAMES</v>
      </c>
      <c r="O29" s="176" t="s">
        <v>178</v>
      </c>
      <c r="P29" s="134"/>
      <c r="Q29" s="30"/>
      <c r="R29" s="81" t="str">
        <f>VLOOKUP(C29,'Train Runs'!$A$13:$AE$10074,31,0)</f>
        <v>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 &amp; aws s3 cp s3://rtdc.mdm.uploadarchive.raw/RTDC4063/ "%USERPROFILE%\AppData\Local\Temp\OnboardLogs"\RTDC4063\2017-10-25 --exclude "*" --recursive --include "*20171025*" &amp; "%USERPROFILE%\Documents\GitHub\mrs-test-scripts\Headless Mode &amp; Sideloading\WalkAndUnGZ.bat" "%USERPROFILE%\AppData\Local\Temp\OnboardLogs"\RTDC4063\2017-10-25</v>
      </c>
      <c r="S29" s="84" t="str">
        <f>VLOOKUP(C29,'Train Runs'!$A$13:$AE$10074,22,0)</f>
        <v>https://d0f6bd738d7f1b3e5a7ca70fe4ff75f0.us-east-1.aws.found.io/app/kibana#/discover/Steve-Slow-Train-Analysis-(2080s-and-2083s)?_g=(refreshInterval:(display:Off,pause:!f,section:0,value:0),time:(from:'2017-10-24T16:54:53-0600',mode:absolute,to:'2017-10-24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/stypes="*4063*201710250*" /stext=" 00:.+((SYSTEM_STATE.+slice.+state.+changed )|(ment ac)|(multiple cpu faults)|(system.+state.+changed )|(\[timeout)|(PRM\|1\|D)|(kpr)|(kdp)|(train st.+moving)|(\|lc)|(penalty))"</v>
      </c>
      <c r="U29" s="9" t="str">
        <f>MID(B29,13,4)</f>
        <v>4063</v>
      </c>
      <c r="V29" s="31">
        <f>A29-utc_offset/24</f>
        <v>43033.017013888886</v>
      </c>
      <c r="W29" s="45" t="str">
        <f>DetSubdiv(C29)</f>
        <v>NW</v>
      </c>
      <c r="X29" s="22">
        <f>VALUE(LEFT(C29,LEN(C29)-3))</f>
        <v>836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{"issue":{"subject":"","project_id":79,"tracker_id":40,"status_id":1,"priority_id":2,"assigned_to_id":338,"start_date":"2017-10-24","description":"","custom_fields":[{"id":1,"name":"Subdivision","value":"NW"},{"id":4,"name":"Milepost","value":"0.0575"},{"id":17,"name":"Train ID","value":"836-24"},{"id":16,"name":"Locomotive ID","value":"4063"},{"id":130,"name":"Impact","value":""},{"id":150,"name":"Time of Event (Mountain Time)","value":"18:24:30"},{"id":151,"name":"Denver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/c/Users/stu/AppData/Local/Temp/OnboardLogs/RTDC4063 --include="*4063*201710250*"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"%USERPROFILE%\AppData\Local\Temp\OnboardLogs"\RTDC4063\*4063*201710250* &gt;&gt; 2017-10-24-SliceDisagreementCheck.txt</v>
      </c>
      <c r="AE29" s="145" t="str">
        <f t="shared" si="1"/>
        <v>start /low /b %USERPROFILE%\Documents\GitHub\eaglep3\Utilities\DownloadLogsFromS3.py --loco 4063 --day 2017-10-25</v>
      </c>
      <c r="AF29" s="1"/>
    </row>
    <row r="30" spans="1:32" x14ac:dyDescent="0.3">
      <c r="A30" s="31">
        <v>43032.307303240741</v>
      </c>
      <c r="B30" s="30" t="s">
        <v>647</v>
      </c>
      <c r="C30" s="30" t="s">
        <v>648</v>
      </c>
      <c r="D30" s="30" t="s">
        <v>49</v>
      </c>
      <c r="E30" s="30" t="s">
        <v>179</v>
      </c>
      <c r="F30" s="42">
        <v>0</v>
      </c>
      <c r="G30" s="42">
        <v>152</v>
      </c>
      <c r="H30" s="42">
        <v>58103</v>
      </c>
      <c r="I30" s="42">
        <v>58337</v>
      </c>
      <c r="J30" s="30" t="s">
        <v>180</v>
      </c>
      <c r="K30" s="42">
        <v>59048</v>
      </c>
      <c r="L30" s="131" t="s">
        <v>50</v>
      </c>
      <c r="M30" s="132">
        <f>CONVERT((I30-K30)/10000,"mi","ft")*IF(L30="Increasing Mileposts (1)",-1,1)</f>
        <v>375.40800000000002</v>
      </c>
      <c r="N30" s="133" t="str">
        <f>VLOOKUP(C30,'Trips&amp;Operators'!$C$1:$G$99911,5,FALSE)</f>
        <v>FORTUNATO FRANK</v>
      </c>
      <c r="O30" s="176" t="s">
        <v>178</v>
      </c>
      <c r="P30" s="134"/>
      <c r="Q30" s="30"/>
      <c r="R30" s="81" t="str">
        <f>VLOOKUP(C30,'Train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30" s="84" t="str">
        <f>VLOOKUP(C30,'Train Runs'!$A$13:$AE$10074,22,0)</f>
        <v>https://d0f6bd738d7f1b3e5a7ca70fe4ff75f0.us-east-1.aws.found.io/app/kibana#/discover/Steve-Slow-Train-Analysis-(2080s-and-2083s)?_g=(refreshInterval:(display:Off,pause:!f,section:0,value:0),time:(from:'2017-10-24T05:57:39-0600',mode:absolute,to:'2017-10-24T08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/stypes="*4036*201710241*" /stext=" 13:.+((SYSTEM_STATE.+slice.+state.+changed )|(ment ac)|(multiple cpu faults)|(system.+state.+changed )|(\[timeout)|(PRM\|1\|D)|(kpr)|(kdp)|(train st.+moving)|(\|lc)|(penalty))"</v>
      </c>
      <c r="U30" s="9" t="str">
        <f>MID(B30,13,4)</f>
        <v>4036</v>
      </c>
      <c r="V30" s="31">
        <f>A30-utc_offset/24</f>
        <v>43032.557303240741</v>
      </c>
      <c r="W30" s="45" t="str">
        <f>DetSubdiv(C30)</f>
        <v>NW</v>
      </c>
      <c r="X30" s="22">
        <f>VALUE(LEFT(C30,LEN(C30)-3))</f>
        <v>807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{"issue":{"subject":"","project_id":79,"tracker_id":40,"status_id":1,"priority_id":2,"assigned_to_id":338,"start_date":"2017-10-24","description":"","custom_fields":[{"id":1,"name":"Subdivision","value":"NW"},{"id":4,"name":"Milepost","value":"5.9048"},{"id":17,"name":"Train ID","value":"807-24"},{"id":16,"name":"Locomotive ID","value":"4036"},{"id":130,"name":"Impact","value":""},{"id":150,"name":"Time of Event (Mountain Time)","value":"07:22:31"},{"id":151,"name":"Denver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/c/Users/stu/AppData/Local/Temp/OnboardLogs/RTDC4036 --include="*4036*201710241*"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"%USERPROFILE%\AppData\Local\Temp\OnboardLogs"\RTDC4036\*4036*201710241* &gt;&gt; 2017-10-24-SliceDisagreementCheck.txt</v>
      </c>
      <c r="AE30" s="145" t="str">
        <f t="shared" si="1"/>
        <v>start /low /b %USERPROFILE%\Documents\GitHub\eaglep3\Utilities\DownloadLogsFromS3.py --loco 4036 --day 2017-10-24</v>
      </c>
      <c r="AF30" s="1"/>
    </row>
    <row r="31" spans="1:32" x14ac:dyDescent="0.3">
      <c r="A31" s="31">
        <v>43032.432233796295</v>
      </c>
      <c r="B31" s="30" t="s">
        <v>647</v>
      </c>
      <c r="C31" s="30" t="s">
        <v>660</v>
      </c>
      <c r="D31" s="30" t="s">
        <v>95</v>
      </c>
      <c r="E31" s="30" t="s">
        <v>179</v>
      </c>
      <c r="F31" s="42">
        <v>0</v>
      </c>
      <c r="G31" s="42">
        <v>14</v>
      </c>
      <c r="H31" s="42">
        <v>59049</v>
      </c>
      <c r="I31" s="42">
        <v>0</v>
      </c>
      <c r="J31" s="30" t="s">
        <v>180</v>
      </c>
      <c r="K31" s="42">
        <v>59048</v>
      </c>
      <c r="L31" s="131" t="s">
        <v>50</v>
      </c>
      <c r="M31" s="132">
        <f>CONVERT((I31-K31)/10000,"mi","ft")*IF(L31="Increasing Mileposts (1)",-1,1)</f>
        <v>31177.344000000001</v>
      </c>
      <c r="N31" s="133" t="str">
        <f>VLOOKUP(C31,'Trips&amp;Operators'!$C$1:$G$99911,5,FALSE)</f>
        <v>FORTUNATO FRANK</v>
      </c>
      <c r="O31" s="176" t="s">
        <v>178</v>
      </c>
      <c r="P31" s="134"/>
      <c r="Q31" s="30"/>
      <c r="R31" s="81" t="str">
        <f>VLOOKUP(C31,'Train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31" s="84" t="str">
        <f>VLOOKUP(C31,'Train Runs'!$A$13:$AE$10074,22,0)</f>
        <v>https://d0f6bd738d7f1b3e5a7ca70fe4ff75f0.us-east-1.aws.found.io/app/kibana#/discover/Steve-Slow-Train-Analysis-(2080s-and-2083s)?_g=(refreshInterval:(display:Off,pause:!f,section:0,value:0),time:(from:'2017-10-24T08:57:30-0600',mode:absolute,to:'2017-10-24T11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/stypes="*4036*201710241*" /stext=" 16:.+((SYSTEM_STATE.+slice.+state.+changed )|(ment ac)|(multiple cpu faults)|(system.+state.+changed )|(\[timeout)|(PRM\|1\|D)|(kpr)|(kdp)|(train st.+moving)|(\|lc)|(penalty))"</v>
      </c>
      <c r="U31" s="9" t="str">
        <f>MID(B31,13,4)</f>
        <v>4036</v>
      </c>
      <c r="V31" s="31">
        <f>A31-utc_offset/24</f>
        <v>43032.682233796295</v>
      </c>
      <c r="W31" s="45" t="str">
        <f>DetSubdiv(C31)</f>
        <v>NW</v>
      </c>
      <c r="X31" s="22">
        <f>VALUE(LEFT(C31,LEN(C31)-3))</f>
        <v>815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{"issue":{"subject":"","project_id":79,"tracker_id":40,"status_id":1,"priority_id":2,"assigned_to_id":338,"start_date":"2017-10-24","description":"","custom_fields":[{"id":1,"name":"Subdivision","value":"NW"},{"id":4,"name":"Milepost","value":"5.9048"},{"id":17,"name":"Train ID","value":"815-24"},{"id":16,"name":"Locomotive ID","value":"4036"},{"id":130,"name":"Impact","value":""},{"id":150,"name":"Time of Event (Mountain Time)","value":"10:22:25"},{"id":151,"name":"Denver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/c/Users/stu/AppData/Local/Temp/OnboardLogs/RTDC4036 --include="*4036*201710241*"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"%USERPROFILE%\AppData\Local\Temp\OnboardLogs"\RTDC4036\*4036*201710241* &gt;&gt; 2017-10-24-SliceDisagreementCheck.txt</v>
      </c>
      <c r="AE31" s="145" t="str">
        <f t="shared" si="1"/>
        <v>start /low /b %USERPROFILE%\Documents\GitHub\eaglep3\Utilities\DownloadLogsFromS3.py --loco 4036 --day 2017-10-24</v>
      </c>
      <c r="AF31" s="1"/>
    </row>
    <row r="32" spans="1:32" x14ac:dyDescent="0.3">
      <c r="A32" s="31">
        <v>43032.516388888886</v>
      </c>
      <c r="B32" s="30" t="s">
        <v>647</v>
      </c>
      <c r="C32" s="30" t="s">
        <v>663</v>
      </c>
      <c r="D32" s="30" t="s">
        <v>49</v>
      </c>
      <c r="E32" s="30" t="s">
        <v>179</v>
      </c>
      <c r="F32" s="42">
        <v>0</v>
      </c>
      <c r="G32" s="42">
        <v>23</v>
      </c>
      <c r="H32" s="42">
        <v>59012</v>
      </c>
      <c r="I32" s="42">
        <v>59025</v>
      </c>
      <c r="J32" s="30" t="s">
        <v>180</v>
      </c>
      <c r="K32" s="42">
        <v>59048</v>
      </c>
      <c r="L32" s="131" t="s">
        <v>50</v>
      </c>
      <c r="M32" s="132">
        <f>CONVERT((I32-K32)/10000,"mi","ft")*IF(L32="Increasing Mileposts (1)",-1,1)</f>
        <v>12.144</v>
      </c>
      <c r="N32" s="133" t="str">
        <f>VLOOKUP(C32,'Trips&amp;Operators'!$C$1:$G$99911,5,FALSE)</f>
        <v>FORTUNATO FRANK</v>
      </c>
      <c r="O32" s="176" t="s">
        <v>178</v>
      </c>
      <c r="P32" s="134"/>
      <c r="Q32" s="30"/>
      <c r="R32" s="81" t="str">
        <f>VLOOKUP(C32,'Train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32" s="84" t="str">
        <f>VLOOKUP(C32,'Train Runs'!$A$13:$AE$10074,22,0)</f>
        <v>https://d0f6bd738d7f1b3e5a7ca70fe4ff75f0.us-east-1.aws.found.io/app/kibana#/discover/Steve-Slow-Train-Analysis-(2080s-and-2083s)?_g=(refreshInterval:(display:Off,pause:!f,section:0,value:0),time:(from:'2017-10-24T10:57:02-0600',mode:absolute,to:'2017-10-24T13:23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/stypes="*4036*201710241*" /stext=" 18:.+((SYSTEM_STATE.+slice.+state.+changed )|(ment ac)|(multiple cpu faults)|(system.+state.+changed )|(\[timeout)|(PRM\|1\|D)|(kpr)|(kdp)|(train st.+moving)|(\|lc)|(penalty))"</v>
      </c>
      <c r="U32" s="9" t="str">
        <f>MID(B32,13,4)</f>
        <v>4036</v>
      </c>
      <c r="V32" s="31">
        <f>A32-utc_offset/24</f>
        <v>43032.766388888886</v>
      </c>
      <c r="W32" s="45" t="str">
        <f>DetSubdiv(C32)</f>
        <v>NW</v>
      </c>
      <c r="X32" s="22">
        <f>VALUE(LEFT(C32,LEN(C32)-3))</f>
        <v>819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{"issue":{"subject":"","project_id":79,"tracker_id":40,"status_id":1,"priority_id":2,"assigned_to_id":338,"start_date":"2017-10-24","description":"","custom_fields":[{"id":1,"name":"Subdivision","value":"NW"},{"id":4,"name":"Milepost","value":"5.9048"},{"id":17,"name":"Train ID","value":"819-24"},{"id":16,"name":"Locomotive ID","value":"4036"},{"id":130,"name":"Impact","value":""},{"id":150,"name":"Time of Event (Mountain Time)","value":"12:23:36"},{"id":151,"name":"Denver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/c/Users/stu/AppData/Local/Temp/OnboardLogs/RTDC4036 --include="*4036*201710241*"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"%USERPROFILE%\AppData\Local\Temp\OnboardLogs"\RTDC4036\*4036*201710241* &gt;&gt; 2017-10-24-SliceDisagreementCheck.txt</v>
      </c>
      <c r="AE32" s="145" t="str">
        <f t="shared" si="1"/>
        <v>start /low /b %USERPROFILE%\Documents\GitHub\eaglep3\Utilities\DownloadLogsFromS3.py --loco 4036 --day 2017-10-24</v>
      </c>
      <c r="AF32" s="1"/>
    </row>
    <row r="33" spans="1:32" x14ac:dyDescent="0.3">
      <c r="A33" s="31">
        <v>43032.557349537034</v>
      </c>
      <c r="B33" s="30" t="s">
        <v>647</v>
      </c>
      <c r="C33" s="30" t="s">
        <v>664</v>
      </c>
      <c r="D33" s="30" t="s">
        <v>49</v>
      </c>
      <c r="E33" s="30" t="s">
        <v>179</v>
      </c>
      <c r="F33" s="42">
        <v>0</v>
      </c>
      <c r="G33" s="42">
        <v>50</v>
      </c>
      <c r="H33" s="42">
        <v>58926</v>
      </c>
      <c r="I33" s="42">
        <v>58963</v>
      </c>
      <c r="J33" s="30" t="s">
        <v>180</v>
      </c>
      <c r="K33" s="42">
        <v>59048</v>
      </c>
      <c r="L33" s="131" t="s">
        <v>50</v>
      </c>
      <c r="M33" s="132">
        <f>CONVERT((I33-K33)/10000,"mi","ft")*IF(L33="Increasing Mileposts (1)",-1,1)</f>
        <v>44.88</v>
      </c>
      <c r="N33" s="133" t="str">
        <f>VLOOKUP(C33,'Trips&amp;Operators'!$C$1:$G$99911,5,FALSE)</f>
        <v>GUZMAN DANNY</v>
      </c>
      <c r="O33" s="176" t="s">
        <v>178</v>
      </c>
      <c r="P33" s="134"/>
      <c r="Q33" s="30"/>
      <c r="R33" s="81" t="str">
        <f>VLOOKUP(C33,'Train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33" s="84" t="str">
        <f>VLOOKUP(C33,'Train Runs'!$A$13:$AE$10074,22,0)</f>
        <v>https://d0f6bd738d7f1b3e5a7ca70fe4ff75f0.us-east-1.aws.found.io/app/kibana#/discover/Steve-Slow-Train-Analysis-(2080s-and-2083s)?_g=(refreshInterval:(display:Off,pause:!f,section:0,value:0),time:(from:'2017-10-24T11:58:10-0600',mode:absolute,to:'2017-10-24T14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/stypes="*4036*201710241*" /stext=" 19:.+((SYSTEM_STATE.+slice.+state.+changed )|(ment ac)|(multiple cpu faults)|(system.+state.+changed )|(\[timeout)|(PRM\|1\|D)|(kpr)|(kdp)|(train st.+moving)|(\|lc)|(penalty))"</v>
      </c>
      <c r="U33" s="9" t="str">
        <f>MID(B33,13,4)</f>
        <v>4036</v>
      </c>
      <c r="V33" s="31">
        <f>A33-utc_offset/24</f>
        <v>43032.807349537034</v>
      </c>
      <c r="W33" s="45" t="str">
        <f>DetSubdiv(C33)</f>
        <v>NW</v>
      </c>
      <c r="X33" s="22">
        <f>VALUE(LEFT(C33,LEN(C33)-3))</f>
        <v>821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{"issue":{"subject":"","project_id":79,"tracker_id":40,"status_id":1,"priority_id":2,"assigned_to_id":338,"start_date":"2017-10-24","description":"","custom_fields":[{"id":1,"name":"Subdivision","value":"NW"},{"id":4,"name":"Milepost","value":"5.9048"},{"id":17,"name":"Train ID","value":"821-24"},{"id":16,"name":"Locomotive ID","value":"4036"},{"id":130,"name":"Impact","value":""},{"id":150,"name":"Time of Event (Mountain Time)","value":"13:22:35"},{"id":151,"name":"Denver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/c/Users/stu/AppData/Local/Temp/OnboardLogs/RTDC4036 --include="*4036*201710241*"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"%USERPROFILE%\AppData\Local\Temp\OnboardLogs"\RTDC4036\*4036*201710241* &gt;&gt; 2017-10-24-SliceDisagreementCheck.txt</v>
      </c>
      <c r="AE33" s="145" t="str">
        <f t="shared" si="1"/>
        <v>start /low /b %USERPROFILE%\Documents\GitHub\eaglep3\Utilities\DownloadLogsFromS3.py --loco 4036 --day 2017-10-24</v>
      </c>
      <c r="AF33" s="1"/>
    </row>
    <row r="34" spans="1:32" x14ac:dyDescent="0.3">
      <c r="A34" s="31">
        <v>43032.663229166668</v>
      </c>
      <c r="B34" s="30" t="s">
        <v>583</v>
      </c>
      <c r="C34" s="30" t="s">
        <v>666</v>
      </c>
      <c r="D34" s="30" t="s">
        <v>49</v>
      </c>
      <c r="E34" s="30" t="s">
        <v>179</v>
      </c>
      <c r="F34" s="42">
        <v>0</v>
      </c>
      <c r="G34" s="42">
        <v>2</v>
      </c>
      <c r="H34" s="42">
        <v>59040</v>
      </c>
      <c r="I34" s="42">
        <v>59040</v>
      </c>
      <c r="J34" s="30" t="s">
        <v>180</v>
      </c>
      <c r="K34" s="42">
        <v>59048</v>
      </c>
      <c r="L34" s="131" t="s">
        <v>50</v>
      </c>
      <c r="M34" s="132">
        <f>CONVERT((I34-K34)/10000,"mi","ft")*IF(L34="Increasing Mileposts (1)",-1,1)</f>
        <v>4.2240000000000002</v>
      </c>
      <c r="N34" s="133" t="str">
        <f>VLOOKUP(C34,'Trips&amp;Operators'!$C$1:$G$99911,5,FALSE)</f>
        <v>ROBINSON KADDIBA</v>
      </c>
      <c r="O34" s="176" t="s">
        <v>178</v>
      </c>
      <c r="P34" s="134"/>
      <c r="Q34" s="30"/>
      <c r="R34" s="81" t="str">
        <f>VLOOKUP(C34,'Train Runs'!$A$13:$AE$10074,31,0)</f>
        <v>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 &amp; aws s3 cp s3://rtdc.mdm.uploadarchive.raw/RTDC4064/ "%USERPROFILE%\AppData\Local\Temp\OnboardLogs"\RTDC4064\2017-10-25 --exclude "*" --recursive --include "*20171025*" &amp; "%USERPROFILE%\Documents\GitHub\mrs-test-scripts\Headless Mode &amp; Sideloading\WalkAndUnGZ.bat" "%USERPROFILE%\AppData\Local\Temp\OnboardLogs"\RTDC4064\2017-10-25</v>
      </c>
      <c r="S34" s="84" t="str">
        <f>VLOOKUP(C34,'Train Runs'!$A$13:$AE$10074,22,0)</f>
        <v>https://d0f6bd738d7f1b3e5a7ca70fe4ff75f0.us-east-1.aws.found.io/app/kibana#/discover/Steve-Slow-Train-Analysis-(2080s-and-2083s)?_g=(refreshInterval:(display:Off,pause:!f,section:0,value:0),time:(from:'2017-10-24T14:28:48-0600',mode:absolute,to:'2017-10-24T16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/stypes="*4064*201710242*" /stext=" 21:.+((SYSTEM_STATE.+slice.+state.+changed )|(ment ac)|(multiple cpu faults)|(system.+state.+changed )|(\[timeout)|(PRM\|1\|D)|(kpr)|(kdp)|(train st.+moving)|(\|lc)|(penalty))"</v>
      </c>
      <c r="U34" s="9" t="str">
        <f>MID(B34,13,4)</f>
        <v>4064</v>
      </c>
      <c r="V34" s="31">
        <f>A34-utc_offset/24</f>
        <v>43032.913229166668</v>
      </c>
      <c r="W34" s="45" t="str">
        <f>DetSubdiv(C34)</f>
        <v>NW</v>
      </c>
      <c r="X34" s="22">
        <f>VALUE(LEFT(C34,LEN(C34)-3))</f>
        <v>827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{"issue":{"subject":"","project_id":79,"tracker_id":40,"status_id":1,"priority_id":2,"assigned_to_id":338,"start_date":"2017-10-24","description":"","custom_fields":[{"id":1,"name":"Subdivision","value":"NW"},{"id":4,"name":"Milepost","value":"5.9048"},{"id":17,"name":"Train ID","value":"827-24"},{"id":16,"name":"Locomotive ID","value":"4064"},{"id":130,"name":"Impact","value":""},{"id":150,"name":"Time of Event (Mountain Time)","value":"15:55:03"},{"id":151,"name":"Denver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/c/Users/stu/AppData/Local/Temp/OnboardLogs/RTDC4064 --include="*4064*201710242*"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"%USERPROFILE%\AppData\Local\Temp\OnboardLogs"\RTDC4064\*4064*201710242* &gt;&gt; 2017-10-24-SliceDisagreementCheck.txt</v>
      </c>
      <c r="AE34" s="145" t="str">
        <f t="shared" si="1"/>
        <v>start /low /b %USERPROFILE%\Documents\GitHub\eaglep3\Utilities\DownloadLogsFromS3.py --loco 4064 --day 2017-10-24</v>
      </c>
      <c r="AF34" s="1"/>
    </row>
    <row r="35" spans="1:32" x14ac:dyDescent="0.3">
      <c r="A35" s="31">
        <v>43032.890659722223</v>
      </c>
      <c r="B35" s="30" t="s">
        <v>647</v>
      </c>
      <c r="C35" s="30" t="s">
        <v>672</v>
      </c>
      <c r="D35" s="30" t="s">
        <v>49</v>
      </c>
      <c r="E35" s="30" t="s">
        <v>179</v>
      </c>
      <c r="F35" s="42">
        <v>0</v>
      </c>
      <c r="G35" s="42">
        <v>44</v>
      </c>
      <c r="H35" s="42">
        <v>58943</v>
      </c>
      <c r="I35" s="42">
        <v>58982</v>
      </c>
      <c r="J35" s="30" t="s">
        <v>180</v>
      </c>
      <c r="K35" s="42">
        <v>59048</v>
      </c>
      <c r="L35" s="131" t="s">
        <v>50</v>
      </c>
      <c r="M35" s="132">
        <f>CONVERT((I35-K35)/10000,"mi","ft")*IF(L35="Increasing Mileposts (1)",-1,1)</f>
        <v>34.847999999999999</v>
      </c>
      <c r="N35" s="133" t="str">
        <f>VLOOKUP(C35,'Trips&amp;Operators'!$C$1:$G$99911,5,FALSE)</f>
        <v>STAMBAUGH JAMES</v>
      </c>
      <c r="O35" s="176" t="s">
        <v>178</v>
      </c>
      <c r="P35" s="134"/>
      <c r="Q35" s="30"/>
      <c r="R35" s="81" t="str">
        <f>VLOOKUP(C35,'Train Runs'!$A$13:$AE$10074,31,0)</f>
        <v>aws s3 cp s3://rtdc.mdm.uploadarchive.raw/RTDC4036/ "%USERPROFILE%\AppData\Local\Temp\OnboardLogs"\RTDC4036\2017-10-24 --exclude "*" --recursive --include "*20171024*" &amp; "%USERPROFILE%\Documents\GitHub\mrs-test-scripts\Headless Mode &amp; Sideloading\WalkAndUnGZ.bat" "%USERPROFILE%\AppData\Local\Temp\OnboardLogs"\RTDC4036\2017-10-24 &amp; aws s3 cp s3://rtdc.mdm.uploadarchive.raw/RTDC4036/ "%USERPROFILE%\AppData\Local\Temp\OnboardLogs"\RTDC4036\2017-10-25 --exclude "*" --recursive --include "*20171025*" &amp; "%USERPROFILE%\Documents\GitHub\mrs-test-scripts\Headless Mode &amp; Sideloading\WalkAndUnGZ.bat" "%USERPROFILE%\AppData\Local\Temp\OnboardLogs"\RTDC4036\2017-10-25</v>
      </c>
      <c r="S35" s="84" t="str">
        <f>VLOOKUP(C35,'Train Runs'!$A$13:$AE$10074,22,0)</f>
        <v>https://d0f6bd738d7f1b3e5a7ca70fe4ff75f0.us-east-1.aws.found.io/app/kibana#/discover/Steve-Slow-Train-Analysis-(2080s-and-2083s)?_g=(refreshInterval:(display:Off,pause:!f,section:0,value:0),time:(from:'2017-10-24T20:23:51-0600',mode:absolute,to:'2017-10-24T22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/stypes="*4036*201710250*" /stext=" 03:.+((SYSTEM_STATE.+slice.+state.+changed )|(ment ac)|(multiple cpu faults)|(system.+state.+changed )|(\[timeout)|(PRM\|1\|D)|(kpr)|(kdp)|(train st.+moving)|(\|lc)|(penalty))"</v>
      </c>
      <c r="U35" s="9" t="str">
        <f>MID(B35,13,4)</f>
        <v>4036</v>
      </c>
      <c r="V35" s="31">
        <f>A35-utc_offset/24</f>
        <v>43033.140659722223</v>
      </c>
      <c r="W35" s="45" t="str">
        <f>DetSubdiv(C35)</f>
        <v>NW</v>
      </c>
      <c r="X35" s="22">
        <f>VALUE(LEFT(C35,LEN(C35)-3))</f>
        <v>845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{"issue":{"subject":"","project_id":79,"tracker_id":40,"status_id":1,"priority_id":2,"assigned_to_id":338,"start_date":"2017-10-24","description":"","custom_fields":[{"id":1,"name":"Subdivision","value":"NW"},{"id":4,"name":"Milepost","value":"5.9048"},{"id":17,"name":"Train ID","value":"845-24"},{"id":16,"name":"Locomotive ID","value":"4036"},{"id":130,"name":"Impact","value":""},{"id":150,"name":"Time of Event (Mountain Time)","value":"21:22:33"},{"id":151,"name":"Denver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/c/Users/stu/AppData/Local/Temp/OnboardLogs/RTDC4036 --include="*4036*201710250*"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"%USERPROFILE%\AppData\Local\Temp\OnboardLogs"\RTDC4036\*4036*201710250* &gt;&gt; 2017-10-24-SliceDisagreementCheck.txt</v>
      </c>
      <c r="AE35" s="145" t="str">
        <f t="shared" si="1"/>
        <v>start /low /b %USERPROFILE%\Documents\GitHub\eaglep3\Utilities\DownloadLogsFromS3.py --loco 4036 --day 2017-10-25</v>
      </c>
      <c r="AF35" s="1"/>
    </row>
    <row r="36" spans="1:32" x14ac:dyDescent="0.3">
      <c r="A36" s="31">
        <v>43032.621782407405</v>
      </c>
      <c r="B36" s="30" t="s">
        <v>573</v>
      </c>
      <c r="C36" s="30" t="s">
        <v>654</v>
      </c>
      <c r="D36" s="30" t="s">
        <v>49</v>
      </c>
      <c r="E36" s="30" t="s">
        <v>185</v>
      </c>
      <c r="F36" s="42">
        <v>0</v>
      </c>
      <c r="G36" s="42">
        <v>206</v>
      </c>
      <c r="H36" s="42">
        <v>10663</v>
      </c>
      <c r="I36" s="42">
        <v>11111</v>
      </c>
      <c r="J36" s="30" t="s">
        <v>186</v>
      </c>
      <c r="K36" s="42">
        <v>10716</v>
      </c>
      <c r="L36" s="131" t="s">
        <v>50</v>
      </c>
      <c r="M36" s="132">
        <f>CONVERT((I36-K36)/10000,"mi","ft")*IF(L36="Increasing Mileposts (1)",-1,1)</f>
        <v>-208.56</v>
      </c>
      <c r="N36" s="133" t="str">
        <f>VLOOKUP(C36,'Trips&amp;Operators'!$C$1:$G$99911,5,FALSE)</f>
        <v>PELLITIER GEORGE</v>
      </c>
      <c r="O36" s="176" t="s">
        <v>178</v>
      </c>
      <c r="P36" s="134"/>
      <c r="Q36" s="30"/>
      <c r="R36" s="81" t="str">
        <f>VLOOKUP(C36,'Train Runs'!$A$13:$AE$10074,31,0)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S36" s="84" t="str">
        <f>VLOOKUP(C36,'Train Runs'!$A$13:$AE$10074,22,0)</f>
        <v>https://d0f6bd738d7f1b3e5a7ca70fe4ff75f0.us-east-1.aws.found.io/app/kibana#/discover/Steve-Slow-Train-Analysis-(2080s-and-2083s)?_g=(refreshInterval:(display:Off,pause:!f,section:0,value:0),time:(from:'2017-10-24T07:57:54-0600',mode:absolute,to:'2017-10-24T10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/stypes="*4042*201710242*" /stext=" 20:.+((SYSTEM_STATE.+slice.+state.+changed )|(ment ac)|(multiple cpu faults)|(system.+state.+changed )|(\[timeout)|(PRM\|1\|D)|(kpr)|(kdp)|(train st.+moving)|(\|lc)|(penalty))"</v>
      </c>
      <c r="U36" s="9" t="str">
        <f>MID(B36,13,4)</f>
        <v>4042</v>
      </c>
      <c r="V36" s="31">
        <f>A36-utc_offset/24</f>
        <v>43032.871782407405</v>
      </c>
      <c r="W36" s="45" t="str">
        <f>DetSubdiv(C36)</f>
        <v>Shuttle/Test</v>
      </c>
      <c r="X36" s="22">
        <f>VALUE(LEFT(C36,LEN(C36)-3))</f>
        <v>61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1.0716"},{"id":17,"name":"Train ID","value":"61-24"},{"id":16,"name":"Locomotive ID","value":"4042"},{"id":130,"name":"Impact","value":""},{"id":150,"name":"Time of Event (Mountain Time)","value":"14:55:22"},{"id":151,"name":"Denver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/c/Users/stu/AppData/Local/Temp/OnboardLogs/RTDC4042 --include="*4042*201710242*"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"%USERPROFILE%\AppData\Local\Temp\OnboardLogs"\RTDC4042\*4042*201710242* &gt;&gt; 2017-10-24-SliceDisagreementCheck.txt</v>
      </c>
      <c r="AE36" s="145" t="str">
        <f t="shared" si="1"/>
        <v>start /low /b %USERPROFILE%\Documents\GitHub\eaglep3\Utilities\DownloadLogsFromS3.py --loco 4042 --day 2017-10-24</v>
      </c>
      <c r="AF36" s="1"/>
    </row>
    <row r="37" spans="1:32" x14ac:dyDescent="0.3">
      <c r="A37" s="31">
        <v>43032.487800925926</v>
      </c>
      <c r="B37" s="30" t="s">
        <v>573</v>
      </c>
      <c r="C37" s="30" t="s">
        <v>654</v>
      </c>
      <c r="D37" s="30" t="s">
        <v>49</v>
      </c>
      <c r="E37" s="30" t="s">
        <v>192</v>
      </c>
      <c r="F37" s="42">
        <v>300</v>
      </c>
      <c r="G37" s="42">
        <v>367</v>
      </c>
      <c r="H37" s="42">
        <v>20487</v>
      </c>
      <c r="I37" s="42">
        <v>21636</v>
      </c>
      <c r="J37" s="30" t="s">
        <v>193</v>
      </c>
      <c r="K37" s="42">
        <v>21312</v>
      </c>
      <c r="L37" s="131" t="s">
        <v>50</v>
      </c>
      <c r="M37" s="132">
        <f>CONVERT((I37-K37)/10000,"mi","ft")*IF(L37="Increasing Mileposts (1)",-1,1)</f>
        <v>-171.072</v>
      </c>
      <c r="N37" s="133" t="str">
        <f>VLOOKUP(C37,'Trips&amp;Operators'!$C$1:$G$99911,5,FALSE)</f>
        <v>PELLITIER GEORGE</v>
      </c>
      <c r="O37" s="176" t="s">
        <v>178</v>
      </c>
      <c r="P37" s="134"/>
      <c r="Q37" s="30"/>
      <c r="R37" s="81" t="str">
        <f>VLOOKUP(C37,'Train Runs'!$A$13:$AE$10074,31,0)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S37" s="84" t="str">
        <f>VLOOKUP(C37,'Train Runs'!$A$13:$AE$10074,22,0)</f>
        <v>https://d0f6bd738d7f1b3e5a7ca70fe4ff75f0.us-east-1.aws.found.io/app/kibana#/discover/Steve-Slow-Train-Analysis-(2080s-and-2083s)?_g=(refreshInterval:(display:Off,pause:!f,section:0,value:0),time:(from:'2017-10-24T07:57:54-0600',mode:absolute,to:'2017-10-24T10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/stypes="*4042*201710241*" /stext=" 17:.+((SYSTEM_STATE.+slice.+state.+changed )|(ment ac)|(multiple cpu faults)|(system.+state.+changed )|(\[timeout)|(PRM\|1\|D)|(kpr)|(kdp)|(train st.+moving)|(\|lc)|(penalty))"</v>
      </c>
      <c r="U37" s="9" t="str">
        <f>MID(B37,13,4)</f>
        <v>4042</v>
      </c>
      <c r="V37" s="31">
        <f>A37-utc_offset/24</f>
        <v>43032.737800925926</v>
      </c>
      <c r="W37" s="45" t="str">
        <f>DetSubdiv(C37)</f>
        <v>Shuttle/Test</v>
      </c>
      <c r="X37" s="22">
        <f>VALUE(LEFT(C37,LEN(C37)-3))</f>
        <v>61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2.1312"},{"id":17,"name":"Train ID","value":"61-24"},{"id":16,"name":"Locomotive ID","value":"4042"},{"id":130,"name":"Impact","value":""},{"id":150,"name":"Time of Event (Mountain Time)","value":"11:42:26"},{"id":151,"name":"Denver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/c/Users/stu/AppData/Local/Temp/OnboardLogs/RTDC4042 --include="*4042*201710241*"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"%USERPROFILE%\AppData\Local\Temp\OnboardLogs"\RTDC4042\*4042*201710241* &gt;&gt; 2017-10-24-SliceDisagreementCheck.txt</v>
      </c>
      <c r="AE37" s="145" t="str">
        <f t="shared" si="1"/>
        <v>start /low /b %USERPROFILE%\Documents\GitHub\eaglep3\Utilities\DownloadLogsFromS3.py --loco 4042 --day 2017-10-24</v>
      </c>
      <c r="AF37" s="1"/>
    </row>
    <row r="38" spans="1:32" x14ac:dyDescent="0.3">
      <c r="A38" s="31">
        <v>43032.736446759256</v>
      </c>
      <c r="B38" s="30" t="s">
        <v>468</v>
      </c>
      <c r="C38" s="30" t="s">
        <v>667</v>
      </c>
      <c r="D38" s="30" t="s">
        <v>95</v>
      </c>
      <c r="E38" s="30" t="s">
        <v>402</v>
      </c>
      <c r="F38" s="42">
        <v>0</v>
      </c>
      <c r="G38" s="42">
        <v>42</v>
      </c>
      <c r="H38" s="42">
        <v>1736</v>
      </c>
      <c r="I38" s="42">
        <v>1771</v>
      </c>
      <c r="J38" s="30" t="s">
        <v>403</v>
      </c>
      <c r="K38" s="42">
        <v>1692</v>
      </c>
      <c r="L38" s="131" t="s">
        <v>50</v>
      </c>
      <c r="M38" s="132">
        <f>CONVERT((I38-K38)/10000,"mi","ft")*IF(L38="Increasing Mileposts (1)",-1,1)</f>
        <v>-41.712000000000003</v>
      </c>
      <c r="N38" s="133" t="str">
        <f>VLOOKUP(C38,'Trips&amp;Operators'!$C$1:$G$99911,5,FALSE)</f>
        <v>NELSON ARIANE</v>
      </c>
      <c r="O38" s="176" t="s">
        <v>178</v>
      </c>
      <c r="P38" s="134"/>
      <c r="Q38" s="30"/>
      <c r="R38" s="81" t="str">
        <f>VLOOKUP(C38,'Train Runs'!$A$13:$AE$10074,31,0)</f>
        <v>aws s3 cp s3://rtdc.mdm.uploadarchive.raw/RTDC4032/ "%USERPROFILE%\AppData\Local\Temp\OnboardLogs"\RTDC4032\2017-10-24 --exclude "*" --recursive --include "*20171024*" &amp; "%USERPROFILE%\Documents\GitHub\mrs-test-scripts\Headless Mode &amp; Sideloading\WalkAndUnGZ.bat" "%USERPROFILE%\AppData\Local\Temp\OnboardLogs"\RTDC4032\2017-10-24 &amp; aws s3 cp s3://rtdc.mdm.uploadarchive.raw/RTDC4032/ "%USERPROFILE%\AppData\Local\Temp\OnboardLogs"\RTDC4032\2017-10-25 --exclude "*" --recursive --include "*20171025*" &amp; "%USERPROFILE%\Documents\GitHub\mrs-test-scripts\Headless Mode &amp; Sideloading\WalkAndUnGZ.bat" "%USERPROFILE%\AppData\Local\Temp\OnboardLogs"\RTDC4032\2017-10-25</v>
      </c>
      <c r="S38" s="84" t="str">
        <f>VLOOKUP(C38,'Train Runs'!$A$13:$AE$10074,22,0)</f>
        <v>https://d0f6bd738d7f1b3e5a7ca70fe4ff75f0.us-east-1.aws.found.io/app/kibana#/discover/Steve-Slow-Train-Analysis-(2080s-and-2083s)?_g=(refreshInterval:(display:Off,pause:!f,section:0,value:0),time:(from:'2017-10-24T16:35:16-0600',mode:absolute,to:'2017-10-24T18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/stypes="*4032*201710242*" /stext=" 23:.+((SYSTEM_STATE.+slice.+state.+changed )|(ment ac)|(multiple cpu faults)|(system.+state.+changed )|(\[timeout)|(PRM\|1\|D)|(kpr)|(kdp)|(train st.+moving)|(\|lc)|(penalty))"</v>
      </c>
      <c r="U38" s="9" t="str">
        <f>MID(B38,13,4)</f>
        <v>4032</v>
      </c>
      <c r="V38" s="31">
        <f>A38-utc_offset/24</f>
        <v>43032.986446759256</v>
      </c>
      <c r="W38" s="45" t="str">
        <f>DetSubdiv(C38)</f>
        <v>Shuttle/Test</v>
      </c>
      <c r="X38" s="22">
        <f>VALUE(LEFT(C38,LEN(C38)-3))</f>
        <v>75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0.1692"},{"id":17,"name":"Train ID","value":"75-24"},{"id":16,"name":"Locomotive ID","value":"4032"},{"id":130,"name":"Impact","value":""},{"id":150,"name":"Time of Event (Mountain Time)","value":"17:40:29"},{"id":151,"name":"Denver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/c/Users/stu/AppData/Local/Temp/OnboardLogs/RTDC4032 --include="*4032*201710242*"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"%USERPROFILE%\AppData\Local\Temp\OnboardLogs"\RTDC4032\*4032*201710242* &gt;&gt; 2017-10-24-SliceDisagreementCheck.txt</v>
      </c>
      <c r="AE38" s="145" t="str">
        <f t="shared" si="1"/>
        <v>start /low /b %USERPROFILE%\Documents\GitHub\eaglep3\Utilities\DownloadLogsFromS3.py --loco 4032 --day 2017-10-24</v>
      </c>
      <c r="AF38" s="1"/>
    </row>
    <row r="39" spans="1:32" x14ac:dyDescent="0.3">
      <c r="A39" s="31">
        <v>43032.594143518516</v>
      </c>
      <c r="B39" s="30" t="s">
        <v>581</v>
      </c>
      <c r="C39" s="30" t="s">
        <v>658</v>
      </c>
      <c r="D39" s="30" t="s">
        <v>95</v>
      </c>
      <c r="E39" s="30" t="s">
        <v>402</v>
      </c>
      <c r="F39" s="42">
        <v>0</v>
      </c>
      <c r="G39" s="42">
        <v>4</v>
      </c>
      <c r="H39" s="42">
        <v>4571</v>
      </c>
      <c r="I39" s="42">
        <v>4563</v>
      </c>
      <c r="J39" s="30" t="s">
        <v>403</v>
      </c>
      <c r="K39" s="42">
        <v>4798</v>
      </c>
      <c r="L39" s="131" t="s">
        <v>51</v>
      </c>
      <c r="M39" s="132">
        <f>CONVERT((I39-K39)/10000,"mi","ft")*IF(L39="Increasing Mileposts (1)",-1,1)</f>
        <v>-124.08</v>
      </c>
      <c r="N39" s="133" t="str">
        <f>VLOOKUP(C39,'Trips&amp;Operators'!$C$1:$G$99911,5,FALSE)</f>
        <v>PELLITIER GEORGE</v>
      </c>
      <c r="O39" s="176" t="s">
        <v>178</v>
      </c>
      <c r="P39" s="134" t="s">
        <v>641</v>
      </c>
      <c r="Q39" s="30"/>
      <c r="R39" s="81" t="str">
        <f>VLOOKUP(C39,'Train Runs'!$A$13:$AE$10074,31,0)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S39" s="84" t="str">
        <f>VLOOKUP(C39,'Train Runs'!$A$13:$AE$10074,22,0)</f>
        <v>https://d0f6bd738d7f1b3e5a7ca70fe4ff75f0.us-east-1.aws.found.io/app/kibana#/discover/Steve-Slow-Train-Analysis-(2080s-and-2083s)?_g=(refreshInterval:(display:Off,pause:!f,section:0,value:0),time:(from:'2017-10-24T07:38:11-0600',mode:absolute,to:'2017-10-24T09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/stypes="*4041*201710242*" /stext=" 20:.+((SYSTEM_STATE.+slice.+state.+changed )|(ment ac)|(multiple cpu faults)|(system.+state.+changed )|(\[timeout)|(PRM\|1\|D)|(kpr)|(kdp)|(train st.+moving)|(\|lc)|(penalty))"</v>
      </c>
      <c r="U39" s="9" t="str">
        <f>MID(B39,13,4)</f>
        <v>4041</v>
      </c>
      <c r="V39" s="31">
        <f>A39-utc_offset/24</f>
        <v>43032.844143518516</v>
      </c>
      <c r="W39" s="45" t="str">
        <f>DetSubdiv(C39)</f>
        <v>Shuttle/Test</v>
      </c>
      <c r="X39" s="22">
        <f>VALUE(LEFT(C39,LEN(C39)-3))</f>
        <v>60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overpass","project_id":79,"tracker_id":40,"status_id":1,"priority_id":2,"assigned_to_id":338,"start_date":"2017-10-24","description":"","custom_fields":[{"id":1,"name":"Subdivision","value":"Shuttle/Test"},{"id":4,"name":"Milepost","value":"0.4798"},{"id":17,"name":"Train ID","value":"60-24"},{"id":16,"name":"Locomotive ID","value":"4041"},{"id":130,"name":"Impact","value":""},{"id":150,"name":"Time of Event (Mountain Time)","value":"14:15:34"},{"id":151,"name":"Denver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/c/Users/stu/AppData/Local/Temp/OnboardLogs/RTDC4041 --include="*4041*201710242*"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"%USERPROFILE%\AppData\Local\Temp\OnboardLogs"\RTDC4041\*4041*201710242* &gt;&gt; 2017-10-24-SliceDisagreementCheck.txt</v>
      </c>
      <c r="AE39" s="145" t="str">
        <f t="shared" si="1"/>
        <v>start /low /b %USERPROFILE%\Documents\GitHub\eaglep3\Utilities\DownloadLogsFromS3.py --loco 4041 --day 2017-10-24</v>
      </c>
      <c r="AF39" s="1"/>
    </row>
    <row r="40" spans="1:32" x14ac:dyDescent="0.3">
      <c r="A40" s="31">
        <v>43032.377974537034</v>
      </c>
      <c r="B40" s="30" t="s">
        <v>573</v>
      </c>
      <c r="C40" s="30" t="s">
        <v>654</v>
      </c>
      <c r="D40" s="30" t="s">
        <v>95</v>
      </c>
      <c r="E40" s="30" t="s">
        <v>655</v>
      </c>
      <c r="F40" s="42">
        <v>100</v>
      </c>
      <c r="G40" s="42">
        <v>151</v>
      </c>
      <c r="H40" s="42">
        <v>5015</v>
      </c>
      <c r="I40" s="42">
        <v>5212</v>
      </c>
      <c r="J40" s="30" t="s">
        <v>186</v>
      </c>
      <c r="K40" s="42">
        <v>3900</v>
      </c>
      <c r="L40" s="131" t="s">
        <v>50</v>
      </c>
      <c r="M40" s="132">
        <f>CONVERT((I40-K40)/10000,"mi","ft")*IF(L40="Increasing Mileposts (1)",-1,1)</f>
        <v>-692.7360000000001</v>
      </c>
      <c r="N40" s="133" t="str">
        <f>VLOOKUP(C40,'Trips&amp;Operators'!$C$1:$G$99911,5,FALSE)</f>
        <v>PELLITIER GEORGE</v>
      </c>
      <c r="O40" s="176" t="s">
        <v>178</v>
      </c>
      <c r="P40" s="134"/>
      <c r="Q40" s="30"/>
      <c r="R40" s="81" t="str">
        <f>VLOOKUP(C40,'Train Runs'!$A$13:$AE$10074,31,0)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S40" s="84" t="str">
        <f>VLOOKUP(C40,'Train Runs'!$A$13:$AE$10074,22,0)</f>
        <v>https://d0f6bd738d7f1b3e5a7ca70fe4ff75f0.us-east-1.aws.found.io/app/kibana#/discover/Steve-Slow-Train-Analysis-(2080s-and-2083s)?_g=(refreshInterval:(display:Off,pause:!f,section:0,value:0),time:(from:'2017-10-24T07:57:54-0600',mode:absolute,to:'2017-10-24T10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/stypes="*4042*201710241*" /stext=" 15:.+((SYSTEM_STATE.+slice.+state.+changed )|(ment ac)|(multiple cpu faults)|(system.+state.+changed )|(\[timeout)|(PRM\|1\|D)|(kpr)|(kdp)|(train st.+moving)|(\|lc)|(penalty))"</v>
      </c>
      <c r="U40" s="9" t="str">
        <f>MID(B40,13,4)</f>
        <v>4042</v>
      </c>
      <c r="V40" s="31">
        <f>A40-utc_offset/24</f>
        <v>43032.627974537034</v>
      </c>
      <c r="W40" s="45" t="str">
        <f>DetSubdiv(C40)</f>
        <v>Shuttle/Test</v>
      </c>
      <c r="X40" s="22">
        <f>VALUE(LEFT(C40,LEN(C40)-3))</f>
        <v>61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0.39"},{"id":17,"name":"Train ID","value":"61-24"},{"id":16,"name":"Locomotive ID","value":"4042"},{"id":130,"name":"Impact","value":""},{"id":150,"name":"Time of Event (Mountain Time)","value":"09:04:17"},{"id":151,"name":"Denver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/c/Users/stu/AppData/Local/Temp/OnboardLogs/RTDC4042 --include="*4042*201710241*"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"%USERPROFILE%\AppData\Local\Temp\OnboardLogs"\RTDC4042\*4042*201710241* &gt;&gt; 2017-10-24-SliceDisagreementCheck.txt</v>
      </c>
      <c r="AE40" s="145" t="str">
        <f t="shared" si="1"/>
        <v>start /low /b %USERPROFILE%\Documents\GitHub\eaglep3\Utilities\DownloadLogsFromS3.py --loco 4042 --day 2017-10-24</v>
      </c>
      <c r="AF40" s="1"/>
    </row>
    <row r="41" spans="1:32" x14ac:dyDescent="0.3">
      <c r="A41" s="31">
        <v>43032.415347222224</v>
      </c>
      <c r="B41" s="30" t="s">
        <v>581</v>
      </c>
      <c r="C41" s="30" t="s">
        <v>658</v>
      </c>
      <c r="D41" s="30" t="s">
        <v>49</v>
      </c>
      <c r="E41" s="30" t="s">
        <v>655</v>
      </c>
      <c r="F41" s="42">
        <v>100</v>
      </c>
      <c r="G41" s="42">
        <v>168</v>
      </c>
      <c r="H41" s="42">
        <v>5168</v>
      </c>
      <c r="I41" s="42">
        <v>4870</v>
      </c>
      <c r="J41" s="30" t="s">
        <v>186</v>
      </c>
      <c r="K41" s="42">
        <v>4701</v>
      </c>
      <c r="L41" s="131" t="s">
        <v>51</v>
      </c>
      <c r="M41" s="132">
        <f>CONVERT((I41-K41)/10000,"mi","ft")*IF(L41="Increasing Mileposts (1)",-1,1)</f>
        <v>89.231999999999985</v>
      </c>
      <c r="N41" s="133" t="str">
        <f>VLOOKUP(C41,'Trips&amp;Operators'!$C$1:$G$99911,5,FALSE)</f>
        <v>PELLITIER GEORGE</v>
      </c>
      <c r="O41" s="176" t="s">
        <v>178</v>
      </c>
      <c r="P41" s="134"/>
      <c r="Q41" s="30"/>
      <c r="R41" s="81" t="str">
        <f>VLOOKUP(C41,'Train Runs'!$A$13:$AE$10074,31,0)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S41" s="84" t="str">
        <f>VLOOKUP(C41,'Train Runs'!$A$13:$AE$10074,22,0)</f>
        <v>https://d0f6bd738d7f1b3e5a7ca70fe4ff75f0.us-east-1.aws.found.io/app/kibana#/discover/Steve-Slow-Train-Analysis-(2080s-and-2083s)?_g=(refreshInterval:(display:Off,pause:!f,section:0,value:0),time:(from:'2017-10-24T07:38:11-0600',mode:absolute,to:'2017-10-24T09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/stypes="*4041*201710241*" /stext=" 15:.+((SYSTEM_STATE.+slice.+state.+changed )|(ment ac)|(multiple cpu faults)|(system.+state.+changed )|(\[timeout)|(PRM\|1\|D)|(kpr)|(kdp)|(train st.+moving)|(\|lc)|(penalty))"</v>
      </c>
      <c r="U41" s="9" t="str">
        <f>MID(B41,13,4)</f>
        <v>4041</v>
      </c>
      <c r="V41" s="31">
        <f>A41-utc_offset/24</f>
        <v>43032.665347222224</v>
      </c>
      <c r="W41" s="45" t="str">
        <f>DetSubdiv(C41)</f>
        <v>Shuttle/Test</v>
      </c>
      <c r="X41" s="22">
        <f>VALUE(LEFT(C41,LEN(C41)-3))</f>
        <v>60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0.4701"},{"id":17,"name":"Train ID","value":"60-24"},{"id":16,"name":"Locomotive ID","value":"4041"},{"id":130,"name":"Impact","value":""},{"id":150,"name":"Time of Event (Mountain Time)","value":"09:58:06"},{"id":151,"name":"Denver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/c/Users/stu/AppData/Local/Temp/OnboardLogs/RTDC4041 --include="*4041*201710241*"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"%USERPROFILE%\AppData\Local\Temp\OnboardLogs"\RTDC4041\*4041*201710241* &gt;&gt; 2017-10-24-SliceDisagreementCheck.txt</v>
      </c>
      <c r="AE41" s="145" t="str">
        <f t="shared" si="1"/>
        <v>start /low /b %USERPROFILE%\Documents\GitHub\eaglep3\Utilities\DownloadLogsFromS3.py --loco 4041 --day 2017-10-24</v>
      </c>
      <c r="AF41" s="1"/>
    </row>
    <row r="42" spans="1:32" x14ac:dyDescent="0.3">
      <c r="A42" s="31">
        <v>43032.416238425925</v>
      </c>
      <c r="B42" s="30" t="s">
        <v>581</v>
      </c>
      <c r="C42" s="30" t="s">
        <v>658</v>
      </c>
      <c r="D42" s="30" t="s">
        <v>95</v>
      </c>
      <c r="E42" s="30" t="s">
        <v>655</v>
      </c>
      <c r="F42" s="42">
        <v>100</v>
      </c>
      <c r="G42" s="42">
        <v>151</v>
      </c>
      <c r="H42" s="42">
        <v>3783</v>
      </c>
      <c r="I42" s="42">
        <v>3498</v>
      </c>
      <c r="J42" s="30" t="s">
        <v>186</v>
      </c>
      <c r="K42" s="42">
        <v>4701</v>
      </c>
      <c r="L42" s="131" t="s">
        <v>51</v>
      </c>
      <c r="M42" s="132">
        <f>CONVERT((I42-K42)/10000,"mi","ft")*IF(L42="Increasing Mileposts (1)",-1,1)</f>
        <v>-635.18399999999997</v>
      </c>
      <c r="N42" s="133" t="str">
        <f>VLOOKUP(C42,'Trips&amp;Operators'!$C$1:$G$99911,5,FALSE)</f>
        <v>PELLITIER GEORGE</v>
      </c>
      <c r="O42" s="176" t="s">
        <v>178</v>
      </c>
      <c r="P42" s="134"/>
      <c r="Q42" s="30"/>
      <c r="R42" s="81" t="str">
        <f>VLOOKUP(C42,'Train Runs'!$A$13:$AE$10074,31,0)</f>
        <v>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 &amp; aws s3 cp s3://rtdc.mdm.uploadarchive.raw/RTDC4041/ "%USERPROFILE%\AppData\Local\Temp\OnboardLogs"\RTDC4041\2017-10-25 --exclude "*" --recursive --include "*20171025*" &amp; "%USERPROFILE%\Documents\GitHub\mrs-test-scripts\Headless Mode &amp; Sideloading\WalkAndUnGZ.bat" "%USERPROFILE%\AppData\Local\Temp\OnboardLogs"\RTDC4041\2017-10-25</v>
      </c>
      <c r="S42" s="84" t="str">
        <f>VLOOKUP(C42,'Train Runs'!$A$13:$AE$10074,22,0)</f>
        <v>https://d0f6bd738d7f1b3e5a7ca70fe4ff75f0.us-east-1.aws.found.io/app/kibana#/discover/Steve-Slow-Train-Analysis-(2080s-and-2083s)?_g=(refreshInterval:(display:Off,pause:!f,section:0,value:0),time:(from:'2017-10-24T07:38:11-0600',mode:absolute,to:'2017-10-24T09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/stypes="*4041*201710241*" /stext=" 15:.+((SYSTEM_STATE.+slice.+state.+changed )|(ment ac)|(multiple cpu faults)|(system.+state.+changed )|(\[timeout)|(PRM\|1\|D)|(kpr)|(kdp)|(train st.+moving)|(\|lc)|(penalty))"</v>
      </c>
      <c r="U42" s="9" t="str">
        <f>MID(B42,13,4)</f>
        <v>4041</v>
      </c>
      <c r="V42" s="31">
        <f>A42-utc_offset/24</f>
        <v>43032.666238425925</v>
      </c>
      <c r="W42" s="45" t="str">
        <f>DetSubdiv(C42)</f>
        <v>Shuttle/Test</v>
      </c>
      <c r="X42" s="22">
        <f>VALUE(LEFT(C42,LEN(C42)-3))</f>
        <v>60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Shuttle/Test"},{"id":4,"name":"Milepost","value":"0.4701"},{"id":17,"name":"Train ID","value":"60-24"},{"id":16,"name":"Locomotive ID","value":"4041"},{"id":130,"name":"Impact","value":""},{"id":150,"name":"Time of Event (Mountain Time)","value":"09:59:23"},{"id":151,"name":"Denver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/c/Users/stu/AppData/Local/Temp/OnboardLogs/RTDC4041 --include="*4041*201710241*"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"%USERPROFILE%\AppData\Local\Temp\OnboardLogs"\RTDC4041\*4041*201710241* &gt;&gt; 2017-10-24-SliceDisagreementCheck.txt</v>
      </c>
      <c r="AE42" s="145" t="str">
        <f t="shared" si="1"/>
        <v>start /low /b %USERPROFILE%\Documents\GitHub\eaglep3\Utilities\DownloadLogsFromS3.py --loco 4041 --day 2017-10-24</v>
      </c>
      <c r="AF42" s="1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42">
      <sortCondition ref="W7:W42"/>
      <sortCondition ref="E7:E42"/>
      <sortCondition ref="K7:K42"/>
      <sortCondition ref="F7:F42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4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4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2017-10-24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-24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Runs'!$A$13:$A$100071,1,FALSE)</f>
        <v>#N/A</v>
      </c>
    </row>
    <row r="4" spans="1:10" x14ac:dyDescent="0.3">
      <c r="A4" s="198"/>
      <c r="B4" s="42" t="str">
        <f>A4&amp;"-"&amp;IF(DAY(Variables!$A$2)&lt;10,0,"")&amp;DAY(Variables!$A$2)</f>
        <v>-24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Runs'!$A$13:$A$100071,1,FALSE)</f>
        <v>#N/A</v>
      </c>
    </row>
    <row r="5" spans="1:10" x14ac:dyDescent="0.3">
      <c r="A5" s="198"/>
      <c r="B5" s="42" t="str">
        <f>A5&amp;"-"&amp;IF(DAY(Variables!$A$2)&lt;10,0,"")&amp;DAY(Variables!$A$2)</f>
        <v>-24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Runs'!$A$13:$A$100071,1,FALSE)</f>
        <v>#N/A</v>
      </c>
    </row>
    <row r="6" spans="1:10" x14ac:dyDescent="0.3">
      <c r="A6" s="198"/>
      <c r="B6" s="42" t="str">
        <f>A6&amp;"-"&amp;IF(DAY(Variables!$A$2)&lt;10,0,"")&amp;DAY(Variables!$A$2)</f>
        <v>-24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Runs'!$A$13:$A$100071,1,FALSE)</f>
        <v>#N/A</v>
      </c>
    </row>
    <row r="7" spans="1:10" x14ac:dyDescent="0.3">
      <c r="A7" s="198"/>
      <c r="B7" s="42" t="str">
        <f>A7&amp;"-"&amp;IF(DAY(Variables!$A$2)&lt;10,0,"")&amp;DAY(Variables!$A$2)</f>
        <v>-24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Runs'!$A$13:$A$100071,1,FALSE)</f>
        <v>#N/A</v>
      </c>
    </row>
    <row r="8" spans="1:10" x14ac:dyDescent="0.3">
      <c r="A8" s="198"/>
      <c r="B8" s="42" t="str">
        <f>A8&amp;"-"&amp;IF(DAY(Variables!$A$2)&lt;10,0,"")&amp;DAY(Variables!$A$2)</f>
        <v>-24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Runs'!$A$13:$A$100071,1,FALSE)</f>
        <v>#N/A</v>
      </c>
    </row>
    <row r="9" spans="1:10" x14ac:dyDescent="0.3">
      <c r="A9" s="198"/>
      <c r="B9" s="42" t="str">
        <f>A9&amp;"-"&amp;IF(DAY(Variables!$A$2)&lt;10,0,"")&amp;DAY(Variables!$A$2)</f>
        <v>-24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Runs'!$A$13:$A$100071,1,FALSE)</f>
        <v>#N/A</v>
      </c>
    </row>
    <row r="10" spans="1:10" x14ac:dyDescent="0.3">
      <c r="A10" s="198"/>
      <c r="B10" s="42" t="str">
        <f>A10&amp;"-"&amp;IF(DAY(Variables!$A$2)&lt;10,0,"")&amp;DAY(Variables!$A$2)</f>
        <v>-24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Runs'!$A$13:$A$100071,1,FALSE)</f>
        <v>#N/A</v>
      </c>
    </row>
    <row r="11" spans="1:10" x14ac:dyDescent="0.3">
      <c r="A11" s="198"/>
      <c r="B11" s="42" t="str">
        <f>A11&amp;"-"&amp;IF(DAY(Variables!$A$2)&lt;10,0,"")&amp;DAY(Variables!$A$2)</f>
        <v>-24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Runs'!$A$13:$A$100071,1,FALSE)</f>
        <v>#N/A</v>
      </c>
    </row>
    <row r="12" spans="1:10" x14ac:dyDescent="0.3">
      <c r="A12" s="198"/>
      <c r="B12" s="42" t="str">
        <f>A12&amp;"-"&amp;IF(DAY(Variables!$A$2)&lt;10,0,"")&amp;DAY(Variables!$A$2)</f>
        <v>-24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Runs'!$A$13:$A$100071,1,FALSE)</f>
        <v>#N/A</v>
      </c>
    </row>
    <row r="13" spans="1:10" x14ac:dyDescent="0.3">
      <c r="A13" s="198"/>
      <c r="B13" s="42" t="str">
        <f>A13&amp;"-"&amp;IF(DAY(Variables!$A$2)&lt;10,0,"")&amp;DAY(Variables!$A$2)</f>
        <v>-24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Runs'!$A$13:$A$100071,1,FALSE)</f>
        <v>#N/A</v>
      </c>
    </row>
    <row r="14" spans="1:10" x14ac:dyDescent="0.3">
      <c r="A14" s="198"/>
      <c r="B14" s="42" t="str">
        <f>A14&amp;"-"&amp;IF(DAY(Variables!$A$2)&lt;10,0,"")&amp;DAY(Variables!$A$2)</f>
        <v>-24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Runs'!$A$13:$A$100071,1,FALSE)</f>
        <v>#N/A</v>
      </c>
    </row>
    <row r="15" spans="1:10" x14ac:dyDescent="0.3">
      <c r="A15" s="198"/>
      <c r="B15" s="42" t="str">
        <f>A15&amp;"-"&amp;IF(DAY(Variables!$A$2)&lt;10,0,"")&amp;DAY(Variables!$A$2)</f>
        <v>-24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Runs'!$A$13:$A$100071,1,FALSE)</f>
        <v>#N/A</v>
      </c>
    </row>
    <row r="16" spans="1:10" x14ac:dyDescent="0.3">
      <c r="A16" s="198"/>
      <c r="B16" s="42" t="str">
        <f>A16&amp;"-"&amp;IF(DAY(Variables!$A$2)&lt;10,0,"")&amp;DAY(Variables!$A$2)</f>
        <v>-24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Runs'!$A$13:$A$100071,1,FALSE)</f>
        <v>#N/A</v>
      </c>
    </row>
    <row r="17" spans="1:10" x14ac:dyDescent="0.3">
      <c r="A17" s="198"/>
      <c r="B17" s="42" t="str">
        <f>A17&amp;"-"&amp;IF(DAY(Variables!$A$2)&lt;10,0,"")&amp;DAY(Variables!$A$2)</f>
        <v>-24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Runs'!$A$13:$A$100071,1,FALSE)</f>
        <v>#N/A</v>
      </c>
    </row>
    <row r="18" spans="1:10" x14ac:dyDescent="0.3">
      <c r="A18" s="198"/>
      <c r="B18" s="42" t="str">
        <f>A18&amp;"-"&amp;IF(DAY(Variables!$A$2)&lt;10,0,"")&amp;DAY(Variables!$A$2)</f>
        <v>-24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Runs'!$A$13:$A$100071,1,FALSE)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sqref="A1:F24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43032.032083333332</v>
      </c>
      <c r="B2" s="20" t="s">
        <v>572</v>
      </c>
      <c r="C2" s="20" t="s">
        <v>594</v>
      </c>
      <c r="D2" s="138">
        <v>3290000</v>
      </c>
      <c r="E2" s="20" t="s">
        <v>554</v>
      </c>
      <c r="F2" s="20" t="s">
        <v>555</v>
      </c>
      <c r="G2" s="8" t="str">
        <f>E2&amp;" "&amp;F2</f>
        <v>CASSIDY BRANDON</v>
      </c>
      <c r="H2" t="str">
        <f>MID(B2,13,4)</f>
        <v>4049</v>
      </c>
    </row>
    <row r="3" spans="1:8" x14ac:dyDescent="0.3">
      <c r="A3" s="8">
        <v>43032.049120370371</v>
      </c>
      <c r="B3" s="20" t="s">
        <v>580</v>
      </c>
      <c r="C3" s="20" t="s">
        <v>595</v>
      </c>
      <c r="D3" s="138">
        <v>890000</v>
      </c>
      <c r="E3" s="20" t="s">
        <v>358</v>
      </c>
      <c r="F3" s="20" t="s">
        <v>359</v>
      </c>
      <c r="G3" s="8" t="str">
        <f t="shared" ref="G3:G66" si="0">E3&amp;" "&amp;F3</f>
        <v>LOZA FIDEL</v>
      </c>
      <c r="H3" s="20" t="str">
        <f t="shared" ref="H3:H66" si="1">MID(B3,13,4)</f>
        <v>4046</v>
      </c>
    </row>
    <row r="4" spans="1:8" x14ac:dyDescent="0.3">
      <c r="A4" s="8">
        <v>43032.056828703702</v>
      </c>
      <c r="B4" s="20" t="s">
        <v>433</v>
      </c>
      <c r="C4" s="20" t="s">
        <v>596</v>
      </c>
      <c r="D4" s="138">
        <v>3040000</v>
      </c>
      <c r="E4" s="20" t="s">
        <v>462</v>
      </c>
      <c r="F4" s="20" t="s">
        <v>463</v>
      </c>
      <c r="G4" s="8" t="str">
        <f t="shared" si="0"/>
        <v>WILLIAMS DONTE</v>
      </c>
      <c r="H4" s="20" t="str">
        <f t="shared" si="1"/>
        <v>4017</v>
      </c>
    </row>
    <row r="5" spans="1:8" x14ac:dyDescent="0.3">
      <c r="A5" s="8">
        <v>43032.073865740742</v>
      </c>
      <c r="B5" s="20" t="s">
        <v>539</v>
      </c>
      <c r="C5" s="20" t="s">
        <v>597</v>
      </c>
      <c r="D5" s="138">
        <v>3290000</v>
      </c>
      <c r="E5" s="20" t="s">
        <v>554</v>
      </c>
      <c r="F5" s="20" t="s">
        <v>555</v>
      </c>
      <c r="G5" s="8" t="str">
        <f t="shared" si="0"/>
        <v>CASSIDY BRANDON</v>
      </c>
      <c r="H5" s="20" t="str">
        <f t="shared" si="1"/>
        <v>4050</v>
      </c>
    </row>
    <row r="6" spans="1:8" x14ac:dyDescent="0.3">
      <c r="A6" s="8">
        <v>43032.092141203706</v>
      </c>
      <c r="B6" s="20" t="s">
        <v>429</v>
      </c>
      <c r="C6" s="20" t="s">
        <v>598</v>
      </c>
      <c r="D6" s="138">
        <v>3040000</v>
      </c>
      <c r="E6" s="20" t="s">
        <v>462</v>
      </c>
      <c r="F6" s="20" t="s">
        <v>463</v>
      </c>
      <c r="G6" s="8" t="str">
        <f t="shared" si="0"/>
        <v>WILLIAMS DONTE</v>
      </c>
      <c r="H6" s="20" t="str">
        <f t="shared" si="1"/>
        <v>4018</v>
      </c>
    </row>
    <row r="7" spans="1:8" x14ac:dyDescent="0.3">
      <c r="A7" s="8">
        <v>43032.122037037036</v>
      </c>
      <c r="B7" s="20" t="s">
        <v>413</v>
      </c>
      <c r="C7" s="20" t="s">
        <v>674</v>
      </c>
      <c r="D7" s="138">
        <v>900000</v>
      </c>
      <c r="E7" s="20" t="s">
        <v>675</v>
      </c>
      <c r="F7" s="20" t="s">
        <v>676</v>
      </c>
      <c r="G7" s="8" t="str">
        <f t="shared" si="0"/>
        <v>ROCHA YAOTL</v>
      </c>
      <c r="H7" s="20" t="str">
        <f t="shared" si="1"/>
        <v>4009</v>
      </c>
    </row>
    <row r="8" spans="1:8" x14ac:dyDescent="0.3">
      <c r="A8" s="8">
        <v>43032.134328703702</v>
      </c>
      <c r="B8" s="20" t="s">
        <v>456</v>
      </c>
      <c r="C8" s="20" t="s">
        <v>677</v>
      </c>
      <c r="D8" s="138">
        <v>900000</v>
      </c>
      <c r="E8" s="20" t="s">
        <v>675</v>
      </c>
      <c r="F8" s="20" t="s">
        <v>676</v>
      </c>
      <c r="G8" s="8" t="str">
        <f t="shared" si="0"/>
        <v>ROCHA YAOTL</v>
      </c>
      <c r="H8" s="20" t="str">
        <f t="shared" si="1"/>
        <v>4024</v>
      </c>
    </row>
    <row r="9" spans="1:8" ht="15" thickBot="1" x14ac:dyDescent="0.35">
      <c r="A9" s="24">
        <v>43032.140694444446</v>
      </c>
      <c r="B9" s="20" t="s">
        <v>652</v>
      </c>
      <c r="C9" s="20" t="s">
        <v>678</v>
      </c>
      <c r="D9" s="138">
        <v>940000</v>
      </c>
      <c r="E9" s="20" t="s">
        <v>578</v>
      </c>
      <c r="F9" s="20" t="s">
        <v>579</v>
      </c>
      <c r="G9" s="8" t="str">
        <f t="shared" si="0"/>
        <v>BONDS REYNALDO</v>
      </c>
      <c r="H9" s="20" t="str">
        <f t="shared" si="1"/>
        <v>4027</v>
      </c>
    </row>
    <row r="10" spans="1:8" x14ac:dyDescent="0.3">
      <c r="A10" s="8">
        <v>43032.153124999997</v>
      </c>
      <c r="B10" s="20" t="s">
        <v>538</v>
      </c>
      <c r="C10" s="20" t="s">
        <v>643</v>
      </c>
      <c r="D10" s="138">
        <v>940000</v>
      </c>
      <c r="E10" s="20" t="s">
        <v>578</v>
      </c>
      <c r="F10" s="20" t="s">
        <v>579</v>
      </c>
      <c r="G10" s="8" t="str">
        <f t="shared" si="0"/>
        <v>BONDS REYNALDO</v>
      </c>
      <c r="H10" s="20" t="str">
        <f t="shared" si="1"/>
        <v>4028</v>
      </c>
    </row>
    <row r="11" spans="1:8" x14ac:dyDescent="0.3">
      <c r="A11" s="8">
        <v>43032.158564814818</v>
      </c>
      <c r="B11" s="20" t="s">
        <v>414</v>
      </c>
      <c r="C11" s="20" t="s">
        <v>679</v>
      </c>
      <c r="D11" s="138">
        <v>1110000</v>
      </c>
      <c r="E11" s="20" t="s">
        <v>576</v>
      </c>
      <c r="F11" s="20" t="s">
        <v>577</v>
      </c>
      <c r="G11" s="8" t="str">
        <f t="shared" si="0"/>
        <v>STARKS ANGELINA</v>
      </c>
      <c r="H11" s="20" t="str">
        <f t="shared" si="1"/>
        <v>4010</v>
      </c>
    </row>
    <row r="12" spans="1:8" x14ac:dyDescent="0.3">
      <c r="A12" s="8">
        <v>43032.159814814811</v>
      </c>
      <c r="B12" s="20" t="s">
        <v>537</v>
      </c>
      <c r="C12" s="20" t="s">
        <v>680</v>
      </c>
      <c r="D12" s="138">
        <v>3120000</v>
      </c>
      <c r="E12" s="20" t="s">
        <v>574</v>
      </c>
      <c r="F12" s="20" t="s">
        <v>575</v>
      </c>
      <c r="G12" s="8" t="str">
        <f t="shared" si="0"/>
        <v>THOMPSON LESTER</v>
      </c>
      <c r="H12" s="20" t="str">
        <f t="shared" si="1"/>
        <v>4025</v>
      </c>
    </row>
    <row r="13" spans="1:8" x14ac:dyDescent="0.3">
      <c r="A13" s="8">
        <v>43032.161550925928</v>
      </c>
      <c r="B13" s="20" t="s">
        <v>413</v>
      </c>
      <c r="C13" s="20" t="s">
        <v>681</v>
      </c>
      <c r="D13" s="138">
        <v>1110000</v>
      </c>
      <c r="E13" s="20" t="s">
        <v>576</v>
      </c>
      <c r="F13" s="20" t="s">
        <v>577</v>
      </c>
      <c r="G13" s="8" t="str">
        <f t="shared" si="0"/>
        <v>STARKS ANGELINA</v>
      </c>
      <c r="H13" s="20" t="str">
        <f t="shared" si="1"/>
        <v>4009</v>
      </c>
    </row>
    <row r="14" spans="1:8" x14ac:dyDescent="0.3">
      <c r="A14" s="8">
        <v>43032.172256944446</v>
      </c>
      <c r="B14" s="20" t="s">
        <v>540</v>
      </c>
      <c r="C14" s="20" t="s">
        <v>642</v>
      </c>
      <c r="D14" s="138">
        <v>3120000</v>
      </c>
      <c r="E14" s="20" t="s">
        <v>574</v>
      </c>
      <c r="F14" s="20" t="s">
        <v>575</v>
      </c>
      <c r="G14" s="8" t="str">
        <f t="shared" si="0"/>
        <v>THOMPSON LESTER</v>
      </c>
      <c r="H14" s="20" t="str">
        <f t="shared" si="1"/>
        <v>4026</v>
      </c>
    </row>
    <row r="15" spans="1:8" x14ac:dyDescent="0.3">
      <c r="A15" s="8">
        <v>43032.172418981485</v>
      </c>
      <c r="B15" s="20" t="s">
        <v>412</v>
      </c>
      <c r="C15" s="20" t="s">
        <v>682</v>
      </c>
      <c r="D15" s="138">
        <v>3510000</v>
      </c>
      <c r="E15" s="20" t="s">
        <v>541</v>
      </c>
      <c r="F15" s="20" t="s">
        <v>542</v>
      </c>
      <c r="G15" s="8" t="str">
        <f t="shared" si="0"/>
        <v>BARRON PERLA</v>
      </c>
      <c r="H15" s="20" t="str">
        <f t="shared" si="1"/>
        <v>4059</v>
      </c>
    </row>
    <row r="16" spans="1:8" x14ac:dyDescent="0.3">
      <c r="A16" s="8">
        <v>43032.173275462963</v>
      </c>
      <c r="B16" s="20" t="s">
        <v>457</v>
      </c>
      <c r="C16" s="20" t="s">
        <v>683</v>
      </c>
      <c r="D16" s="138">
        <v>900000</v>
      </c>
      <c r="E16" s="20" t="s">
        <v>675</v>
      </c>
      <c r="F16" s="20" t="s">
        <v>676</v>
      </c>
      <c r="G16" s="8" t="str">
        <f t="shared" si="0"/>
        <v>ROCHA YAOTL</v>
      </c>
      <c r="H16" s="20" t="str">
        <f t="shared" si="1"/>
        <v>4023</v>
      </c>
    </row>
    <row r="17" spans="1:8" x14ac:dyDescent="0.3">
      <c r="A17" s="8">
        <v>43032.182013888887</v>
      </c>
      <c r="B17" s="20" t="s">
        <v>388</v>
      </c>
      <c r="C17" s="20" t="s">
        <v>684</v>
      </c>
      <c r="D17" s="138">
        <v>3090000</v>
      </c>
      <c r="E17" s="20" t="s">
        <v>545</v>
      </c>
      <c r="F17" s="20" t="s">
        <v>546</v>
      </c>
      <c r="G17" s="8" t="str">
        <f t="shared" si="0"/>
        <v>LAMAR NEKESHA</v>
      </c>
      <c r="H17" s="20" t="str">
        <f t="shared" si="1"/>
        <v>4065</v>
      </c>
    </row>
    <row r="18" spans="1:8" x14ac:dyDescent="0.3">
      <c r="A18" s="8">
        <v>43032.183854166666</v>
      </c>
      <c r="B18" s="20" t="s">
        <v>411</v>
      </c>
      <c r="C18" s="20" t="s">
        <v>685</v>
      </c>
      <c r="D18" s="138">
        <v>3510000</v>
      </c>
      <c r="E18" s="20" t="s">
        <v>541</v>
      </c>
      <c r="F18" s="20" t="s">
        <v>542</v>
      </c>
      <c r="G18" s="8" t="str">
        <f t="shared" si="0"/>
        <v>BARRON PERLA</v>
      </c>
      <c r="H18" s="20" t="str">
        <f t="shared" si="1"/>
        <v>4060</v>
      </c>
    </row>
    <row r="19" spans="1:8" x14ac:dyDescent="0.3">
      <c r="A19" s="8">
        <v>43032.192083333335</v>
      </c>
      <c r="B19" s="20" t="s">
        <v>652</v>
      </c>
      <c r="C19" s="20" t="s">
        <v>686</v>
      </c>
      <c r="D19" s="138">
        <v>940000</v>
      </c>
      <c r="E19" s="20" t="s">
        <v>578</v>
      </c>
      <c r="F19" s="20" t="s">
        <v>579</v>
      </c>
      <c r="G19" s="8" t="str">
        <f t="shared" si="0"/>
        <v>BONDS REYNALDO</v>
      </c>
      <c r="H19" s="20" t="str">
        <f t="shared" si="1"/>
        <v>4027</v>
      </c>
    </row>
    <row r="20" spans="1:8" x14ac:dyDescent="0.3">
      <c r="A20" s="8">
        <v>43032.193043981482</v>
      </c>
      <c r="B20" s="20" t="s">
        <v>387</v>
      </c>
      <c r="C20" s="20" t="s">
        <v>687</v>
      </c>
      <c r="D20" s="138">
        <v>3090000</v>
      </c>
      <c r="E20" s="20" t="s">
        <v>545</v>
      </c>
      <c r="F20" s="20" t="s">
        <v>546</v>
      </c>
      <c r="G20" s="8" t="str">
        <f t="shared" si="0"/>
        <v>LAMAR NEKESHA</v>
      </c>
      <c r="H20" s="20" t="str">
        <f t="shared" si="1"/>
        <v>4066</v>
      </c>
    </row>
    <row r="21" spans="1:8" x14ac:dyDescent="0.3">
      <c r="A21" s="8">
        <v>43032.198009259257</v>
      </c>
      <c r="B21" s="20" t="s">
        <v>458</v>
      </c>
      <c r="C21" s="20" t="s">
        <v>688</v>
      </c>
      <c r="D21" s="138">
        <v>1230000</v>
      </c>
      <c r="E21" s="20" t="s">
        <v>584</v>
      </c>
      <c r="F21" s="20" t="s">
        <v>585</v>
      </c>
      <c r="G21" s="8" t="str">
        <f t="shared" si="0"/>
        <v>YANAI IAN</v>
      </c>
      <c r="H21" s="20" t="str">
        <f t="shared" si="1"/>
        <v>4057</v>
      </c>
    </row>
    <row r="22" spans="1:8" x14ac:dyDescent="0.3">
      <c r="A22" s="26">
        <v>43032.199965277781</v>
      </c>
      <c r="B22" s="20" t="s">
        <v>583</v>
      </c>
      <c r="C22" s="20" t="s">
        <v>689</v>
      </c>
      <c r="D22" s="138">
        <v>1760000</v>
      </c>
      <c r="E22" s="20" t="s">
        <v>690</v>
      </c>
      <c r="F22" s="20" t="s">
        <v>691</v>
      </c>
      <c r="G22" s="8" t="str">
        <f t="shared" si="0"/>
        <v>STRICKLAND EVAN</v>
      </c>
      <c r="H22" s="20" t="str">
        <f t="shared" si="1"/>
        <v>4064</v>
      </c>
    </row>
    <row r="23" spans="1:8" x14ac:dyDescent="0.3">
      <c r="A23" s="8">
        <v>43032.202777777777</v>
      </c>
      <c r="B23" s="20" t="s">
        <v>456</v>
      </c>
      <c r="C23" s="20" t="s">
        <v>692</v>
      </c>
      <c r="D23" s="138">
        <v>900000</v>
      </c>
      <c r="E23" s="20" t="s">
        <v>675</v>
      </c>
      <c r="F23" s="20" t="s">
        <v>676</v>
      </c>
      <c r="G23" s="8" t="str">
        <f t="shared" si="0"/>
        <v>ROCHA YAOTL</v>
      </c>
      <c r="H23" s="20" t="str">
        <f t="shared" si="1"/>
        <v>4024</v>
      </c>
    </row>
    <row r="24" spans="1:8" x14ac:dyDescent="0.3">
      <c r="A24" s="8">
        <v>43032.208229166667</v>
      </c>
      <c r="B24" s="20" t="s">
        <v>455</v>
      </c>
      <c r="C24" s="20" t="s">
        <v>693</v>
      </c>
      <c r="D24" s="138">
        <v>1230000</v>
      </c>
      <c r="E24" s="20" t="s">
        <v>584</v>
      </c>
      <c r="F24" s="20" t="s">
        <v>585</v>
      </c>
      <c r="G24" s="8" t="str">
        <f t="shared" si="0"/>
        <v>YANAI IAN</v>
      </c>
      <c r="H24" s="20" t="str">
        <f t="shared" si="1"/>
        <v>4058</v>
      </c>
    </row>
    <row r="25" spans="1:8" x14ac:dyDescent="0.3">
      <c r="A25" s="8">
        <v>43032.212893518517</v>
      </c>
      <c r="B25" s="20" t="s">
        <v>582</v>
      </c>
      <c r="C25" s="20" t="s">
        <v>644</v>
      </c>
      <c r="D25" s="138">
        <v>1760000</v>
      </c>
      <c r="E25" s="20" t="s">
        <v>690</v>
      </c>
      <c r="F25" s="20" t="s">
        <v>691</v>
      </c>
      <c r="G25" s="8" t="str">
        <f t="shared" si="0"/>
        <v>STRICKLAND EVAN</v>
      </c>
      <c r="H25" s="20" t="str">
        <f t="shared" si="1"/>
        <v>4063</v>
      </c>
    </row>
    <row r="26" spans="1:8" x14ac:dyDescent="0.3">
      <c r="A26" s="8">
        <v>43032.214236111111</v>
      </c>
      <c r="B26" s="20" t="s">
        <v>537</v>
      </c>
      <c r="C26" s="20" t="s">
        <v>694</v>
      </c>
      <c r="D26" s="138">
        <v>3120000</v>
      </c>
      <c r="E26" s="20" t="s">
        <v>574</v>
      </c>
      <c r="F26" s="20" t="s">
        <v>575</v>
      </c>
      <c r="G26" s="8" t="str">
        <f t="shared" si="0"/>
        <v>THOMPSON LESTER</v>
      </c>
      <c r="H26" s="20" t="str">
        <f t="shared" si="1"/>
        <v>4025</v>
      </c>
    </row>
    <row r="27" spans="1:8" x14ac:dyDescent="0.3">
      <c r="A27" s="8">
        <v>43032.216180555559</v>
      </c>
      <c r="B27" s="20" t="s">
        <v>412</v>
      </c>
      <c r="C27" s="20" t="s">
        <v>695</v>
      </c>
      <c r="D27" s="138">
        <v>3510000</v>
      </c>
      <c r="E27" s="20" t="s">
        <v>541</v>
      </c>
      <c r="F27" s="20" t="s">
        <v>542</v>
      </c>
      <c r="G27" s="8" t="str">
        <f t="shared" si="0"/>
        <v>BARRON PERLA</v>
      </c>
      <c r="H27" s="20" t="str">
        <f t="shared" si="1"/>
        <v>4059</v>
      </c>
    </row>
    <row r="28" spans="1:8" x14ac:dyDescent="0.3">
      <c r="A28" s="8">
        <v>43032.224456018521</v>
      </c>
      <c r="B28" s="20" t="s">
        <v>538</v>
      </c>
      <c r="C28" s="20" t="s">
        <v>645</v>
      </c>
      <c r="D28" s="138">
        <v>940000</v>
      </c>
      <c r="E28" s="20" t="s">
        <v>578</v>
      </c>
      <c r="F28" s="20" t="s">
        <v>579</v>
      </c>
      <c r="G28" s="8" t="str">
        <f t="shared" si="0"/>
        <v>BONDS REYNALDO</v>
      </c>
      <c r="H28" s="20" t="str">
        <f t="shared" si="1"/>
        <v>4028</v>
      </c>
    </row>
    <row r="29" spans="1:8" x14ac:dyDescent="0.3">
      <c r="A29" s="8">
        <v>43032.224490740744</v>
      </c>
      <c r="B29" s="20" t="s">
        <v>696</v>
      </c>
      <c r="C29" s="20" t="s">
        <v>697</v>
      </c>
      <c r="D29" s="138">
        <v>2560000</v>
      </c>
      <c r="E29" s="20" t="s">
        <v>543</v>
      </c>
      <c r="F29" s="20" t="s">
        <v>544</v>
      </c>
      <c r="G29" s="8" t="str">
        <f t="shared" si="0"/>
        <v>MACDONALD THOMAS</v>
      </c>
      <c r="H29" s="20" t="str">
        <f t="shared" si="1"/>
        <v>4001</v>
      </c>
    </row>
    <row r="30" spans="1:8" x14ac:dyDescent="0.3">
      <c r="A30" s="8">
        <v>43032.22729166667</v>
      </c>
      <c r="B30" s="20" t="s">
        <v>388</v>
      </c>
      <c r="C30" s="20" t="s">
        <v>698</v>
      </c>
      <c r="D30" s="138">
        <v>3090000</v>
      </c>
      <c r="E30" s="20" t="s">
        <v>545</v>
      </c>
      <c r="F30" s="20" t="s">
        <v>546</v>
      </c>
      <c r="G30" s="8" t="str">
        <f t="shared" si="0"/>
        <v>LAMAR NEKESHA</v>
      </c>
      <c r="H30" s="20" t="str">
        <f t="shared" si="1"/>
        <v>4065</v>
      </c>
    </row>
    <row r="31" spans="1:8" x14ac:dyDescent="0.3">
      <c r="A31" s="8">
        <v>43032.230925925927</v>
      </c>
      <c r="B31" s="20" t="s">
        <v>583</v>
      </c>
      <c r="C31" s="20" t="s">
        <v>699</v>
      </c>
      <c r="D31" s="138">
        <v>1760000</v>
      </c>
      <c r="E31" s="20" t="s">
        <v>690</v>
      </c>
      <c r="F31" s="20" t="s">
        <v>691</v>
      </c>
      <c r="G31" s="8" t="str">
        <f t="shared" si="0"/>
        <v>STRICKLAND EVAN</v>
      </c>
      <c r="H31" s="20" t="str">
        <f t="shared" si="1"/>
        <v>4064</v>
      </c>
    </row>
    <row r="32" spans="1:8" x14ac:dyDescent="0.3">
      <c r="A32" s="8">
        <v>43032.23574074074</v>
      </c>
      <c r="B32" s="20" t="s">
        <v>700</v>
      </c>
      <c r="C32" s="20" t="s">
        <v>701</v>
      </c>
      <c r="D32" s="138">
        <v>2560000</v>
      </c>
      <c r="E32" s="20" t="s">
        <v>543</v>
      </c>
      <c r="F32" s="20" t="s">
        <v>544</v>
      </c>
      <c r="G32" s="8" t="str">
        <f t="shared" si="0"/>
        <v>MACDONALD THOMAS</v>
      </c>
      <c r="H32" s="20" t="str">
        <f t="shared" si="1"/>
        <v>4002</v>
      </c>
    </row>
    <row r="33" spans="1:8" x14ac:dyDescent="0.3">
      <c r="A33" s="8">
        <v>43032.236388888887</v>
      </c>
      <c r="B33" s="20" t="s">
        <v>702</v>
      </c>
      <c r="C33" s="20" t="s">
        <v>703</v>
      </c>
      <c r="D33" s="138">
        <v>3000000</v>
      </c>
      <c r="E33" s="20" t="s">
        <v>704</v>
      </c>
      <c r="F33" s="20" t="s">
        <v>705</v>
      </c>
      <c r="G33" s="8" t="str">
        <f t="shared" si="0"/>
        <v>FORTUNATO FRANK</v>
      </c>
      <c r="H33" s="20" t="str">
        <f t="shared" si="1"/>
        <v>4035</v>
      </c>
    </row>
    <row r="34" spans="1:8" x14ac:dyDescent="0.3">
      <c r="A34" s="8">
        <v>43032.244050925925</v>
      </c>
      <c r="B34" s="20" t="s">
        <v>457</v>
      </c>
      <c r="C34" s="20" t="s">
        <v>706</v>
      </c>
      <c r="D34" s="138">
        <v>900000</v>
      </c>
      <c r="E34" s="20" t="s">
        <v>675</v>
      </c>
      <c r="F34" s="20" t="s">
        <v>676</v>
      </c>
      <c r="G34" s="8" t="str">
        <f t="shared" si="0"/>
        <v>ROCHA YAOTL</v>
      </c>
      <c r="H34" s="20" t="str">
        <f t="shared" si="1"/>
        <v>4023</v>
      </c>
    </row>
    <row r="35" spans="1:8" x14ac:dyDescent="0.3">
      <c r="A35" s="8">
        <v>43032.245023148149</v>
      </c>
      <c r="B35" s="20" t="s">
        <v>458</v>
      </c>
      <c r="C35" s="20" t="s">
        <v>707</v>
      </c>
      <c r="D35" s="138">
        <v>1230000</v>
      </c>
      <c r="E35" s="20" t="s">
        <v>584</v>
      </c>
      <c r="F35" s="20" t="s">
        <v>585</v>
      </c>
      <c r="G35" s="8" t="str">
        <f t="shared" si="0"/>
        <v>YANAI IAN</v>
      </c>
      <c r="H35" s="20" t="str">
        <f t="shared" si="1"/>
        <v>4057</v>
      </c>
    </row>
    <row r="36" spans="1:8" x14ac:dyDescent="0.3">
      <c r="A36" s="8">
        <v>43032.246805555558</v>
      </c>
      <c r="B36" s="20" t="s">
        <v>582</v>
      </c>
      <c r="C36" s="20" t="s">
        <v>708</v>
      </c>
      <c r="D36" s="138">
        <v>1760000</v>
      </c>
      <c r="E36" s="20" t="s">
        <v>690</v>
      </c>
      <c r="F36" s="20" t="s">
        <v>691</v>
      </c>
      <c r="G36" s="8" t="str">
        <f t="shared" si="0"/>
        <v>STRICKLAND EVAN</v>
      </c>
      <c r="H36" s="20" t="str">
        <f t="shared" si="1"/>
        <v>4063</v>
      </c>
    </row>
    <row r="37" spans="1:8" x14ac:dyDescent="0.3">
      <c r="A37" s="8">
        <v>43032.248796296299</v>
      </c>
      <c r="B37" s="20" t="s">
        <v>540</v>
      </c>
      <c r="C37" s="20" t="s">
        <v>646</v>
      </c>
      <c r="D37" s="138">
        <v>3120000</v>
      </c>
      <c r="E37" s="20" t="s">
        <v>574</v>
      </c>
      <c r="F37" s="20" t="s">
        <v>575</v>
      </c>
      <c r="G37" s="8" t="str">
        <f t="shared" si="0"/>
        <v>THOMPSON LESTER</v>
      </c>
      <c r="H37" s="20" t="str">
        <f t="shared" si="1"/>
        <v>4026</v>
      </c>
    </row>
    <row r="38" spans="1:8" x14ac:dyDescent="0.3">
      <c r="A38" s="8">
        <v>43032.2502662037</v>
      </c>
      <c r="B38" s="20" t="s">
        <v>647</v>
      </c>
      <c r="C38" s="20" t="s">
        <v>709</v>
      </c>
      <c r="D38" s="138">
        <v>3000000</v>
      </c>
      <c r="E38" s="20" t="s">
        <v>704</v>
      </c>
      <c r="F38" s="20" t="s">
        <v>705</v>
      </c>
      <c r="G38" s="8" t="str">
        <f t="shared" si="0"/>
        <v>FORTUNATO FRANK</v>
      </c>
      <c r="H38" s="20" t="str">
        <f t="shared" si="1"/>
        <v>4036</v>
      </c>
    </row>
    <row r="39" spans="1:8" x14ac:dyDescent="0.3">
      <c r="A39" s="8">
        <v>43032.256354166668</v>
      </c>
      <c r="B39" s="20" t="s">
        <v>411</v>
      </c>
      <c r="C39" s="20" t="s">
        <v>710</v>
      </c>
      <c r="D39" s="138">
        <v>3510000</v>
      </c>
      <c r="E39" s="20" t="s">
        <v>541</v>
      </c>
      <c r="F39" s="20" t="s">
        <v>542</v>
      </c>
      <c r="G39" s="8" t="str">
        <f t="shared" si="0"/>
        <v>BARRON PERLA</v>
      </c>
      <c r="H39" s="20" t="str">
        <f t="shared" si="1"/>
        <v>4060</v>
      </c>
    </row>
    <row r="40" spans="1:8" x14ac:dyDescent="0.3">
      <c r="A40" s="8">
        <v>43032.258194444446</v>
      </c>
      <c r="B40" s="25" t="s">
        <v>414</v>
      </c>
      <c r="C40" s="20" t="s">
        <v>681</v>
      </c>
      <c r="D40" s="138">
        <v>1110000</v>
      </c>
      <c r="E40" s="20" t="s">
        <v>576</v>
      </c>
      <c r="F40" s="20" t="s">
        <v>577</v>
      </c>
      <c r="G40" s="8" t="str">
        <f t="shared" si="0"/>
        <v>STARKS ANGELINA</v>
      </c>
      <c r="H40" s="20" t="str">
        <f t="shared" si="1"/>
        <v>4010</v>
      </c>
    </row>
    <row r="41" spans="1:8" x14ac:dyDescent="0.3">
      <c r="A41" s="8">
        <v>43032.262384259258</v>
      </c>
      <c r="B41" s="20" t="s">
        <v>413</v>
      </c>
      <c r="C41" s="20" t="s">
        <v>681</v>
      </c>
      <c r="D41" s="138">
        <v>1110000</v>
      </c>
      <c r="E41" s="20" t="s">
        <v>576</v>
      </c>
      <c r="F41" s="20" t="s">
        <v>577</v>
      </c>
      <c r="G41" s="8" t="str">
        <f t="shared" si="0"/>
        <v>STARKS ANGELINA</v>
      </c>
      <c r="H41" s="20" t="str">
        <f t="shared" si="1"/>
        <v>4009</v>
      </c>
    </row>
    <row r="42" spans="1:8" x14ac:dyDescent="0.3">
      <c r="A42" s="8">
        <v>43032.266238425924</v>
      </c>
      <c r="B42" s="20" t="s">
        <v>652</v>
      </c>
      <c r="C42" s="20" t="s">
        <v>711</v>
      </c>
      <c r="D42" s="138">
        <v>940000</v>
      </c>
      <c r="E42" s="20" t="s">
        <v>578</v>
      </c>
      <c r="F42" s="20" t="s">
        <v>579</v>
      </c>
      <c r="G42" s="8" t="str">
        <f t="shared" si="0"/>
        <v>BONDS REYNALDO</v>
      </c>
      <c r="H42" s="20" t="str">
        <f t="shared" si="1"/>
        <v>4027</v>
      </c>
    </row>
    <row r="43" spans="1:8" x14ac:dyDescent="0.3">
      <c r="A43" s="8">
        <v>43032.268576388888</v>
      </c>
      <c r="B43" s="20" t="s">
        <v>702</v>
      </c>
      <c r="C43" s="20" t="s">
        <v>712</v>
      </c>
      <c r="D43" s="138">
        <v>3000000</v>
      </c>
      <c r="E43" s="20" t="s">
        <v>704</v>
      </c>
      <c r="F43" s="20" t="s">
        <v>705</v>
      </c>
      <c r="G43" s="8" t="str">
        <f t="shared" si="0"/>
        <v>FORTUNATO FRANK</v>
      </c>
      <c r="H43" s="20" t="str">
        <f t="shared" si="1"/>
        <v>4035</v>
      </c>
    </row>
    <row r="44" spans="1:8" x14ac:dyDescent="0.3">
      <c r="A44" s="8">
        <v>43032.269224537034</v>
      </c>
      <c r="B44" s="20" t="s">
        <v>414</v>
      </c>
      <c r="C44" s="20" t="s">
        <v>681</v>
      </c>
      <c r="D44" s="138">
        <v>1110000</v>
      </c>
      <c r="E44" s="20" t="s">
        <v>576</v>
      </c>
      <c r="F44" s="20" t="s">
        <v>577</v>
      </c>
      <c r="G44" s="8" t="str">
        <f t="shared" si="0"/>
        <v>STARKS ANGELINA</v>
      </c>
      <c r="H44" s="20" t="str">
        <f t="shared" si="1"/>
        <v>4010</v>
      </c>
    </row>
    <row r="45" spans="1:8" x14ac:dyDescent="0.3">
      <c r="A45" s="8">
        <v>43032.270162037035</v>
      </c>
      <c r="B45" s="20" t="s">
        <v>414</v>
      </c>
      <c r="C45" s="20" t="s">
        <v>713</v>
      </c>
      <c r="D45" s="138">
        <v>1110000</v>
      </c>
      <c r="E45" s="20" t="s">
        <v>576</v>
      </c>
      <c r="F45" s="20" t="s">
        <v>577</v>
      </c>
      <c r="G45" s="8" t="str">
        <f t="shared" si="0"/>
        <v>STARKS ANGELINA</v>
      </c>
      <c r="H45" s="20" t="str">
        <f t="shared" si="1"/>
        <v>4010</v>
      </c>
    </row>
    <row r="46" spans="1:8" x14ac:dyDescent="0.3">
      <c r="A46" s="8">
        <v>43032.27239583333</v>
      </c>
      <c r="B46" s="20" t="s">
        <v>583</v>
      </c>
      <c r="C46" s="20" t="s">
        <v>714</v>
      </c>
      <c r="D46" s="138">
        <v>1760000</v>
      </c>
      <c r="E46" s="20" t="s">
        <v>690</v>
      </c>
      <c r="F46" s="20" t="s">
        <v>691</v>
      </c>
      <c r="G46" s="8" t="str">
        <f t="shared" si="0"/>
        <v>STRICKLAND EVAN</v>
      </c>
      <c r="H46" s="20" t="str">
        <f t="shared" si="1"/>
        <v>4064</v>
      </c>
    </row>
    <row r="47" spans="1:8" x14ac:dyDescent="0.3">
      <c r="A47" s="8">
        <v>43032.277777777781</v>
      </c>
      <c r="B47" s="20" t="s">
        <v>696</v>
      </c>
      <c r="C47" s="20" t="s">
        <v>715</v>
      </c>
      <c r="D47" s="138">
        <v>2560000</v>
      </c>
      <c r="E47" s="20" t="s">
        <v>543</v>
      </c>
      <c r="F47" s="20" t="s">
        <v>544</v>
      </c>
      <c r="G47" s="8" t="str">
        <f t="shared" si="0"/>
        <v>MACDONALD THOMAS</v>
      </c>
      <c r="H47" s="20" t="str">
        <f t="shared" si="1"/>
        <v>4001</v>
      </c>
    </row>
    <row r="48" spans="1:8" x14ac:dyDescent="0.3">
      <c r="A48" s="8">
        <v>43032.28020833333</v>
      </c>
      <c r="B48" s="20" t="s">
        <v>456</v>
      </c>
      <c r="C48" s="20" t="s">
        <v>716</v>
      </c>
      <c r="D48" s="138">
        <v>900000</v>
      </c>
      <c r="E48" s="20" t="s">
        <v>675</v>
      </c>
      <c r="F48" s="20" t="s">
        <v>676</v>
      </c>
      <c r="G48" s="8" t="str">
        <f t="shared" si="0"/>
        <v>ROCHA YAOTL</v>
      </c>
      <c r="H48" s="20" t="str">
        <f t="shared" si="1"/>
        <v>4024</v>
      </c>
    </row>
    <row r="49" spans="1:8" x14ac:dyDescent="0.3">
      <c r="A49" s="8">
        <v>43032.287118055552</v>
      </c>
      <c r="B49" s="20" t="s">
        <v>412</v>
      </c>
      <c r="C49" s="20" t="s">
        <v>717</v>
      </c>
      <c r="D49" s="138">
        <v>3510000</v>
      </c>
      <c r="E49" s="20" t="s">
        <v>541</v>
      </c>
      <c r="F49" s="20" t="s">
        <v>542</v>
      </c>
      <c r="G49" s="8" t="str">
        <f t="shared" si="0"/>
        <v>BARRON PERLA</v>
      </c>
      <c r="H49" s="20" t="str">
        <f t="shared" si="1"/>
        <v>4059</v>
      </c>
    </row>
    <row r="50" spans="1:8" x14ac:dyDescent="0.3">
      <c r="A50" s="8">
        <v>43032.28733796296</v>
      </c>
      <c r="B50" s="20" t="s">
        <v>455</v>
      </c>
      <c r="C50" s="20" t="s">
        <v>718</v>
      </c>
      <c r="D50" s="138">
        <v>1230000</v>
      </c>
      <c r="E50" s="20" t="s">
        <v>584</v>
      </c>
      <c r="F50" s="20" t="s">
        <v>585</v>
      </c>
      <c r="G50" s="8" t="str">
        <f t="shared" si="0"/>
        <v>YANAI IAN</v>
      </c>
      <c r="H50" s="20" t="str">
        <f t="shared" si="1"/>
        <v>4058</v>
      </c>
    </row>
    <row r="51" spans="1:8" x14ac:dyDescent="0.3">
      <c r="A51" s="8">
        <v>43032.288321759261</v>
      </c>
      <c r="B51" s="20" t="s">
        <v>537</v>
      </c>
      <c r="C51" s="20" t="s">
        <v>719</v>
      </c>
      <c r="D51" s="138">
        <v>3120000</v>
      </c>
      <c r="E51" s="20" t="s">
        <v>574</v>
      </c>
      <c r="F51" s="20" t="s">
        <v>575</v>
      </c>
      <c r="G51" s="8" t="str">
        <f t="shared" si="0"/>
        <v>THOMPSON LESTER</v>
      </c>
      <c r="H51" s="20" t="str">
        <f t="shared" si="1"/>
        <v>4025</v>
      </c>
    </row>
    <row r="52" spans="1:8" x14ac:dyDescent="0.3">
      <c r="A52" s="8">
        <v>43032.290393518517</v>
      </c>
      <c r="B52" s="20" t="s">
        <v>647</v>
      </c>
      <c r="C52" s="20" t="s">
        <v>648</v>
      </c>
      <c r="D52" s="138">
        <v>3000000</v>
      </c>
      <c r="E52" s="20" t="s">
        <v>704</v>
      </c>
      <c r="F52" s="20" t="s">
        <v>705</v>
      </c>
      <c r="G52" s="8" t="str">
        <f t="shared" si="0"/>
        <v>FORTUNATO FRANK</v>
      </c>
      <c r="H52" s="20" t="str">
        <f t="shared" si="1"/>
        <v>4036</v>
      </c>
    </row>
    <row r="53" spans="1:8" x14ac:dyDescent="0.3">
      <c r="A53" s="8">
        <v>43032.29109953704</v>
      </c>
      <c r="B53" s="20" t="s">
        <v>582</v>
      </c>
      <c r="C53" s="20" t="s">
        <v>720</v>
      </c>
      <c r="D53" s="138">
        <v>1760000</v>
      </c>
      <c r="E53" s="20" t="s">
        <v>690</v>
      </c>
      <c r="F53" s="20" t="s">
        <v>691</v>
      </c>
      <c r="G53" s="8" t="str">
        <f t="shared" si="0"/>
        <v>STRICKLAND EVAN</v>
      </c>
      <c r="H53" s="20" t="str">
        <f t="shared" si="1"/>
        <v>4063</v>
      </c>
    </row>
    <row r="54" spans="1:8" x14ac:dyDescent="0.3">
      <c r="A54" s="8">
        <v>43032.299664351849</v>
      </c>
      <c r="B54" s="20" t="s">
        <v>413</v>
      </c>
      <c r="C54" s="20" t="s">
        <v>721</v>
      </c>
      <c r="D54" s="138">
        <v>1110000</v>
      </c>
      <c r="E54" s="20" t="s">
        <v>576</v>
      </c>
      <c r="F54" s="20" t="s">
        <v>577</v>
      </c>
      <c r="G54" s="8" t="str">
        <f t="shared" si="0"/>
        <v>STARKS ANGELINA</v>
      </c>
      <c r="H54" s="20" t="str">
        <f t="shared" si="1"/>
        <v>4009</v>
      </c>
    </row>
    <row r="55" spans="1:8" x14ac:dyDescent="0.3">
      <c r="A55" s="8">
        <v>43032.299803240741</v>
      </c>
      <c r="B55" s="20" t="s">
        <v>538</v>
      </c>
      <c r="C55" s="20" t="s">
        <v>649</v>
      </c>
      <c r="D55" s="138">
        <v>940000</v>
      </c>
      <c r="E55" s="20" t="s">
        <v>578</v>
      </c>
      <c r="F55" s="20" t="s">
        <v>579</v>
      </c>
      <c r="G55" s="8" t="str">
        <f t="shared" si="0"/>
        <v>BONDS REYNALDO</v>
      </c>
      <c r="H55" s="20" t="str">
        <f t="shared" si="1"/>
        <v>4028</v>
      </c>
    </row>
    <row r="56" spans="1:8" x14ac:dyDescent="0.3">
      <c r="A56" s="8">
        <v>43032.305196759262</v>
      </c>
      <c r="B56" s="20" t="s">
        <v>387</v>
      </c>
      <c r="C56" s="20" t="s">
        <v>722</v>
      </c>
      <c r="D56" s="138">
        <v>2270000</v>
      </c>
      <c r="E56" s="20" t="s">
        <v>547</v>
      </c>
      <c r="F56" s="20" t="s">
        <v>548</v>
      </c>
      <c r="G56" s="8" t="str">
        <f t="shared" si="0"/>
        <v>BROWN JACOB</v>
      </c>
      <c r="H56" s="20" t="str">
        <f t="shared" si="1"/>
        <v>4066</v>
      </c>
    </row>
    <row r="57" spans="1:8" x14ac:dyDescent="0.3">
      <c r="A57" s="8">
        <v>43032.308368055557</v>
      </c>
      <c r="B57" s="20" t="s">
        <v>700</v>
      </c>
      <c r="C57" s="20" t="s">
        <v>723</v>
      </c>
      <c r="D57" s="138">
        <v>2560000</v>
      </c>
      <c r="E57" s="20" t="s">
        <v>543</v>
      </c>
      <c r="F57" s="20" t="s">
        <v>544</v>
      </c>
      <c r="G57" s="8" t="str">
        <f t="shared" si="0"/>
        <v>MACDONALD THOMAS</v>
      </c>
      <c r="H57" s="20" t="str">
        <f t="shared" si="1"/>
        <v>4002</v>
      </c>
    </row>
    <row r="58" spans="1:8" x14ac:dyDescent="0.3">
      <c r="A58" s="8">
        <v>43032.30878472222</v>
      </c>
      <c r="B58" s="20" t="s">
        <v>457</v>
      </c>
      <c r="C58" s="20" t="s">
        <v>650</v>
      </c>
      <c r="D58" s="138">
        <v>900000</v>
      </c>
      <c r="E58" s="20" t="s">
        <v>675</v>
      </c>
      <c r="F58" s="20" t="s">
        <v>676</v>
      </c>
      <c r="G58" s="8" t="str">
        <f t="shared" si="0"/>
        <v>ROCHA YAOTL</v>
      </c>
      <c r="H58" s="20" t="str">
        <f t="shared" si="1"/>
        <v>4023</v>
      </c>
    </row>
    <row r="59" spans="1:8" x14ac:dyDescent="0.3">
      <c r="A59" s="8">
        <v>43032.309976851851</v>
      </c>
      <c r="B59" s="20" t="s">
        <v>702</v>
      </c>
      <c r="C59" s="20" t="s">
        <v>724</v>
      </c>
      <c r="D59" s="138">
        <v>3000000</v>
      </c>
      <c r="E59" s="20" t="s">
        <v>704</v>
      </c>
      <c r="F59" s="20" t="s">
        <v>705</v>
      </c>
      <c r="G59" s="8" t="str">
        <f t="shared" si="0"/>
        <v>FORTUNATO FRANK</v>
      </c>
      <c r="H59" s="20" t="str">
        <f t="shared" si="1"/>
        <v>4035</v>
      </c>
    </row>
    <row r="60" spans="1:8" x14ac:dyDescent="0.3">
      <c r="A60" s="8">
        <v>43032.311423611114</v>
      </c>
      <c r="B60" s="20" t="s">
        <v>583</v>
      </c>
      <c r="C60" s="20" t="s">
        <v>725</v>
      </c>
      <c r="D60" s="138">
        <v>1760000</v>
      </c>
      <c r="E60" s="20" t="s">
        <v>690</v>
      </c>
      <c r="F60" s="20" t="s">
        <v>691</v>
      </c>
      <c r="G60" s="8" t="str">
        <f t="shared" si="0"/>
        <v>STRICKLAND EVAN</v>
      </c>
      <c r="H60" s="20" t="str">
        <f t="shared" si="1"/>
        <v>4064</v>
      </c>
    </row>
    <row r="61" spans="1:8" x14ac:dyDescent="0.3">
      <c r="A61" s="8">
        <v>43032.318414351852</v>
      </c>
      <c r="B61" s="20" t="s">
        <v>458</v>
      </c>
      <c r="C61" s="20" t="s">
        <v>726</v>
      </c>
      <c r="D61" s="138">
        <v>1230000</v>
      </c>
      <c r="E61" s="20" t="s">
        <v>584</v>
      </c>
      <c r="F61" s="20" t="s">
        <v>585</v>
      </c>
      <c r="G61" s="8" t="str">
        <f t="shared" si="0"/>
        <v>YANAI IAN</v>
      </c>
      <c r="H61" s="20" t="str">
        <f t="shared" si="1"/>
        <v>4057</v>
      </c>
    </row>
    <row r="62" spans="1:8" x14ac:dyDescent="0.3">
      <c r="A62" s="8">
        <v>43032.320868055554</v>
      </c>
      <c r="B62" s="20" t="s">
        <v>540</v>
      </c>
      <c r="C62" s="20" t="s">
        <v>727</v>
      </c>
      <c r="D62" s="138">
        <v>3120000</v>
      </c>
      <c r="E62" s="20" t="s">
        <v>574</v>
      </c>
      <c r="F62" s="20" t="s">
        <v>575</v>
      </c>
      <c r="G62" s="8" t="str">
        <f t="shared" si="0"/>
        <v>THOMPSON LESTER</v>
      </c>
      <c r="H62" s="20" t="str">
        <f t="shared" si="1"/>
        <v>4026</v>
      </c>
    </row>
    <row r="63" spans="1:8" x14ac:dyDescent="0.3">
      <c r="A63" s="8">
        <v>43032.322199074071</v>
      </c>
      <c r="B63" s="20" t="s">
        <v>454</v>
      </c>
      <c r="C63" s="20" t="s">
        <v>728</v>
      </c>
      <c r="D63" s="138">
        <v>2270000</v>
      </c>
      <c r="E63" s="20" t="s">
        <v>547</v>
      </c>
      <c r="F63" s="20" t="s">
        <v>548</v>
      </c>
      <c r="G63" s="8" t="str">
        <f t="shared" si="0"/>
        <v>BROWN JACOB</v>
      </c>
      <c r="H63" s="20" t="str">
        <f t="shared" si="1"/>
        <v>4015</v>
      </c>
    </row>
    <row r="64" spans="1:8" x14ac:dyDescent="0.3">
      <c r="A64" s="26">
        <v>43032.330960648149</v>
      </c>
      <c r="B64" s="20" t="s">
        <v>411</v>
      </c>
      <c r="C64" s="20" t="s">
        <v>729</v>
      </c>
      <c r="D64" s="138">
        <v>3510000</v>
      </c>
      <c r="E64" s="20" t="s">
        <v>541</v>
      </c>
      <c r="F64" s="20" t="s">
        <v>542</v>
      </c>
      <c r="G64" s="8" t="str">
        <f t="shared" si="0"/>
        <v>BARRON PERLA</v>
      </c>
      <c r="H64" s="20" t="str">
        <f t="shared" si="1"/>
        <v>4060</v>
      </c>
    </row>
    <row r="65" spans="1:8" x14ac:dyDescent="0.3">
      <c r="A65" s="8">
        <v>43032.331747685188</v>
      </c>
      <c r="B65" s="20" t="s">
        <v>582</v>
      </c>
      <c r="C65" s="20" t="s">
        <v>651</v>
      </c>
      <c r="D65" s="138">
        <v>1760000</v>
      </c>
      <c r="E65" s="20" t="s">
        <v>690</v>
      </c>
      <c r="F65" s="20" t="s">
        <v>691</v>
      </c>
      <c r="G65" s="8" t="str">
        <f t="shared" si="0"/>
        <v>STRICKLAND EVAN</v>
      </c>
      <c r="H65" s="20" t="str">
        <f t="shared" si="1"/>
        <v>4063</v>
      </c>
    </row>
    <row r="66" spans="1:8" x14ac:dyDescent="0.3">
      <c r="A66" s="8">
        <v>43032.331921296296</v>
      </c>
      <c r="B66" s="20" t="s">
        <v>647</v>
      </c>
      <c r="C66" s="20" t="s">
        <v>730</v>
      </c>
      <c r="D66" s="138">
        <v>3000000</v>
      </c>
      <c r="E66" s="20" t="s">
        <v>704</v>
      </c>
      <c r="F66" s="20" t="s">
        <v>705</v>
      </c>
      <c r="G66" s="8" t="str">
        <f t="shared" si="0"/>
        <v>FORTUNATO FRANK</v>
      </c>
      <c r="H66" s="20" t="str">
        <f t="shared" si="1"/>
        <v>4036</v>
      </c>
    </row>
    <row r="67" spans="1:8" x14ac:dyDescent="0.3">
      <c r="A67" s="8">
        <v>43032.338946759257</v>
      </c>
      <c r="B67" s="20" t="s">
        <v>652</v>
      </c>
      <c r="C67" s="20" t="s">
        <v>653</v>
      </c>
      <c r="D67" s="138">
        <v>940000</v>
      </c>
      <c r="E67" s="20" t="s">
        <v>578</v>
      </c>
      <c r="F67" s="20" t="s">
        <v>579</v>
      </c>
      <c r="G67" s="8" t="str">
        <f t="shared" ref="G67:G130" si="2">E67&amp;" "&amp;F67</f>
        <v>BONDS REYNALDO</v>
      </c>
      <c r="H67" s="20" t="str">
        <f t="shared" ref="H67:H130" si="3">MID(B67,13,4)</f>
        <v>4027</v>
      </c>
    </row>
    <row r="68" spans="1:8" x14ac:dyDescent="0.3">
      <c r="A68" s="8">
        <v>43032.341307870367</v>
      </c>
      <c r="B68" s="20" t="s">
        <v>414</v>
      </c>
      <c r="C68" s="20" t="s">
        <v>731</v>
      </c>
      <c r="D68" s="138">
        <v>3090000</v>
      </c>
      <c r="E68" s="20" t="s">
        <v>545</v>
      </c>
      <c r="F68" s="20" t="s">
        <v>546</v>
      </c>
      <c r="G68" s="8" t="str">
        <f t="shared" si="2"/>
        <v>LAMAR NEKESHA</v>
      </c>
      <c r="H68" s="20" t="str">
        <f t="shared" si="3"/>
        <v>4010</v>
      </c>
    </row>
    <row r="69" spans="1:8" x14ac:dyDescent="0.3">
      <c r="A69" s="8">
        <v>43032.349490740744</v>
      </c>
      <c r="B69" s="20" t="s">
        <v>464</v>
      </c>
      <c r="C69" s="20" t="s">
        <v>732</v>
      </c>
      <c r="D69" s="138">
        <v>900000</v>
      </c>
      <c r="E69" s="20" t="s">
        <v>675</v>
      </c>
      <c r="F69" s="20" t="s">
        <v>676</v>
      </c>
      <c r="G69" s="8" t="str">
        <f t="shared" si="2"/>
        <v>ROCHA YAOTL</v>
      </c>
      <c r="H69" s="20" t="str">
        <f t="shared" si="3"/>
        <v>4016</v>
      </c>
    </row>
    <row r="70" spans="1:8" x14ac:dyDescent="0.3">
      <c r="A70" s="8">
        <v>43032.351666666669</v>
      </c>
      <c r="B70" s="20" t="s">
        <v>702</v>
      </c>
      <c r="C70" s="20" t="s">
        <v>733</v>
      </c>
      <c r="D70" s="138">
        <v>3000000</v>
      </c>
      <c r="E70" s="20" t="s">
        <v>704</v>
      </c>
      <c r="F70" s="20" t="s">
        <v>705</v>
      </c>
      <c r="G70" s="8" t="str">
        <f t="shared" si="2"/>
        <v>FORTUNATO FRANK</v>
      </c>
      <c r="H70" s="20" t="str">
        <f t="shared" si="3"/>
        <v>4035</v>
      </c>
    </row>
    <row r="71" spans="1:8" x14ac:dyDescent="0.3">
      <c r="A71" s="8">
        <v>43032.351863425924</v>
      </c>
      <c r="B71" s="20" t="s">
        <v>696</v>
      </c>
      <c r="C71" s="20" t="s">
        <v>734</v>
      </c>
      <c r="D71" s="138">
        <v>2560000</v>
      </c>
      <c r="E71" s="20" t="s">
        <v>543</v>
      </c>
      <c r="F71" s="20" t="s">
        <v>544</v>
      </c>
      <c r="G71" s="8" t="str">
        <f t="shared" si="2"/>
        <v>MACDONALD THOMAS</v>
      </c>
      <c r="H71" s="20" t="str">
        <f t="shared" si="3"/>
        <v>4001</v>
      </c>
    </row>
    <row r="72" spans="1:8" x14ac:dyDescent="0.3">
      <c r="A72" s="8">
        <v>43032.353495370371</v>
      </c>
      <c r="B72" s="20" t="s">
        <v>583</v>
      </c>
      <c r="C72" s="20" t="s">
        <v>735</v>
      </c>
      <c r="D72" s="138">
        <v>1760000</v>
      </c>
      <c r="E72" s="20" t="s">
        <v>690</v>
      </c>
      <c r="F72" s="20" t="s">
        <v>691</v>
      </c>
      <c r="G72" s="8" t="str">
        <f t="shared" si="2"/>
        <v>STRICKLAND EVAN</v>
      </c>
      <c r="H72" s="20" t="str">
        <f t="shared" si="3"/>
        <v>4064</v>
      </c>
    </row>
    <row r="73" spans="1:8" x14ac:dyDescent="0.3">
      <c r="A73" s="8">
        <v>43032.359849537039</v>
      </c>
      <c r="B73" s="20" t="s">
        <v>455</v>
      </c>
      <c r="C73" s="20" t="s">
        <v>736</v>
      </c>
      <c r="D73" s="138">
        <v>1230000</v>
      </c>
      <c r="E73" s="20" t="s">
        <v>584</v>
      </c>
      <c r="F73" s="20" t="s">
        <v>585</v>
      </c>
      <c r="G73" s="8" t="str">
        <f t="shared" si="2"/>
        <v>YANAI IAN</v>
      </c>
      <c r="H73" s="20" t="str">
        <f t="shared" si="3"/>
        <v>4058</v>
      </c>
    </row>
    <row r="74" spans="1:8" x14ac:dyDescent="0.3">
      <c r="A74" s="8">
        <v>43032.36041666667</v>
      </c>
      <c r="B74" s="20" t="s">
        <v>537</v>
      </c>
      <c r="C74" s="20" t="s">
        <v>656</v>
      </c>
      <c r="D74" s="138">
        <v>3120000</v>
      </c>
      <c r="E74" s="20" t="s">
        <v>574</v>
      </c>
      <c r="F74" s="20" t="s">
        <v>575</v>
      </c>
      <c r="G74" s="8" t="str">
        <f t="shared" si="2"/>
        <v>THOMPSON LESTER</v>
      </c>
      <c r="H74" s="20" t="str">
        <f t="shared" si="3"/>
        <v>4025</v>
      </c>
    </row>
    <row r="75" spans="1:8" x14ac:dyDescent="0.3">
      <c r="A75" s="8">
        <v>43032.360648148147</v>
      </c>
      <c r="B75" s="20" t="s">
        <v>581</v>
      </c>
      <c r="C75" s="20" t="s">
        <v>658</v>
      </c>
      <c r="D75" s="138">
        <v>330000</v>
      </c>
      <c r="E75" s="20" t="s">
        <v>737</v>
      </c>
      <c r="F75" s="20" t="s">
        <v>738</v>
      </c>
      <c r="G75" s="8" t="str">
        <f t="shared" si="2"/>
        <v>PELLITIER GEORGE</v>
      </c>
      <c r="H75" s="20" t="str">
        <f t="shared" si="3"/>
        <v>4041</v>
      </c>
    </row>
    <row r="76" spans="1:8" x14ac:dyDescent="0.3">
      <c r="A76" s="8">
        <v>43032.361331018517</v>
      </c>
      <c r="B76" s="20" t="s">
        <v>412</v>
      </c>
      <c r="C76" s="20" t="s">
        <v>739</v>
      </c>
      <c r="D76" s="138">
        <v>3510000</v>
      </c>
      <c r="E76" s="20" t="s">
        <v>541</v>
      </c>
      <c r="F76" s="20" t="s">
        <v>542</v>
      </c>
      <c r="G76" s="8" t="str">
        <f t="shared" si="2"/>
        <v>BARRON PERLA</v>
      </c>
      <c r="H76" s="20" t="str">
        <f t="shared" si="3"/>
        <v>4059</v>
      </c>
    </row>
    <row r="77" spans="1:8" x14ac:dyDescent="0.3">
      <c r="A77" s="8">
        <v>43032.362083333333</v>
      </c>
      <c r="B77" s="20" t="s">
        <v>456</v>
      </c>
      <c r="C77" s="20" t="s">
        <v>740</v>
      </c>
      <c r="D77" s="138">
        <v>3300000</v>
      </c>
      <c r="E77" s="20" t="s">
        <v>586</v>
      </c>
      <c r="F77" s="20" t="s">
        <v>587</v>
      </c>
      <c r="G77" s="8" t="str">
        <f t="shared" si="2"/>
        <v>LANGERAK WILLIAM</v>
      </c>
      <c r="H77" s="20" t="str">
        <f t="shared" si="3"/>
        <v>4024</v>
      </c>
    </row>
    <row r="78" spans="1:8" x14ac:dyDescent="0.3">
      <c r="A78" s="8">
        <v>43032.370763888888</v>
      </c>
      <c r="B78" s="20" t="s">
        <v>538</v>
      </c>
      <c r="C78" s="20" t="s">
        <v>657</v>
      </c>
      <c r="D78" s="138">
        <v>940000</v>
      </c>
      <c r="E78" s="20" t="s">
        <v>578</v>
      </c>
      <c r="F78" s="20" t="s">
        <v>579</v>
      </c>
      <c r="G78" s="8" t="str">
        <f t="shared" si="2"/>
        <v>BONDS REYNALDO</v>
      </c>
      <c r="H78" s="20" t="str">
        <f t="shared" si="3"/>
        <v>4028</v>
      </c>
    </row>
    <row r="79" spans="1:8" x14ac:dyDescent="0.3">
      <c r="A79" s="8">
        <v>43032.374571759261</v>
      </c>
      <c r="B79" s="20" t="s">
        <v>573</v>
      </c>
      <c r="C79" s="20" t="s">
        <v>654</v>
      </c>
      <c r="D79" s="138">
        <v>330000</v>
      </c>
      <c r="E79" s="20" t="s">
        <v>737</v>
      </c>
      <c r="F79" s="20" t="s">
        <v>738</v>
      </c>
      <c r="G79" s="8" t="str">
        <f t="shared" si="2"/>
        <v>PELLITIER GEORGE</v>
      </c>
      <c r="H79" s="20" t="str">
        <f t="shared" si="3"/>
        <v>4042</v>
      </c>
    </row>
    <row r="80" spans="1:8" x14ac:dyDescent="0.3">
      <c r="A80" s="8">
        <v>43032.374768518515</v>
      </c>
      <c r="B80" s="20" t="s">
        <v>647</v>
      </c>
      <c r="C80" s="20" t="s">
        <v>741</v>
      </c>
      <c r="D80" s="138">
        <v>3000000</v>
      </c>
      <c r="E80" s="20" t="s">
        <v>704</v>
      </c>
      <c r="F80" s="20" t="s">
        <v>705</v>
      </c>
      <c r="G80" s="8" t="str">
        <f t="shared" si="2"/>
        <v>FORTUNATO FRANK</v>
      </c>
      <c r="H80" s="20" t="str">
        <f t="shared" si="3"/>
        <v>4036</v>
      </c>
    </row>
    <row r="81" spans="1:8" x14ac:dyDescent="0.3">
      <c r="A81" s="8">
        <v>43032.376550925925</v>
      </c>
      <c r="B81" s="20" t="s">
        <v>457</v>
      </c>
      <c r="C81" s="20" t="s">
        <v>740</v>
      </c>
      <c r="D81" s="138">
        <v>3300000</v>
      </c>
      <c r="E81" s="20" t="s">
        <v>586</v>
      </c>
      <c r="F81" s="20" t="s">
        <v>587</v>
      </c>
      <c r="G81" s="8" t="str">
        <f t="shared" si="2"/>
        <v>LANGERAK WILLIAM</v>
      </c>
      <c r="H81" s="20" t="str">
        <f t="shared" si="3"/>
        <v>4023</v>
      </c>
    </row>
    <row r="82" spans="1:8" x14ac:dyDescent="0.3">
      <c r="A82" s="8">
        <v>43032.381053240744</v>
      </c>
      <c r="B82" s="20" t="s">
        <v>413</v>
      </c>
      <c r="C82" s="20" t="s">
        <v>742</v>
      </c>
      <c r="D82" s="138">
        <v>3090000</v>
      </c>
      <c r="E82" s="20" t="s">
        <v>545</v>
      </c>
      <c r="F82" s="20" t="s">
        <v>546</v>
      </c>
      <c r="G82" s="8" t="str">
        <f t="shared" si="2"/>
        <v>LAMAR NEKESHA</v>
      </c>
      <c r="H82" s="20" t="str">
        <f t="shared" si="3"/>
        <v>4009</v>
      </c>
    </row>
    <row r="83" spans="1:8" x14ac:dyDescent="0.3">
      <c r="A83" s="8">
        <v>43032.384097222224</v>
      </c>
      <c r="B83" s="20" t="s">
        <v>700</v>
      </c>
      <c r="C83" s="20" t="s">
        <v>743</v>
      </c>
      <c r="D83" s="138">
        <v>2560000</v>
      </c>
      <c r="E83" s="20" t="s">
        <v>543</v>
      </c>
      <c r="F83" s="20" t="s">
        <v>544</v>
      </c>
      <c r="G83" s="8" t="str">
        <f t="shared" si="2"/>
        <v>MACDONALD THOMAS</v>
      </c>
      <c r="H83" s="20" t="str">
        <f t="shared" si="3"/>
        <v>4002</v>
      </c>
    </row>
    <row r="84" spans="1:8" x14ac:dyDescent="0.3">
      <c r="A84" s="8">
        <v>43032.390428240738</v>
      </c>
      <c r="B84" s="20" t="s">
        <v>458</v>
      </c>
      <c r="C84" s="20" t="s">
        <v>744</v>
      </c>
      <c r="D84" s="138">
        <v>1230000</v>
      </c>
      <c r="E84" s="20" t="s">
        <v>584</v>
      </c>
      <c r="F84" s="20" t="s">
        <v>585</v>
      </c>
      <c r="G84" s="8" t="str">
        <f t="shared" si="2"/>
        <v>YANAI IAN</v>
      </c>
      <c r="H84" s="20" t="str">
        <f t="shared" si="3"/>
        <v>4057</v>
      </c>
    </row>
    <row r="85" spans="1:8" x14ac:dyDescent="0.3">
      <c r="A85" s="8">
        <v>43032.392442129632</v>
      </c>
      <c r="B85" s="20" t="s">
        <v>581</v>
      </c>
      <c r="C85" s="20" t="s">
        <v>658</v>
      </c>
      <c r="D85" s="138">
        <v>330000</v>
      </c>
      <c r="E85" s="20" t="s">
        <v>737</v>
      </c>
      <c r="F85" s="20" t="s">
        <v>738</v>
      </c>
      <c r="G85" s="8" t="str">
        <f t="shared" si="2"/>
        <v>PELLITIER GEORGE</v>
      </c>
      <c r="H85" s="20" t="str">
        <f t="shared" si="3"/>
        <v>4041</v>
      </c>
    </row>
    <row r="86" spans="1:8" x14ac:dyDescent="0.3">
      <c r="A86" s="8">
        <v>43032.392453703702</v>
      </c>
      <c r="B86" s="20" t="s">
        <v>454</v>
      </c>
      <c r="C86" s="20" t="s">
        <v>745</v>
      </c>
      <c r="D86" s="138">
        <v>900000</v>
      </c>
      <c r="E86" s="20" t="s">
        <v>675</v>
      </c>
      <c r="F86" s="20" t="s">
        <v>676</v>
      </c>
      <c r="G86" s="8" t="str">
        <f t="shared" si="2"/>
        <v>ROCHA YAOTL</v>
      </c>
      <c r="H86" s="20" t="str">
        <f t="shared" si="3"/>
        <v>4015</v>
      </c>
    </row>
    <row r="87" spans="1:8" x14ac:dyDescent="0.3">
      <c r="A87" s="8">
        <v>43032.393333333333</v>
      </c>
      <c r="B87" s="20" t="s">
        <v>702</v>
      </c>
      <c r="C87" s="20" t="s">
        <v>746</v>
      </c>
      <c r="D87" s="138">
        <v>3000000</v>
      </c>
      <c r="E87" s="20" t="s">
        <v>704</v>
      </c>
      <c r="F87" s="20" t="s">
        <v>705</v>
      </c>
      <c r="G87" s="8" t="str">
        <f t="shared" si="2"/>
        <v>FORTUNATO FRANK</v>
      </c>
      <c r="H87" s="20" t="str">
        <f t="shared" si="3"/>
        <v>4035</v>
      </c>
    </row>
    <row r="88" spans="1:8" x14ac:dyDescent="0.3">
      <c r="A88" s="8">
        <v>43032.394050925926</v>
      </c>
      <c r="B88" s="20" t="s">
        <v>540</v>
      </c>
      <c r="C88" s="20" t="s">
        <v>659</v>
      </c>
      <c r="D88" s="138">
        <v>3120000</v>
      </c>
      <c r="E88" s="20" t="s">
        <v>574</v>
      </c>
      <c r="F88" s="20" t="s">
        <v>575</v>
      </c>
      <c r="G88" s="8" t="str">
        <f t="shared" si="2"/>
        <v>THOMPSON LESTER</v>
      </c>
      <c r="H88" s="20" t="str">
        <f t="shared" si="3"/>
        <v>4026</v>
      </c>
    </row>
    <row r="89" spans="1:8" x14ac:dyDescent="0.3">
      <c r="A89" s="8">
        <v>43032.402083333334</v>
      </c>
      <c r="B89" s="20" t="s">
        <v>411</v>
      </c>
      <c r="C89" s="20" t="s">
        <v>747</v>
      </c>
      <c r="D89" s="138">
        <v>3510000</v>
      </c>
      <c r="E89" s="20" t="s">
        <v>541</v>
      </c>
      <c r="F89" s="20" t="s">
        <v>542</v>
      </c>
      <c r="G89" s="8" t="str">
        <f t="shared" si="2"/>
        <v>BARRON PERLA</v>
      </c>
      <c r="H89" s="20" t="str">
        <f t="shared" si="3"/>
        <v>4060</v>
      </c>
    </row>
    <row r="90" spans="1:8" x14ac:dyDescent="0.3">
      <c r="A90" s="8">
        <v>43032.410902777781</v>
      </c>
      <c r="B90" s="20" t="s">
        <v>652</v>
      </c>
      <c r="C90" s="20" t="s">
        <v>748</v>
      </c>
      <c r="D90" s="138">
        <v>940000</v>
      </c>
      <c r="E90" s="20" t="s">
        <v>578</v>
      </c>
      <c r="F90" s="20" t="s">
        <v>579</v>
      </c>
      <c r="G90" s="8" t="str">
        <f t="shared" si="2"/>
        <v>BONDS REYNALDO</v>
      </c>
      <c r="H90" s="20" t="str">
        <f t="shared" si="3"/>
        <v>4027</v>
      </c>
    </row>
    <row r="91" spans="1:8" x14ac:dyDescent="0.3">
      <c r="A91" s="8">
        <v>43032.411944444444</v>
      </c>
      <c r="B91" s="20" t="s">
        <v>414</v>
      </c>
      <c r="C91" s="20" t="s">
        <v>749</v>
      </c>
      <c r="D91" s="138">
        <v>3090000</v>
      </c>
      <c r="E91" s="20" t="s">
        <v>545</v>
      </c>
      <c r="F91" s="20" t="s">
        <v>546</v>
      </c>
      <c r="G91" s="8" t="str">
        <f t="shared" si="2"/>
        <v>LAMAR NEKESHA</v>
      </c>
      <c r="H91" s="20" t="str">
        <f t="shared" si="3"/>
        <v>4010</v>
      </c>
    </row>
    <row r="92" spans="1:8" x14ac:dyDescent="0.3">
      <c r="A92" s="8">
        <v>43032.415578703702</v>
      </c>
      <c r="B92" s="20" t="s">
        <v>647</v>
      </c>
      <c r="C92" s="20" t="s">
        <v>660</v>
      </c>
      <c r="D92" s="138">
        <v>3000000</v>
      </c>
      <c r="E92" s="20" t="s">
        <v>704</v>
      </c>
      <c r="F92" s="20" t="s">
        <v>705</v>
      </c>
      <c r="G92" s="8" t="str">
        <f t="shared" si="2"/>
        <v>FORTUNATO FRANK</v>
      </c>
      <c r="H92" s="20" t="str">
        <f t="shared" si="3"/>
        <v>4036</v>
      </c>
    </row>
    <row r="93" spans="1:8" x14ac:dyDescent="0.3">
      <c r="A93" s="8">
        <v>43032.421793981484</v>
      </c>
      <c r="B93" s="20" t="s">
        <v>696</v>
      </c>
      <c r="C93" s="20" t="s">
        <v>750</v>
      </c>
      <c r="D93" s="138">
        <v>2560000</v>
      </c>
      <c r="E93" s="20" t="s">
        <v>543</v>
      </c>
      <c r="F93" s="20" t="s">
        <v>544</v>
      </c>
      <c r="G93" s="8" t="str">
        <f t="shared" si="2"/>
        <v>MACDONALD THOMAS</v>
      </c>
      <c r="H93" s="20" t="str">
        <f t="shared" si="3"/>
        <v>4001</v>
      </c>
    </row>
    <row r="94" spans="1:8" x14ac:dyDescent="0.3">
      <c r="A94" s="8">
        <v>43032.422418981485</v>
      </c>
      <c r="B94" s="20" t="s">
        <v>464</v>
      </c>
      <c r="C94" s="20" t="s">
        <v>751</v>
      </c>
      <c r="D94" s="138">
        <v>1760000</v>
      </c>
      <c r="E94" s="20" t="s">
        <v>690</v>
      </c>
      <c r="F94" s="20" t="s">
        <v>691</v>
      </c>
      <c r="G94" s="8" t="str">
        <f t="shared" si="2"/>
        <v>STRICKLAND EVAN</v>
      </c>
      <c r="H94" s="20" t="str">
        <f t="shared" si="3"/>
        <v>4016</v>
      </c>
    </row>
    <row r="95" spans="1:8" x14ac:dyDescent="0.3">
      <c r="A95" s="8">
        <v>43032.425717592596</v>
      </c>
      <c r="B95" s="20" t="s">
        <v>573</v>
      </c>
      <c r="C95" s="20" t="s">
        <v>654</v>
      </c>
      <c r="D95" s="138">
        <v>330000</v>
      </c>
      <c r="E95" s="20" t="s">
        <v>737</v>
      </c>
      <c r="F95" s="20" t="s">
        <v>738</v>
      </c>
      <c r="G95" s="8" t="str">
        <f t="shared" si="2"/>
        <v>PELLITIER GEORGE</v>
      </c>
      <c r="H95" s="20" t="str">
        <f t="shared" si="3"/>
        <v>4042</v>
      </c>
    </row>
    <row r="96" spans="1:8" x14ac:dyDescent="0.3">
      <c r="A96" s="8">
        <v>43032.433055555557</v>
      </c>
      <c r="B96" s="20" t="s">
        <v>537</v>
      </c>
      <c r="C96" s="20" t="s">
        <v>752</v>
      </c>
      <c r="D96" s="138">
        <v>3120000</v>
      </c>
      <c r="E96" s="20" t="s">
        <v>574</v>
      </c>
      <c r="F96" s="20" t="s">
        <v>575</v>
      </c>
      <c r="G96" s="8" t="str">
        <f t="shared" si="2"/>
        <v>THOMPSON LESTER</v>
      </c>
      <c r="H96" s="20" t="str">
        <f t="shared" si="3"/>
        <v>4025</v>
      </c>
    </row>
    <row r="97" spans="1:8" x14ac:dyDescent="0.3">
      <c r="A97" s="8">
        <v>43032.433298611111</v>
      </c>
      <c r="B97" s="20" t="s">
        <v>455</v>
      </c>
      <c r="C97" s="20" t="s">
        <v>661</v>
      </c>
      <c r="D97" s="138">
        <v>1230000</v>
      </c>
      <c r="E97" s="20" t="s">
        <v>584</v>
      </c>
      <c r="F97" s="20" t="s">
        <v>585</v>
      </c>
      <c r="G97" s="8" t="str">
        <f t="shared" si="2"/>
        <v>YANAI IAN</v>
      </c>
      <c r="H97" s="20" t="str">
        <f t="shared" si="3"/>
        <v>4058</v>
      </c>
    </row>
    <row r="98" spans="1:8" x14ac:dyDescent="0.3">
      <c r="A98" s="8">
        <v>43032.433958333335</v>
      </c>
      <c r="B98" s="20" t="s">
        <v>702</v>
      </c>
      <c r="C98" s="20" t="s">
        <v>753</v>
      </c>
      <c r="D98" s="138">
        <v>3000000</v>
      </c>
      <c r="E98" s="20" t="s">
        <v>704</v>
      </c>
      <c r="F98" s="20" t="s">
        <v>705</v>
      </c>
      <c r="G98" s="8" t="str">
        <f t="shared" si="2"/>
        <v>FORTUNATO FRANK</v>
      </c>
      <c r="H98" s="20" t="str">
        <f t="shared" si="3"/>
        <v>4035</v>
      </c>
    </row>
    <row r="99" spans="1:8" x14ac:dyDescent="0.3">
      <c r="A99" s="8">
        <v>43032.43440972222</v>
      </c>
      <c r="B99" s="20" t="s">
        <v>412</v>
      </c>
      <c r="C99" s="20" t="s">
        <v>754</v>
      </c>
      <c r="D99" s="138">
        <v>3510000</v>
      </c>
      <c r="E99" s="20" t="s">
        <v>541</v>
      </c>
      <c r="F99" s="20" t="s">
        <v>542</v>
      </c>
      <c r="G99" s="8" t="str">
        <f t="shared" si="2"/>
        <v>BARRON PERLA</v>
      </c>
      <c r="H99" s="20" t="str">
        <f t="shared" si="3"/>
        <v>4059</v>
      </c>
    </row>
    <row r="100" spans="1:8" x14ac:dyDescent="0.3">
      <c r="A100" s="8">
        <v>43032.445613425924</v>
      </c>
      <c r="B100" s="20" t="s">
        <v>538</v>
      </c>
      <c r="C100" s="20" t="s">
        <v>662</v>
      </c>
      <c r="D100" s="138">
        <v>920000</v>
      </c>
      <c r="E100" s="20" t="s">
        <v>437</v>
      </c>
      <c r="F100" s="20" t="s">
        <v>384</v>
      </c>
      <c r="G100" s="8" t="str">
        <f t="shared" si="2"/>
        <v>DAVIS MICHAEL</v>
      </c>
      <c r="H100" s="20" t="str">
        <f t="shared" si="3"/>
        <v>4028</v>
      </c>
    </row>
    <row r="101" spans="1:8" x14ac:dyDescent="0.3">
      <c r="A101" s="8">
        <v>43032.446828703702</v>
      </c>
      <c r="B101" s="20" t="s">
        <v>431</v>
      </c>
      <c r="C101" s="20" t="s">
        <v>755</v>
      </c>
      <c r="D101" s="138">
        <v>2040000</v>
      </c>
      <c r="E101" s="20" t="s">
        <v>756</v>
      </c>
      <c r="F101" s="20" t="s">
        <v>757</v>
      </c>
      <c r="G101" s="8" t="str">
        <f t="shared" si="2"/>
        <v>MOSES BRADLEY</v>
      </c>
      <c r="H101" s="20" t="str">
        <f t="shared" si="3"/>
        <v>4007</v>
      </c>
    </row>
    <row r="102" spans="1:8" x14ac:dyDescent="0.3">
      <c r="A102" s="8">
        <v>43032.45140046296</v>
      </c>
      <c r="B102" s="20" t="s">
        <v>413</v>
      </c>
      <c r="C102" s="20" t="s">
        <v>758</v>
      </c>
      <c r="D102" s="138">
        <v>3090000</v>
      </c>
      <c r="E102" s="20" t="s">
        <v>545</v>
      </c>
      <c r="F102" s="20" t="s">
        <v>546</v>
      </c>
      <c r="G102" s="8" t="str">
        <f t="shared" si="2"/>
        <v>LAMAR NEKESHA</v>
      </c>
      <c r="H102" s="20" t="str">
        <f t="shared" si="3"/>
        <v>4009</v>
      </c>
    </row>
    <row r="103" spans="1:8" x14ac:dyDescent="0.3">
      <c r="A103" s="8">
        <v>43032.453587962962</v>
      </c>
      <c r="B103" s="20" t="s">
        <v>454</v>
      </c>
      <c r="C103" s="20" t="s">
        <v>759</v>
      </c>
      <c r="D103" s="138">
        <v>1760000</v>
      </c>
      <c r="E103" s="20" t="s">
        <v>690</v>
      </c>
      <c r="F103" s="20" t="s">
        <v>691</v>
      </c>
      <c r="G103" s="8" t="str">
        <f t="shared" si="2"/>
        <v>STRICKLAND EVAN</v>
      </c>
      <c r="H103" s="20" t="str">
        <f t="shared" si="3"/>
        <v>4015</v>
      </c>
    </row>
    <row r="104" spans="1:8" x14ac:dyDescent="0.3">
      <c r="A104" s="8">
        <v>43032.456817129627</v>
      </c>
      <c r="B104" s="20" t="s">
        <v>581</v>
      </c>
      <c r="C104" s="20" t="s">
        <v>658</v>
      </c>
      <c r="D104" s="138">
        <v>330000</v>
      </c>
      <c r="E104" s="20" t="s">
        <v>737</v>
      </c>
      <c r="F104" s="20" t="s">
        <v>738</v>
      </c>
      <c r="G104" s="8" t="str">
        <f t="shared" si="2"/>
        <v>PELLITIER GEORGE</v>
      </c>
      <c r="H104" s="20" t="str">
        <f t="shared" si="3"/>
        <v>4041</v>
      </c>
    </row>
    <row r="105" spans="1:8" x14ac:dyDescent="0.3">
      <c r="A105" s="8">
        <v>43032.45684027778</v>
      </c>
      <c r="B105" s="20" t="s">
        <v>700</v>
      </c>
      <c r="C105" s="20" t="s">
        <v>760</v>
      </c>
      <c r="D105" s="138">
        <v>2560000</v>
      </c>
      <c r="E105" s="20" t="s">
        <v>543</v>
      </c>
      <c r="F105" s="20" t="s">
        <v>544</v>
      </c>
      <c r="G105" s="8" t="str">
        <f t="shared" si="2"/>
        <v>MACDONALD THOMAS</v>
      </c>
      <c r="H105" s="20" t="str">
        <f t="shared" si="3"/>
        <v>4002</v>
      </c>
    </row>
    <row r="106" spans="1:8" x14ac:dyDescent="0.3">
      <c r="A106" s="8">
        <v>43032.457696759258</v>
      </c>
      <c r="B106" s="20" t="s">
        <v>647</v>
      </c>
      <c r="C106" s="20" t="s">
        <v>761</v>
      </c>
      <c r="D106" s="138">
        <v>3000000</v>
      </c>
      <c r="E106" s="20" t="s">
        <v>704</v>
      </c>
      <c r="F106" s="20" t="s">
        <v>705</v>
      </c>
      <c r="G106" s="8" t="str">
        <f t="shared" si="2"/>
        <v>FORTUNATO FRANK</v>
      </c>
      <c r="H106" s="20" t="str">
        <f t="shared" si="3"/>
        <v>4036</v>
      </c>
    </row>
    <row r="107" spans="1:8" x14ac:dyDescent="0.3">
      <c r="A107" s="8">
        <v>43032.464050925926</v>
      </c>
      <c r="B107" s="20" t="s">
        <v>458</v>
      </c>
      <c r="C107" s="20" t="s">
        <v>762</v>
      </c>
      <c r="D107" s="138">
        <v>1230000</v>
      </c>
      <c r="E107" s="20" t="s">
        <v>584</v>
      </c>
      <c r="F107" s="20" t="s">
        <v>585</v>
      </c>
      <c r="G107" s="8" t="str">
        <f t="shared" si="2"/>
        <v>YANAI IAN</v>
      </c>
      <c r="H107" s="20" t="str">
        <f t="shared" si="3"/>
        <v>4057</v>
      </c>
    </row>
    <row r="108" spans="1:8" x14ac:dyDescent="0.3">
      <c r="A108" s="8">
        <v>43032.467395833337</v>
      </c>
      <c r="B108" s="20" t="s">
        <v>540</v>
      </c>
      <c r="C108" s="20" t="s">
        <v>763</v>
      </c>
      <c r="D108" s="138">
        <v>1770000</v>
      </c>
      <c r="E108" s="20" t="s">
        <v>764</v>
      </c>
      <c r="F108" s="20" t="s">
        <v>765</v>
      </c>
      <c r="G108" s="8" t="str">
        <f t="shared" si="2"/>
        <v>BRUDER RICHARD</v>
      </c>
      <c r="H108" s="20" t="str">
        <f t="shared" si="3"/>
        <v>4026</v>
      </c>
    </row>
    <row r="109" spans="1:8" x14ac:dyDescent="0.3">
      <c r="A109" s="8">
        <v>43032.473182870373</v>
      </c>
      <c r="B109" s="20" t="s">
        <v>573</v>
      </c>
      <c r="C109" s="20" t="s">
        <v>654</v>
      </c>
      <c r="D109" s="138">
        <v>330000</v>
      </c>
      <c r="E109" s="20" t="s">
        <v>737</v>
      </c>
      <c r="F109" s="20" t="s">
        <v>738</v>
      </c>
      <c r="G109" s="8" t="str">
        <f t="shared" si="2"/>
        <v>PELLITIER GEORGE</v>
      </c>
      <c r="H109" s="20" t="str">
        <f t="shared" si="3"/>
        <v>4042</v>
      </c>
    </row>
    <row r="110" spans="1:8" x14ac:dyDescent="0.3">
      <c r="A110" s="8">
        <v>43032.477372685185</v>
      </c>
      <c r="B110" s="20" t="s">
        <v>411</v>
      </c>
      <c r="C110" s="20" t="s">
        <v>766</v>
      </c>
      <c r="D110" s="138">
        <v>880000</v>
      </c>
      <c r="E110" s="20" t="s">
        <v>394</v>
      </c>
      <c r="F110" s="20" t="s">
        <v>384</v>
      </c>
      <c r="G110" s="8" t="str">
        <f t="shared" si="2"/>
        <v>STEWART MICHAEL</v>
      </c>
      <c r="H110" s="20" t="str">
        <f t="shared" si="3"/>
        <v>4060</v>
      </c>
    </row>
    <row r="111" spans="1:8" x14ac:dyDescent="0.3">
      <c r="A111" s="8">
        <v>43032.47859953704</v>
      </c>
      <c r="B111" s="20" t="s">
        <v>573</v>
      </c>
      <c r="C111" s="20" t="s">
        <v>654</v>
      </c>
      <c r="D111" s="138">
        <v>330000</v>
      </c>
      <c r="E111" s="20" t="s">
        <v>737</v>
      </c>
      <c r="F111" s="20" t="s">
        <v>738</v>
      </c>
      <c r="G111" s="8" t="str">
        <f t="shared" si="2"/>
        <v>PELLITIER GEORGE</v>
      </c>
      <c r="H111" s="20" t="str">
        <f t="shared" si="3"/>
        <v>4042</v>
      </c>
    </row>
    <row r="112" spans="1:8" x14ac:dyDescent="0.3">
      <c r="A112" s="8">
        <v>43032.479178240741</v>
      </c>
      <c r="B112" s="20" t="s">
        <v>702</v>
      </c>
      <c r="C112" s="20" t="s">
        <v>767</v>
      </c>
      <c r="D112" s="138">
        <v>3000000</v>
      </c>
      <c r="E112" s="20" t="s">
        <v>704</v>
      </c>
      <c r="F112" s="20" t="s">
        <v>705</v>
      </c>
      <c r="G112" s="8" t="str">
        <f t="shared" si="2"/>
        <v>FORTUNATO FRANK</v>
      </c>
      <c r="H112" s="20" t="str">
        <f t="shared" si="3"/>
        <v>4035</v>
      </c>
    </row>
    <row r="113" spans="1:8" x14ac:dyDescent="0.3">
      <c r="A113" s="8">
        <v>43032.482986111114</v>
      </c>
      <c r="B113" s="20" t="s">
        <v>409</v>
      </c>
      <c r="C113" s="20" t="s">
        <v>768</v>
      </c>
      <c r="D113" s="138">
        <v>2270000</v>
      </c>
      <c r="E113" s="20" t="s">
        <v>547</v>
      </c>
      <c r="F113" s="20" t="s">
        <v>548</v>
      </c>
      <c r="G113" s="8" t="str">
        <f t="shared" si="2"/>
        <v>BROWN JACOB</v>
      </c>
      <c r="H113" s="20" t="str">
        <f t="shared" si="3"/>
        <v>4008</v>
      </c>
    </row>
    <row r="114" spans="1:8" x14ac:dyDescent="0.3">
      <c r="A114" s="8">
        <v>43032.485868055555</v>
      </c>
      <c r="B114" s="20" t="s">
        <v>652</v>
      </c>
      <c r="C114" s="20" t="s">
        <v>769</v>
      </c>
      <c r="D114" s="138">
        <v>920000</v>
      </c>
      <c r="E114" s="20" t="s">
        <v>437</v>
      </c>
      <c r="F114" s="20" t="s">
        <v>384</v>
      </c>
      <c r="G114" s="8" t="str">
        <f t="shared" si="2"/>
        <v>DAVIS MICHAEL</v>
      </c>
      <c r="H114" s="20" t="str">
        <f t="shared" si="3"/>
        <v>4027</v>
      </c>
    </row>
    <row r="115" spans="1:8" x14ac:dyDescent="0.3">
      <c r="A115" s="8">
        <v>43032.486446759256</v>
      </c>
      <c r="B115" s="20" t="s">
        <v>414</v>
      </c>
      <c r="C115" s="20" t="s">
        <v>770</v>
      </c>
      <c r="D115" s="138">
        <v>1300000</v>
      </c>
      <c r="E115" s="20" t="s">
        <v>417</v>
      </c>
      <c r="F115" s="20" t="s">
        <v>418</v>
      </c>
      <c r="G115" s="8" t="str">
        <f t="shared" si="2"/>
        <v>LEVIN SCOTT</v>
      </c>
      <c r="H115" s="20" t="str">
        <f t="shared" si="3"/>
        <v>4010</v>
      </c>
    </row>
    <row r="116" spans="1:8" x14ac:dyDescent="0.3">
      <c r="A116" s="8">
        <v>43032.489675925928</v>
      </c>
      <c r="B116" s="20" t="s">
        <v>696</v>
      </c>
      <c r="C116" s="20" t="s">
        <v>771</v>
      </c>
      <c r="D116" s="138">
        <v>2560000</v>
      </c>
      <c r="E116" s="20" t="s">
        <v>543</v>
      </c>
      <c r="F116" s="20" t="s">
        <v>544</v>
      </c>
      <c r="G116" s="8" t="str">
        <f t="shared" si="2"/>
        <v>MACDONALD THOMAS</v>
      </c>
      <c r="H116" s="20" t="str">
        <f t="shared" si="3"/>
        <v>4001</v>
      </c>
    </row>
    <row r="117" spans="1:8" x14ac:dyDescent="0.3">
      <c r="A117" s="8">
        <v>43032.497789351852</v>
      </c>
      <c r="B117" s="20" t="s">
        <v>464</v>
      </c>
      <c r="C117" s="20" t="s">
        <v>772</v>
      </c>
      <c r="D117" s="138">
        <v>1180000</v>
      </c>
      <c r="E117" s="20" t="s">
        <v>415</v>
      </c>
      <c r="F117" s="20" t="s">
        <v>416</v>
      </c>
      <c r="G117" s="8" t="str">
        <f t="shared" si="2"/>
        <v>LEVERE CRAIG</v>
      </c>
      <c r="H117" s="20" t="str">
        <f t="shared" si="3"/>
        <v>4016</v>
      </c>
    </row>
    <row r="118" spans="1:8" x14ac:dyDescent="0.3">
      <c r="A118" s="8">
        <v>43032.498055555552</v>
      </c>
      <c r="B118" s="20" t="s">
        <v>581</v>
      </c>
      <c r="C118" s="20" t="s">
        <v>658</v>
      </c>
      <c r="D118" s="138">
        <v>330000</v>
      </c>
      <c r="E118" s="20" t="s">
        <v>737</v>
      </c>
      <c r="F118" s="20" t="s">
        <v>738</v>
      </c>
      <c r="G118" s="8" t="str">
        <f t="shared" si="2"/>
        <v>PELLITIER GEORGE</v>
      </c>
      <c r="H118" s="20" t="str">
        <f t="shared" si="3"/>
        <v>4041</v>
      </c>
    </row>
    <row r="119" spans="1:8" x14ac:dyDescent="0.3">
      <c r="A119" s="8">
        <v>43032.498391203706</v>
      </c>
      <c r="B119" s="20" t="s">
        <v>647</v>
      </c>
      <c r="C119" s="20" t="s">
        <v>663</v>
      </c>
      <c r="D119" s="138">
        <v>3000000</v>
      </c>
      <c r="E119" s="20" t="s">
        <v>704</v>
      </c>
      <c r="F119" s="20" t="s">
        <v>705</v>
      </c>
      <c r="G119" s="8" t="str">
        <f t="shared" si="2"/>
        <v>FORTUNATO FRANK</v>
      </c>
      <c r="H119" s="20" t="str">
        <f t="shared" si="3"/>
        <v>4036</v>
      </c>
    </row>
    <row r="120" spans="1:8" x14ac:dyDescent="0.3">
      <c r="A120" s="8">
        <v>43032.506249999999</v>
      </c>
      <c r="B120" s="20" t="s">
        <v>537</v>
      </c>
      <c r="C120" s="20" t="s">
        <v>773</v>
      </c>
      <c r="D120" s="138">
        <v>1770000</v>
      </c>
      <c r="E120" s="20" t="s">
        <v>764</v>
      </c>
      <c r="F120" s="20" t="s">
        <v>765</v>
      </c>
      <c r="G120" s="8" t="str">
        <f t="shared" si="2"/>
        <v>BRUDER RICHARD</v>
      </c>
      <c r="H120" s="20" t="str">
        <f t="shared" si="3"/>
        <v>4025</v>
      </c>
    </row>
    <row r="121" spans="1:8" x14ac:dyDescent="0.3">
      <c r="A121" s="8">
        <v>43032.506504629629</v>
      </c>
      <c r="B121" s="20" t="s">
        <v>455</v>
      </c>
      <c r="C121" s="20" t="s">
        <v>774</v>
      </c>
      <c r="D121" s="138">
        <v>2630000</v>
      </c>
      <c r="E121" s="20" t="s">
        <v>549</v>
      </c>
      <c r="F121" s="20" t="s">
        <v>550</v>
      </c>
      <c r="G121" s="8" t="str">
        <f t="shared" si="2"/>
        <v>SAFIEF AEIMEN</v>
      </c>
      <c r="H121" s="20" t="str">
        <f t="shared" si="3"/>
        <v>4058</v>
      </c>
    </row>
    <row r="122" spans="1:8" x14ac:dyDescent="0.3">
      <c r="A122" s="8">
        <v>43032.513703703706</v>
      </c>
      <c r="B122" s="25" t="s">
        <v>412</v>
      </c>
      <c r="C122" s="20" t="s">
        <v>775</v>
      </c>
      <c r="D122" s="138">
        <v>880000</v>
      </c>
      <c r="E122" s="20" t="s">
        <v>394</v>
      </c>
      <c r="F122" s="20" t="s">
        <v>384</v>
      </c>
      <c r="G122" s="8" t="str">
        <f t="shared" si="2"/>
        <v>STEWART MICHAEL</v>
      </c>
      <c r="H122" s="20" t="str">
        <f t="shared" si="3"/>
        <v>4059</v>
      </c>
    </row>
    <row r="123" spans="1:8" x14ac:dyDescent="0.3">
      <c r="A123" s="8">
        <v>43032.517962962964</v>
      </c>
      <c r="B123" s="20" t="s">
        <v>702</v>
      </c>
      <c r="C123" s="20" t="s">
        <v>776</v>
      </c>
      <c r="D123" s="138">
        <v>3000000</v>
      </c>
      <c r="E123" s="20" t="s">
        <v>704</v>
      </c>
      <c r="F123" s="20" t="s">
        <v>705</v>
      </c>
      <c r="G123" s="8" t="str">
        <f t="shared" si="2"/>
        <v>FORTUNATO FRANK</v>
      </c>
      <c r="H123" s="20" t="str">
        <f t="shared" si="3"/>
        <v>4035</v>
      </c>
    </row>
    <row r="124" spans="1:8" x14ac:dyDescent="0.3">
      <c r="A124" s="8">
        <v>43032.519803240742</v>
      </c>
      <c r="B124" s="20" t="s">
        <v>538</v>
      </c>
      <c r="C124" s="20" t="s">
        <v>777</v>
      </c>
      <c r="D124" s="138">
        <v>920000</v>
      </c>
      <c r="E124" s="20" t="s">
        <v>437</v>
      </c>
      <c r="F124" s="20" t="s">
        <v>384</v>
      </c>
      <c r="G124" s="8" t="str">
        <f t="shared" si="2"/>
        <v>DAVIS MICHAEL</v>
      </c>
      <c r="H124" s="20" t="str">
        <f t="shared" si="3"/>
        <v>4028</v>
      </c>
    </row>
    <row r="125" spans="1:8" x14ac:dyDescent="0.3">
      <c r="A125" s="8">
        <v>43032.521747685183</v>
      </c>
      <c r="B125" s="20" t="s">
        <v>413</v>
      </c>
      <c r="C125" s="20" t="s">
        <v>778</v>
      </c>
      <c r="D125" s="138">
        <v>1300000</v>
      </c>
      <c r="E125" s="20" t="s">
        <v>417</v>
      </c>
      <c r="F125" s="20" t="s">
        <v>418</v>
      </c>
      <c r="G125" s="8" t="str">
        <f t="shared" si="2"/>
        <v>LEVIN SCOTT</v>
      </c>
      <c r="H125" s="20" t="str">
        <f t="shared" si="3"/>
        <v>4009</v>
      </c>
    </row>
    <row r="126" spans="1:8" x14ac:dyDescent="0.3">
      <c r="A126" s="8">
        <v>43032.529143518521</v>
      </c>
      <c r="B126" s="20" t="s">
        <v>700</v>
      </c>
      <c r="C126" s="20" t="s">
        <v>779</v>
      </c>
      <c r="D126" s="138">
        <v>2230000</v>
      </c>
      <c r="E126" s="20" t="s">
        <v>553</v>
      </c>
      <c r="F126" s="20" t="s">
        <v>384</v>
      </c>
      <c r="G126" s="8" t="str">
        <f t="shared" si="2"/>
        <v>SMITH MICHAEL</v>
      </c>
      <c r="H126" s="20" t="str">
        <f t="shared" si="3"/>
        <v>4002</v>
      </c>
    </row>
    <row r="127" spans="1:8" x14ac:dyDescent="0.3">
      <c r="A127" s="8">
        <v>43032.534571759257</v>
      </c>
      <c r="B127" s="20" t="s">
        <v>454</v>
      </c>
      <c r="C127" s="20" t="s">
        <v>780</v>
      </c>
      <c r="D127" s="138">
        <v>1180000</v>
      </c>
      <c r="E127" s="20" t="s">
        <v>415</v>
      </c>
      <c r="F127" s="20" t="s">
        <v>416</v>
      </c>
      <c r="G127" s="8" t="str">
        <f t="shared" si="2"/>
        <v>LEVERE CRAIG</v>
      </c>
      <c r="H127" s="20" t="str">
        <f t="shared" si="3"/>
        <v>4015</v>
      </c>
    </row>
    <row r="128" spans="1:8" x14ac:dyDescent="0.3">
      <c r="A128" s="8">
        <v>43032.538078703707</v>
      </c>
      <c r="B128" s="20" t="s">
        <v>540</v>
      </c>
      <c r="C128" s="20" t="s">
        <v>781</v>
      </c>
      <c r="D128" s="138">
        <v>1770000</v>
      </c>
      <c r="E128" s="20" t="s">
        <v>764</v>
      </c>
      <c r="F128" s="20" t="s">
        <v>765</v>
      </c>
      <c r="G128" s="8" t="str">
        <f t="shared" si="2"/>
        <v>BRUDER RICHARD</v>
      </c>
      <c r="H128" s="20" t="str">
        <f t="shared" si="3"/>
        <v>4026</v>
      </c>
    </row>
    <row r="129" spans="1:8" x14ac:dyDescent="0.3">
      <c r="A129" s="8">
        <v>43032.541076388887</v>
      </c>
      <c r="B129" s="20" t="s">
        <v>647</v>
      </c>
      <c r="C129" s="20" t="s">
        <v>664</v>
      </c>
      <c r="D129" s="138">
        <v>2970000</v>
      </c>
      <c r="E129" s="20" t="s">
        <v>551</v>
      </c>
      <c r="F129" s="20" t="s">
        <v>552</v>
      </c>
      <c r="G129" s="8" t="str">
        <f t="shared" si="2"/>
        <v>GUZMAN DANNY</v>
      </c>
      <c r="H129" s="20" t="str">
        <f t="shared" si="3"/>
        <v>4036</v>
      </c>
    </row>
    <row r="130" spans="1:8" x14ac:dyDescent="0.3">
      <c r="A130" s="8">
        <v>43032.541585648149</v>
      </c>
      <c r="B130" s="20" t="s">
        <v>458</v>
      </c>
      <c r="C130" s="20" t="s">
        <v>782</v>
      </c>
      <c r="D130" s="138">
        <v>2630000</v>
      </c>
      <c r="E130" s="20" t="s">
        <v>549</v>
      </c>
      <c r="F130" s="20" t="s">
        <v>550</v>
      </c>
      <c r="G130" s="8" t="str">
        <f t="shared" si="2"/>
        <v>SAFIEF AEIMEN</v>
      </c>
      <c r="H130" s="20" t="str">
        <f t="shared" si="3"/>
        <v>4057</v>
      </c>
    </row>
    <row r="131" spans="1:8" x14ac:dyDescent="0.3">
      <c r="A131" s="8">
        <v>43032.548321759263</v>
      </c>
      <c r="B131" s="20" t="s">
        <v>411</v>
      </c>
      <c r="C131" s="20" t="s">
        <v>783</v>
      </c>
      <c r="D131" s="138">
        <v>880000</v>
      </c>
      <c r="E131" s="20" t="s">
        <v>394</v>
      </c>
      <c r="F131" s="20" t="s">
        <v>384</v>
      </c>
      <c r="G131" s="8" t="str">
        <f t="shared" ref="G131:G194" si="4">E131&amp;" "&amp;F131</f>
        <v>STEWART MICHAEL</v>
      </c>
      <c r="H131" s="20" t="str">
        <f t="shared" ref="H131:H194" si="5">MID(B131,13,4)</f>
        <v>4060</v>
      </c>
    </row>
    <row r="132" spans="1:8" x14ac:dyDescent="0.3">
      <c r="A132" s="8">
        <v>43032.557962962965</v>
      </c>
      <c r="B132" s="20" t="s">
        <v>414</v>
      </c>
      <c r="C132" s="20" t="s">
        <v>784</v>
      </c>
      <c r="D132" s="138">
        <v>1300000</v>
      </c>
      <c r="E132" s="20" t="s">
        <v>417</v>
      </c>
      <c r="F132" s="20" t="s">
        <v>418</v>
      </c>
      <c r="G132" s="8" t="str">
        <f t="shared" si="4"/>
        <v>LEVIN SCOTT</v>
      </c>
      <c r="H132" s="20" t="str">
        <f t="shared" si="5"/>
        <v>4010</v>
      </c>
    </row>
    <row r="133" spans="1:8" x14ac:dyDescent="0.3">
      <c r="A133" s="8">
        <v>43032.557986111111</v>
      </c>
      <c r="B133" s="20" t="s">
        <v>652</v>
      </c>
      <c r="C133" s="20" t="s">
        <v>665</v>
      </c>
      <c r="D133" s="138">
        <v>920000</v>
      </c>
      <c r="E133" s="20" t="s">
        <v>437</v>
      </c>
      <c r="F133" s="20" t="s">
        <v>384</v>
      </c>
      <c r="G133" s="8" t="str">
        <f t="shared" si="4"/>
        <v>DAVIS MICHAEL</v>
      </c>
      <c r="H133" s="20" t="str">
        <f t="shared" si="5"/>
        <v>4027</v>
      </c>
    </row>
    <row r="134" spans="1:8" x14ac:dyDescent="0.3">
      <c r="A134" s="8">
        <v>43032.560474537036</v>
      </c>
      <c r="B134" s="20" t="s">
        <v>573</v>
      </c>
      <c r="C134" s="20" t="s">
        <v>658</v>
      </c>
      <c r="D134" s="138">
        <v>330000</v>
      </c>
      <c r="E134" s="20" t="s">
        <v>737</v>
      </c>
      <c r="F134" s="20" t="s">
        <v>738</v>
      </c>
      <c r="G134" s="8" t="str">
        <f t="shared" si="4"/>
        <v>PELLITIER GEORGE</v>
      </c>
      <c r="H134" s="20" t="str">
        <f t="shared" si="5"/>
        <v>4042</v>
      </c>
    </row>
    <row r="135" spans="1:8" x14ac:dyDescent="0.3">
      <c r="A135" s="8">
        <v>43032.561377314814</v>
      </c>
      <c r="B135" s="20" t="s">
        <v>702</v>
      </c>
      <c r="C135" s="20" t="s">
        <v>785</v>
      </c>
      <c r="D135" s="138">
        <v>2970000</v>
      </c>
      <c r="E135" s="20" t="s">
        <v>551</v>
      </c>
      <c r="F135" s="20" t="s">
        <v>552</v>
      </c>
      <c r="G135" s="8" t="str">
        <f t="shared" si="4"/>
        <v>GUZMAN DANNY</v>
      </c>
      <c r="H135" s="20" t="str">
        <f t="shared" si="5"/>
        <v>4035</v>
      </c>
    </row>
    <row r="136" spans="1:8" x14ac:dyDescent="0.3">
      <c r="A136" s="8">
        <v>43032.561666666668</v>
      </c>
      <c r="B136" s="20" t="s">
        <v>573</v>
      </c>
      <c r="C136" s="20" t="s">
        <v>654</v>
      </c>
      <c r="D136" s="138">
        <v>330000</v>
      </c>
      <c r="E136" s="20" t="s">
        <v>737</v>
      </c>
      <c r="F136" s="20" t="s">
        <v>738</v>
      </c>
      <c r="G136" s="8" t="str">
        <f t="shared" si="4"/>
        <v>PELLITIER GEORGE</v>
      </c>
      <c r="H136" s="20" t="str">
        <f t="shared" si="5"/>
        <v>4042</v>
      </c>
    </row>
    <row r="137" spans="1:8" x14ac:dyDescent="0.3">
      <c r="A137" s="8">
        <v>43032.564120370371</v>
      </c>
      <c r="B137" s="20" t="s">
        <v>696</v>
      </c>
      <c r="C137" s="20" t="s">
        <v>786</v>
      </c>
      <c r="D137" s="138">
        <v>2230000</v>
      </c>
      <c r="E137" s="20" t="s">
        <v>553</v>
      </c>
      <c r="F137" s="20" t="s">
        <v>384</v>
      </c>
      <c r="G137" s="8" t="str">
        <f t="shared" si="4"/>
        <v>SMITH MICHAEL</v>
      </c>
      <c r="H137" s="20" t="str">
        <f t="shared" si="5"/>
        <v>4001</v>
      </c>
    </row>
    <row r="138" spans="1:8" x14ac:dyDescent="0.3">
      <c r="A138" s="8">
        <v>43032.569479166668</v>
      </c>
      <c r="B138" s="20" t="s">
        <v>464</v>
      </c>
      <c r="C138" s="20" t="s">
        <v>787</v>
      </c>
      <c r="D138" s="138">
        <v>1180000</v>
      </c>
      <c r="E138" s="20" t="s">
        <v>415</v>
      </c>
      <c r="F138" s="20" t="s">
        <v>416</v>
      </c>
      <c r="G138" s="8" t="str">
        <f t="shared" si="4"/>
        <v>LEVERE CRAIG</v>
      </c>
      <c r="H138" s="20" t="str">
        <f t="shared" si="5"/>
        <v>4016</v>
      </c>
    </row>
    <row r="139" spans="1:8" x14ac:dyDescent="0.3">
      <c r="A139" s="8">
        <v>43032.578310185185</v>
      </c>
      <c r="B139" s="20" t="s">
        <v>537</v>
      </c>
      <c r="C139" s="20" t="s">
        <v>788</v>
      </c>
      <c r="D139" s="138">
        <v>1770000</v>
      </c>
      <c r="E139" s="20" t="s">
        <v>764</v>
      </c>
      <c r="F139" s="20" t="s">
        <v>765</v>
      </c>
      <c r="G139" s="8" t="str">
        <f t="shared" si="4"/>
        <v>BRUDER RICHARD</v>
      </c>
      <c r="H139" s="20" t="str">
        <f t="shared" si="5"/>
        <v>4025</v>
      </c>
    </row>
    <row r="140" spans="1:8" x14ac:dyDescent="0.3">
      <c r="A140" s="8">
        <v>43032.581307870372</v>
      </c>
      <c r="B140" s="20" t="s">
        <v>455</v>
      </c>
      <c r="C140" s="20" t="s">
        <v>789</v>
      </c>
      <c r="D140" s="138">
        <v>2630000</v>
      </c>
      <c r="E140" s="20" t="s">
        <v>549</v>
      </c>
      <c r="F140" s="20" t="s">
        <v>550</v>
      </c>
      <c r="G140" s="8" t="str">
        <f t="shared" si="4"/>
        <v>SAFIEF AEIMEN</v>
      </c>
      <c r="H140" s="20" t="str">
        <f t="shared" si="5"/>
        <v>4058</v>
      </c>
    </row>
    <row r="141" spans="1:8" x14ac:dyDescent="0.3">
      <c r="A141" s="8">
        <v>43032.581701388888</v>
      </c>
      <c r="B141" s="20" t="s">
        <v>581</v>
      </c>
      <c r="C141" s="20" t="s">
        <v>658</v>
      </c>
      <c r="D141" s="138">
        <v>330000</v>
      </c>
      <c r="E141" s="20" t="s">
        <v>737</v>
      </c>
      <c r="F141" s="20" t="s">
        <v>738</v>
      </c>
      <c r="G141" s="8" t="str">
        <f t="shared" si="4"/>
        <v>PELLITIER GEORGE</v>
      </c>
      <c r="H141" s="20" t="str">
        <f t="shared" si="5"/>
        <v>4041</v>
      </c>
    </row>
    <row r="142" spans="1:8" x14ac:dyDescent="0.3">
      <c r="A142" s="8">
        <v>43032.584675925929</v>
      </c>
      <c r="B142" s="20" t="s">
        <v>647</v>
      </c>
      <c r="C142" s="20" t="s">
        <v>790</v>
      </c>
      <c r="D142" s="138">
        <v>2970000</v>
      </c>
      <c r="E142" s="20" t="s">
        <v>551</v>
      </c>
      <c r="F142" s="20" t="s">
        <v>552</v>
      </c>
      <c r="G142" s="8" t="str">
        <f t="shared" si="4"/>
        <v>GUZMAN DANNY</v>
      </c>
      <c r="H142" s="20" t="str">
        <f t="shared" si="5"/>
        <v>4036</v>
      </c>
    </row>
    <row r="143" spans="1:8" x14ac:dyDescent="0.3">
      <c r="A143" s="8">
        <v>43032.588159722225</v>
      </c>
      <c r="B143" s="20" t="s">
        <v>412</v>
      </c>
      <c r="C143" s="20" t="s">
        <v>791</v>
      </c>
      <c r="D143" s="138">
        <v>880000</v>
      </c>
      <c r="E143" s="20" t="s">
        <v>394</v>
      </c>
      <c r="F143" s="20" t="s">
        <v>384</v>
      </c>
      <c r="G143" s="8" t="str">
        <f t="shared" si="4"/>
        <v>STEWART MICHAEL</v>
      </c>
      <c r="H143" s="20" t="str">
        <f t="shared" si="5"/>
        <v>4059</v>
      </c>
    </row>
    <row r="144" spans="1:8" x14ac:dyDescent="0.3">
      <c r="A144" s="8">
        <v>43032.590486111112</v>
      </c>
      <c r="B144" s="20" t="s">
        <v>538</v>
      </c>
      <c r="C144" s="20" t="s">
        <v>792</v>
      </c>
      <c r="D144" s="138">
        <v>1780000</v>
      </c>
      <c r="E144" s="20" t="s">
        <v>793</v>
      </c>
      <c r="F144" s="20" t="s">
        <v>794</v>
      </c>
      <c r="G144" s="8" t="str">
        <f t="shared" si="4"/>
        <v>DE LA ROSA ALEX</v>
      </c>
      <c r="H144" s="20" t="str">
        <f t="shared" si="5"/>
        <v>4028</v>
      </c>
    </row>
    <row r="145" spans="1:8" x14ac:dyDescent="0.3">
      <c r="A145" s="8">
        <v>43032.59642361111</v>
      </c>
      <c r="B145" s="20" t="s">
        <v>413</v>
      </c>
      <c r="C145" s="20" t="s">
        <v>795</v>
      </c>
      <c r="D145" s="138">
        <v>1300000</v>
      </c>
      <c r="E145" s="20" t="s">
        <v>417</v>
      </c>
      <c r="F145" s="20" t="s">
        <v>418</v>
      </c>
      <c r="G145" s="8" t="str">
        <f t="shared" si="4"/>
        <v>LEVIN SCOTT</v>
      </c>
      <c r="H145" s="20" t="str">
        <f t="shared" si="5"/>
        <v>4009</v>
      </c>
    </row>
    <row r="146" spans="1:8" x14ac:dyDescent="0.3">
      <c r="A146" s="8">
        <v>43032.600543981483</v>
      </c>
      <c r="B146" s="20" t="s">
        <v>702</v>
      </c>
      <c r="C146" s="20" t="s">
        <v>796</v>
      </c>
      <c r="D146" s="138">
        <v>2970000</v>
      </c>
      <c r="E146" s="20" t="s">
        <v>551</v>
      </c>
      <c r="F146" s="20" t="s">
        <v>552</v>
      </c>
      <c r="G146" s="8" t="str">
        <f t="shared" si="4"/>
        <v>GUZMAN DANNY</v>
      </c>
      <c r="H146" s="20" t="str">
        <f t="shared" si="5"/>
        <v>4035</v>
      </c>
    </row>
    <row r="147" spans="1:8" x14ac:dyDescent="0.3">
      <c r="A147" s="8">
        <v>43032.600590277776</v>
      </c>
      <c r="B147" s="20" t="s">
        <v>700</v>
      </c>
      <c r="C147" s="20" t="s">
        <v>797</v>
      </c>
      <c r="D147" s="138">
        <v>2040000</v>
      </c>
      <c r="E147" s="20" t="s">
        <v>756</v>
      </c>
      <c r="F147" s="20" t="s">
        <v>757</v>
      </c>
      <c r="G147" s="8" t="str">
        <f t="shared" si="4"/>
        <v>MOSES BRADLEY</v>
      </c>
      <c r="H147" s="20" t="str">
        <f t="shared" si="5"/>
        <v>4002</v>
      </c>
    </row>
    <row r="148" spans="1:8" x14ac:dyDescent="0.3">
      <c r="A148" s="8">
        <v>43032.607627314814</v>
      </c>
      <c r="B148" s="20" t="s">
        <v>454</v>
      </c>
      <c r="C148" s="20" t="s">
        <v>798</v>
      </c>
      <c r="D148" s="138">
        <v>1180000</v>
      </c>
      <c r="E148" s="20" t="s">
        <v>415</v>
      </c>
      <c r="F148" s="20" t="s">
        <v>416</v>
      </c>
      <c r="G148" s="8" t="str">
        <f t="shared" si="4"/>
        <v>LEVERE CRAIG</v>
      </c>
      <c r="H148" s="20" t="str">
        <f t="shared" si="5"/>
        <v>4015</v>
      </c>
    </row>
    <row r="149" spans="1:8" x14ac:dyDescent="0.3">
      <c r="A149" s="8">
        <v>43032.611388888887</v>
      </c>
      <c r="B149" s="20" t="s">
        <v>540</v>
      </c>
      <c r="C149" s="20" t="s">
        <v>799</v>
      </c>
      <c r="D149" s="138">
        <v>1770000</v>
      </c>
      <c r="E149" s="20" t="s">
        <v>764</v>
      </c>
      <c r="F149" s="20" t="s">
        <v>765</v>
      </c>
      <c r="G149" s="8" t="str">
        <f t="shared" si="4"/>
        <v>BRUDER RICHARD</v>
      </c>
      <c r="H149" s="20" t="str">
        <f t="shared" si="5"/>
        <v>4026</v>
      </c>
    </row>
    <row r="150" spans="1:8" x14ac:dyDescent="0.3">
      <c r="A150" s="8">
        <v>43032.613483796296</v>
      </c>
      <c r="B150" s="20" t="s">
        <v>458</v>
      </c>
      <c r="C150" s="20" t="s">
        <v>800</v>
      </c>
      <c r="D150" s="138">
        <v>2630000</v>
      </c>
      <c r="E150" s="20" t="s">
        <v>549</v>
      </c>
      <c r="F150" s="20" t="s">
        <v>550</v>
      </c>
      <c r="G150" s="8" t="str">
        <f t="shared" si="4"/>
        <v>SAFIEF AEIMEN</v>
      </c>
      <c r="H150" s="20" t="str">
        <f t="shared" si="5"/>
        <v>4057</v>
      </c>
    </row>
    <row r="151" spans="1:8" x14ac:dyDescent="0.3">
      <c r="A151" s="8">
        <v>43032.615034722221</v>
      </c>
      <c r="B151" s="20" t="s">
        <v>573</v>
      </c>
      <c r="C151" s="20" t="s">
        <v>654</v>
      </c>
      <c r="D151" s="138">
        <v>330000</v>
      </c>
      <c r="E151" s="20" t="s">
        <v>737</v>
      </c>
      <c r="F151" s="20" t="s">
        <v>738</v>
      </c>
      <c r="G151" s="8" t="str">
        <f t="shared" si="4"/>
        <v>PELLITIER GEORGE</v>
      </c>
      <c r="H151" s="20" t="str">
        <f t="shared" si="5"/>
        <v>4042</v>
      </c>
    </row>
    <row r="152" spans="1:8" x14ac:dyDescent="0.3">
      <c r="A152" s="8">
        <v>43032.62060185185</v>
      </c>
      <c r="B152" s="20" t="s">
        <v>411</v>
      </c>
      <c r="C152" s="20" t="s">
        <v>801</v>
      </c>
      <c r="D152" s="138">
        <v>880000</v>
      </c>
      <c r="E152" s="20" t="s">
        <v>394</v>
      </c>
      <c r="F152" s="20" t="s">
        <v>384</v>
      </c>
      <c r="G152" s="8" t="str">
        <f t="shared" si="4"/>
        <v>STEWART MICHAEL</v>
      </c>
      <c r="H152" s="20" t="str">
        <f t="shared" si="5"/>
        <v>4060</v>
      </c>
    </row>
    <row r="153" spans="1:8" x14ac:dyDescent="0.3">
      <c r="A153" s="8">
        <v>43032.623761574076</v>
      </c>
      <c r="B153" s="20" t="s">
        <v>647</v>
      </c>
      <c r="C153" s="20" t="s">
        <v>802</v>
      </c>
      <c r="D153" s="138">
        <v>1810000</v>
      </c>
      <c r="E153" s="20" t="s">
        <v>803</v>
      </c>
      <c r="F153" s="20" t="s">
        <v>361</v>
      </c>
      <c r="G153" s="8" t="str">
        <f t="shared" si="4"/>
        <v>NEWELL JAMES</v>
      </c>
      <c r="H153" s="20" t="str">
        <f t="shared" si="5"/>
        <v>4036</v>
      </c>
    </row>
    <row r="154" spans="1:8" x14ac:dyDescent="0.3">
      <c r="A154" s="8">
        <v>43032.628553240742</v>
      </c>
      <c r="B154" s="20" t="s">
        <v>652</v>
      </c>
      <c r="C154" s="20" t="s">
        <v>804</v>
      </c>
      <c r="D154" s="138">
        <v>1780000</v>
      </c>
      <c r="E154" s="20" t="s">
        <v>793</v>
      </c>
      <c r="F154" s="20" t="s">
        <v>794</v>
      </c>
      <c r="G154" s="8" t="str">
        <f t="shared" si="4"/>
        <v>DE LA ROSA ALEX</v>
      </c>
      <c r="H154" s="20" t="str">
        <f t="shared" si="5"/>
        <v>4027</v>
      </c>
    </row>
    <row r="155" spans="1:8" x14ac:dyDescent="0.3">
      <c r="A155" s="8">
        <v>43032.631504629629</v>
      </c>
      <c r="B155" s="20" t="s">
        <v>414</v>
      </c>
      <c r="C155" s="20" t="s">
        <v>805</v>
      </c>
      <c r="D155" s="138">
        <v>1300000</v>
      </c>
      <c r="E155" s="20" t="s">
        <v>417</v>
      </c>
      <c r="F155" s="20" t="s">
        <v>418</v>
      </c>
      <c r="G155" s="8" t="str">
        <f t="shared" si="4"/>
        <v>LEVIN SCOTT</v>
      </c>
      <c r="H155" s="20" t="str">
        <f t="shared" si="5"/>
        <v>4010</v>
      </c>
    </row>
    <row r="156" spans="1:8" x14ac:dyDescent="0.3">
      <c r="A156" s="8">
        <v>43032.63453703704</v>
      </c>
      <c r="B156" s="20" t="s">
        <v>582</v>
      </c>
      <c r="C156" s="20" t="s">
        <v>806</v>
      </c>
      <c r="D156" s="138">
        <v>2000000</v>
      </c>
      <c r="E156" s="20" t="s">
        <v>370</v>
      </c>
      <c r="F156" s="20" t="s">
        <v>361</v>
      </c>
      <c r="G156" s="8" t="str">
        <f t="shared" si="4"/>
        <v>STAMBAUGH JAMES</v>
      </c>
      <c r="H156" s="20" t="str">
        <f t="shared" si="5"/>
        <v>4063</v>
      </c>
    </row>
    <row r="157" spans="1:8" x14ac:dyDescent="0.3">
      <c r="A157" s="8">
        <v>43032.641701388886</v>
      </c>
      <c r="B157" s="20" t="s">
        <v>696</v>
      </c>
      <c r="C157" s="20" t="s">
        <v>807</v>
      </c>
      <c r="D157" s="138">
        <v>2040000</v>
      </c>
      <c r="E157" s="20" t="s">
        <v>756</v>
      </c>
      <c r="F157" s="20" t="s">
        <v>757</v>
      </c>
      <c r="G157" s="8" t="str">
        <f t="shared" si="4"/>
        <v>MOSES BRADLEY</v>
      </c>
      <c r="H157" s="20" t="str">
        <f t="shared" si="5"/>
        <v>4001</v>
      </c>
    </row>
    <row r="158" spans="1:8" x14ac:dyDescent="0.3">
      <c r="A158" s="8">
        <v>43032.642476851855</v>
      </c>
      <c r="B158" s="20" t="s">
        <v>702</v>
      </c>
      <c r="C158" s="20" t="s">
        <v>808</v>
      </c>
      <c r="D158" s="138">
        <v>1810000</v>
      </c>
      <c r="E158" s="20" t="s">
        <v>803</v>
      </c>
      <c r="F158" s="20" t="s">
        <v>361</v>
      </c>
      <c r="G158" s="8" t="str">
        <f t="shared" si="4"/>
        <v>NEWELL JAMES</v>
      </c>
      <c r="H158" s="20" t="str">
        <f t="shared" si="5"/>
        <v>4035</v>
      </c>
    </row>
    <row r="159" spans="1:8" x14ac:dyDescent="0.3">
      <c r="A159" s="8">
        <v>43032.642500000002</v>
      </c>
      <c r="B159" s="20" t="s">
        <v>464</v>
      </c>
      <c r="C159" s="20" t="s">
        <v>809</v>
      </c>
      <c r="D159" s="138">
        <v>1180000</v>
      </c>
      <c r="E159" s="20" t="s">
        <v>415</v>
      </c>
      <c r="F159" s="20" t="s">
        <v>416</v>
      </c>
      <c r="G159" s="8" t="str">
        <f t="shared" si="4"/>
        <v>LEVERE CRAIG</v>
      </c>
      <c r="H159" s="20" t="str">
        <f t="shared" si="5"/>
        <v>4016</v>
      </c>
    </row>
    <row r="160" spans="1:8" x14ac:dyDescent="0.3">
      <c r="A160" s="8">
        <v>43032.646435185183</v>
      </c>
      <c r="B160" s="20" t="s">
        <v>583</v>
      </c>
      <c r="C160" s="20" t="s">
        <v>666</v>
      </c>
      <c r="D160" s="138">
        <v>2140000</v>
      </c>
      <c r="E160" s="20" t="s">
        <v>423</v>
      </c>
      <c r="F160" s="20" t="s">
        <v>424</v>
      </c>
      <c r="G160" s="8" t="str">
        <f t="shared" si="4"/>
        <v>ROBINSON KADDIBA</v>
      </c>
      <c r="H160" s="20" t="str">
        <f t="shared" si="5"/>
        <v>4064</v>
      </c>
    </row>
    <row r="161" spans="1:8" x14ac:dyDescent="0.3">
      <c r="A161" s="8">
        <v>43032.651238425926</v>
      </c>
      <c r="B161" s="20" t="s">
        <v>537</v>
      </c>
      <c r="C161" s="20" t="s">
        <v>810</v>
      </c>
      <c r="D161" s="138">
        <v>1770000</v>
      </c>
      <c r="E161" s="20" t="s">
        <v>764</v>
      </c>
      <c r="F161" s="20" t="s">
        <v>765</v>
      </c>
      <c r="G161" s="8" t="str">
        <f t="shared" si="4"/>
        <v>BRUDER RICHARD</v>
      </c>
      <c r="H161" s="20" t="str">
        <f t="shared" si="5"/>
        <v>4025</v>
      </c>
    </row>
    <row r="162" spans="1:8" x14ac:dyDescent="0.3">
      <c r="A162" s="8">
        <v>43032.653263888889</v>
      </c>
      <c r="B162" s="20" t="s">
        <v>455</v>
      </c>
      <c r="C162" s="20" t="s">
        <v>811</v>
      </c>
      <c r="D162" s="138">
        <v>860000</v>
      </c>
      <c r="E162" s="20" t="s">
        <v>812</v>
      </c>
      <c r="F162" s="20" t="s">
        <v>813</v>
      </c>
      <c r="G162" s="8" t="str">
        <f t="shared" si="4"/>
        <v>ARNOLD PAUL</v>
      </c>
      <c r="H162" s="20" t="str">
        <f t="shared" si="5"/>
        <v>4058</v>
      </c>
    </row>
    <row r="163" spans="1:8" x14ac:dyDescent="0.3">
      <c r="A163" s="8">
        <v>43032.660763888889</v>
      </c>
      <c r="B163" s="20" t="s">
        <v>412</v>
      </c>
      <c r="C163" s="20" t="s">
        <v>814</v>
      </c>
      <c r="D163" s="138">
        <v>880000</v>
      </c>
      <c r="E163" s="20" t="s">
        <v>394</v>
      </c>
      <c r="F163" s="20" t="s">
        <v>384</v>
      </c>
      <c r="G163" s="8" t="str">
        <f t="shared" si="4"/>
        <v>STEWART MICHAEL</v>
      </c>
      <c r="H163" s="20" t="str">
        <f t="shared" si="5"/>
        <v>4059</v>
      </c>
    </row>
    <row r="164" spans="1:8" x14ac:dyDescent="0.3">
      <c r="A164" s="8">
        <v>43032.663761574076</v>
      </c>
      <c r="B164" s="20" t="s">
        <v>538</v>
      </c>
      <c r="C164" s="20" t="s">
        <v>815</v>
      </c>
      <c r="D164" s="138">
        <v>920000</v>
      </c>
      <c r="E164" s="20" t="s">
        <v>437</v>
      </c>
      <c r="F164" s="20" t="s">
        <v>384</v>
      </c>
      <c r="G164" s="8" t="str">
        <f t="shared" si="4"/>
        <v>DAVIS MICHAEL</v>
      </c>
      <c r="H164" s="20" t="str">
        <f t="shared" si="5"/>
        <v>4028</v>
      </c>
    </row>
    <row r="165" spans="1:8" x14ac:dyDescent="0.3">
      <c r="A165" s="8">
        <v>43032.665381944447</v>
      </c>
      <c r="B165" s="20" t="s">
        <v>582</v>
      </c>
      <c r="C165" s="20" t="s">
        <v>816</v>
      </c>
      <c r="D165" s="138">
        <v>2000000</v>
      </c>
      <c r="E165" s="20" t="s">
        <v>370</v>
      </c>
      <c r="F165" s="20" t="s">
        <v>361</v>
      </c>
      <c r="G165" s="8" t="str">
        <f t="shared" si="4"/>
        <v>STAMBAUGH JAMES</v>
      </c>
      <c r="H165" s="20" t="str">
        <f t="shared" si="5"/>
        <v>4063</v>
      </c>
    </row>
    <row r="166" spans="1:8" x14ac:dyDescent="0.3">
      <c r="A166" s="8">
        <v>43032.670370370368</v>
      </c>
      <c r="B166" s="20" t="s">
        <v>647</v>
      </c>
      <c r="C166" s="20" t="s">
        <v>817</v>
      </c>
      <c r="D166" s="138">
        <v>2970000</v>
      </c>
      <c r="E166" s="20" t="s">
        <v>551</v>
      </c>
      <c r="F166" s="20" t="s">
        <v>552</v>
      </c>
      <c r="G166" s="8" t="str">
        <f t="shared" si="4"/>
        <v>GUZMAN DANNY</v>
      </c>
      <c r="H166" s="20" t="str">
        <f t="shared" si="5"/>
        <v>4036</v>
      </c>
    </row>
    <row r="167" spans="1:8" x14ac:dyDescent="0.3">
      <c r="A167" s="8">
        <v>43032.672210648147</v>
      </c>
      <c r="B167" s="20" t="s">
        <v>413</v>
      </c>
      <c r="C167" s="20" t="s">
        <v>818</v>
      </c>
      <c r="D167" s="138">
        <v>1300000</v>
      </c>
      <c r="E167" s="20" t="s">
        <v>417</v>
      </c>
      <c r="F167" s="20" t="s">
        <v>418</v>
      </c>
      <c r="G167" s="8" t="str">
        <f t="shared" si="4"/>
        <v>LEVIN SCOTT</v>
      </c>
      <c r="H167" s="20" t="str">
        <f t="shared" si="5"/>
        <v>4009</v>
      </c>
    </row>
    <row r="168" spans="1:8" x14ac:dyDescent="0.3">
      <c r="A168" s="8">
        <v>43032.672442129631</v>
      </c>
      <c r="B168" s="20" t="s">
        <v>700</v>
      </c>
      <c r="C168" s="20" t="s">
        <v>819</v>
      </c>
      <c r="D168" s="138">
        <v>2230000</v>
      </c>
      <c r="E168" s="20" t="s">
        <v>553</v>
      </c>
      <c r="F168" s="20" t="s">
        <v>384</v>
      </c>
      <c r="G168" s="8" t="str">
        <f t="shared" si="4"/>
        <v>SMITH MICHAEL</v>
      </c>
      <c r="H168" s="20" t="str">
        <f t="shared" si="5"/>
        <v>4002</v>
      </c>
    </row>
    <row r="169" spans="1:8" x14ac:dyDescent="0.3">
      <c r="A169" s="8">
        <v>43032.6797337963</v>
      </c>
      <c r="B169" s="20" t="s">
        <v>454</v>
      </c>
      <c r="C169" s="20" t="s">
        <v>820</v>
      </c>
      <c r="D169" s="138">
        <v>1180000</v>
      </c>
      <c r="E169" s="20" t="s">
        <v>415</v>
      </c>
      <c r="F169" s="20" t="s">
        <v>416</v>
      </c>
      <c r="G169" s="8" t="str">
        <f t="shared" si="4"/>
        <v>LEVERE CRAIG</v>
      </c>
      <c r="H169" s="20" t="str">
        <f t="shared" si="5"/>
        <v>4015</v>
      </c>
    </row>
    <row r="170" spans="1:8" x14ac:dyDescent="0.3">
      <c r="A170" s="8">
        <v>43032.684178240743</v>
      </c>
      <c r="B170" s="20" t="s">
        <v>540</v>
      </c>
      <c r="C170" s="20" t="s">
        <v>821</v>
      </c>
      <c r="D170" s="138">
        <v>1770000</v>
      </c>
      <c r="E170" s="20" t="s">
        <v>764</v>
      </c>
      <c r="F170" s="20" t="s">
        <v>765</v>
      </c>
      <c r="G170" s="8" t="str">
        <f t="shared" si="4"/>
        <v>BRUDER RICHARD</v>
      </c>
      <c r="H170" s="20" t="str">
        <f t="shared" si="5"/>
        <v>4026</v>
      </c>
    </row>
    <row r="171" spans="1:8" x14ac:dyDescent="0.3">
      <c r="A171" s="8">
        <v>43032.685532407406</v>
      </c>
      <c r="B171" s="20" t="s">
        <v>702</v>
      </c>
      <c r="C171" s="20" t="s">
        <v>822</v>
      </c>
      <c r="D171" s="138">
        <v>2970000</v>
      </c>
      <c r="E171" s="20" t="s">
        <v>551</v>
      </c>
      <c r="F171" s="20" t="s">
        <v>552</v>
      </c>
      <c r="G171" s="8" t="str">
        <f t="shared" si="4"/>
        <v>GUZMAN DANNY</v>
      </c>
      <c r="H171" s="20" t="str">
        <f t="shared" si="5"/>
        <v>4035</v>
      </c>
    </row>
    <row r="172" spans="1:8" x14ac:dyDescent="0.3">
      <c r="A172" s="8">
        <v>43032.688194444447</v>
      </c>
      <c r="B172" s="20" t="s">
        <v>456</v>
      </c>
      <c r="C172" s="20" t="s">
        <v>823</v>
      </c>
      <c r="D172" s="138">
        <v>1780000</v>
      </c>
      <c r="E172" s="20" t="s">
        <v>793</v>
      </c>
      <c r="F172" s="20" t="s">
        <v>794</v>
      </c>
      <c r="G172" s="8" t="str">
        <f t="shared" si="4"/>
        <v>DE LA ROSA ALEX</v>
      </c>
      <c r="H172" s="20" t="str">
        <f t="shared" si="5"/>
        <v>4024</v>
      </c>
    </row>
    <row r="173" spans="1:8" x14ac:dyDescent="0.3">
      <c r="A173" s="8">
        <v>43032.691620370373</v>
      </c>
      <c r="B173" s="20" t="s">
        <v>458</v>
      </c>
      <c r="C173" s="20" t="s">
        <v>824</v>
      </c>
      <c r="D173" s="138">
        <v>860000</v>
      </c>
      <c r="E173" s="20" t="s">
        <v>812</v>
      </c>
      <c r="F173" s="20" t="s">
        <v>813</v>
      </c>
      <c r="G173" s="8" t="str">
        <f t="shared" si="4"/>
        <v>ARNOLD PAUL</v>
      </c>
      <c r="H173" s="20" t="str">
        <f t="shared" si="5"/>
        <v>4057</v>
      </c>
    </row>
    <row r="174" spans="1:8" x14ac:dyDescent="0.3">
      <c r="A174" s="8">
        <v>43032.692083333335</v>
      </c>
      <c r="B174" s="20" t="s">
        <v>583</v>
      </c>
      <c r="C174" s="20" t="s">
        <v>825</v>
      </c>
      <c r="D174" s="138">
        <v>2000000</v>
      </c>
      <c r="E174" s="20" t="s">
        <v>370</v>
      </c>
      <c r="F174" s="20" t="s">
        <v>361</v>
      </c>
      <c r="G174" s="8" t="str">
        <f t="shared" si="4"/>
        <v>STAMBAUGH JAMES</v>
      </c>
      <c r="H174" s="20" t="str">
        <f t="shared" si="5"/>
        <v>4064</v>
      </c>
    </row>
    <row r="175" spans="1:8" x14ac:dyDescent="0.3">
      <c r="A175" s="8">
        <v>43032.694340277776</v>
      </c>
      <c r="B175" s="20" t="s">
        <v>411</v>
      </c>
      <c r="C175" s="20" t="s">
        <v>826</v>
      </c>
      <c r="D175" s="138">
        <v>880000</v>
      </c>
      <c r="E175" s="20" t="s">
        <v>394</v>
      </c>
      <c r="F175" s="20" t="s">
        <v>384</v>
      </c>
      <c r="G175" s="8" t="str">
        <f t="shared" si="4"/>
        <v>STEWART MICHAEL</v>
      </c>
      <c r="H175" s="20" t="str">
        <f t="shared" si="5"/>
        <v>4060</v>
      </c>
    </row>
    <row r="176" spans="1:8" x14ac:dyDescent="0.3">
      <c r="A176" s="8">
        <v>43032.704837962963</v>
      </c>
      <c r="B176" s="20" t="s">
        <v>414</v>
      </c>
      <c r="C176" s="20" t="s">
        <v>827</v>
      </c>
      <c r="D176" s="138">
        <v>1300000</v>
      </c>
      <c r="E176" s="20" t="s">
        <v>417</v>
      </c>
      <c r="F176" s="20" t="s">
        <v>418</v>
      </c>
      <c r="G176" s="8" t="str">
        <f t="shared" si="4"/>
        <v>LEVIN SCOTT</v>
      </c>
      <c r="H176" s="20" t="str">
        <f t="shared" si="5"/>
        <v>4010</v>
      </c>
    </row>
    <row r="177" spans="1:8" x14ac:dyDescent="0.3">
      <c r="A177" s="8">
        <v>43032.705000000002</v>
      </c>
      <c r="B177" s="20" t="s">
        <v>652</v>
      </c>
      <c r="C177" s="20" t="s">
        <v>828</v>
      </c>
      <c r="D177" s="138">
        <v>920000</v>
      </c>
      <c r="E177" s="20" t="s">
        <v>437</v>
      </c>
      <c r="F177" s="20" t="s">
        <v>384</v>
      </c>
      <c r="G177" s="8" t="str">
        <f t="shared" si="4"/>
        <v>DAVIS MICHAEL</v>
      </c>
      <c r="H177" s="20" t="str">
        <f t="shared" si="5"/>
        <v>4027</v>
      </c>
    </row>
    <row r="178" spans="1:8" x14ac:dyDescent="0.3">
      <c r="A178" s="8">
        <v>43032.705381944441</v>
      </c>
      <c r="B178" s="20" t="s">
        <v>582</v>
      </c>
      <c r="C178" s="20" t="s">
        <v>829</v>
      </c>
      <c r="D178" s="138">
        <v>2000000</v>
      </c>
      <c r="E178" s="20" t="s">
        <v>370</v>
      </c>
      <c r="F178" s="20" t="s">
        <v>361</v>
      </c>
      <c r="G178" s="8" t="str">
        <f t="shared" si="4"/>
        <v>STAMBAUGH JAMES</v>
      </c>
      <c r="H178" s="20" t="str">
        <f t="shared" si="5"/>
        <v>4063</v>
      </c>
    </row>
    <row r="179" spans="1:8" x14ac:dyDescent="0.3">
      <c r="A179" s="8">
        <v>43032.710868055554</v>
      </c>
      <c r="B179" s="20" t="s">
        <v>696</v>
      </c>
      <c r="C179" s="20" t="s">
        <v>830</v>
      </c>
      <c r="D179" s="138">
        <v>2230000</v>
      </c>
      <c r="E179" s="20" t="s">
        <v>553</v>
      </c>
      <c r="F179" s="20" t="s">
        <v>384</v>
      </c>
      <c r="G179" s="8" t="str">
        <f t="shared" si="4"/>
        <v>SMITH MICHAEL</v>
      </c>
      <c r="H179" s="20" t="str">
        <f t="shared" si="5"/>
        <v>4001</v>
      </c>
    </row>
    <row r="180" spans="1:8" x14ac:dyDescent="0.3">
      <c r="A180" s="8">
        <v>43032.712314814817</v>
      </c>
      <c r="B180" s="20" t="s">
        <v>647</v>
      </c>
      <c r="C180" s="20" t="s">
        <v>831</v>
      </c>
      <c r="D180" s="138">
        <v>2970000</v>
      </c>
      <c r="E180" s="20" t="s">
        <v>551</v>
      </c>
      <c r="F180" s="20" t="s">
        <v>552</v>
      </c>
      <c r="G180" s="8" t="str">
        <f t="shared" si="4"/>
        <v>GUZMAN DANNY</v>
      </c>
      <c r="H180" s="20" t="str">
        <f t="shared" si="5"/>
        <v>4036</v>
      </c>
    </row>
    <row r="181" spans="1:8" x14ac:dyDescent="0.3">
      <c r="A181" s="8">
        <v>43032.714432870373</v>
      </c>
      <c r="B181" s="20" t="s">
        <v>464</v>
      </c>
      <c r="C181" s="20" t="s">
        <v>832</v>
      </c>
      <c r="D181" s="138">
        <v>1180000</v>
      </c>
      <c r="E181" s="20" t="s">
        <v>415</v>
      </c>
      <c r="F181" s="20" t="s">
        <v>416</v>
      </c>
      <c r="G181" s="8" t="str">
        <f t="shared" si="4"/>
        <v>LEVERE CRAIG</v>
      </c>
      <c r="H181" s="20" t="str">
        <f t="shared" si="5"/>
        <v>4016</v>
      </c>
    </row>
    <row r="182" spans="1:8" x14ac:dyDescent="0.3">
      <c r="A182" s="8">
        <v>43032.724398148152</v>
      </c>
      <c r="B182" s="20" t="s">
        <v>537</v>
      </c>
      <c r="C182" s="20" t="s">
        <v>833</v>
      </c>
      <c r="D182" s="138">
        <v>1770000</v>
      </c>
      <c r="E182" s="20" t="s">
        <v>764</v>
      </c>
      <c r="F182" s="20" t="s">
        <v>765</v>
      </c>
      <c r="G182" s="8" t="str">
        <f t="shared" si="4"/>
        <v>BRUDER RICHARD</v>
      </c>
      <c r="H182" s="20" t="str">
        <f t="shared" si="5"/>
        <v>4025</v>
      </c>
    </row>
    <row r="183" spans="1:8" x14ac:dyDescent="0.3">
      <c r="A183" s="8">
        <v>43032.727141203701</v>
      </c>
      <c r="B183" s="20" t="s">
        <v>702</v>
      </c>
      <c r="C183" s="20" t="s">
        <v>834</v>
      </c>
      <c r="D183" s="138">
        <v>2970000</v>
      </c>
      <c r="E183" s="20" t="s">
        <v>551</v>
      </c>
      <c r="F183" s="20" t="s">
        <v>552</v>
      </c>
      <c r="G183" s="8" t="str">
        <f t="shared" si="4"/>
        <v>GUZMAN DANNY</v>
      </c>
      <c r="H183" s="20" t="str">
        <f t="shared" si="5"/>
        <v>4035</v>
      </c>
    </row>
    <row r="184" spans="1:8" x14ac:dyDescent="0.3">
      <c r="A184" s="8">
        <v>43032.727800925924</v>
      </c>
      <c r="B184" s="20" t="s">
        <v>455</v>
      </c>
      <c r="C184" s="20" t="s">
        <v>835</v>
      </c>
      <c r="D184" s="138">
        <v>2630000</v>
      </c>
      <c r="E184" s="20" t="s">
        <v>549</v>
      </c>
      <c r="F184" s="20" t="s">
        <v>550</v>
      </c>
      <c r="G184" s="8" t="str">
        <f t="shared" si="4"/>
        <v>SAFIEF AEIMEN</v>
      </c>
      <c r="H184" s="20" t="str">
        <f t="shared" si="5"/>
        <v>4058</v>
      </c>
    </row>
    <row r="185" spans="1:8" x14ac:dyDescent="0.3">
      <c r="A185" s="8">
        <v>43032.732997685183</v>
      </c>
      <c r="B185" s="20" t="s">
        <v>583</v>
      </c>
      <c r="C185" s="20" t="s">
        <v>836</v>
      </c>
      <c r="D185" s="138">
        <v>2000000</v>
      </c>
      <c r="E185" s="20" t="s">
        <v>370</v>
      </c>
      <c r="F185" s="20" t="s">
        <v>361</v>
      </c>
      <c r="G185" s="8" t="str">
        <f t="shared" si="4"/>
        <v>STAMBAUGH JAMES</v>
      </c>
      <c r="H185" s="20" t="str">
        <f t="shared" si="5"/>
        <v>4064</v>
      </c>
    </row>
    <row r="186" spans="1:8" x14ac:dyDescent="0.3">
      <c r="A186" s="8">
        <v>43032.733495370368</v>
      </c>
      <c r="B186" s="20" t="s">
        <v>412</v>
      </c>
      <c r="C186" s="20" t="s">
        <v>668</v>
      </c>
      <c r="D186" s="138">
        <v>880000</v>
      </c>
      <c r="E186" s="20" t="s">
        <v>394</v>
      </c>
      <c r="F186" s="20" t="s">
        <v>384</v>
      </c>
      <c r="G186" s="8" t="str">
        <f t="shared" si="4"/>
        <v>STEWART MICHAEL</v>
      </c>
      <c r="H186" s="20" t="str">
        <f t="shared" si="5"/>
        <v>4059</v>
      </c>
    </row>
    <row r="187" spans="1:8" x14ac:dyDescent="0.3">
      <c r="A187" s="8">
        <v>43032.734918981485</v>
      </c>
      <c r="B187" s="20" t="s">
        <v>468</v>
      </c>
      <c r="C187" s="20" t="s">
        <v>667</v>
      </c>
      <c r="D187" s="138">
        <v>2450000</v>
      </c>
      <c r="E187" s="20" t="s">
        <v>837</v>
      </c>
      <c r="F187" s="20" t="s">
        <v>838</v>
      </c>
      <c r="G187" s="8" t="str">
        <f t="shared" si="4"/>
        <v>NELSON ARIANE</v>
      </c>
      <c r="H187" s="20" t="str">
        <f t="shared" si="5"/>
        <v>4032</v>
      </c>
    </row>
    <row r="188" spans="1:8" x14ac:dyDescent="0.3">
      <c r="A188" s="8">
        <v>43032.73746527778</v>
      </c>
      <c r="B188" s="20" t="s">
        <v>538</v>
      </c>
      <c r="C188" s="20" t="s">
        <v>839</v>
      </c>
      <c r="D188" s="138">
        <v>890000</v>
      </c>
      <c r="E188" s="20" t="s">
        <v>358</v>
      </c>
      <c r="F188" s="20" t="s">
        <v>359</v>
      </c>
      <c r="G188" s="8" t="str">
        <f t="shared" si="4"/>
        <v>LOZA FIDEL</v>
      </c>
      <c r="H188" s="20" t="str">
        <f t="shared" si="5"/>
        <v>4028</v>
      </c>
    </row>
    <row r="189" spans="1:8" x14ac:dyDescent="0.3">
      <c r="A189" s="8">
        <v>43032.737939814811</v>
      </c>
      <c r="B189" s="20" t="s">
        <v>413</v>
      </c>
      <c r="C189" s="20" t="s">
        <v>840</v>
      </c>
      <c r="D189" s="138">
        <v>1300000</v>
      </c>
      <c r="E189" s="20" t="s">
        <v>417</v>
      </c>
      <c r="F189" s="20" t="s">
        <v>418</v>
      </c>
      <c r="G189" s="8" t="str">
        <f t="shared" si="4"/>
        <v>LEVIN SCOTT</v>
      </c>
      <c r="H189" s="20" t="str">
        <f t="shared" si="5"/>
        <v>4009</v>
      </c>
    </row>
    <row r="190" spans="1:8" x14ac:dyDescent="0.3">
      <c r="A190" s="8">
        <v>43032.744768518518</v>
      </c>
      <c r="B190" s="20" t="s">
        <v>700</v>
      </c>
      <c r="C190" s="20" t="s">
        <v>841</v>
      </c>
      <c r="D190" s="138">
        <v>2230000</v>
      </c>
      <c r="E190" s="20" t="s">
        <v>553</v>
      </c>
      <c r="F190" s="20" t="s">
        <v>384</v>
      </c>
      <c r="G190" s="8" t="str">
        <f t="shared" si="4"/>
        <v>SMITH MICHAEL</v>
      </c>
      <c r="H190" s="20" t="str">
        <f t="shared" si="5"/>
        <v>4002</v>
      </c>
    </row>
    <row r="191" spans="1:8" x14ac:dyDescent="0.3">
      <c r="A191" s="8">
        <v>43032.745925925927</v>
      </c>
      <c r="B191" s="20" t="s">
        <v>571</v>
      </c>
      <c r="C191" s="20" t="s">
        <v>842</v>
      </c>
      <c r="D191" s="138">
        <v>3220000</v>
      </c>
      <c r="E191" s="20" t="s">
        <v>588</v>
      </c>
      <c r="F191" s="20" t="s">
        <v>589</v>
      </c>
      <c r="G191" s="8" t="str">
        <f t="shared" si="4"/>
        <v>RESPASS AARON</v>
      </c>
      <c r="H191" s="20" t="str">
        <f t="shared" si="5"/>
        <v>4033</v>
      </c>
    </row>
    <row r="192" spans="1:8" x14ac:dyDescent="0.3">
      <c r="A192" s="8">
        <v>43032.746793981481</v>
      </c>
      <c r="B192" s="20" t="s">
        <v>582</v>
      </c>
      <c r="C192" s="20" t="s">
        <v>669</v>
      </c>
      <c r="D192" s="138">
        <v>2000000</v>
      </c>
      <c r="E192" s="20" t="s">
        <v>370</v>
      </c>
      <c r="F192" s="20" t="s">
        <v>361</v>
      </c>
      <c r="G192" s="8" t="str">
        <f t="shared" si="4"/>
        <v>STAMBAUGH JAMES</v>
      </c>
      <c r="H192" s="20" t="str">
        <f t="shared" si="5"/>
        <v>4063</v>
      </c>
    </row>
    <row r="193" spans="1:8" x14ac:dyDescent="0.3">
      <c r="A193" s="8">
        <v>43032.751481481479</v>
      </c>
      <c r="B193" s="20" t="s">
        <v>454</v>
      </c>
      <c r="C193" s="20" t="s">
        <v>843</v>
      </c>
      <c r="D193" s="138">
        <v>1180000</v>
      </c>
      <c r="E193" s="20" t="s">
        <v>415</v>
      </c>
      <c r="F193" s="20" t="s">
        <v>416</v>
      </c>
      <c r="G193" s="8" t="str">
        <f t="shared" si="4"/>
        <v>LEVERE CRAIG</v>
      </c>
      <c r="H193" s="20" t="str">
        <f t="shared" si="5"/>
        <v>4015</v>
      </c>
    </row>
    <row r="194" spans="1:8" x14ac:dyDescent="0.3">
      <c r="A194" s="8">
        <v>43032.753692129627</v>
      </c>
      <c r="B194" s="20" t="s">
        <v>647</v>
      </c>
      <c r="C194" s="20" t="s">
        <v>844</v>
      </c>
      <c r="D194" s="138">
        <v>2970000</v>
      </c>
      <c r="E194" s="20" t="s">
        <v>551</v>
      </c>
      <c r="F194" s="20" t="s">
        <v>552</v>
      </c>
      <c r="G194" s="8" t="str">
        <f t="shared" si="4"/>
        <v>GUZMAN DANNY</v>
      </c>
      <c r="H194" s="20" t="str">
        <f t="shared" si="5"/>
        <v>4036</v>
      </c>
    </row>
    <row r="195" spans="1:8" x14ac:dyDescent="0.3">
      <c r="A195" s="8">
        <v>43032.756307870368</v>
      </c>
      <c r="B195" s="20" t="s">
        <v>540</v>
      </c>
      <c r="C195" s="20" t="s">
        <v>845</v>
      </c>
      <c r="D195" s="138">
        <v>2610000</v>
      </c>
      <c r="E195" s="20" t="s">
        <v>592</v>
      </c>
      <c r="F195" s="20" t="s">
        <v>593</v>
      </c>
      <c r="G195" s="8" t="str">
        <f t="shared" ref="G195:G258" si="6">E195&amp;" "&amp;F195</f>
        <v>MAGEE KENYA</v>
      </c>
      <c r="H195" s="20" t="str">
        <f t="shared" ref="H195:H258" si="7">MID(B195,13,4)</f>
        <v>4026</v>
      </c>
    </row>
    <row r="196" spans="1:8" x14ac:dyDescent="0.3">
      <c r="A196" s="8">
        <v>43032.759571759256</v>
      </c>
      <c r="B196" s="20" t="s">
        <v>458</v>
      </c>
      <c r="C196" s="20" t="s">
        <v>846</v>
      </c>
      <c r="D196" s="138">
        <v>2630000</v>
      </c>
      <c r="E196" s="20" t="s">
        <v>549</v>
      </c>
      <c r="F196" s="20" t="s">
        <v>550</v>
      </c>
      <c r="G196" s="8" t="str">
        <f t="shared" si="6"/>
        <v>SAFIEF AEIMEN</v>
      </c>
      <c r="H196" s="20" t="str">
        <f t="shared" si="7"/>
        <v>4057</v>
      </c>
    </row>
    <row r="197" spans="1:8" x14ac:dyDescent="0.3">
      <c r="A197" s="8">
        <v>43032.768414351849</v>
      </c>
      <c r="B197" s="20" t="s">
        <v>702</v>
      </c>
      <c r="C197" s="20" t="s">
        <v>844</v>
      </c>
      <c r="D197" s="138">
        <v>2970000</v>
      </c>
      <c r="E197" s="20" t="s">
        <v>551</v>
      </c>
      <c r="F197" s="20" t="s">
        <v>552</v>
      </c>
      <c r="G197" s="8" t="str">
        <f t="shared" si="6"/>
        <v>GUZMAN DANNY</v>
      </c>
      <c r="H197" s="20" t="str">
        <f t="shared" si="7"/>
        <v>4035</v>
      </c>
    </row>
    <row r="198" spans="1:8" x14ac:dyDescent="0.3">
      <c r="A198" s="8">
        <v>43032.768437500003</v>
      </c>
      <c r="B198" s="20" t="s">
        <v>411</v>
      </c>
      <c r="C198" s="20" t="s">
        <v>847</v>
      </c>
      <c r="D198" s="138">
        <v>3310000</v>
      </c>
      <c r="E198" s="20" t="s">
        <v>379</v>
      </c>
      <c r="F198" s="20" t="s">
        <v>380</v>
      </c>
      <c r="G198" s="8" t="str">
        <f t="shared" si="6"/>
        <v>ANDERS STEVEN</v>
      </c>
      <c r="H198" s="20" t="str">
        <f t="shared" si="7"/>
        <v>4060</v>
      </c>
    </row>
    <row r="199" spans="1:8" x14ac:dyDescent="0.3">
      <c r="A199" s="8">
        <v>43032.768946759257</v>
      </c>
      <c r="B199" s="20" t="s">
        <v>702</v>
      </c>
      <c r="C199" s="20" t="s">
        <v>848</v>
      </c>
      <c r="D199" s="138">
        <v>2970000</v>
      </c>
      <c r="E199" s="20" t="s">
        <v>551</v>
      </c>
      <c r="F199" s="20" t="s">
        <v>552</v>
      </c>
      <c r="G199" s="8" t="str">
        <f t="shared" si="6"/>
        <v>GUZMAN DANNY</v>
      </c>
      <c r="H199" s="20" t="str">
        <f t="shared" si="7"/>
        <v>4035</v>
      </c>
    </row>
    <row r="200" spans="1:8" x14ac:dyDescent="0.3">
      <c r="A200" s="8">
        <v>43032.775185185186</v>
      </c>
      <c r="B200" s="20" t="s">
        <v>583</v>
      </c>
      <c r="C200" s="20" t="s">
        <v>849</v>
      </c>
      <c r="D200" s="138">
        <v>2000000</v>
      </c>
      <c r="E200" s="20" t="s">
        <v>370</v>
      </c>
      <c r="F200" s="20" t="s">
        <v>361</v>
      </c>
      <c r="G200" s="8" t="str">
        <f t="shared" si="6"/>
        <v>STAMBAUGH JAMES</v>
      </c>
      <c r="H200" s="20" t="str">
        <f t="shared" si="7"/>
        <v>4064</v>
      </c>
    </row>
    <row r="201" spans="1:8" x14ac:dyDescent="0.3">
      <c r="A201" s="8">
        <v>43032.776666666665</v>
      </c>
      <c r="B201" s="20" t="s">
        <v>414</v>
      </c>
      <c r="C201" s="20" t="s">
        <v>850</v>
      </c>
      <c r="D201" s="138">
        <v>1300000</v>
      </c>
      <c r="E201" s="20" t="s">
        <v>417</v>
      </c>
      <c r="F201" s="20" t="s">
        <v>418</v>
      </c>
      <c r="G201" s="8" t="str">
        <f t="shared" si="6"/>
        <v>LEVIN SCOTT</v>
      </c>
      <c r="H201" s="20" t="str">
        <f t="shared" si="7"/>
        <v>4010</v>
      </c>
    </row>
    <row r="202" spans="1:8" x14ac:dyDescent="0.3">
      <c r="A202" s="26">
        <v>43032.777384259258</v>
      </c>
      <c r="B202" s="20" t="s">
        <v>652</v>
      </c>
      <c r="C202" s="20" t="s">
        <v>851</v>
      </c>
      <c r="D202" s="138">
        <v>890000</v>
      </c>
      <c r="E202" s="20" t="s">
        <v>358</v>
      </c>
      <c r="F202" s="20" t="s">
        <v>359</v>
      </c>
      <c r="G202" s="8" t="str">
        <f t="shared" si="6"/>
        <v>LOZA FIDEL</v>
      </c>
      <c r="H202" s="20" t="str">
        <f t="shared" si="7"/>
        <v>4027</v>
      </c>
    </row>
    <row r="203" spans="1:8" x14ac:dyDescent="0.3">
      <c r="A203" s="8">
        <v>43032.782071759262</v>
      </c>
      <c r="B203" s="20" t="s">
        <v>696</v>
      </c>
      <c r="C203" s="20" t="s">
        <v>852</v>
      </c>
      <c r="D203" s="138">
        <v>2230000</v>
      </c>
      <c r="E203" s="20" t="s">
        <v>553</v>
      </c>
      <c r="F203" s="20" t="s">
        <v>384</v>
      </c>
      <c r="G203" s="8" t="str">
        <f t="shared" si="6"/>
        <v>SMITH MICHAEL</v>
      </c>
      <c r="H203" s="20" t="str">
        <f t="shared" si="7"/>
        <v>4001</v>
      </c>
    </row>
    <row r="204" spans="1:8" x14ac:dyDescent="0.3">
      <c r="A204" s="8">
        <v>43032.788240740738</v>
      </c>
      <c r="B204" s="20" t="s">
        <v>464</v>
      </c>
      <c r="C204" s="20" t="s">
        <v>853</v>
      </c>
      <c r="D204" s="138">
        <v>2680000</v>
      </c>
      <c r="E204" s="20" t="s">
        <v>364</v>
      </c>
      <c r="F204" s="20" t="s">
        <v>365</v>
      </c>
      <c r="G204" s="8" t="str">
        <f t="shared" si="6"/>
        <v>DUNCAN SHEILA</v>
      </c>
      <c r="H204" s="20" t="str">
        <f t="shared" si="7"/>
        <v>4016</v>
      </c>
    </row>
    <row r="205" spans="1:8" x14ac:dyDescent="0.3">
      <c r="A205" s="8">
        <v>43032.788564814815</v>
      </c>
      <c r="B205" s="20" t="s">
        <v>582</v>
      </c>
      <c r="C205" s="20" t="s">
        <v>854</v>
      </c>
      <c r="D205" s="138">
        <v>2000000</v>
      </c>
      <c r="E205" s="20" t="s">
        <v>370</v>
      </c>
      <c r="F205" s="20" t="s">
        <v>361</v>
      </c>
      <c r="G205" s="8" t="str">
        <f t="shared" si="6"/>
        <v>STAMBAUGH JAMES</v>
      </c>
      <c r="H205" s="20" t="str">
        <f t="shared" si="7"/>
        <v>4063</v>
      </c>
    </row>
    <row r="206" spans="1:8" x14ac:dyDescent="0.3">
      <c r="A206" s="8">
        <v>43032.795590277776</v>
      </c>
      <c r="B206" s="20" t="s">
        <v>647</v>
      </c>
      <c r="C206" s="20" t="s">
        <v>855</v>
      </c>
      <c r="D206" s="138">
        <v>2970000</v>
      </c>
      <c r="E206" s="20" t="s">
        <v>551</v>
      </c>
      <c r="F206" s="20" t="s">
        <v>552</v>
      </c>
      <c r="G206" s="8" t="str">
        <f t="shared" si="6"/>
        <v>GUZMAN DANNY</v>
      </c>
      <c r="H206" s="20" t="str">
        <f t="shared" si="7"/>
        <v>4036</v>
      </c>
    </row>
    <row r="207" spans="1:8" x14ac:dyDescent="0.3">
      <c r="A207" s="8">
        <v>43032.797592592593</v>
      </c>
      <c r="B207" s="20" t="s">
        <v>455</v>
      </c>
      <c r="C207" s="20" t="s">
        <v>856</v>
      </c>
      <c r="D207" s="138">
        <v>2630000</v>
      </c>
      <c r="E207" s="20" t="s">
        <v>549</v>
      </c>
      <c r="F207" s="20" t="s">
        <v>550</v>
      </c>
      <c r="G207" s="8" t="str">
        <f t="shared" si="6"/>
        <v>SAFIEF AEIMEN</v>
      </c>
      <c r="H207" s="20" t="str">
        <f t="shared" si="7"/>
        <v>4058</v>
      </c>
    </row>
    <row r="208" spans="1:8" x14ac:dyDescent="0.3">
      <c r="A208" s="8">
        <v>43032.799074074072</v>
      </c>
      <c r="B208" s="20" t="s">
        <v>537</v>
      </c>
      <c r="C208" s="20" t="s">
        <v>670</v>
      </c>
      <c r="D208" s="138">
        <v>2610000</v>
      </c>
      <c r="E208" s="20" t="s">
        <v>592</v>
      </c>
      <c r="F208" s="20" t="s">
        <v>593</v>
      </c>
      <c r="G208" s="8" t="str">
        <f t="shared" si="6"/>
        <v>MAGEE KENYA</v>
      </c>
      <c r="H208" s="20" t="str">
        <f t="shared" si="7"/>
        <v>4025</v>
      </c>
    </row>
    <row r="209" spans="1:8" x14ac:dyDescent="0.3">
      <c r="A209" s="8">
        <v>43032.799861111111</v>
      </c>
      <c r="B209" s="20" t="s">
        <v>412</v>
      </c>
      <c r="C209" s="20" t="s">
        <v>857</v>
      </c>
      <c r="D209" s="138">
        <v>3310000</v>
      </c>
      <c r="E209" s="20" t="s">
        <v>379</v>
      </c>
      <c r="F209" s="20" t="s">
        <v>380</v>
      </c>
      <c r="G209" s="8" t="str">
        <f t="shared" si="6"/>
        <v>ANDERS STEVEN</v>
      </c>
      <c r="H209" s="20" t="str">
        <f t="shared" si="7"/>
        <v>4059</v>
      </c>
    </row>
    <row r="210" spans="1:8" x14ac:dyDescent="0.3">
      <c r="A210" s="8">
        <v>43032.80940972222</v>
      </c>
      <c r="B210" s="20" t="s">
        <v>702</v>
      </c>
      <c r="C210" s="20" t="s">
        <v>858</v>
      </c>
      <c r="D210" s="138">
        <v>2970000</v>
      </c>
      <c r="E210" s="20" t="s">
        <v>551</v>
      </c>
      <c r="F210" s="20" t="s">
        <v>552</v>
      </c>
      <c r="G210" s="8" t="str">
        <f t="shared" si="6"/>
        <v>GUZMAN DANNY</v>
      </c>
      <c r="H210" s="20" t="str">
        <f t="shared" si="7"/>
        <v>4035</v>
      </c>
    </row>
    <row r="211" spans="1:8" x14ac:dyDescent="0.3">
      <c r="A211" s="8">
        <v>43032.810046296298</v>
      </c>
      <c r="B211" s="20" t="s">
        <v>538</v>
      </c>
      <c r="C211" s="20" t="s">
        <v>859</v>
      </c>
      <c r="D211" s="138">
        <v>890000</v>
      </c>
      <c r="E211" s="20" t="s">
        <v>358</v>
      </c>
      <c r="F211" s="20" t="s">
        <v>359</v>
      </c>
      <c r="G211" s="8" t="str">
        <f t="shared" si="6"/>
        <v>LOZA FIDEL</v>
      </c>
      <c r="H211" s="20" t="str">
        <f t="shared" si="7"/>
        <v>4028</v>
      </c>
    </row>
    <row r="212" spans="1:8" x14ac:dyDescent="0.3">
      <c r="A212" s="8">
        <v>43032.81931712963</v>
      </c>
      <c r="B212" s="20" t="s">
        <v>702</v>
      </c>
      <c r="C212" s="20" t="s">
        <v>858</v>
      </c>
      <c r="D212" s="138">
        <v>2970000</v>
      </c>
      <c r="E212" s="20" t="s">
        <v>551</v>
      </c>
      <c r="F212" s="20" t="s">
        <v>552</v>
      </c>
      <c r="G212" s="8" t="str">
        <f t="shared" si="6"/>
        <v>GUZMAN DANNY</v>
      </c>
      <c r="H212" s="20" t="str">
        <f t="shared" si="7"/>
        <v>4035</v>
      </c>
    </row>
    <row r="213" spans="1:8" x14ac:dyDescent="0.3">
      <c r="A213" s="8">
        <v>43032.819606481484</v>
      </c>
      <c r="B213" s="20" t="s">
        <v>700</v>
      </c>
      <c r="C213" s="20" t="s">
        <v>860</v>
      </c>
      <c r="D213" s="138">
        <v>2230000</v>
      </c>
      <c r="E213" s="20" t="s">
        <v>553</v>
      </c>
      <c r="F213" s="20" t="s">
        <v>384</v>
      </c>
      <c r="G213" s="8" t="str">
        <f t="shared" si="6"/>
        <v>SMITH MICHAEL</v>
      </c>
      <c r="H213" s="20" t="str">
        <f t="shared" si="7"/>
        <v>4002</v>
      </c>
    </row>
    <row r="214" spans="1:8" x14ac:dyDescent="0.3">
      <c r="A214" s="8">
        <v>43032.823564814818</v>
      </c>
      <c r="B214" s="20" t="s">
        <v>454</v>
      </c>
      <c r="C214" s="20" t="s">
        <v>861</v>
      </c>
      <c r="D214" s="138">
        <v>2680000</v>
      </c>
      <c r="E214" s="20" t="s">
        <v>364</v>
      </c>
      <c r="F214" s="20" t="s">
        <v>365</v>
      </c>
      <c r="G214" s="8" t="str">
        <f t="shared" si="6"/>
        <v>DUNCAN SHEILA</v>
      </c>
      <c r="H214" s="20" t="str">
        <f t="shared" si="7"/>
        <v>4015</v>
      </c>
    </row>
    <row r="215" spans="1:8" x14ac:dyDescent="0.3">
      <c r="A215" s="8">
        <v>43032.82949074074</v>
      </c>
      <c r="B215" s="20" t="s">
        <v>540</v>
      </c>
      <c r="C215" s="20" t="s">
        <v>862</v>
      </c>
      <c r="D215" s="138">
        <v>3130000</v>
      </c>
      <c r="E215" s="20" t="s">
        <v>443</v>
      </c>
      <c r="F215" s="20" t="s">
        <v>444</v>
      </c>
      <c r="G215" s="8" t="str">
        <f t="shared" si="6"/>
        <v>ZEWDU DEREJE</v>
      </c>
      <c r="H215" s="20" t="str">
        <f t="shared" si="7"/>
        <v>4026</v>
      </c>
    </row>
    <row r="216" spans="1:8" x14ac:dyDescent="0.3">
      <c r="A216" s="8">
        <v>43032.837870370371</v>
      </c>
      <c r="B216" s="20" t="s">
        <v>647</v>
      </c>
      <c r="C216" s="20" t="s">
        <v>671</v>
      </c>
      <c r="D216" s="138">
        <v>2970000</v>
      </c>
      <c r="E216" s="20" t="s">
        <v>551</v>
      </c>
      <c r="F216" s="20" t="s">
        <v>552</v>
      </c>
      <c r="G216" s="8" t="str">
        <f t="shared" si="6"/>
        <v>GUZMAN DANNY</v>
      </c>
      <c r="H216" s="20" t="str">
        <f t="shared" si="7"/>
        <v>4036</v>
      </c>
    </row>
    <row r="217" spans="1:8" x14ac:dyDescent="0.3">
      <c r="A217" s="8">
        <v>43032.842442129629</v>
      </c>
      <c r="B217" s="20" t="s">
        <v>411</v>
      </c>
      <c r="C217" s="20" t="s">
        <v>863</v>
      </c>
      <c r="D217" s="138">
        <v>3280000</v>
      </c>
      <c r="E217" s="20" t="s">
        <v>425</v>
      </c>
      <c r="F217" s="20" t="s">
        <v>426</v>
      </c>
      <c r="G217" s="8" t="str">
        <f t="shared" si="6"/>
        <v>BIRKHOLZ NADINE</v>
      </c>
      <c r="H217" s="20" t="str">
        <f t="shared" si="7"/>
        <v>4060</v>
      </c>
    </row>
    <row r="218" spans="1:8" x14ac:dyDescent="0.3">
      <c r="A218" s="8">
        <v>43032.850925925923</v>
      </c>
      <c r="B218" s="20" t="s">
        <v>652</v>
      </c>
      <c r="C218" s="20" t="s">
        <v>864</v>
      </c>
      <c r="D218" s="138">
        <v>890000</v>
      </c>
      <c r="E218" s="20" t="s">
        <v>358</v>
      </c>
      <c r="F218" s="20" t="s">
        <v>359</v>
      </c>
      <c r="G218" s="8" t="str">
        <f t="shared" si="6"/>
        <v>LOZA FIDEL</v>
      </c>
      <c r="H218" s="20" t="str">
        <f t="shared" si="7"/>
        <v>4027</v>
      </c>
    </row>
    <row r="219" spans="1:8" x14ac:dyDescent="0.3">
      <c r="A219" s="8">
        <v>43032.851817129631</v>
      </c>
      <c r="B219" s="20" t="s">
        <v>702</v>
      </c>
      <c r="C219" s="20" t="s">
        <v>865</v>
      </c>
      <c r="D219" s="138">
        <v>2970000</v>
      </c>
      <c r="E219" s="20" t="s">
        <v>551</v>
      </c>
      <c r="F219" s="20" t="s">
        <v>552</v>
      </c>
      <c r="G219" s="8" t="str">
        <f t="shared" si="6"/>
        <v>GUZMAN DANNY</v>
      </c>
      <c r="H219" s="20" t="str">
        <f t="shared" si="7"/>
        <v>4035</v>
      </c>
    </row>
    <row r="220" spans="1:8" x14ac:dyDescent="0.3">
      <c r="A220" s="8">
        <v>43032.865254629629</v>
      </c>
      <c r="B220" s="20" t="s">
        <v>464</v>
      </c>
      <c r="C220" s="20" t="s">
        <v>866</v>
      </c>
      <c r="D220" s="138">
        <v>2680000</v>
      </c>
      <c r="E220" s="20" t="s">
        <v>364</v>
      </c>
      <c r="F220" s="20" t="s">
        <v>365</v>
      </c>
      <c r="G220" s="8" t="str">
        <f t="shared" si="6"/>
        <v>DUNCAN SHEILA</v>
      </c>
      <c r="H220" s="20" t="str">
        <f t="shared" si="7"/>
        <v>4016</v>
      </c>
    </row>
    <row r="221" spans="1:8" x14ac:dyDescent="0.3">
      <c r="A221" s="8">
        <v>43032.86986111111</v>
      </c>
      <c r="B221" s="20" t="s">
        <v>537</v>
      </c>
      <c r="C221" s="20" t="s">
        <v>867</v>
      </c>
      <c r="D221" s="138">
        <v>3130000</v>
      </c>
      <c r="E221" s="20" t="s">
        <v>443</v>
      </c>
      <c r="F221" s="20" t="s">
        <v>444</v>
      </c>
      <c r="G221" s="8" t="str">
        <f t="shared" si="6"/>
        <v>ZEWDU DEREJE</v>
      </c>
      <c r="H221" s="20" t="str">
        <f t="shared" si="7"/>
        <v>4025</v>
      </c>
    </row>
    <row r="222" spans="1:8" x14ac:dyDescent="0.3">
      <c r="A222" s="8">
        <v>43032.875358796293</v>
      </c>
      <c r="B222" s="20" t="s">
        <v>647</v>
      </c>
      <c r="C222" s="20" t="s">
        <v>672</v>
      </c>
      <c r="D222" s="138">
        <v>2000000</v>
      </c>
      <c r="E222" s="20" t="s">
        <v>370</v>
      </c>
      <c r="F222" s="20" t="s">
        <v>361</v>
      </c>
      <c r="G222" s="8" t="str">
        <f t="shared" si="6"/>
        <v>STAMBAUGH JAMES</v>
      </c>
      <c r="H222" s="20" t="str">
        <f t="shared" si="7"/>
        <v>4036</v>
      </c>
    </row>
    <row r="223" spans="1:8" x14ac:dyDescent="0.3">
      <c r="A223" s="8">
        <v>43032.889444444445</v>
      </c>
      <c r="B223" s="20" t="s">
        <v>412</v>
      </c>
      <c r="C223" s="20" t="s">
        <v>868</v>
      </c>
      <c r="D223" s="138">
        <v>3280000</v>
      </c>
      <c r="E223" s="20" t="s">
        <v>425</v>
      </c>
      <c r="F223" s="20" t="s">
        <v>426</v>
      </c>
      <c r="G223" s="8" t="str">
        <f t="shared" si="6"/>
        <v>BIRKHOLZ NADINE</v>
      </c>
      <c r="H223" s="20" t="str">
        <f t="shared" si="7"/>
        <v>4059</v>
      </c>
    </row>
    <row r="224" spans="1:8" x14ac:dyDescent="0.3">
      <c r="A224" s="8">
        <v>43032.889965277776</v>
      </c>
      <c r="B224" t="s">
        <v>538</v>
      </c>
      <c r="C224" t="s">
        <v>869</v>
      </c>
      <c r="D224" s="138">
        <v>890000</v>
      </c>
      <c r="E224" t="s">
        <v>358</v>
      </c>
      <c r="F224" s="20" t="s">
        <v>359</v>
      </c>
      <c r="G224" s="8" t="str">
        <f t="shared" si="6"/>
        <v>LOZA FIDEL</v>
      </c>
      <c r="H224" s="20" t="str">
        <f t="shared" si="7"/>
        <v>4028</v>
      </c>
    </row>
    <row r="225" spans="1:8" x14ac:dyDescent="0.3">
      <c r="A225" s="8">
        <v>43032.894108796296</v>
      </c>
      <c r="B225" t="s">
        <v>702</v>
      </c>
      <c r="C225" t="s">
        <v>870</v>
      </c>
      <c r="D225" s="138">
        <v>2000000</v>
      </c>
      <c r="E225" t="s">
        <v>370</v>
      </c>
      <c r="F225" s="20" t="s">
        <v>361</v>
      </c>
      <c r="G225" s="8" t="str">
        <f t="shared" si="6"/>
        <v>STAMBAUGH JAMES</v>
      </c>
      <c r="H225" s="20" t="str">
        <f t="shared" si="7"/>
        <v>4035</v>
      </c>
    </row>
    <row r="226" spans="1:8" x14ac:dyDescent="0.3">
      <c r="A226" s="8">
        <v>43032.909351851849</v>
      </c>
      <c r="B226" t="s">
        <v>454</v>
      </c>
      <c r="C226" t="s">
        <v>871</v>
      </c>
      <c r="D226" s="138">
        <v>2680000</v>
      </c>
      <c r="E226" t="s">
        <v>364</v>
      </c>
      <c r="F226" s="20" t="s">
        <v>365</v>
      </c>
      <c r="G226" s="8" t="str">
        <f t="shared" si="6"/>
        <v>DUNCAN SHEILA</v>
      </c>
      <c r="H226" s="20" t="str">
        <f t="shared" si="7"/>
        <v>4015</v>
      </c>
    </row>
    <row r="227" spans="1:8" x14ac:dyDescent="0.3">
      <c r="A227" s="8">
        <v>43032.914131944446</v>
      </c>
      <c r="B227" t="s">
        <v>540</v>
      </c>
      <c r="C227" t="s">
        <v>872</v>
      </c>
      <c r="D227" s="138">
        <v>2610000</v>
      </c>
      <c r="E227" t="s">
        <v>592</v>
      </c>
      <c r="F227" s="20" t="s">
        <v>593</v>
      </c>
      <c r="G227" s="8" t="str">
        <f t="shared" si="6"/>
        <v>MAGEE KENYA</v>
      </c>
      <c r="H227" s="20" t="str">
        <f t="shared" si="7"/>
        <v>4026</v>
      </c>
    </row>
    <row r="228" spans="1:8" x14ac:dyDescent="0.3">
      <c r="A228" s="8">
        <v>43032.918043981481</v>
      </c>
      <c r="B228" t="s">
        <v>647</v>
      </c>
      <c r="C228" t="s">
        <v>873</v>
      </c>
      <c r="D228" s="138">
        <v>3220000</v>
      </c>
      <c r="E228" t="s">
        <v>588</v>
      </c>
      <c r="F228" s="20" t="s">
        <v>589</v>
      </c>
      <c r="G228" s="8" t="str">
        <f t="shared" si="6"/>
        <v>RESPASS AARON</v>
      </c>
      <c r="H228" s="20" t="str">
        <f t="shared" si="7"/>
        <v>4036</v>
      </c>
    </row>
    <row r="229" spans="1:8" x14ac:dyDescent="0.3">
      <c r="A229" s="8">
        <v>43032.922962962963</v>
      </c>
      <c r="B229" t="s">
        <v>411</v>
      </c>
      <c r="C229" t="s">
        <v>874</v>
      </c>
      <c r="D229" s="138">
        <v>3310000</v>
      </c>
      <c r="E229" t="s">
        <v>379</v>
      </c>
      <c r="F229" s="20" t="s">
        <v>380</v>
      </c>
      <c r="G229" s="8" t="str">
        <f t="shared" si="6"/>
        <v>ANDERS STEVEN</v>
      </c>
      <c r="H229" s="20" t="str">
        <f t="shared" si="7"/>
        <v>4060</v>
      </c>
    </row>
    <row r="230" spans="1:8" x14ac:dyDescent="0.3">
      <c r="A230" s="8">
        <v>43032.932291666664</v>
      </c>
      <c r="B230" t="s">
        <v>652</v>
      </c>
      <c r="C230" t="s">
        <v>875</v>
      </c>
      <c r="D230" s="138">
        <v>890000</v>
      </c>
      <c r="E230" t="s">
        <v>358</v>
      </c>
      <c r="F230" s="20" t="s">
        <v>359</v>
      </c>
      <c r="G230" s="8" t="str">
        <f t="shared" si="6"/>
        <v>LOZA FIDEL</v>
      </c>
      <c r="H230" s="20" t="str">
        <f t="shared" si="7"/>
        <v>4027</v>
      </c>
    </row>
    <row r="231" spans="1:8" x14ac:dyDescent="0.3">
      <c r="A231" s="8">
        <v>43032.943333333336</v>
      </c>
      <c r="B231" t="s">
        <v>464</v>
      </c>
      <c r="C231" t="s">
        <v>876</v>
      </c>
      <c r="D231" s="138">
        <v>3500000</v>
      </c>
      <c r="E231" t="s">
        <v>590</v>
      </c>
      <c r="F231" s="20" t="s">
        <v>591</v>
      </c>
      <c r="G231" s="8" t="str">
        <f t="shared" si="6"/>
        <v>GUNTHIER ERIC</v>
      </c>
      <c r="H231" s="20" t="str">
        <f t="shared" si="7"/>
        <v>4016</v>
      </c>
    </row>
    <row r="232" spans="1:8" x14ac:dyDescent="0.3">
      <c r="A232" s="8">
        <v>43032.944085648145</v>
      </c>
      <c r="B232" t="s">
        <v>702</v>
      </c>
      <c r="C232" t="s">
        <v>877</v>
      </c>
      <c r="D232" s="138">
        <v>3220000</v>
      </c>
      <c r="E232" t="s">
        <v>588</v>
      </c>
      <c r="F232" s="20" t="s">
        <v>589</v>
      </c>
      <c r="G232" s="8" t="str">
        <f t="shared" si="6"/>
        <v>RESPASS AARON</v>
      </c>
      <c r="H232" s="20" t="str">
        <f t="shared" si="7"/>
        <v>4035</v>
      </c>
    </row>
    <row r="233" spans="1:8" x14ac:dyDescent="0.3">
      <c r="A233" s="8">
        <v>43032.952939814815</v>
      </c>
      <c r="B233" t="s">
        <v>537</v>
      </c>
      <c r="C233" t="s">
        <v>673</v>
      </c>
      <c r="D233" s="138">
        <v>2610000</v>
      </c>
      <c r="E233" t="s">
        <v>592</v>
      </c>
      <c r="F233" s="20" t="s">
        <v>593</v>
      </c>
      <c r="G233" s="8" t="str">
        <f t="shared" si="6"/>
        <v>MAGEE KENYA</v>
      </c>
      <c r="H233" s="20" t="str">
        <f t="shared" si="7"/>
        <v>4025</v>
      </c>
    </row>
    <row r="234" spans="1:8" x14ac:dyDescent="0.3">
      <c r="A234" s="8">
        <v>43032.960127314815</v>
      </c>
      <c r="B234" t="s">
        <v>647</v>
      </c>
      <c r="C234" t="s">
        <v>878</v>
      </c>
      <c r="D234" s="138">
        <v>2000000</v>
      </c>
      <c r="E234" t="s">
        <v>370</v>
      </c>
      <c r="F234" s="20" t="s">
        <v>361</v>
      </c>
      <c r="G234" s="8" t="str">
        <f t="shared" si="6"/>
        <v>STAMBAUGH JAMES</v>
      </c>
      <c r="H234" s="20" t="str">
        <f t="shared" si="7"/>
        <v>4036</v>
      </c>
    </row>
    <row r="235" spans="1:8" x14ac:dyDescent="0.3">
      <c r="A235" s="8">
        <v>43032.964756944442</v>
      </c>
      <c r="B235" t="s">
        <v>538</v>
      </c>
      <c r="C235" t="s">
        <v>879</v>
      </c>
      <c r="D235" s="138">
        <v>890000</v>
      </c>
      <c r="E235" t="s">
        <v>358</v>
      </c>
      <c r="F235" s="20" t="s">
        <v>359</v>
      </c>
      <c r="G235" s="8" t="str">
        <f t="shared" si="6"/>
        <v>LOZA FIDEL</v>
      </c>
      <c r="H235" s="20" t="str">
        <f t="shared" si="7"/>
        <v>4028</v>
      </c>
    </row>
    <row r="236" spans="1:8" x14ac:dyDescent="0.3">
      <c r="A236" s="8">
        <v>43032.968263888892</v>
      </c>
      <c r="B236" t="s">
        <v>412</v>
      </c>
      <c r="C236" t="s">
        <v>880</v>
      </c>
      <c r="D236" s="138">
        <v>3310000</v>
      </c>
      <c r="E236" t="s">
        <v>379</v>
      </c>
      <c r="F236" s="20" t="s">
        <v>380</v>
      </c>
      <c r="G236" s="8" t="str">
        <f t="shared" si="6"/>
        <v>ANDERS STEVEN</v>
      </c>
      <c r="H236" s="20" t="str">
        <f t="shared" si="7"/>
        <v>4059</v>
      </c>
    </row>
    <row r="237" spans="1:8" x14ac:dyDescent="0.3">
      <c r="A237" s="8">
        <v>43032.975185185183</v>
      </c>
      <c r="B237" t="s">
        <v>702</v>
      </c>
      <c r="C237" t="s">
        <v>881</v>
      </c>
      <c r="D237" s="138">
        <v>2000000</v>
      </c>
      <c r="E237" t="s">
        <v>370</v>
      </c>
      <c r="F237" s="20" t="s">
        <v>361</v>
      </c>
      <c r="G237" s="8" t="str">
        <f t="shared" si="6"/>
        <v>STAMBAUGH JAMES</v>
      </c>
      <c r="H237" s="20" t="str">
        <f t="shared" si="7"/>
        <v>4035</v>
      </c>
    </row>
    <row r="238" spans="1:8" x14ac:dyDescent="0.3">
      <c r="A238" s="8">
        <v>43032.98673611111</v>
      </c>
      <c r="B238" t="s">
        <v>454</v>
      </c>
      <c r="C238" t="s">
        <v>882</v>
      </c>
      <c r="D238" s="138">
        <v>3500000</v>
      </c>
      <c r="E238" t="s">
        <v>590</v>
      </c>
      <c r="F238" s="20" t="s">
        <v>591</v>
      </c>
      <c r="G238" s="8" t="str">
        <f t="shared" si="6"/>
        <v>GUNTHIER ERIC</v>
      </c>
      <c r="H238" s="20" t="str">
        <f t="shared" si="7"/>
        <v>4015</v>
      </c>
    </row>
    <row r="239" spans="1:8" x14ac:dyDescent="0.3">
      <c r="A239" s="8">
        <v>43032.991203703707</v>
      </c>
      <c r="B239" t="s">
        <v>540</v>
      </c>
      <c r="C239" t="s">
        <v>883</v>
      </c>
      <c r="D239" s="138">
        <v>2610000</v>
      </c>
      <c r="E239" t="s">
        <v>592</v>
      </c>
      <c r="F239" s="20" t="s">
        <v>593</v>
      </c>
      <c r="G239" s="8" t="str">
        <f t="shared" si="6"/>
        <v>MAGEE KENYA</v>
      </c>
      <c r="H239" s="20" t="str">
        <f t="shared" si="7"/>
        <v>4026</v>
      </c>
    </row>
    <row r="240" spans="1:8" x14ac:dyDescent="0.3">
      <c r="A240" s="8">
        <v>43033.008888888886</v>
      </c>
      <c r="B240" t="s">
        <v>411</v>
      </c>
      <c r="C240" t="s">
        <v>884</v>
      </c>
      <c r="D240" s="138">
        <v>3310000</v>
      </c>
      <c r="E240" t="s">
        <v>379</v>
      </c>
      <c r="F240" s="20" t="s">
        <v>380</v>
      </c>
      <c r="G240" s="8" t="str">
        <f t="shared" si="6"/>
        <v>ANDERS STEVEN</v>
      </c>
      <c r="H240" s="20" t="str">
        <f t="shared" si="7"/>
        <v>4060</v>
      </c>
    </row>
    <row r="241" spans="1:8" x14ac:dyDescent="0.3">
      <c r="A241" s="8">
        <v>43033.016689814816</v>
      </c>
      <c r="B241" t="s">
        <v>652</v>
      </c>
      <c r="C241" t="s">
        <v>885</v>
      </c>
      <c r="D241" s="138">
        <v>890000</v>
      </c>
      <c r="E241" t="s">
        <v>358</v>
      </c>
      <c r="F241" s="20" t="s">
        <v>359</v>
      </c>
      <c r="G241" s="8" t="str">
        <f t="shared" si="6"/>
        <v>LOZA FIDEL</v>
      </c>
      <c r="H241" s="20" t="str">
        <f t="shared" si="7"/>
        <v>4027</v>
      </c>
    </row>
    <row r="242" spans="1:8" x14ac:dyDescent="0.3">
      <c r="A242" s="8">
        <v>43033.026828703703</v>
      </c>
      <c r="B242" t="s">
        <v>464</v>
      </c>
      <c r="C242" t="s">
        <v>886</v>
      </c>
      <c r="D242" s="138">
        <v>2680000</v>
      </c>
      <c r="E242" t="s">
        <v>364</v>
      </c>
      <c r="F242" s="20" t="s">
        <v>365</v>
      </c>
      <c r="G242" s="8" t="str">
        <f t="shared" si="6"/>
        <v>DUNCAN SHEILA</v>
      </c>
      <c r="H242" s="20" t="str">
        <f t="shared" si="7"/>
        <v>4016</v>
      </c>
    </row>
    <row r="243" spans="1:8" x14ac:dyDescent="0.3">
      <c r="A243" s="8">
        <v>43033.030266203707</v>
      </c>
      <c r="B243" t="s">
        <v>537</v>
      </c>
      <c r="C243" t="s">
        <v>887</v>
      </c>
      <c r="D243" s="138">
        <v>2610000</v>
      </c>
      <c r="E243" t="s">
        <v>592</v>
      </c>
      <c r="F243" s="20" t="s">
        <v>593</v>
      </c>
      <c r="G243" s="8" t="str">
        <f t="shared" si="6"/>
        <v>MAGEE KENYA</v>
      </c>
      <c r="H243" s="20" t="str">
        <f t="shared" si="7"/>
        <v>4025</v>
      </c>
    </row>
    <row r="244" spans="1:8" x14ac:dyDescent="0.3">
      <c r="A244" s="8">
        <v>43033.037175925929</v>
      </c>
      <c r="B244" t="s">
        <v>537</v>
      </c>
      <c r="C244" t="s">
        <v>887</v>
      </c>
      <c r="D244" s="138">
        <v>2610000</v>
      </c>
      <c r="E244" t="s">
        <v>592</v>
      </c>
      <c r="F244" s="20" t="s">
        <v>593</v>
      </c>
      <c r="G244" s="8" t="str">
        <f t="shared" si="6"/>
        <v>MAGEE KENYA</v>
      </c>
      <c r="H244" s="20" t="str">
        <f t="shared" si="7"/>
        <v>4025</v>
      </c>
    </row>
    <row r="245" spans="1:8" x14ac:dyDescent="0.3">
      <c r="A245" s="8">
        <v>43033.048541666663</v>
      </c>
      <c r="B245" t="s">
        <v>538</v>
      </c>
      <c r="C245" t="s">
        <v>888</v>
      </c>
      <c r="D245" s="138">
        <v>890000</v>
      </c>
      <c r="E245" t="s">
        <v>358</v>
      </c>
      <c r="F245" s="20" t="s">
        <v>359</v>
      </c>
      <c r="G245" s="8" t="str">
        <f t="shared" si="6"/>
        <v>LOZA FIDEL</v>
      </c>
      <c r="H245" s="20" t="str">
        <f t="shared" si="7"/>
        <v>4028</v>
      </c>
    </row>
    <row r="246" spans="1:8" x14ac:dyDescent="0.3">
      <c r="A246" s="8">
        <v>43033.049444444441</v>
      </c>
      <c r="B246" t="s">
        <v>412</v>
      </c>
      <c r="C246" t="s">
        <v>889</v>
      </c>
      <c r="D246" s="138">
        <v>3310000</v>
      </c>
      <c r="E246" t="s">
        <v>379</v>
      </c>
      <c r="F246" s="20" t="s">
        <v>380</v>
      </c>
      <c r="G246" s="8" t="str">
        <f t="shared" si="6"/>
        <v>ANDERS STEVEN</v>
      </c>
      <c r="H246" s="20" t="str">
        <f t="shared" si="7"/>
        <v>4059</v>
      </c>
    </row>
    <row r="247" spans="1:8" x14ac:dyDescent="0.3">
      <c r="A247" s="8">
        <v>43033.058854166666</v>
      </c>
      <c r="B247" t="s">
        <v>412</v>
      </c>
      <c r="C247" t="s">
        <v>889</v>
      </c>
      <c r="D247" s="138">
        <v>3310000</v>
      </c>
      <c r="E247" t="s">
        <v>379</v>
      </c>
      <c r="F247" s="20" t="s">
        <v>380</v>
      </c>
      <c r="G247" s="8" t="str">
        <f t="shared" si="6"/>
        <v>ANDERS STEVEN</v>
      </c>
      <c r="H247" s="20" t="str">
        <f t="shared" si="7"/>
        <v>4059</v>
      </c>
    </row>
    <row r="248" spans="1:8" x14ac:dyDescent="0.3">
      <c r="A248" s="8">
        <v>43033.069594907407</v>
      </c>
      <c r="B248" t="s">
        <v>540</v>
      </c>
      <c r="C248" t="s">
        <v>890</v>
      </c>
      <c r="D248" s="138">
        <v>2610000</v>
      </c>
      <c r="E248" t="s">
        <v>592</v>
      </c>
      <c r="F248" s="20" t="s">
        <v>593</v>
      </c>
      <c r="G248" s="8" t="str">
        <f t="shared" si="6"/>
        <v>MAGEE KENYA</v>
      </c>
      <c r="H248" s="20" t="str">
        <f t="shared" si="7"/>
        <v>4026</v>
      </c>
    </row>
    <row r="249" spans="1:8" x14ac:dyDescent="0.3">
      <c r="A249" s="8">
        <v>43033.089641203704</v>
      </c>
      <c r="B249" t="s">
        <v>411</v>
      </c>
      <c r="C249" t="s">
        <v>891</v>
      </c>
      <c r="D249" s="138">
        <v>3310000</v>
      </c>
      <c r="E249" t="s">
        <v>379</v>
      </c>
      <c r="F249" s="20" t="s">
        <v>380</v>
      </c>
      <c r="G249" s="8" t="str">
        <f t="shared" si="6"/>
        <v>ANDERS STEVEN</v>
      </c>
      <c r="H249" s="20" t="str">
        <f t="shared" si="7"/>
        <v>4060</v>
      </c>
    </row>
    <row r="250" spans="1:8" x14ac:dyDescent="0.3">
      <c r="A250" s="8">
        <v>43027.746655092589</v>
      </c>
      <c r="B250" t="s">
        <v>454</v>
      </c>
      <c r="C250" t="s">
        <v>472</v>
      </c>
      <c r="D250" s="138">
        <v>1300000</v>
      </c>
      <c r="E250" t="s">
        <v>417</v>
      </c>
      <c r="F250" s="20" t="s">
        <v>418</v>
      </c>
      <c r="G250" s="8" t="str">
        <f t="shared" si="6"/>
        <v>LEVIN SCOTT</v>
      </c>
      <c r="H250" s="20" t="str">
        <f t="shared" si="7"/>
        <v>4015</v>
      </c>
    </row>
    <row r="251" spans="1:8" x14ac:dyDescent="0.3">
      <c r="A251" s="8">
        <v>43027.748310185183</v>
      </c>
      <c r="B251" t="s">
        <v>387</v>
      </c>
      <c r="C251" t="s">
        <v>473</v>
      </c>
      <c r="D251" s="138">
        <v>2420000</v>
      </c>
      <c r="E251" t="s">
        <v>441</v>
      </c>
      <c r="F251" s="20" t="s">
        <v>442</v>
      </c>
      <c r="G251" s="8" t="str">
        <f t="shared" si="6"/>
        <v>HOLCOMB KAMDEN</v>
      </c>
      <c r="H251" s="20" t="str">
        <f t="shared" si="7"/>
        <v>4066</v>
      </c>
    </row>
    <row r="252" spans="1:8" x14ac:dyDescent="0.3">
      <c r="A252" s="8">
        <v>43027.749768518515</v>
      </c>
      <c r="B252" t="s">
        <v>457</v>
      </c>
      <c r="C252" t="s">
        <v>474</v>
      </c>
      <c r="D252" s="138">
        <v>3280000</v>
      </c>
      <c r="E252" t="s">
        <v>425</v>
      </c>
      <c r="F252" s="20" t="s">
        <v>426</v>
      </c>
      <c r="G252" s="8" t="str">
        <f t="shared" si="6"/>
        <v>BIRKHOLZ NADINE</v>
      </c>
      <c r="H252" s="20" t="str">
        <f t="shared" si="7"/>
        <v>4023</v>
      </c>
    </row>
    <row r="253" spans="1:8" x14ac:dyDescent="0.3">
      <c r="A253" s="8">
        <v>43027.753298611111</v>
      </c>
      <c r="B253" t="s">
        <v>431</v>
      </c>
      <c r="C253" t="s">
        <v>475</v>
      </c>
      <c r="D253" s="138">
        <v>2350000</v>
      </c>
      <c r="E253" t="s">
        <v>439</v>
      </c>
      <c r="F253" s="20" t="s">
        <v>440</v>
      </c>
      <c r="G253" s="8" t="str">
        <f t="shared" si="6"/>
        <v>BERLING GARY</v>
      </c>
      <c r="H253" s="20" t="str">
        <f t="shared" si="7"/>
        <v>4007</v>
      </c>
    </row>
    <row r="254" spans="1:8" x14ac:dyDescent="0.3">
      <c r="A254" s="8">
        <v>43027.754791666666</v>
      </c>
      <c r="B254" t="s">
        <v>436</v>
      </c>
      <c r="C254" t="s">
        <v>459</v>
      </c>
      <c r="D254" s="138">
        <v>2000000</v>
      </c>
      <c r="E254" t="s">
        <v>370</v>
      </c>
      <c r="F254" s="20" t="s">
        <v>361</v>
      </c>
      <c r="G254" s="8" t="str">
        <f t="shared" si="6"/>
        <v>STAMBAUGH JAMES</v>
      </c>
      <c r="H254" s="20" t="str">
        <f t="shared" si="7"/>
        <v>4044</v>
      </c>
    </row>
    <row r="255" spans="1:8" x14ac:dyDescent="0.3">
      <c r="A255" s="8">
        <v>43027.756620370368</v>
      </c>
      <c r="B255" t="s">
        <v>455</v>
      </c>
      <c r="C255" t="s">
        <v>476</v>
      </c>
      <c r="D255" s="138">
        <v>3340000</v>
      </c>
      <c r="E255" t="s">
        <v>477</v>
      </c>
      <c r="F255" s="20" t="s">
        <v>478</v>
      </c>
      <c r="G255" s="8" t="str">
        <f t="shared" si="6"/>
        <v>ELBAUM MIKE</v>
      </c>
      <c r="H255" s="20" t="str">
        <f t="shared" si="7"/>
        <v>4058</v>
      </c>
    </row>
    <row r="256" spans="1:8" x14ac:dyDescent="0.3">
      <c r="A256" s="8">
        <v>43027.762291666666</v>
      </c>
      <c r="B256" t="s">
        <v>465</v>
      </c>
      <c r="C256" t="s">
        <v>479</v>
      </c>
      <c r="D256" s="138">
        <v>1180000</v>
      </c>
      <c r="E256" t="s">
        <v>415</v>
      </c>
      <c r="F256" s="20" t="s">
        <v>416</v>
      </c>
      <c r="G256" s="8" t="str">
        <f t="shared" si="6"/>
        <v>LEVERE CRAIG</v>
      </c>
      <c r="H256" s="20" t="str">
        <f t="shared" si="7"/>
        <v>4013</v>
      </c>
    </row>
    <row r="257" spans="1:8" x14ac:dyDescent="0.3">
      <c r="A257" s="8">
        <v>43027.767002314817</v>
      </c>
      <c r="B257" t="s">
        <v>429</v>
      </c>
      <c r="C257" t="s">
        <v>480</v>
      </c>
      <c r="D257" s="138">
        <v>2540000</v>
      </c>
      <c r="E257" t="s">
        <v>389</v>
      </c>
      <c r="F257" s="20" t="s">
        <v>390</v>
      </c>
      <c r="G257" s="8" t="str">
        <f t="shared" si="6"/>
        <v>MCREYNOLDS KYLE</v>
      </c>
      <c r="H257" s="20" t="str">
        <f t="shared" si="7"/>
        <v>4018</v>
      </c>
    </row>
    <row r="258" spans="1:8" x14ac:dyDescent="0.3">
      <c r="A258" s="8">
        <v>43027.768379629626</v>
      </c>
      <c r="B258" t="s">
        <v>435</v>
      </c>
      <c r="C258" t="s">
        <v>481</v>
      </c>
      <c r="D258" s="138">
        <v>2000000</v>
      </c>
      <c r="E258" t="s">
        <v>370</v>
      </c>
      <c r="F258" s="20" t="s">
        <v>361</v>
      </c>
      <c r="G258" s="8" t="str">
        <f t="shared" si="6"/>
        <v>STAMBAUGH JAMES</v>
      </c>
      <c r="H258" s="20" t="str">
        <f t="shared" si="7"/>
        <v>4043</v>
      </c>
    </row>
    <row r="259" spans="1:8" x14ac:dyDescent="0.3">
      <c r="A259" s="8">
        <v>43027.773113425923</v>
      </c>
      <c r="B259" t="s">
        <v>456</v>
      </c>
      <c r="C259" t="s">
        <v>482</v>
      </c>
      <c r="D259" s="138">
        <v>3280000</v>
      </c>
      <c r="E259" t="s">
        <v>425</v>
      </c>
      <c r="F259" s="20" t="s">
        <v>426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430</v>
      </c>
      <c r="C260" t="s">
        <v>483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464</v>
      </c>
      <c r="C261" t="s">
        <v>484</v>
      </c>
      <c r="D261" s="138">
        <v>1300000</v>
      </c>
      <c r="E261" t="s">
        <v>417</v>
      </c>
      <c r="F261" s="20" t="s">
        <v>418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388</v>
      </c>
      <c r="C262" t="s">
        <v>460</v>
      </c>
      <c r="D262" s="138">
        <v>2420000</v>
      </c>
      <c r="E262" t="s">
        <v>441</v>
      </c>
      <c r="F262" s="20" t="s">
        <v>442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458</v>
      </c>
      <c r="C263" t="s">
        <v>485</v>
      </c>
      <c r="D263" s="138">
        <v>3340000</v>
      </c>
      <c r="E263" t="s">
        <v>477</v>
      </c>
      <c r="F263" s="20" t="s">
        <v>478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409</v>
      </c>
      <c r="C264" t="s">
        <v>486</v>
      </c>
      <c r="D264" s="138">
        <v>1360000</v>
      </c>
      <c r="E264" t="s">
        <v>487</v>
      </c>
      <c r="F264" s="20" t="s">
        <v>488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457</v>
      </c>
      <c r="C265" t="s">
        <v>489</v>
      </c>
      <c r="D265" s="138">
        <v>3280000</v>
      </c>
      <c r="E265" t="s">
        <v>425</v>
      </c>
      <c r="F265" s="20" t="s">
        <v>426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436</v>
      </c>
      <c r="C266" t="s">
        <v>490</v>
      </c>
      <c r="D266" s="138">
        <v>2600000</v>
      </c>
      <c r="E266" t="s">
        <v>491</v>
      </c>
      <c r="F266" s="20" t="s">
        <v>467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436</v>
      </c>
      <c r="C267" t="s">
        <v>490</v>
      </c>
      <c r="D267" s="138">
        <v>2600000</v>
      </c>
      <c r="E267" t="s">
        <v>491</v>
      </c>
      <c r="F267" s="20" t="s">
        <v>467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436</v>
      </c>
      <c r="C268" t="s">
        <v>492</v>
      </c>
      <c r="D268" s="138">
        <v>2600000</v>
      </c>
      <c r="E268" t="s">
        <v>491</v>
      </c>
      <c r="F268" s="20" t="s">
        <v>467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466</v>
      </c>
      <c r="C269" t="s">
        <v>493</v>
      </c>
      <c r="D269" s="138">
        <v>1180000</v>
      </c>
      <c r="E269" t="s">
        <v>415</v>
      </c>
      <c r="F269" s="20" t="s">
        <v>416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388</v>
      </c>
      <c r="C270" t="s">
        <v>460</v>
      </c>
      <c r="D270" s="138">
        <v>2420000</v>
      </c>
      <c r="E270" t="s">
        <v>441</v>
      </c>
      <c r="F270" s="20" t="s">
        <v>442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433</v>
      </c>
      <c r="C271" t="s">
        <v>494</v>
      </c>
      <c r="D271" s="138">
        <v>2540000</v>
      </c>
      <c r="E271" t="s">
        <v>389</v>
      </c>
      <c r="F271" s="20" t="s">
        <v>390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435</v>
      </c>
      <c r="C272" t="s">
        <v>490</v>
      </c>
      <c r="D272" s="138">
        <v>2600000</v>
      </c>
      <c r="E272" t="s">
        <v>491</v>
      </c>
      <c r="F272" s="20" t="s">
        <v>467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438</v>
      </c>
      <c r="C273" t="s">
        <v>495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431</v>
      </c>
      <c r="C274" t="s">
        <v>496</v>
      </c>
      <c r="D274" s="138">
        <v>1360000</v>
      </c>
      <c r="E274" t="s">
        <v>487</v>
      </c>
      <c r="F274" s="20" t="s">
        <v>488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387</v>
      </c>
      <c r="C275" t="s">
        <v>497</v>
      </c>
      <c r="D275" s="138">
        <v>2420000</v>
      </c>
      <c r="E275" t="s">
        <v>441</v>
      </c>
      <c r="F275" s="20" t="s">
        <v>442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414</v>
      </c>
      <c r="C276" t="s">
        <v>469</v>
      </c>
      <c r="D276" s="138">
        <v>3320000</v>
      </c>
      <c r="E276" t="s">
        <v>470</v>
      </c>
      <c r="F276" s="20" t="s">
        <v>471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455</v>
      </c>
      <c r="C277" t="s">
        <v>498</v>
      </c>
      <c r="D277" s="138">
        <v>3340000</v>
      </c>
      <c r="E277" t="s">
        <v>477</v>
      </c>
      <c r="F277" s="20" t="s">
        <v>478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413</v>
      </c>
      <c r="C278" t="s">
        <v>469</v>
      </c>
      <c r="D278" s="138">
        <v>3320000</v>
      </c>
      <c r="E278" t="s">
        <v>470</v>
      </c>
      <c r="F278" s="20" t="s">
        <v>471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436</v>
      </c>
      <c r="C279" t="s">
        <v>499</v>
      </c>
      <c r="D279" s="138">
        <v>3130000</v>
      </c>
      <c r="E279" t="s">
        <v>443</v>
      </c>
      <c r="F279" s="20" t="s">
        <v>444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430</v>
      </c>
      <c r="C280" t="s">
        <v>500</v>
      </c>
      <c r="D280" s="138">
        <v>890000</v>
      </c>
      <c r="E280" t="s">
        <v>358</v>
      </c>
      <c r="F280" s="20" t="s">
        <v>359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414</v>
      </c>
      <c r="C281" t="s">
        <v>501</v>
      </c>
      <c r="D281" s="138">
        <v>2540000</v>
      </c>
      <c r="E281" t="s">
        <v>389</v>
      </c>
      <c r="F281" s="20" t="s">
        <v>390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435</v>
      </c>
      <c r="C282" t="s">
        <v>502</v>
      </c>
      <c r="D282" s="138">
        <v>3130000</v>
      </c>
      <c r="E282" t="s">
        <v>443</v>
      </c>
      <c r="F282" s="20" t="s">
        <v>444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458</v>
      </c>
      <c r="C283" t="s">
        <v>461</v>
      </c>
      <c r="D283" s="138">
        <v>3340000</v>
      </c>
      <c r="E283" t="s">
        <v>477</v>
      </c>
      <c r="F283" s="20" t="s">
        <v>478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409</v>
      </c>
      <c r="C284" t="s">
        <v>503</v>
      </c>
      <c r="D284" s="138">
        <v>3310000</v>
      </c>
      <c r="E284" t="s">
        <v>379</v>
      </c>
      <c r="F284" s="20" t="s">
        <v>380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436</v>
      </c>
      <c r="C285" t="s">
        <v>504</v>
      </c>
      <c r="D285" s="138">
        <v>2440000</v>
      </c>
      <c r="E285" t="s">
        <v>505</v>
      </c>
      <c r="F285" s="20" t="s">
        <v>506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438</v>
      </c>
      <c r="C286" t="s">
        <v>507</v>
      </c>
      <c r="D286" s="138">
        <v>3320000</v>
      </c>
      <c r="E286" t="s">
        <v>470</v>
      </c>
      <c r="F286" s="20" t="s">
        <v>471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413</v>
      </c>
      <c r="C287" t="s">
        <v>508</v>
      </c>
      <c r="D287" s="138">
        <v>2540000</v>
      </c>
      <c r="E287" t="s">
        <v>389</v>
      </c>
      <c r="F287" s="20" t="s">
        <v>390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435</v>
      </c>
      <c r="C288" t="s">
        <v>509</v>
      </c>
      <c r="D288" s="138">
        <v>2440000</v>
      </c>
      <c r="E288" t="s">
        <v>505</v>
      </c>
      <c r="F288" s="20" t="s">
        <v>506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455</v>
      </c>
      <c r="C289" t="s">
        <v>510</v>
      </c>
      <c r="D289" s="138">
        <v>3340000</v>
      </c>
      <c r="E289" t="s">
        <v>477</v>
      </c>
      <c r="F289" s="20" t="s">
        <v>478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429</v>
      </c>
      <c r="C290" t="s">
        <v>469</v>
      </c>
      <c r="D290" s="138">
        <v>2600000</v>
      </c>
      <c r="E290" t="s">
        <v>491</v>
      </c>
      <c r="F290" s="20" t="s">
        <v>467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433</v>
      </c>
      <c r="C291" t="s">
        <v>469</v>
      </c>
      <c r="D291" s="138">
        <v>2600000</v>
      </c>
      <c r="E291" t="s">
        <v>491</v>
      </c>
      <c r="F291" s="20" t="s">
        <v>467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431</v>
      </c>
      <c r="C292" t="s">
        <v>511</v>
      </c>
      <c r="D292" s="138">
        <v>3310000</v>
      </c>
      <c r="E292" t="s">
        <v>379</v>
      </c>
      <c r="F292" s="20" t="s">
        <v>380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436</v>
      </c>
      <c r="C293" t="s">
        <v>512</v>
      </c>
      <c r="D293" s="138">
        <v>3280000</v>
      </c>
      <c r="E293" t="s">
        <v>425</v>
      </c>
      <c r="F293" s="20" t="s">
        <v>426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430</v>
      </c>
      <c r="C294" t="s">
        <v>513</v>
      </c>
      <c r="D294" s="138">
        <v>3320000</v>
      </c>
      <c r="E294" t="s">
        <v>470</v>
      </c>
      <c r="F294" s="20" t="s">
        <v>471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429</v>
      </c>
      <c r="C295" t="s">
        <v>514</v>
      </c>
      <c r="D295" s="138">
        <v>2540000</v>
      </c>
      <c r="E295" t="s">
        <v>389</v>
      </c>
      <c r="F295" s="20" t="s">
        <v>390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435</v>
      </c>
      <c r="C296" t="s">
        <v>515</v>
      </c>
      <c r="D296" s="138">
        <v>3280000</v>
      </c>
      <c r="E296" t="s">
        <v>425</v>
      </c>
      <c r="F296" s="20" t="s">
        <v>426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458</v>
      </c>
      <c r="C297" t="s">
        <v>516</v>
      </c>
      <c r="D297" s="138">
        <v>3340000</v>
      </c>
      <c r="E297" t="s">
        <v>477</v>
      </c>
      <c r="F297" s="20" t="s">
        <v>478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409</v>
      </c>
      <c r="C298" t="s">
        <v>517</v>
      </c>
      <c r="D298" s="138">
        <v>3310000</v>
      </c>
      <c r="E298" t="s">
        <v>379</v>
      </c>
      <c r="F298" s="20" t="s">
        <v>380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436</v>
      </c>
      <c r="C299" t="s">
        <v>518</v>
      </c>
      <c r="D299" s="138">
        <v>3280000</v>
      </c>
      <c r="E299" t="s">
        <v>425</v>
      </c>
      <c r="F299" s="20" t="s">
        <v>426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433</v>
      </c>
      <c r="C300" t="s">
        <v>519</v>
      </c>
      <c r="D300" s="138">
        <v>2540000</v>
      </c>
      <c r="E300" t="s">
        <v>389</v>
      </c>
      <c r="F300" s="20" t="s">
        <v>390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435</v>
      </c>
      <c r="C301" t="s">
        <v>520</v>
      </c>
      <c r="D301" s="138">
        <v>3280000</v>
      </c>
      <c r="E301" t="s">
        <v>425</v>
      </c>
      <c r="F301" s="20" t="s">
        <v>426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438</v>
      </c>
      <c r="C302" t="s">
        <v>521</v>
      </c>
      <c r="D302" s="138">
        <v>890000</v>
      </c>
      <c r="E302" t="s">
        <v>358</v>
      </c>
      <c r="F302" s="20" t="s">
        <v>359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455</v>
      </c>
      <c r="C303" t="s">
        <v>522</v>
      </c>
      <c r="D303" s="138">
        <v>3340000</v>
      </c>
      <c r="E303" t="s">
        <v>477</v>
      </c>
      <c r="F303" s="20" t="s">
        <v>478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431</v>
      </c>
      <c r="C304" t="s">
        <v>523</v>
      </c>
      <c r="D304" s="138">
        <v>3310000</v>
      </c>
      <c r="E304" t="s">
        <v>379</v>
      </c>
      <c r="F304" s="20" t="s">
        <v>380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429</v>
      </c>
      <c r="C305" t="s">
        <v>524</v>
      </c>
      <c r="D305" s="138">
        <v>2540000</v>
      </c>
      <c r="E305" t="s">
        <v>389</v>
      </c>
      <c r="F305" s="20" t="s">
        <v>390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430</v>
      </c>
      <c r="C306" t="s">
        <v>525</v>
      </c>
      <c r="D306" s="138">
        <v>890000</v>
      </c>
      <c r="E306" t="s">
        <v>358</v>
      </c>
      <c r="F306" s="20" t="s">
        <v>359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409</v>
      </c>
      <c r="C307" t="s">
        <v>526</v>
      </c>
      <c r="D307" s="138">
        <v>3310000</v>
      </c>
      <c r="E307" t="s">
        <v>379</v>
      </c>
      <c r="F307" s="20" t="s">
        <v>380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458</v>
      </c>
      <c r="C308" t="s">
        <v>527</v>
      </c>
      <c r="D308" s="138">
        <v>3340000</v>
      </c>
      <c r="E308" t="s">
        <v>477</v>
      </c>
      <c r="F308" s="20" t="s">
        <v>478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438</v>
      </c>
      <c r="C309" t="s">
        <v>528</v>
      </c>
      <c r="D309" s="138">
        <v>890000</v>
      </c>
      <c r="E309" t="s">
        <v>358</v>
      </c>
      <c r="F309" s="20" t="s">
        <v>359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433</v>
      </c>
      <c r="C310" t="s">
        <v>529</v>
      </c>
      <c r="D310" s="138">
        <v>2540000</v>
      </c>
      <c r="E310" t="s">
        <v>389</v>
      </c>
      <c r="F310" s="20" t="s">
        <v>390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455</v>
      </c>
      <c r="C311" t="s">
        <v>530</v>
      </c>
      <c r="D311" s="138">
        <v>3340000</v>
      </c>
      <c r="E311" t="s">
        <v>477</v>
      </c>
      <c r="F311" s="20" t="s">
        <v>478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429</v>
      </c>
      <c r="C312" t="s">
        <v>531</v>
      </c>
      <c r="D312" s="138">
        <v>2540000</v>
      </c>
      <c r="E312" t="s">
        <v>389</v>
      </c>
      <c r="F312" s="20" t="s">
        <v>390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383</v>
      </c>
      <c r="C313" t="s">
        <v>532</v>
      </c>
      <c r="D313" s="138">
        <v>1830000</v>
      </c>
      <c r="E313" t="s">
        <v>373</v>
      </c>
      <c r="F313" s="20" t="s">
        <v>374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3">
      <c r="A2" s="196">
        <v>37.549999999999997</v>
      </c>
      <c r="B2" s="196">
        <v>0</v>
      </c>
      <c r="C2" s="196">
        <v>28.08</v>
      </c>
      <c r="D2" s="8">
        <v>43032</v>
      </c>
      <c r="E2" s="196">
        <v>0.68</v>
      </c>
      <c r="F2" s="196" t="s">
        <v>385</v>
      </c>
      <c r="G2" s="196">
        <v>265.14</v>
      </c>
      <c r="H2" s="196">
        <v>0</v>
      </c>
      <c r="I2" s="196">
        <v>0</v>
      </c>
      <c r="J2" s="196">
        <v>1033.81</v>
      </c>
      <c r="K2" s="196" t="s">
        <v>386</v>
      </c>
      <c r="L2" s="196">
        <v>37.549999999999997</v>
      </c>
      <c r="M2" s="196">
        <v>1508824800</v>
      </c>
      <c r="N2" s="196">
        <v>0</v>
      </c>
      <c r="O2" s="196">
        <v>3.13</v>
      </c>
      <c r="P2" s="196">
        <v>163</v>
      </c>
      <c r="Q2" s="196">
        <v>2.52</v>
      </c>
      <c r="R2" s="196">
        <v>0.59</v>
      </c>
      <c r="S2"/>
      <c r="T2"/>
    </row>
    <row r="3" spans="1:20" x14ac:dyDescent="0.3">
      <c r="A3" s="196">
        <v>36.51</v>
      </c>
      <c r="B3" s="196">
        <v>0.11</v>
      </c>
      <c r="C3" s="196">
        <v>27.08</v>
      </c>
      <c r="D3" s="8">
        <v>43032.041666666664</v>
      </c>
      <c r="E3" s="196">
        <v>0.68</v>
      </c>
      <c r="F3" s="196" t="s">
        <v>385</v>
      </c>
      <c r="G3" s="196">
        <v>266.39</v>
      </c>
      <c r="H3" s="196">
        <v>0</v>
      </c>
      <c r="I3" s="196">
        <v>0</v>
      </c>
      <c r="J3" s="196">
        <v>1034.3</v>
      </c>
      <c r="K3" s="196" t="s">
        <v>386</v>
      </c>
      <c r="L3" s="196">
        <v>36.51</v>
      </c>
      <c r="M3" s="196">
        <v>1508828400</v>
      </c>
      <c r="N3" s="196">
        <v>0</v>
      </c>
      <c r="O3" s="196">
        <v>3.52</v>
      </c>
      <c r="P3" s="196">
        <v>108</v>
      </c>
      <c r="Q3" s="196">
        <v>2.54</v>
      </c>
      <c r="R3" s="196">
        <v>0.51</v>
      </c>
      <c r="S3"/>
      <c r="T3"/>
    </row>
    <row r="4" spans="1:20" x14ac:dyDescent="0.3">
      <c r="A4" s="196">
        <v>35.46</v>
      </c>
      <c r="B4" s="196">
        <v>0.05</v>
      </c>
      <c r="C4" s="196">
        <v>26.06</v>
      </c>
      <c r="D4" s="8">
        <v>43032.083333333336</v>
      </c>
      <c r="E4" s="196">
        <v>0.68</v>
      </c>
      <c r="F4" s="196" t="s">
        <v>385</v>
      </c>
      <c r="G4" s="196">
        <v>267.14</v>
      </c>
      <c r="H4" s="196">
        <v>0</v>
      </c>
      <c r="I4" s="196">
        <v>0</v>
      </c>
      <c r="J4" s="196">
        <v>1034.25</v>
      </c>
      <c r="K4" s="196" t="s">
        <v>386</v>
      </c>
      <c r="L4" s="196">
        <v>35.46</v>
      </c>
      <c r="M4" s="196">
        <v>1508832000</v>
      </c>
      <c r="N4" s="196">
        <v>0</v>
      </c>
      <c r="O4" s="196">
        <v>3.52</v>
      </c>
      <c r="P4" s="196">
        <v>156</v>
      </c>
      <c r="Q4" s="196">
        <v>2.86</v>
      </c>
      <c r="R4" s="196">
        <v>0.89</v>
      </c>
      <c r="S4"/>
      <c r="T4"/>
    </row>
    <row r="5" spans="1:20" x14ac:dyDescent="0.3">
      <c r="A5" s="196">
        <v>34.380000000000003</v>
      </c>
      <c r="B5" s="196">
        <v>0.02</v>
      </c>
      <c r="C5" s="196">
        <v>25.56</v>
      </c>
      <c r="D5" s="8">
        <v>43032.125</v>
      </c>
      <c r="E5" s="196">
        <v>0.7</v>
      </c>
      <c r="F5" s="196" t="s">
        <v>385</v>
      </c>
      <c r="G5" s="196">
        <v>267.63</v>
      </c>
      <c r="H5" s="196">
        <v>0</v>
      </c>
      <c r="I5" s="196">
        <v>0</v>
      </c>
      <c r="J5" s="196">
        <v>1034.3800000000001</v>
      </c>
      <c r="K5" s="196" t="s">
        <v>386</v>
      </c>
      <c r="L5" s="196">
        <v>34.380000000000003</v>
      </c>
      <c r="M5" s="196">
        <v>1508835600</v>
      </c>
      <c r="N5" s="196">
        <v>0</v>
      </c>
      <c r="O5" s="196">
        <v>3.52</v>
      </c>
      <c r="P5" s="196">
        <v>184</v>
      </c>
      <c r="Q5" s="196">
        <v>2.83</v>
      </c>
      <c r="R5" s="196">
        <v>0.99</v>
      </c>
      <c r="S5"/>
      <c r="T5"/>
    </row>
    <row r="6" spans="1:20" x14ac:dyDescent="0.3">
      <c r="A6" s="196">
        <v>33.78</v>
      </c>
      <c r="B6" s="196">
        <v>0</v>
      </c>
      <c r="C6" s="196">
        <v>25.51</v>
      </c>
      <c r="D6" s="8">
        <v>43032.166666666664</v>
      </c>
      <c r="E6" s="196">
        <v>0.71</v>
      </c>
      <c r="F6" s="196" t="s">
        <v>385</v>
      </c>
      <c r="G6" s="196">
        <v>267.75</v>
      </c>
      <c r="H6" s="196">
        <v>0</v>
      </c>
      <c r="I6" s="196">
        <v>0</v>
      </c>
      <c r="J6" s="196">
        <v>1035.5</v>
      </c>
      <c r="K6" s="196" t="s">
        <v>386</v>
      </c>
      <c r="L6" s="196">
        <v>33.78</v>
      </c>
      <c r="M6" s="196">
        <v>1508839200</v>
      </c>
      <c r="N6" s="196">
        <v>0</v>
      </c>
      <c r="O6" s="196">
        <v>3.52</v>
      </c>
      <c r="P6" s="196">
        <v>175</v>
      </c>
      <c r="Q6" s="196">
        <v>3.54</v>
      </c>
      <c r="R6" s="196">
        <v>1.38</v>
      </c>
      <c r="S6"/>
      <c r="T6"/>
    </row>
    <row r="7" spans="1:20" x14ac:dyDescent="0.3">
      <c r="A7" s="196">
        <v>33.06</v>
      </c>
      <c r="B7" s="196">
        <v>0.02</v>
      </c>
      <c r="C7" s="196">
        <v>24.98</v>
      </c>
      <c r="D7" s="8">
        <v>43032.208333333336</v>
      </c>
      <c r="E7" s="196">
        <v>0.72</v>
      </c>
      <c r="F7" s="196" t="s">
        <v>385</v>
      </c>
      <c r="G7" s="196">
        <v>267.37</v>
      </c>
      <c r="H7" s="196">
        <v>0</v>
      </c>
      <c r="I7" s="196">
        <v>0</v>
      </c>
      <c r="J7" s="196">
        <v>1034.04</v>
      </c>
      <c r="K7" s="196" t="s">
        <v>386</v>
      </c>
      <c r="L7" s="196">
        <v>33.06</v>
      </c>
      <c r="M7" s="196">
        <v>1508842800</v>
      </c>
      <c r="N7" s="196">
        <v>0</v>
      </c>
      <c r="O7" s="196">
        <v>3.64</v>
      </c>
      <c r="P7" s="196">
        <v>171</v>
      </c>
      <c r="Q7" s="196">
        <v>4.08</v>
      </c>
      <c r="R7" s="196">
        <v>1.7</v>
      </c>
      <c r="S7"/>
      <c r="T7"/>
    </row>
    <row r="8" spans="1:20" x14ac:dyDescent="0.3">
      <c r="A8" s="196">
        <v>32.99</v>
      </c>
      <c r="B8" s="196">
        <v>0.02</v>
      </c>
      <c r="C8" s="196">
        <v>24.28</v>
      </c>
      <c r="D8" s="8">
        <v>43032.25</v>
      </c>
      <c r="E8" s="196">
        <v>0.7</v>
      </c>
      <c r="F8" s="196" t="s">
        <v>385</v>
      </c>
      <c r="G8" s="196">
        <v>267.74</v>
      </c>
      <c r="H8" s="196">
        <v>0</v>
      </c>
      <c r="I8" s="196">
        <v>0</v>
      </c>
      <c r="J8" s="196">
        <v>1034.72</v>
      </c>
      <c r="K8" s="196" t="s">
        <v>386</v>
      </c>
      <c r="L8" s="196">
        <v>32.99</v>
      </c>
      <c r="M8" s="196">
        <v>1508846400</v>
      </c>
      <c r="N8" s="196">
        <v>0</v>
      </c>
      <c r="O8" s="196">
        <v>4.07</v>
      </c>
      <c r="P8" s="196">
        <v>177</v>
      </c>
      <c r="Q8" s="196">
        <v>5.32</v>
      </c>
      <c r="R8" s="196">
        <v>2.12</v>
      </c>
      <c r="S8"/>
      <c r="T8"/>
    </row>
    <row r="9" spans="1:20" x14ac:dyDescent="0.3">
      <c r="A9" s="196">
        <v>33.630000000000003</v>
      </c>
      <c r="B9" s="196">
        <v>0.06</v>
      </c>
      <c r="C9" s="196">
        <v>23.4</v>
      </c>
      <c r="D9" s="8">
        <v>43032.291666666664</v>
      </c>
      <c r="E9" s="196">
        <v>0.66</v>
      </c>
      <c r="F9" s="196" t="s">
        <v>385</v>
      </c>
      <c r="G9" s="196">
        <v>266.87</v>
      </c>
      <c r="H9" s="196">
        <v>0</v>
      </c>
      <c r="I9" s="196">
        <v>0</v>
      </c>
      <c r="J9" s="196">
        <v>1034.3900000000001</v>
      </c>
      <c r="K9" s="196" t="s">
        <v>386</v>
      </c>
      <c r="L9" s="196">
        <v>33.630000000000003</v>
      </c>
      <c r="M9" s="196">
        <v>1508850000</v>
      </c>
      <c r="N9" s="196">
        <v>0</v>
      </c>
      <c r="O9" s="196">
        <v>4.16</v>
      </c>
      <c r="P9" s="196">
        <v>181</v>
      </c>
      <c r="Q9" s="196">
        <v>5.38</v>
      </c>
      <c r="R9" s="196">
        <v>2.31</v>
      </c>
      <c r="S9"/>
      <c r="T9"/>
    </row>
    <row r="10" spans="1:20" x14ac:dyDescent="0.3">
      <c r="A10" s="196">
        <v>34.619999999999997</v>
      </c>
      <c r="B10" s="196">
        <v>0.12</v>
      </c>
      <c r="C10" s="196">
        <v>23.21</v>
      </c>
      <c r="D10" s="8">
        <v>43032.333333333336</v>
      </c>
      <c r="E10" s="196">
        <v>0.63</v>
      </c>
      <c r="F10" s="196" t="s">
        <v>397</v>
      </c>
      <c r="G10" s="196">
        <v>265.49</v>
      </c>
      <c r="H10" s="196">
        <v>0</v>
      </c>
      <c r="I10" s="196">
        <v>0</v>
      </c>
      <c r="J10" s="196">
        <v>1034.45</v>
      </c>
      <c r="K10" s="196" t="s">
        <v>386</v>
      </c>
      <c r="L10" s="196">
        <v>34.619999999999997</v>
      </c>
      <c r="M10" s="196">
        <v>1508853600</v>
      </c>
      <c r="N10" s="196">
        <v>0</v>
      </c>
      <c r="O10" s="196">
        <v>4.16</v>
      </c>
      <c r="P10" s="196">
        <v>186</v>
      </c>
      <c r="Q10" s="196">
        <v>5.97</v>
      </c>
      <c r="R10" s="196">
        <v>2.71</v>
      </c>
      <c r="S10"/>
      <c r="T10"/>
    </row>
    <row r="11" spans="1:20" x14ac:dyDescent="0.3">
      <c r="A11" s="196">
        <v>36.26</v>
      </c>
      <c r="B11" s="196">
        <v>0.11</v>
      </c>
      <c r="C11" s="196">
        <v>24.34</v>
      </c>
      <c r="D11" s="8">
        <v>43032.375</v>
      </c>
      <c r="E11" s="196">
        <v>0.56999999999999995</v>
      </c>
      <c r="F11" s="196" t="s">
        <v>397</v>
      </c>
      <c r="G11" s="196">
        <v>264.23</v>
      </c>
      <c r="H11" s="196">
        <v>0</v>
      </c>
      <c r="I11" s="196">
        <v>0</v>
      </c>
      <c r="J11" s="196">
        <v>1034.33</v>
      </c>
      <c r="K11" s="196" t="s">
        <v>386</v>
      </c>
      <c r="L11" s="196">
        <v>38.25</v>
      </c>
      <c r="M11" s="196">
        <v>1508857200</v>
      </c>
      <c r="N11" s="196">
        <v>1</v>
      </c>
      <c r="O11" s="196">
        <v>4.16</v>
      </c>
      <c r="P11" s="196">
        <v>178</v>
      </c>
      <c r="Q11" s="196">
        <v>7.05</v>
      </c>
      <c r="R11" s="196">
        <v>3.1</v>
      </c>
      <c r="S11"/>
      <c r="T11"/>
    </row>
    <row r="12" spans="1:20" x14ac:dyDescent="0.3">
      <c r="A12" s="196">
        <v>43.4</v>
      </c>
      <c r="B12" s="196">
        <v>0.17</v>
      </c>
      <c r="C12" s="196">
        <v>23.5</v>
      </c>
      <c r="D12" s="8">
        <v>43032.416666666664</v>
      </c>
      <c r="E12" s="196">
        <v>0.42</v>
      </c>
      <c r="F12" s="196" t="s">
        <v>397</v>
      </c>
      <c r="G12" s="196">
        <v>262.97000000000003</v>
      </c>
      <c r="H12" s="196">
        <v>0</v>
      </c>
      <c r="I12" s="196">
        <v>0</v>
      </c>
      <c r="J12" s="196">
        <v>1033.1099999999999</v>
      </c>
      <c r="K12" s="196" t="s">
        <v>386</v>
      </c>
      <c r="L12" s="196">
        <v>45.48</v>
      </c>
      <c r="M12" s="196">
        <v>1508860800</v>
      </c>
      <c r="N12" s="196">
        <v>2</v>
      </c>
      <c r="O12" s="196">
        <v>4.05</v>
      </c>
      <c r="P12" s="196">
        <v>165</v>
      </c>
      <c r="Q12" s="196">
        <v>9.8800000000000008</v>
      </c>
      <c r="R12" s="196">
        <v>4.32</v>
      </c>
      <c r="S12"/>
      <c r="T12"/>
    </row>
    <row r="13" spans="1:20" x14ac:dyDescent="0.3">
      <c r="A13" s="196">
        <v>48.49</v>
      </c>
      <c r="B13" s="196">
        <v>0.33</v>
      </c>
      <c r="C13" s="196">
        <v>21.91</v>
      </c>
      <c r="D13" s="8">
        <v>43032.458333333336</v>
      </c>
      <c r="E13" s="196">
        <v>0.33</v>
      </c>
      <c r="F13" s="196" t="s">
        <v>600</v>
      </c>
      <c r="G13" s="196">
        <v>261.57</v>
      </c>
      <c r="H13" s="196">
        <v>0</v>
      </c>
      <c r="I13" s="196">
        <v>0</v>
      </c>
      <c r="J13" s="196">
        <v>1031.32</v>
      </c>
      <c r="K13" s="196" t="s">
        <v>599</v>
      </c>
      <c r="L13" s="196">
        <v>49.65</v>
      </c>
      <c r="M13" s="196">
        <v>1508864400</v>
      </c>
      <c r="N13" s="196">
        <v>3</v>
      </c>
      <c r="O13" s="196">
        <v>4.6900000000000004</v>
      </c>
      <c r="P13" s="196">
        <v>166</v>
      </c>
      <c r="Q13" s="196">
        <v>10.06</v>
      </c>
      <c r="R13" s="196">
        <v>3.96</v>
      </c>
      <c r="S13"/>
      <c r="T13"/>
    </row>
    <row r="14" spans="1:20" x14ac:dyDescent="0.3">
      <c r="A14" s="196">
        <v>53.98</v>
      </c>
      <c r="B14" s="196">
        <v>0.27</v>
      </c>
      <c r="C14" s="196">
        <v>22.48</v>
      </c>
      <c r="D14" s="8">
        <v>43032.5</v>
      </c>
      <c r="E14" s="196">
        <v>0.28999999999999998</v>
      </c>
      <c r="F14" s="196" t="s">
        <v>600</v>
      </c>
      <c r="G14" s="196">
        <v>259.64999999999998</v>
      </c>
      <c r="H14" s="196">
        <v>0</v>
      </c>
      <c r="I14" s="196">
        <v>0</v>
      </c>
      <c r="J14" s="196">
        <v>1030.24</v>
      </c>
      <c r="K14" s="196" t="s">
        <v>599</v>
      </c>
      <c r="L14" s="196">
        <v>53.98</v>
      </c>
      <c r="M14" s="196">
        <v>1508868000</v>
      </c>
      <c r="N14" s="196">
        <v>3</v>
      </c>
      <c r="O14" s="196">
        <v>4.6900000000000004</v>
      </c>
      <c r="P14" s="196">
        <v>137</v>
      </c>
      <c r="Q14" s="196">
        <v>9.0500000000000007</v>
      </c>
      <c r="R14" s="196">
        <v>3.1</v>
      </c>
      <c r="S14"/>
      <c r="T14"/>
    </row>
    <row r="15" spans="1:20" x14ac:dyDescent="0.3">
      <c r="A15" s="196">
        <v>57.23</v>
      </c>
      <c r="B15" s="196">
        <v>0.28999999999999998</v>
      </c>
      <c r="C15" s="196">
        <v>22.21</v>
      </c>
      <c r="D15" s="8">
        <v>43032.541666666664</v>
      </c>
      <c r="E15" s="196">
        <v>0.26</v>
      </c>
      <c r="F15" s="196" t="s">
        <v>600</v>
      </c>
      <c r="G15" s="196">
        <v>258.75</v>
      </c>
      <c r="H15" s="196">
        <v>0</v>
      </c>
      <c r="I15" s="196">
        <v>0</v>
      </c>
      <c r="J15" s="196">
        <v>1029.24</v>
      </c>
      <c r="K15" s="196" t="s">
        <v>599</v>
      </c>
      <c r="L15" s="196">
        <v>57.23</v>
      </c>
      <c r="M15" s="196">
        <v>1508871600</v>
      </c>
      <c r="N15" s="196">
        <v>4</v>
      </c>
      <c r="O15" s="196">
        <v>4.62</v>
      </c>
      <c r="P15" s="196">
        <v>114</v>
      </c>
      <c r="Q15" s="196">
        <v>6.85</v>
      </c>
      <c r="R15" s="196">
        <v>1.72</v>
      </c>
      <c r="S15"/>
      <c r="T15"/>
    </row>
    <row r="16" spans="1:20" x14ac:dyDescent="0.3">
      <c r="A16" s="196">
        <v>58.89</v>
      </c>
      <c r="B16" s="196">
        <v>0.27</v>
      </c>
      <c r="C16" s="196">
        <v>22.52</v>
      </c>
      <c r="D16" s="8">
        <v>43032.583333333336</v>
      </c>
      <c r="E16" s="196">
        <v>0.24</v>
      </c>
      <c r="F16" s="196" t="s">
        <v>600</v>
      </c>
      <c r="G16" s="196">
        <v>257.97000000000003</v>
      </c>
      <c r="H16" s="196">
        <v>0</v>
      </c>
      <c r="I16" s="196">
        <v>0</v>
      </c>
      <c r="J16" s="196">
        <v>1028.3699999999999</v>
      </c>
      <c r="K16" s="196" t="s">
        <v>599</v>
      </c>
      <c r="L16" s="196">
        <v>58.89</v>
      </c>
      <c r="M16" s="196">
        <v>1508875200</v>
      </c>
      <c r="N16" s="196">
        <v>3</v>
      </c>
      <c r="O16" s="196">
        <v>4.6900000000000004</v>
      </c>
      <c r="P16" s="196">
        <v>124</v>
      </c>
      <c r="Q16" s="196">
        <v>6.62</v>
      </c>
      <c r="R16" s="196">
        <v>1.07</v>
      </c>
      <c r="S16"/>
      <c r="T16"/>
    </row>
    <row r="17" spans="1:20" x14ac:dyDescent="0.3">
      <c r="A17" s="196">
        <v>60.62</v>
      </c>
      <c r="B17" s="196">
        <v>0.21</v>
      </c>
      <c r="C17" s="196">
        <v>22.77</v>
      </c>
      <c r="D17" s="8">
        <v>43032.625</v>
      </c>
      <c r="E17" s="196">
        <v>0.23</v>
      </c>
      <c r="F17" s="196" t="s">
        <v>397</v>
      </c>
      <c r="G17" s="196">
        <v>257.32</v>
      </c>
      <c r="H17" s="196">
        <v>0</v>
      </c>
      <c r="I17" s="196">
        <v>0</v>
      </c>
      <c r="J17" s="196">
        <v>1027.5899999999999</v>
      </c>
      <c r="K17" s="196" t="s">
        <v>386</v>
      </c>
      <c r="L17" s="196">
        <v>60.62</v>
      </c>
      <c r="M17" s="196">
        <v>1508878800</v>
      </c>
      <c r="N17" s="196">
        <v>2</v>
      </c>
      <c r="O17" s="196">
        <v>4.79</v>
      </c>
      <c r="P17" s="196">
        <v>150</v>
      </c>
      <c r="Q17" s="196">
        <v>5.0599999999999996</v>
      </c>
      <c r="R17" s="196">
        <v>0.65</v>
      </c>
      <c r="S17"/>
      <c r="T17"/>
    </row>
    <row r="18" spans="1:20" x14ac:dyDescent="0.3">
      <c r="A18" s="196">
        <v>61.87</v>
      </c>
      <c r="B18" s="196">
        <v>0.15</v>
      </c>
      <c r="C18" s="196">
        <v>23.15</v>
      </c>
      <c r="D18" s="8">
        <v>43032.666666666664</v>
      </c>
      <c r="E18" s="196">
        <v>0.22</v>
      </c>
      <c r="F18" s="196" t="s">
        <v>397</v>
      </c>
      <c r="G18" s="196">
        <v>256.54000000000002</v>
      </c>
      <c r="H18" s="196">
        <v>0</v>
      </c>
      <c r="I18" s="196">
        <v>0</v>
      </c>
      <c r="J18" s="196">
        <v>1027.31</v>
      </c>
      <c r="K18" s="196" t="s">
        <v>386</v>
      </c>
      <c r="L18" s="196">
        <v>61.87</v>
      </c>
      <c r="M18" s="196">
        <v>1508882400</v>
      </c>
      <c r="N18" s="196">
        <v>1</v>
      </c>
      <c r="O18" s="196">
        <v>4.79</v>
      </c>
      <c r="P18" s="196">
        <v>125</v>
      </c>
      <c r="Q18" s="196">
        <v>5.48</v>
      </c>
      <c r="R18" s="196">
        <v>1.29</v>
      </c>
      <c r="S18"/>
      <c r="T18"/>
    </row>
    <row r="19" spans="1:20" x14ac:dyDescent="0.3">
      <c r="A19" s="196">
        <v>61.8</v>
      </c>
      <c r="B19" s="196">
        <v>0.15</v>
      </c>
      <c r="C19" s="196">
        <v>23.28</v>
      </c>
      <c r="D19" s="8">
        <v>43032.708333333336</v>
      </c>
      <c r="E19" s="196">
        <v>0.23</v>
      </c>
      <c r="F19" s="196" t="s">
        <v>397</v>
      </c>
      <c r="G19" s="196">
        <v>255.76</v>
      </c>
      <c r="H19" s="196">
        <v>0</v>
      </c>
      <c r="I19" s="196">
        <v>0</v>
      </c>
      <c r="J19" s="196">
        <v>1027.08</v>
      </c>
      <c r="K19" s="196" t="s">
        <v>386</v>
      </c>
      <c r="L19" s="196">
        <v>61.8</v>
      </c>
      <c r="M19" s="196">
        <v>1508886000</v>
      </c>
      <c r="N19" s="196">
        <v>1</v>
      </c>
      <c r="O19" s="196">
        <v>4.79</v>
      </c>
      <c r="P19" s="196">
        <v>105</v>
      </c>
      <c r="Q19" s="196">
        <v>3.6</v>
      </c>
      <c r="R19" s="196">
        <v>0.61</v>
      </c>
      <c r="S19"/>
      <c r="T19"/>
    </row>
    <row r="20" spans="1:20" x14ac:dyDescent="0.3">
      <c r="A20" s="196">
        <v>59.04</v>
      </c>
      <c r="B20" s="196">
        <v>0.15</v>
      </c>
      <c r="C20" s="196">
        <v>24.02</v>
      </c>
      <c r="D20" s="8">
        <v>43032.75</v>
      </c>
      <c r="E20" s="196">
        <v>0.26</v>
      </c>
      <c r="F20" s="196" t="s">
        <v>397</v>
      </c>
      <c r="G20" s="196">
        <v>253.79</v>
      </c>
      <c r="H20" s="196">
        <v>0</v>
      </c>
      <c r="I20" s="196">
        <v>0</v>
      </c>
      <c r="J20" s="196">
        <v>1026.94</v>
      </c>
      <c r="K20" s="196" t="s">
        <v>386</v>
      </c>
      <c r="L20" s="196">
        <v>59.04</v>
      </c>
      <c r="M20" s="196">
        <v>1508889600</v>
      </c>
      <c r="N20" s="196">
        <v>0</v>
      </c>
      <c r="O20" s="196">
        <v>4.79</v>
      </c>
      <c r="P20" s="196">
        <v>213</v>
      </c>
      <c r="Q20" s="196">
        <v>2.29</v>
      </c>
      <c r="R20" s="196">
        <v>0.76</v>
      </c>
      <c r="S20"/>
      <c r="T20"/>
    </row>
    <row r="21" spans="1:20" x14ac:dyDescent="0.3">
      <c r="A21" s="196">
        <v>53.17</v>
      </c>
      <c r="B21" s="196">
        <v>0.14000000000000001</v>
      </c>
      <c r="C21" s="196">
        <v>25.18</v>
      </c>
      <c r="D21" s="8">
        <v>43032.791666666664</v>
      </c>
      <c r="E21" s="196">
        <v>0.33</v>
      </c>
      <c r="F21" s="196" t="s">
        <v>385</v>
      </c>
      <c r="G21" s="196">
        <v>253.53</v>
      </c>
      <c r="H21" s="196">
        <v>0</v>
      </c>
      <c r="I21" s="196">
        <v>0</v>
      </c>
      <c r="J21" s="196">
        <v>1027.81</v>
      </c>
      <c r="K21" s="196" t="s">
        <v>386</v>
      </c>
      <c r="L21" s="196">
        <v>53.17</v>
      </c>
      <c r="M21" s="196">
        <v>1508893200</v>
      </c>
      <c r="N21" s="196">
        <v>0</v>
      </c>
      <c r="O21" s="196">
        <v>4.83</v>
      </c>
      <c r="P21" s="196">
        <v>214</v>
      </c>
      <c r="Q21" s="196">
        <v>2.2400000000000002</v>
      </c>
      <c r="R21" s="196">
        <v>0.8</v>
      </c>
      <c r="S21"/>
      <c r="T21"/>
    </row>
    <row r="22" spans="1:20" x14ac:dyDescent="0.3">
      <c r="A22" s="196">
        <v>49.99</v>
      </c>
      <c r="B22" s="196">
        <v>0.13</v>
      </c>
      <c r="C22" s="196">
        <v>25.58</v>
      </c>
      <c r="D22" s="8">
        <v>43032.833333333336</v>
      </c>
      <c r="E22" s="196">
        <v>0.38</v>
      </c>
      <c r="F22" s="196" t="s">
        <v>385</v>
      </c>
      <c r="G22" s="196">
        <v>253.66</v>
      </c>
      <c r="H22" s="196">
        <v>0</v>
      </c>
      <c r="I22" s="196">
        <v>0</v>
      </c>
      <c r="J22" s="196">
        <v>1028.45</v>
      </c>
      <c r="K22" s="196" t="s">
        <v>386</v>
      </c>
      <c r="L22" s="196">
        <v>49.99</v>
      </c>
      <c r="M22" s="196">
        <v>1508896800</v>
      </c>
      <c r="N22" s="196">
        <v>0</v>
      </c>
      <c r="O22" s="196">
        <v>4.97</v>
      </c>
      <c r="P22" s="196">
        <v>217</v>
      </c>
      <c r="Q22" s="196">
        <v>2.2999999999999998</v>
      </c>
      <c r="R22" s="196">
        <v>1.19</v>
      </c>
      <c r="S22"/>
      <c r="T22"/>
    </row>
    <row r="23" spans="1:20" x14ac:dyDescent="0.3">
      <c r="A23" s="196">
        <v>47.82</v>
      </c>
      <c r="B23" s="196">
        <v>0.06</v>
      </c>
      <c r="C23" s="196">
        <v>25.96</v>
      </c>
      <c r="D23" s="8">
        <v>43032.875</v>
      </c>
      <c r="E23" s="196">
        <v>0.42</v>
      </c>
      <c r="F23" s="196" t="s">
        <v>385</v>
      </c>
      <c r="G23" s="196">
        <v>253.93</v>
      </c>
      <c r="H23" s="196">
        <v>0</v>
      </c>
      <c r="I23" s="196">
        <v>0</v>
      </c>
      <c r="J23" s="196">
        <v>1028.29</v>
      </c>
      <c r="K23" s="196" t="s">
        <v>386</v>
      </c>
      <c r="L23" s="196">
        <v>47.82</v>
      </c>
      <c r="M23" s="196">
        <v>1508900400</v>
      </c>
      <c r="N23" s="196">
        <v>0</v>
      </c>
      <c r="O23" s="196">
        <v>3.51</v>
      </c>
      <c r="P23" s="196">
        <v>191</v>
      </c>
      <c r="Q23" s="196">
        <v>3.35</v>
      </c>
      <c r="R23" s="196">
        <v>1.52</v>
      </c>
      <c r="S23"/>
      <c r="T23"/>
    </row>
    <row r="24" spans="1:20" x14ac:dyDescent="0.3">
      <c r="A24" s="196">
        <v>46.23</v>
      </c>
      <c r="B24" s="196">
        <v>0.02</v>
      </c>
      <c r="C24" s="196">
        <v>25.78</v>
      </c>
      <c r="D24" s="8">
        <v>43032.916666666664</v>
      </c>
      <c r="E24" s="196">
        <v>0.44</v>
      </c>
      <c r="F24" s="196" t="s">
        <v>385</v>
      </c>
      <c r="G24" s="196">
        <v>254.59</v>
      </c>
      <c r="H24" s="196">
        <v>0</v>
      </c>
      <c r="I24" s="196">
        <v>0</v>
      </c>
      <c r="J24" s="196">
        <v>1027.95</v>
      </c>
      <c r="K24" s="196" t="s">
        <v>386</v>
      </c>
      <c r="L24" s="196">
        <v>46.23</v>
      </c>
      <c r="M24" s="196">
        <v>1508904000</v>
      </c>
      <c r="N24" s="196">
        <v>0</v>
      </c>
      <c r="O24" s="196">
        <v>3.31</v>
      </c>
      <c r="P24" s="196">
        <v>182</v>
      </c>
      <c r="Q24" s="196">
        <v>3.26</v>
      </c>
      <c r="R24" s="196">
        <v>1.4</v>
      </c>
      <c r="S24"/>
      <c r="T24"/>
    </row>
    <row r="25" spans="1:20" x14ac:dyDescent="0.3">
      <c r="A25" s="196">
        <v>45.34</v>
      </c>
      <c r="B25" s="196">
        <v>0</v>
      </c>
      <c r="C25" s="196">
        <v>25.5</v>
      </c>
      <c r="D25" s="8">
        <v>43032.958333333336</v>
      </c>
      <c r="E25" s="196">
        <v>0.45</v>
      </c>
      <c r="F25" s="196" t="s">
        <v>385</v>
      </c>
      <c r="G25" s="196">
        <v>255.64</v>
      </c>
      <c r="H25" s="196">
        <v>0</v>
      </c>
      <c r="I25" s="196">
        <v>0</v>
      </c>
      <c r="J25" s="196">
        <v>1027.18</v>
      </c>
      <c r="K25" s="196" t="s">
        <v>386</v>
      </c>
      <c r="L25" s="196">
        <v>45.34</v>
      </c>
      <c r="M25" s="196">
        <v>1508907600</v>
      </c>
      <c r="N25" s="196">
        <v>0</v>
      </c>
      <c r="O25" s="196">
        <v>2.96</v>
      </c>
      <c r="P25" s="196">
        <v>188</v>
      </c>
      <c r="Q25" s="196">
        <v>4.2300000000000004</v>
      </c>
      <c r="R25" s="196">
        <v>1.93</v>
      </c>
      <c r="S25"/>
      <c r="T25"/>
    </row>
    <row r="26" spans="1:20" x14ac:dyDescent="0.3">
      <c r="A26" s="196">
        <v>44.62</v>
      </c>
      <c r="B26" s="196">
        <v>0</v>
      </c>
      <c r="C26" s="196">
        <v>24.97</v>
      </c>
      <c r="D26" s="8">
        <v>43033</v>
      </c>
      <c r="E26" s="196">
        <v>0.46</v>
      </c>
      <c r="F26" s="196" t="s">
        <v>385</v>
      </c>
      <c r="G26" s="196">
        <v>252.34</v>
      </c>
      <c r="H26" s="196">
        <v>0</v>
      </c>
      <c r="I26" s="196">
        <v>0</v>
      </c>
      <c r="J26" s="196">
        <v>1026.01</v>
      </c>
      <c r="K26" s="196" t="s">
        <v>386</v>
      </c>
      <c r="L26" s="196">
        <v>44.62</v>
      </c>
      <c r="M26" s="196">
        <v>1508911200</v>
      </c>
      <c r="N26" s="196">
        <v>0</v>
      </c>
      <c r="O26" s="196">
        <v>3.52</v>
      </c>
      <c r="P26" s="196">
        <v>198</v>
      </c>
      <c r="Q26" s="196">
        <v>4.42</v>
      </c>
      <c r="R26" s="196">
        <v>1.94</v>
      </c>
      <c r="S26"/>
      <c r="T26"/>
    </row>
    <row r="27" spans="1:20" x14ac:dyDescent="0.3">
      <c r="A27" s="196">
        <v>44.81</v>
      </c>
      <c r="B27" s="196">
        <v>0</v>
      </c>
      <c r="C27" s="196">
        <v>24.55</v>
      </c>
      <c r="D27" s="8">
        <v>43033.041666666664</v>
      </c>
      <c r="E27" s="196">
        <v>0.45</v>
      </c>
      <c r="F27" s="196" t="s">
        <v>385</v>
      </c>
      <c r="G27" s="196">
        <v>252.35</v>
      </c>
      <c r="H27" s="196">
        <v>0</v>
      </c>
      <c r="I27" s="196">
        <v>0</v>
      </c>
      <c r="J27" s="196">
        <v>1025.21</v>
      </c>
      <c r="K27" s="196" t="s">
        <v>386</v>
      </c>
      <c r="L27" s="196">
        <v>44.81</v>
      </c>
      <c r="M27" s="196">
        <v>1508914800</v>
      </c>
      <c r="N27" s="196">
        <v>0</v>
      </c>
      <c r="O27" s="196">
        <v>3.14</v>
      </c>
      <c r="P27" s="196">
        <v>178</v>
      </c>
      <c r="Q27" s="196">
        <v>5.49</v>
      </c>
      <c r="R27" s="196">
        <v>2.39</v>
      </c>
      <c r="S27"/>
      <c r="T27"/>
    </row>
    <row r="28" spans="1:20" x14ac:dyDescent="0.3">
      <c r="A28" s="196">
        <v>44.1</v>
      </c>
      <c r="B28" s="196">
        <v>0</v>
      </c>
      <c r="C28" s="196">
        <v>24.23</v>
      </c>
      <c r="D28" s="8">
        <v>43033.083333333336</v>
      </c>
      <c r="E28" s="196">
        <v>0.45</v>
      </c>
      <c r="F28" s="196" t="s">
        <v>385</v>
      </c>
      <c r="G28" s="196">
        <v>252.49</v>
      </c>
      <c r="H28" s="196">
        <v>0</v>
      </c>
      <c r="I28" s="196">
        <v>0</v>
      </c>
      <c r="J28" s="196">
        <v>1024.43</v>
      </c>
      <c r="K28" s="196" t="s">
        <v>386</v>
      </c>
      <c r="L28" s="196">
        <v>44.1</v>
      </c>
      <c r="M28" s="196">
        <v>1508918400</v>
      </c>
      <c r="N28" s="196">
        <v>0</v>
      </c>
      <c r="O28" s="196">
        <v>2.84</v>
      </c>
      <c r="P28" s="196">
        <v>187</v>
      </c>
      <c r="Q28" s="196">
        <v>5.12</v>
      </c>
      <c r="R28" s="196">
        <v>2.37</v>
      </c>
      <c r="S28"/>
      <c r="T28"/>
    </row>
    <row r="29" spans="1:20" x14ac:dyDescent="0.3">
      <c r="A29" s="196">
        <v>44.43</v>
      </c>
      <c r="B29" s="196">
        <v>0.02</v>
      </c>
      <c r="C29" s="196">
        <v>23.55</v>
      </c>
      <c r="D29" s="8">
        <v>43033.125</v>
      </c>
      <c r="E29" s="196">
        <v>0.43</v>
      </c>
      <c r="F29" s="196" t="s">
        <v>385</v>
      </c>
      <c r="G29" s="196">
        <v>252.75</v>
      </c>
      <c r="H29" s="196">
        <v>0</v>
      </c>
      <c r="I29" s="196">
        <v>0</v>
      </c>
      <c r="J29" s="196">
        <v>1023.87</v>
      </c>
      <c r="K29" s="196" t="s">
        <v>386</v>
      </c>
      <c r="L29" s="196">
        <v>44.43</v>
      </c>
      <c r="M29" s="196">
        <v>1508922000</v>
      </c>
      <c r="N29" s="196">
        <v>0</v>
      </c>
      <c r="O29" s="196">
        <v>3.35</v>
      </c>
      <c r="P29" s="196">
        <v>192</v>
      </c>
      <c r="Q29" s="196">
        <v>5.6</v>
      </c>
      <c r="R29" s="196">
        <v>2.34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topLeftCell="A3" workbookViewId="0">
      <selection activeCell="C20" sqref="C20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43032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1085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1086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1087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1088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1089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1090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1091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1092</v>
      </c>
      <c r="J25" s="140" t="s">
        <v>144</v>
      </c>
      <c r="M25" s="154" t="b">
        <v>1</v>
      </c>
    </row>
    <row r="26" spans="3:24" x14ac:dyDescent="0.3">
      <c r="C26" t="s">
        <v>1093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%USERPROFILE%\Documents\GitHub\eaglep3-reporting\EC\2017-10-24-refined-times.txt</v>
      </c>
    </row>
    <row r="27" spans="3:24" x14ac:dyDescent="0.3">
      <c r="C27" t="s">
        <v>1094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%USERPROFILE%\Documents\GitHub\eaglep3-reporting\EC\2017-10-24-Enforcements.txt</v>
      </c>
    </row>
    <row r="28" spans="3:24" x14ac:dyDescent="0.3">
      <c r="C28" t="s">
        <v>1095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%USERPROFILE%\Documents\GitHub\eaglep3-reporting\EC\2017-10-24-Runs-refined.txt</v>
      </c>
    </row>
    <row r="29" spans="3:24" x14ac:dyDescent="0.3">
      <c r="C29" t="s">
        <v>1096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%USERPROFILE%\Documents\GitHub\eaglep3-reporting\EC\2017-10-24-Trips.txt</v>
      </c>
    </row>
    <row r="30" spans="3:24" x14ac:dyDescent="0.3">
      <c r="C30" t="s">
        <v>1097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%USERPROFILE%\Documents\GitHub\eaglep3-reporting\EC\2017-10-24-Weather.txt</v>
      </c>
    </row>
    <row r="31" spans="3:24" x14ac:dyDescent="0.3">
      <c r="C31" t="s">
        <v>1098</v>
      </c>
      <c r="J31" s="140" t="s">
        <v>190</v>
      </c>
      <c r="M31" s="154" t="s">
        <v>191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392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2017-10-25T15:10:16Z</dcterms:modified>
</cp:coreProperties>
</file>