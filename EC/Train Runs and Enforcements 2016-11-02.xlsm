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Y13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AA30" i="1" s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AA63" i="1" s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72" i="1"/>
  <c r="Z72" i="1"/>
  <c r="Y73" i="1"/>
  <c r="Z73" i="1"/>
  <c r="Y74" i="1"/>
  <c r="Z74" i="1"/>
  <c r="Y75" i="1"/>
  <c r="Z75" i="1"/>
  <c r="Y76" i="1"/>
  <c r="Z76" i="1"/>
  <c r="Y77" i="1"/>
  <c r="Z77" i="1"/>
  <c r="Y78" i="1"/>
  <c r="Z78" i="1"/>
  <c r="Y79" i="1"/>
  <c r="Z79" i="1"/>
  <c r="Y80" i="1"/>
  <c r="Z80" i="1"/>
  <c r="Y81" i="1"/>
  <c r="Z81" i="1"/>
  <c r="Y82" i="1"/>
  <c r="Z82" i="1"/>
  <c r="Y83" i="1"/>
  <c r="Z83" i="1"/>
  <c r="Y84" i="1"/>
  <c r="Z84" i="1"/>
  <c r="Y85" i="1"/>
  <c r="Z85" i="1"/>
  <c r="Y86" i="1"/>
  <c r="Z86" i="1"/>
  <c r="Y87" i="1"/>
  <c r="Z87" i="1"/>
  <c r="Y88" i="1"/>
  <c r="Z88" i="1"/>
  <c r="Y89" i="1"/>
  <c r="Z89" i="1"/>
  <c r="Y90" i="1"/>
  <c r="Z90" i="1"/>
  <c r="Y91" i="1"/>
  <c r="Z91" i="1"/>
  <c r="Y92" i="1"/>
  <c r="Z92" i="1"/>
  <c r="Y93" i="1"/>
  <c r="Z93" i="1"/>
  <c r="Y94" i="1"/>
  <c r="Z94" i="1"/>
  <c r="Y95" i="1"/>
  <c r="Z95" i="1"/>
  <c r="Y96" i="1"/>
  <c r="Z96" i="1"/>
  <c r="Y97" i="1"/>
  <c r="Z97" i="1"/>
  <c r="Y98" i="1"/>
  <c r="Z98" i="1"/>
  <c r="Y99" i="1"/>
  <c r="Z99" i="1"/>
  <c r="Y100" i="1"/>
  <c r="Z100" i="1"/>
  <c r="Y101" i="1"/>
  <c r="Z101" i="1"/>
  <c r="Y102" i="1"/>
  <c r="Z102" i="1"/>
  <c r="Y103" i="1"/>
  <c r="Z103" i="1"/>
  <c r="Y104" i="1"/>
  <c r="Z104" i="1"/>
  <c r="Y105" i="1"/>
  <c r="Z105" i="1"/>
  <c r="Y106" i="1"/>
  <c r="Z106" i="1"/>
  <c r="Y107" i="1"/>
  <c r="Z107" i="1"/>
  <c r="Y108" i="1"/>
  <c r="Z108" i="1"/>
  <c r="Y109" i="1"/>
  <c r="Z109" i="1"/>
  <c r="Y110" i="1"/>
  <c r="Z110" i="1"/>
  <c r="Y111" i="1"/>
  <c r="Z111" i="1"/>
  <c r="Y112" i="1"/>
  <c r="Z112" i="1"/>
  <c r="Y113" i="1"/>
  <c r="Z113" i="1"/>
  <c r="Y114" i="1"/>
  <c r="Z114" i="1"/>
  <c r="Y115" i="1"/>
  <c r="Z115" i="1"/>
  <c r="Y116" i="1"/>
  <c r="Z116" i="1"/>
  <c r="Y117" i="1"/>
  <c r="Z117" i="1"/>
  <c r="Y118" i="1"/>
  <c r="Z118" i="1"/>
  <c r="Y119" i="1"/>
  <c r="Z119" i="1"/>
  <c r="Y120" i="1"/>
  <c r="Z120" i="1"/>
  <c r="Y121" i="1"/>
  <c r="Z121" i="1"/>
  <c r="Y122" i="1"/>
  <c r="Z122" i="1"/>
  <c r="Y123" i="1"/>
  <c r="Z123" i="1"/>
  <c r="Y124" i="1"/>
  <c r="Z124" i="1"/>
  <c r="Y125" i="1"/>
  <c r="Z125" i="1"/>
  <c r="Y126" i="1"/>
  <c r="Z126" i="1"/>
  <c r="Y127" i="1"/>
  <c r="Z127" i="1"/>
  <c r="Y128" i="1"/>
  <c r="Z128" i="1"/>
  <c r="Y129" i="1"/>
  <c r="Z129" i="1"/>
  <c r="Y130" i="1"/>
  <c r="Z130" i="1"/>
  <c r="Y131" i="1"/>
  <c r="Z131" i="1"/>
  <c r="Y132" i="1"/>
  <c r="Z132" i="1"/>
  <c r="Y133" i="1"/>
  <c r="Z133" i="1"/>
  <c r="AA133" i="1" s="1"/>
  <c r="Y134" i="1"/>
  <c r="Z134" i="1"/>
  <c r="Y135" i="1"/>
  <c r="Z135" i="1"/>
  <c r="Y136" i="1"/>
  <c r="Z136" i="1"/>
  <c r="Y137" i="1"/>
  <c r="Z137" i="1"/>
  <c r="Y138" i="1"/>
  <c r="Z138" i="1"/>
  <c r="Y139" i="1"/>
  <c r="Z139" i="1"/>
  <c r="Y140" i="1"/>
  <c r="Z140" i="1"/>
  <c r="Y141" i="1"/>
  <c r="Z141" i="1"/>
  <c r="AA141" i="1" s="1"/>
  <c r="Y142" i="1"/>
  <c r="Z142" i="1"/>
  <c r="Y143" i="1"/>
  <c r="Z143" i="1"/>
  <c r="Y144" i="1"/>
  <c r="Z144" i="1"/>
  <c r="Y145" i="1"/>
  <c r="Z145" i="1"/>
  <c r="Y146" i="1"/>
  <c r="Z146" i="1"/>
  <c r="Y147" i="1"/>
  <c r="Z147" i="1"/>
  <c r="Y148" i="1"/>
  <c r="Z148" i="1"/>
  <c r="Y149" i="1"/>
  <c r="Z149" i="1"/>
  <c r="Y150" i="1"/>
  <c r="Z150" i="1"/>
  <c r="Y151" i="1"/>
  <c r="Z151" i="1"/>
  <c r="Y152" i="1"/>
  <c r="Z152" i="1"/>
  <c r="Y153" i="1"/>
  <c r="Z153" i="1"/>
  <c r="Y154" i="1"/>
  <c r="Z154" i="1"/>
  <c r="Y155" i="1"/>
  <c r="Z155" i="1"/>
  <c r="AA155" i="1" s="1"/>
  <c r="Y156" i="1"/>
  <c r="Z156" i="1"/>
  <c r="Y157" i="1"/>
  <c r="Z157" i="1"/>
  <c r="Y158" i="1"/>
  <c r="Z158" i="1"/>
  <c r="Y159" i="1"/>
  <c r="Z159" i="1"/>
  <c r="Y160" i="1"/>
  <c r="Z160" i="1"/>
  <c r="Y161" i="1"/>
  <c r="Z161" i="1"/>
  <c r="Y162" i="1"/>
  <c r="Z162" i="1"/>
  <c r="Y163" i="1"/>
  <c r="Z163" i="1"/>
  <c r="Y164" i="1"/>
  <c r="Z164" i="1"/>
  <c r="Y165" i="1"/>
  <c r="Z165" i="1"/>
  <c r="Y166" i="1"/>
  <c r="Z166" i="1"/>
  <c r="Y167" i="1"/>
  <c r="Z167" i="1"/>
  <c r="Y168" i="1"/>
  <c r="Z168" i="1"/>
  <c r="Y169" i="1"/>
  <c r="Z169" i="1"/>
  <c r="Y170" i="1"/>
  <c r="Z170" i="1"/>
  <c r="Y171" i="1"/>
  <c r="Z171" i="1"/>
  <c r="Y172" i="1"/>
  <c r="Z172" i="1"/>
  <c r="Y173" i="1"/>
  <c r="Z173" i="1"/>
  <c r="Y174" i="1"/>
  <c r="Z174" i="1"/>
  <c r="Y175" i="1"/>
  <c r="Z175" i="1"/>
  <c r="Y176" i="1"/>
  <c r="Z176" i="1"/>
  <c r="Y177" i="1"/>
  <c r="Z177" i="1"/>
  <c r="Y178" i="1"/>
  <c r="Z178" i="1"/>
  <c r="Y179" i="1"/>
  <c r="Z179" i="1"/>
  <c r="Y180" i="1"/>
  <c r="Z180" i="1"/>
  <c r="Y181" i="1"/>
  <c r="Z181" i="1"/>
  <c r="Y182" i="1"/>
  <c r="Z182" i="1"/>
  <c r="Y183" i="1"/>
  <c r="Z183" i="1"/>
  <c r="Y184" i="1"/>
  <c r="Z184" i="1"/>
  <c r="Y185" i="1"/>
  <c r="Z185" i="1"/>
  <c r="Y186" i="1"/>
  <c r="Z186" i="1"/>
  <c r="Y187" i="1"/>
  <c r="Z187" i="1"/>
  <c r="Y188" i="1"/>
  <c r="Z188" i="1"/>
  <c r="Y189" i="1"/>
  <c r="Z189" i="1"/>
  <c r="Y190" i="1"/>
  <c r="Z190" i="1"/>
  <c r="Y191" i="1"/>
  <c r="Z191" i="1"/>
  <c r="Y192" i="1"/>
  <c r="Z192" i="1"/>
  <c r="Y193" i="1"/>
  <c r="Z193" i="1"/>
  <c r="Y194" i="1"/>
  <c r="Z194" i="1"/>
  <c r="Y195" i="1"/>
  <c r="Z195" i="1"/>
  <c r="Y196" i="1"/>
  <c r="AA196" i="1" s="1"/>
  <c r="Z196" i="1"/>
  <c r="Y197" i="1"/>
  <c r="Z197" i="1"/>
  <c r="Y198" i="1"/>
  <c r="Z198" i="1"/>
  <c r="Y199" i="1"/>
  <c r="Z199" i="1"/>
  <c r="Y200" i="1"/>
  <c r="Z200" i="1"/>
  <c r="Y201" i="1"/>
  <c r="Z201" i="1"/>
  <c r="Y202" i="1"/>
  <c r="Z202" i="1"/>
  <c r="Y203" i="1"/>
  <c r="Z203" i="1"/>
  <c r="Y204" i="1"/>
  <c r="Z204" i="1"/>
  <c r="Y205" i="1"/>
  <c r="Z205" i="1"/>
  <c r="Y206" i="1"/>
  <c r="Z206" i="1"/>
  <c r="Y207" i="1"/>
  <c r="Z207" i="1"/>
  <c r="AA207" i="1" s="1"/>
  <c r="Y208" i="1"/>
  <c r="Z208" i="1"/>
  <c r="Y209" i="1"/>
  <c r="Z209" i="1"/>
  <c r="Y210" i="1"/>
  <c r="Z210" i="1"/>
  <c r="Y211" i="1"/>
  <c r="Z211" i="1"/>
  <c r="Y212" i="1"/>
  <c r="Z212" i="1"/>
  <c r="Y213" i="1"/>
  <c r="Z213" i="1"/>
  <c r="Y214" i="1"/>
  <c r="Z214" i="1"/>
  <c r="Y215" i="1"/>
  <c r="Z215" i="1"/>
  <c r="Y216" i="1"/>
  <c r="Z216" i="1"/>
  <c r="Y217" i="1"/>
  <c r="Z217" i="1"/>
  <c r="Y218" i="1"/>
  <c r="Z218" i="1"/>
  <c r="Y219" i="1"/>
  <c r="Z219" i="1"/>
  <c r="Y220" i="1"/>
  <c r="Z220" i="1"/>
  <c r="Y221" i="1"/>
  <c r="Z221" i="1"/>
  <c r="Y222" i="1"/>
  <c r="Z222" i="1"/>
  <c r="Y223" i="1"/>
  <c r="Z223" i="1"/>
  <c r="Y224" i="1"/>
  <c r="Z224" i="1"/>
  <c r="Y225" i="1"/>
  <c r="Z225" i="1"/>
  <c r="Y226" i="1"/>
  <c r="Z226" i="1"/>
  <c r="Y227" i="1"/>
  <c r="Z227" i="1"/>
  <c r="Y228" i="1"/>
  <c r="Z228" i="1"/>
  <c r="Y229" i="1"/>
  <c r="Z229" i="1"/>
  <c r="Y230" i="1"/>
  <c r="Z230" i="1"/>
  <c r="Y231" i="1"/>
  <c r="Z231" i="1"/>
  <c r="K15" i="1"/>
  <c r="L15" i="1"/>
  <c r="M15" i="1"/>
  <c r="N15" i="1" s="1"/>
  <c r="V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AB17" i="1"/>
  <c r="AC17" i="1"/>
  <c r="AD17" i="1"/>
  <c r="AE17" i="1"/>
  <c r="AF17" i="1"/>
  <c r="AH17" i="1"/>
  <c r="K18" i="1"/>
  <c r="L18" i="1"/>
  <c r="M18" i="1"/>
  <c r="N18" i="1" s="1"/>
  <c r="V18" i="1"/>
  <c r="AB18" i="1"/>
  <c r="AC18" i="1"/>
  <c r="AD18" i="1"/>
  <c r="AE18" i="1"/>
  <c r="AF18" i="1"/>
  <c r="AH18" i="1"/>
  <c r="K19" i="1"/>
  <c r="L19" i="1"/>
  <c r="M19" i="1"/>
  <c r="N19" i="1" s="1"/>
  <c r="V19" i="1"/>
  <c r="AB19" i="1"/>
  <c r="AC19" i="1"/>
  <c r="AD19" i="1"/>
  <c r="AE19" i="1"/>
  <c r="AF19" i="1"/>
  <c r="AH19" i="1"/>
  <c r="K20" i="1"/>
  <c r="L20" i="1"/>
  <c r="M20" i="1"/>
  <c r="N20" i="1" s="1"/>
  <c r="V20" i="1"/>
  <c r="AB20" i="1"/>
  <c r="AC20" i="1"/>
  <c r="AD20" i="1"/>
  <c r="AE20" i="1"/>
  <c r="AF20" i="1"/>
  <c r="AH20" i="1"/>
  <c r="K21" i="1"/>
  <c r="L21" i="1"/>
  <c r="M21" i="1"/>
  <c r="N21" i="1" s="1"/>
  <c r="V21" i="1"/>
  <c r="AB21" i="1"/>
  <c r="AC21" i="1"/>
  <c r="AD21" i="1"/>
  <c r="AE21" i="1"/>
  <c r="AF21" i="1"/>
  <c r="AH21" i="1"/>
  <c r="K22" i="1"/>
  <c r="L22" i="1"/>
  <c r="M22" i="1"/>
  <c r="N22" i="1" s="1"/>
  <c r="V22" i="1"/>
  <c r="AB22" i="1"/>
  <c r="AC22" i="1"/>
  <c r="AD22" i="1"/>
  <c r="AE22" i="1"/>
  <c r="AF22" i="1"/>
  <c r="AH22" i="1"/>
  <c r="K23" i="1"/>
  <c r="L23" i="1"/>
  <c r="M23" i="1"/>
  <c r="N23" i="1" s="1"/>
  <c r="V23" i="1"/>
  <c r="AB23" i="1"/>
  <c r="AC23" i="1"/>
  <c r="AD23" i="1"/>
  <c r="AE23" i="1"/>
  <c r="AF23" i="1"/>
  <c r="AH23" i="1"/>
  <c r="K24" i="1"/>
  <c r="L24" i="1"/>
  <c r="M24" i="1"/>
  <c r="N24" i="1" s="1"/>
  <c r="V24" i="1"/>
  <c r="AB24" i="1"/>
  <c r="AC24" i="1"/>
  <c r="AD24" i="1"/>
  <c r="AE24" i="1"/>
  <c r="AF24" i="1"/>
  <c r="AH24" i="1"/>
  <c r="K25" i="1"/>
  <c r="L25" i="1"/>
  <c r="M25" i="1"/>
  <c r="N25" i="1" s="1"/>
  <c r="V25" i="1"/>
  <c r="AB25" i="1"/>
  <c r="AC25" i="1"/>
  <c r="AD25" i="1"/>
  <c r="AE25" i="1"/>
  <c r="AF25" i="1"/>
  <c r="AH25" i="1"/>
  <c r="K26" i="1"/>
  <c r="L26" i="1"/>
  <c r="M26" i="1"/>
  <c r="N26" i="1" s="1"/>
  <c r="V26" i="1"/>
  <c r="AB26" i="1"/>
  <c r="AC26" i="1"/>
  <c r="AD26" i="1"/>
  <c r="AE26" i="1"/>
  <c r="AF26" i="1"/>
  <c r="AH26" i="1"/>
  <c r="K27" i="1"/>
  <c r="L27" i="1"/>
  <c r="M27" i="1"/>
  <c r="N27" i="1" s="1"/>
  <c r="V27" i="1"/>
  <c r="AB27" i="1"/>
  <c r="AC27" i="1"/>
  <c r="AD27" i="1"/>
  <c r="AE27" i="1"/>
  <c r="AF27" i="1"/>
  <c r="AH27" i="1"/>
  <c r="K28" i="1"/>
  <c r="L28" i="1"/>
  <c r="M28" i="1"/>
  <c r="N28" i="1" s="1"/>
  <c r="V28" i="1"/>
  <c r="AB28" i="1"/>
  <c r="AC28" i="1"/>
  <c r="AD28" i="1"/>
  <c r="AE28" i="1"/>
  <c r="AF28" i="1"/>
  <c r="AH28" i="1"/>
  <c r="K29" i="1"/>
  <c r="L29" i="1"/>
  <c r="M29" i="1"/>
  <c r="N29" i="1" s="1"/>
  <c r="V29" i="1"/>
  <c r="AB29" i="1"/>
  <c r="AC29" i="1"/>
  <c r="AD29" i="1"/>
  <c r="AE29" i="1"/>
  <c r="AF29" i="1"/>
  <c r="AH29" i="1"/>
  <c r="K30" i="1"/>
  <c r="L30" i="1"/>
  <c r="M30" i="1"/>
  <c r="N30" i="1" s="1"/>
  <c r="V30" i="1"/>
  <c r="AB30" i="1"/>
  <c r="AC30" i="1"/>
  <c r="AD30" i="1"/>
  <c r="AE30" i="1"/>
  <c r="AF30" i="1"/>
  <c r="AH30" i="1"/>
  <c r="K31" i="1"/>
  <c r="L31" i="1"/>
  <c r="M31" i="1"/>
  <c r="N31" i="1" s="1"/>
  <c r="V31" i="1"/>
  <c r="AB31" i="1"/>
  <c r="AC31" i="1"/>
  <c r="AD31" i="1"/>
  <c r="AE31" i="1"/>
  <c r="AF31" i="1"/>
  <c r="AH31" i="1"/>
  <c r="K32" i="1"/>
  <c r="L32" i="1"/>
  <c r="M32" i="1"/>
  <c r="N32" i="1" s="1"/>
  <c r="V32" i="1"/>
  <c r="S8" i="3" s="1"/>
  <c r="AB32" i="1"/>
  <c r="AC32" i="1"/>
  <c r="AD32" i="1"/>
  <c r="AE32" i="1"/>
  <c r="R8" i="3" s="1"/>
  <c r="AF32" i="1"/>
  <c r="AH32" i="1"/>
  <c r="K33" i="1"/>
  <c r="L33" i="1"/>
  <c r="M33" i="1"/>
  <c r="N33" i="1" s="1"/>
  <c r="V33" i="1"/>
  <c r="AB33" i="1"/>
  <c r="AC33" i="1"/>
  <c r="AD33" i="1"/>
  <c r="AE33" i="1"/>
  <c r="AF33" i="1"/>
  <c r="AH33" i="1"/>
  <c r="K34" i="1"/>
  <c r="L34" i="1"/>
  <c r="M34" i="1"/>
  <c r="N34" i="1" s="1"/>
  <c r="V34" i="1"/>
  <c r="S20" i="3" s="1"/>
  <c r="AB34" i="1"/>
  <c r="AC34" i="1"/>
  <c r="AD34" i="1"/>
  <c r="AE34" i="1"/>
  <c r="R20" i="3" s="1"/>
  <c r="AF34" i="1"/>
  <c r="AH34" i="1"/>
  <c r="K35" i="1"/>
  <c r="L35" i="1"/>
  <c r="M35" i="1"/>
  <c r="N35" i="1" s="1"/>
  <c r="V35" i="1"/>
  <c r="AB35" i="1"/>
  <c r="AC35" i="1"/>
  <c r="AD35" i="1"/>
  <c r="AE35" i="1"/>
  <c r="AF35" i="1"/>
  <c r="AH35" i="1"/>
  <c r="K36" i="1"/>
  <c r="L36" i="1"/>
  <c r="M36" i="1"/>
  <c r="N36" i="1" s="1"/>
  <c r="V36" i="1"/>
  <c r="AB36" i="1"/>
  <c r="AC36" i="1"/>
  <c r="AD36" i="1"/>
  <c r="AE36" i="1"/>
  <c r="AF36" i="1"/>
  <c r="AH36" i="1"/>
  <c r="K37" i="1"/>
  <c r="L37" i="1"/>
  <c r="M37" i="1"/>
  <c r="N37" i="1" s="1"/>
  <c r="V37" i="1"/>
  <c r="AB37" i="1"/>
  <c r="AC37" i="1"/>
  <c r="AD37" i="1"/>
  <c r="AE37" i="1"/>
  <c r="AF37" i="1"/>
  <c r="AH37" i="1"/>
  <c r="K38" i="1"/>
  <c r="L38" i="1"/>
  <c r="M38" i="1"/>
  <c r="N38" i="1" s="1"/>
  <c r="V38" i="1"/>
  <c r="AB38" i="1"/>
  <c r="AC38" i="1"/>
  <c r="AD38" i="1"/>
  <c r="AE38" i="1"/>
  <c r="AF38" i="1"/>
  <c r="AH38" i="1"/>
  <c r="K39" i="1"/>
  <c r="L39" i="1"/>
  <c r="M39" i="1"/>
  <c r="N39" i="1" s="1"/>
  <c r="V39" i="1"/>
  <c r="AB39" i="1"/>
  <c r="AC39" i="1"/>
  <c r="AD39" i="1"/>
  <c r="AE39" i="1"/>
  <c r="AF39" i="1"/>
  <c r="AH39" i="1"/>
  <c r="K40" i="1"/>
  <c r="L40" i="1"/>
  <c r="M40" i="1"/>
  <c r="N40" i="1" s="1"/>
  <c r="V40" i="1"/>
  <c r="AB40" i="1"/>
  <c r="AC40" i="1"/>
  <c r="AD40" i="1"/>
  <c r="AE40" i="1"/>
  <c r="AF40" i="1"/>
  <c r="AH40" i="1"/>
  <c r="K41" i="1"/>
  <c r="L41" i="1"/>
  <c r="M41" i="1"/>
  <c r="N41" i="1" s="1"/>
  <c r="V41" i="1"/>
  <c r="AB41" i="1"/>
  <c r="AC41" i="1"/>
  <c r="AD41" i="1"/>
  <c r="AE41" i="1"/>
  <c r="AF41" i="1"/>
  <c r="AH41" i="1"/>
  <c r="K42" i="1"/>
  <c r="L42" i="1"/>
  <c r="M42" i="1"/>
  <c r="N42" i="1" s="1"/>
  <c r="V42" i="1"/>
  <c r="AB42" i="1"/>
  <c r="AC42" i="1"/>
  <c r="AD42" i="1"/>
  <c r="AE42" i="1"/>
  <c r="AF42" i="1"/>
  <c r="AH42" i="1"/>
  <c r="K43" i="1"/>
  <c r="L43" i="1"/>
  <c r="M43" i="1"/>
  <c r="N43" i="1" s="1"/>
  <c r="V43" i="1"/>
  <c r="AB43" i="1"/>
  <c r="AC43" i="1"/>
  <c r="AD43" i="1"/>
  <c r="AE43" i="1"/>
  <c r="AF43" i="1"/>
  <c r="AH43" i="1"/>
  <c r="K44" i="1"/>
  <c r="L44" i="1"/>
  <c r="M44" i="1"/>
  <c r="N44" i="1" s="1"/>
  <c r="V44" i="1"/>
  <c r="AB44" i="1"/>
  <c r="AC44" i="1"/>
  <c r="AD44" i="1"/>
  <c r="AE44" i="1"/>
  <c r="AF44" i="1"/>
  <c r="AH44" i="1"/>
  <c r="K45" i="1"/>
  <c r="L45" i="1"/>
  <c r="M45" i="1"/>
  <c r="N45" i="1" s="1"/>
  <c r="V45" i="1"/>
  <c r="AA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AB46" i="1"/>
  <c r="AC46" i="1"/>
  <c r="AD46" i="1"/>
  <c r="AE46" i="1"/>
  <c r="AF46" i="1"/>
  <c r="AH46" i="1"/>
  <c r="K47" i="1"/>
  <c r="L47" i="1"/>
  <c r="M47" i="1"/>
  <c r="N47" i="1" s="1"/>
  <c r="V47" i="1"/>
  <c r="AB47" i="1"/>
  <c r="AC47" i="1"/>
  <c r="AD47" i="1"/>
  <c r="AE47" i="1"/>
  <c r="AF47" i="1"/>
  <c r="AH47" i="1"/>
  <c r="K48" i="1"/>
  <c r="L48" i="1"/>
  <c r="M48" i="1"/>
  <c r="N48" i="1" s="1"/>
  <c r="V48" i="1"/>
  <c r="AB48" i="1"/>
  <c r="AC48" i="1"/>
  <c r="AD48" i="1"/>
  <c r="AE48" i="1"/>
  <c r="AF48" i="1"/>
  <c r="AH48" i="1"/>
  <c r="K49" i="1"/>
  <c r="L49" i="1"/>
  <c r="M49" i="1"/>
  <c r="N49" i="1" s="1"/>
  <c r="V49" i="1"/>
  <c r="AB49" i="1"/>
  <c r="AC49" i="1"/>
  <c r="AD49" i="1"/>
  <c r="AE49" i="1"/>
  <c r="AF49" i="1"/>
  <c r="AH49" i="1"/>
  <c r="K50" i="1"/>
  <c r="L50" i="1"/>
  <c r="M50" i="1"/>
  <c r="N50" i="1" s="1"/>
  <c r="V50" i="1"/>
  <c r="AB50" i="1"/>
  <c r="AC50" i="1"/>
  <c r="AD50" i="1"/>
  <c r="AE50" i="1"/>
  <c r="AF50" i="1"/>
  <c r="AH50" i="1"/>
  <c r="K51" i="1"/>
  <c r="L51" i="1"/>
  <c r="M51" i="1"/>
  <c r="N51" i="1" s="1"/>
  <c r="V51" i="1"/>
  <c r="AB51" i="1"/>
  <c r="AC51" i="1"/>
  <c r="AD51" i="1"/>
  <c r="AE51" i="1"/>
  <c r="AF51" i="1"/>
  <c r="AH51" i="1"/>
  <c r="K52" i="1"/>
  <c r="L52" i="1"/>
  <c r="M52" i="1"/>
  <c r="N52" i="1" s="1"/>
  <c r="V52" i="1"/>
  <c r="AB52" i="1"/>
  <c r="AC52" i="1"/>
  <c r="AD52" i="1"/>
  <c r="AE52" i="1"/>
  <c r="AF52" i="1"/>
  <c r="AH52" i="1"/>
  <c r="K53" i="1"/>
  <c r="L53" i="1"/>
  <c r="M53" i="1"/>
  <c r="N53" i="1" s="1"/>
  <c r="V53" i="1"/>
  <c r="AB53" i="1"/>
  <c r="AC53" i="1"/>
  <c r="AD53" i="1"/>
  <c r="AE53" i="1"/>
  <c r="AF53" i="1"/>
  <c r="AH53" i="1"/>
  <c r="K54" i="1"/>
  <c r="L54" i="1"/>
  <c r="M54" i="1"/>
  <c r="N54" i="1" s="1"/>
  <c r="V54" i="1"/>
  <c r="AB54" i="1"/>
  <c r="AC54" i="1"/>
  <c r="AD54" i="1"/>
  <c r="AE54" i="1"/>
  <c r="AF54" i="1"/>
  <c r="AH54" i="1"/>
  <c r="K55" i="1"/>
  <c r="L55" i="1"/>
  <c r="M55" i="1"/>
  <c r="N55" i="1" s="1"/>
  <c r="V55" i="1"/>
  <c r="AB55" i="1"/>
  <c r="AC55" i="1"/>
  <c r="AD55" i="1"/>
  <c r="AE55" i="1"/>
  <c r="AF55" i="1"/>
  <c r="AH55" i="1"/>
  <c r="K56" i="1"/>
  <c r="L56" i="1"/>
  <c r="M56" i="1"/>
  <c r="N56" i="1" s="1"/>
  <c r="V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AB57" i="1"/>
  <c r="AC57" i="1"/>
  <c r="AD57" i="1"/>
  <c r="AE57" i="1"/>
  <c r="AF57" i="1"/>
  <c r="AH57" i="1"/>
  <c r="K58" i="1"/>
  <c r="L58" i="1"/>
  <c r="M58" i="1"/>
  <c r="N58" i="1" s="1"/>
  <c r="V58" i="1"/>
  <c r="AB58" i="1"/>
  <c r="AC58" i="1"/>
  <c r="AD58" i="1"/>
  <c r="AE58" i="1"/>
  <c r="AF58" i="1"/>
  <c r="AH58" i="1"/>
  <c r="K59" i="1"/>
  <c r="L59" i="1"/>
  <c r="M59" i="1"/>
  <c r="N59" i="1" s="1"/>
  <c r="V59" i="1"/>
  <c r="AB59" i="1"/>
  <c r="AC59" i="1"/>
  <c r="AD59" i="1"/>
  <c r="AE59" i="1"/>
  <c r="AF59" i="1"/>
  <c r="AH59" i="1"/>
  <c r="K60" i="1"/>
  <c r="L60" i="1"/>
  <c r="M60" i="1"/>
  <c r="N60" i="1" s="1"/>
  <c r="V60" i="1"/>
  <c r="AB60" i="1"/>
  <c r="AC60" i="1"/>
  <c r="AD60" i="1"/>
  <c r="AE60" i="1"/>
  <c r="AF60" i="1"/>
  <c r="AH60" i="1"/>
  <c r="K61" i="1"/>
  <c r="L61" i="1"/>
  <c r="M61" i="1"/>
  <c r="N61" i="1" s="1"/>
  <c r="V61" i="1"/>
  <c r="S15" i="3" s="1"/>
  <c r="AB61" i="1"/>
  <c r="AC61" i="1"/>
  <c r="AD61" i="1"/>
  <c r="T61" i="1" s="1"/>
  <c r="AE61" i="1"/>
  <c r="R15" i="3" s="1"/>
  <c r="AF61" i="1"/>
  <c r="AH61" i="1"/>
  <c r="K62" i="1"/>
  <c r="L62" i="1"/>
  <c r="M62" i="1"/>
  <c r="N62" i="1" s="1"/>
  <c r="V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AB68" i="1"/>
  <c r="AC68" i="1"/>
  <c r="AD68" i="1"/>
  <c r="T68" i="1" s="1"/>
  <c r="AE68" i="1"/>
  <c r="AF68" i="1"/>
  <c r="AH68" i="1"/>
  <c r="K69" i="1"/>
  <c r="L69" i="1"/>
  <c r="M69" i="1"/>
  <c r="P69" i="1" s="1"/>
  <c r="V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S32" i="3" s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S13" i="3" s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AB81" i="1"/>
  <c r="AC81" i="1"/>
  <c r="AD81" i="1"/>
  <c r="AE81" i="1"/>
  <c r="AF81" i="1"/>
  <c r="AH81" i="1"/>
  <c r="K82" i="1"/>
  <c r="L82" i="1"/>
  <c r="M82" i="1"/>
  <c r="N82" i="1" s="1"/>
  <c r="V82" i="1"/>
  <c r="AB82" i="1"/>
  <c r="AC82" i="1"/>
  <c r="AD82" i="1"/>
  <c r="AE82" i="1"/>
  <c r="AF82" i="1"/>
  <c r="AH82" i="1"/>
  <c r="K83" i="1"/>
  <c r="L83" i="1"/>
  <c r="M83" i="1"/>
  <c r="N83" i="1" s="1"/>
  <c r="V83" i="1"/>
  <c r="S9" i="3" s="1"/>
  <c r="AB83" i="1"/>
  <c r="AC83" i="1"/>
  <c r="AD83" i="1"/>
  <c r="AE83" i="1"/>
  <c r="AF83" i="1"/>
  <c r="AH83" i="1"/>
  <c r="K84" i="1"/>
  <c r="L84" i="1"/>
  <c r="M84" i="1"/>
  <c r="N84" i="1" s="1"/>
  <c r="V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S7" i="3" s="1"/>
  <c r="AB91" i="1"/>
  <c r="AC91" i="1"/>
  <c r="AD91" i="1"/>
  <c r="AE91" i="1"/>
  <c r="R7" i="3" s="1"/>
  <c r="AF91" i="1"/>
  <c r="AH91" i="1"/>
  <c r="K92" i="1"/>
  <c r="L92" i="1"/>
  <c r="M92" i="1"/>
  <c r="N92" i="1" s="1"/>
  <c r="V92" i="1"/>
  <c r="S23" i="3" s="1"/>
  <c r="AB92" i="1"/>
  <c r="AC92" i="1"/>
  <c r="AD92" i="1"/>
  <c r="AE92" i="1"/>
  <c r="AF92" i="1"/>
  <c r="AH92" i="1"/>
  <c r="K93" i="1"/>
  <c r="L93" i="1"/>
  <c r="M93" i="1"/>
  <c r="N93" i="1" s="1"/>
  <c r="V93" i="1"/>
  <c r="AA93" i="1"/>
  <c r="AB93" i="1"/>
  <c r="AC93" i="1"/>
  <c r="AD93" i="1"/>
  <c r="AE93" i="1"/>
  <c r="AF93" i="1"/>
  <c r="AH93" i="1"/>
  <c r="K94" i="1"/>
  <c r="L94" i="1"/>
  <c r="M94" i="1"/>
  <c r="N94" i="1" s="1"/>
  <c r="V94" i="1"/>
  <c r="AB94" i="1"/>
  <c r="AC94" i="1"/>
  <c r="AD94" i="1"/>
  <c r="AE94" i="1"/>
  <c r="AF94" i="1"/>
  <c r="AH94" i="1"/>
  <c r="K95" i="1"/>
  <c r="L95" i="1"/>
  <c r="M95" i="1"/>
  <c r="N95" i="1" s="1"/>
  <c r="V95" i="1"/>
  <c r="AB95" i="1"/>
  <c r="AC95" i="1"/>
  <c r="AD95" i="1"/>
  <c r="AE95" i="1"/>
  <c r="AF95" i="1"/>
  <c r="AH95" i="1"/>
  <c r="K96" i="1"/>
  <c r="L96" i="1"/>
  <c r="M96" i="1"/>
  <c r="N96" i="1" s="1"/>
  <c r="V96" i="1"/>
  <c r="S28" i="3" s="1"/>
  <c r="AB96" i="1"/>
  <c r="AC96" i="1"/>
  <c r="AD96" i="1"/>
  <c r="AE96" i="1"/>
  <c r="AF96" i="1"/>
  <c r="AH96" i="1"/>
  <c r="K97" i="1"/>
  <c r="L97" i="1"/>
  <c r="M97" i="1"/>
  <c r="V97" i="1"/>
  <c r="S27" i="3" s="1"/>
  <c r="AB97" i="1"/>
  <c r="AC97" i="1"/>
  <c r="AD97" i="1"/>
  <c r="AE97" i="1"/>
  <c r="R29" i="3" s="1"/>
  <c r="AF97" i="1"/>
  <c r="AH97" i="1"/>
  <c r="K98" i="1"/>
  <c r="L98" i="1"/>
  <c r="M98" i="1"/>
  <c r="V98" i="1"/>
  <c r="AB98" i="1"/>
  <c r="AC98" i="1"/>
  <c r="AD98" i="1"/>
  <c r="AE98" i="1"/>
  <c r="AF98" i="1"/>
  <c r="AH98" i="1"/>
  <c r="K99" i="1"/>
  <c r="L99" i="1"/>
  <c r="M99" i="1"/>
  <c r="N99" i="1" s="1"/>
  <c r="V99" i="1"/>
  <c r="AA99" i="1"/>
  <c r="AB99" i="1"/>
  <c r="AC99" i="1"/>
  <c r="AD99" i="1"/>
  <c r="AE99" i="1"/>
  <c r="AF99" i="1"/>
  <c r="AH99" i="1"/>
  <c r="K100" i="1"/>
  <c r="L100" i="1"/>
  <c r="M100" i="1"/>
  <c r="N100" i="1"/>
  <c r="V100" i="1"/>
  <c r="AB100" i="1"/>
  <c r="AC100" i="1"/>
  <c r="AD100" i="1"/>
  <c r="AE100" i="1"/>
  <c r="AF100" i="1"/>
  <c r="AH100" i="1"/>
  <c r="K101" i="1"/>
  <c r="L101" i="1"/>
  <c r="M101" i="1"/>
  <c r="N101" i="1" s="1"/>
  <c r="V101" i="1"/>
  <c r="AB101" i="1"/>
  <c r="AC101" i="1"/>
  <c r="AD101" i="1"/>
  <c r="AE101" i="1"/>
  <c r="AF101" i="1"/>
  <c r="AH101" i="1"/>
  <c r="K102" i="1"/>
  <c r="L102" i="1"/>
  <c r="M102" i="1"/>
  <c r="N102" i="1" s="1"/>
  <c r="V102" i="1"/>
  <c r="AB102" i="1"/>
  <c r="AC102" i="1"/>
  <c r="AD102" i="1"/>
  <c r="AE102" i="1"/>
  <c r="AF102" i="1"/>
  <c r="AH102" i="1"/>
  <c r="K103" i="1"/>
  <c r="L103" i="1"/>
  <c r="M103" i="1"/>
  <c r="N103" i="1" s="1"/>
  <c r="V103" i="1"/>
  <c r="AB103" i="1"/>
  <c r="AC103" i="1"/>
  <c r="AD103" i="1"/>
  <c r="AE103" i="1"/>
  <c r="AF103" i="1"/>
  <c r="AH103" i="1"/>
  <c r="K104" i="1"/>
  <c r="L104" i="1"/>
  <c r="M104" i="1"/>
  <c r="N104" i="1" s="1"/>
  <c r="V104" i="1"/>
  <c r="AB104" i="1"/>
  <c r="AC104" i="1"/>
  <c r="AD104" i="1"/>
  <c r="AE104" i="1"/>
  <c r="AF104" i="1"/>
  <c r="AH104" i="1"/>
  <c r="K105" i="1"/>
  <c r="L105" i="1"/>
  <c r="M105" i="1"/>
  <c r="N105" i="1" s="1"/>
  <c r="V105" i="1"/>
  <c r="AB105" i="1"/>
  <c r="AC105" i="1"/>
  <c r="AD105" i="1"/>
  <c r="AE105" i="1"/>
  <c r="AF105" i="1"/>
  <c r="AH105" i="1"/>
  <c r="K106" i="1"/>
  <c r="L106" i="1"/>
  <c r="M106" i="1"/>
  <c r="N106" i="1" s="1"/>
  <c r="V106" i="1"/>
  <c r="AB106" i="1"/>
  <c r="AC106" i="1"/>
  <c r="AD106" i="1"/>
  <c r="AE106" i="1"/>
  <c r="AF106" i="1"/>
  <c r="AH106" i="1"/>
  <c r="K107" i="1"/>
  <c r="L107" i="1"/>
  <c r="M107" i="1"/>
  <c r="N107" i="1" s="1"/>
  <c r="V107" i="1"/>
  <c r="AB107" i="1"/>
  <c r="AC107" i="1"/>
  <c r="AD107" i="1"/>
  <c r="AE107" i="1"/>
  <c r="R17" i="3" s="1"/>
  <c r="AF107" i="1"/>
  <c r="AH107" i="1"/>
  <c r="K108" i="1"/>
  <c r="L108" i="1"/>
  <c r="M108" i="1"/>
  <c r="N108" i="1" s="1"/>
  <c r="V108" i="1"/>
  <c r="AB108" i="1"/>
  <c r="AC108" i="1"/>
  <c r="AD108" i="1"/>
  <c r="AE108" i="1"/>
  <c r="AF108" i="1"/>
  <c r="AH108" i="1"/>
  <c r="K109" i="1"/>
  <c r="L109" i="1"/>
  <c r="M109" i="1"/>
  <c r="N109" i="1" s="1"/>
  <c r="V109" i="1"/>
  <c r="AB109" i="1"/>
  <c r="AC109" i="1"/>
  <c r="AD109" i="1"/>
  <c r="AE109" i="1"/>
  <c r="AF109" i="1"/>
  <c r="AH109" i="1"/>
  <c r="K110" i="1"/>
  <c r="L110" i="1"/>
  <c r="M110" i="1"/>
  <c r="N110" i="1" s="1"/>
  <c r="V110" i="1"/>
  <c r="AB110" i="1"/>
  <c r="AC110" i="1"/>
  <c r="AD110" i="1"/>
  <c r="AE110" i="1"/>
  <c r="AF110" i="1"/>
  <c r="AH110" i="1"/>
  <c r="K111" i="1"/>
  <c r="L111" i="1"/>
  <c r="M111" i="1"/>
  <c r="N111" i="1" s="1"/>
  <c r="V111" i="1"/>
  <c r="AB111" i="1"/>
  <c r="AC111" i="1"/>
  <c r="AD111" i="1"/>
  <c r="AE111" i="1"/>
  <c r="AF111" i="1"/>
  <c r="AH111" i="1"/>
  <c r="K112" i="1"/>
  <c r="L112" i="1"/>
  <c r="M112" i="1"/>
  <c r="N112" i="1" s="1"/>
  <c r="V112" i="1"/>
  <c r="AB112" i="1"/>
  <c r="AC112" i="1"/>
  <c r="AD112" i="1"/>
  <c r="AE112" i="1"/>
  <c r="AF112" i="1"/>
  <c r="AH112" i="1"/>
  <c r="K113" i="1"/>
  <c r="L113" i="1"/>
  <c r="M113" i="1"/>
  <c r="N113" i="1" s="1"/>
  <c r="V113" i="1"/>
  <c r="AB113" i="1"/>
  <c r="AC113" i="1"/>
  <c r="AD113" i="1"/>
  <c r="AE113" i="1"/>
  <c r="AF113" i="1"/>
  <c r="AH113" i="1"/>
  <c r="K114" i="1"/>
  <c r="L114" i="1"/>
  <c r="M114" i="1"/>
  <c r="N114" i="1" s="1"/>
  <c r="V114" i="1"/>
  <c r="AB114" i="1"/>
  <c r="AC114" i="1"/>
  <c r="AD114" i="1"/>
  <c r="AE114" i="1"/>
  <c r="AF114" i="1"/>
  <c r="AH114" i="1"/>
  <c r="K115" i="1"/>
  <c r="L115" i="1"/>
  <c r="M115" i="1"/>
  <c r="N115" i="1" s="1"/>
  <c r="V115" i="1"/>
  <c r="AB115" i="1"/>
  <c r="AC115" i="1"/>
  <c r="AD115" i="1"/>
  <c r="AE115" i="1"/>
  <c r="AF115" i="1"/>
  <c r="AH115" i="1"/>
  <c r="K116" i="1"/>
  <c r="L116" i="1"/>
  <c r="M116" i="1"/>
  <c r="N116" i="1" s="1"/>
  <c r="V116" i="1"/>
  <c r="AB116" i="1"/>
  <c r="AC116" i="1"/>
  <c r="AD116" i="1"/>
  <c r="AE116" i="1"/>
  <c r="AF116" i="1"/>
  <c r="AH116" i="1"/>
  <c r="K117" i="1"/>
  <c r="L117" i="1"/>
  <c r="M117" i="1"/>
  <c r="N117" i="1" s="1"/>
  <c r="V117" i="1"/>
  <c r="AB117" i="1"/>
  <c r="AC117" i="1"/>
  <c r="AD117" i="1"/>
  <c r="AE117" i="1"/>
  <c r="AF117" i="1"/>
  <c r="AH117" i="1"/>
  <c r="K118" i="1"/>
  <c r="L118" i="1"/>
  <c r="M118" i="1"/>
  <c r="N118" i="1" s="1"/>
  <c r="V118" i="1"/>
  <c r="S24" i="3" s="1"/>
  <c r="AB118" i="1"/>
  <c r="AC118" i="1"/>
  <c r="AD118" i="1"/>
  <c r="AE118" i="1"/>
  <c r="AF118" i="1"/>
  <c r="AH118" i="1"/>
  <c r="K119" i="1"/>
  <c r="L119" i="1"/>
  <c r="M119" i="1"/>
  <c r="N119" i="1" s="1"/>
  <c r="V119" i="1"/>
  <c r="AB119" i="1"/>
  <c r="AC119" i="1"/>
  <c r="AD119" i="1"/>
  <c r="AE119" i="1"/>
  <c r="AF119" i="1"/>
  <c r="AH119" i="1"/>
  <c r="K120" i="1"/>
  <c r="L120" i="1"/>
  <c r="M120" i="1"/>
  <c r="N120" i="1" s="1"/>
  <c r="V120" i="1"/>
  <c r="AB120" i="1"/>
  <c r="AC120" i="1"/>
  <c r="AD120" i="1"/>
  <c r="AE120" i="1"/>
  <c r="AF120" i="1"/>
  <c r="AH120" i="1"/>
  <c r="K121" i="1"/>
  <c r="L121" i="1"/>
  <c r="M121" i="1"/>
  <c r="N121" i="1" s="1"/>
  <c r="V121" i="1"/>
  <c r="AB121" i="1"/>
  <c r="AC121" i="1"/>
  <c r="AD121" i="1"/>
  <c r="X121" i="1" s="1"/>
  <c r="AE121" i="1"/>
  <c r="AF121" i="1"/>
  <c r="AH121" i="1"/>
  <c r="K122" i="1"/>
  <c r="L122" i="1"/>
  <c r="M122" i="1"/>
  <c r="N122" i="1" s="1"/>
  <c r="V122" i="1"/>
  <c r="AB122" i="1"/>
  <c r="AC122" i="1"/>
  <c r="AD122" i="1"/>
  <c r="AE122" i="1"/>
  <c r="AF122" i="1"/>
  <c r="AH122" i="1"/>
  <c r="K123" i="1"/>
  <c r="L123" i="1"/>
  <c r="M123" i="1"/>
  <c r="N123" i="1" s="1"/>
  <c r="V123" i="1"/>
  <c r="AB123" i="1"/>
  <c r="AC123" i="1"/>
  <c r="AD123" i="1"/>
  <c r="X123" i="1" s="1"/>
  <c r="AE123" i="1"/>
  <c r="AF123" i="1"/>
  <c r="AH123" i="1"/>
  <c r="K124" i="1"/>
  <c r="L124" i="1"/>
  <c r="M124" i="1"/>
  <c r="N124" i="1" s="1"/>
  <c r="V124" i="1"/>
  <c r="AB124" i="1"/>
  <c r="AC124" i="1"/>
  <c r="AD124" i="1"/>
  <c r="X125" i="1" s="1"/>
  <c r="AE124" i="1"/>
  <c r="AF124" i="1"/>
  <c r="AH124" i="1"/>
  <c r="K125" i="1"/>
  <c r="L125" i="1"/>
  <c r="M125" i="1"/>
  <c r="N125" i="1" s="1"/>
  <c r="V125" i="1"/>
  <c r="AA125" i="1"/>
  <c r="AB125" i="1"/>
  <c r="AC125" i="1"/>
  <c r="AD125" i="1"/>
  <c r="AE125" i="1"/>
  <c r="AF125" i="1"/>
  <c r="AH125" i="1"/>
  <c r="K126" i="1"/>
  <c r="L126" i="1"/>
  <c r="M126" i="1"/>
  <c r="N126" i="1" s="1"/>
  <c r="V126" i="1"/>
  <c r="AB126" i="1"/>
  <c r="AC126" i="1"/>
  <c r="AD126" i="1"/>
  <c r="AE126" i="1"/>
  <c r="AF126" i="1"/>
  <c r="AH126" i="1"/>
  <c r="K127" i="1"/>
  <c r="L127" i="1"/>
  <c r="M127" i="1"/>
  <c r="N127" i="1" s="1"/>
  <c r="V127" i="1"/>
  <c r="AB127" i="1"/>
  <c r="AC127" i="1"/>
  <c r="AD127" i="1"/>
  <c r="AE127" i="1"/>
  <c r="AF127" i="1"/>
  <c r="AH127" i="1"/>
  <c r="K128" i="1"/>
  <c r="L128" i="1"/>
  <c r="M128" i="1"/>
  <c r="N128" i="1" s="1"/>
  <c r="V128" i="1"/>
  <c r="AB128" i="1"/>
  <c r="AC128" i="1"/>
  <c r="AD128" i="1"/>
  <c r="AE128" i="1"/>
  <c r="AF128" i="1"/>
  <c r="AH128" i="1"/>
  <c r="K129" i="1"/>
  <c r="L129" i="1"/>
  <c r="M129" i="1"/>
  <c r="N129" i="1" s="1"/>
  <c r="V129" i="1"/>
  <c r="AA129" i="1"/>
  <c r="AB129" i="1"/>
  <c r="AC129" i="1"/>
  <c r="AD129" i="1"/>
  <c r="AE129" i="1"/>
  <c r="AF129" i="1"/>
  <c r="AH129" i="1"/>
  <c r="K130" i="1"/>
  <c r="L130" i="1"/>
  <c r="M130" i="1"/>
  <c r="N130" i="1" s="1"/>
  <c r="V130" i="1"/>
  <c r="AB130" i="1"/>
  <c r="AC130" i="1"/>
  <c r="AD130" i="1"/>
  <c r="AE130" i="1"/>
  <c r="AF130" i="1"/>
  <c r="AH130" i="1"/>
  <c r="K131" i="1"/>
  <c r="L131" i="1"/>
  <c r="M131" i="1"/>
  <c r="N131" i="1" s="1"/>
  <c r="V131" i="1"/>
  <c r="S33" i="3" s="1"/>
  <c r="AA131" i="1"/>
  <c r="AB131" i="1"/>
  <c r="AC131" i="1"/>
  <c r="AD131" i="1"/>
  <c r="AE131" i="1"/>
  <c r="AF131" i="1"/>
  <c r="AH131" i="1"/>
  <c r="K132" i="1"/>
  <c r="L132" i="1"/>
  <c r="M132" i="1"/>
  <c r="N132" i="1" s="1"/>
  <c r="V132" i="1"/>
  <c r="AB132" i="1"/>
  <c r="AC132" i="1"/>
  <c r="AD132" i="1"/>
  <c r="AE132" i="1"/>
  <c r="AF132" i="1"/>
  <c r="AH132" i="1"/>
  <c r="K133" i="1"/>
  <c r="L133" i="1"/>
  <c r="M133" i="1"/>
  <c r="N133" i="1" s="1"/>
  <c r="V133" i="1"/>
  <c r="AB133" i="1"/>
  <c r="AC133" i="1"/>
  <c r="AD133" i="1"/>
  <c r="AE133" i="1"/>
  <c r="AF133" i="1"/>
  <c r="AH133" i="1"/>
  <c r="K134" i="1"/>
  <c r="L134" i="1"/>
  <c r="M134" i="1"/>
  <c r="N134" i="1" s="1"/>
  <c r="V134" i="1"/>
  <c r="AB134" i="1"/>
  <c r="AC134" i="1"/>
  <c r="AD134" i="1"/>
  <c r="AE134" i="1"/>
  <c r="AF134" i="1"/>
  <c r="AH134" i="1"/>
  <c r="K135" i="1"/>
  <c r="L135" i="1"/>
  <c r="M135" i="1"/>
  <c r="N135" i="1" s="1"/>
  <c r="V135" i="1"/>
  <c r="AA135" i="1"/>
  <c r="AB135" i="1"/>
  <c r="AC135" i="1"/>
  <c r="AD135" i="1"/>
  <c r="AE135" i="1"/>
  <c r="AF135" i="1"/>
  <c r="AH135" i="1"/>
  <c r="K136" i="1"/>
  <c r="L136" i="1"/>
  <c r="M136" i="1"/>
  <c r="N136" i="1" s="1"/>
  <c r="V136" i="1"/>
  <c r="AB136" i="1"/>
  <c r="AC136" i="1"/>
  <c r="AD136" i="1"/>
  <c r="AE136" i="1"/>
  <c r="AF136" i="1"/>
  <c r="AH136" i="1"/>
  <c r="K137" i="1"/>
  <c r="L137" i="1"/>
  <c r="M137" i="1"/>
  <c r="N137" i="1" s="1"/>
  <c r="V137" i="1"/>
  <c r="AA137" i="1"/>
  <c r="AB137" i="1"/>
  <c r="AC137" i="1"/>
  <c r="AD137" i="1"/>
  <c r="AE137" i="1"/>
  <c r="AF137" i="1"/>
  <c r="AH137" i="1"/>
  <c r="K138" i="1"/>
  <c r="L138" i="1"/>
  <c r="M138" i="1"/>
  <c r="N138" i="1" s="1"/>
  <c r="V138" i="1"/>
  <c r="AB138" i="1"/>
  <c r="AC138" i="1"/>
  <c r="AD138" i="1"/>
  <c r="AE138" i="1"/>
  <c r="AF138" i="1"/>
  <c r="AH138" i="1"/>
  <c r="K139" i="1"/>
  <c r="L139" i="1"/>
  <c r="M139" i="1"/>
  <c r="N139" i="1"/>
  <c r="V139" i="1"/>
  <c r="AB139" i="1"/>
  <c r="AC139" i="1"/>
  <c r="AD139" i="1"/>
  <c r="AE139" i="1"/>
  <c r="AF139" i="1"/>
  <c r="AH139" i="1"/>
  <c r="K140" i="1"/>
  <c r="L140" i="1"/>
  <c r="M140" i="1"/>
  <c r="N140" i="1" s="1"/>
  <c r="V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S11" i="3" s="1"/>
  <c r="AB142" i="1"/>
  <c r="AC142" i="1"/>
  <c r="AD142" i="1"/>
  <c r="AE142" i="1"/>
  <c r="R11" i="3" s="1"/>
  <c r="AF142" i="1"/>
  <c r="AH142" i="1"/>
  <c r="K143" i="1"/>
  <c r="L143" i="1"/>
  <c r="M143" i="1"/>
  <c r="N143" i="1" s="1"/>
  <c r="V143" i="1"/>
  <c r="AA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S22" i="3" s="1"/>
  <c r="AB146" i="1"/>
  <c r="AC146" i="1"/>
  <c r="AD146" i="1"/>
  <c r="T146" i="1" s="1"/>
  <c r="AE146" i="1"/>
  <c r="R22" i="3" s="1"/>
  <c r="AF146" i="1"/>
  <c r="AH146" i="1"/>
  <c r="K147" i="1"/>
  <c r="L147" i="1"/>
  <c r="M147" i="1"/>
  <c r="N147" i="1" s="1"/>
  <c r="V147" i="1"/>
  <c r="AA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AB149" i="1"/>
  <c r="AC149" i="1"/>
  <c r="AD149" i="1"/>
  <c r="AE149" i="1"/>
  <c r="AF149" i="1"/>
  <c r="AH149" i="1"/>
  <c r="K150" i="1"/>
  <c r="L150" i="1"/>
  <c r="M150" i="1"/>
  <c r="N150" i="1" s="1"/>
  <c r="V150" i="1"/>
  <c r="AB150" i="1"/>
  <c r="AC150" i="1"/>
  <c r="AD150" i="1"/>
  <c r="AE150" i="1"/>
  <c r="AF150" i="1"/>
  <c r="AH150" i="1"/>
  <c r="K151" i="1"/>
  <c r="L151" i="1"/>
  <c r="M151" i="1"/>
  <c r="N151" i="1" s="1"/>
  <c r="V151" i="1"/>
  <c r="AA151" i="1"/>
  <c r="AB151" i="1"/>
  <c r="AC151" i="1"/>
  <c r="AD151" i="1"/>
  <c r="AE151" i="1"/>
  <c r="AF151" i="1"/>
  <c r="AH151" i="1"/>
  <c r="K152" i="1"/>
  <c r="L152" i="1"/>
  <c r="M152" i="1"/>
  <c r="N152" i="1" s="1"/>
  <c r="V152" i="1"/>
  <c r="AB152" i="1"/>
  <c r="AC152" i="1"/>
  <c r="AD152" i="1"/>
  <c r="AE152" i="1"/>
  <c r="AF152" i="1"/>
  <c r="AH152" i="1"/>
  <c r="K153" i="1"/>
  <c r="L153" i="1"/>
  <c r="M153" i="1"/>
  <c r="N153" i="1" s="1"/>
  <c r="V153" i="1"/>
  <c r="AB153" i="1"/>
  <c r="AC153" i="1"/>
  <c r="AD153" i="1"/>
  <c r="AE153" i="1"/>
  <c r="AF153" i="1"/>
  <c r="AH153" i="1"/>
  <c r="K154" i="1"/>
  <c r="L154" i="1"/>
  <c r="M154" i="1"/>
  <c r="N154" i="1" s="1"/>
  <c r="V154" i="1"/>
  <c r="AB154" i="1"/>
  <c r="AC154" i="1"/>
  <c r="AD154" i="1"/>
  <c r="AE154" i="1"/>
  <c r="AF154" i="1"/>
  <c r="AH154" i="1"/>
  <c r="K155" i="1"/>
  <c r="L155" i="1"/>
  <c r="M155" i="1"/>
  <c r="N155" i="1" s="1"/>
  <c r="V155" i="1"/>
  <c r="AB155" i="1"/>
  <c r="AC155" i="1"/>
  <c r="AD155" i="1"/>
  <c r="AE155" i="1"/>
  <c r="AF155" i="1"/>
  <c r="AH155" i="1"/>
  <c r="K156" i="1"/>
  <c r="L156" i="1"/>
  <c r="M156" i="1"/>
  <c r="N156" i="1" s="1"/>
  <c r="V156" i="1"/>
  <c r="AB156" i="1"/>
  <c r="AC156" i="1"/>
  <c r="AD156" i="1"/>
  <c r="AE156" i="1"/>
  <c r="AF156" i="1"/>
  <c r="AH156" i="1"/>
  <c r="K157" i="1"/>
  <c r="L157" i="1"/>
  <c r="M157" i="1"/>
  <c r="N157" i="1" s="1"/>
  <c r="V157" i="1"/>
  <c r="S18" i="3" s="1"/>
  <c r="AB157" i="1"/>
  <c r="AC157" i="1"/>
  <c r="AD157" i="1"/>
  <c r="AE157" i="1"/>
  <c r="R18" i="3" s="1"/>
  <c r="AF157" i="1"/>
  <c r="AH157" i="1"/>
  <c r="K205" i="1"/>
  <c r="L205" i="1"/>
  <c r="M205" i="1"/>
  <c r="N205" i="1" s="1"/>
  <c r="V205" i="1"/>
  <c r="AA205" i="1"/>
  <c r="AB205" i="1"/>
  <c r="AC205" i="1"/>
  <c r="AD205" i="1"/>
  <c r="AE205" i="1"/>
  <c r="AF205" i="1"/>
  <c r="AH158" i="1"/>
  <c r="K206" i="1"/>
  <c r="L206" i="1"/>
  <c r="M206" i="1"/>
  <c r="N206" i="1" s="1"/>
  <c r="V206" i="1"/>
  <c r="AB206" i="1"/>
  <c r="AC206" i="1"/>
  <c r="AD206" i="1"/>
  <c r="AE206" i="1"/>
  <c r="AF206" i="1"/>
  <c r="AH159" i="1"/>
  <c r="K207" i="1"/>
  <c r="L207" i="1"/>
  <c r="M207" i="1"/>
  <c r="N207" i="1" s="1"/>
  <c r="V207" i="1"/>
  <c r="AB207" i="1"/>
  <c r="AC207" i="1"/>
  <c r="AD207" i="1"/>
  <c r="AE207" i="1"/>
  <c r="AF207" i="1"/>
  <c r="AH160" i="1"/>
  <c r="K208" i="1"/>
  <c r="L208" i="1"/>
  <c r="M208" i="1"/>
  <c r="N208" i="1" s="1"/>
  <c r="V208" i="1"/>
  <c r="AB208" i="1"/>
  <c r="AC208" i="1"/>
  <c r="AD208" i="1"/>
  <c r="AE208" i="1"/>
  <c r="AF208" i="1"/>
  <c r="AH161" i="1"/>
  <c r="K209" i="1"/>
  <c r="L209" i="1"/>
  <c r="M209" i="1"/>
  <c r="N209" i="1" s="1"/>
  <c r="V209" i="1"/>
  <c r="AA209" i="1"/>
  <c r="AB209" i="1"/>
  <c r="AC209" i="1"/>
  <c r="AD209" i="1"/>
  <c r="AE209" i="1"/>
  <c r="AF209" i="1"/>
  <c r="AH162" i="1"/>
  <c r="K210" i="1"/>
  <c r="L210" i="1"/>
  <c r="M210" i="1"/>
  <c r="N210" i="1" s="1"/>
  <c r="V210" i="1"/>
  <c r="AB210" i="1"/>
  <c r="AC210" i="1"/>
  <c r="AD210" i="1"/>
  <c r="AE210" i="1"/>
  <c r="AF210" i="1"/>
  <c r="AH163" i="1"/>
  <c r="K211" i="1"/>
  <c r="L211" i="1"/>
  <c r="M211" i="1"/>
  <c r="N211" i="1" s="1"/>
  <c r="V211" i="1"/>
  <c r="AA211" i="1"/>
  <c r="AB211" i="1"/>
  <c r="AC211" i="1"/>
  <c r="AD211" i="1"/>
  <c r="AE211" i="1"/>
  <c r="AF211" i="1"/>
  <c r="AH164" i="1"/>
  <c r="K212" i="1"/>
  <c r="L212" i="1"/>
  <c r="M212" i="1"/>
  <c r="N212" i="1" s="1"/>
  <c r="V212" i="1"/>
  <c r="AB212" i="1"/>
  <c r="AC212" i="1"/>
  <c r="AD212" i="1"/>
  <c r="AE212" i="1"/>
  <c r="AF212" i="1"/>
  <c r="AH165" i="1"/>
  <c r="K213" i="1"/>
  <c r="L213" i="1"/>
  <c r="M213" i="1"/>
  <c r="N213" i="1" s="1"/>
  <c r="V213" i="1"/>
  <c r="AA213" i="1"/>
  <c r="AB213" i="1"/>
  <c r="AC213" i="1"/>
  <c r="AD213" i="1"/>
  <c r="AE213" i="1"/>
  <c r="AF213" i="1"/>
  <c r="AH166" i="1"/>
  <c r="K214" i="1"/>
  <c r="L214" i="1"/>
  <c r="M214" i="1"/>
  <c r="N214" i="1" s="1"/>
  <c r="V214" i="1"/>
  <c r="AB214" i="1"/>
  <c r="AC214" i="1"/>
  <c r="AD214" i="1"/>
  <c r="AE214" i="1"/>
  <c r="AF214" i="1"/>
  <c r="AH167" i="1"/>
  <c r="K215" i="1"/>
  <c r="L215" i="1"/>
  <c r="M215" i="1"/>
  <c r="N215" i="1" s="1"/>
  <c r="V215" i="1"/>
  <c r="AA215" i="1"/>
  <c r="AB215" i="1"/>
  <c r="AC215" i="1"/>
  <c r="AD215" i="1"/>
  <c r="AE215" i="1"/>
  <c r="AF215" i="1"/>
  <c r="AH168" i="1"/>
  <c r="K216" i="1"/>
  <c r="L216" i="1"/>
  <c r="M216" i="1"/>
  <c r="N216" i="1" s="1"/>
  <c r="V216" i="1"/>
  <c r="AB216" i="1"/>
  <c r="AC216" i="1"/>
  <c r="AD216" i="1"/>
  <c r="AE216" i="1"/>
  <c r="AF216" i="1"/>
  <c r="AH169" i="1"/>
  <c r="K223" i="1"/>
  <c r="L223" i="1"/>
  <c r="M223" i="1"/>
  <c r="N223" i="1" s="1"/>
  <c r="V223" i="1"/>
  <c r="AA223" i="1"/>
  <c r="AB223" i="1"/>
  <c r="AC223" i="1"/>
  <c r="AD223" i="1"/>
  <c r="AE223" i="1"/>
  <c r="AF223" i="1"/>
  <c r="AH170" i="1"/>
  <c r="K224" i="1"/>
  <c r="L224" i="1"/>
  <c r="M224" i="1"/>
  <c r="N224" i="1" s="1"/>
  <c r="V224" i="1"/>
  <c r="AB224" i="1"/>
  <c r="AC224" i="1"/>
  <c r="AD224" i="1"/>
  <c r="AE224" i="1"/>
  <c r="AF224" i="1"/>
  <c r="AH171" i="1"/>
  <c r="K225" i="1"/>
  <c r="L225" i="1"/>
  <c r="M225" i="1"/>
  <c r="N225" i="1" s="1"/>
  <c r="V225" i="1"/>
  <c r="AA225" i="1"/>
  <c r="AB225" i="1"/>
  <c r="AC225" i="1"/>
  <c r="AD225" i="1"/>
  <c r="AE225" i="1"/>
  <c r="R43" i="3" s="1"/>
  <c r="AF225" i="1"/>
  <c r="AH172" i="1"/>
  <c r="K226" i="1"/>
  <c r="L226" i="1"/>
  <c r="M226" i="1"/>
  <c r="N226" i="1" s="1"/>
  <c r="V226" i="1"/>
  <c r="AB226" i="1"/>
  <c r="AC226" i="1"/>
  <c r="AD226" i="1"/>
  <c r="AE226" i="1"/>
  <c r="AF226" i="1"/>
  <c r="AH173" i="1"/>
  <c r="K227" i="1"/>
  <c r="L227" i="1"/>
  <c r="M227" i="1"/>
  <c r="N227" i="1" s="1"/>
  <c r="V227" i="1"/>
  <c r="AA227" i="1"/>
  <c r="AB227" i="1"/>
  <c r="AC227" i="1"/>
  <c r="AD227" i="1"/>
  <c r="AE227" i="1"/>
  <c r="AF227" i="1"/>
  <c r="AH174" i="1"/>
  <c r="K228" i="1"/>
  <c r="L228" i="1"/>
  <c r="M228" i="1"/>
  <c r="N228" i="1" s="1"/>
  <c r="V228" i="1"/>
  <c r="AB228" i="1"/>
  <c r="AC228" i="1"/>
  <c r="AD228" i="1"/>
  <c r="AE228" i="1"/>
  <c r="AF228" i="1"/>
  <c r="AH175" i="1"/>
  <c r="K229" i="1"/>
  <c r="L229" i="1"/>
  <c r="M229" i="1"/>
  <c r="N229" i="1" s="1"/>
  <c r="V229" i="1"/>
  <c r="S45" i="3" s="1"/>
  <c r="AA229" i="1"/>
  <c r="AB229" i="1"/>
  <c r="AC229" i="1"/>
  <c r="AD229" i="1"/>
  <c r="AE229" i="1"/>
  <c r="R45" i="3" s="1"/>
  <c r="AF229" i="1"/>
  <c r="AH176" i="1"/>
  <c r="K230" i="1"/>
  <c r="L230" i="1"/>
  <c r="M230" i="1"/>
  <c r="N230" i="1" s="1"/>
  <c r="V230" i="1"/>
  <c r="AB230" i="1"/>
  <c r="AC230" i="1"/>
  <c r="AD230" i="1"/>
  <c r="AE230" i="1"/>
  <c r="AF230" i="1"/>
  <c r="AH177" i="1"/>
  <c r="K231" i="1"/>
  <c r="L231" i="1"/>
  <c r="M231" i="1"/>
  <c r="N231" i="1" s="1"/>
  <c r="V231" i="1"/>
  <c r="AA231" i="1"/>
  <c r="AB231" i="1"/>
  <c r="AC231" i="1"/>
  <c r="AD231" i="1"/>
  <c r="AE231" i="1"/>
  <c r="AF231" i="1"/>
  <c r="AH178" i="1"/>
  <c r="K158" i="1"/>
  <c r="L158" i="1"/>
  <c r="M158" i="1"/>
  <c r="N158" i="1" s="1"/>
  <c r="V158" i="1"/>
  <c r="S37" i="3" s="1"/>
  <c r="AB158" i="1"/>
  <c r="AC158" i="1"/>
  <c r="AD158" i="1"/>
  <c r="AE158" i="1"/>
  <c r="R37" i="3" s="1"/>
  <c r="AF158" i="1"/>
  <c r="AH179" i="1"/>
  <c r="K159" i="1"/>
  <c r="L159" i="1"/>
  <c r="M159" i="1"/>
  <c r="N159" i="1" s="1"/>
  <c r="V159" i="1"/>
  <c r="AA159" i="1"/>
  <c r="AB159" i="1"/>
  <c r="AC159" i="1"/>
  <c r="AD159" i="1"/>
  <c r="AE159" i="1"/>
  <c r="AF159" i="1"/>
  <c r="AH180" i="1"/>
  <c r="K160" i="1"/>
  <c r="L160" i="1"/>
  <c r="M160" i="1"/>
  <c r="N160" i="1" s="1"/>
  <c r="V160" i="1"/>
  <c r="AB160" i="1"/>
  <c r="AC160" i="1"/>
  <c r="AD160" i="1"/>
  <c r="AE160" i="1"/>
  <c r="AF160" i="1"/>
  <c r="AH181" i="1"/>
  <c r="K161" i="1"/>
  <c r="L161" i="1"/>
  <c r="M161" i="1"/>
  <c r="N161" i="1" s="1"/>
  <c r="V161" i="1"/>
  <c r="AA161" i="1"/>
  <c r="AB161" i="1"/>
  <c r="AC161" i="1"/>
  <c r="AD161" i="1"/>
  <c r="AE161" i="1"/>
  <c r="AF161" i="1"/>
  <c r="AH182" i="1"/>
  <c r="K162" i="1"/>
  <c r="L162" i="1"/>
  <c r="M162" i="1"/>
  <c r="N162" i="1" s="1"/>
  <c r="V162" i="1"/>
  <c r="AB162" i="1"/>
  <c r="AC162" i="1"/>
  <c r="AD162" i="1"/>
  <c r="AE162" i="1"/>
  <c r="AF162" i="1"/>
  <c r="AH183" i="1"/>
  <c r="K163" i="1"/>
  <c r="L163" i="1"/>
  <c r="M163" i="1"/>
  <c r="N163" i="1" s="1"/>
  <c r="V163" i="1"/>
  <c r="AA163" i="1"/>
  <c r="AB163" i="1"/>
  <c r="AC163" i="1"/>
  <c r="AD163" i="1"/>
  <c r="AE163" i="1"/>
  <c r="AF163" i="1"/>
  <c r="AH184" i="1"/>
  <c r="K164" i="1"/>
  <c r="L164" i="1"/>
  <c r="M164" i="1"/>
  <c r="N164" i="1" s="1"/>
  <c r="V164" i="1"/>
  <c r="AB164" i="1"/>
  <c r="AC164" i="1"/>
  <c r="AD164" i="1"/>
  <c r="T164" i="1" s="1"/>
  <c r="AE164" i="1"/>
  <c r="AF164" i="1"/>
  <c r="AH185" i="1"/>
  <c r="K165" i="1"/>
  <c r="L165" i="1"/>
  <c r="M165" i="1"/>
  <c r="N165" i="1" s="1"/>
  <c r="V165" i="1"/>
  <c r="AA165" i="1"/>
  <c r="AB165" i="1"/>
  <c r="AC165" i="1"/>
  <c r="AD165" i="1"/>
  <c r="T165" i="1" s="1"/>
  <c r="AE165" i="1"/>
  <c r="AF165" i="1"/>
  <c r="AH186" i="1"/>
  <c r="K166" i="1"/>
  <c r="L166" i="1"/>
  <c r="M166" i="1"/>
  <c r="N166" i="1" s="1"/>
  <c r="V166" i="1"/>
  <c r="AB166" i="1"/>
  <c r="AC166" i="1"/>
  <c r="AD166" i="1"/>
  <c r="T166" i="1" s="1"/>
  <c r="AE166" i="1"/>
  <c r="AF166" i="1"/>
  <c r="AH187" i="1"/>
  <c r="K167" i="1"/>
  <c r="L167" i="1"/>
  <c r="M167" i="1"/>
  <c r="N167" i="1" s="1"/>
  <c r="V167" i="1"/>
  <c r="AB167" i="1"/>
  <c r="AC167" i="1"/>
  <c r="AD167" i="1"/>
  <c r="T167" i="1" s="1"/>
  <c r="AE167" i="1"/>
  <c r="AF167" i="1"/>
  <c r="AH188" i="1"/>
  <c r="K168" i="1"/>
  <c r="L168" i="1"/>
  <c r="M168" i="1"/>
  <c r="N168" i="1" s="1"/>
  <c r="V168" i="1"/>
  <c r="S38" i="3" s="1"/>
  <c r="AB168" i="1"/>
  <c r="AC168" i="1"/>
  <c r="AD168" i="1"/>
  <c r="T168" i="1" s="1"/>
  <c r="AE168" i="1"/>
  <c r="R38" i="3" s="1"/>
  <c r="AF168" i="1"/>
  <c r="AH189" i="1"/>
  <c r="K169" i="1"/>
  <c r="L169" i="1"/>
  <c r="M169" i="1"/>
  <c r="N169" i="1" s="1"/>
  <c r="V169" i="1"/>
  <c r="AA169" i="1"/>
  <c r="AB169" i="1"/>
  <c r="AC169" i="1"/>
  <c r="AD169" i="1"/>
  <c r="T169" i="1" s="1"/>
  <c r="AE169" i="1"/>
  <c r="AF169" i="1"/>
  <c r="AH190" i="1"/>
  <c r="K170" i="1"/>
  <c r="L170" i="1"/>
  <c r="M170" i="1"/>
  <c r="N170" i="1" s="1"/>
  <c r="V170" i="1"/>
  <c r="AB170" i="1"/>
  <c r="AC170" i="1"/>
  <c r="AD170" i="1"/>
  <c r="AE170" i="1"/>
  <c r="AF170" i="1"/>
  <c r="AH191" i="1"/>
  <c r="K171" i="1"/>
  <c r="L171" i="1"/>
  <c r="M171" i="1"/>
  <c r="N171" i="1" s="1"/>
  <c r="V171" i="1"/>
  <c r="AB171" i="1"/>
  <c r="AC171" i="1"/>
  <c r="AD171" i="1"/>
  <c r="AE171" i="1"/>
  <c r="AF171" i="1"/>
  <c r="AH192" i="1"/>
  <c r="K172" i="1"/>
  <c r="L172" i="1"/>
  <c r="M172" i="1"/>
  <c r="N172" i="1" s="1"/>
  <c r="V172" i="1"/>
  <c r="AB172" i="1"/>
  <c r="AC172" i="1"/>
  <c r="AD172" i="1"/>
  <c r="AE172" i="1"/>
  <c r="AF172" i="1"/>
  <c r="AH193" i="1"/>
  <c r="K173" i="1"/>
  <c r="L173" i="1"/>
  <c r="M173" i="1"/>
  <c r="N173" i="1" s="1"/>
  <c r="V173" i="1"/>
  <c r="AA173" i="1"/>
  <c r="AB173" i="1"/>
  <c r="AC173" i="1"/>
  <c r="AD173" i="1"/>
  <c r="AE173" i="1"/>
  <c r="AF173" i="1"/>
  <c r="AH194" i="1"/>
  <c r="K174" i="1"/>
  <c r="L174" i="1"/>
  <c r="M174" i="1"/>
  <c r="N174" i="1" s="1"/>
  <c r="V174" i="1"/>
  <c r="AB174" i="1"/>
  <c r="AC174" i="1"/>
  <c r="AD174" i="1"/>
  <c r="AE174" i="1"/>
  <c r="AF174" i="1"/>
  <c r="AH195" i="1"/>
  <c r="K175" i="1"/>
  <c r="L175" i="1"/>
  <c r="M175" i="1"/>
  <c r="N175" i="1" s="1"/>
  <c r="V175" i="1"/>
  <c r="AB175" i="1"/>
  <c r="AC175" i="1"/>
  <c r="AD175" i="1"/>
  <c r="AE175" i="1"/>
  <c r="AF175" i="1"/>
  <c r="AH196" i="1"/>
  <c r="K176" i="1"/>
  <c r="L176" i="1"/>
  <c r="M176" i="1"/>
  <c r="N176" i="1" s="1"/>
  <c r="V176" i="1"/>
  <c r="AB176" i="1"/>
  <c r="AC176" i="1"/>
  <c r="AD176" i="1"/>
  <c r="AE176" i="1"/>
  <c r="AF176" i="1"/>
  <c r="AH197" i="1"/>
  <c r="K177" i="1"/>
  <c r="L177" i="1"/>
  <c r="M177" i="1"/>
  <c r="N177" i="1" s="1"/>
  <c r="V177" i="1"/>
  <c r="AA177" i="1"/>
  <c r="AB177" i="1"/>
  <c r="AC177" i="1"/>
  <c r="AD177" i="1"/>
  <c r="AE177" i="1"/>
  <c r="AF177" i="1"/>
  <c r="AH198" i="1"/>
  <c r="K178" i="1"/>
  <c r="L178" i="1"/>
  <c r="M178" i="1"/>
  <c r="N178" i="1" s="1"/>
  <c r="V178" i="1"/>
  <c r="AB178" i="1"/>
  <c r="AC178" i="1"/>
  <c r="AD178" i="1"/>
  <c r="AE178" i="1"/>
  <c r="AF178" i="1"/>
  <c r="AH199" i="1"/>
  <c r="K179" i="1"/>
  <c r="L179" i="1"/>
  <c r="M179" i="1"/>
  <c r="N179" i="1" s="1"/>
  <c r="V179" i="1"/>
  <c r="S39" i="3" s="1"/>
  <c r="AB179" i="1"/>
  <c r="AC179" i="1"/>
  <c r="AD179" i="1"/>
  <c r="AE179" i="1"/>
  <c r="R39" i="3" s="1"/>
  <c r="AF179" i="1"/>
  <c r="AH200" i="1"/>
  <c r="K180" i="1"/>
  <c r="L180" i="1"/>
  <c r="M180" i="1"/>
  <c r="N180" i="1" s="1"/>
  <c r="V180" i="1"/>
  <c r="AB180" i="1"/>
  <c r="AC180" i="1"/>
  <c r="AD180" i="1"/>
  <c r="AE180" i="1"/>
  <c r="AF180" i="1"/>
  <c r="AH201" i="1"/>
  <c r="K181" i="1"/>
  <c r="L181" i="1"/>
  <c r="M181" i="1"/>
  <c r="N181" i="1" s="1"/>
  <c r="V181" i="1"/>
  <c r="AA181" i="1"/>
  <c r="AB181" i="1"/>
  <c r="AC181" i="1"/>
  <c r="AD181" i="1"/>
  <c r="AE181" i="1"/>
  <c r="AF181" i="1"/>
  <c r="AH202" i="1"/>
  <c r="K182" i="1"/>
  <c r="L182" i="1"/>
  <c r="M182" i="1"/>
  <c r="N182" i="1" s="1"/>
  <c r="V182" i="1"/>
  <c r="AB182" i="1"/>
  <c r="AC182" i="1"/>
  <c r="AD182" i="1"/>
  <c r="AE182" i="1"/>
  <c r="AF182" i="1"/>
  <c r="AH203" i="1"/>
  <c r="K183" i="1"/>
  <c r="L183" i="1"/>
  <c r="M183" i="1"/>
  <c r="N183" i="1" s="1"/>
  <c r="V183" i="1"/>
  <c r="AB183" i="1"/>
  <c r="AC183" i="1"/>
  <c r="AD183" i="1"/>
  <c r="AE183" i="1"/>
  <c r="AF183" i="1"/>
  <c r="AH204" i="1"/>
  <c r="K184" i="1"/>
  <c r="L184" i="1"/>
  <c r="M184" i="1"/>
  <c r="N184" i="1" s="1"/>
  <c r="V184" i="1"/>
  <c r="AB184" i="1"/>
  <c r="AC184" i="1"/>
  <c r="AD184" i="1"/>
  <c r="AE184" i="1"/>
  <c r="AF184" i="1"/>
  <c r="AH205" i="1"/>
  <c r="K185" i="1"/>
  <c r="L185" i="1"/>
  <c r="M185" i="1"/>
  <c r="N185" i="1" s="1"/>
  <c r="V185" i="1"/>
  <c r="AA185" i="1"/>
  <c r="AB185" i="1"/>
  <c r="AC185" i="1"/>
  <c r="AD185" i="1"/>
  <c r="AE185" i="1"/>
  <c r="AF185" i="1"/>
  <c r="AH206" i="1"/>
  <c r="K186" i="1"/>
  <c r="L186" i="1"/>
  <c r="M186" i="1"/>
  <c r="N186" i="1" s="1"/>
  <c r="V186" i="1"/>
  <c r="AB186" i="1"/>
  <c r="AC186" i="1"/>
  <c r="AD186" i="1"/>
  <c r="AE186" i="1"/>
  <c r="AF186" i="1"/>
  <c r="AH207" i="1"/>
  <c r="K187" i="1"/>
  <c r="L187" i="1"/>
  <c r="M187" i="1"/>
  <c r="N187" i="1" s="1"/>
  <c r="V187" i="1"/>
  <c r="S40" i="3" s="1"/>
  <c r="AB187" i="1"/>
  <c r="AC187" i="1"/>
  <c r="AD187" i="1"/>
  <c r="AE187" i="1"/>
  <c r="R40" i="3" s="1"/>
  <c r="AF187" i="1"/>
  <c r="AH208" i="1"/>
  <c r="K188" i="1"/>
  <c r="L188" i="1"/>
  <c r="M188" i="1"/>
  <c r="N188" i="1" s="1"/>
  <c r="V188" i="1"/>
  <c r="AB188" i="1"/>
  <c r="AC188" i="1"/>
  <c r="AD188" i="1"/>
  <c r="AE188" i="1"/>
  <c r="AF188" i="1"/>
  <c r="AH209" i="1"/>
  <c r="K189" i="1"/>
  <c r="L189" i="1"/>
  <c r="M189" i="1"/>
  <c r="N189" i="1" s="1"/>
  <c r="V189" i="1"/>
  <c r="AA189" i="1"/>
  <c r="AB189" i="1"/>
  <c r="AC189" i="1"/>
  <c r="AD189" i="1"/>
  <c r="AE189" i="1"/>
  <c r="AF189" i="1"/>
  <c r="AH210" i="1"/>
  <c r="K190" i="1"/>
  <c r="L190" i="1"/>
  <c r="M190" i="1"/>
  <c r="N190" i="1" s="1"/>
  <c r="V190" i="1"/>
  <c r="S36" i="3" s="1"/>
  <c r="AB190" i="1"/>
  <c r="AC190" i="1"/>
  <c r="AD190" i="1"/>
  <c r="AE190" i="1"/>
  <c r="AF190" i="1"/>
  <c r="AH211" i="1"/>
  <c r="K191" i="1"/>
  <c r="L191" i="1"/>
  <c r="M191" i="1"/>
  <c r="N191" i="1" s="1"/>
  <c r="V191" i="1"/>
  <c r="AB191" i="1"/>
  <c r="AC191" i="1"/>
  <c r="AD191" i="1"/>
  <c r="AE191" i="1"/>
  <c r="AF191" i="1"/>
  <c r="AH212" i="1"/>
  <c r="K192" i="1"/>
  <c r="L192" i="1"/>
  <c r="M192" i="1"/>
  <c r="N192" i="1" s="1"/>
  <c r="V192" i="1"/>
  <c r="AB192" i="1"/>
  <c r="AC192" i="1"/>
  <c r="AD192" i="1"/>
  <c r="AE192" i="1"/>
  <c r="AF192" i="1"/>
  <c r="AH213" i="1"/>
  <c r="K193" i="1"/>
  <c r="L193" i="1"/>
  <c r="M193" i="1"/>
  <c r="N193" i="1" s="1"/>
  <c r="V193" i="1"/>
  <c r="AA193" i="1"/>
  <c r="AB193" i="1"/>
  <c r="AC193" i="1"/>
  <c r="AD193" i="1"/>
  <c r="AE193" i="1"/>
  <c r="AF193" i="1"/>
  <c r="AH214" i="1"/>
  <c r="K194" i="1"/>
  <c r="L194" i="1"/>
  <c r="M194" i="1"/>
  <c r="N194" i="1" s="1"/>
  <c r="V194" i="1"/>
  <c r="AB194" i="1"/>
  <c r="AC194" i="1"/>
  <c r="AD194" i="1"/>
  <c r="AE194" i="1"/>
  <c r="AF194" i="1"/>
  <c r="AH215" i="1"/>
  <c r="K195" i="1"/>
  <c r="L195" i="1"/>
  <c r="M195" i="1"/>
  <c r="N195" i="1" s="1"/>
  <c r="V195" i="1"/>
  <c r="AB195" i="1"/>
  <c r="AC195" i="1"/>
  <c r="AD195" i="1"/>
  <c r="AE195" i="1"/>
  <c r="AF195" i="1"/>
  <c r="AH216" i="1"/>
  <c r="K196" i="1"/>
  <c r="L196" i="1"/>
  <c r="M196" i="1"/>
  <c r="N196" i="1" s="1"/>
  <c r="V196" i="1"/>
  <c r="AB196" i="1"/>
  <c r="AC196" i="1"/>
  <c r="AD196" i="1"/>
  <c r="AE196" i="1"/>
  <c r="AF196" i="1"/>
  <c r="AH217" i="1"/>
  <c r="K197" i="1"/>
  <c r="L197" i="1"/>
  <c r="M197" i="1"/>
  <c r="N197" i="1" s="1"/>
  <c r="V197" i="1"/>
  <c r="AA197" i="1"/>
  <c r="AB197" i="1"/>
  <c r="AC197" i="1"/>
  <c r="AD197" i="1"/>
  <c r="AE197" i="1"/>
  <c r="AF197" i="1"/>
  <c r="AH218" i="1"/>
  <c r="K198" i="1"/>
  <c r="L198" i="1"/>
  <c r="M198" i="1"/>
  <c r="N198" i="1" s="1"/>
  <c r="V198" i="1"/>
  <c r="AB198" i="1"/>
  <c r="AC198" i="1"/>
  <c r="AD198" i="1"/>
  <c r="AE198" i="1"/>
  <c r="AF198" i="1"/>
  <c r="AH219" i="1"/>
  <c r="K199" i="1"/>
  <c r="L199" i="1"/>
  <c r="M199" i="1"/>
  <c r="N199" i="1" s="1"/>
  <c r="V199" i="1"/>
  <c r="AB199" i="1"/>
  <c r="AC199" i="1"/>
  <c r="AD199" i="1"/>
  <c r="AE199" i="1"/>
  <c r="AF199" i="1"/>
  <c r="AH220" i="1"/>
  <c r="K200" i="1"/>
  <c r="L200" i="1"/>
  <c r="M200" i="1"/>
  <c r="N200" i="1" s="1"/>
  <c r="V200" i="1"/>
  <c r="AB200" i="1"/>
  <c r="AC200" i="1"/>
  <c r="AD200" i="1"/>
  <c r="AE200" i="1"/>
  <c r="AF200" i="1"/>
  <c r="AH221" i="1"/>
  <c r="K201" i="1"/>
  <c r="L201" i="1"/>
  <c r="M201" i="1"/>
  <c r="N201" i="1" s="1"/>
  <c r="V201" i="1"/>
  <c r="AA201" i="1"/>
  <c r="AB201" i="1"/>
  <c r="AC201" i="1"/>
  <c r="AD201" i="1"/>
  <c r="AE201" i="1"/>
  <c r="AF201" i="1"/>
  <c r="AH222" i="1"/>
  <c r="K202" i="1"/>
  <c r="L202" i="1"/>
  <c r="M202" i="1"/>
  <c r="N202" i="1" s="1"/>
  <c r="V202" i="1"/>
  <c r="AB202" i="1"/>
  <c r="AC202" i="1"/>
  <c r="AD202" i="1"/>
  <c r="AE202" i="1"/>
  <c r="AF202" i="1"/>
  <c r="AH223" i="1"/>
  <c r="K203" i="1"/>
  <c r="L203" i="1"/>
  <c r="M203" i="1"/>
  <c r="N203" i="1" s="1"/>
  <c r="V203" i="1"/>
  <c r="S41" i="3" s="1"/>
  <c r="AB203" i="1"/>
  <c r="AC203" i="1"/>
  <c r="AD203" i="1"/>
  <c r="AE203" i="1"/>
  <c r="R41" i="3" s="1"/>
  <c r="AF203" i="1"/>
  <c r="AH224" i="1"/>
  <c r="K204" i="1"/>
  <c r="L204" i="1"/>
  <c r="M204" i="1"/>
  <c r="N204" i="1" s="1"/>
  <c r="V204" i="1"/>
  <c r="AB204" i="1"/>
  <c r="AC204" i="1"/>
  <c r="AD204" i="1"/>
  <c r="AE204" i="1"/>
  <c r="AF204" i="1"/>
  <c r="AH225" i="1"/>
  <c r="K217" i="1"/>
  <c r="L217" i="1"/>
  <c r="M217" i="1"/>
  <c r="N217" i="1" s="1"/>
  <c r="V217" i="1"/>
  <c r="S42" i="3" s="1"/>
  <c r="AA217" i="1"/>
  <c r="AB217" i="1"/>
  <c r="AC217" i="1"/>
  <c r="AD217" i="1"/>
  <c r="AE217" i="1"/>
  <c r="AF217" i="1"/>
  <c r="AH226" i="1"/>
  <c r="K218" i="1"/>
  <c r="L218" i="1"/>
  <c r="M218" i="1"/>
  <c r="N218" i="1" s="1"/>
  <c r="V218" i="1"/>
  <c r="AB218" i="1"/>
  <c r="AC218" i="1"/>
  <c r="AD218" i="1"/>
  <c r="AE218" i="1"/>
  <c r="AF218" i="1"/>
  <c r="AH227" i="1"/>
  <c r="K219" i="1"/>
  <c r="L219" i="1"/>
  <c r="M219" i="1"/>
  <c r="N219" i="1" s="1"/>
  <c r="V219" i="1"/>
  <c r="AB219" i="1"/>
  <c r="AC219" i="1"/>
  <c r="AD219" i="1"/>
  <c r="AG219" i="1" s="1"/>
  <c r="AE219" i="1"/>
  <c r="AF219" i="1"/>
  <c r="AH228" i="1"/>
  <c r="K220" i="1"/>
  <c r="L220" i="1"/>
  <c r="M220" i="1"/>
  <c r="N220" i="1" s="1"/>
  <c r="V220" i="1"/>
  <c r="AB220" i="1"/>
  <c r="AC220" i="1"/>
  <c r="AD220" i="1"/>
  <c r="T220" i="1" s="1"/>
  <c r="AE220" i="1"/>
  <c r="AF220" i="1"/>
  <c r="AH229" i="1"/>
  <c r="K221" i="1"/>
  <c r="L221" i="1"/>
  <c r="M221" i="1"/>
  <c r="N221" i="1" s="1"/>
  <c r="V221" i="1"/>
  <c r="AA221" i="1"/>
  <c r="AB221" i="1"/>
  <c r="AC221" i="1"/>
  <c r="AD221" i="1"/>
  <c r="T221" i="1" s="1"/>
  <c r="AE221" i="1"/>
  <c r="AF221" i="1"/>
  <c r="AH230" i="1"/>
  <c r="K222" i="1"/>
  <c r="L222" i="1"/>
  <c r="M222" i="1"/>
  <c r="N222" i="1" s="1"/>
  <c r="V222" i="1"/>
  <c r="AB222" i="1"/>
  <c r="AC222" i="1"/>
  <c r="AD222" i="1"/>
  <c r="T222" i="1" s="1"/>
  <c r="AE222" i="1"/>
  <c r="AF222" i="1"/>
  <c r="AH231" i="1"/>
  <c r="M42" i="3"/>
  <c r="N42" i="3"/>
  <c r="R42" i="3"/>
  <c r="U42" i="3"/>
  <c r="T42" i="3" s="1"/>
  <c r="V42" i="3"/>
  <c r="W42" i="3"/>
  <c r="X42" i="3"/>
  <c r="AC42" i="3"/>
  <c r="M37" i="3"/>
  <c r="N37" i="3"/>
  <c r="U37" i="3"/>
  <c r="T37" i="3" s="1"/>
  <c r="V37" i="3"/>
  <c r="W37" i="3"/>
  <c r="X37" i="3"/>
  <c r="AC37" i="3"/>
  <c r="M16" i="3"/>
  <c r="N16" i="3"/>
  <c r="R16" i="3"/>
  <c r="S16" i="3"/>
  <c r="U16" i="3"/>
  <c r="AC16" i="3" s="1"/>
  <c r="V16" i="3"/>
  <c r="W16" i="3"/>
  <c r="X16" i="3"/>
  <c r="M30" i="3"/>
  <c r="N30" i="3"/>
  <c r="R30" i="3"/>
  <c r="S30" i="3"/>
  <c r="U30" i="3"/>
  <c r="T30" i="3" s="1"/>
  <c r="V30" i="3"/>
  <c r="W30" i="3"/>
  <c r="X30" i="3"/>
  <c r="M20" i="3"/>
  <c r="N20" i="3"/>
  <c r="U20" i="3"/>
  <c r="T20" i="3" s="1"/>
  <c r="V20" i="3"/>
  <c r="W20" i="3"/>
  <c r="X20" i="3"/>
  <c r="AC20" i="3"/>
  <c r="M8" i="3"/>
  <c r="N8" i="3"/>
  <c r="U8" i="3"/>
  <c r="T8" i="3" s="1"/>
  <c r="V8" i="3"/>
  <c r="W8" i="3"/>
  <c r="X8" i="3"/>
  <c r="M38" i="3"/>
  <c r="N38" i="3"/>
  <c r="U38" i="3"/>
  <c r="AC38" i="3" s="1"/>
  <c r="V38" i="3"/>
  <c r="W38" i="3"/>
  <c r="X38" i="3"/>
  <c r="M19" i="3"/>
  <c r="N19" i="3"/>
  <c r="R19" i="3"/>
  <c r="S19" i="3"/>
  <c r="U19" i="3"/>
  <c r="T19" i="3" s="1"/>
  <c r="V19" i="3"/>
  <c r="W19" i="3"/>
  <c r="X19" i="3"/>
  <c r="M14" i="3"/>
  <c r="N14" i="3"/>
  <c r="R14" i="3"/>
  <c r="S14" i="3"/>
  <c r="U14" i="3"/>
  <c r="T14" i="3" s="1"/>
  <c r="V14" i="3"/>
  <c r="W14" i="3"/>
  <c r="X14" i="3"/>
  <c r="AC14" i="3"/>
  <c r="M31" i="3"/>
  <c r="N31" i="3"/>
  <c r="R31" i="3"/>
  <c r="S31" i="3"/>
  <c r="U31" i="3"/>
  <c r="T31" i="3" s="1"/>
  <c r="V31" i="3"/>
  <c r="W31" i="3"/>
  <c r="X31" i="3"/>
  <c r="AC31" i="3"/>
  <c r="M15" i="3"/>
  <c r="N15" i="3"/>
  <c r="U15" i="3"/>
  <c r="AC15" i="3" s="1"/>
  <c r="V15" i="3"/>
  <c r="W15" i="3"/>
  <c r="X15" i="3"/>
  <c r="Y15" i="3"/>
  <c r="M35" i="3"/>
  <c r="N35" i="3"/>
  <c r="S35" i="3"/>
  <c r="U35" i="3"/>
  <c r="T35" i="3" s="1"/>
  <c r="V35" i="3"/>
  <c r="W35" i="3"/>
  <c r="X35" i="3"/>
  <c r="M43" i="3"/>
  <c r="N43" i="3"/>
  <c r="S43" i="3"/>
  <c r="U43" i="3"/>
  <c r="T43" i="3" s="1"/>
  <c r="V43" i="3"/>
  <c r="W43" i="3"/>
  <c r="X43" i="3"/>
  <c r="AC43" i="3"/>
  <c r="M44" i="3"/>
  <c r="N44" i="3"/>
  <c r="S44" i="3"/>
  <c r="U44" i="3"/>
  <c r="T44" i="3" s="1"/>
  <c r="V44" i="3"/>
  <c r="W44" i="3"/>
  <c r="X44" i="3"/>
  <c r="AC44" i="3"/>
  <c r="M32" i="3"/>
  <c r="N32" i="3"/>
  <c r="R32" i="3"/>
  <c r="U32" i="3"/>
  <c r="AC32" i="3" s="1"/>
  <c r="V32" i="3"/>
  <c r="W32" i="3"/>
  <c r="X32" i="3"/>
  <c r="M9" i="3"/>
  <c r="N9" i="3"/>
  <c r="R9" i="3"/>
  <c r="U9" i="3"/>
  <c r="T9" i="3" s="1"/>
  <c r="V9" i="3"/>
  <c r="W9" i="3"/>
  <c r="X9" i="3"/>
  <c r="M13" i="3"/>
  <c r="N13" i="3"/>
  <c r="R13" i="3"/>
  <c r="U13" i="3"/>
  <c r="T13" i="3" s="1"/>
  <c r="V13" i="3"/>
  <c r="W13" i="3"/>
  <c r="X13" i="3"/>
  <c r="AC13" i="3"/>
  <c r="M39" i="3"/>
  <c r="N39" i="3"/>
  <c r="U39" i="3"/>
  <c r="T39" i="3" s="1"/>
  <c r="V39" i="3"/>
  <c r="W39" i="3"/>
  <c r="X39" i="3"/>
  <c r="M7" i="3"/>
  <c r="N7" i="3"/>
  <c r="U7" i="3"/>
  <c r="AC7" i="3" s="1"/>
  <c r="V7" i="3"/>
  <c r="W7" i="3"/>
  <c r="X7" i="3"/>
  <c r="M21" i="3"/>
  <c r="N21" i="3"/>
  <c r="U21" i="3"/>
  <c r="T21" i="3" s="1"/>
  <c r="V21" i="3"/>
  <c r="W21" i="3"/>
  <c r="X21" i="3"/>
  <c r="M23" i="3"/>
  <c r="N23" i="3"/>
  <c r="R23" i="3"/>
  <c r="U23" i="3"/>
  <c r="T23" i="3" s="1"/>
  <c r="V23" i="3"/>
  <c r="W23" i="3"/>
  <c r="X23" i="3"/>
  <c r="AC23" i="3"/>
  <c r="M29" i="3"/>
  <c r="N29" i="3"/>
  <c r="U29" i="3"/>
  <c r="T29" i="3" s="1"/>
  <c r="V29" i="3"/>
  <c r="W29" i="3"/>
  <c r="X29" i="3"/>
  <c r="AC29" i="3"/>
  <c r="M25" i="3"/>
  <c r="N25" i="3"/>
  <c r="U25" i="3"/>
  <c r="AC25" i="3" s="1"/>
  <c r="V25" i="3"/>
  <c r="W25" i="3"/>
  <c r="X25" i="3"/>
  <c r="M26" i="3"/>
  <c r="N26" i="3"/>
  <c r="U26" i="3"/>
  <c r="V26" i="3"/>
  <c r="W26" i="3"/>
  <c r="X26" i="3"/>
  <c r="AC26" i="3"/>
  <c r="M27" i="3"/>
  <c r="N27" i="3"/>
  <c r="U27" i="3"/>
  <c r="T27" i="3" s="1"/>
  <c r="V27" i="3"/>
  <c r="W27" i="3"/>
  <c r="X27" i="3"/>
  <c r="AC27" i="3"/>
  <c r="M28" i="3"/>
  <c r="N28" i="3"/>
  <c r="R28" i="3"/>
  <c r="U28" i="3"/>
  <c r="T28" i="3" s="1"/>
  <c r="V28" i="3"/>
  <c r="W28" i="3"/>
  <c r="X28" i="3"/>
  <c r="AC28" i="3"/>
  <c r="M17" i="3"/>
  <c r="N17" i="3"/>
  <c r="S17" i="3"/>
  <c r="U17" i="3"/>
  <c r="AC17" i="3" s="1"/>
  <c r="V17" i="3"/>
  <c r="W17" i="3"/>
  <c r="X17" i="3"/>
  <c r="M40" i="3"/>
  <c r="N40" i="3"/>
  <c r="U40" i="3"/>
  <c r="T40" i="3" s="1"/>
  <c r="V40" i="3"/>
  <c r="W40" i="3"/>
  <c r="X40" i="3"/>
  <c r="AC40" i="3"/>
  <c r="M24" i="3"/>
  <c r="N24" i="3"/>
  <c r="R24" i="3"/>
  <c r="U24" i="3"/>
  <c r="T24" i="3" s="1"/>
  <c r="V24" i="3"/>
  <c r="W24" i="3"/>
  <c r="X24" i="3"/>
  <c r="AC24" i="3"/>
  <c r="M36" i="3"/>
  <c r="N36" i="3"/>
  <c r="R36" i="3"/>
  <c r="U36" i="3"/>
  <c r="T36" i="3" s="1"/>
  <c r="V36" i="3"/>
  <c r="W36" i="3"/>
  <c r="X36" i="3"/>
  <c r="AC36" i="3"/>
  <c r="M45" i="3"/>
  <c r="N45" i="3"/>
  <c r="U45" i="3"/>
  <c r="AC45" i="3" s="1"/>
  <c r="V45" i="3"/>
  <c r="W45" i="3"/>
  <c r="Y45" i="3" s="1"/>
  <c r="X45" i="3"/>
  <c r="M12" i="3"/>
  <c r="N12" i="3"/>
  <c r="R12" i="3"/>
  <c r="S12" i="3"/>
  <c r="U12" i="3"/>
  <c r="T12" i="3" s="1"/>
  <c r="V12" i="3"/>
  <c r="W12" i="3"/>
  <c r="X12" i="3"/>
  <c r="AC12" i="3"/>
  <c r="M33" i="3"/>
  <c r="N33" i="3"/>
  <c r="R33" i="3"/>
  <c r="U33" i="3"/>
  <c r="T33" i="3" s="1"/>
  <c r="V33" i="3"/>
  <c r="W33" i="3"/>
  <c r="X33" i="3"/>
  <c r="AC33" i="3"/>
  <c r="M34" i="3"/>
  <c r="N34" i="3"/>
  <c r="R34" i="3"/>
  <c r="S34" i="3"/>
  <c r="U34" i="3"/>
  <c r="T34" i="3" s="1"/>
  <c r="V34" i="3"/>
  <c r="W34" i="3"/>
  <c r="X34" i="3"/>
  <c r="AC34" i="3"/>
  <c r="M11" i="3"/>
  <c r="N11" i="3"/>
  <c r="U11" i="3"/>
  <c r="AC11" i="3" s="1"/>
  <c r="V11" i="3"/>
  <c r="W11" i="3"/>
  <c r="X11" i="3"/>
  <c r="M41" i="3"/>
  <c r="N41" i="3"/>
  <c r="U41" i="3"/>
  <c r="T41" i="3" s="1"/>
  <c r="V41" i="3"/>
  <c r="W41" i="3"/>
  <c r="X41" i="3"/>
  <c r="M22" i="3"/>
  <c r="N22" i="3"/>
  <c r="U22" i="3"/>
  <c r="T22" i="3" s="1"/>
  <c r="V22" i="3"/>
  <c r="W22" i="3"/>
  <c r="X22" i="3"/>
  <c r="M18" i="3"/>
  <c r="N18" i="3"/>
  <c r="U18" i="3"/>
  <c r="T18" i="3" s="1"/>
  <c r="V18" i="3"/>
  <c r="W18" i="3"/>
  <c r="X18" i="3"/>
  <c r="AC18" i="3"/>
  <c r="AA230" i="1" l="1"/>
  <c r="AA228" i="1"/>
  <c r="AA226" i="1"/>
  <c r="AA224" i="1"/>
  <c r="AA222" i="1"/>
  <c r="AA220" i="1"/>
  <c r="AA218" i="1"/>
  <c r="AA216" i="1"/>
  <c r="AA214" i="1"/>
  <c r="AA212" i="1"/>
  <c r="AA210" i="1"/>
  <c r="AA208" i="1"/>
  <c r="AA206" i="1"/>
  <c r="AA204" i="1"/>
  <c r="AA202" i="1"/>
  <c r="AA200" i="1"/>
  <c r="AA198" i="1"/>
  <c r="AA194" i="1"/>
  <c r="AA192" i="1"/>
  <c r="AA190" i="1"/>
  <c r="AA188" i="1"/>
  <c r="AA186" i="1"/>
  <c r="AA184" i="1"/>
  <c r="AA182" i="1"/>
  <c r="AA180" i="1"/>
  <c r="AA178" i="1"/>
  <c r="AA176" i="1"/>
  <c r="AA174" i="1"/>
  <c r="AA172" i="1"/>
  <c r="AA170" i="1"/>
  <c r="AA168" i="1"/>
  <c r="AA166" i="1"/>
  <c r="AA164" i="1"/>
  <c r="AA162" i="1"/>
  <c r="AA160" i="1"/>
  <c r="AA158" i="1"/>
  <c r="AA156" i="1"/>
  <c r="AA154" i="1"/>
  <c r="AA152" i="1"/>
  <c r="AA150" i="1"/>
  <c r="AA148" i="1"/>
  <c r="AA146" i="1"/>
  <c r="AA144" i="1"/>
  <c r="AA142" i="1"/>
  <c r="AA140" i="1"/>
  <c r="AA138" i="1"/>
  <c r="AA136" i="1"/>
  <c r="AA134" i="1"/>
  <c r="AA132" i="1"/>
  <c r="AA130" i="1"/>
  <c r="AA128" i="1"/>
  <c r="AA126" i="1"/>
  <c r="AA124" i="1"/>
  <c r="AA122" i="1"/>
  <c r="AA120" i="1"/>
  <c r="AA116" i="1"/>
  <c r="AA114" i="1"/>
  <c r="AA112" i="1"/>
  <c r="AA108" i="1"/>
  <c r="AA106" i="1"/>
  <c r="AA102" i="1"/>
  <c r="AA94" i="1"/>
  <c r="AA86" i="1"/>
  <c r="AA82" i="1"/>
  <c r="AA74" i="1"/>
  <c r="AA68" i="1"/>
  <c r="AA66" i="1"/>
  <c r="AA64" i="1"/>
  <c r="AA62" i="1"/>
  <c r="AA60" i="1"/>
  <c r="AA58" i="1"/>
  <c r="AA56" i="1"/>
  <c r="AA54" i="1"/>
  <c r="AA52" i="1"/>
  <c r="AA50" i="1"/>
  <c r="AA48" i="1"/>
  <c r="AA46" i="1"/>
  <c r="S25" i="3"/>
  <c r="X122" i="1"/>
  <c r="P97" i="1"/>
  <c r="R27" i="3"/>
  <c r="S26" i="3"/>
  <c r="X124" i="1"/>
  <c r="X46" i="1"/>
  <c r="X83" i="1"/>
  <c r="AA20" i="1"/>
  <c r="AA14" i="1"/>
  <c r="X15" i="1"/>
  <c r="Y22" i="3"/>
  <c r="AC22" i="3"/>
  <c r="Y30" i="3"/>
  <c r="Y42" i="3"/>
  <c r="AC8" i="3"/>
  <c r="Y19" i="3"/>
  <c r="Y38" i="3"/>
  <c r="AG14" i="1"/>
  <c r="AC39" i="3"/>
  <c r="R21" i="3"/>
  <c r="Y21" i="3"/>
  <c r="R44" i="3"/>
  <c r="AA44" i="1"/>
  <c r="AA42" i="1"/>
  <c r="AA40" i="1"/>
  <c r="AA38" i="1"/>
  <c r="AA36" i="1"/>
  <c r="AA34" i="1"/>
  <c r="AA32" i="1"/>
  <c r="AA28" i="1"/>
  <c r="AA26" i="1"/>
  <c r="AA24" i="1"/>
  <c r="AA22" i="1"/>
  <c r="AA18" i="1"/>
  <c r="AA16" i="1"/>
  <c r="X72" i="1"/>
  <c r="X68" i="1"/>
  <c r="X71" i="1"/>
  <c r="Y41" i="3"/>
  <c r="Y37" i="3"/>
  <c r="X70" i="1"/>
  <c r="Y7" i="3"/>
  <c r="X60" i="1"/>
  <c r="X47" i="1"/>
  <c r="AA121" i="1"/>
  <c r="AA119" i="1"/>
  <c r="AA117" i="1"/>
  <c r="AA115" i="1"/>
  <c r="AA113" i="1"/>
  <c r="AA111" i="1"/>
  <c r="AA109" i="1"/>
  <c r="AA107" i="1"/>
  <c r="AA105" i="1"/>
  <c r="AA103" i="1"/>
  <c r="AA101" i="1"/>
  <c r="AA95" i="1"/>
  <c r="AA91" i="1"/>
  <c r="AA89" i="1"/>
  <c r="AA87" i="1"/>
  <c r="AA85" i="1"/>
  <c r="AA83" i="1"/>
  <c r="AA81" i="1"/>
  <c r="W81" i="1" s="1"/>
  <c r="AA79" i="1"/>
  <c r="AA77" i="1"/>
  <c r="AA75" i="1"/>
  <c r="AA73" i="1"/>
  <c r="AA71" i="1"/>
  <c r="AA49" i="1"/>
  <c r="AA37" i="1"/>
  <c r="AA25" i="1"/>
  <c r="AA21" i="1"/>
  <c r="X69" i="1"/>
  <c r="R26" i="3"/>
  <c r="R25" i="3"/>
  <c r="S29" i="3"/>
  <c r="AA97" i="1"/>
  <c r="AA67" i="1"/>
  <c r="AA59" i="1"/>
  <c r="AA53" i="1"/>
  <c r="Y43" i="3"/>
  <c r="Y35" i="3"/>
  <c r="R35" i="3"/>
  <c r="X142" i="1"/>
  <c r="S21" i="3"/>
  <c r="X144" i="1"/>
  <c r="X57" i="1"/>
  <c r="AA110" i="1"/>
  <c r="AA100" i="1"/>
  <c r="AA96" i="1"/>
  <c r="AA90" i="1"/>
  <c r="AA84" i="1"/>
  <c r="AA78" i="1"/>
  <c r="AA70" i="1"/>
  <c r="AA43" i="1"/>
  <c r="AA41" i="1"/>
  <c r="AA39" i="1"/>
  <c r="AA35" i="1"/>
  <c r="AA33" i="1"/>
  <c r="AA31" i="1"/>
  <c r="AA29" i="1"/>
  <c r="AA27" i="1"/>
  <c r="AA23" i="1"/>
  <c r="AA19" i="1"/>
  <c r="AA17" i="1"/>
  <c r="AA15" i="1"/>
  <c r="AG165" i="1"/>
  <c r="U165" i="1" s="1"/>
  <c r="S165" i="1" s="1"/>
  <c r="AG84" i="1"/>
  <c r="AI84" i="1" s="1"/>
  <c r="X81" i="1"/>
  <c r="T57" i="1"/>
  <c r="X165" i="1"/>
  <c r="Y40" i="3"/>
  <c r="Y17" i="3"/>
  <c r="AG164" i="1"/>
  <c r="W164" i="1" s="1"/>
  <c r="AG144" i="1"/>
  <c r="U144" i="1" s="1"/>
  <c r="S144" i="1" s="1"/>
  <c r="AG143" i="1"/>
  <c r="AI143" i="1" s="1"/>
  <c r="X82" i="1"/>
  <c r="X58" i="1"/>
  <c r="Y25" i="3"/>
  <c r="Y39" i="3"/>
  <c r="Y28" i="3"/>
  <c r="Y16" i="3"/>
  <c r="W165" i="1"/>
  <c r="X59" i="1"/>
  <c r="AA219" i="1"/>
  <c r="W219" i="1" s="1"/>
  <c r="AA203" i="1"/>
  <c r="AA199" i="1"/>
  <c r="AA195" i="1"/>
  <c r="AA191" i="1"/>
  <c r="AA187" i="1"/>
  <c r="AA183" i="1"/>
  <c r="AA179" i="1"/>
  <c r="AA175" i="1"/>
  <c r="AA171" i="1"/>
  <c r="AA167" i="1"/>
  <c r="AA157" i="1"/>
  <c r="AA153" i="1"/>
  <c r="AA149" i="1"/>
  <c r="AA145" i="1"/>
  <c r="AA139" i="1"/>
  <c r="AA127" i="1"/>
  <c r="AA123" i="1"/>
  <c r="AA118" i="1"/>
  <c r="AA104" i="1"/>
  <c r="AA98" i="1"/>
  <c r="AA92" i="1"/>
  <c r="AA88" i="1"/>
  <c r="AA80" i="1"/>
  <c r="AA76" i="1"/>
  <c r="AA72" i="1"/>
  <c r="AA69" i="1"/>
  <c r="AA65" i="1"/>
  <c r="AA61" i="1"/>
  <c r="AA57" i="1"/>
  <c r="AA55" i="1"/>
  <c r="AA51" i="1"/>
  <c r="AA47" i="1"/>
  <c r="AI56" i="1"/>
  <c r="X164" i="1"/>
  <c r="X143" i="1"/>
  <c r="X141" i="1"/>
  <c r="AG77" i="1"/>
  <c r="U77" i="1" s="1"/>
  <c r="AG64" i="1"/>
  <c r="AG61" i="1"/>
  <c r="AI61" i="1" s="1"/>
  <c r="AG15" i="1"/>
  <c r="AI15" i="1" s="1"/>
  <c r="X62" i="1"/>
  <c r="AG62" i="1"/>
  <c r="AI62" i="1" s="1"/>
  <c r="X61" i="1"/>
  <c r="T142" i="1"/>
  <c r="U142" i="1" s="1"/>
  <c r="S142" i="1" s="1"/>
  <c r="U84" i="1"/>
  <c r="S84" i="1" s="1"/>
  <c r="X77" i="1"/>
  <c r="T60" i="1"/>
  <c r="T59" i="1"/>
  <c r="T58" i="1"/>
  <c r="AG142" i="1"/>
  <c r="AI142" i="1" s="1"/>
  <c r="AG86" i="1"/>
  <c r="W86" i="1" s="1"/>
  <c r="AG83" i="1"/>
  <c r="W83" i="1" s="1"/>
  <c r="T83" i="1"/>
  <c r="AG81" i="1"/>
  <c r="X79" i="1"/>
  <c r="X75" i="1"/>
  <c r="AG74" i="1"/>
  <c r="AI74" i="1" s="1"/>
  <c r="X73" i="1"/>
  <c r="AG72" i="1"/>
  <c r="AI72" i="1" s="1"/>
  <c r="AG70" i="1"/>
  <c r="AI70" i="1" s="1"/>
  <c r="AG69" i="1"/>
  <c r="AI69" i="1" s="1"/>
  <c r="AG67" i="1"/>
  <c r="AI67" i="1" s="1"/>
  <c r="X66" i="1"/>
  <c r="AG65" i="1"/>
  <c r="AI65" i="1" s="1"/>
  <c r="X64" i="1"/>
  <c r="AG63" i="1"/>
  <c r="AI63" i="1" s="1"/>
  <c r="X63" i="1"/>
  <c r="AG60" i="1"/>
  <c r="AI60" i="1" s="1"/>
  <c r="AG59" i="1"/>
  <c r="AG58" i="1"/>
  <c r="AI58" i="1" s="1"/>
  <c r="W56" i="1"/>
  <c r="AG141" i="1"/>
  <c r="AI141" i="1" s="1"/>
  <c r="AG140" i="1"/>
  <c r="W140" i="1" s="1"/>
  <c r="X140" i="1"/>
  <c r="X84" i="1"/>
  <c r="AG79" i="1"/>
  <c r="U79" i="1" s="1"/>
  <c r="S79" i="1" s="1"/>
  <c r="AG75" i="1"/>
  <c r="U75" i="1" s="1"/>
  <c r="S75" i="1" s="1"/>
  <c r="AG73" i="1"/>
  <c r="U73" i="1" s="1"/>
  <c r="S73" i="1" s="1"/>
  <c r="AG71" i="1"/>
  <c r="U71" i="1" s="1"/>
  <c r="AG68" i="1"/>
  <c r="U68" i="1" s="1"/>
  <c r="S68" i="1" s="1"/>
  <c r="AG66" i="1"/>
  <c r="U66" i="1" s="1"/>
  <c r="S66" i="1" s="1"/>
  <c r="AG57" i="1"/>
  <c r="AI57" i="1" s="1"/>
  <c r="T217" i="1"/>
  <c r="X217" i="1"/>
  <c r="AG217" i="1"/>
  <c r="T201" i="1"/>
  <c r="X201" i="1"/>
  <c r="AG201" i="1"/>
  <c r="T197" i="1"/>
  <c r="X197" i="1"/>
  <c r="AG197" i="1"/>
  <c r="T193" i="1"/>
  <c r="X193" i="1"/>
  <c r="AG193" i="1"/>
  <c r="T189" i="1"/>
  <c r="X189" i="1"/>
  <c r="AG189" i="1"/>
  <c r="T185" i="1"/>
  <c r="X185" i="1"/>
  <c r="AG185" i="1"/>
  <c r="AI185" i="1" s="1"/>
  <c r="T183" i="1"/>
  <c r="X183" i="1"/>
  <c r="AG183" i="1"/>
  <c r="T179" i="1"/>
  <c r="X179" i="1"/>
  <c r="AG179" i="1"/>
  <c r="W179" i="1" s="1"/>
  <c r="T175" i="1"/>
  <c r="X175" i="1"/>
  <c r="AG175" i="1"/>
  <c r="T171" i="1"/>
  <c r="X171" i="1"/>
  <c r="AG171" i="1"/>
  <c r="T204" i="1"/>
  <c r="X204" i="1"/>
  <c r="AG204" i="1"/>
  <c r="W204" i="1" s="1"/>
  <c r="T200" i="1"/>
  <c r="X200" i="1"/>
  <c r="AG200" i="1"/>
  <c r="T196" i="1"/>
  <c r="X196" i="1"/>
  <c r="AG196" i="1"/>
  <c r="T192" i="1"/>
  <c r="X192" i="1"/>
  <c r="AG192" i="1"/>
  <c r="W192" i="1" s="1"/>
  <c r="T188" i="1"/>
  <c r="X188" i="1"/>
  <c r="AG188" i="1"/>
  <c r="T184" i="1"/>
  <c r="X184" i="1"/>
  <c r="AG184" i="1"/>
  <c r="T180" i="1"/>
  <c r="X180" i="1"/>
  <c r="AG180" i="1"/>
  <c r="T176" i="1"/>
  <c r="X176" i="1"/>
  <c r="AG176" i="1"/>
  <c r="T172" i="1"/>
  <c r="X172" i="1"/>
  <c r="AG172" i="1"/>
  <c r="T219" i="1"/>
  <c r="U219" i="1" s="1"/>
  <c r="S219" i="1" s="1"/>
  <c r="X219" i="1"/>
  <c r="T203" i="1"/>
  <c r="X203" i="1"/>
  <c r="AG203" i="1"/>
  <c r="T199" i="1"/>
  <c r="X199" i="1"/>
  <c r="AG199" i="1"/>
  <c r="T195" i="1"/>
  <c r="X195" i="1"/>
  <c r="AG195" i="1"/>
  <c r="T191" i="1"/>
  <c r="X191" i="1"/>
  <c r="AG191" i="1"/>
  <c r="T187" i="1"/>
  <c r="X187" i="1"/>
  <c r="AG187" i="1"/>
  <c r="T181" i="1"/>
  <c r="X181" i="1"/>
  <c r="AG181" i="1"/>
  <c r="T177" i="1"/>
  <c r="X177" i="1"/>
  <c r="AG177" i="1"/>
  <c r="T173" i="1"/>
  <c r="X173" i="1"/>
  <c r="AG173" i="1"/>
  <c r="AG222" i="1"/>
  <c r="X222" i="1"/>
  <c r="AG221" i="1"/>
  <c r="X221" i="1"/>
  <c r="AG220" i="1"/>
  <c r="X220" i="1"/>
  <c r="T218" i="1"/>
  <c r="X218" i="1"/>
  <c r="AG218" i="1"/>
  <c r="T202" i="1"/>
  <c r="X202" i="1"/>
  <c r="AG202" i="1"/>
  <c r="W202" i="1" s="1"/>
  <c r="T198" i="1"/>
  <c r="X198" i="1"/>
  <c r="AG198" i="1"/>
  <c r="W198" i="1" s="1"/>
  <c r="T194" i="1"/>
  <c r="X194" i="1"/>
  <c r="AG194" i="1"/>
  <c r="W194" i="1" s="1"/>
  <c r="T190" i="1"/>
  <c r="X190" i="1"/>
  <c r="AG190" i="1"/>
  <c r="T186" i="1"/>
  <c r="X186" i="1"/>
  <c r="AG186" i="1"/>
  <c r="AI186" i="1" s="1"/>
  <c r="T182" i="1"/>
  <c r="X182" i="1"/>
  <c r="AG182" i="1"/>
  <c r="T178" i="1"/>
  <c r="X178" i="1"/>
  <c r="AG178" i="1"/>
  <c r="T174" i="1"/>
  <c r="X174" i="1"/>
  <c r="AG174" i="1"/>
  <c r="W174" i="1" s="1"/>
  <c r="W171" i="1"/>
  <c r="T170" i="1"/>
  <c r="X170" i="1"/>
  <c r="AG170" i="1"/>
  <c r="W170" i="1" s="1"/>
  <c r="T163" i="1"/>
  <c r="X163" i="1"/>
  <c r="AG163" i="1"/>
  <c r="T159" i="1"/>
  <c r="X159" i="1"/>
  <c r="AG159" i="1"/>
  <c r="T229" i="1"/>
  <c r="X229" i="1"/>
  <c r="AG229" i="1"/>
  <c r="T225" i="1"/>
  <c r="X225" i="1"/>
  <c r="AG225" i="1"/>
  <c r="T215" i="1"/>
  <c r="X215" i="1"/>
  <c r="AG215" i="1"/>
  <c r="T211" i="1"/>
  <c r="X211" i="1"/>
  <c r="AG211" i="1"/>
  <c r="T205" i="1"/>
  <c r="X205" i="1"/>
  <c r="AG205" i="1"/>
  <c r="T154" i="1"/>
  <c r="X154" i="1"/>
  <c r="AG154" i="1"/>
  <c r="W154" i="1" s="1"/>
  <c r="T150" i="1"/>
  <c r="X150" i="1"/>
  <c r="AG150" i="1"/>
  <c r="T162" i="1"/>
  <c r="X162" i="1"/>
  <c r="AG162" i="1"/>
  <c r="T158" i="1"/>
  <c r="X158" i="1"/>
  <c r="AG158" i="1"/>
  <c r="T228" i="1"/>
  <c r="X228" i="1"/>
  <c r="AG228" i="1"/>
  <c r="T224" i="1"/>
  <c r="X224" i="1"/>
  <c r="AG224" i="1"/>
  <c r="T214" i="1"/>
  <c r="X214" i="1"/>
  <c r="AG214" i="1"/>
  <c r="T210" i="1"/>
  <c r="X210" i="1"/>
  <c r="AG210" i="1"/>
  <c r="T206" i="1"/>
  <c r="X206" i="1"/>
  <c r="AG206" i="1"/>
  <c r="W206" i="1" s="1"/>
  <c r="T155" i="1"/>
  <c r="X155" i="1"/>
  <c r="AG155" i="1"/>
  <c r="T151" i="1"/>
  <c r="X151" i="1"/>
  <c r="AG151" i="1"/>
  <c r="W151" i="1" s="1"/>
  <c r="U164" i="1"/>
  <c r="S164" i="1" s="1"/>
  <c r="T161" i="1"/>
  <c r="X161" i="1"/>
  <c r="AG161" i="1"/>
  <c r="W161" i="1" s="1"/>
  <c r="T231" i="1"/>
  <c r="X231" i="1"/>
  <c r="AG231" i="1"/>
  <c r="W231" i="1" s="1"/>
  <c r="T227" i="1"/>
  <c r="X227" i="1"/>
  <c r="AG227" i="1"/>
  <c r="T223" i="1"/>
  <c r="X223" i="1"/>
  <c r="AG223" i="1"/>
  <c r="W223" i="1" s="1"/>
  <c r="T213" i="1"/>
  <c r="X213" i="1"/>
  <c r="AG213" i="1"/>
  <c r="T209" i="1"/>
  <c r="X209" i="1"/>
  <c r="AG209" i="1"/>
  <c r="T207" i="1"/>
  <c r="X207" i="1"/>
  <c r="AG207" i="1"/>
  <c r="T156" i="1"/>
  <c r="X156" i="1"/>
  <c r="AG156" i="1"/>
  <c r="W156" i="1" s="1"/>
  <c r="T152" i="1"/>
  <c r="X152" i="1"/>
  <c r="AG152" i="1"/>
  <c r="W152" i="1" s="1"/>
  <c r="AG169" i="1"/>
  <c r="X169" i="1"/>
  <c r="AG168" i="1"/>
  <c r="X168" i="1"/>
  <c r="AG167" i="1"/>
  <c r="X167" i="1"/>
  <c r="AG166" i="1"/>
  <c r="X166" i="1"/>
  <c r="T160" i="1"/>
  <c r="X160" i="1"/>
  <c r="AG160" i="1"/>
  <c r="T230" i="1"/>
  <c r="X230" i="1"/>
  <c r="AG230" i="1"/>
  <c r="T226" i="1"/>
  <c r="X226" i="1"/>
  <c r="AG226" i="1"/>
  <c r="T216" i="1"/>
  <c r="X216" i="1"/>
  <c r="AG216" i="1"/>
  <c r="T212" i="1"/>
  <c r="X212" i="1"/>
  <c r="AG212" i="1"/>
  <c r="T208" i="1"/>
  <c r="X208" i="1"/>
  <c r="AG208" i="1"/>
  <c r="W205" i="1"/>
  <c r="T157" i="1"/>
  <c r="X157" i="1"/>
  <c r="AG157" i="1"/>
  <c r="T153" i="1"/>
  <c r="X153" i="1"/>
  <c r="AG153" i="1"/>
  <c r="W150" i="1"/>
  <c r="T149" i="1"/>
  <c r="X149" i="1"/>
  <c r="AG149" i="1"/>
  <c r="T138" i="1"/>
  <c r="X138" i="1"/>
  <c r="AG138" i="1"/>
  <c r="T134" i="1"/>
  <c r="X134" i="1"/>
  <c r="AG134" i="1"/>
  <c r="T130" i="1"/>
  <c r="X130" i="1"/>
  <c r="AG130" i="1"/>
  <c r="T126" i="1"/>
  <c r="X126" i="1"/>
  <c r="AG126" i="1"/>
  <c r="T119" i="1"/>
  <c r="X119" i="1"/>
  <c r="AG119" i="1"/>
  <c r="T115" i="1"/>
  <c r="X115" i="1"/>
  <c r="AG115" i="1"/>
  <c r="T111" i="1"/>
  <c r="X111" i="1"/>
  <c r="AG111" i="1"/>
  <c r="W111" i="1" s="1"/>
  <c r="T107" i="1"/>
  <c r="X107" i="1"/>
  <c r="AG107" i="1"/>
  <c r="T103" i="1"/>
  <c r="X103" i="1"/>
  <c r="AG103" i="1"/>
  <c r="T99" i="1"/>
  <c r="X99" i="1"/>
  <c r="AG99" i="1"/>
  <c r="W99" i="1" s="1"/>
  <c r="T95" i="1"/>
  <c r="X95" i="1"/>
  <c r="AG95" i="1"/>
  <c r="W95" i="1" s="1"/>
  <c r="U141" i="1"/>
  <c r="S141" i="1" s="1"/>
  <c r="T137" i="1"/>
  <c r="X137" i="1"/>
  <c r="AG137" i="1"/>
  <c r="T133" i="1"/>
  <c r="X133" i="1"/>
  <c r="AG133" i="1"/>
  <c r="T129" i="1"/>
  <c r="X129" i="1"/>
  <c r="AG129" i="1"/>
  <c r="T125" i="1"/>
  <c r="AG125" i="1"/>
  <c r="T122" i="1"/>
  <c r="AG122" i="1"/>
  <c r="T118" i="1"/>
  <c r="X118" i="1"/>
  <c r="AG118" i="1"/>
  <c r="T114" i="1"/>
  <c r="X114" i="1"/>
  <c r="AG114" i="1"/>
  <c r="T110" i="1"/>
  <c r="X110" i="1"/>
  <c r="AG110" i="1"/>
  <c r="T108" i="1"/>
  <c r="X108" i="1"/>
  <c r="AG108" i="1"/>
  <c r="T104" i="1"/>
  <c r="X104" i="1"/>
  <c r="AG104" i="1"/>
  <c r="T100" i="1"/>
  <c r="X100" i="1"/>
  <c r="AG100" i="1"/>
  <c r="T96" i="1"/>
  <c r="X96" i="1"/>
  <c r="AG96" i="1"/>
  <c r="T92" i="1"/>
  <c r="X92" i="1"/>
  <c r="AG92" i="1"/>
  <c r="W92" i="1" s="1"/>
  <c r="AG148" i="1"/>
  <c r="W148" i="1" s="1"/>
  <c r="X148" i="1"/>
  <c r="AG147" i="1"/>
  <c r="X147" i="1"/>
  <c r="AG146" i="1"/>
  <c r="X146" i="1"/>
  <c r="AG145" i="1"/>
  <c r="X145" i="1"/>
  <c r="T136" i="1"/>
  <c r="X136" i="1"/>
  <c r="AG136" i="1"/>
  <c r="T132" i="1"/>
  <c r="X132" i="1"/>
  <c r="AG132" i="1"/>
  <c r="W132" i="1" s="1"/>
  <c r="T128" i="1"/>
  <c r="X128" i="1"/>
  <c r="AG128" i="1"/>
  <c r="T124" i="1"/>
  <c r="AG124" i="1"/>
  <c r="W124" i="1" s="1"/>
  <c r="T121" i="1"/>
  <c r="AG121" i="1"/>
  <c r="T117" i="1"/>
  <c r="X117" i="1"/>
  <c r="AG117" i="1"/>
  <c r="T113" i="1"/>
  <c r="X113" i="1"/>
  <c r="AG113" i="1"/>
  <c r="T109" i="1"/>
  <c r="X109" i="1"/>
  <c r="AG109" i="1"/>
  <c r="T105" i="1"/>
  <c r="X105" i="1"/>
  <c r="AG105" i="1"/>
  <c r="T101" i="1"/>
  <c r="X101" i="1"/>
  <c r="AG101" i="1"/>
  <c r="T97" i="1"/>
  <c r="X97" i="1"/>
  <c r="AG97" i="1"/>
  <c r="T93" i="1"/>
  <c r="X93" i="1"/>
  <c r="AG93" i="1"/>
  <c r="T91" i="1"/>
  <c r="X91" i="1"/>
  <c r="AG91" i="1"/>
  <c r="T139" i="1"/>
  <c r="X139" i="1"/>
  <c r="AG139" i="1"/>
  <c r="T135" i="1"/>
  <c r="X135" i="1"/>
  <c r="AG135" i="1"/>
  <c r="T131" i="1"/>
  <c r="X131" i="1"/>
  <c r="AG131" i="1"/>
  <c r="T127" i="1"/>
  <c r="X127" i="1"/>
  <c r="AG127" i="1"/>
  <c r="T123" i="1"/>
  <c r="AG123" i="1"/>
  <c r="T120" i="1"/>
  <c r="X120" i="1"/>
  <c r="AG120" i="1"/>
  <c r="T116" i="1"/>
  <c r="X116" i="1"/>
  <c r="AG116" i="1"/>
  <c r="T112" i="1"/>
  <c r="X112" i="1"/>
  <c r="AG112" i="1"/>
  <c r="W112" i="1" s="1"/>
  <c r="T106" i="1"/>
  <c r="X106" i="1"/>
  <c r="AG106" i="1"/>
  <c r="T102" i="1"/>
  <c r="X102" i="1"/>
  <c r="AG102" i="1"/>
  <c r="T98" i="1"/>
  <c r="X98" i="1"/>
  <c r="AG98" i="1"/>
  <c r="T94" i="1"/>
  <c r="X94" i="1"/>
  <c r="AG94" i="1"/>
  <c r="AG90" i="1"/>
  <c r="X90" i="1"/>
  <c r="AG89" i="1"/>
  <c r="X89" i="1"/>
  <c r="AG88" i="1"/>
  <c r="X88" i="1"/>
  <c r="AG87" i="1"/>
  <c r="X87" i="1"/>
  <c r="AG85" i="1"/>
  <c r="X85" i="1"/>
  <c r="AG82" i="1"/>
  <c r="W82" i="1" s="1"/>
  <c r="T81" i="1"/>
  <c r="U81" i="1" s="1"/>
  <c r="S81" i="1" s="1"/>
  <c r="X86" i="1"/>
  <c r="T82" i="1"/>
  <c r="AI81" i="1"/>
  <c r="AG80" i="1"/>
  <c r="X80" i="1"/>
  <c r="AI79" i="1"/>
  <c r="AG78" i="1"/>
  <c r="W78" i="1" s="1"/>
  <c r="X78" i="1"/>
  <c r="AG76" i="1"/>
  <c r="X76" i="1"/>
  <c r="X74" i="1"/>
  <c r="AI71" i="1"/>
  <c r="AI68" i="1"/>
  <c r="X67" i="1"/>
  <c r="X65" i="1"/>
  <c r="AI64" i="1"/>
  <c r="U60" i="1"/>
  <c r="S60" i="1" s="1"/>
  <c r="T44" i="1"/>
  <c r="X44" i="1"/>
  <c r="AG44" i="1"/>
  <c r="T17" i="1"/>
  <c r="X17" i="1"/>
  <c r="AG17" i="1"/>
  <c r="S77" i="1"/>
  <c r="U58" i="1"/>
  <c r="S58" i="1" s="1"/>
  <c r="AI59" i="1"/>
  <c r="T55" i="1"/>
  <c r="X55" i="1"/>
  <c r="AG55" i="1"/>
  <c r="W55" i="1" s="1"/>
  <c r="T51" i="1"/>
  <c r="X51" i="1"/>
  <c r="AG51" i="1"/>
  <c r="T47" i="1"/>
  <c r="AG47" i="1"/>
  <c r="T54" i="1"/>
  <c r="X54" i="1"/>
  <c r="AG54" i="1"/>
  <c r="T50" i="1"/>
  <c r="X50" i="1"/>
  <c r="AG50" i="1"/>
  <c r="W50" i="1" s="1"/>
  <c r="T46" i="1"/>
  <c r="AG46" i="1"/>
  <c r="W46" i="1" s="1"/>
  <c r="T37" i="1"/>
  <c r="X37" i="1"/>
  <c r="AG37" i="1"/>
  <c r="T29" i="1"/>
  <c r="X29" i="1"/>
  <c r="AG29" i="1"/>
  <c r="T21" i="1"/>
  <c r="X21" i="1"/>
  <c r="AG21" i="1"/>
  <c r="T53" i="1"/>
  <c r="X53" i="1"/>
  <c r="AG53" i="1"/>
  <c r="T49" i="1"/>
  <c r="X49" i="1"/>
  <c r="AG49" i="1"/>
  <c r="T45" i="1"/>
  <c r="AG45" i="1"/>
  <c r="T56" i="1"/>
  <c r="U56" i="1" s="1"/>
  <c r="S56" i="1" s="1"/>
  <c r="X56" i="1"/>
  <c r="T52" i="1"/>
  <c r="X52" i="1"/>
  <c r="AG52" i="1"/>
  <c r="T48" i="1"/>
  <c r="X48" i="1"/>
  <c r="AG48" i="1"/>
  <c r="T41" i="1"/>
  <c r="X41" i="1"/>
  <c r="AG41" i="1"/>
  <c r="T33" i="1"/>
  <c r="X33" i="1"/>
  <c r="AG33" i="1"/>
  <c r="W33" i="1" s="1"/>
  <c r="T25" i="1"/>
  <c r="X25" i="1"/>
  <c r="AG25" i="1"/>
  <c r="T40" i="1"/>
  <c r="X40" i="1"/>
  <c r="AG40" i="1"/>
  <c r="T36" i="1"/>
  <c r="X36" i="1"/>
  <c r="AG36" i="1"/>
  <c r="T32" i="1"/>
  <c r="X32" i="1"/>
  <c r="AG32" i="1"/>
  <c r="T28" i="1"/>
  <c r="X28" i="1"/>
  <c r="AG28" i="1"/>
  <c r="W28" i="1" s="1"/>
  <c r="T24" i="1"/>
  <c r="X24" i="1"/>
  <c r="AG24" i="1"/>
  <c r="T20" i="1"/>
  <c r="X20" i="1"/>
  <c r="AG20" i="1"/>
  <c r="T18" i="1"/>
  <c r="X18" i="1"/>
  <c r="AG18" i="1"/>
  <c r="T43" i="1"/>
  <c r="X43" i="1"/>
  <c r="T39" i="1"/>
  <c r="X39" i="1"/>
  <c r="AG39" i="1"/>
  <c r="T35" i="1"/>
  <c r="X35" i="1"/>
  <c r="AG35" i="1"/>
  <c r="W35" i="1" s="1"/>
  <c r="T31" i="1"/>
  <c r="X31" i="1"/>
  <c r="AG31" i="1"/>
  <c r="T27" i="1"/>
  <c r="X27" i="1"/>
  <c r="AG27" i="1"/>
  <c r="T23" i="1"/>
  <c r="X23" i="1"/>
  <c r="AG23" i="1"/>
  <c r="T19" i="1"/>
  <c r="X19" i="1"/>
  <c r="AG19" i="1"/>
  <c r="W19" i="1" s="1"/>
  <c r="AG43" i="1"/>
  <c r="T42" i="1"/>
  <c r="X42" i="1"/>
  <c r="AG42" i="1"/>
  <c r="T38" i="1"/>
  <c r="X38" i="1"/>
  <c r="AG38" i="1"/>
  <c r="T34" i="1"/>
  <c r="X34" i="1"/>
  <c r="AG34" i="1"/>
  <c r="T30" i="1"/>
  <c r="X30" i="1"/>
  <c r="AG30" i="1"/>
  <c r="W30" i="1" s="1"/>
  <c r="T26" i="1"/>
  <c r="X26" i="1"/>
  <c r="AG26" i="1"/>
  <c r="T22" i="1"/>
  <c r="X22" i="1"/>
  <c r="AG22" i="1"/>
  <c r="U15" i="1"/>
  <c r="S15" i="1" s="1"/>
  <c r="AG16" i="1"/>
  <c r="X16" i="1"/>
  <c r="Y11" i="3"/>
  <c r="Y12" i="3"/>
  <c r="Y24" i="3"/>
  <c r="Y23" i="3"/>
  <c r="Y9" i="3"/>
  <c r="Y32" i="3"/>
  <c r="Y20" i="3"/>
  <c r="AC41" i="3"/>
  <c r="Y34" i="3"/>
  <c r="Y31" i="3"/>
  <c r="AC9" i="3"/>
  <c r="AC19" i="3"/>
  <c r="Y26" i="3"/>
  <c r="Y29" i="3"/>
  <c r="Y13" i="3"/>
  <c r="Y44" i="3"/>
  <c r="Y14" i="3"/>
  <c r="Y8" i="3"/>
  <c r="Y18" i="3"/>
  <c r="Y33" i="3"/>
  <c r="Y36" i="3"/>
  <c r="Y27" i="3"/>
  <c r="AC21" i="3"/>
  <c r="AC35" i="3"/>
  <c r="AC30" i="3"/>
  <c r="T17" i="3"/>
  <c r="T7" i="3"/>
  <c r="T32" i="3"/>
  <c r="T15" i="3"/>
  <c r="T38" i="3"/>
  <c r="T16" i="3"/>
  <c r="T11" i="3"/>
  <c r="T26" i="3"/>
  <c r="T45" i="3"/>
  <c r="T25" i="3"/>
  <c r="S10" i="3"/>
  <c r="R10" i="3"/>
  <c r="M10" i="3"/>
  <c r="N10" i="3"/>
  <c r="U10" i="3"/>
  <c r="T10" i="3" s="1"/>
  <c r="V10" i="3"/>
  <c r="W10" i="3"/>
  <c r="X10" i="3"/>
  <c r="AC10" i="3"/>
  <c r="AI73" i="1" l="1"/>
  <c r="AI77" i="1"/>
  <c r="W126" i="1"/>
  <c r="W224" i="1"/>
  <c r="AI144" i="1"/>
  <c r="W23" i="1"/>
  <c r="W103" i="1"/>
  <c r="W216" i="1"/>
  <c r="W77" i="1"/>
  <c r="W59" i="1"/>
  <c r="W144" i="1"/>
  <c r="W88" i="1"/>
  <c r="W199" i="1"/>
  <c r="W183" i="1"/>
  <c r="W64" i="1"/>
  <c r="W84" i="1"/>
  <c r="AI140" i="1"/>
  <c r="U57" i="1"/>
  <c r="S57" i="1" s="1"/>
  <c r="W101" i="1"/>
  <c r="W117" i="1"/>
  <c r="U143" i="1"/>
  <c r="S143" i="1" s="1"/>
  <c r="U64" i="1"/>
  <c r="S64" i="1" s="1"/>
  <c r="U59" i="1"/>
  <c r="S59" i="1" s="1"/>
  <c r="W127" i="1"/>
  <c r="W107" i="1"/>
  <c r="S71" i="1"/>
  <c r="U140" i="1"/>
  <c r="S140" i="1" s="1"/>
  <c r="W115" i="1"/>
  <c r="AI14" i="1"/>
  <c r="U14" i="1"/>
  <c r="S14" i="1" s="1"/>
  <c r="W14" i="1"/>
  <c r="W51" i="1"/>
  <c r="W80" i="1"/>
  <c r="W87" i="1"/>
  <c r="W109" i="1"/>
  <c r="W16" i="1"/>
  <c r="W36" i="1"/>
  <c r="W53" i="1"/>
  <c r="W105" i="1"/>
  <c r="W61" i="1"/>
  <c r="U62" i="1"/>
  <c r="S62" i="1" s="1"/>
  <c r="W58" i="1"/>
  <c r="W76" i="1"/>
  <c r="AI83" i="1"/>
  <c r="W100" i="1"/>
  <c r="W15" i="1"/>
  <c r="W29" i="1"/>
  <c r="AI66" i="1"/>
  <c r="U61" i="1"/>
  <c r="S61" i="1" s="1"/>
  <c r="W17" i="1"/>
  <c r="W62" i="1"/>
  <c r="AI75" i="1"/>
  <c r="W191" i="1"/>
  <c r="W175" i="1"/>
  <c r="U72" i="1"/>
  <c r="S72" i="1" s="1"/>
  <c r="W143" i="1"/>
  <c r="U74" i="1"/>
  <c r="S74" i="1" s="1"/>
  <c r="U65" i="1"/>
  <c r="S65" i="1" s="1"/>
  <c r="U69" i="1"/>
  <c r="S69" i="1" s="1"/>
  <c r="W79" i="1"/>
  <c r="W60" i="1"/>
  <c r="W63" i="1"/>
  <c r="U83" i="1"/>
  <c r="S83" i="1" s="1"/>
  <c r="W66" i="1"/>
  <c r="W73" i="1"/>
  <c r="W65" i="1"/>
  <c r="W67" i="1"/>
  <c r="W228" i="1"/>
  <c r="AI228" i="1"/>
  <c r="W57" i="1"/>
  <c r="U67" i="1"/>
  <c r="S67" i="1" s="1"/>
  <c r="U70" i="1"/>
  <c r="S70" i="1" s="1"/>
  <c r="W141" i="1"/>
  <c r="W69" i="1"/>
  <c r="W70" i="1"/>
  <c r="U86" i="1"/>
  <c r="S86" i="1" s="1"/>
  <c r="AI86" i="1"/>
  <c r="U63" i="1"/>
  <c r="S63" i="1" s="1"/>
  <c r="W68" i="1"/>
  <c r="W71" i="1"/>
  <c r="W75" i="1"/>
  <c r="W142" i="1"/>
  <c r="W72" i="1"/>
  <c r="W74" i="1"/>
  <c r="AI26" i="1"/>
  <c r="U26" i="1"/>
  <c r="S26" i="1" s="1"/>
  <c r="AI42" i="1"/>
  <c r="U42" i="1"/>
  <c r="S42" i="1" s="1"/>
  <c r="U25" i="1"/>
  <c r="S25" i="1" s="1"/>
  <c r="AI25" i="1"/>
  <c r="W25" i="1"/>
  <c r="AI49" i="1"/>
  <c r="U49" i="1"/>
  <c r="S49" i="1" s="1"/>
  <c r="U21" i="1"/>
  <c r="S21" i="1" s="1"/>
  <c r="AI21" i="1"/>
  <c r="U37" i="1"/>
  <c r="S37" i="1" s="1"/>
  <c r="AI37" i="1"/>
  <c r="AI22" i="1"/>
  <c r="U22" i="1"/>
  <c r="S22" i="1" s="1"/>
  <c r="W22" i="1"/>
  <c r="AI38" i="1"/>
  <c r="U38" i="1"/>
  <c r="S38" i="1" s="1"/>
  <c r="AI19" i="1"/>
  <c r="U19" i="1"/>
  <c r="S19" i="1" s="1"/>
  <c r="AI35" i="1"/>
  <c r="U35" i="1"/>
  <c r="S35" i="1" s="1"/>
  <c r="U18" i="1"/>
  <c r="S18" i="1" s="1"/>
  <c r="AI18" i="1"/>
  <c r="AI32" i="1"/>
  <c r="U32" i="1"/>
  <c r="S32" i="1" s="1"/>
  <c r="W32" i="1"/>
  <c r="AI45" i="1"/>
  <c r="W45" i="1"/>
  <c r="U45" i="1"/>
  <c r="S45" i="1" s="1"/>
  <c r="W21" i="1"/>
  <c r="U55" i="1"/>
  <c r="S55" i="1" s="1"/>
  <c r="AI55" i="1"/>
  <c r="W42" i="1"/>
  <c r="W37" i="1"/>
  <c r="U17" i="1"/>
  <c r="S17" i="1" s="1"/>
  <c r="AI17" i="1"/>
  <c r="U87" i="1"/>
  <c r="S87" i="1" s="1"/>
  <c r="AI87" i="1"/>
  <c r="U89" i="1"/>
  <c r="S89" i="1" s="1"/>
  <c r="AI89" i="1"/>
  <c r="AI94" i="1"/>
  <c r="U94" i="1"/>
  <c r="S94" i="1" s="1"/>
  <c r="AI98" i="1"/>
  <c r="U98" i="1"/>
  <c r="AI102" i="1"/>
  <c r="U102" i="1"/>
  <c r="S102" i="1" s="1"/>
  <c r="AI106" i="1"/>
  <c r="U106" i="1"/>
  <c r="S106" i="1" s="1"/>
  <c r="AI123" i="1"/>
  <c r="U123" i="1"/>
  <c r="S123" i="1" s="1"/>
  <c r="AI139" i="1"/>
  <c r="U139" i="1"/>
  <c r="S139" i="1" s="1"/>
  <c r="AI91" i="1"/>
  <c r="U91" i="1"/>
  <c r="S91" i="1" s="1"/>
  <c r="AI121" i="1"/>
  <c r="U121" i="1"/>
  <c r="S121" i="1" s="1"/>
  <c r="AI136" i="1"/>
  <c r="U136" i="1"/>
  <c r="S136" i="1" s="1"/>
  <c r="U145" i="1"/>
  <c r="S145" i="1" s="1"/>
  <c r="AI145" i="1"/>
  <c r="U147" i="1"/>
  <c r="S147" i="1" s="1"/>
  <c r="AI147" i="1"/>
  <c r="W91" i="1"/>
  <c r="U96" i="1"/>
  <c r="S96" i="1" s="1"/>
  <c r="AI96" i="1"/>
  <c r="W110" i="1"/>
  <c r="AI110" i="1"/>
  <c r="U110" i="1"/>
  <c r="S110" i="1" s="1"/>
  <c r="W125" i="1"/>
  <c r="AI125" i="1"/>
  <c r="U125" i="1"/>
  <c r="S125" i="1" s="1"/>
  <c r="U138" i="1"/>
  <c r="S138" i="1" s="1"/>
  <c r="AI138" i="1"/>
  <c r="W139" i="1"/>
  <c r="W147" i="1"/>
  <c r="AI165" i="1"/>
  <c r="U212" i="1"/>
  <c r="S212" i="1" s="1"/>
  <c r="AI181" i="1"/>
  <c r="U160" i="1"/>
  <c r="S160" i="1" s="1"/>
  <c r="U166" i="1"/>
  <c r="S166" i="1" s="1"/>
  <c r="AI187" i="1"/>
  <c r="U168" i="1"/>
  <c r="S168" i="1" s="1"/>
  <c r="AI189" i="1"/>
  <c r="AI160" i="1"/>
  <c r="U207" i="1"/>
  <c r="S207" i="1" s="1"/>
  <c r="AI174" i="1"/>
  <c r="U227" i="1"/>
  <c r="S227" i="1" s="1"/>
  <c r="W207" i="1"/>
  <c r="AI167" i="1"/>
  <c r="U214" i="1"/>
  <c r="S214" i="1" s="1"/>
  <c r="AI183" i="1"/>
  <c r="U162" i="1"/>
  <c r="S162" i="1" s="1"/>
  <c r="W121" i="1"/>
  <c r="W136" i="1"/>
  <c r="U211" i="1"/>
  <c r="S211" i="1" s="1"/>
  <c r="AI164" i="1"/>
  <c r="U159" i="1"/>
  <c r="S159" i="1" s="1"/>
  <c r="AI180" i="1"/>
  <c r="W168" i="1"/>
  <c r="AI211" i="1"/>
  <c r="U190" i="1"/>
  <c r="S190" i="1" s="1"/>
  <c r="AI227" i="1"/>
  <c r="U218" i="1"/>
  <c r="S218" i="1" s="1"/>
  <c r="AI229" i="1"/>
  <c r="U220" i="1"/>
  <c r="S220" i="1" s="1"/>
  <c r="U222" i="1"/>
  <c r="S222" i="1" s="1"/>
  <c r="AI231" i="1"/>
  <c r="AI198" i="1"/>
  <c r="U177" i="1"/>
  <c r="S177" i="1" s="1"/>
  <c r="AI216" i="1"/>
  <c r="U195" i="1"/>
  <c r="S195" i="1" s="1"/>
  <c r="W214" i="1"/>
  <c r="W162" i="1"/>
  <c r="U172" i="1"/>
  <c r="S172" i="1" s="1"/>
  <c r="AI193" i="1"/>
  <c r="U176" i="1"/>
  <c r="S176" i="1" s="1"/>
  <c r="AI197" i="1"/>
  <c r="U180" i="1"/>
  <c r="S180" i="1" s="1"/>
  <c r="AI201" i="1"/>
  <c r="U184" i="1"/>
  <c r="S184" i="1" s="1"/>
  <c r="AI205" i="1"/>
  <c r="AI221" i="1"/>
  <c r="U200" i="1"/>
  <c r="S200" i="1" s="1"/>
  <c r="U175" i="1"/>
  <c r="S175" i="1" s="1"/>
  <c r="AI196" i="1"/>
  <c r="U189" i="1"/>
  <c r="S189" i="1" s="1"/>
  <c r="W189" i="1"/>
  <c r="AI210" i="1"/>
  <c r="U217" i="1"/>
  <c r="S217" i="1" s="1"/>
  <c r="W217" i="1"/>
  <c r="AI226" i="1"/>
  <c r="W172" i="1"/>
  <c r="W190" i="1"/>
  <c r="AI39" i="1"/>
  <c r="U39" i="1"/>
  <c r="S39" i="1" s="1"/>
  <c r="AI20" i="1"/>
  <c r="U20" i="1"/>
  <c r="S20" i="1" s="1"/>
  <c r="AI36" i="1"/>
  <c r="U36" i="1"/>
  <c r="S36" i="1" s="1"/>
  <c r="U41" i="1"/>
  <c r="S41" i="1" s="1"/>
  <c r="AI41" i="1"/>
  <c r="U16" i="1"/>
  <c r="S16" i="1" s="1"/>
  <c r="AI16" i="1"/>
  <c r="AI34" i="1"/>
  <c r="U34" i="1"/>
  <c r="S34" i="1" s="1"/>
  <c r="AI31" i="1"/>
  <c r="U31" i="1"/>
  <c r="S31" i="1" s="1"/>
  <c r="AI28" i="1"/>
  <c r="U28" i="1"/>
  <c r="S28" i="1" s="1"/>
  <c r="AI52" i="1"/>
  <c r="U52" i="1"/>
  <c r="S52" i="1" s="1"/>
  <c r="W52" i="1"/>
  <c r="W18" i="1"/>
  <c r="AI54" i="1"/>
  <c r="U54" i="1"/>
  <c r="S54" i="1" s="1"/>
  <c r="W34" i="1"/>
  <c r="U51" i="1"/>
  <c r="S51" i="1" s="1"/>
  <c r="AI51" i="1"/>
  <c r="W20" i="1"/>
  <c r="W54" i="1"/>
  <c r="W38" i="1"/>
  <c r="AI44" i="1"/>
  <c r="U44" i="1"/>
  <c r="S44" i="1" s="1"/>
  <c r="W44" i="1"/>
  <c r="U80" i="1"/>
  <c r="S80" i="1" s="1"/>
  <c r="AI80" i="1"/>
  <c r="U85" i="1"/>
  <c r="S85" i="1" s="1"/>
  <c r="AI85" i="1"/>
  <c r="AI120" i="1"/>
  <c r="U120" i="1"/>
  <c r="S120" i="1" s="1"/>
  <c r="AI135" i="1"/>
  <c r="U135" i="1"/>
  <c r="S135" i="1" s="1"/>
  <c r="AI117" i="1"/>
  <c r="U117" i="1"/>
  <c r="S117" i="1" s="1"/>
  <c r="AI132" i="1"/>
  <c r="U132" i="1"/>
  <c r="S132" i="1" s="1"/>
  <c r="U92" i="1"/>
  <c r="S92" i="1" s="1"/>
  <c r="AI92" i="1"/>
  <c r="U108" i="1"/>
  <c r="S108" i="1" s="1"/>
  <c r="AI108" i="1"/>
  <c r="W122" i="1"/>
  <c r="AI122" i="1"/>
  <c r="U122" i="1"/>
  <c r="S122" i="1" s="1"/>
  <c r="W137" i="1"/>
  <c r="AI137" i="1"/>
  <c r="U137" i="1"/>
  <c r="S137" i="1" s="1"/>
  <c r="W85" i="1"/>
  <c r="U119" i="1"/>
  <c r="S119" i="1" s="1"/>
  <c r="AI119" i="1"/>
  <c r="U134" i="1"/>
  <c r="S134" i="1" s="1"/>
  <c r="AI134" i="1"/>
  <c r="AI149" i="1"/>
  <c r="U149" i="1"/>
  <c r="S149" i="1" s="1"/>
  <c r="AI153" i="1"/>
  <c r="U153" i="1"/>
  <c r="S153" i="1" s="1"/>
  <c r="AI157" i="1"/>
  <c r="U157" i="1"/>
  <c r="S157" i="1" s="1"/>
  <c r="AI161" i="1"/>
  <c r="U208" i="1"/>
  <c r="S208" i="1" s="1"/>
  <c r="AI177" i="1"/>
  <c r="U230" i="1"/>
  <c r="S230" i="1" s="1"/>
  <c r="W123" i="1"/>
  <c r="AI156" i="1"/>
  <c r="U156" i="1"/>
  <c r="S156" i="1" s="1"/>
  <c r="AI170" i="1"/>
  <c r="U223" i="1"/>
  <c r="S223" i="1" s="1"/>
  <c r="W134" i="1"/>
  <c r="U151" i="1"/>
  <c r="S151" i="1" s="1"/>
  <c r="AI151" i="1"/>
  <c r="U155" i="1"/>
  <c r="S155" i="1" s="1"/>
  <c r="AI155" i="1"/>
  <c r="U206" i="1"/>
  <c r="S206" i="1" s="1"/>
  <c r="AI159" i="1"/>
  <c r="AI163" i="1"/>
  <c r="U210" i="1"/>
  <c r="S210" i="1" s="1"/>
  <c r="AI179" i="1"/>
  <c r="U158" i="1"/>
  <c r="S158" i="1" s="1"/>
  <c r="W138" i="1"/>
  <c r="U205" i="1"/>
  <c r="S205" i="1" s="1"/>
  <c r="AI158" i="1"/>
  <c r="U229" i="1"/>
  <c r="S229" i="1" s="1"/>
  <c r="W229" i="1"/>
  <c r="AI176" i="1"/>
  <c r="AI191" i="1"/>
  <c r="U170" i="1"/>
  <c r="S170" i="1" s="1"/>
  <c r="AI195" i="1"/>
  <c r="U174" i="1"/>
  <c r="S174" i="1" s="1"/>
  <c r="AI199" i="1"/>
  <c r="U178" i="1"/>
  <c r="S178" i="1" s="1"/>
  <c r="AI203" i="1"/>
  <c r="U182" i="1"/>
  <c r="S182" i="1" s="1"/>
  <c r="AI207" i="1"/>
  <c r="U186" i="1"/>
  <c r="S186" i="1" s="1"/>
  <c r="AI223" i="1"/>
  <c r="U202" i="1"/>
  <c r="S202" i="1" s="1"/>
  <c r="AI194" i="1"/>
  <c r="U173" i="1"/>
  <c r="S173" i="1" s="1"/>
  <c r="AI212" i="1"/>
  <c r="U191" i="1"/>
  <c r="S191" i="1" s="1"/>
  <c r="W153" i="1"/>
  <c r="W208" i="1"/>
  <c r="W230" i="1"/>
  <c r="AI217" i="1"/>
  <c r="U196" i="1"/>
  <c r="S196" i="1" s="1"/>
  <c r="W227" i="1"/>
  <c r="U171" i="1"/>
  <c r="S171" i="1" s="1"/>
  <c r="AI192" i="1"/>
  <c r="U185" i="1"/>
  <c r="S185" i="1" s="1"/>
  <c r="W185" i="1"/>
  <c r="AI206" i="1"/>
  <c r="U201" i="1"/>
  <c r="S201" i="1" s="1"/>
  <c r="AI222" i="1"/>
  <c r="W184" i="1"/>
  <c r="W178" i="1"/>
  <c r="W195" i="1"/>
  <c r="W176" i="1"/>
  <c r="W196" i="1"/>
  <c r="AI30" i="1"/>
  <c r="U30" i="1"/>
  <c r="S30" i="1" s="1"/>
  <c r="U43" i="1"/>
  <c r="S43" i="1" s="1"/>
  <c r="AI43" i="1"/>
  <c r="AI27" i="1"/>
  <c r="U27" i="1"/>
  <c r="S27" i="1" s="1"/>
  <c r="AI24" i="1"/>
  <c r="U24" i="1"/>
  <c r="S24" i="1" s="1"/>
  <c r="AI40" i="1"/>
  <c r="U40" i="1"/>
  <c r="S40" i="1" s="1"/>
  <c r="W31" i="1"/>
  <c r="W39" i="1"/>
  <c r="AI48" i="1"/>
  <c r="U48" i="1"/>
  <c r="S48" i="1" s="1"/>
  <c r="W48" i="1"/>
  <c r="W24" i="1"/>
  <c r="W40" i="1"/>
  <c r="AI53" i="1"/>
  <c r="U53" i="1"/>
  <c r="S53" i="1" s="1"/>
  <c r="W27" i="1"/>
  <c r="W43" i="1"/>
  <c r="AI50" i="1"/>
  <c r="U50" i="1"/>
  <c r="S50" i="1" s="1"/>
  <c r="U47" i="1"/>
  <c r="S47" i="1" s="1"/>
  <c r="AI47" i="1"/>
  <c r="W47" i="1"/>
  <c r="U78" i="1"/>
  <c r="S78" i="1" s="1"/>
  <c r="AI78" i="1"/>
  <c r="AI82" i="1"/>
  <c r="U82" i="1"/>
  <c r="S82" i="1" s="1"/>
  <c r="U88" i="1"/>
  <c r="S88" i="1" s="1"/>
  <c r="AI88" i="1"/>
  <c r="U90" i="1"/>
  <c r="S90" i="1" s="1"/>
  <c r="AI90" i="1"/>
  <c r="AI116" i="1"/>
  <c r="U116" i="1"/>
  <c r="S116" i="1" s="1"/>
  <c r="AI131" i="1"/>
  <c r="U131" i="1"/>
  <c r="S131" i="1" s="1"/>
  <c r="W94" i="1"/>
  <c r="W98" i="1"/>
  <c r="W102" i="1"/>
  <c r="W106" i="1"/>
  <c r="AI113" i="1"/>
  <c r="U113" i="1"/>
  <c r="S113" i="1" s="1"/>
  <c r="AI128" i="1"/>
  <c r="U128" i="1"/>
  <c r="S128" i="1" s="1"/>
  <c r="U146" i="1"/>
  <c r="S146" i="1" s="1"/>
  <c r="AI146" i="1"/>
  <c r="U148" i="1"/>
  <c r="S148" i="1" s="1"/>
  <c r="AI148" i="1"/>
  <c r="U104" i="1"/>
  <c r="S104" i="1" s="1"/>
  <c r="AI104" i="1"/>
  <c r="W118" i="1"/>
  <c r="AI118" i="1"/>
  <c r="U118" i="1"/>
  <c r="S118" i="1" s="1"/>
  <c r="W133" i="1"/>
  <c r="AI133" i="1"/>
  <c r="U133" i="1"/>
  <c r="S133" i="1" s="1"/>
  <c r="W89" i="1"/>
  <c r="W96" i="1"/>
  <c r="W104" i="1"/>
  <c r="W108" i="1"/>
  <c r="U115" i="1"/>
  <c r="S115" i="1" s="1"/>
  <c r="AI115" i="1"/>
  <c r="U130" i="1"/>
  <c r="S130" i="1" s="1"/>
  <c r="AI130" i="1"/>
  <c r="AI173" i="1"/>
  <c r="U226" i="1"/>
  <c r="S226" i="1" s="1"/>
  <c r="U167" i="1"/>
  <c r="S167" i="1" s="1"/>
  <c r="AI188" i="1"/>
  <c r="U169" i="1"/>
  <c r="S169" i="1" s="1"/>
  <c r="AI190" i="1"/>
  <c r="AI152" i="1"/>
  <c r="U152" i="1"/>
  <c r="S152" i="1" s="1"/>
  <c r="AI166" i="1"/>
  <c r="U213" i="1"/>
  <c r="S213" i="1" s="1"/>
  <c r="AI182" i="1"/>
  <c r="U161" i="1"/>
  <c r="S161" i="1" s="1"/>
  <c r="AI175" i="1"/>
  <c r="U228" i="1"/>
  <c r="S228" i="1" s="1"/>
  <c r="W113" i="1"/>
  <c r="W128" i="1"/>
  <c r="U154" i="1"/>
  <c r="S154" i="1" s="1"/>
  <c r="AI154" i="1"/>
  <c r="U225" i="1"/>
  <c r="S225" i="1" s="1"/>
  <c r="W225" i="1"/>
  <c r="AI172" i="1"/>
  <c r="AI219" i="1"/>
  <c r="U198" i="1"/>
  <c r="S198" i="1" s="1"/>
  <c r="U221" i="1"/>
  <c r="S221" i="1" s="1"/>
  <c r="AI230" i="1"/>
  <c r="AI208" i="1"/>
  <c r="U187" i="1"/>
  <c r="S187" i="1" s="1"/>
  <c r="AI224" i="1"/>
  <c r="U203" i="1"/>
  <c r="S203" i="1" s="1"/>
  <c r="W155" i="1"/>
  <c r="W210" i="1"/>
  <c r="W158" i="1"/>
  <c r="W167" i="1"/>
  <c r="AI213" i="1"/>
  <c r="U192" i="1"/>
  <c r="S192" i="1" s="1"/>
  <c r="W211" i="1"/>
  <c r="U183" i="1"/>
  <c r="S183" i="1" s="1"/>
  <c r="AI204" i="1"/>
  <c r="U197" i="1"/>
  <c r="S197" i="1" s="1"/>
  <c r="W197" i="1"/>
  <c r="AI218" i="1"/>
  <c r="W218" i="1"/>
  <c r="W182" i="1"/>
  <c r="W203" i="1"/>
  <c r="W180" i="1"/>
  <c r="W201" i="1"/>
  <c r="AI23" i="1"/>
  <c r="U23" i="1"/>
  <c r="S23" i="1" s="1"/>
  <c r="U33" i="1"/>
  <c r="S33" i="1" s="1"/>
  <c r="AI33" i="1"/>
  <c r="W41" i="1"/>
  <c r="U29" i="1"/>
  <c r="S29" i="1" s="1"/>
  <c r="AI29" i="1"/>
  <c r="AI46" i="1"/>
  <c r="U46" i="1"/>
  <c r="S46" i="1" s="1"/>
  <c r="W26" i="1"/>
  <c r="W49" i="1"/>
  <c r="U76" i="1"/>
  <c r="S76" i="1" s="1"/>
  <c r="AI76" i="1"/>
  <c r="AI112" i="1"/>
  <c r="U112" i="1"/>
  <c r="S112" i="1" s="1"/>
  <c r="AI127" i="1"/>
  <c r="U127" i="1"/>
  <c r="S127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AI124" i="1"/>
  <c r="U124" i="1"/>
  <c r="S124" i="1" s="1"/>
  <c r="W90" i="1"/>
  <c r="U100" i="1"/>
  <c r="S100" i="1" s="1"/>
  <c r="AI100" i="1"/>
  <c r="W114" i="1"/>
  <c r="AI114" i="1"/>
  <c r="U114" i="1"/>
  <c r="S114" i="1" s="1"/>
  <c r="W129" i="1"/>
  <c r="AI129" i="1"/>
  <c r="U129" i="1"/>
  <c r="S129" i="1" s="1"/>
  <c r="U95" i="1"/>
  <c r="S95" i="1" s="1"/>
  <c r="AI95" i="1"/>
  <c r="U99" i="1"/>
  <c r="S99" i="1" s="1"/>
  <c r="AI99" i="1"/>
  <c r="U103" i="1"/>
  <c r="S103" i="1" s="1"/>
  <c r="AI103" i="1"/>
  <c r="U107" i="1"/>
  <c r="S107" i="1" s="1"/>
  <c r="AI107" i="1"/>
  <c r="U111" i="1"/>
  <c r="S111" i="1" s="1"/>
  <c r="AI111" i="1"/>
  <c r="U126" i="1"/>
  <c r="S126" i="1" s="1"/>
  <c r="AI126" i="1"/>
  <c r="W130" i="1"/>
  <c r="W145" i="1"/>
  <c r="AI169" i="1"/>
  <c r="U216" i="1"/>
  <c r="S216" i="1" s="1"/>
  <c r="W97" i="1"/>
  <c r="W116" i="1"/>
  <c r="W131" i="1"/>
  <c r="W209" i="1"/>
  <c r="AI162" i="1"/>
  <c r="U209" i="1"/>
  <c r="S209" i="1" s="1"/>
  <c r="AI178" i="1"/>
  <c r="U231" i="1"/>
  <c r="S231" i="1" s="1"/>
  <c r="W119" i="1"/>
  <c r="W146" i="1"/>
  <c r="AI171" i="1"/>
  <c r="U224" i="1"/>
  <c r="S224" i="1" s="1"/>
  <c r="W93" i="1"/>
  <c r="W120" i="1"/>
  <c r="W135" i="1"/>
  <c r="U150" i="1"/>
  <c r="S150" i="1" s="1"/>
  <c r="AI150" i="1"/>
  <c r="U215" i="1"/>
  <c r="S215" i="1" s="1"/>
  <c r="W215" i="1"/>
  <c r="AI168" i="1"/>
  <c r="U163" i="1"/>
  <c r="S163" i="1" s="1"/>
  <c r="W163" i="1"/>
  <c r="AI184" i="1"/>
  <c r="W166" i="1"/>
  <c r="AI215" i="1"/>
  <c r="U194" i="1"/>
  <c r="S194" i="1" s="1"/>
  <c r="AI202" i="1"/>
  <c r="U181" i="1"/>
  <c r="S181" i="1" s="1"/>
  <c r="AI220" i="1"/>
  <c r="U199" i="1"/>
  <c r="S199" i="1" s="1"/>
  <c r="W149" i="1"/>
  <c r="W157" i="1"/>
  <c r="W212" i="1"/>
  <c r="W226" i="1"/>
  <c r="W160" i="1"/>
  <c r="W169" i="1"/>
  <c r="W173" i="1"/>
  <c r="W177" i="1"/>
  <c r="W181" i="1"/>
  <c r="AI209" i="1"/>
  <c r="U188" i="1"/>
  <c r="S188" i="1" s="1"/>
  <c r="AI225" i="1"/>
  <c r="U204" i="1"/>
  <c r="S204" i="1" s="1"/>
  <c r="W213" i="1"/>
  <c r="W159" i="1"/>
  <c r="U179" i="1"/>
  <c r="S179" i="1" s="1"/>
  <c r="AI200" i="1"/>
  <c r="U193" i="1"/>
  <c r="S193" i="1" s="1"/>
  <c r="W193" i="1"/>
  <c r="AI214" i="1"/>
  <c r="W220" i="1"/>
  <c r="W200" i="1"/>
  <c r="W221" i="1"/>
  <c r="W188" i="1"/>
  <c r="W187" i="1"/>
  <c r="W186" i="1"/>
  <c r="W222" i="1"/>
  <c r="Y10" i="3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P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<sst xmlns="http://schemas.openxmlformats.org/spreadsheetml/2006/main" count="2290" uniqueCount="810">
  <si>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</si>
  <si>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</si>
  <si>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</si>
  <si>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</si>
  <si>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</si>
  <si>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</si>
  <si>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</si>
  <si>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</si>
  <si>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</si>
  <si>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</si>
  <si>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</si>
  <si>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</si>
  <si>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</si>
  <si>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</si>
  <si>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</si>
  <si>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</si>
  <si>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</si>
  <si>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</si>
  <si>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</si>
  <si>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</si>
  <si>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</si>
  <si>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</si>
  <si>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</si>
  <si>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</si>
  <si>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</si>
  <si>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</si>
  <si>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</si>
  <si>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</si>
  <si>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</si>
  <si>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</si>
  <si>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</si>
  <si>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</si>
  <si>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</si>
  <si>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</si>
  <si>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</si>
  <si>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</si>
  <si>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</si>
  <si>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</si>
  <si>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</si>
  <si>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</si>
  <si>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</si>
  <si>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</si>
  <si>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</si>
  <si>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</si>
  <si>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</si>
  <si>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</si>
  <si>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</si>
  <si>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</si>
  <si>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</si>
  <si>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</si>
  <si>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</si>
  <si>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</si>
  <si>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</si>
  <si>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</si>
  <si>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</si>
  <si>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</si>
  <si>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</si>
  <si>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</si>
  <si>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</si>
  <si>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</si>
  <si>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</si>
  <si>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</si>
  <si>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</si>
  <si>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</si>
  <si>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</si>
  <si>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</si>
  <si>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</si>
  <si>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</si>
  <si>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</si>
  <si>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</si>
  <si>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</si>
  <si>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</si>
  <si>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</si>
  <si>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</si>
  <si>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</si>
  <si>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</si>
  <si>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</si>
  <si>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</si>
  <si>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</si>
  <si>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</si>
  <si>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</si>
  <si>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</si>
  <si>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</si>
  <si>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</si>
  <si>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</si>
  <si>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</si>
  <si>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</si>
  <si>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</si>
  <si>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</si>
  <si>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</si>
  <si>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</si>
  <si>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</si>
  <si>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</si>
  <si>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</si>
  <si>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</si>
  <si>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</si>
  <si>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</si>
  <si>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</si>
  <si>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</si>
  <si>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</si>
  <si>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</si>
  <si>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</si>
  <si>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</si>
  <si>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</si>
  <si>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</si>
  <si>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</si>
  <si>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</si>
  <si>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</si>
  <si>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</si>
  <si>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</si>
  <si>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</si>
  <si>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</si>
  <si>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</si>
  <si>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</si>
  <si>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</si>
  <si>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</si>
  <si>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</si>
  <si>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</si>
  <si>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</si>
  <si>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</si>
  <si>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</si>
  <si>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</si>
  <si>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</si>
  <si>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</si>
  <si>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</si>
  <si>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</si>
  <si>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</si>
  <si>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</si>
  <si>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</si>
  <si>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</si>
  <si>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</si>
  <si>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</si>
  <si>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</si>
  <si>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</si>
  <si>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</si>
  <si>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</si>
  <si>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</si>
  <si>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</si>
  <si>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</si>
  <si>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</si>
  <si>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</si>
  <si>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</si>
  <si>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</si>
  <si>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</si>
  <si>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</si>
  <si>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</si>
  <si>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</si>
  <si>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</si>
  <si>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</si>
  <si>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</si>
  <si>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</si>
  <si>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</si>
  <si>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</si>
  <si>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</si>
  <si>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</si>
  <si>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</si>
  <si>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</si>
  <si>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</si>
  <si>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</si>
  <si>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</si>
  <si>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</si>
  <si>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</si>
  <si>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</si>
  <si>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</si>
  <si>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</si>
  <si>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</si>
  <si>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</si>
  <si>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</si>
  <si>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</si>
  <si>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</si>
  <si>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</si>
  <si>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</si>
  <si>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</si>
  <si>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</si>
  <si>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</si>
  <si>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</si>
  <si>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</si>
  <si>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</si>
  <si>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</si>
  <si>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</si>
  <si>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</si>
  <si>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</si>
  <si>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</si>
  <si>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</si>
  <si>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</si>
  <si>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</si>
  <si>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</si>
  <si>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</si>
  <si>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</si>
  <si>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</si>
  <si>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</si>
  <si>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</si>
  <si>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</si>
  <si>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</si>
  <si>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</si>
  <si>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</si>
  <si>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</si>
  <si>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</si>
  <si>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</si>
  <si>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</si>
  <si>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</si>
  <si>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</si>
  <si>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</si>
  <si>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</si>
  <si>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</si>
  <si>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</si>
  <si>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</si>
  <si>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</si>
  <si>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204:447</t>
  </si>
  <si>
    <t>204:453</t>
  </si>
  <si>
    <t>204:455</t>
  </si>
  <si>
    <t>204:466</t>
  </si>
  <si>
    <t>204:233295</t>
  </si>
  <si>
    <t>204:446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</si>
  <si>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</si>
  <si>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</si>
  <si>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</si>
  <si>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</si>
  <si>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</si>
  <si>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</si>
  <si>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</si>
  <si>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</si>
  <si>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</si>
  <si>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</si>
  <si>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</si>
  <si>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</si>
  <si>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</si>
  <si>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</si>
  <si>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</si>
  <si>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DELGADO</t>
  </si>
  <si>
    <t>204:449</t>
  </si>
  <si>
    <t>204:138</t>
  </si>
  <si>
    <t>204:462</t>
  </si>
  <si>
    <t>YOUNG</t>
  </si>
  <si>
    <t>rtdc.l.rtdc.4037:itc</t>
  </si>
  <si>
    <t>204:233291</t>
  </si>
  <si>
    <t>204:232985</t>
  </si>
  <si>
    <t>rtdc.l.rtdc.4011:itc</t>
  </si>
  <si>
    <t>204:457</t>
  </si>
  <si>
    <t>204:167</t>
  </si>
  <si>
    <t>rtdc.l.rtdc.4021:itc</t>
  </si>
  <si>
    <t>rtdc.l.rtdc.4002:itc</t>
  </si>
  <si>
    <t>rtdc.l.rtdc.4001:itc</t>
  </si>
  <si>
    <t>204:161</t>
  </si>
  <si>
    <t>204:464</t>
  </si>
  <si>
    <t>204:233301</t>
  </si>
  <si>
    <t>204:232969</t>
  </si>
  <si>
    <t>204:232981</t>
  </si>
  <si>
    <t>204:232978</t>
  </si>
  <si>
    <t>DE.1.0.8.0</t>
  </si>
  <si>
    <t>rtdc.l.rtdc.4040:itc</t>
  </si>
  <si>
    <t>rtdc.l.rtdc.4038:itc</t>
  </si>
  <si>
    <t>204:232983</t>
  </si>
  <si>
    <t>204:233287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</si>
  <si>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</si>
  <si>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</si>
  <si>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</si>
  <si>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</si>
  <si>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</si>
  <si>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</si>
  <si>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</si>
  <si>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</si>
  <si>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Mostly Cloudy</t>
  </si>
  <si>
    <t>204:233280</t>
  </si>
  <si>
    <t>204:136</t>
  </si>
  <si>
    <t>204:438</t>
  </si>
  <si>
    <t>204:233289</t>
  </si>
  <si>
    <t>204:473</t>
  </si>
  <si>
    <t>204:482</t>
  </si>
  <si>
    <t>204:232975</t>
  </si>
  <si>
    <t>204:233278</t>
  </si>
  <si>
    <t>204:444</t>
  </si>
  <si>
    <t>300:58613</t>
  </si>
  <si>
    <t>300:58926</t>
  </si>
  <si>
    <t>CHANDLER</t>
  </si>
  <si>
    <t>204:232973</t>
  </si>
  <si>
    <t>204:233285</t>
  </si>
  <si>
    <t>204:233303</t>
  </si>
  <si>
    <t>204:232972</t>
  </si>
  <si>
    <t>204:232984</t>
  </si>
  <si>
    <t>204:158</t>
  </si>
  <si>
    <t>204:475</t>
  </si>
  <si>
    <t>204:232976</t>
  </si>
  <si>
    <t>rtdc.l.rtdc.4045:itc</t>
  </si>
  <si>
    <t>rtdc.l.rtdc.4046:itc</t>
  </si>
  <si>
    <t>STARKS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</si>
  <si>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</si>
  <si>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</si>
  <si>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</si>
  <si>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</si>
  <si>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</si>
  <si>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</si>
  <si>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</si>
  <si>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204:233332</t>
  </si>
  <si>
    <t>204:233276</t>
  </si>
  <si>
    <t>204:233328</t>
  </si>
  <si>
    <t>rtdc.l.rtdc.4039:itc</t>
  </si>
  <si>
    <t>rtdc.l.rtdc.4032:itc</t>
  </si>
  <si>
    <t>Y</t>
  </si>
  <si>
    <t>MACDONALD</t>
  </si>
  <si>
    <t>LALONDE</t>
  </si>
  <si>
    <t>BADERTSCHER</t>
  </si>
  <si>
    <t>rtdc.l.rtdc.4004:itc</t>
  </si>
  <si>
    <t>HOLCOMB</t>
  </si>
  <si>
    <t>HELVIE</t>
  </si>
  <si>
    <t>JOHNSON</t>
  </si>
  <si>
    <t>ROMERO</t>
  </si>
  <si>
    <t>WHITED</t>
  </si>
  <si>
    <t>204:233006</t>
  </si>
  <si>
    <t>204:163</t>
  </si>
  <si>
    <t>204:233302</t>
  </si>
  <si>
    <t>204:232953</t>
  </si>
  <si>
    <t>204:232971</t>
  </si>
  <si>
    <t>204:467</t>
  </si>
  <si>
    <t>204:233298</t>
  </si>
  <si>
    <t>204:232982</t>
  </si>
  <si>
    <t>204:233310</t>
  </si>
  <si>
    <t>204:233312</t>
  </si>
  <si>
    <t>204:971</t>
  </si>
  <si>
    <t>300:58954</t>
  </si>
  <si>
    <t>204:969</t>
  </si>
  <si>
    <t>204:1016</t>
  </si>
  <si>
    <t>204:974</t>
  </si>
  <si>
    <t>Human Factors</t>
  </si>
  <si>
    <t>rtdc.l.rtdc.4041:itc</t>
  </si>
  <si>
    <t>rtdc.l.rtdc.4008:itc</t>
  </si>
  <si>
    <t>SWITCH UNKNOWN</t>
  </si>
  <si>
    <t>Track device (7)</t>
  </si>
  <si>
    <t>311-01</t>
  </si>
  <si>
    <t>rtdc.l.rtdc.4042:itc</t>
  </si>
  <si>
    <t>RICHARDSON</t>
  </si>
  <si>
    <t>LOPES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</si>
  <si>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</si>
  <si>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</si>
  <si>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</si>
  <si>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</si>
  <si>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</si>
  <si>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</si>
  <si>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</si>
  <si>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</si>
  <si>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</si>
  <si>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</si>
  <si>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</si>
  <si>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</si>
  <si>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</si>
  <si>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</si>
  <si>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</si>
  <si>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</si>
  <si>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</si>
  <si>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</si>
  <si>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</si>
  <si>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</si>
  <si>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204:165</t>
  </si>
  <si>
    <t>204:233299</t>
  </si>
  <si>
    <t>204:232998</t>
  </si>
  <si>
    <t>204:233000</t>
  </si>
  <si>
    <t>204:233308</t>
  </si>
  <si>
    <t>204:127</t>
  </si>
  <si>
    <t>204:233317</t>
  </si>
  <si>
    <t>204:134</t>
  </si>
  <si>
    <t>204:232993</t>
  </si>
  <si>
    <t>204:469</t>
  </si>
  <si>
    <t>204:232988</t>
  </si>
  <si>
    <t>204:233327</t>
  </si>
  <si>
    <t>204:233316</t>
  </si>
  <si>
    <t>204:233306</t>
  </si>
  <si>
    <t>204:233004</t>
  </si>
  <si>
    <t>204:440</t>
  </si>
  <si>
    <t>204:233002</t>
  </si>
  <si>
    <t>204:232991</t>
  </si>
  <si>
    <t>204:388</t>
  </si>
  <si>
    <t>300:22231</t>
  </si>
  <si>
    <t>204:1020</t>
  </si>
  <si>
    <t>204:731</t>
  </si>
  <si>
    <t>204:1002</t>
  </si>
  <si>
    <t>204:729</t>
  </si>
  <si>
    <t>300:58931</t>
  </si>
  <si>
    <t>204:694</t>
  </si>
  <si>
    <t>300:58615</t>
  </si>
  <si>
    <t>204:985</t>
  </si>
  <si>
    <t>204:706</t>
  </si>
  <si>
    <t>300:58965</t>
  </si>
  <si>
    <t>300:58660</t>
  </si>
  <si>
    <t>300:58628</t>
  </si>
  <si>
    <t>300:58647</t>
  </si>
  <si>
    <t>204:678</t>
  </si>
  <si>
    <t>300:58924</t>
  </si>
  <si>
    <t>204:687</t>
  </si>
  <si>
    <t>204:967</t>
  </si>
  <si>
    <t>300:58611</t>
  </si>
  <si>
    <t>300:58950</t>
  </si>
  <si>
    <t>300:58645</t>
  </si>
  <si>
    <t>204:701</t>
  </si>
  <si>
    <t>204:976</t>
  </si>
  <si>
    <t>204:717</t>
  </si>
  <si>
    <t>Wi-MAX outage</t>
  </si>
  <si>
    <t>Pena 4S STOP, cleared afterward</t>
  </si>
  <si>
    <t>Overspeed</t>
  </si>
  <si>
    <t>109-02</t>
  </si>
  <si>
    <t>rtdc.l.rtdc.4031:itc</t>
  </si>
  <si>
    <t>901-02</t>
  </si>
  <si>
    <t>800-02</t>
  </si>
  <si>
    <t>rtdc.l.rtdc.4017:itc</t>
  </si>
  <si>
    <t>116-02</t>
  </si>
  <si>
    <t>122-02</t>
  </si>
  <si>
    <t>120-02</t>
  </si>
  <si>
    <t>810-02</t>
  </si>
  <si>
    <t>137-02</t>
  </si>
  <si>
    <t>136-02</t>
  </si>
  <si>
    <t>149-02</t>
  </si>
  <si>
    <t>52-02</t>
  </si>
  <si>
    <t>158-02</t>
  </si>
  <si>
    <t>171-02</t>
  </si>
  <si>
    <t>166-02</t>
  </si>
  <si>
    <t>rtdc.l.rtdc.4025:itc</t>
  </si>
  <si>
    <t>821-02</t>
  </si>
  <si>
    <t>179-02</t>
  </si>
  <si>
    <t>180-02</t>
  </si>
  <si>
    <t>rtdc.l.rtdc.4018:itc</t>
  </si>
  <si>
    <t>185-02</t>
  </si>
  <si>
    <t>rtdc.l.rtdc.4054:itc</t>
  </si>
  <si>
    <t>184-02</t>
  </si>
  <si>
    <t>194-02</t>
  </si>
  <si>
    <t>829-02</t>
  </si>
  <si>
    <t>205-02</t>
  </si>
  <si>
    <t>832-02</t>
  </si>
  <si>
    <t>56-02</t>
  </si>
  <si>
    <t>208-02</t>
  </si>
  <si>
    <t>218-02</t>
  </si>
  <si>
    <t>220-02</t>
  </si>
  <si>
    <t>229-02</t>
  </si>
  <si>
    <t>845-02</t>
  </si>
  <si>
    <t>233-02</t>
  </si>
  <si>
    <t>244-02</t>
  </si>
  <si>
    <t>302-02</t>
  </si>
  <si>
    <t>MAELZER</t>
  </si>
  <si>
    <t>101-02</t>
  </si>
  <si>
    <t>304-02</t>
  </si>
  <si>
    <t>104-02</t>
  </si>
  <si>
    <t>103-02</t>
  </si>
  <si>
    <t>306-02</t>
  </si>
  <si>
    <t>SANTIZO</t>
  </si>
  <si>
    <t>105-02</t>
  </si>
  <si>
    <t>102-02</t>
  </si>
  <si>
    <t>308-02</t>
  </si>
  <si>
    <t>310-02</t>
  </si>
  <si>
    <t>107-02</t>
  </si>
  <si>
    <t>106-02</t>
  </si>
  <si>
    <t>111-02</t>
  </si>
  <si>
    <t>ROCHA</t>
  </si>
  <si>
    <t>rtdc.l.rtdc.4053:itc</t>
  </si>
  <si>
    <t>113-02</t>
  </si>
  <si>
    <t>108-02</t>
  </si>
  <si>
    <t>115-02</t>
  </si>
  <si>
    <t>PERKINS</t>
  </si>
  <si>
    <t>110-02</t>
  </si>
  <si>
    <t>117-02</t>
  </si>
  <si>
    <t>801-02</t>
  </si>
  <si>
    <t>119-02</t>
  </si>
  <si>
    <t>112-02</t>
  </si>
  <si>
    <t>114-02</t>
  </si>
  <si>
    <t>rtdc.l.rtdc.4026:itc</t>
  </si>
  <si>
    <t>902-02</t>
  </si>
  <si>
    <t>DAVIDSON</t>
  </si>
  <si>
    <t>802-02</t>
  </si>
  <si>
    <t>121-02</t>
  </si>
  <si>
    <t>803-02</t>
  </si>
  <si>
    <t>123-02</t>
  </si>
  <si>
    <t>118-02</t>
  </si>
  <si>
    <t>804-02</t>
  </si>
  <si>
    <t>125-02</t>
  </si>
  <si>
    <t>805-02</t>
  </si>
  <si>
    <t>127-02</t>
  </si>
  <si>
    <t>806-02</t>
  </si>
  <si>
    <t>129-02</t>
  </si>
  <si>
    <t>124-02</t>
  </si>
  <si>
    <t>807-02</t>
  </si>
  <si>
    <t>131-02</t>
  </si>
  <si>
    <t>808-02</t>
  </si>
  <si>
    <t>133-02</t>
  </si>
  <si>
    <t>126-02</t>
  </si>
  <si>
    <t>128-02</t>
  </si>
  <si>
    <t>809-02</t>
  </si>
  <si>
    <t>135-02</t>
  </si>
  <si>
    <t>130-02</t>
  </si>
  <si>
    <t>132-02</t>
  </si>
  <si>
    <t>811-02</t>
  </si>
  <si>
    <t>139-02</t>
  </si>
  <si>
    <t>903-02</t>
  </si>
  <si>
    <t>141-02</t>
  </si>
  <si>
    <t>812-02</t>
  </si>
  <si>
    <t>134-02</t>
  </si>
  <si>
    <t>143-02</t>
  </si>
  <si>
    <t>GRASTON</t>
  </si>
  <si>
    <t>138-02</t>
  </si>
  <si>
    <t>813-02</t>
  </si>
  <si>
    <t>145-02</t>
  </si>
  <si>
    <t>140-02</t>
  </si>
  <si>
    <t>147-02</t>
  </si>
  <si>
    <t>142-02</t>
  </si>
  <si>
    <t>814-02</t>
  </si>
  <si>
    <t>144-02</t>
  </si>
  <si>
    <t>151-02</t>
  </si>
  <si>
    <t>146-02</t>
  </si>
  <si>
    <t>PHILLIPS-02</t>
  </si>
  <si>
    <t>HAUSER</t>
  </si>
  <si>
    <t>148-02</t>
  </si>
  <si>
    <t>153-02</t>
  </si>
  <si>
    <t>815-02</t>
  </si>
  <si>
    <t>155-02</t>
  </si>
  <si>
    <t>50-02</t>
  </si>
  <si>
    <t>150-02</t>
  </si>
  <si>
    <t>157-02</t>
  </si>
  <si>
    <t>816-02</t>
  </si>
  <si>
    <t>152-02</t>
  </si>
  <si>
    <t>159-02</t>
  </si>
  <si>
    <t>SAFIEF</t>
  </si>
  <si>
    <t>161-02</t>
  </si>
  <si>
    <t>154-02</t>
  </si>
  <si>
    <t>51-02</t>
  </si>
  <si>
    <t>BEAM</t>
  </si>
  <si>
    <t>817-02</t>
  </si>
  <si>
    <t>163-02</t>
  </si>
  <si>
    <t>156-02</t>
  </si>
  <si>
    <t>LOZA</t>
  </si>
  <si>
    <t>818-02</t>
  </si>
  <si>
    <t>165-02</t>
  </si>
  <si>
    <t>ADANE</t>
  </si>
  <si>
    <t>53-02</t>
  </si>
  <si>
    <t>160-02</t>
  </si>
  <si>
    <t>167-02</t>
  </si>
  <si>
    <t>162-02</t>
  </si>
  <si>
    <t>169-02</t>
  </si>
  <si>
    <t>819-02</t>
  </si>
  <si>
    <t>164-02</t>
  </si>
  <si>
    <t>173-02</t>
  </si>
  <si>
    <t>820-02</t>
  </si>
  <si>
    <t>168-02</t>
  </si>
  <si>
    <t>175-02</t>
  </si>
  <si>
    <t>170-02</t>
  </si>
  <si>
    <t>177-02</t>
  </si>
  <si>
    <t>172-02</t>
  </si>
  <si>
    <t>174-02</t>
  </si>
  <si>
    <t>822-02</t>
  </si>
  <si>
    <t>181-02</t>
  </si>
  <si>
    <t>176-02</t>
  </si>
  <si>
    <t>183-02</t>
  </si>
  <si>
    <t>178-02</t>
  </si>
  <si>
    <t>823-02</t>
  </si>
  <si>
    <t>HILLS</t>
  </si>
  <si>
    <t>187-02</t>
  </si>
  <si>
    <t>63-02</t>
  </si>
  <si>
    <t>STORY</t>
  </si>
  <si>
    <t>182-02</t>
  </si>
  <si>
    <t>189-02</t>
  </si>
  <si>
    <t>824-02</t>
  </si>
  <si>
    <t>192-02</t>
  </si>
  <si>
    <t>191-02</t>
  </si>
  <si>
    <t>825-02</t>
  </si>
  <si>
    <t>186-02</t>
  </si>
  <si>
    <t>193-02</t>
  </si>
  <si>
    <t>188-02</t>
  </si>
  <si>
    <t>904-02</t>
  </si>
  <si>
    <t>195-02</t>
  </si>
  <si>
    <t>190-02</t>
  </si>
  <si>
    <t>197-02</t>
  </si>
  <si>
    <t>826-02</t>
  </si>
  <si>
    <t>827-02</t>
  </si>
  <si>
    <t>199-02</t>
  </si>
  <si>
    <t>201-02</t>
  </si>
  <si>
    <t>828-02</t>
  </si>
  <si>
    <t>196-02</t>
  </si>
  <si>
    <t>198-02</t>
  </si>
  <si>
    <t>203-02</t>
  </si>
  <si>
    <t>830-02</t>
  </si>
  <si>
    <t>831-02</t>
  </si>
  <si>
    <t>200-02</t>
  </si>
  <si>
    <t>207-02</t>
  </si>
  <si>
    <t>202-02</t>
  </si>
  <si>
    <t>833-02</t>
  </si>
  <si>
    <t>209-02</t>
  </si>
  <si>
    <t>204-02</t>
  </si>
  <si>
    <t>211-02</t>
  </si>
  <si>
    <t>206-02</t>
  </si>
  <si>
    <t>834-02</t>
  </si>
  <si>
    <t>835-02</t>
  </si>
  <si>
    <t>213-02</t>
  </si>
  <si>
    <t>MAGEE</t>
  </si>
  <si>
    <t>210-02</t>
  </si>
  <si>
    <t>215-02</t>
  </si>
  <si>
    <t>54-02</t>
  </si>
  <si>
    <t>837-02</t>
  </si>
  <si>
    <t>836-02</t>
  </si>
  <si>
    <t>217-02</t>
  </si>
  <si>
    <t>212-02</t>
  </si>
  <si>
    <t>219-02</t>
  </si>
  <si>
    <t>55-02</t>
  </si>
  <si>
    <t>71-02</t>
  </si>
  <si>
    <t>214-02</t>
  </si>
  <si>
    <t>838-02</t>
  </si>
  <si>
    <t>303-02</t>
  </si>
  <si>
    <t>839-02</t>
  </si>
  <si>
    <t>216-02</t>
  </si>
  <si>
    <t>221-02</t>
  </si>
  <si>
    <t>841-02</t>
  </si>
  <si>
    <t>906-02</t>
  </si>
  <si>
    <t>305-02</t>
  </si>
  <si>
    <t>223-02</t>
  </si>
  <si>
    <t>307-02</t>
  </si>
  <si>
    <t>840-02</t>
  </si>
  <si>
    <t>222-02</t>
  </si>
  <si>
    <t>225-02</t>
  </si>
  <si>
    <t>843-02</t>
  </si>
  <si>
    <t>227-02</t>
  </si>
  <si>
    <t>224-02</t>
  </si>
  <si>
    <t>842-02</t>
  </si>
  <si>
    <t>226-02</t>
  </si>
  <si>
    <t>228-02</t>
  </si>
  <si>
    <t>231-02</t>
  </si>
  <si>
    <t>844-02</t>
  </si>
  <si>
    <t>230-02</t>
  </si>
  <si>
    <t>232-02</t>
  </si>
  <si>
    <t>847-02</t>
  </si>
  <si>
    <t>235-02</t>
  </si>
  <si>
    <t>908-02</t>
  </si>
  <si>
    <t>234-02</t>
  </si>
  <si>
    <t>237-02</t>
  </si>
  <si>
    <t>239-02</t>
  </si>
  <si>
    <t>236-02</t>
  </si>
  <si>
    <t>238-02</t>
  </si>
  <si>
    <t>241-02</t>
  </si>
  <si>
    <t>240-02</t>
  </si>
  <si>
    <t>243-02</t>
  </si>
  <si>
    <t>309-02</t>
  </si>
  <si>
    <t>242-02</t>
  </si>
  <si>
    <t>311-02</t>
  </si>
  <si>
    <t>313-02</t>
  </si>
  <si>
    <t>315-02</t>
  </si>
  <si>
    <t>clear-day</t>
  </si>
  <si>
    <t>204:232765</t>
  </si>
  <si>
    <t>204:732</t>
  </si>
  <si>
    <t>204:233368</t>
  </si>
  <si>
    <t>204:232685</t>
  </si>
  <si>
    <t>204:757</t>
  </si>
  <si>
    <t>204:233324</t>
  </si>
  <si>
    <t>204:232675</t>
  </si>
  <si>
    <t>204:232989</t>
  </si>
  <si>
    <t>204:759</t>
  </si>
  <si>
    <t>204:763</t>
  </si>
  <si>
    <t>204:338</t>
  </si>
  <si>
    <t>204:754</t>
  </si>
  <si>
    <t>204:232994</t>
  </si>
  <si>
    <t>204:232986</t>
  </si>
  <si>
    <t>204:1175</t>
  </si>
  <si>
    <t>204:154438</t>
  </si>
  <si>
    <t>204:132</t>
  </si>
  <si>
    <t>204:480</t>
  </si>
  <si>
    <t>204:232963</t>
  </si>
  <si>
    <t>204:471</t>
  </si>
  <si>
    <t>204:233305</t>
  </si>
  <si>
    <t>204:37197</t>
  </si>
  <si>
    <t>204:191</t>
  </si>
  <si>
    <t>204:169</t>
  </si>
  <si>
    <t>204:498</t>
  </si>
  <si>
    <t>204:4548</t>
  </si>
  <si>
    <t>204:477</t>
  </si>
  <si>
    <t>204:110</t>
  </si>
  <si>
    <t>204:111749</t>
  </si>
  <si>
    <t>204:233338</t>
  </si>
  <si>
    <t>204:1484</t>
  </si>
  <si>
    <t>204:105746</t>
  </si>
  <si>
    <t>204:233036</t>
  </si>
  <si>
    <t>204:125</t>
  </si>
  <si>
    <t>204:797</t>
  </si>
  <si>
    <t>204:233334</t>
  </si>
  <si>
    <t>204:404</t>
  </si>
  <si>
    <t>204:232946</t>
  </si>
  <si>
    <t>204:172</t>
  </si>
  <si>
    <t>204:233309</t>
  </si>
  <si>
    <t>204:232979</t>
  </si>
  <si>
    <t>204:114</t>
  </si>
  <si>
    <t>204:431</t>
  </si>
  <si>
    <t>204:233255</t>
  </si>
  <si>
    <t>204:232955</t>
  </si>
  <si>
    <t>204:233001</t>
  </si>
  <si>
    <t>204:233315</t>
  </si>
  <si>
    <t>204:232949</t>
  </si>
  <si>
    <t>204:1150</t>
  </si>
  <si>
    <t>204:233346</t>
  </si>
  <si>
    <t>204:931</t>
  </si>
  <si>
    <t>204:233323</t>
  </si>
  <si>
    <t>204:196</t>
  </si>
  <si>
    <t>300:23158</t>
  </si>
  <si>
    <t>300:16159</t>
  </si>
  <si>
    <t>300:23301</t>
  </si>
  <si>
    <t>300:22346</t>
  </si>
  <si>
    <t>204:109</t>
  </si>
  <si>
    <t>204:415</t>
  </si>
  <si>
    <t>300:23009</t>
  </si>
  <si>
    <t>300:21322</t>
  </si>
  <si>
    <t>300:23302</t>
  </si>
  <si>
    <t>300:23209</t>
  </si>
  <si>
    <t>300:21858</t>
  </si>
  <si>
    <t>204:130</t>
  </si>
  <si>
    <t>300:23064</t>
  </si>
  <si>
    <t>300:23128</t>
  </si>
  <si>
    <t>300:21947</t>
  </si>
  <si>
    <t>300:24262</t>
  </si>
  <si>
    <t>300:21875</t>
  </si>
  <si>
    <t>204:1053</t>
  </si>
  <si>
    <t>204:1370</t>
  </si>
  <si>
    <t>300:24224</t>
  </si>
  <si>
    <t>300:23599</t>
  </si>
  <si>
    <t>204:135</t>
  </si>
  <si>
    <t>204:424</t>
  </si>
  <si>
    <t>300:24233</t>
  </si>
  <si>
    <t>300:20693</t>
  </si>
  <si>
    <t>204:1701</t>
  </si>
  <si>
    <t>204:3556</t>
  </si>
  <si>
    <t>204:1475</t>
  </si>
  <si>
    <t>204:768</t>
  </si>
  <si>
    <t>204:1063</t>
  </si>
  <si>
    <t>204:981</t>
  </si>
  <si>
    <t>300:58982</t>
  </si>
  <si>
    <t>300:58672</t>
  </si>
  <si>
    <t>204:689</t>
  </si>
  <si>
    <t>204:724</t>
  </si>
  <si>
    <t>204:990</t>
  </si>
  <si>
    <t>300:58997</t>
  </si>
  <si>
    <t>300:58687</t>
  </si>
  <si>
    <t>204:778</t>
  </si>
  <si>
    <t>300:58984</t>
  </si>
  <si>
    <t>300:58995</t>
  </si>
  <si>
    <t>300:58673</t>
  </si>
  <si>
    <t>204:692</t>
  </si>
  <si>
    <t>300:58677</t>
  </si>
  <si>
    <t>300:58992</t>
  </si>
  <si>
    <t>204:677</t>
  </si>
  <si>
    <t>300:58988</t>
  </si>
  <si>
    <t>300:58961</t>
  </si>
  <si>
    <t>300:58649</t>
  </si>
  <si>
    <t>204:992</t>
  </si>
  <si>
    <t>300:58636</t>
  </si>
  <si>
    <t>300:58918</t>
  </si>
  <si>
    <t>300:58643</t>
  </si>
  <si>
    <t>204:671</t>
  </si>
  <si>
    <t>204:1023</t>
  </si>
  <si>
    <t>300:58937</t>
  </si>
  <si>
    <t>204:699</t>
  </si>
  <si>
    <t>204:964</t>
  </si>
  <si>
    <t>300:58960</t>
  </si>
  <si>
    <t>204:691</t>
  </si>
  <si>
    <t>204:761</t>
  </si>
  <si>
    <t>204:1030</t>
  </si>
  <si>
    <t>300:58986</t>
  </si>
  <si>
    <t>204:736</t>
  </si>
  <si>
    <t>300:58956</t>
  </si>
  <si>
    <t>300:58658</t>
  </si>
  <si>
    <t>204:1028</t>
  </si>
  <si>
    <t>300:58973</t>
  </si>
  <si>
    <t>300:58670</t>
  </si>
  <si>
    <t>204:743</t>
  </si>
  <si>
    <t>204:1032</t>
  </si>
  <si>
    <t>300:58990</t>
  </si>
  <si>
    <t>204:1027</t>
  </si>
  <si>
    <t>300:58969</t>
  </si>
  <si>
    <t>204:965</t>
  </si>
  <si>
    <t>300:29461</t>
  </si>
  <si>
    <t>300:32979</t>
  </si>
  <si>
    <t>300:22286</t>
  </si>
  <si>
    <t>204:1065</t>
  </si>
  <si>
    <t>300:24222</t>
  </si>
  <si>
    <t>300:23266</t>
  </si>
  <si>
    <t>300:58638</t>
  </si>
  <si>
    <t>300:29149</t>
  </si>
  <si>
    <t>300:21776</t>
  </si>
  <si>
    <t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t>
  </si>
  <si>
    <t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t>
  </si>
  <si>
    <t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t>
  </si>
  <si>
    <t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t>
  </si>
  <si>
    <t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t>
  </si>
  <si>
    <t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t>
  </si>
  <si>
    <t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t>
  </si>
  <si>
    <t>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 &amp; 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</t>
  </si>
  <si>
    <t>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 &amp; aws s3 cp s3://rtdc.mdm.uploadarchive.raw/RTDC4046/ "%USERPROFILE%\AppData\Local\Temp\OnboardLogs"\RTDC4046\2016-11-03 --exclude "*" --recursive --include "*20161103*" &amp; "%USERPROFILE%\Documents\GitHub\mrs-test-scripts\Headless Mode &amp; Sideloading\WalkAndUnGZ.bat" "%USERPROFILE%\AppData\Local\Temp\OnboardLogs"\RTDC4046\2016-11-03</t>
  </si>
  <si>
    <t>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 &amp; 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</t>
  </si>
  <si>
    <t>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 &amp; 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</t>
  </si>
  <si>
    <t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t>
  </si>
  <si>
    <t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t>
  </si>
  <si>
    <t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t>
  </si>
  <si>
    <t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t>
  </si>
  <si>
    <t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t>
  </si>
  <si>
    <t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t>
  </si>
  <si>
    <t>Onboard in-route failure</t>
  </si>
  <si>
    <t>Multiple CPU faults at 2016-11-02 16:40:17 UTC</t>
  </si>
  <si>
    <t>Multiple cpu faults at 14:05:47 Denver time</t>
  </si>
  <si>
    <t>Onboard in-route failure as pulling into DUS</t>
  </si>
  <si>
    <t>http://stevetu21.github.io/eaglep3/load_kml.html?kml=http://rtdc.gmaps-snips.s3.amazonaws.com/95aa29f8-f4f1-45a3-ba9e-0023ff5d6654.kml</t>
  </si>
  <si>
    <t>Poor GPS under bridge made location go lost</t>
  </si>
  <si>
    <t>At 15:56:27, GPS HDOP got very high (2.0ish), but location source remained as GPS (instead of what we'd expect - switching to wheel tach). Eventually, got various GPS-related and nav-related faults, and ultimately went lost.</t>
  </si>
  <si>
    <t>Delayed at 78th due to CP Pena ELXS failure</t>
  </si>
  <si>
    <t>Around 08:10, CP Pena experienced a failure (transfer to standby?), affected 78th, unable to clear signal 4S.</t>
  </si>
  <si>
    <t>Delayed due to cut out and re-init at 61st/Pena Station, probably in response to the CP Pena issue</t>
  </si>
  <si>
    <t>Wi-MAX outage (same incident)</t>
  </si>
  <si>
    <t>http://stevetu21.github.io/eaglep3/load_kml.html?kml=http://rtdc.gmaps-snips.s3.amazonaws.com/e1a5f438-0cb5-497e-bcf1-5dcd9f7070ba.kml</t>
  </si>
  <si>
    <t>Early arrival; didn't slow down quickly enough</t>
  </si>
  <si>
    <t>Early arrival; accelerated while still in crossing</t>
  </si>
  <si>
    <t>Early arrival; accelerated into crossing</t>
  </si>
  <si>
    <t>Early arrival; accelerated and stayed over prompt suggested speed</t>
  </si>
  <si>
    <t>Did not init due to 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</si>
</sst>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e1a5f438-0cb5-497e-bcf1-5dcd9f7070ba.kml" TargetMode="External"/><Relationship Id="rId1" Type="http://schemas.openxmlformats.org/officeDocument/2006/relationships/hyperlink" Target="http://stevetu21.github.io/eaglep3/load_kml.html?kml=http://rtdc.gmaps-snips.s3.amazonaws.com/95aa29f8-f4f1-45a3-ba9e-0023ff5d6654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5"/>
  <sheetViews>
    <sheetView tabSelected="1" zoomScaleNormal="100" workbookViewId="0">
      <selection activeCell="N15" sqref="N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42676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COUNTIFS($N$13:$N$9398,"&gt;0",$AG$13:$AG$9398,I1)</f>
        <v>141</v>
      </c>
      <c r="K5" s="44"/>
      <c r="L5" s="44"/>
      <c r="M5" s="45">
        <f>AVERAGEIFS($N$13:$N$9398,$AG$13:$AG$9398,I1)</f>
        <v>37.390780141205589</v>
      </c>
      <c r="N5" s="43">
        <f t="array" ref="N5">MIN(IF($AG$13:$AG$9398=I1,IF(ISNUMBER($N$13:$N$9398),IF($N$13:$N$9398&gt;0,$N$13:$N$9398))))</f>
        <v>33.75</v>
      </c>
      <c r="O5" s="3">
        <f t="array" ref="O5">MAX(IF($AG$13:$AG$9398=I1,IF(ISNUMBER($N$13:$N$9398),IF($N$13:$N$9398&gt;0,$N$13:$N$9398))))</f>
        <v>53.333333332557231</v>
      </c>
      <c r="P5" s="2"/>
      <c r="R5" s="80" t="s">
        <v>17</v>
      </c>
      <c r="S5" s="55">
        <f>COUNTIFS($N$13:$N$9398,"&gt;0",$AG$13:$AG$9398,R1)</f>
        <v>47</v>
      </c>
      <c r="T5" s="44"/>
      <c r="U5" s="168"/>
      <c r="V5" s="45">
        <f>AVERAGEIFS($N$13:$N$9398,$AG$13:$AG$9398,R1)</f>
        <v>15.17198581530891</v>
      </c>
      <c r="W5" s="43">
        <f t="array" ref="W5">MIN(IF($AG$13:$AG$9398=R1,IF(ISNUMBER($N$13:$N$9398),IF($N$13:$N$9398&gt;0,$N$13:$N$9398))))</f>
        <v>9.1000000003259629</v>
      </c>
      <c r="X5" s="173">
        <f t="array" ref="X5">MAX(IF($AG$13:$AG$9398=R1,IF(ISNUMBER($N$13:$N$9398),IF($N$13:$N$9398&gt;0,$N$13:$N$9398))))</f>
        <v>18.999999999068677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COUNT($O$13:$O$170)</f>
        <v>0</v>
      </c>
      <c r="K6" s="44"/>
      <c r="L6" s="44"/>
      <c r="M6" s="45">
        <f>IFERROR(AVERAGE($O$13:$O$170),0)</f>
        <v>0</v>
      </c>
      <c r="N6" s="43">
        <f>MIN($O$13:$O$170)</f>
        <v>0</v>
      </c>
      <c r="O6" s="3">
        <f>MAX($O$13:$O$170)</f>
        <v>0</v>
      </c>
      <c r="P6" s="2"/>
      <c r="R6" s="81" t="s">
        <v>43</v>
      </c>
      <c r="S6" s="55">
        <f>COUNT($O$13:$O$170)</f>
        <v>0</v>
      </c>
      <c r="T6" s="44"/>
      <c r="U6" s="168"/>
      <c r="V6" s="45">
        <f>IFERROR(AVERAGE($O$13:$O$170),0)</f>
        <v>0</v>
      </c>
      <c r="W6" s="43">
        <f>MIN($O$13:$O$170)</f>
        <v>0</v>
      </c>
      <c r="X6" s="173">
        <f>MAX($O$13:$O$170)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COUNTIFS($P$13:$P$9398,"&gt;0",$AG$13:$AG$9398,I1)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COUNTIFS($P$13:$P$9398,"&gt;0",$AG$13:$AG$9398,R1)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37.390780141205589</v>
      </c>
      <c r="N8" s="43">
        <f>N5</f>
        <v>33.75</v>
      </c>
      <c r="O8" s="3">
        <f>O5</f>
        <v>53.333333332557231</v>
      </c>
      <c r="P8" s="2"/>
      <c r="R8" s="80" t="s">
        <v>16</v>
      </c>
      <c r="S8" s="55">
        <f>S5</f>
        <v>47</v>
      </c>
      <c r="T8" s="44"/>
      <c r="U8" s="168"/>
      <c r="V8" s="45">
        <f>V5</f>
        <v>15.17198581530891</v>
      </c>
      <c r="W8" s="43">
        <f>W5</f>
        <v>9.1000000003259629</v>
      </c>
      <c r="X8" s="173">
        <f>X5</f>
        <v>18.999999999068677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- 2016-11-02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AVERAGE(S13:S110)</f>
        <v>0.9862542955326461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436</v>
      </c>
      <c r="B13" s="7">
        <v>4009</v>
      </c>
      <c r="C13" s="22" t="s">
        <v>249</v>
      </c>
      <c r="D13" s="22" t="s">
        <v>213</v>
      </c>
      <c r="E13" s="13">
        <v>42676.173217592594</v>
      </c>
      <c r="F13" s="13">
        <v>42676.140601851854</v>
      </c>
      <c r="G13" s="7">
        <v>0</v>
      </c>
      <c r="H13" s="22" t="s">
        <v>213</v>
      </c>
      <c r="I13" s="13">
        <v>42676.141296296293</v>
      </c>
      <c r="J13" s="7">
        <v>0</v>
      </c>
      <c r="K13" s="112" t="str">
        <f t="shared" ref="K13:K76" si="0">IF(ISEVEN(B13),(B13-1)&amp;"/"&amp;B13,B13&amp;"/"&amp;(B13+1))</f>
        <v>4009/4010</v>
      </c>
      <c r="L13" s="22" t="str">
        <f>VLOOKUP(A13,'Trips&amp;Operators'!$C$1:$E$10000,3,FALSE)</f>
        <v>MAELZER</v>
      </c>
      <c r="M13" s="6">
        <f t="shared" ref="M13:M76" si="1">I13-F13</f>
        <v>6.9444443943211809E-4</v>
      </c>
      <c r="N13" s="7"/>
      <c r="O13" s="7"/>
      <c r="P13" s="7">
        <f>24*60*SUM($M13:$M13)</f>
        <v>0.99999999278225005</v>
      </c>
      <c r="Q13" s="23"/>
      <c r="R13" s="23" t="s">
        <v>809</v>
      </c>
      <c r="S13" s="35">
        <f t="shared" ref="S13:S44" si="2">SUM(U13:U13)/IF(AG13="EC",12,1)</f>
        <v>0</v>
      </c>
      <c r="T13" s="50" t="str">
        <f t="shared" ref="T13:T76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https://search-rtdc-monitor-bjffxe2xuh6vdkpspy63sjmuny.us-east-1.es.amazonaws.com/_plugin/kibana/#/discover/Steve-Slow-Train-Analysis-(2080s-and-2083s)?_g=(refreshInterval:(display:Off,section:0,value:0),time:(from:'2016-11-02 03:09:26-0600',mode:absolute,to:'2016-11-02 04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6" si="5">IF(AA13&lt;IF(AG13="EC",23,5.65),"Y","N")</f>
        <v>Y</v>
      </c>
      <c r="X13" s="177" t="e">
        <f>VALUE(LEFT(AD13,4))-VALUE(LEFT(AD12,4))</f>
        <v>#VALUE!</v>
      </c>
      <c r="Y13" s="67">
        <f>RIGHT(D13,LEN(D13)-4)/10000</f>
        <v>4.4600000000000001E-2</v>
      </c>
      <c r="Z13" s="67">
        <f>RIGHT(H13,LEN(H13)-4)/10000</f>
        <v>4.4600000000000001E-2</v>
      </c>
      <c r="AA13" s="67">
        <f t="shared" ref="AA13:AA76" si="6">ABS(Z13-Y13)</f>
        <v>0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7">IF(LEN(A13)=6,"0"&amp;A13,A13)</f>
        <v>0101-02</v>
      </c>
      <c r="AE13" s="91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13" s="88" t="str">
        <f t="shared" ref="AF13:AF76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/stypes="app*4009*20161102*" /stext=" 09:.+((SYSTEM_STATE.+slice.+state.+changed )|(ment ac)|(system.+state.+changed )|(\[timeout)|(PRM\|1\|D)|(kpr)|(kdp)|(\|lc)|(penalty))" /e /r /s</v>
      </c>
      <c r="AG13" s="1" t="str">
        <f t="shared" ref="AG13:AG76" si="10">IFERROR(IF(VALUE(LEFT(AD13,2))&lt;=2,"EC",IF(OR(VALUE(LEFT(AD13,2))=8,VALUE(LEFT(AD13,2))=18),"NW","Other")),"Other")</f>
        <v>EC</v>
      </c>
      <c r="AH13" s="92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4009 --swversion DE.1.0.8.0 --startMP 204:446 --initTime 2016-11-02T04:09:26 --startdatetime 2016-11-02T03:22:28 --delay 0 --endMP 204:446 --enddatetime 2016-11-02T03:23:28 --enforcementcount 0 &gt;&gt;C:\Users\stu\Documents\GitHub\eaglep3-reporting\EC\2016-11-02-refined-times.txt</v>
      </c>
      <c r="AI13" s="122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 due to CCROC/crew/equipment mismatch","project_id":79,"tracker_id":40,"status_id":1,"priority_id":2,"assigned_to_id":23,"start_date":"2016-11-02","description":"","custom_fields":[{"id":1,"name":"Subdivision","value":"EC"},{"id":4,"name":"Milepost","value":"0.0446"},{"id":17,"name":"Train ID","value":"101-02"},{"id":16,"name":"Locomotive ID","value":"4009"},{"id":130,"name":"Impact","value":""},{"id":150,"name":"Time of Event (Mountain Time)","value":"03:23:28"},{"id":151,"name":"Denver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443</v>
      </c>
      <c r="B14" s="7">
        <v>4054</v>
      </c>
      <c r="C14" s="22" t="s">
        <v>249</v>
      </c>
      <c r="D14" s="22" t="s">
        <v>639</v>
      </c>
      <c r="E14" s="13">
        <v>42676.173217592594</v>
      </c>
      <c r="F14" s="13">
        <v>42676.174641203703</v>
      </c>
      <c r="G14" s="7">
        <v>0</v>
      </c>
      <c r="H14" s="13" t="s">
        <v>205</v>
      </c>
      <c r="I14" s="13">
        <v>42676.200972222221</v>
      </c>
      <c r="J14" s="7">
        <v>0</v>
      </c>
      <c r="K14" s="112" t="str">
        <f t="shared" si="0"/>
        <v>4053/4054</v>
      </c>
      <c r="L14" s="22" t="str">
        <f>VLOOKUP(A14,'Trips&amp;Operators'!$C$1:$E$10000,3,FALSE)</f>
        <v>MAELZER</v>
      </c>
      <c r="M14" s="6">
        <f t="shared" si="1"/>
        <v>2.6331018518249039E-2</v>
      </c>
      <c r="N14" s="7">
        <f t="shared" ref="N14:N45" si="13">24*60*SUM($M14:$M14)</f>
        <v>37.916666666278616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03:09:26-0600',mode:absolute,to:'2016-11-02 05:49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" s="52" t="str">
        <f t="shared" si="5"/>
        <v>N</v>
      </c>
      <c r="X14" s="177">
        <f t="shared" ref="X14:X15" si="14">VALUE(LEFT(AD14,4))-VALUE(LEFT(AD13,4))</f>
        <v>1</v>
      </c>
      <c r="Y14" s="67">
        <f>RIGHT(D14,LEN(D14)-4)/10000</f>
        <v>23.276499999999999</v>
      </c>
      <c r="Z14" s="67">
        <f>RIGHT(H14,LEN(H14)-4)/10000</f>
        <v>1.49E-2</v>
      </c>
      <c r="AA14" s="67">
        <f t="shared" si="6"/>
        <v>23.261599999999998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7"/>
        <v>0102-02</v>
      </c>
      <c r="AE14" s="91" t="str">
        <f t="shared" si="8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14" s="88" t="str">
        <f t="shared" si="9"/>
        <v>"C:\Program Files (x86)\AstroGrep\AstroGrep.exe" /spath="%USERPROFILE%\AppData\Local\Temp\OnboardLogs" /stypes="app*4054*20161102*" /stext=" 10:.+((SYSTEM_STATE.+slice.+state.+changed )|(ment ac)|(system.+state.+changed )|(\[timeout)|(PRM\|1\|D)|(kpr)|(kdp)|(\|lc)|(penalty))" /e /r /s</v>
      </c>
      <c r="AG14" s="1" t="str">
        <f t="shared" si="10"/>
        <v>EC</v>
      </c>
      <c r="AH14" s="92" t="str">
        <f t="shared" ref="AH14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4054 --swversion DE.1.0.8.0 --startMP 204:232765 --initTime 2016-11-02T04:09:26 --startdatetime 2016-11-02T04:11:29 --delay 0 --endMP 204:149 --enddatetime 2016-11-02T04:49:24 --enforcementcount 0 &gt;&gt;C:\Users\stu\Documents\GitHub\eaglep3-reporting\EC\2016-11-02-refined-times.txt</v>
      </c>
      <c r="AI14" s="122" t="str">
        <f t="shared" ref="AI14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{"issue":{"subject":"","project_id":79,"tracker_id":40,"status_id":1,"priority_id":2,"assigned_to_id":23,"start_date":"2016-11-02","description":"","custom_fields":[{"id":1,"name":"Subdivision","value":"EC"},{"id":4,"name":"Milepost","value":"0.0149"},{"id":17,"name":"Train ID","value":"102-02"},{"id":16,"name":"Locomotive ID","value":"4054"},{"id":130,"name":"Impact","value":""},{"id":150,"name":"Time of Event (Mountain Time)","value":"04:49:24"},{"id":151,"name":"Denver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7" t="s">
        <v>439</v>
      </c>
      <c r="B15" s="7">
        <v>4018</v>
      </c>
      <c r="C15" s="22" t="s">
        <v>249</v>
      </c>
      <c r="D15" s="22" t="s">
        <v>640</v>
      </c>
      <c r="E15" s="13">
        <v>42676.155682870369</v>
      </c>
      <c r="F15" s="13">
        <v>42676.157222222224</v>
      </c>
      <c r="G15" s="7">
        <v>1</v>
      </c>
      <c r="H15" s="13" t="s">
        <v>641</v>
      </c>
      <c r="I15" s="13">
        <v>42676.18236111111</v>
      </c>
      <c r="J15" s="7">
        <v>0</v>
      </c>
      <c r="K15" s="112" t="str">
        <f t="shared" si="0"/>
        <v>4017/4018</v>
      </c>
      <c r="L15" s="22" t="str">
        <f>VLOOKUP(A15,'Trips&amp;Operators'!$C$1:$E$10000,3,FALSE)</f>
        <v>LALONDE</v>
      </c>
      <c r="M15" s="6">
        <f t="shared" si="1"/>
        <v>2.5138888886431232E-2</v>
      </c>
      <c r="N15" s="7">
        <f t="shared" si="13"/>
        <v>36.199999996460974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02:44:11-0600',mode:absolute,to:'2016-11-02 05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52" t="str">
        <f t="shared" si="5"/>
        <v>N</v>
      </c>
      <c r="X15" s="177">
        <f t="shared" si="14"/>
        <v>1</v>
      </c>
      <c r="Y15" s="67">
        <f t="shared" ref="Y15:Y76" si="17">RIGHT(D15,LEN(D15)-4)/10000</f>
        <v>7.3200000000000001E-2</v>
      </c>
      <c r="Z15" s="67">
        <f t="shared" ref="Z15:Z76" si="18">RIGHT(H15,LEN(H15)-4)/10000</f>
        <v>23.3368</v>
      </c>
      <c r="AA15" s="67">
        <f t="shared" si="6"/>
        <v>23.2636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7"/>
        <v>0103-02</v>
      </c>
      <c r="AE15" s="91" t="str">
        <f t="shared" si="8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5" s="88" t="str">
        <f t="shared" si="9"/>
        <v>"C:\Program Files (x86)\AstroGrep\AstroGrep.exe" /spath="%USERPROFILE%\AppData\Local\Temp\OnboardLogs" /stypes="app*4018*20161102*" /stext=" 10:.+((SYSTEM_STATE.+slice.+state.+changed )|(ment ac)|(system.+state.+changed )|(\[timeout)|(PRM\|1\|D)|(kpr)|(kdp)|(\|lc)|(penalty))" /e /r /s</v>
      </c>
      <c r="AG15" s="1" t="str">
        <f t="shared" si="10"/>
        <v>EC</v>
      </c>
      <c r="AH15" s="92" t="str">
        <f t="shared" ref="AH15:AH76" si="19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103-02 --locoid 4018 --swversion DE.1.0.8.0 --startMP 204:732 --initTime 2016-11-02T03:44:11 --startdatetime 2016-11-02T03:46:24 --delay 1 --endMP 204:233368 --enddatetime 2016-11-02T04:22:36 --enforcementcount 0 &gt;&gt;C:\Users\stu\Documents\GitHub\eaglep3-reporting\EC\2016-11-02-refined-times.txt</v>
      </c>
      <c r="AI15" s="122" t="str">
        <f t="shared" ref="AI15:AI76" si="20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{"issue":{"subject":"","project_id":79,"tracker_id":40,"status_id":1,"priority_id":2,"assigned_to_id":23,"start_date":"2016-11-02","description":"","custom_fields":[{"id":1,"name":"Subdivision","value":"EC"},{"id":4,"name":"Milepost","value":"23.3368"},{"id":17,"name":"Train ID","value":"103-02"},{"id":16,"name":"Locomotive ID","value":"4018"},{"id":130,"name":"Impact","value":""},{"id":150,"name":"Time of Event (Mountain Time)","value":"04:22:36"},{"id":151,"name":"Denver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438</v>
      </c>
      <c r="B16" s="7">
        <v>4001</v>
      </c>
      <c r="C16" s="22" t="s">
        <v>249</v>
      </c>
      <c r="D16" s="22" t="s">
        <v>642</v>
      </c>
      <c r="E16" s="13">
        <v>42676.189398148148</v>
      </c>
      <c r="F16" s="13">
        <v>42676.195347222223</v>
      </c>
      <c r="G16" s="7">
        <v>1</v>
      </c>
      <c r="H16" s="13" t="s">
        <v>203</v>
      </c>
      <c r="I16" s="13">
        <v>42676.223865740743</v>
      </c>
      <c r="J16" s="7">
        <v>0</v>
      </c>
      <c r="K16" s="112" t="str">
        <f t="shared" si="0"/>
        <v>4001/4002</v>
      </c>
      <c r="L16" s="22" t="str">
        <f>VLOOKUP(A16,'Trips&amp;Operators'!$C$1:$E$10000,3,FALSE)</f>
        <v>LALONDE</v>
      </c>
      <c r="M16" s="6">
        <f t="shared" si="1"/>
        <v>2.8518518520286307E-2</v>
      </c>
      <c r="N16" s="7">
        <f t="shared" si="13"/>
        <v>41.066666669212282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03:32:44-0600',mode:absolute,to:'2016-11-02 06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" s="52" t="str">
        <f t="shared" si="5"/>
        <v>N</v>
      </c>
      <c r="X16" s="177">
        <f t="shared" ref="X16:X44" si="21">VALUE(LEFT(AD16,4))-VALUE(LEFT(AD15,4))</f>
        <v>1</v>
      </c>
      <c r="Y16" s="67">
        <f t="shared" si="17"/>
        <v>23.2685</v>
      </c>
      <c r="Z16" s="67">
        <f t="shared" si="18"/>
        <v>1.54E-2</v>
      </c>
      <c r="AA16" s="67">
        <f t="shared" si="6"/>
        <v>23.2531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7"/>
        <v>0104-02</v>
      </c>
      <c r="AE16" s="91" t="str">
        <f t="shared" si="8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16" s="88" t="str">
        <f t="shared" si="9"/>
        <v>"C:\Program Files (x86)\AstroGrep\AstroGrep.exe" /spath="%USERPROFILE%\AppData\Local\Temp\OnboardLogs" /stypes="app*4001*20161102*" /stext=" 11:.+((SYSTEM_STATE.+slice.+state.+changed )|(ment ac)|(system.+state.+changed )|(\[timeout)|(PRM\|1\|D)|(kpr)|(kdp)|(\|lc)|(penalty))" /e /r /s</v>
      </c>
      <c r="AG16" s="1" t="str">
        <f t="shared" si="10"/>
        <v>EC</v>
      </c>
      <c r="AH16" s="92" t="str">
        <f t="shared" si="19"/>
        <v>"%USERPROFILE%\Documents\GitHub\eaglep3\Utilities\RefineRTDCRunTimes.py" --tripid 104-02 --locoid 4001 --swversion DE.1.0.8.0 --startMP 204:232685 --initTime 2016-11-02T04:32:44 --startdatetime 2016-11-02T04:41:18 --delay 1 --endMP 204:154 --enddatetime 2016-11-02T05:22:22 --enforcementcount 0 &gt;&gt;C:\Users\stu\Documents\GitHub\eaglep3-reporting\EC\2016-11-02-refined-times.txt</v>
      </c>
      <c r="AI1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ID","value":"104-02"},{"id":16,"name":"Locomotive ID","value":"4001"},{"id":130,"name":"Impact","value":""},{"id":150,"name":"Time of Event (Mountain Time)","value":"05:22:22"},{"id":151,"name":"Denver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442</v>
      </c>
      <c r="B17" s="7">
        <v>4038</v>
      </c>
      <c r="C17" s="22" t="s">
        <v>249</v>
      </c>
      <c r="D17" s="22" t="s">
        <v>643</v>
      </c>
      <c r="E17" s="13">
        <v>42676.167986111112</v>
      </c>
      <c r="F17" s="13">
        <v>42676.177314814813</v>
      </c>
      <c r="G17" s="7">
        <v>1</v>
      </c>
      <c r="H17" s="13" t="s">
        <v>644</v>
      </c>
      <c r="I17" s="13">
        <v>42676.201608796298</v>
      </c>
      <c r="J17" s="7">
        <v>0</v>
      </c>
      <c r="K17" s="112" t="str">
        <f t="shared" si="0"/>
        <v>4037/4038</v>
      </c>
      <c r="L17" s="22" t="str">
        <f>VLOOKUP(A17,'Trips&amp;Operators'!$C$1:$E$10000,3,FALSE)</f>
        <v>SANTIZO</v>
      </c>
      <c r="M17" s="6">
        <f t="shared" si="1"/>
        <v>2.4293981485243421E-2</v>
      </c>
      <c r="N17" s="7">
        <f t="shared" si="13"/>
        <v>34.983333338750526</v>
      </c>
      <c r="O17" s="7"/>
      <c r="P17" s="7"/>
      <c r="Q17" s="23"/>
      <c r="R17" s="23"/>
      <c r="S17" s="35">
        <f t="shared" si="2"/>
        <v>1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03:01:54-0600',mode:absolute,to:'2016-11-02 05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5"/>
        <v>N</v>
      </c>
      <c r="X17" s="177">
        <f t="shared" si="21"/>
        <v>1</v>
      </c>
      <c r="Y17" s="67">
        <f t="shared" si="17"/>
        <v>7.5700000000000003E-2</v>
      </c>
      <c r="Z17" s="67">
        <f t="shared" si="18"/>
        <v>23.3324</v>
      </c>
      <c r="AA17" s="67">
        <f t="shared" si="6"/>
        <v>23.256699999999999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7"/>
        <v>0105-02</v>
      </c>
      <c r="AE17" s="91" t="str">
        <f t="shared" si="8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7" s="88" t="str">
        <f t="shared" si="9"/>
        <v>"C:\Program Files (x86)\AstroGrep\AstroGrep.exe" /spath="%USERPROFILE%\AppData\Local\Temp\OnboardLogs" /stypes="app*4038*20161102*" /stext=" 10:.+((SYSTEM_STATE.+slice.+state.+changed )|(ment ac)|(system.+state.+changed )|(\[timeout)|(PRM\|1\|D)|(kpr)|(kdp)|(\|lc)|(penalty))" /e /r /s</v>
      </c>
      <c r="AG17" s="1" t="str">
        <f t="shared" si="10"/>
        <v>EC</v>
      </c>
      <c r="AH17" s="92" t="str">
        <f t="shared" si="19"/>
        <v>"%USERPROFILE%\Documents\GitHub\eaglep3\Utilities\RefineRTDCRunTimes.py" --tripid 105-02 --locoid 4038 --swversion DE.1.0.8.0 --startMP 204:757 --initTime 2016-11-02T04:01:54 --startdatetime 2016-11-02T04:15:20 --delay 1 --endMP 204:233324 --enddatetime 2016-11-02T04:50:19 --enforcementcount 0 &gt;&gt;C:\Users\stu\Documents\GitHub\eaglep3-reporting\EC\2016-11-02-refined-times.txt</v>
      </c>
      <c r="AI1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{"issue":{"subject":"","project_id":79,"tracker_id":40,"status_id":1,"priority_id":2,"assigned_to_id":23,"start_date":"2016-11-02","description":"","custom_fields":[{"id":1,"name":"Subdivision","value":"EC"},{"id":4,"name":"Milepost","value":"23.3324"},{"id":17,"name":"Train ID","value":"105-02"},{"id":16,"name":"Locomotive ID","value":"4038"},{"id":130,"name":"Impact","value":""},{"id":150,"name":"Time of Event (Mountain Time)","value":"04:50:19"},{"id":151,"name":"Denver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447</v>
      </c>
      <c r="B18" s="7">
        <v>4013</v>
      </c>
      <c r="C18" s="22" t="s">
        <v>249</v>
      </c>
      <c r="D18" s="22" t="s">
        <v>645</v>
      </c>
      <c r="E18" s="13">
        <v>42676.20349537037</v>
      </c>
      <c r="F18" s="13">
        <v>42676.216284722221</v>
      </c>
      <c r="G18" s="7">
        <v>1</v>
      </c>
      <c r="H18" s="13" t="s">
        <v>204</v>
      </c>
      <c r="I18" s="13">
        <v>42676.241747685184</v>
      </c>
      <c r="J18" s="7">
        <v>0</v>
      </c>
      <c r="K18" s="112" t="str">
        <f t="shared" si="0"/>
        <v>4013/4014</v>
      </c>
      <c r="L18" s="22" t="str">
        <f>VLOOKUP(A18,'Trips&amp;Operators'!$C$1:$E$10000,3,FALSE)</f>
        <v>SANTIZO</v>
      </c>
      <c r="M18" s="6">
        <f t="shared" si="1"/>
        <v>2.5462962963501923E-2</v>
      </c>
      <c r="N18" s="7">
        <f t="shared" si="13"/>
        <v>36.666666667442769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03:53:02-0600',mode:absolute,to:'2016-11-02 06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2" t="str">
        <f t="shared" si="5"/>
        <v>N</v>
      </c>
      <c r="X18" s="177">
        <f t="shared" si="21"/>
        <v>1</v>
      </c>
      <c r="Y18" s="67">
        <f t="shared" si="17"/>
        <v>23.267499999999998</v>
      </c>
      <c r="Z18" s="67">
        <f t="shared" si="18"/>
        <v>1.4500000000000001E-2</v>
      </c>
      <c r="AA18" s="67">
        <f t="shared" si="6"/>
        <v>23.252999999999997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7"/>
        <v>0106-02</v>
      </c>
      <c r="AE18" s="91" t="str">
        <f t="shared" si="8"/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AF18" s="88" t="str">
        <f t="shared" si="9"/>
        <v>"C:\Program Files (x86)\AstroGrep\AstroGrep.exe" /spath="%USERPROFILE%\AppData\Local\Temp\OnboardLogs" /stypes="app*4013*20161102*" /stext=" 11:.+((SYSTEM_STATE.+slice.+state.+changed )|(ment ac)|(system.+state.+changed )|(\[timeout)|(PRM\|1\|D)|(kpr)|(kdp)|(\|lc)|(penalty))" /e /r /s</v>
      </c>
      <c r="AG18" s="1" t="str">
        <f t="shared" si="10"/>
        <v>EC</v>
      </c>
      <c r="AH18" s="92" t="str">
        <f t="shared" si="19"/>
        <v>"%USERPROFILE%\Documents\GitHub\eaglep3\Utilities\RefineRTDCRunTimes.py" --tripid 106-02 --locoid 4013 --swversion DE.1.0.8.0 --startMP 204:232675 --initTime 2016-11-02T04:53:02 --startdatetime 2016-11-02T05:11:27 --delay 1 --endMP 204:145 --enddatetime 2016-11-02T05:48:07 --enforcementcount 0 &gt;&gt;C:\Users\stu\Documents\GitHub\eaglep3-reporting\EC\2016-11-02-refined-times.txt</v>
      </c>
      <c r="AI1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ID","value":"106-02"},{"id":16,"name":"Locomotive ID","value":"4013"},{"id":130,"name":"Impact","value":""},{"id":150,"name":"Time of Event (Mountain Time)","value":"05:48:07"},{"id":151,"name":"Denver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446</v>
      </c>
      <c r="B19" s="7">
        <v>4007</v>
      </c>
      <c r="C19" s="22" t="s">
        <v>249</v>
      </c>
      <c r="D19" s="22" t="s">
        <v>208</v>
      </c>
      <c r="E19" s="13">
        <v>42676.188263888886</v>
      </c>
      <c r="F19" s="13">
        <v>42676.190324074072</v>
      </c>
      <c r="G19" s="7">
        <v>1</v>
      </c>
      <c r="H19" s="13" t="s">
        <v>317</v>
      </c>
      <c r="I19" s="13">
        <v>42676.216053240743</v>
      </c>
      <c r="J19" s="7">
        <v>0</v>
      </c>
      <c r="K19" s="112" t="str">
        <f t="shared" si="0"/>
        <v>4007/4008</v>
      </c>
      <c r="L19" s="22" t="str">
        <f>VLOOKUP(A19,'Trips&amp;Operators'!$C$1:$E$10000,3,FALSE)</f>
        <v>RICHARDSON</v>
      </c>
      <c r="M19" s="6">
        <f t="shared" si="1"/>
        <v>2.5729166671226267E-2</v>
      </c>
      <c r="N19" s="7">
        <f t="shared" si="13"/>
        <v>37.050000006565824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03:31:06-0600',mode:absolute,to:'2016-11-02 06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" s="52" t="str">
        <f t="shared" si="5"/>
        <v>N</v>
      </c>
      <c r="X19" s="177">
        <f t="shared" si="21"/>
        <v>1</v>
      </c>
      <c r="Y19" s="67">
        <f t="shared" si="17"/>
        <v>4.4699999999999997E-2</v>
      </c>
      <c r="Z19" s="67">
        <f t="shared" si="18"/>
        <v>23.331199999999999</v>
      </c>
      <c r="AA19" s="67">
        <f t="shared" si="6"/>
        <v>23.2865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7"/>
        <v>0107-02</v>
      </c>
      <c r="AE19" s="91" t="str">
        <f t="shared" si="8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9" s="88" t="str">
        <f t="shared" si="9"/>
        <v>"C:\Program Files (x86)\AstroGrep\AstroGrep.exe" /spath="%USERPROFILE%\AppData\Local\Temp\OnboardLogs" /stypes="app*4007*20161102*" /stext=" 11:.+((SYSTEM_STATE.+slice.+state.+changed )|(ment ac)|(system.+state.+changed )|(\[timeout)|(PRM\|1\|D)|(kpr)|(kdp)|(\|lc)|(penalty))" /e /r /s</v>
      </c>
      <c r="AG19" s="1" t="str">
        <f t="shared" si="10"/>
        <v>EC</v>
      </c>
      <c r="AH19" s="92" t="str">
        <f t="shared" si="19"/>
        <v>"%USERPROFILE%\Documents\GitHub\eaglep3\Utilities\RefineRTDCRunTimes.py" --tripid 107-02 --locoid 4007 --swversion DE.1.0.8.0 --startMP 204:447 --initTime 2016-11-02T04:31:06 --startdatetime 2016-11-02T04:34:04 --delay 1 --endMP 204:233312 --enddatetime 2016-11-02T05:11:07 --enforcementcount 0 &gt;&gt;C:\Users\stu\Documents\GitHub\eaglep3-reporting\EC\2016-11-02-refined-times.txt</v>
      </c>
      <c r="AI19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ID","value":"107-02"},{"id":16,"name":"Locomotive ID","value":"4007"},{"id":130,"name":"Impact","value":""},{"id":150,"name":"Time of Event (Mountain Time)","value":"05:11:07"},{"id":151,"name":"Denver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452</v>
      </c>
      <c r="B20" s="7">
        <v>4008</v>
      </c>
      <c r="C20" s="22" t="s">
        <v>249</v>
      </c>
      <c r="D20" s="22" t="s">
        <v>646</v>
      </c>
      <c r="E20" s="13">
        <v>42676.221168981479</v>
      </c>
      <c r="F20" s="13">
        <v>42676.226574074077</v>
      </c>
      <c r="G20" s="7">
        <v>1</v>
      </c>
      <c r="H20" s="13" t="s">
        <v>239</v>
      </c>
      <c r="I20" s="13">
        <v>42676.252430555556</v>
      </c>
      <c r="J20" s="7">
        <v>0</v>
      </c>
      <c r="K20" s="112" t="str">
        <f t="shared" si="0"/>
        <v>4007/4008</v>
      </c>
      <c r="L20" s="22" t="str">
        <f>VLOOKUP(A20,'Trips&amp;Operators'!$C$1:$E$10000,3,FALSE)</f>
        <v>RICHARDSON</v>
      </c>
      <c r="M20" s="6">
        <f t="shared" si="1"/>
        <v>2.5856481479422655E-2</v>
      </c>
      <c r="N20" s="7">
        <f t="shared" si="13"/>
        <v>37.233333330368623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04:18:29-0600',mode:absolute,to:'2016-11-02 07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" s="52" t="str">
        <f t="shared" si="5"/>
        <v>N</v>
      </c>
      <c r="X20" s="177">
        <f t="shared" si="21"/>
        <v>1</v>
      </c>
      <c r="Y20" s="67">
        <f t="shared" si="17"/>
        <v>23.2989</v>
      </c>
      <c r="Z20" s="67">
        <f t="shared" si="18"/>
        <v>1.67E-2</v>
      </c>
      <c r="AA20" s="67">
        <f t="shared" si="6"/>
        <v>23.2822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7"/>
        <v>0108-02</v>
      </c>
      <c r="AE20" s="91" t="str">
        <f t="shared" si="8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20" s="88" t="str">
        <f t="shared" si="9"/>
        <v>"C:\Program Files (x86)\AstroGrep\AstroGrep.exe" /spath="%USERPROFILE%\AppData\Local\Temp\OnboardLogs" /stypes="app*4008*20161102*" /stext=" 12:.+((SYSTEM_STATE.+slice.+state.+changed )|(ment ac)|(system.+state.+changed )|(\[timeout)|(PRM\|1\|D)|(kpr)|(kdp)|(\|lc)|(penalty))" /e /r /s</v>
      </c>
      <c r="AG20" s="1" t="str">
        <f t="shared" si="10"/>
        <v>EC</v>
      </c>
      <c r="AH20" s="92" t="str">
        <f t="shared" si="19"/>
        <v>"%USERPROFILE%\Documents\GitHub\eaglep3\Utilities\RefineRTDCRunTimes.py" --tripid 108-02 --locoid 4008 --swversion DE.1.0.8.0 --startMP 204:232989 --initTime 2016-11-02T05:18:29 --startdatetime 2016-11-02T05:26:16 --delay 1 --endMP 204:167 --enddatetime 2016-11-02T06:03:30 --enforcementcount 0 &gt;&gt;C:\Users\stu\Documents\GitHub\eaglep3-reporting\EC\2016-11-02-refined-times.txt</v>
      </c>
      <c r="AI2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{"issue":{"subject":"","project_id":79,"tracker_id":40,"status_id":1,"priority_id":2,"assigned_to_id":23,"start_date":"2016-11-02","description":"","custom_fields":[{"id":1,"name":"Subdivision","value":"EC"},{"id":4,"name":"Milepost","value":"0.0167"},{"id":17,"name":"Train ID","value":"108-02"},{"id":16,"name":"Locomotive ID","value":"4008"},{"id":130,"name":"Impact","value":""},{"id":150,"name":"Time of Event (Mountain Time)","value":"06:03:30"},{"id":151,"name":"Denver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398</v>
      </c>
      <c r="B21" s="7">
        <v>4003</v>
      </c>
      <c r="C21" s="22" t="s">
        <v>249</v>
      </c>
      <c r="D21" s="22" t="s">
        <v>213</v>
      </c>
      <c r="E21" s="13">
        <v>42676.195555555554</v>
      </c>
      <c r="F21" s="13">
        <v>42676.198148148149</v>
      </c>
      <c r="G21" s="7">
        <v>1</v>
      </c>
      <c r="H21" s="13" t="s">
        <v>270</v>
      </c>
      <c r="I21" s="13">
        <v>42676.223611111112</v>
      </c>
      <c r="J21" s="7">
        <v>0</v>
      </c>
      <c r="K21" s="112" t="str">
        <f t="shared" si="0"/>
        <v>4003/4004</v>
      </c>
      <c r="L21" s="22" t="str">
        <f>VLOOKUP(A21,'Trips&amp;Operators'!$C$1:$E$10000,3,FALSE)</f>
        <v>BADERTSCHER</v>
      </c>
      <c r="M21" s="6">
        <f t="shared" si="1"/>
        <v>2.5462962963501923E-2</v>
      </c>
      <c r="N21" s="7">
        <f t="shared" si="13"/>
        <v>36.666666667442769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03:41:36-0600',mode:absolute,to:'2016-11-02 06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" s="52" t="str">
        <f t="shared" si="5"/>
        <v>N</v>
      </c>
      <c r="X21" s="177">
        <f t="shared" si="21"/>
        <v>1</v>
      </c>
      <c r="Y21" s="67">
        <f t="shared" si="17"/>
        <v>4.4600000000000001E-2</v>
      </c>
      <c r="Z21" s="67">
        <f t="shared" si="18"/>
        <v>23.3278</v>
      </c>
      <c r="AA21" s="67">
        <f t="shared" si="6"/>
        <v>23.283200000000001</v>
      </c>
      <c r="AB21" s="64" t="str">
        <f>VLOOKUP(A21,Enforcements!$C$7:$K$21,8,0)</f>
        <v>Bulletin (2)</v>
      </c>
      <c r="AC21" s="60" t="str">
        <f>VLOOKUP(A21,Enforcements!$C$7:$E$21,3,0)</f>
        <v>GRADE CROSSING</v>
      </c>
      <c r="AD21" s="61" t="str">
        <f t="shared" si="7"/>
        <v>0109-02</v>
      </c>
      <c r="AE21" s="91" t="str">
        <f t="shared" si="8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21" s="88" t="str">
        <f t="shared" si="9"/>
        <v>"C:\Program Files (x86)\AstroGrep\AstroGrep.exe" /spath="%USERPROFILE%\AppData\Local\Temp\OnboardLogs" /stypes="app*4003*20161102*" /stext=" 11:.+((SYSTEM_STATE.+slice.+state.+changed )|(ment ac)|(system.+state.+changed )|(\[timeout)|(PRM\|1\|D)|(kpr)|(kdp)|(\|lc)|(penalty))" /e /r /s</v>
      </c>
      <c r="AG21" s="1" t="str">
        <f t="shared" si="10"/>
        <v>EC</v>
      </c>
      <c r="AH21" s="92" t="str">
        <f t="shared" si="19"/>
        <v>"%USERPROFILE%\Documents\GitHub\eaglep3\Utilities\RefineRTDCRunTimes.py" --tripid 109-02 --locoid 4003 --swversion DE.1.0.8.0 --startMP 204:446 --initTime 2016-11-02T04:41:36 --startdatetime 2016-11-02T04:45:20 --delay 1 --endMP 204:233278 --enddatetime 2016-11-02T05:22:00 --enforcementcount 0 &gt;&gt;C:\Users\stu\Documents\GitHub\eaglep3-reporting\EC\2016-11-02-refined-times.txt</v>
      </c>
      <c r="AI2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{"issue":{"subject":"","project_id":79,"tracker_id":40,"status_id":1,"priority_id":2,"assigned_to_id":23,"start_date":"2016-11-02","description":"","custom_fields":[{"id":1,"name":"Subdivision","value":"EC"},{"id":4,"name":"Milepost","value":"23.3278"},{"id":17,"name":"Train ID","value":"109-02"},{"id":16,"name":"Locomotive ID","value":"4003"},{"id":130,"name":"Impact","value":""},{"id":150,"name":"Time of Event (Mountain Time)","value":"05:22:00"},{"id":151,"name":"Denver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4004</v>
      </c>
      <c r="C22" s="22" t="s">
        <v>249</v>
      </c>
      <c r="D22" s="22" t="s">
        <v>246</v>
      </c>
      <c r="E22" s="13">
        <v>42676.22965277778</v>
      </c>
      <c r="F22" s="13">
        <v>42676.237013888887</v>
      </c>
      <c r="G22" s="7">
        <v>2</v>
      </c>
      <c r="H22" s="13" t="s">
        <v>226</v>
      </c>
      <c r="I22" s="13">
        <v>42676.263009259259</v>
      </c>
      <c r="J22" s="7">
        <v>0</v>
      </c>
      <c r="K22" s="112" t="str">
        <f t="shared" si="0"/>
        <v>4003/4004</v>
      </c>
      <c r="L22" s="22" t="str">
        <f>VLOOKUP(A22,'Trips&amp;Operators'!$C$1:$E$10000,3,FALSE)</f>
        <v>BADERTSCHER</v>
      </c>
      <c r="M22" s="6">
        <f t="shared" si="1"/>
        <v>2.5995370371674653E-2</v>
      </c>
      <c r="N22" s="7">
        <f t="shared" si="13"/>
        <v>37.433333335211501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04:30:42-0600',mode:absolute,to:'2016-11-02 07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" s="52" t="str">
        <f t="shared" si="5"/>
        <v>N</v>
      </c>
      <c r="X22" s="177">
        <f t="shared" si="21"/>
        <v>1</v>
      </c>
      <c r="Y22" s="67">
        <f t="shared" si="17"/>
        <v>23.296900000000001</v>
      </c>
      <c r="Z22" s="67">
        <f t="shared" si="18"/>
        <v>1.5599999999999999E-2</v>
      </c>
      <c r="AA22" s="67">
        <f t="shared" si="6"/>
        <v>23.281300000000002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7"/>
        <v>0110-02</v>
      </c>
      <c r="AE22" s="91" t="str">
        <f t="shared" si="8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22" s="88" t="str">
        <f t="shared" si="9"/>
        <v>"C:\Program Files (x86)\AstroGrep\AstroGrep.exe" /spath="%USERPROFILE%\AppData\Local\Temp\OnboardLogs" /stypes="app*4004*20161102*" /stext=" 12:.+((SYSTEM_STATE.+slice.+state.+changed )|(ment ac)|(system.+state.+changed )|(\[timeout)|(PRM\|1\|D)|(kpr)|(kdp)|(\|lc)|(penalty))" /e /r /s</v>
      </c>
      <c r="AG22" s="1" t="str">
        <f t="shared" si="10"/>
        <v>EC</v>
      </c>
      <c r="AH22" s="92" t="str">
        <f t="shared" si="19"/>
        <v>"%USERPROFILE%\Documents\GitHub\eaglep3\Utilities\RefineRTDCRunTimes.py" --tripid 110-02 --locoid 4004 --swversion DE.1.0.8.0 --startMP 204:232969 --initTime 2016-11-02T05:30:42 --startdatetime 2016-11-02T05:41:18 --delay 2 --endMP 204:156 --enddatetime 2016-11-02T06:18:44 --enforcementcount 0 &gt;&gt;C:\Users\stu\Documents\GitHub\eaglep3-reporting\EC\2016-11-02-refined-times.txt</v>
      </c>
      <c r="AI22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{"issue":{"subject":"","project_id":79,"tracker_id":40,"status_id":1,"priority_id":2,"assigned_to_id":23,"start_date":"2016-11-02","description":"","custom_fields":[{"id":1,"name":"Subdivision","value":"EC"},{"id":4,"name":"Milepost","value":"0.0156"},{"id":17,"name":"Train ID","value":"110-02"},{"id":16,"name":"Locomotive ID","value":"4004"},{"id":130,"name":"Impact","value":""},{"id":150,"name":"Time of Event (Mountain Time)","value":"06:18:44"},{"id":151,"name":"Denver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448</v>
      </c>
      <c r="B23" s="7">
        <v>4009</v>
      </c>
      <c r="C23" s="22" t="s">
        <v>249</v>
      </c>
      <c r="D23" s="22" t="s">
        <v>647</v>
      </c>
      <c r="E23" s="13">
        <v>42676.204444444447</v>
      </c>
      <c r="F23" s="13">
        <v>42676.208506944444</v>
      </c>
      <c r="G23" s="7">
        <v>2</v>
      </c>
      <c r="H23" s="13" t="s">
        <v>191</v>
      </c>
      <c r="I23" s="13">
        <v>42676.232719907406</v>
      </c>
      <c r="J23" s="7">
        <v>0</v>
      </c>
      <c r="K23" s="112" t="str">
        <f t="shared" si="0"/>
        <v>4009/4010</v>
      </c>
      <c r="L23" s="22" t="str">
        <f>VLOOKUP(A23,'Trips&amp;Operators'!$C$1:$E$10000,3,FALSE)</f>
        <v>ROCHA</v>
      </c>
      <c r="M23" s="6">
        <f t="shared" si="1"/>
        <v>2.421296296233777E-2</v>
      </c>
      <c r="N23" s="7">
        <f t="shared" si="13"/>
        <v>34.866666665766388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03:54:24-0600',mode:absolute,to:'2016-11-02 06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5"/>
        <v>N</v>
      </c>
      <c r="X23" s="177">
        <f t="shared" si="21"/>
        <v>1</v>
      </c>
      <c r="Y23" s="67">
        <f t="shared" si="17"/>
        <v>7.5899999999999995E-2</v>
      </c>
      <c r="Z23" s="67">
        <f t="shared" si="18"/>
        <v>23.329699999999999</v>
      </c>
      <c r="AA23" s="67">
        <f t="shared" si="6"/>
        <v>23.253799999999998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7"/>
        <v>0111-02</v>
      </c>
      <c r="AE23" s="91" t="str">
        <f t="shared" si="8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23" s="88" t="str">
        <f t="shared" si="9"/>
        <v>"C:\Program Files (x86)\AstroGrep\AstroGrep.exe" /spath="%USERPROFILE%\AppData\Local\Temp\OnboardLogs" /stypes="app*4009*20161102*" /stext=" 11:.+((SYSTEM_STATE.+slice.+state.+changed )|(ment ac)|(system.+state.+changed )|(\[timeout)|(PRM\|1\|D)|(kpr)|(kdp)|(\|lc)|(penalty))" /e /r /s</v>
      </c>
      <c r="AG23" s="1" t="str">
        <f t="shared" si="10"/>
        <v>EC</v>
      </c>
      <c r="AH23" s="92" t="str">
        <f t="shared" si="19"/>
        <v>"%USERPROFILE%\Documents\GitHub\eaglep3\Utilities\RefineRTDCRunTimes.py" --tripid 111-02 --locoid 4009 --swversion DE.1.0.8.0 --startMP 204:759 --initTime 2016-11-02T04:54:24 --startdatetime 2016-11-02T05:00:15 --delay 2 --endMP 204:233297 --enddatetime 2016-11-02T05:35:07 --enforcementcount 0 &gt;&gt;C:\Users\stu\Documents\GitHub\eaglep3-reporting\EC\2016-11-02-refined-times.txt</v>
      </c>
      <c r="AI2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{"issue":{"subject":"","project_id":79,"tracker_id":40,"status_id":1,"priority_id":2,"assigned_to_id":23,"start_date":"2016-11-02","description":"","custom_fields":[{"id":1,"name":"Subdivision","value":"EC"},{"id":4,"name":"Milepost","value":"23.3297"},{"id":17,"name":"Train ID","value":"111-02"},{"id":16,"name":"Locomotive ID","value":"4009"},{"id":130,"name":"Impact","value":""},{"id":150,"name":"Time of Event (Mountain Time)","value":"05:35:07"},{"id":151,"name":"Denver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459</v>
      </c>
      <c r="B24" s="7">
        <v>4010</v>
      </c>
      <c r="C24" s="22" t="s">
        <v>249</v>
      </c>
      <c r="D24" s="22" t="s">
        <v>247</v>
      </c>
      <c r="E24" s="13">
        <v>42676.245972222219</v>
      </c>
      <c r="F24" s="13">
        <v>42676.247488425928</v>
      </c>
      <c r="G24" s="7">
        <v>1</v>
      </c>
      <c r="H24" s="13" t="s">
        <v>243</v>
      </c>
      <c r="I24" s="13">
        <v>42676.272569444445</v>
      </c>
      <c r="J24" s="7">
        <v>0</v>
      </c>
      <c r="K24" s="112" t="str">
        <f t="shared" si="0"/>
        <v>4009/4010</v>
      </c>
      <c r="L24" s="22" t="str">
        <f>VLOOKUP(A24,'Trips&amp;Operators'!$C$1:$E$10000,3,FALSE)</f>
        <v>ROCHA</v>
      </c>
      <c r="M24" s="6">
        <f t="shared" si="1"/>
        <v>2.5081018517084885E-2</v>
      </c>
      <c r="N24" s="7">
        <f t="shared" si="13"/>
        <v>36.116666664602235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04:54:12-0600',mode:absolute,to:'2016-11-02 07:32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" s="52" t="str">
        <f t="shared" si="5"/>
        <v>N</v>
      </c>
      <c r="X24" s="177">
        <f t="shared" si="21"/>
        <v>1</v>
      </c>
      <c r="Y24" s="67">
        <f t="shared" si="17"/>
        <v>23.298100000000002</v>
      </c>
      <c r="Z24" s="67">
        <f t="shared" si="18"/>
        <v>1.61E-2</v>
      </c>
      <c r="AA24" s="67">
        <f t="shared" si="6"/>
        <v>23.282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7"/>
        <v>0112-02</v>
      </c>
      <c r="AE24" s="91" t="str">
        <f t="shared" si="8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24" s="88" t="str">
        <f t="shared" si="9"/>
        <v>"C:\Program Files (x86)\AstroGrep\AstroGrep.exe" /spath="%USERPROFILE%\AppData\Local\Temp\OnboardLogs" /stypes="app*4010*20161102*" /stext=" 12:.+((SYSTEM_STATE.+slice.+state.+changed )|(ment ac)|(system.+state.+changed )|(\[timeout)|(PRM\|1\|D)|(kpr)|(kdp)|(\|lc)|(penalty))" /e /r /s</v>
      </c>
      <c r="AG24" s="1" t="str">
        <f t="shared" si="10"/>
        <v>EC</v>
      </c>
      <c r="AH24" s="92" t="str">
        <f t="shared" si="19"/>
        <v>"%USERPROFILE%\Documents\GitHub\eaglep3\Utilities\RefineRTDCRunTimes.py" --tripid 112-02 --locoid 4010 --swversion DE.1.0.8.0 --startMP 204:232981 --initTime 2016-11-02T05:54:12 --startdatetime 2016-11-02T05:56:23 --delay 1 --endMP 204:161 --enddatetime 2016-11-02T06:32:30 --enforcementcount 0 &gt;&gt;C:\Users\stu\Documents\GitHub\eaglep3-reporting\EC\2016-11-02-refined-times.txt</v>
      </c>
      <c r="AI2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{"issue":{"subject":"","project_id":79,"tracker_id":40,"status_id":1,"priority_id":2,"assigned_to_id":23,"start_date":"2016-11-02","description":"","custom_fields":[{"id":1,"name":"Subdivision","value":"EC"},{"id":4,"name":"Milepost","value":"0.0161"},{"id":17,"name":"Train ID","value":"112-02"},{"id":16,"name":"Locomotive ID","value":"4010"},{"id":130,"name":"Impact","value":""},{"id":150,"name":"Time of Event (Mountain Time)","value":"06:32:30"},{"id":151,"name":"Denver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451</v>
      </c>
      <c r="B25" s="7">
        <v>4053</v>
      </c>
      <c r="C25" s="22" t="s">
        <v>249</v>
      </c>
      <c r="D25" s="22" t="s">
        <v>210</v>
      </c>
      <c r="E25" s="13">
        <v>42676.215983796297</v>
      </c>
      <c r="F25" s="13">
        <v>42676.219039351854</v>
      </c>
      <c r="G25" s="7">
        <v>1</v>
      </c>
      <c r="H25" s="13" t="s">
        <v>353</v>
      </c>
      <c r="I25" s="13">
        <v>42676.244351851848</v>
      </c>
      <c r="J25" s="7">
        <v>0</v>
      </c>
      <c r="K25" s="112" t="str">
        <f t="shared" si="0"/>
        <v>4053/4054</v>
      </c>
      <c r="L25" s="22" t="str">
        <f>VLOOKUP(A25,'Trips&amp;Operators'!$C$1:$E$10000,3,FALSE)</f>
        <v>MAELZER</v>
      </c>
      <c r="M25" s="6">
        <f t="shared" si="1"/>
        <v>2.5312499994470272E-2</v>
      </c>
      <c r="N25" s="7">
        <f t="shared" si="13"/>
        <v>36.449999992037192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04:11:01-0600',mode:absolute,to:'2016-11-02 06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5" s="52" t="str">
        <f t="shared" si="5"/>
        <v>N</v>
      </c>
      <c r="X25" s="177">
        <f t="shared" si="21"/>
        <v>1</v>
      </c>
      <c r="Y25" s="67">
        <f t="shared" si="17"/>
        <v>4.5499999999999999E-2</v>
      </c>
      <c r="Z25" s="67">
        <f t="shared" si="18"/>
        <v>23.329899999999999</v>
      </c>
      <c r="AA25" s="67">
        <f t="shared" si="6"/>
        <v>23.284399999999998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7"/>
        <v>0113-02</v>
      </c>
      <c r="AE25" s="91" t="str">
        <f t="shared" si="8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25" s="88" t="str">
        <f t="shared" si="9"/>
        <v>"C:\Program Files (x86)\AstroGrep\AstroGrep.exe" /spath="%USERPROFILE%\AppData\Local\Temp\OnboardLogs" /stypes="app*4053*20161102*" /stext=" 11:.+((SYSTEM_STATE.+slice.+state.+changed )|(ment ac)|(system.+state.+changed )|(\[timeout)|(PRM\|1\|D)|(kpr)|(kdp)|(\|lc)|(penalty))" /e /r /s</v>
      </c>
      <c r="AG25" s="1" t="str">
        <f t="shared" si="10"/>
        <v>EC</v>
      </c>
      <c r="AH25" s="92" t="str">
        <f t="shared" si="19"/>
        <v>"%USERPROFILE%\Documents\GitHub\eaglep3\Utilities\RefineRTDCRunTimes.py" --tripid 113-02 --locoid 4053 --swversion DE.1.0.8.0 --startMP 204:455 --initTime 2016-11-02T05:11:01 --startdatetime 2016-11-02T05:15:25 --delay 1 --endMP 204:233299 --enddatetime 2016-11-02T05:51:52 --enforcementcount 0 &gt;&gt;C:\Users\stu\Documents\GitHub\eaglep3-reporting\EC\2016-11-02-refined-times.txt</v>
      </c>
      <c r="AI25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{"issue":{"subject":"","project_id":79,"tracker_id":40,"status_id":1,"priority_id":2,"assigned_to_id":23,"start_date":"2016-11-02","description":"","custom_fields":[{"id":1,"name":"Subdivision","value":"EC"},{"id":4,"name":"Milepost","value":"23.3299"},{"id":17,"name":"Train ID","value":"113-02"},{"id":16,"name":"Locomotive ID","value":"4053"},{"id":130,"name":"Impact","value":""},{"id":150,"name":"Time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460</v>
      </c>
      <c r="B26" s="7">
        <v>4054</v>
      </c>
      <c r="C26" s="22" t="s">
        <v>249</v>
      </c>
      <c r="D26" s="22" t="s">
        <v>224</v>
      </c>
      <c r="E26" s="13">
        <v>42676.250243055554</v>
      </c>
      <c r="F26" s="13">
        <v>42676.257951388892</v>
      </c>
      <c r="G26" s="7">
        <v>1</v>
      </c>
      <c r="H26" s="13" t="s">
        <v>231</v>
      </c>
      <c r="I26" s="13">
        <v>42676.284537037034</v>
      </c>
      <c r="J26" s="7">
        <v>0</v>
      </c>
      <c r="K26" s="112" t="str">
        <f t="shared" si="0"/>
        <v>4053/4054</v>
      </c>
      <c r="L26" s="22" t="str">
        <f>VLOOKUP(A26,'Trips&amp;Operators'!$C$1:$E$10000,3,FALSE)</f>
        <v>MAELZER</v>
      </c>
      <c r="M26" s="6">
        <f t="shared" si="1"/>
        <v>2.6585648141917773E-2</v>
      </c>
      <c r="N26" s="7">
        <f t="shared" si="13"/>
        <v>38.283333324361593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05:00:21-0600',mode:absolute,to:'2016-11-02 07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6" s="52" t="str">
        <f t="shared" si="5"/>
        <v>N</v>
      </c>
      <c r="X26" s="177">
        <f t="shared" si="21"/>
        <v>1</v>
      </c>
      <c r="Y26" s="67">
        <f t="shared" si="17"/>
        <v>23.297699999999999</v>
      </c>
      <c r="Z26" s="67">
        <f t="shared" si="18"/>
        <v>1.38E-2</v>
      </c>
      <c r="AA26" s="67">
        <f t="shared" si="6"/>
        <v>23.283899999999999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7"/>
        <v>0114-02</v>
      </c>
      <c r="AE26" s="91" t="str">
        <f t="shared" si="8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26" s="88" t="str">
        <f t="shared" si="9"/>
        <v>"C:\Program Files (x86)\AstroGrep\AstroGrep.exe" /spath="%USERPROFILE%\AppData\Local\Temp\OnboardLogs" /stypes="app*4054*20161102*" /stext=" 12:.+((SYSTEM_STATE.+slice.+state.+changed )|(ment ac)|(system.+state.+changed )|(\[timeout)|(PRM\|1\|D)|(kpr)|(kdp)|(\|lc)|(penalty))" /e /r /s</v>
      </c>
      <c r="AG26" s="1" t="str">
        <f t="shared" si="10"/>
        <v>EC</v>
      </c>
      <c r="AH26" s="92" t="str">
        <f t="shared" si="19"/>
        <v>"%USERPROFILE%\Documents\GitHub\eaglep3\Utilities\RefineRTDCRunTimes.py" --tripid 114-02 --locoid 4054 --swversion DE.1.0.8.0 --startMP 204:232977 --initTime 2016-11-02T06:00:21 --startdatetime 2016-11-02T06:11:27 --delay 1 --endMP 204:138 --enddatetime 2016-11-02T06:49:44 --enforcementcount 0 &gt;&gt;C:\Users\stu\Documents\GitHub\eaglep3-reporting\EC\2016-11-02-refined-times.txt</v>
      </c>
      <c r="AI2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{"issue":{"subject":"","project_id":79,"tracker_id":40,"status_id":1,"priority_id":2,"assigned_to_id":23,"start_date":"2016-11-02","description":"","custom_fields":[{"id":1,"name":"Subdivision","value":"EC"},{"id":4,"name":"Milepost","value":"0.0138"},{"id":17,"name":"Train ID","value":"114-02"},{"id":16,"name":"Locomotive ID","value":"4054"},{"id":130,"name":"Impact","value":""},{"id":150,"name":"Time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249</v>
      </c>
      <c r="D27" s="22" t="s">
        <v>648</v>
      </c>
      <c r="E27" s="13">
        <v>42676.226331018515</v>
      </c>
      <c r="F27" s="13">
        <v>42676.229409722226</v>
      </c>
      <c r="G27" s="7">
        <v>1</v>
      </c>
      <c r="H27" s="13" t="s">
        <v>316</v>
      </c>
      <c r="I27" s="13">
        <v>42676.253865740742</v>
      </c>
      <c r="J27" s="7">
        <v>0</v>
      </c>
      <c r="K27" s="112" t="str">
        <f t="shared" si="0"/>
        <v>4017/4018</v>
      </c>
      <c r="L27" s="22" t="str">
        <f>VLOOKUP(A27,'Trips&amp;Operators'!$C$1:$E$10000,3,FALSE)</f>
        <v>PERKINS</v>
      </c>
      <c r="M27" s="6">
        <f t="shared" si="1"/>
        <v>2.4456018516502809E-2</v>
      </c>
      <c r="N27" s="7">
        <f t="shared" si="13"/>
        <v>35.216666663764045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04:25:55-0600',mode:absolute,to:'2016-11-02 07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5"/>
        <v>N</v>
      </c>
      <c r="X27" s="177">
        <f t="shared" si="21"/>
        <v>1</v>
      </c>
      <c r="Y27" s="67">
        <f t="shared" si="17"/>
        <v>7.6300000000000007E-2</v>
      </c>
      <c r="Z27" s="67">
        <f t="shared" si="18"/>
        <v>23.331</v>
      </c>
      <c r="AA27" s="67">
        <f t="shared" si="6"/>
        <v>23.2547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7"/>
        <v>0115-02</v>
      </c>
      <c r="AE27" s="91" t="str">
        <f t="shared" si="8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27" s="88" t="str">
        <f t="shared" si="9"/>
        <v>"C:\Program Files (x86)\AstroGrep\AstroGrep.exe" /spath="%USERPROFILE%\AppData\Local\Temp\OnboardLogs" /stypes="app*4018*20161102*" /stext=" 12:.+((SYSTEM_STATE.+slice.+state.+changed )|(ment ac)|(system.+state.+changed )|(\[timeout)|(PRM\|1\|D)|(kpr)|(kdp)|(\|lc)|(penalty))" /e /r /s</v>
      </c>
      <c r="AG27" s="1" t="str">
        <f t="shared" si="10"/>
        <v>EC</v>
      </c>
      <c r="AH27" s="92" t="str">
        <f t="shared" si="19"/>
        <v>"%USERPROFILE%\Documents\GitHub\eaglep3\Utilities\RefineRTDCRunTimes.py" --tripid 115-02 --locoid 4018 --swversion DE.1.0.8.0 --startMP 204:763 --initTime 2016-11-02T05:25:55 --startdatetime 2016-11-02T05:30:21 --delay 1 --endMP 204:233310 --enddatetime 2016-11-02T06:05:34 --enforcementcount 0 &gt;&gt;C:\Users\stu\Documents\GitHub\eaglep3-reporting\EC\2016-11-02-refined-times.txt</v>
      </c>
      <c r="AI2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{"issue":{"subject":"","project_id":79,"tracker_id":40,"status_id":1,"priority_id":2,"assigned_to_id":23,"start_date":"2016-11-02","description":"","custom_fields":[{"id":1,"name":"Subdivision","value":"EC"},{"id":4,"name":"Milepost","value":"23.331"},{"id":17,"name":"Train ID","value":"115-02"},{"id":16,"name":"Locomotive ID","value":"4018"},{"id":130,"name":"Impact","value":""},{"id":150,"name":"Time of Event (Mountain Time)","value":"06:05:34"},{"id":151,"name":"Denver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403</v>
      </c>
      <c r="B28" s="7">
        <v>4017</v>
      </c>
      <c r="C28" s="22" t="s">
        <v>249</v>
      </c>
      <c r="D28" s="22" t="s">
        <v>646</v>
      </c>
      <c r="E28" s="13">
        <v>42676.259108796294</v>
      </c>
      <c r="F28" s="13">
        <v>42676.268217592595</v>
      </c>
      <c r="G28" s="7">
        <v>1</v>
      </c>
      <c r="H28" s="13" t="s">
        <v>649</v>
      </c>
      <c r="I28" s="13">
        <v>42676.294062499997</v>
      </c>
      <c r="J28" s="7">
        <v>0</v>
      </c>
      <c r="K28" s="112" t="str">
        <f t="shared" si="0"/>
        <v>4017/4018</v>
      </c>
      <c r="L28" s="22" t="str">
        <f>VLOOKUP(A28,'Trips&amp;Operators'!$C$1:$E$10000,3,FALSE)</f>
        <v>PERKINS</v>
      </c>
      <c r="M28" s="6">
        <f t="shared" si="1"/>
        <v>2.5844907402643003E-2</v>
      </c>
      <c r="N28" s="7">
        <f t="shared" si="13"/>
        <v>37.216666659805924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05:13:07-0600',mode:absolute,to:'2016-11-02 08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5"/>
        <v>N</v>
      </c>
      <c r="X28" s="177">
        <f t="shared" si="21"/>
        <v>1</v>
      </c>
      <c r="Y28" s="67">
        <f t="shared" si="17"/>
        <v>23.2989</v>
      </c>
      <c r="Z28" s="67">
        <f t="shared" si="18"/>
        <v>3.3799999999999997E-2</v>
      </c>
      <c r="AA28" s="67">
        <f t="shared" si="6"/>
        <v>23.2651</v>
      </c>
      <c r="AB28" s="64" t="str">
        <f>VLOOKUP(A28,Enforcements!$C$7:$K$21,8,0)</f>
        <v>Speed (6)</v>
      </c>
      <c r="AC28" s="60" t="str">
        <f>VLOOKUP(A28,Enforcements!$C$7:$E$21,3,0)</f>
        <v>PERMANENT SPEED RESTRICTION</v>
      </c>
      <c r="AD28" s="61" t="str">
        <f t="shared" si="7"/>
        <v>0116-02</v>
      </c>
      <c r="AE28" s="91" t="str">
        <f t="shared" si="8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28" s="88" t="str">
        <f t="shared" si="9"/>
        <v>"C:\Program Files (x86)\AstroGrep\AstroGrep.exe" /spath="%USERPROFILE%\AppData\Local\Temp\OnboardLogs" /stypes="app*4017*20161102*" /stext=" 13:.+((SYSTEM_STATE.+slice.+state.+changed )|(ment ac)|(system.+state.+changed )|(\[timeout)|(PRM\|1\|D)|(kpr)|(kdp)|(\|lc)|(penalty))" /e /r /s</v>
      </c>
      <c r="AG28" s="1" t="str">
        <f t="shared" si="10"/>
        <v>EC</v>
      </c>
      <c r="AH28" s="92" t="str">
        <f t="shared" si="19"/>
        <v>"%USERPROFILE%\Documents\GitHub\eaglep3\Utilities\RefineRTDCRunTimes.py" --tripid 116-02 --locoid 4017 --swversion DE.1.0.8.0 --startMP 204:232989 --initTime 2016-11-02T06:13:07 --startdatetime 2016-11-02T06:26:14 --delay 1 --endMP 204:338 --enddatetime 2016-11-02T07:03:27 --enforcementcount 0 &gt;&gt;C:\Users\stu\Documents\GitHub\eaglep3-reporting\EC\2016-11-02-refined-times.txt</v>
      </c>
      <c r="AI2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{"issue":{"subject":"","project_id":79,"tracker_id":40,"status_id":1,"priority_id":2,"assigned_to_id":23,"start_date":"2016-11-02","description":"","custom_fields":[{"id":1,"name":"Subdivision","value":"EC"},{"id":4,"name":"Milepost","value":"0.0338"},{"id":17,"name":"Train ID","value":"116-02"},{"id":16,"name":"Locomotive ID","value":"4017"},{"id":130,"name":"Impact","value":""},{"id":150,"name":"Time of Event (Mountain Time)","value":"07:03:27"},{"id":151,"name":"Denver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4002</v>
      </c>
      <c r="C29" s="22" t="s">
        <v>249</v>
      </c>
      <c r="D29" s="22" t="s">
        <v>209</v>
      </c>
      <c r="E29" s="13">
        <v>42676.234618055554</v>
      </c>
      <c r="F29" s="13">
        <v>42676.239791666667</v>
      </c>
      <c r="G29" s="7">
        <v>1</v>
      </c>
      <c r="H29" s="13" t="s">
        <v>245</v>
      </c>
      <c r="I29" s="13">
        <v>42676.264664351853</v>
      </c>
      <c r="J29" s="7">
        <v>0</v>
      </c>
      <c r="K29" s="112" t="str">
        <f t="shared" si="0"/>
        <v>4001/4002</v>
      </c>
      <c r="L29" s="22" t="str">
        <f>VLOOKUP(A29,'Trips&amp;Operators'!$C$1:$E$10000,3,FALSE)</f>
        <v>LALONDE</v>
      </c>
      <c r="M29" s="6">
        <f t="shared" si="1"/>
        <v>2.4872685185982846E-2</v>
      </c>
      <c r="N29" s="7">
        <f t="shared" si="13"/>
        <v>35.816666667815298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04:37:51-0600',mode:absolute,to:'2016-11-02 07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9" s="52" t="str">
        <f t="shared" si="5"/>
        <v>N</v>
      </c>
      <c r="X29" s="177">
        <f t="shared" si="21"/>
        <v>1</v>
      </c>
      <c r="Y29" s="67">
        <f t="shared" si="17"/>
        <v>4.53E-2</v>
      </c>
      <c r="Z29" s="67">
        <f t="shared" si="18"/>
        <v>23.330100000000002</v>
      </c>
      <c r="AA29" s="67">
        <f t="shared" si="6"/>
        <v>23.284800000000001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7"/>
        <v>0117-02</v>
      </c>
      <c r="AE29" s="91" t="str">
        <f t="shared" si="8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29" s="88" t="str">
        <f t="shared" si="9"/>
        <v>"C:\Program Files (x86)\AstroGrep\AstroGrep.exe" /spath="%USERPROFILE%\AppData\Local\Temp\OnboardLogs" /stypes="app*4002*20161102*" /stext=" 12:.+((SYSTEM_STATE.+slice.+state.+changed )|(ment ac)|(system.+state.+changed )|(\[timeout)|(PRM\|1\|D)|(kpr)|(kdp)|(\|lc)|(penalty))" /e /r /s</v>
      </c>
      <c r="AG29" s="1" t="str">
        <f t="shared" si="10"/>
        <v>EC</v>
      </c>
      <c r="AH29" s="92" t="str">
        <f t="shared" si="19"/>
        <v>"%USERPROFILE%\Documents\GitHub\eaglep3\Utilities\RefineRTDCRunTimes.py" --tripid 117-02 --locoid 4002 --swversion DE.1.0.8.0 --startMP 204:453 --initTime 2016-11-02T05:37:51 --startdatetime 2016-11-02T05:45:18 --delay 1 --endMP 204:233301 --enddatetime 2016-11-02T06:21:07 --enforcementcount 0 &gt;&gt;C:\Users\stu\Documents\GitHub\eaglep3-reporting\EC\2016-11-02-refined-times.txt</v>
      </c>
      <c r="AI29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{"issue":{"subject":"","project_id":79,"tracker_id":40,"status_id":1,"priority_id":2,"assigned_to_id":23,"start_date":"2016-11-02","description":"","custom_fields":[{"id":1,"name":"Subdivision","value":"EC"},{"id":4,"name":"Milepost","value":"23.3301"},{"id":17,"name":"Train ID","value":"117-02"},{"id":16,"name":"Locomotive ID","value":"4002"},{"id":130,"name":"Impact","value":""},{"id":150,"name":"Time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468</v>
      </c>
      <c r="B30" s="7">
        <v>4001</v>
      </c>
      <c r="C30" s="22" t="s">
        <v>249</v>
      </c>
      <c r="D30" s="22" t="s">
        <v>312</v>
      </c>
      <c r="E30" s="13">
        <v>42676.266782407409</v>
      </c>
      <c r="F30" s="13">
        <v>42676.278657407405</v>
      </c>
      <c r="G30" s="7">
        <v>1</v>
      </c>
      <c r="H30" s="13" t="s">
        <v>204</v>
      </c>
      <c r="I30" s="13">
        <v>42676.305243055554</v>
      </c>
      <c r="J30" s="7">
        <v>0</v>
      </c>
      <c r="K30" s="112" t="str">
        <f t="shared" si="0"/>
        <v>4001/4002</v>
      </c>
      <c r="L30" s="22" t="str">
        <f>VLOOKUP(A30,'Trips&amp;Operators'!$C$1:$E$10000,3,FALSE)</f>
        <v>LALONDE</v>
      </c>
      <c r="M30" s="6">
        <f t="shared" si="1"/>
        <v>2.658564814919373E-2</v>
      </c>
      <c r="N30" s="7">
        <f t="shared" si="13"/>
        <v>38.283333334838971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05:24:10-0600',mode:absolute,to:'2016-11-02 08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0" s="52" t="str">
        <f t="shared" si="5"/>
        <v>N</v>
      </c>
      <c r="X30" s="177">
        <f t="shared" si="21"/>
        <v>1</v>
      </c>
      <c r="Y30" s="67">
        <f t="shared" si="17"/>
        <v>23.2971</v>
      </c>
      <c r="Z30" s="67">
        <f t="shared" si="18"/>
        <v>1.4500000000000001E-2</v>
      </c>
      <c r="AA30" s="67">
        <f t="shared" si="6"/>
        <v>23.282599999999999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7"/>
        <v>0118-02</v>
      </c>
      <c r="AE30" s="91" t="str">
        <f t="shared" si="8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30" s="88" t="str">
        <f t="shared" si="9"/>
        <v>"C:\Program Files (x86)\AstroGrep\AstroGrep.exe" /spath="%USERPROFILE%\AppData\Local\Temp\OnboardLogs" /stypes="app*4001*20161102*" /stext=" 13:.+((SYSTEM_STATE.+slice.+state.+changed )|(ment ac)|(system.+state.+changed )|(\[timeout)|(PRM\|1\|D)|(kpr)|(kdp)|(\|lc)|(penalty))" /e /r /s</v>
      </c>
      <c r="AG30" s="1" t="str">
        <f t="shared" si="10"/>
        <v>EC</v>
      </c>
      <c r="AH30" s="92" t="str">
        <f t="shared" si="19"/>
        <v>"%USERPROFILE%\Documents\GitHub\eaglep3\Utilities\RefineRTDCRunTimes.py" --tripid 118-02 --locoid 4001 --swversion DE.1.0.8.0 --startMP 204:232971 --initTime 2016-11-02T06:24:10 --startdatetime 2016-11-02T06:41:16 --delay 1 --endMP 204:145 --enddatetime 2016-11-02T07:19:33 --enforcementcount 0 &gt;&gt;C:\Users\stu\Documents\GitHub\eaglep3-reporting\EC\2016-11-02-refined-times.txt</v>
      </c>
      <c r="AI3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ID","value":"118-02"},{"id":16,"name":"Locomotive ID","value":"4001"},{"id":130,"name":"Impact","value":""},{"id":150,"name":"Time of Event (Mountain Time)","value":"07:19:33"},{"id":151,"name":"Denver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458</v>
      </c>
      <c r="B31" s="7">
        <v>4038</v>
      </c>
      <c r="C31" s="22" t="s">
        <v>249</v>
      </c>
      <c r="D31" s="22" t="s">
        <v>650</v>
      </c>
      <c r="E31" s="13">
        <v>42676.24486111111</v>
      </c>
      <c r="F31" s="13">
        <v>42676.2502662037</v>
      </c>
      <c r="G31" s="7">
        <v>1</v>
      </c>
      <c r="H31" s="13" t="s">
        <v>363</v>
      </c>
      <c r="I31" s="13">
        <v>42676.275011574071</v>
      </c>
      <c r="J31" s="7">
        <v>0</v>
      </c>
      <c r="K31" s="112" t="str">
        <f t="shared" si="0"/>
        <v>4037/4038</v>
      </c>
      <c r="L31" s="22" t="str">
        <f>VLOOKUP(A31,'Trips&amp;Operators'!$C$1:$E$10000,3,FALSE)</f>
        <v>SANTIZO</v>
      </c>
      <c r="M31" s="6">
        <f t="shared" si="1"/>
        <v>2.47453703705105E-2</v>
      </c>
      <c r="N31" s="7">
        <f t="shared" si="13"/>
        <v>35.63333333353512</v>
      </c>
      <c r="O31" s="7"/>
      <c r="P31" s="7"/>
      <c r="Q31" s="23"/>
      <c r="R31" s="23"/>
      <c r="S31" s="35">
        <f t="shared" si="2"/>
        <v>1</v>
      </c>
      <c r="T31" s="50" t="str">
        <f t="shared" si="3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04:52:36-0600',mode:absolute,to:'2016-11-02 07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5"/>
        <v>N</v>
      </c>
      <c r="X31" s="177">
        <f t="shared" si="21"/>
        <v>1</v>
      </c>
      <c r="Y31" s="67">
        <f t="shared" si="17"/>
        <v>7.5399999999999995E-2</v>
      </c>
      <c r="Z31" s="67">
        <f t="shared" si="18"/>
        <v>23.332699999999999</v>
      </c>
      <c r="AA31" s="67">
        <f t="shared" si="6"/>
        <v>23.257300000000001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7"/>
        <v>0119-02</v>
      </c>
      <c r="AE31" s="91" t="str">
        <f t="shared" si="8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31" s="88" t="str">
        <f t="shared" si="9"/>
        <v>"C:\Program Files (x86)\AstroGrep\AstroGrep.exe" /spath="%USERPROFILE%\AppData\Local\Temp\OnboardLogs" /stypes="app*4038*20161102*" /stext=" 12:.+((SYSTEM_STATE.+slice.+state.+changed )|(ment ac)|(system.+state.+changed )|(\[timeout)|(PRM\|1\|D)|(kpr)|(kdp)|(\|lc)|(penalty))" /e /r /s</v>
      </c>
      <c r="AG31" s="1" t="str">
        <f t="shared" si="10"/>
        <v>EC</v>
      </c>
      <c r="AH31" s="92" t="str">
        <f t="shared" si="19"/>
        <v>"%USERPROFILE%\Documents\GitHub\eaglep3\Utilities\RefineRTDCRunTimes.py" --tripid 119-02 --locoid 4038 --swversion DE.1.0.8.0 --startMP 204:754 --initTime 2016-11-02T05:52:36 --startdatetime 2016-11-02T06:00:23 --delay 1 --endMP 204:233327 --enddatetime 2016-11-02T06:36:01 --enforcementcount 0 &gt;&gt;C:\Users\stu\Documents\GitHub\eaglep3-reporting\EC\2016-11-02-refined-times.txt</v>
      </c>
      <c r="AI3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{"issue":{"subject":"","project_id":79,"tracker_id":40,"status_id":1,"priority_id":2,"assigned_to_id":23,"start_date":"2016-11-02","description":"","custom_fields":[{"id":1,"name":"Subdivision","value":"EC"},{"id":4,"name":"Milepost","value":"23.3327"},{"id":17,"name":"Train ID","value":"119-02"},{"id":16,"name":"Locomotive ID","value":"4038"},{"id":130,"name":"Impact","value":""},{"id":150,"name":"Time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405</v>
      </c>
      <c r="B32" s="7">
        <v>4037</v>
      </c>
      <c r="C32" s="22" t="s">
        <v>249</v>
      </c>
      <c r="D32" s="22" t="s">
        <v>651</v>
      </c>
      <c r="E32" s="13">
        <v>42676.277511574073</v>
      </c>
      <c r="F32" s="13">
        <v>42676.289166666669</v>
      </c>
      <c r="G32" s="7">
        <v>1</v>
      </c>
      <c r="H32" s="13" t="s">
        <v>175</v>
      </c>
      <c r="I32" s="13">
        <v>42676.315324074072</v>
      </c>
      <c r="J32" s="7">
        <v>0</v>
      </c>
      <c r="K32" s="112" t="str">
        <f t="shared" si="0"/>
        <v>4037/4038</v>
      </c>
      <c r="L32" s="22" t="str">
        <f>VLOOKUP(A32,'Trips&amp;Operators'!$C$1:$E$10000,3,FALSE)</f>
        <v>SANTIZO</v>
      </c>
      <c r="M32" s="6">
        <f t="shared" si="1"/>
        <v>2.6157407402934041E-2</v>
      </c>
      <c r="N32" s="7">
        <f t="shared" si="13"/>
        <v>37.666666660225019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05:39:37-0600',mode:absolute,to:'2016-11-02 08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 t="shared" si="5"/>
        <v>N</v>
      </c>
      <c r="X32" s="177">
        <f t="shared" si="21"/>
        <v>1</v>
      </c>
      <c r="Y32" s="67">
        <f t="shared" si="17"/>
        <v>23.299399999999999</v>
      </c>
      <c r="Z32" s="67">
        <f t="shared" si="18"/>
        <v>1.47E-2</v>
      </c>
      <c r="AA32" s="67">
        <f t="shared" si="6"/>
        <v>23.284699999999997</v>
      </c>
      <c r="AB32" s="64" t="str">
        <f>VLOOKUP(A32,Enforcements!$C$7:$K$21,8,0)</f>
        <v>Bulletin (2)</v>
      </c>
      <c r="AC32" s="60" t="str">
        <f>VLOOKUP(A32,Enforcements!$C$7:$E$21,3,0)</f>
        <v>GRADE CROSSING</v>
      </c>
      <c r="AD32" s="61" t="str">
        <f t="shared" si="7"/>
        <v>0120-02</v>
      </c>
      <c r="AE32" s="91" t="str">
        <f t="shared" si="8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32" s="88" t="str">
        <f t="shared" si="9"/>
        <v>"C:\Program Files (x86)\AstroGrep\AstroGrep.exe" /spath="%USERPROFILE%\AppData\Local\Temp\OnboardLogs" /stypes="app*4037*20161102*" /stext=" 13:.+((SYSTEM_STATE.+slice.+state.+changed )|(ment ac)|(system.+state.+changed )|(\[timeout)|(PRM\|1\|D)|(kpr)|(kdp)|(\|lc)|(penalty))" /e /r /s</v>
      </c>
      <c r="AG32" s="1" t="str">
        <f t="shared" si="10"/>
        <v>EC</v>
      </c>
      <c r="AH32" s="92" t="str">
        <f t="shared" si="19"/>
        <v>"%USERPROFILE%\Documents\GitHub\eaglep3\Utilities\RefineRTDCRunTimes.py" --tripid 120-02 --locoid 4037 --swversion DE.1.0.8.0 --startMP 204:232994 --initTime 2016-11-02T06:39:37 --startdatetime 2016-11-02T06:56:24 --delay 1 --endMP 204:147 --enddatetime 2016-11-02T07:34:04 --enforcementcount 0 &gt;&gt;C:\Users\stu\Documents\GitHub\eaglep3-reporting\EC\2016-11-02-refined-times.txt</v>
      </c>
      <c r="AI32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{"issue":{"subject":"","project_id":79,"tracker_id":40,"status_id":1,"priority_id":2,"assigned_to_id":23,"start_date":"2016-11-02","description":"","custom_fields":[{"id":1,"name":"Subdivision","value":"EC"},{"id":4,"name":"Milepost","value":"0.0147"},{"id":17,"name":"Train ID","value":"120-02"},{"id":16,"name":"Locomotive ID","value":"4037"},{"id":130,"name":"Impact","value":""},{"id":150,"name":"Time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465</v>
      </c>
      <c r="B33" s="7">
        <v>4007</v>
      </c>
      <c r="C33" s="22" t="s">
        <v>249</v>
      </c>
      <c r="D33" s="22" t="s">
        <v>244</v>
      </c>
      <c r="E33" s="13">
        <v>42676.255740740744</v>
      </c>
      <c r="F33" s="13">
        <v>42676.260671296295</v>
      </c>
      <c r="G33" s="7">
        <v>2</v>
      </c>
      <c r="H33" s="13" t="s">
        <v>191</v>
      </c>
      <c r="I33" s="13">
        <v>42676.28528935185</v>
      </c>
      <c r="J33" s="7">
        <v>0</v>
      </c>
      <c r="K33" s="112" t="str">
        <f t="shared" si="0"/>
        <v>4007/4008</v>
      </c>
      <c r="L33" s="22" t="str">
        <f>VLOOKUP(A33,'Trips&amp;Operators'!$C$1:$E$10000,3,FALSE)</f>
        <v>RICHARDSON</v>
      </c>
      <c r="M33" s="6">
        <f t="shared" si="1"/>
        <v>2.4618055555038154E-2</v>
      </c>
      <c r="N33" s="7">
        <f t="shared" si="13"/>
        <v>35.449999999254942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05:08:16-0600',mode:absolute,to:'2016-11-02 07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3" s="52" t="str">
        <f t="shared" si="5"/>
        <v>N</v>
      </c>
      <c r="X33" s="177">
        <f t="shared" si="21"/>
        <v>1</v>
      </c>
      <c r="Y33" s="67">
        <f t="shared" si="17"/>
        <v>4.6399999999999997E-2</v>
      </c>
      <c r="Z33" s="67">
        <f t="shared" si="18"/>
        <v>23.329699999999999</v>
      </c>
      <c r="AA33" s="67">
        <f t="shared" si="6"/>
        <v>23.283300000000001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7"/>
        <v>0121-02</v>
      </c>
      <c r="AE33" s="91" t="str">
        <f t="shared" si="8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33" s="88" t="str">
        <f t="shared" si="9"/>
        <v>"C:\Program Files (x86)\AstroGrep\AstroGrep.exe" /spath="%USERPROFILE%\AppData\Local\Temp\OnboardLogs" /stypes="app*4007*20161102*" /stext=" 12:.+((SYSTEM_STATE.+slice.+state.+changed )|(ment ac)|(system.+state.+changed )|(\[timeout)|(PRM\|1\|D)|(kpr)|(kdp)|(\|lc)|(penalty))" /e /r /s</v>
      </c>
      <c r="AG33" s="1" t="str">
        <f t="shared" si="10"/>
        <v>EC</v>
      </c>
      <c r="AH33" s="92" t="str">
        <f t="shared" si="19"/>
        <v>"%USERPROFILE%\Documents\GitHub\eaglep3\Utilities\RefineRTDCRunTimes.py" --tripid 121-02 --locoid 4007 --swversion DE.1.0.8.0 --startMP 204:464 --initTime 2016-11-02T06:08:16 --startdatetime 2016-11-02T06:15:22 --delay 2 --endMP 204:233297 --enddatetime 2016-11-02T06:50:49 --enforcementcount 0 &gt;&gt;C:\Users\stu\Documents\GitHub\eaglep3-reporting\EC\2016-11-02-refined-times.txt</v>
      </c>
      <c r="AI3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{"issue":{"subject":"","project_id":79,"tracker_id":40,"status_id":1,"priority_id":2,"assigned_to_id":23,"start_date":"2016-11-02","description":"","custom_fields":[{"id":1,"name":"Subdivision","value":"EC"},{"id":4,"name":"Milepost","value":"23.3297"},{"id":17,"name":"Train ID","value":"121-02"},{"id":16,"name":"Locomotive ID","value":"4007"},{"id":130,"name":"Impact","value":""},{"id":150,"name":"Time of Event (Mountain Time)","value":"06:50:49"},{"id":151,"name":"Denver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404</v>
      </c>
      <c r="B34" s="7">
        <v>4008</v>
      </c>
      <c r="C34" s="22" t="s">
        <v>249</v>
      </c>
      <c r="D34" s="22" t="s">
        <v>652</v>
      </c>
      <c r="E34" s="13">
        <v>42676.293124999997</v>
      </c>
      <c r="F34" s="13">
        <v>42676.299745370372</v>
      </c>
      <c r="G34" s="7">
        <v>1</v>
      </c>
      <c r="H34" s="13" t="s">
        <v>264</v>
      </c>
      <c r="I34" s="13">
        <v>42676.326493055552</v>
      </c>
      <c r="J34" s="7">
        <v>0</v>
      </c>
      <c r="K34" s="112" t="str">
        <f t="shared" si="0"/>
        <v>4007/4008</v>
      </c>
      <c r="L34" s="22" t="str">
        <f>VLOOKUP(A34,'Trips&amp;Operators'!$C$1:$E$10000,3,FALSE)</f>
        <v>RICHARDSON</v>
      </c>
      <c r="M34" s="6">
        <f t="shared" si="1"/>
        <v>2.6747685180453118E-2</v>
      </c>
      <c r="N34" s="7">
        <f t="shared" si="13"/>
        <v>38.51666665985249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06:02:06-0600',mode:absolute,to:'2016-11-02 08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4" s="52" t="str">
        <f t="shared" si="5"/>
        <v>N</v>
      </c>
      <c r="X34" s="177">
        <f t="shared" si="21"/>
        <v>1</v>
      </c>
      <c r="Y34" s="67">
        <f t="shared" si="17"/>
        <v>23.2986</v>
      </c>
      <c r="Z34" s="67">
        <f t="shared" si="18"/>
        <v>1.3599999999999999E-2</v>
      </c>
      <c r="AA34" s="67">
        <f t="shared" si="6"/>
        <v>23.285</v>
      </c>
      <c r="AB34" s="64" t="str">
        <f>VLOOKUP(A34,Enforcements!$C$7:$K$21,8,0)</f>
        <v>Speed (6)</v>
      </c>
      <c r="AC34" s="60" t="str">
        <f>VLOOKUP(A34,Enforcements!$C$7:$E$21,3,0)</f>
        <v>PERMANENT SPEED RESTRICTION</v>
      </c>
      <c r="AD34" s="61" t="str">
        <f t="shared" si="7"/>
        <v>0122-02</v>
      </c>
      <c r="AE34" s="91" t="str">
        <f t="shared" si="8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34" s="88" t="str">
        <f t="shared" si="9"/>
        <v>"C:\Program Files (x86)\AstroGrep\AstroGrep.exe" /spath="%USERPROFILE%\AppData\Local\Temp\OnboardLogs" /stypes="app*4008*20161102*" /stext=" 13:.+((SYSTEM_STATE.+slice.+state.+changed )|(ment ac)|(system.+state.+changed )|(\[timeout)|(PRM\|1\|D)|(kpr)|(kdp)|(\|lc)|(penalty))" /e /r /s</v>
      </c>
      <c r="AG34" s="1" t="str">
        <f t="shared" si="10"/>
        <v>EC</v>
      </c>
      <c r="AH34" s="92" t="str">
        <f t="shared" si="19"/>
        <v>"%USERPROFILE%\Documents\GitHub\eaglep3\Utilities\RefineRTDCRunTimes.py" --tripid 122-02 --locoid 4008 --swversion DE.1.0.8.0 --startMP 204:232986 --initTime 2016-11-02T07:02:06 --startdatetime 2016-11-02T07:11:38 --delay 1 --endMP 204:136 --enddatetime 2016-11-02T07:50:09 --enforcementcount 0 &gt;&gt;C:\Users\stu\Documents\GitHub\eaglep3-reporting\EC\2016-11-02-refined-times.txt</v>
      </c>
      <c r="AI3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{"issue":{"subject":"","project_id":79,"tracker_id":40,"status_id":1,"priority_id":2,"assigned_to_id":23,"start_date":"2016-11-02","description":"","custom_fields":[{"id":1,"name":"Subdivision","value":"EC"},{"id":4,"name":"Milepost","value":"0.0136"},{"id":17,"name":"Train ID","value":"122-02"},{"id":16,"name":"Locomotive ID","value":"4008"},{"id":130,"name":"Impact","value":""},{"id":150,"name":"Time of Event (Mountain Time)","value":"07:50:09"},{"id":151,"name":"Denver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467</v>
      </c>
      <c r="B35" s="7">
        <v>4003</v>
      </c>
      <c r="C35" s="22" t="s">
        <v>249</v>
      </c>
      <c r="D35" s="22" t="s">
        <v>361</v>
      </c>
      <c r="E35" s="13">
        <v>42676.264965277776</v>
      </c>
      <c r="F35" s="13">
        <v>42676.271087962959</v>
      </c>
      <c r="G35" s="7">
        <v>1</v>
      </c>
      <c r="H35" s="13" t="s">
        <v>356</v>
      </c>
      <c r="I35" s="13">
        <v>42676.296365740738</v>
      </c>
      <c r="J35" s="7">
        <v>0</v>
      </c>
      <c r="K35" s="112" t="str">
        <f t="shared" si="0"/>
        <v>4003/4004</v>
      </c>
      <c r="L35" s="22" t="str">
        <f>VLOOKUP(A35,'Trips&amp;Operators'!$C$1:$E$10000,3,FALSE)</f>
        <v>BADERTSCHER</v>
      </c>
      <c r="M35" s="6">
        <f t="shared" si="1"/>
        <v>2.527777777868323E-2</v>
      </c>
      <c r="N35" s="7">
        <f t="shared" si="13"/>
        <v>36.400000001303852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05:21:33-0600',mode:absolute,to:'2016-11-02 08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5" s="52" t="str">
        <f t="shared" si="5"/>
        <v>N</v>
      </c>
      <c r="X35" s="177">
        <f t="shared" si="21"/>
        <v>1</v>
      </c>
      <c r="Y35" s="67">
        <f t="shared" si="17"/>
        <v>4.6899999999999997E-2</v>
      </c>
      <c r="Z35" s="67">
        <f t="shared" si="18"/>
        <v>23.3308</v>
      </c>
      <c r="AA35" s="67">
        <f t="shared" si="6"/>
        <v>23.283899999999999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7"/>
        <v>0123-02</v>
      </c>
      <c r="AE35" s="91" t="str">
        <f t="shared" si="8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35" s="88" t="str">
        <f t="shared" si="9"/>
        <v>"C:\Program Files (x86)\AstroGrep\AstroGrep.exe" /spath="%USERPROFILE%\AppData\Local\Temp\OnboardLogs" /stypes="app*4003*20161102*" /stext=" 13:.+((SYSTEM_STATE.+slice.+state.+changed )|(ment ac)|(system.+state.+changed )|(\[timeout)|(PRM\|1\|D)|(kpr)|(kdp)|(\|lc)|(penalty))" /e /r /s</v>
      </c>
      <c r="AG35" s="1" t="str">
        <f t="shared" si="10"/>
        <v>EC</v>
      </c>
      <c r="AH35" s="92" t="str">
        <f t="shared" si="19"/>
        <v>"%USERPROFILE%\Documents\GitHub\eaglep3\Utilities\RefineRTDCRunTimes.py" --tripid 123-02 --locoid 4003 --swversion DE.1.0.8.0 --startMP 204:469 --initTime 2016-11-02T06:21:33 --startdatetime 2016-11-02T06:30:22 --delay 1 --endMP 204:233308 --enddatetime 2016-11-02T07:06:46 --enforcementcount 0 &gt;&gt;C:\Users\stu\Documents\GitHub\eaglep3-reporting\EC\2016-11-02-refined-times.txt</v>
      </c>
      <c r="AI35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{"issue":{"subject":"","project_id":79,"tracker_id":40,"status_id":1,"priority_id":2,"assigned_to_id":23,"start_date":"2016-11-02","description":"","custom_fields":[{"id":1,"name":"Subdivision","value":"EC"},{"id":4,"name":"Milepost","value":"23.3308"},{"id":17,"name":"Train ID","value":"123-02"},{"id":16,"name":"Locomotive ID","value":"4003"},{"id":130,"name":"Impact","value":""},{"id":150,"name":"Time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4004</v>
      </c>
      <c r="C36" s="22" t="s">
        <v>249</v>
      </c>
      <c r="D36" s="22" t="s">
        <v>360</v>
      </c>
      <c r="E36" s="13">
        <v>42676.302141203705</v>
      </c>
      <c r="F36" s="13">
        <v>42676.309930555559</v>
      </c>
      <c r="G36" s="7">
        <v>1</v>
      </c>
      <c r="H36" s="13" t="s">
        <v>280</v>
      </c>
      <c r="I36" s="13">
        <v>42676.336076388892</v>
      </c>
      <c r="J36" s="7">
        <v>0</v>
      </c>
      <c r="K36" s="112" t="str">
        <f t="shared" si="0"/>
        <v>4003/4004</v>
      </c>
      <c r="L36" s="22" t="str">
        <f>VLOOKUP(A36,'Trips&amp;Operators'!$C$1:$E$10000,3,FALSE)</f>
        <v>BADERTSCHER</v>
      </c>
      <c r="M36" s="6">
        <f t="shared" si="1"/>
        <v>2.6145833333430346E-2</v>
      </c>
      <c r="N36" s="7">
        <f t="shared" si="13"/>
        <v>37.650000000139698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06:15:05-0600',mode:absolute,to:'2016-11-02 09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6" s="52" t="str">
        <f t="shared" si="5"/>
        <v>N</v>
      </c>
      <c r="X36" s="177">
        <f t="shared" si="21"/>
        <v>1</v>
      </c>
      <c r="Y36" s="67">
        <f t="shared" si="17"/>
        <v>23.299299999999999</v>
      </c>
      <c r="Z36" s="67">
        <f t="shared" si="18"/>
        <v>1.5800000000000002E-2</v>
      </c>
      <c r="AA36" s="67">
        <f t="shared" si="6"/>
        <v>23.2835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7"/>
        <v>0124-02</v>
      </c>
      <c r="AE36" s="91" t="str">
        <f t="shared" si="8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36" s="88" t="str">
        <f t="shared" si="9"/>
        <v>"C:\Program Files (x86)\AstroGrep\AstroGrep.exe" /spath="%USERPROFILE%\AppData\Local\Temp\OnboardLogs" /stypes="app*4004*20161102*" /stext=" 14:.+((SYSTEM_STATE.+slice.+state.+changed )|(ment ac)|(system.+state.+changed )|(\[timeout)|(PRM\|1\|D)|(kpr)|(kdp)|(\|lc)|(penalty))" /e /r /s</v>
      </c>
      <c r="AG36" s="1" t="str">
        <f t="shared" si="10"/>
        <v>EC</v>
      </c>
      <c r="AH36" s="92" t="str">
        <f t="shared" si="19"/>
        <v>"%USERPROFILE%\Documents\GitHub\eaglep3\Utilities\RefineRTDCRunTimes.py" --tripid 124-02 --locoid 4004 --swversion DE.1.0.8.0 --startMP 204:232993 --initTime 2016-11-02T07:15:05 --startdatetime 2016-11-02T07:26:18 --delay 1 --endMP 204:158 --enddatetime 2016-11-02T08:03:57 --enforcementcount 0 &gt;&gt;C:\Users\stu\Documents\GitHub\eaglep3-reporting\EC\2016-11-02-refined-times.txt</v>
      </c>
      <c r="AI3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{"issue":{"subject":"","project_id":79,"tracker_id":40,"status_id":1,"priority_id":2,"assigned_to_id":23,"start_date":"2016-11-02","description":"","custom_fields":[{"id":1,"name":"Subdivision","value":"EC"},{"id":4,"name":"Milepost","value":"0.0158"},{"id":17,"name":"Train ID","value":"124-02"},{"id":16,"name":"Locomotive ID","value":"4004"},{"id":130,"name":"Impact","value":""},{"id":150,"name":"Time of Event (Mountain Time)","value":"08:03:57"},{"id":151,"name":"Denver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470</v>
      </c>
      <c r="B37" s="7">
        <v>4009</v>
      </c>
      <c r="C37" s="22" t="s">
        <v>249</v>
      </c>
      <c r="D37" s="22" t="s">
        <v>208</v>
      </c>
      <c r="E37" s="13">
        <v>42676.277430555558</v>
      </c>
      <c r="F37" s="13">
        <v>42676.281701388885</v>
      </c>
      <c r="G37" s="7">
        <v>1</v>
      </c>
      <c r="H37" s="13" t="s">
        <v>277</v>
      </c>
      <c r="I37" s="13">
        <v>42676.305497685185</v>
      </c>
      <c r="J37" s="7">
        <v>0</v>
      </c>
      <c r="K37" s="112" t="str">
        <f t="shared" si="0"/>
        <v>4009/4010</v>
      </c>
      <c r="L37" s="22" t="str">
        <f>VLOOKUP(A37,'Trips&amp;Operators'!$C$1:$E$10000,3,FALSE)</f>
        <v>ROCHA</v>
      </c>
      <c r="M37" s="6">
        <f t="shared" si="1"/>
        <v>2.379629630013369E-2</v>
      </c>
      <c r="N37" s="7">
        <f t="shared" si="13"/>
        <v>34.266666672192514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05:39:30-0600',mode:absolute,to:'2016-11-02 08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7" s="52" t="str">
        <f t="shared" si="5"/>
        <v>N</v>
      </c>
      <c r="X37" s="177">
        <f t="shared" si="21"/>
        <v>1</v>
      </c>
      <c r="Y37" s="67">
        <f t="shared" si="17"/>
        <v>4.4699999999999997E-2</v>
      </c>
      <c r="Z37" s="67">
        <f t="shared" si="18"/>
        <v>23.330300000000001</v>
      </c>
      <c r="AA37" s="67">
        <f t="shared" si="6"/>
        <v>23.285600000000002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7"/>
        <v>0125-02</v>
      </c>
      <c r="AE37" s="91" t="str">
        <f t="shared" si="8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37" s="88" t="str">
        <f t="shared" si="9"/>
        <v>"C:\Program Files (x86)\AstroGrep\AstroGrep.exe" /spath="%USERPROFILE%\AppData\Local\Temp\OnboardLogs" /stypes="app*4009*20161102*" /stext=" 13:.+((SYSTEM_STATE.+slice.+state.+changed )|(ment ac)|(system.+state.+changed )|(\[timeout)|(PRM\|1\|D)|(kpr)|(kdp)|(\|lc)|(penalty))" /e /r /s</v>
      </c>
      <c r="AG37" s="1" t="str">
        <f t="shared" si="10"/>
        <v>EC</v>
      </c>
      <c r="AH37" s="92" t="str">
        <f t="shared" si="19"/>
        <v>"%USERPROFILE%\Documents\GitHub\eaglep3\Utilities\RefineRTDCRunTimes.py" --tripid 125-02 --locoid 4009 --swversion DE.1.0.8.0 --startMP 204:447 --initTime 2016-11-02T06:39:30 --startdatetime 2016-11-02T06:45:39 --delay 1 --endMP 204:233303 --enddatetime 2016-11-02T07:19:55 --enforcementcount 0 &gt;&gt;C:\Users\stu\Documents\GitHub\eaglep3-reporting\EC\2016-11-02-refined-times.txt</v>
      </c>
      <c r="AI3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{"issue":{"subject":"","project_id":79,"tracker_id":40,"status_id":1,"priority_id":2,"assigned_to_id":23,"start_date":"2016-11-02","description":"","custom_fields":[{"id":1,"name":"Subdivision","value":"EC"},{"id":4,"name":"Milepost","value":"23.3303"},{"id":17,"name":"Train ID","value":"125-02"},{"id":16,"name":"Locomotive ID","value":"4009"},{"id":130,"name":"Impact","value":""},{"id":150,"name":"Time of Event (Mountain Time)","value":"07:19:55"},{"id":151,"name":"Denver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480</v>
      </c>
      <c r="B38" s="7">
        <v>4010</v>
      </c>
      <c r="C38" s="22" t="s">
        <v>249</v>
      </c>
      <c r="D38" s="22" t="s">
        <v>269</v>
      </c>
      <c r="E38" s="13">
        <v>42676.319814814815</v>
      </c>
      <c r="F38" s="13">
        <v>42676.321006944447</v>
      </c>
      <c r="G38" s="7">
        <v>1</v>
      </c>
      <c r="H38" s="13" t="s">
        <v>207</v>
      </c>
      <c r="I38" s="13">
        <v>42676.345486111109</v>
      </c>
      <c r="J38" s="7">
        <v>0</v>
      </c>
      <c r="K38" s="112" t="str">
        <f t="shared" si="0"/>
        <v>4009/4010</v>
      </c>
      <c r="L38" s="22" t="str">
        <f>VLOOKUP(A38,'Trips&amp;Operators'!$C$1:$E$10000,3,FALSE)</f>
        <v>ROCHA</v>
      </c>
      <c r="M38" s="6">
        <f t="shared" si="1"/>
        <v>2.4479166662786156E-2</v>
      </c>
      <c r="N38" s="7">
        <f t="shared" si="13"/>
        <v>35.249999994412065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06:40:32-0600',mode:absolute,to:'2016-11-02 09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8" s="52" t="str">
        <f t="shared" si="5"/>
        <v>N</v>
      </c>
      <c r="X38" s="177">
        <f t="shared" si="21"/>
        <v>1</v>
      </c>
      <c r="Y38" s="67">
        <f t="shared" si="17"/>
        <v>23.297499999999999</v>
      </c>
      <c r="Z38" s="67">
        <f t="shared" si="18"/>
        <v>1.43E-2</v>
      </c>
      <c r="AA38" s="67">
        <f t="shared" si="6"/>
        <v>23.283200000000001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7"/>
        <v>0126-02</v>
      </c>
      <c r="AE38" s="91" t="str">
        <f t="shared" si="8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38" s="88" t="str">
        <f t="shared" si="9"/>
        <v>"C:\Program Files (x86)\AstroGrep\AstroGrep.exe" /spath="%USERPROFILE%\AppData\Local\Temp\OnboardLogs" /stypes="app*4010*20161102*" /stext=" 14:.+((SYSTEM_STATE.+slice.+state.+changed )|(ment ac)|(system.+state.+changed )|(\[timeout)|(PRM\|1\|D)|(kpr)|(kdp)|(\|lc)|(penalty))" /e /r /s</v>
      </c>
      <c r="AG38" s="1" t="str">
        <f t="shared" si="10"/>
        <v>EC</v>
      </c>
      <c r="AH38" s="92" t="str">
        <f t="shared" si="19"/>
        <v>"%USERPROFILE%\Documents\GitHub\eaglep3\Utilities\RefineRTDCRunTimes.py" --tripid 126-02 --locoid 4010 --swversion DE.1.0.8.0 --startMP 204:232975 --initTime 2016-11-02T07:40:32 --startdatetime 2016-11-02T07:42:15 --delay 1 --endMP 204:143 --enddatetime 2016-11-02T08:17:30 --enforcementcount 0 &gt;&gt;C:\Users\stu\Documents\GitHub\eaglep3-reporting\EC\2016-11-02-refined-times.txt</v>
      </c>
      <c r="AI3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{"issue":{"subject":"","project_id":79,"tracker_id":40,"status_id":1,"priority_id":2,"assigned_to_id":23,"start_date":"2016-11-02","description":"","custom_fields":[{"id":1,"name":"Subdivision","value":"EC"},{"id":4,"name":"Milepost","value":"0.0143"},{"id":17,"name":"Train ID","value":"126-02"},{"id":16,"name":"Locomotive ID","value":"4010"},{"id":130,"name":"Impact","value":""},{"id":150,"name":"Time of Event (Mountain Time)","value":"08:17:30"},{"id":151,"name":"Denver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472</v>
      </c>
      <c r="B39" s="7">
        <v>4053</v>
      </c>
      <c r="C39" s="22" t="s">
        <v>249</v>
      </c>
      <c r="D39" s="22" t="s">
        <v>209</v>
      </c>
      <c r="E39" s="13">
        <v>42676.286365740743</v>
      </c>
      <c r="F39" s="13">
        <v>42676.291967592595</v>
      </c>
      <c r="G39" s="7">
        <v>1</v>
      </c>
      <c r="H39" s="13" t="s">
        <v>310</v>
      </c>
      <c r="I39" s="13">
        <v>42676.317013888889</v>
      </c>
      <c r="J39" s="7">
        <v>0</v>
      </c>
      <c r="K39" s="112" t="str">
        <f t="shared" si="0"/>
        <v>4053/4054</v>
      </c>
      <c r="L39" s="22" t="str">
        <f>VLOOKUP(A39,'Trips&amp;Operators'!$C$1:$E$10000,3,FALSE)</f>
        <v>MAELZER</v>
      </c>
      <c r="M39" s="6">
        <f t="shared" si="1"/>
        <v>2.5046296294021886E-2</v>
      </c>
      <c r="N39" s="7">
        <f t="shared" si="13"/>
        <v>36.066666663391516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05:52:22-0600',mode:absolute,to:'2016-11-02 08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9" s="52" t="str">
        <f t="shared" si="5"/>
        <v>N</v>
      </c>
      <c r="X39" s="177">
        <f t="shared" si="21"/>
        <v>1</v>
      </c>
      <c r="Y39" s="67">
        <f t="shared" si="17"/>
        <v>4.53E-2</v>
      </c>
      <c r="Z39" s="67">
        <f t="shared" si="18"/>
        <v>23.330200000000001</v>
      </c>
      <c r="AA39" s="67">
        <f t="shared" si="6"/>
        <v>23.2849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7"/>
        <v>0127-02</v>
      </c>
      <c r="AE39" s="91" t="str">
        <f t="shared" si="8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39" s="88" t="str">
        <f t="shared" si="9"/>
        <v>"C:\Program Files (x86)\AstroGrep\AstroGrep.exe" /spath="%USERPROFILE%\AppData\Local\Temp\OnboardLogs" /stypes="app*4053*20161102*" /stext=" 13:.+((SYSTEM_STATE.+slice.+state.+changed )|(ment ac)|(system.+state.+changed )|(\[timeout)|(PRM\|1\|D)|(kpr)|(kdp)|(\|lc)|(penalty))" /e /r /s</v>
      </c>
      <c r="AG39" s="1" t="str">
        <f t="shared" si="10"/>
        <v>EC</v>
      </c>
      <c r="AH39" s="92" t="str">
        <f t="shared" si="19"/>
        <v>"%USERPROFILE%\Documents\GitHub\eaglep3\Utilities\RefineRTDCRunTimes.py" --tripid 127-02 --locoid 4053 --swversion DE.1.0.8.0 --startMP 204:453 --initTime 2016-11-02T06:52:22 --startdatetime 2016-11-02T07:00:26 --delay 1 --endMP 204:233302 --enddatetime 2016-11-02T07:36:30 --enforcementcount 0 &gt;&gt;C:\Users\stu\Documents\GitHub\eaglep3-reporting\EC\2016-11-02-refined-times.txt</v>
      </c>
      <c r="AI39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{"issue":{"subject":"","project_id":79,"tracker_id":40,"status_id":1,"priority_id":2,"assigned_to_id":23,"start_date":"2016-11-02","description":"","custom_fields":[{"id":1,"name":"Subdivision","value":"EC"},{"id":4,"name":"Milepost","value":"23.3302"},{"id":17,"name":"Train ID","value":"127-02"},{"id":16,"name":"Locomotive ID","value":"4053"},{"id":130,"name":"Impact","value":""},{"id":150,"name":"Time of Event (Mountain Time)","value":"07:36:30"},{"id":151,"name":"Denver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481</v>
      </c>
      <c r="B40" s="7">
        <v>4054</v>
      </c>
      <c r="C40" s="22" t="s">
        <v>249</v>
      </c>
      <c r="D40" s="22" t="s">
        <v>290</v>
      </c>
      <c r="E40" s="13">
        <v>42676.32267361111</v>
      </c>
      <c r="F40" s="13">
        <v>42676.330821759257</v>
      </c>
      <c r="G40" s="7">
        <v>6</v>
      </c>
      <c r="H40" s="13" t="s">
        <v>204</v>
      </c>
      <c r="I40" s="13">
        <v>42676.356956018521</v>
      </c>
      <c r="J40" s="7">
        <v>0</v>
      </c>
      <c r="K40" s="112" t="str">
        <f t="shared" si="0"/>
        <v>4053/4054</v>
      </c>
      <c r="L40" s="22" t="str">
        <f>VLOOKUP(A40,'Trips&amp;Operators'!$C$1:$E$10000,3,FALSE)</f>
        <v>MAELZER</v>
      </c>
      <c r="M40" s="6">
        <f t="shared" si="1"/>
        <v>2.6134259263926651E-2</v>
      </c>
      <c r="N40" s="7">
        <f t="shared" si="13"/>
        <v>37.633333340054378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06:44:39-0600',mode:absolute,to:'2016-11-02 09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0" s="52" t="str">
        <f t="shared" si="5"/>
        <v>N</v>
      </c>
      <c r="X40" s="177">
        <f t="shared" si="21"/>
        <v>1</v>
      </c>
      <c r="Y40" s="67">
        <f t="shared" si="17"/>
        <v>23.299600000000002</v>
      </c>
      <c r="Z40" s="67">
        <f t="shared" si="18"/>
        <v>1.4500000000000001E-2</v>
      </c>
      <c r="AA40" s="67">
        <f t="shared" si="6"/>
        <v>23.2851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7"/>
        <v>0128-02</v>
      </c>
      <c r="AE40" s="91" t="str">
        <f t="shared" si="8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40" s="88" t="str">
        <f t="shared" si="9"/>
        <v>"C:\Program Files (x86)\AstroGrep\AstroGrep.exe" /spath="%USERPROFILE%\AppData\Local\Temp\OnboardLogs" /stypes="app*4054*20161102*" /stext=" 14:.+((SYSTEM_STATE.+slice.+state.+changed )|(ment ac)|(system.+state.+changed )|(\[timeout)|(PRM\|1\|D)|(kpr)|(kdp)|(\|lc)|(penalty))" /e /r /s</v>
      </c>
      <c r="AG40" s="1" t="str">
        <f t="shared" si="10"/>
        <v>EC</v>
      </c>
      <c r="AH40" s="92" t="str">
        <f t="shared" si="19"/>
        <v>"%USERPROFILE%\Documents\GitHub\eaglep3\Utilities\RefineRTDCRunTimes.py" --tripid 128-02 --locoid 4054 --swversion DE.1.0.8.0 --startMP 204:232996 --initTime 2016-11-02T07:44:39 --startdatetime 2016-11-02T07:56:23 --delay 6 --endMP 204:145 --enddatetime 2016-11-02T08:34:01 --enforcementcount 0 &gt;&gt;C:\Users\stu\Documents\GitHub\eaglep3-reporting\EC\2016-11-02-refined-times.txt</v>
      </c>
      <c r="AI4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ID","value":"128-02"},{"id":16,"name":"Locomotive ID","value":"4054"},{"id":130,"name":"Impact","value":""},{"id":150,"name":"Time of Event (Mountain Time)","value":"08:34:01"},{"id":151,"name":"Denver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4018</v>
      </c>
      <c r="C41" s="22" t="s">
        <v>249</v>
      </c>
      <c r="D41" s="22" t="s">
        <v>292</v>
      </c>
      <c r="E41" s="13">
        <v>42676.296585648146</v>
      </c>
      <c r="F41" s="13">
        <v>42676.302245370367</v>
      </c>
      <c r="G41" s="7">
        <v>1</v>
      </c>
      <c r="H41" s="13" t="s">
        <v>364</v>
      </c>
      <c r="I41" s="13">
        <v>42676.326817129629</v>
      </c>
      <c r="J41" s="7">
        <v>0</v>
      </c>
      <c r="K41" s="112" t="str">
        <f t="shared" si="0"/>
        <v>4017/4018</v>
      </c>
      <c r="L41" s="22" t="str">
        <f>VLOOKUP(A41,'Trips&amp;Operators'!$C$1:$E$10000,3,FALSE)</f>
        <v>PERKINS</v>
      </c>
      <c r="M41" s="6">
        <f t="shared" si="1"/>
        <v>2.457175926247146E-2</v>
      </c>
      <c r="N41" s="7">
        <f t="shared" si="13"/>
        <v>35.383333337958902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06:07:05-0600',mode:absolute,to:'2016-11-02 08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5"/>
        <v>N</v>
      </c>
      <c r="X41" s="177">
        <f t="shared" si="21"/>
        <v>1</v>
      </c>
      <c r="Y41" s="67">
        <f t="shared" si="17"/>
        <v>4.4200000000000003E-2</v>
      </c>
      <c r="Z41" s="67">
        <f t="shared" si="18"/>
        <v>23.331600000000002</v>
      </c>
      <c r="AA41" s="67">
        <f t="shared" si="6"/>
        <v>23.287400000000002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7"/>
        <v>0129-02</v>
      </c>
      <c r="AE41" s="91" t="str">
        <f t="shared" si="8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41" s="88" t="str">
        <f t="shared" si="9"/>
        <v>"C:\Program Files (x86)\AstroGrep\AstroGrep.exe" /spath="%USERPROFILE%\AppData\Local\Temp\OnboardLogs" /stypes="app*4018*20161102*" /stext=" 13:.+((SYSTEM_STATE.+slice.+state.+changed )|(ment ac)|(system.+state.+changed )|(\[timeout)|(PRM\|1\|D)|(kpr)|(kdp)|(\|lc)|(penalty))" /e /r /s</v>
      </c>
      <c r="AG41" s="1" t="str">
        <f t="shared" si="10"/>
        <v>EC</v>
      </c>
      <c r="AH41" s="92" t="str">
        <f t="shared" si="19"/>
        <v>"%USERPROFILE%\Documents\GitHub\eaglep3\Utilities\RefineRTDCRunTimes.py" --tripid 129-02 --locoid 4018 --swversion DE.1.0.8.0 --startMP 204:442 --initTime 2016-11-02T07:07:05 --startdatetime 2016-11-02T07:15:14 --delay 1 --endMP 204:233316 --enddatetime 2016-11-02T07:50:37 --enforcementcount 0 &gt;&gt;C:\Users\stu\Documents\GitHub\eaglep3-reporting\EC\2016-11-02-refined-times.txt</v>
      </c>
      <c r="AI4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{"issue":{"subject":"","project_id":79,"tracker_id":40,"status_id":1,"priority_id":2,"assigned_to_id":23,"start_date":"2016-11-02","description":"","custom_fields":[{"id":1,"name":"Subdivision","value":"EC"},{"id":4,"name":"Milepost","value":"23.3316"},{"id":17,"name":"Train ID","value":"129-02"},{"id":16,"name":"Locomotive ID","value":"4018"},{"id":130,"name":"Impact","value":""},{"id":150,"name":"Time of Event (Mountain Time)","value":"07:50:37"},{"id":151,"name":"Denver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484</v>
      </c>
      <c r="B42" s="7">
        <v>4017</v>
      </c>
      <c r="C42" s="22" t="s">
        <v>249</v>
      </c>
      <c r="D42" s="22" t="s">
        <v>315</v>
      </c>
      <c r="E42" s="13">
        <v>42676.333171296297</v>
      </c>
      <c r="F42" s="13">
        <v>42676.341134259259</v>
      </c>
      <c r="G42" s="7">
        <v>4</v>
      </c>
      <c r="H42" s="13" t="s">
        <v>653</v>
      </c>
      <c r="I42" s="13">
        <v>42676.378171296295</v>
      </c>
      <c r="J42" s="7">
        <v>0</v>
      </c>
      <c r="K42" s="112" t="str">
        <f t="shared" si="0"/>
        <v>4017/4018</v>
      </c>
      <c r="L42" s="22" t="str">
        <f>VLOOKUP(A42,'Trips&amp;Operators'!$C$1:$E$10000,3,FALSE)</f>
        <v>PERKINS</v>
      </c>
      <c r="M42" s="6">
        <f t="shared" si="1"/>
        <v>3.7037037036498077E-2</v>
      </c>
      <c r="N42" s="7">
        <f t="shared" si="13"/>
        <v>53.333333332557231</v>
      </c>
      <c r="O42" s="7"/>
      <c r="P42" s="7"/>
      <c r="Q42" s="23"/>
      <c r="R42" s="23" t="s">
        <v>800</v>
      </c>
      <c r="S42" s="35">
        <f t="shared" si="2"/>
        <v>1</v>
      </c>
      <c r="T42" s="50" t="str">
        <f t="shared" si="3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06:59:46-0600',mode:absolute,to:'2016-11-02 10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5"/>
        <v>N</v>
      </c>
      <c r="X42" s="177">
        <f t="shared" si="21"/>
        <v>1</v>
      </c>
      <c r="Y42" s="67">
        <f t="shared" si="17"/>
        <v>23.298200000000001</v>
      </c>
      <c r="Z42" s="67">
        <f t="shared" si="18"/>
        <v>0.11749999999999999</v>
      </c>
      <c r="AA42" s="67">
        <f t="shared" si="6"/>
        <v>23.180700000000002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7"/>
        <v>0130-02</v>
      </c>
      <c r="AE42" s="91" t="str">
        <f t="shared" si="8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42" s="88" t="str">
        <f t="shared" si="9"/>
        <v>"C:\Program Files (x86)\AstroGrep\AstroGrep.exe" /spath="%USERPROFILE%\AppData\Local\Temp\OnboardLogs" /stypes="app*4017*20161102*" /stext=" 15:.+((SYSTEM_STATE.+slice.+state.+changed )|(ment ac)|(system.+state.+changed )|(\[timeout)|(PRM\|1\|D)|(kpr)|(kdp)|(\|lc)|(penalty))" /e /r /s</v>
      </c>
      <c r="AG42" s="1" t="str">
        <f t="shared" si="10"/>
        <v>EC</v>
      </c>
      <c r="AH42" s="92" t="str">
        <f t="shared" si="19"/>
        <v>"%USERPROFILE%\Documents\GitHub\eaglep3\Utilities\RefineRTDCRunTimes.py" --tripid 130-02 --locoid 4017 --swversion DE.1.0.8.0 --startMP 204:232982 --initTime 2016-11-02T07:59:46 --startdatetime 2016-11-02T08:11:14 --delay 4 --endMP 204:1175 --enddatetime 2016-11-02T09:04:34 --enforcementcount 0 &gt;&gt;C:\Users\stu\Documents\GitHub\eaglep3-reporting\EC\2016-11-02-refined-times.txt</v>
      </c>
      <c r="AI42" s="122" t="str">
        <f t="shared" si="20"/>
        <v>echo {"issue":{"subject":"Delayed at 78th due to CP Pena ELXS failure","project_id":79,"tracker_id":40,"status_id":1,"priority_id":2,"assigned_to_id":23,"start_date":"2016-11-02","description":"Around 08:10, CP Pena experienced a failure (transfer to standby?), affected 78th, unable to clear signal 4S.","custom_fields":[{"id":1,"name":"Subdivision","value":"EC"},{"id":4,"name":"Milepost","value":"0.1175"},{"id":17,"name":"Train ID","value":"130-02"},{"id":16,"name":"Locomotive ID","value":"4017"},{"id":130,"name":"Impact","value":"Others"},{"id":150,"name":"Time of Event (Mountain Time)","value":"09:04:34"},{"id":151,"name":"Denver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2" s="53" t="s">
        <v>801</v>
      </c>
      <c r="AK42" s="53" t="s">
        <v>137</v>
      </c>
      <c r="AL42" s="53" t="s">
        <v>130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477</v>
      </c>
      <c r="B43" s="7">
        <v>4002</v>
      </c>
      <c r="C43" s="22" t="s">
        <v>249</v>
      </c>
      <c r="D43" s="22" t="s">
        <v>292</v>
      </c>
      <c r="E43" s="13">
        <v>42676.306956018518</v>
      </c>
      <c r="F43" s="13">
        <v>42676.312962962962</v>
      </c>
      <c r="G43" s="7">
        <v>1</v>
      </c>
      <c r="H43" s="13" t="s">
        <v>191</v>
      </c>
      <c r="I43" s="13">
        <v>42676.338078703702</v>
      </c>
      <c r="J43" s="7">
        <v>0</v>
      </c>
      <c r="K43" s="112" t="str">
        <f t="shared" si="0"/>
        <v>4001/4002</v>
      </c>
      <c r="L43" s="22" t="str">
        <f>VLOOKUP(A43,'Trips&amp;Operators'!$C$1:$E$10000,3,FALSE)</f>
        <v>LALONDE</v>
      </c>
      <c r="M43" s="6">
        <f t="shared" si="1"/>
        <v>2.5115740740147885E-2</v>
      </c>
      <c r="N43" s="7">
        <f t="shared" si="13"/>
        <v>36.166666665812954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06:22:01-0600',mode:absolute,to:'2016-11-02 09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3" s="52" t="str">
        <f t="shared" si="5"/>
        <v>N</v>
      </c>
      <c r="X43" s="177">
        <f t="shared" si="21"/>
        <v>1</v>
      </c>
      <c r="Y43" s="67">
        <f t="shared" si="17"/>
        <v>4.4200000000000003E-2</v>
      </c>
      <c r="Z43" s="67">
        <f t="shared" si="18"/>
        <v>23.329699999999999</v>
      </c>
      <c r="AA43" s="67">
        <f t="shared" si="6"/>
        <v>23.285499999999999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7"/>
        <v>0131-02</v>
      </c>
      <c r="AE43" s="91" t="str">
        <f t="shared" si="8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43" s="88" t="str">
        <f t="shared" si="9"/>
        <v>"C:\Program Files (x86)\AstroGrep\AstroGrep.exe" /spath="%USERPROFILE%\AppData\Local\Temp\OnboardLogs" /stypes="app*4002*20161102*" /stext=" 14:.+((SYSTEM_STATE.+slice.+state.+changed )|(ment ac)|(system.+state.+changed )|(\[timeout)|(PRM\|1\|D)|(kpr)|(kdp)|(\|lc)|(penalty))" /e /r /s</v>
      </c>
      <c r="AG43" s="1" t="str">
        <f t="shared" si="10"/>
        <v>EC</v>
      </c>
      <c r="AH43" s="92" t="str">
        <f t="shared" si="19"/>
        <v>"%USERPROFILE%\Documents\GitHub\eaglep3\Utilities\RefineRTDCRunTimes.py" --tripid 131-02 --locoid 4002 --swversion DE.1.0.8.0 --startMP 204:442 --initTime 2016-11-02T07:22:01 --startdatetime 2016-11-02T07:30:40 --delay 1 --endMP 204:233297 --enddatetime 2016-11-02T08:06:50 --enforcementcount 0 &gt;&gt;C:\Users\stu\Documents\GitHub\eaglep3-reporting\EC\2016-11-02-refined-times.txt</v>
      </c>
      <c r="AI4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{"issue":{"subject":"","project_id":79,"tracker_id":40,"status_id":1,"priority_id":2,"assigned_to_id":23,"start_date":"2016-11-02","description":"","custom_fields":[{"id":1,"name":"Subdivision","value":"EC"},{"id":4,"name":"Milepost","value":"23.3297"},{"id":17,"name":"Train ID","value":"131-02"},{"id":16,"name":"Locomotive ID","value":"4002"},{"id":130,"name":"Impact","value":""},{"id":150,"name":"Time of Event (Mountain Time)","value":"08:06:50"},{"id":151,"name":"Denver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485</v>
      </c>
      <c r="B44" s="7">
        <v>4001</v>
      </c>
      <c r="C44" s="22" t="s">
        <v>249</v>
      </c>
      <c r="D44" s="22" t="s">
        <v>236</v>
      </c>
      <c r="E44" s="13">
        <v>42676.33965277778</v>
      </c>
      <c r="F44" s="13">
        <v>42676.354212962964</v>
      </c>
      <c r="G44" s="7">
        <v>1</v>
      </c>
      <c r="H44" s="13" t="s">
        <v>204</v>
      </c>
      <c r="I44" s="13">
        <v>42676.386284722219</v>
      </c>
      <c r="J44" s="7">
        <v>0</v>
      </c>
      <c r="K44" s="112" t="str">
        <f t="shared" si="0"/>
        <v>4001/4002</v>
      </c>
      <c r="L44" s="22" t="str">
        <f>VLOOKUP(A44,'Trips&amp;Operators'!$C$1:$E$10000,3,FALSE)</f>
        <v>LALONDE</v>
      </c>
      <c r="M44" s="6">
        <f t="shared" si="1"/>
        <v>3.2071759254904464E-2</v>
      </c>
      <c r="N44" s="7">
        <f t="shared" si="13"/>
        <v>46.183333327062428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07:09:06-0600',mode:absolute,to:'2016-11-02 10:16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4" s="52" t="str">
        <f t="shared" si="5"/>
        <v>N</v>
      </c>
      <c r="X44" s="177">
        <f t="shared" si="21"/>
        <v>1</v>
      </c>
      <c r="Y44" s="67">
        <f t="shared" si="17"/>
        <v>23.298500000000001</v>
      </c>
      <c r="Z44" s="67">
        <f t="shared" si="18"/>
        <v>1.4500000000000001E-2</v>
      </c>
      <c r="AA44" s="67">
        <f t="shared" si="6"/>
        <v>23.283999999999999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7"/>
        <v>0132-02</v>
      </c>
      <c r="AE44" s="91" t="str">
        <f t="shared" si="8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44" s="88" t="str">
        <f t="shared" si="9"/>
        <v>"C:\Program Files (x86)\AstroGrep\AstroGrep.exe" /spath="%USERPROFILE%\AppData\Local\Temp\OnboardLogs" /stypes="app*4001*20161102*" /stext=" 15:.+((SYSTEM_STATE.+slice.+state.+changed )|(ment ac)|(system.+state.+changed )|(\[timeout)|(PRM\|1\|D)|(kpr)|(kdp)|(\|lc)|(penalty))" /e /r /s</v>
      </c>
      <c r="AG44" s="1" t="str">
        <f t="shared" si="10"/>
        <v>EC</v>
      </c>
      <c r="AH44" s="92" t="str">
        <f t="shared" si="19"/>
        <v>"%USERPROFILE%\Documents\GitHub\eaglep3\Utilities\RefineRTDCRunTimes.py" --tripid 132-02 --locoid 4001 --swversion DE.1.0.8.0 --startMP 204:232985 --initTime 2016-11-02T08:09:06 --startdatetime 2016-11-02T08:30:04 --delay 1 --endMP 204:145 --enddatetime 2016-11-02T09:16:15 --enforcementcount 0 &gt;&gt;C:\Users\stu\Documents\GitHub\eaglep3-reporting\EC\2016-11-02-refined-times.txt</v>
      </c>
      <c r="AI4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ID","value":"132-02"},{"id":16,"name":"Locomotive ID","value":"4001"},{"id":130,"name":"Impact","value":""},{"id":150,"name":"Time of Event (Mountain Time)","value":"09:16:15"},{"id":151,"name":"Denver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479</v>
      </c>
      <c r="B45" s="7">
        <v>4038</v>
      </c>
      <c r="C45" s="22" t="s">
        <v>249</v>
      </c>
      <c r="D45" s="22" t="s">
        <v>654</v>
      </c>
      <c r="E45" s="13">
        <v>42676.347280092596</v>
      </c>
      <c r="F45" s="13">
        <v>42676.323287037034</v>
      </c>
      <c r="G45" s="7">
        <v>1</v>
      </c>
      <c r="H45" s="13" t="s">
        <v>364</v>
      </c>
      <c r="I45" s="13">
        <v>42676.358553240738</v>
      </c>
      <c r="J45" s="7">
        <v>0</v>
      </c>
      <c r="K45" s="112" t="str">
        <f t="shared" si="0"/>
        <v>4037/4038</v>
      </c>
      <c r="L45" s="22" t="str">
        <f>VLOOKUP(A45,'Trips&amp;Operators'!$C$1:$E$10000,3,FALSE)</f>
        <v>SANTIZO</v>
      </c>
      <c r="M45" s="6">
        <f t="shared" si="1"/>
        <v>3.5266203703940846E-2</v>
      </c>
      <c r="N45" s="7">
        <f t="shared" si="13"/>
        <v>50.783333333674818</v>
      </c>
      <c r="O45" s="7"/>
      <c r="P45" s="7"/>
      <c r="Q45" s="23"/>
      <c r="R45" s="23" t="s">
        <v>802</v>
      </c>
      <c r="S45" s="35">
        <f t="shared" ref="S45:S76" si="22">SUM(U45:U45)/IF(AG45="EC",12,1)</f>
        <v>1</v>
      </c>
      <c r="T45" s="50" t="str">
        <f t="shared" si="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07:20:05-0600',mode:absolute,to:'2016-11-02 09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 t="shared" si="5"/>
        <v>N</v>
      </c>
      <c r="X45" s="177">
        <f t="shared" ref="X45:X47" si="23">VALUE(LEFT(AD45,4))-VALUE(LEFT(AD44,4))</f>
        <v>1</v>
      </c>
      <c r="Y45" s="67">
        <v>4.5499999999999999E-2</v>
      </c>
      <c r="Z45" s="67">
        <f t="shared" si="18"/>
        <v>23.331600000000002</v>
      </c>
      <c r="AA45" s="67">
        <f t="shared" si="6"/>
        <v>23.286100000000001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7"/>
        <v>0133-02</v>
      </c>
      <c r="AE45" s="91" t="str">
        <f t="shared" si="8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45" s="88" t="str">
        <f t="shared" si="9"/>
        <v>"C:\Program Files (x86)\AstroGrep\AstroGrep.exe" /spath="%USERPROFILE%\AppData\Local\Temp\OnboardLogs" /stypes="app*4038*20161102*" /stext=" 14:.+((SYSTEM_STATE.+slice.+state.+changed )|(ment ac)|(system.+state.+changed )|(\[timeout)|(PRM\|1\|D)|(kpr)|(kdp)|(\|lc)|(penalty))" /e /r /s</v>
      </c>
      <c r="AG45" s="1" t="str">
        <f t="shared" si="10"/>
        <v>EC</v>
      </c>
      <c r="AH45" s="92" t="str">
        <f t="shared" si="19"/>
        <v>"%USERPROFILE%\Documents\GitHub\eaglep3\Utilities\RefineRTDCRunTimes.py" --tripid 133-02 --locoid 4038 --swversion DE.1.0.8.0 --startMP 204:154438 --initTime 2016-11-02T08:20:05 --startdatetime 2016-11-02T07:45:32 --delay 1 --endMP 204:233316 --enddatetime 2016-11-02T08:36:19 --enforcementcount 0 &gt;&gt;C:\Users\stu\Documents\GitHub\eaglep3-reporting\EC\2016-11-02-refined-times.txt</v>
      </c>
      <c r="AI45" s="122" t="str">
        <f t="shared" si="20"/>
        <v>echo {"issue":{"subject":"Delayed due to cut out and re-init at 61st/Pena Station, probably in response to the CP Pena issue","project_id":79,"tracker_id":40,"status_id":1,"priority_id":2,"assigned_to_id":23,"start_date":"2016-11-02","description":"","custom_fields":[{"id":1,"name":"Subdivision","value":"EC"},{"id":4,"name":"Milepost","value":"23.3316"},{"id":17,"name":"Train ID","value":"133-02"},{"id":16,"name":"Locomotive ID","value":"4038"},{"id":130,"name":"Impact","value":""},{"id":150,"name":"Time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491</v>
      </c>
      <c r="B46" s="7">
        <v>4037</v>
      </c>
      <c r="C46" s="22" t="s">
        <v>249</v>
      </c>
      <c r="D46" s="22" t="s">
        <v>652</v>
      </c>
      <c r="E46" s="13">
        <v>42676.361493055556</v>
      </c>
      <c r="F46" s="13">
        <v>42676.362881944442</v>
      </c>
      <c r="G46" s="7">
        <v>1</v>
      </c>
      <c r="H46" s="13" t="s">
        <v>655</v>
      </c>
      <c r="I46" s="13">
        <v>42676.390949074077</v>
      </c>
      <c r="J46" s="7">
        <v>0</v>
      </c>
      <c r="K46" s="112" t="str">
        <f t="shared" si="0"/>
        <v>4037/4038</v>
      </c>
      <c r="L46" s="22" t="str">
        <f>VLOOKUP(A46,'Trips&amp;Operators'!$C$1:$E$10000,3,FALSE)</f>
        <v>SANTIZO</v>
      </c>
      <c r="M46" s="6">
        <f t="shared" si="1"/>
        <v>2.8067129635019228E-2</v>
      </c>
      <c r="N46" s="7">
        <f t="shared" ref="N46:N68" si="24">24*60*SUM($M46:$M46)</f>
        <v>40.416666674427688</v>
      </c>
      <c r="O46" s="7"/>
      <c r="P46" s="7"/>
      <c r="Q46" s="23"/>
      <c r="R46" s="23"/>
      <c r="S46" s="35">
        <f t="shared" si="22"/>
        <v>1</v>
      </c>
      <c r="T46" s="50" t="str">
        <f t="shared" si="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07:40:33-0600',mode:absolute,to:'2016-11-02 10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 t="shared" si="5"/>
        <v>N</v>
      </c>
      <c r="X46" s="177">
        <f t="shared" si="23"/>
        <v>1</v>
      </c>
      <c r="Y46" s="67">
        <f t="shared" si="17"/>
        <v>23.2986</v>
      </c>
      <c r="Z46" s="67">
        <f t="shared" si="18"/>
        <v>1.32E-2</v>
      </c>
      <c r="AA46" s="67">
        <f t="shared" si="6"/>
        <v>23.285399999999999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7"/>
        <v>0134-02</v>
      </c>
      <c r="AE46" s="91" t="str">
        <f t="shared" si="8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46" s="88" t="str">
        <f t="shared" si="9"/>
        <v>"C:\Program Files (x86)\AstroGrep\AstroGrep.exe" /spath="%USERPROFILE%\AppData\Local\Temp\OnboardLogs" /stypes="app*4037*20161102*" /stext=" 15:.+((SYSTEM_STATE.+slice.+state.+changed )|(ment ac)|(system.+state.+changed )|(\[timeout)|(PRM\|1\|D)|(kpr)|(kdp)|(\|lc)|(penalty))" /e /r /s</v>
      </c>
      <c r="AG46" s="1" t="str">
        <f t="shared" si="10"/>
        <v>EC</v>
      </c>
      <c r="AH46" s="92" t="str">
        <f t="shared" si="19"/>
        <v>"%USERPROFILE%\Documents\GitHub\eaglep3\Utilities\RefineRTDCRunTimes.py" --tripid 134-02 --locoid 4037 --swversion DE.1.0.8.0 --startMP 204:232986 --initTime 2016-11-02T08:40:33 --startdatetime 2016-11-02T08:42:33 --delay 1 --endMP 204:132 --enddatetime 2016-11-02T09:22:58 --enforcementcount 0 &gt;&gt;C:\Users\stu\Documents\GitHub\eaglep3-reporting\EC\2016-11-02-refined-times.txt</v>
      </c>
      <c r="AI4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{"issue":{"subject":"","project_id":79,"tracker_id":40,"status_id":1,"priority_id":2,"assigned_to_id":23,"start_date":"2016-11-02","description":"","custom_fields":[{"id":1,"name":"Subdivision","value":"EC"},{"id":4,"name":"Milepost","value":"0.0132"},{"id":17,"name":"Train ID","value":"134-02"},{"id":16,"name":"Locomotive ID","value":"4037"},{"id":130,"name":"Impact","value":""},{"id":150,"name":"Time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483</v>
      </c>
      <c r="B47" s="7">
        <v>4007</v>
      </c>
      <c r="C47" s="22" t="s">
        <v>249</v>
      </c>
      <c r="D47" s="22" t="s">
        <v>209</v>
      </c>
      <c r="E47" s="13">
        <v>42676.329606481479</v>
      </c>
      <c r="F47" s="13">
        <v>42676.333518518521</v>
      </c>
      <c r="G47" s="7">
        <v>1</v>
      </c>
      <c r="H47" s="13" t="s">
        <v>356</v>
      </c>
      <c r="I47" s="13">
        <v>42676.365995370368</v>
      </c>
      <c r="J47" s="7">
        <v>0</v>
      </c>
      <c r="K47" s="112" t="str">
        <f t="shared" si="0"/>
        <v>4007/4008</v>
      </c>
      <c r="L47" s="22" t="str">
        <f>VLOOKUP(A47,'Trips&amp;Operators'!$C$1:$E$10000,3,FALSE)</f>
        <v>RICHARDSON</v>
      </c>
      <c r="M47" s="6">
        <f t="shared" si="1"/>
        <v>3.2476851847604848E-2</v>
      </c>
      <c r="N47" s="7">
        <f t="shared" si="24"/>
        <v>46.766666660550982</v>
      </c>
      <c r="O47" s="7"/>
      <c r="P47" s="7"/>
      <c r="Q47" s="23"/>
      <c r="R47" s="23"/>
      <c r="S47" s="35">
        <f t="shared" si="22"/>
        <v>1</v>
      </c>
      <c r="T47" s="50" t="str">
        <f t="shared" si="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06:54:38-0600',mode:absolute,to:'2016-11-02 09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7" s="52" t="str">
        <f t="shared" si="5"/>
        <v>N</v>
      </c>
      <c r="X47" s="177">
        <f t="shared" si="23"/>
        <v>1</v>
      </c>
      <c r="Y47" s="67">
        <f t="shared" si="17"/>
        <v>4.53E-2</v>
      </c>
      <c r="Z47" s="67">
        <f t="shared" si="18"/>
        <v>23.3308</v>
      </c>
      <c r="AA47" s="67">
        <f t="shared" si="6"/>
        <v>23.285499999999999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7"/>
        <v>0135-02</v>
      </c>
      <c r="AE47" s="91" t="str">
        <f t="shared" si="8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47" s="88" t="str">
        <f t="shared" si="9"/>
        <v>"C:\Program Files (x86)\AstroGrep\AstroGrep.exe" /spath="%USERPROFILE%\AppData\Local\Temp\OnboardLogs" /stypes="app*4007*20161102*" /stext=" 14:.+((SYSTEM_STATE.+slice.+state.+changed )|(ment ac)|(system.+state.+changed )|(\[timeout)|(PRM\|1\|D)|(kpr)|(kdp)|(\|lc)|(penalty))" /e /r /s</v>
      </c>
      <c r="AG47" s="1" t="str">
        <f t="shared" si="10"/>
        <v>EC</v>
      </c>
      <c r="AH47" s="92" t="str">
        <f t="shared" si="19"/>
        <v>"%USERPROFILE%\Documents\GitHub\eaglep3\Utilities\RefineRTDCRunTimes.py" --tripid 135-02 --locoid 4007 --swversion DE.1.0.8.0 --startMP 204:453 --initTime 2016-11-02T07:54:38 --startdatetime 2016-11-02T08:00:16 --delay 1 --endMP 204:233308 --enddatetime 2016-11-02T08:47:02 --enforcementcount 0 &gt;&gt;C:\Users\stu\Documents\GitHub\eaglep3-reporting\EC\2016-11-02-refined-times.txt</v>
      </c>
      <c r="AI4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{"issue":{"subject":"","project_id":79,"tracker_id":40,"status_id":1,"priority_id":2,"assigned_to_id":23,"start_date":"2016-11-02","description":"","custom_fields":[{"id":1,"name":"Subdivision","value":"EC"},{"id":4,"name":"Milepost","value":"23.3308"},{"id":17,"name":"Train ID","value":"135-02"},{"id":16,"name":"Locomotive ID","value":"4007"},{"id":130,"name":"Impact","value":""},{"id":150,"name":"Time of Event (Mountain Time)","value":"08:47:02"},{"id":151,"name":"Denver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408</v>
      </c>
      <c r="B48" s="7">
        <v>4008</v>
      </c>
      <c r="C48" s="22" t="s">
        <v>249</v>
      </c>
      <c r="D48" s="22" t="s">
        <v>360</v>
      </c>
      <c r="E48" s="13">
        <v>42676.36824074074</v>
      </c>
      <c r="F48" s="13">
        <v>42676.373055555552</v>
      </c>
      <c r="G48" s="7">
        <v>6</v>
      </c>
      <c r="H48" s="13" t="s">
        <v>264</v>
      </c>
      <c r="I48" s="13">
        <v>42676.399351851855</v>
      </c>
      <c r="J48" s="7">
        <v>0</v>
      </c>
      <c r="K48" s="112" t="str">
        <f t="shared" si="0"/>
        <v>4007/4008</v>
      </c>
      <c r="L48" s="22" t="str">
        <f>VLOOKUP(A48,'Trips&amp;Operators'!$C$1:$E$10000,3,FALSE)</f>
        <v>RICHARDSON</v>
      </c>
      <c r="M48" s="6">
        <f t="shared" si="1"/>
        <v>2.6296296302461997E-2</v>
      </c>
      <c r="N48" s="7">
        <f t="shared" si="24"/>
        <v>37.866666675545275</v>
      </c>
      <c r="O48" s="7"/>
      <c r="P48" s="7"/>
      <c r="Q48" s="23"/>
      <c r="R48" s="23"/>
      <c r="S48" s="35">
        <f t="shared" si="22"/>
        <v>1</v>
      </c>
      <c r="T48" s="50" t="str">
        <f t="shared" si="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07:50:16-0600',mode:absolute,to:'2016-11-02 10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8" s="52" t="str">
        <f t="shared" si="5"/>
        <v>N</v>
      </c>
      <c r="X48" s="177">
        <f t="shared" ref="X48:X67" si="25">VALUE(LEFT(AD48,4))-VALUE(LEFT(AD47,4))</f>
        <v>1</v>
      </c>
      <c r="Y48" s="67">
        <f t="shared" si="17"/>
        <v>23.299299999999999</v>
      </c>
      <c r="Z48" s="67">
        <f t="shared" si="18"/>
        <v>1.3599999999999999E-2</v>
      </c>
      <c r="AA48" s="67">
        <f t="shared" si="6"/>
        <v>23.285699999999999</v>
      </c>
      <c r="AB48" s="64" t="str">
        <f>VLOOKUP(A48,Enforcements!$C$7:$K$21,8,0)</f>
        <v>Bulletin (2)</v>
      </c>
      <c r="AC48" s="60" t="str">
        <f>VLOOKUP(A48,Enforcements!$C$7:$E$21,3,0)</f>
        <v>GRADE CROSSING</v>
      </c>
      <c r="AD48" s="61" t="str">
        <f t="shared" si="7"/>
        <v>0136-02</v>
      </c>
      <c r="AE48" s="91" t="str">
        <f t="shared" si="8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48" s="88" t="str">
        <f t="shared" si="9"/>
        <v>"C:\Program Files (x86)\AstroGrep\AstroGrep.exe" /spath="%USERPROFILE%\AppData\Local\Temp\OnboardLogs" /stypes="app*4008*20161102*" /stext=" 15:.+((SYSTEM_STATE.+slice.+state.+changed )|(ment ac)|(system.+state.+changed )|(\[timeout)|(PRM\|1\|D)|(kpr)|(kdp)|(\|lc)|(penalty))" /e /r /s</v>
      </c>
      <c r="AG48" s="1" t="str">
        <f t="shared" si="10"/>
        <v>EC</v>
      </c>
      <c r="AH48" s="92" t="str">
        <f t="shared" si="19"/>
        <v>"%USERPROFILE%\Documents\GitHub\eaglep3\Utilities\RefineRTDCRunTimes.py" --tripid 136-02 --locoid 4008 --swversion DE.1.0.8.0 --startMP 204:232993 --initTime 2016-11-02T08:50:16 --startdatetime 2016-11-02T08:57:12 --delay 6 --endMP 204:136 --enddatetime 2016-11-02T09:35:04 --enforcementcount 0 &gt;&gt;C:\Users\stu\Documents\GitHub\eaglep3-reporting\EC\2016-11-02-refined-times.txt</v>
      </c>
      <c r="AI4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{"issue":{"subject":"","project_id":79,"tracker_id":40,"status_id":1,"priority_id":2,"assigned_to_id":23,"start_date":"2016-11-02","description":"","custom_fields":[{"id":1,"name":"Subdivision","value":"EC"},{"id":4,"name":"Milepost","value":"0.0136"},{"id":17,"name":"Train ID","value":"136-02"},{"id":16,"name":"Locomotive ID","value":"4008"},{"id":130,"name":"Impact","value":""},{"id":150,"name":"Time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407</v>
      </c>
      <c r="B49" s="7">
        <v>4003</v>
      </c>
      <c r="C49" s="22" t="s">
        <v>249</v>
      </c>
      <c r="D49" s="22" t="s">
        <v>656</v>
      </c>
      <c r="E49" s="13">
        <v>42676.339062500003</v>
      </c>
      <c r="F49" s="13">
        <v>42676.343935185185</v>
      </c>
      <c r="G49" s="7">
        <v>1</v>
      </c>
      <c r="H49" s="13" t="s">
        <v>206</v>
      </c>
      <c r="I49" s="13">
        <v>42676.373078703706</v>
      </c>
      <c r="J49" s="7">
        <v>0</v>
      </c>
      <c r="K49" s="112" t="str">
        <f t="shared" si="0"/>
        <v>4003/4004</v>
      </c>
      <c r="L49" s="22" t="str">
        <f>VLOOKUP(A49,'Trips&amp;Operators'!$C$1:$E$10000,3,FALSE)</f>
        <v>BADERTSCHER</v>
      </c>
      <c r="M49" s="6">
        <f t="shared" si="1"/>
        <v>2.9143518520868383E-2</v>
      </c>
      <c r="N49" s="7">
        <f t="shared" si="24"/>
        <v>41.966666670050472</v>
      </c>
      <c r="O49" s="7"/>
      <c r="P49" s="7"/>
      <c r="Q49" s="23"/>
      <c r="R49" s="23"/>
      <c r="S49" s="35">
        <f t="shared" si="22"/>
        <v>1</v>
      </c>
      <c r="T49" s="50" t="str">
        <f t="shared" si="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07:08:15-0600',mode:absolute,to:'2016-11-02 09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9" s="52" t="str">
        <f t="shared" si="5"/>
        <v>N</v>
      </c>
      <c r="X49" s="177">
        <f t="shared" si="25"/>
        <v>1</v>
      </c>
      <c r="Y49" s="67">
        <f t="shared" si="17"/>
        <v>4.8000000000000001E-2</v>
      </c>
      <c r="Z49" s="67">
        <f t="shared" si="18"/>
        <v>23.3293</v>
      </c>
      <c r="AA49" s="67">
        <f t="shared" si="6"/>
        <v>23.281300000000002</v>
      </c>
      <c r="AB49" s="64" t="str">
        <f>VLOOKUP(A49,Enforcements!$C$7:$K$21,8,0)</f>
        <v>Speed (6)</v>
      </c>
      <c r="AC49" s="60" t="str">
        <f>VLOOKUP(A49,Enforcements!$C$7:$E$21,3,0)</f>
        <v>PERMANENT SPEED RESTRICTION</v>
      </c>
      <c r="AD49" s="61" t="str">
        <f t="shared" si="7"/>
        <v>0137-02</v>
      </c>
      <c r="AE49" s="91" t="str">
        <f t="shared" si="8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49" s="88" t="str">
        <f t="shared" si="9"/>
        <v>"C:\Program Files (x86)\AstroGrep\AstroGrep.exe" /spath="%USERPROFILE%\AppData\Local\Temp\OnboardLogs" /stypes="app*4003*20161102*" /stext=" 14:.+((SYSTEM_STATE.+slice.+state.+changed )|(ment ac)|(system.+state.+changed )|(\[timeout)|(PRM\|1\|D)|(kpr)|(kdp)|(\|lc)|(penalty))" /e /r /s</v>
      </c>
      <c r="AG49" s="1" t="str">
        <f t="shared" si="10"/>
        <v>EC</v>
      </c>
      <c r="AH49" s="92" t="str">
        <f t="shared" si="19"/>
        <v>"%USERPROFILE%\Documents\GitHub\eaglep3\Utilities\RefineRTDCRunTimes.py" --tripid 137-02 --locoid 4003 --swversion DE.1.0.8.0 --startMP 204:480 --initTime 2016-11-02T08:08:15 --startdatetime 2016-11-02T08:15:16 --delay 1 --endMP 204:233293 --enddatetime 2016-11-02T08:57:14 --enforcementcount 0 &gt;&gt;C:\Users\stu\Documents\GitHub\eaglep3-reporting\EC\2016-11-02-refined-times.txt</v>
      </c>
      <c r="AI49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{"issue":{"subject":"","project_id":79,"tracker_id":40,"status_id":1,"priority_id":2,"assigned_to_id":23,"start_date":"2016-11-02","description":"","custom_fields":[{"id":1,"name":"Subdivision","value":"EC"},{"id":4,"name":"Milepost","value":"23.3293"},{"id":17,"name":"Train ID","value":"137-02"},{"id":16,"name":"Locomotive ID","value":"4003"},{"id":130,"name":"Impact","value":""},{"id":150,"name":"Time of Event (Mountain Time)","value":"08:57:14"},{"id":151,"name":"Denver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494</v>
      </c>
      <c r="B50" s="7">
        <v>4004</v>
      </c>
      <c r="C50" s="22" t="s">
        <v>249</v>
      </c>
      <c r="D50" s="22" t="s">
        <v>657</v>
      </c>
      <c r="E50" s="13">
        <v>42676.378055555557</v>
      </c>
      <c r="F50" s="13">
        <v>42676.382835648146</v>
      </c>
      <c r="G50" s="7">
        <v>1</v>
      </c>
      <c r="H50" s="13" t="s">
        <v>205</v>
      </c>
      <c r="I50" s="13">
        <v>42676.408576388887</v>
      </c>
      <c r="J50" s="7">
        <v>0</v>
      </c>
      <c r="K50" s="112" t="str">
        <f t="shared" si="0"/>
        <v>4003/4004</v>
      </c>
      <c r="L50" s="22" t="str">
        <f>VLOOKUP(A50,'Trips&amp;Operators'!$C$1:$E$10000,3,FALSE)</f>
        <v>BADERTSCHER</v>
      </c>
      <c r="M50" s="6">
        <f t="shared" si="1"/>
        <v>2.5740740740729962E-2</v>
      </c>
      <c r="N50" s="7">
        <f t="shared" si="24"/>
        <v>37.066666666651145</v>
      </c>
      <c r="O50" s="7"/>
      <c r="P50" s="7"/>
      <c r="Q50" s="23"/>
      <c r="R50" s="23"/>
      <c r="S50" s="35">
        <f t="shared" si="22"/>
        <v>1</v>
      </c>
      <c r="T50" s="50" t="str">
        <f t="shared" si="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08:04:24-0600',mode:absolute,to:'2016-11-02 10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0" s="52" t="str">
        <f t="shared" si="5"/>
        <v>N</v>
      </c>
      <c r="X50" s="177">
        <f t="shared" si="25"/>
        <v>1</v>
      </c>
      <c r="Y50" s="67">
        <f t="shared" si="17"/>
        <v>23.296299999999999</v>
      </c>
      <c r="Z50" s="67">
        <f t="shared" si="18"/>
        <v>1.49E-2</v>
      </c>
      <c r="AA50" s="67">
        <f t="shared" si="6"/>
        <v>23.281399999999998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7"/>
        <v>0138-02</v>
      </c>
      <c r="AE50" s="91" t="str">
        <f t="shared" si="8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50" s="88" t="str">
        <f t="shared" si="9"/>
        <v>"C:\Program Files (x86)\AstroGrep\AstroGrep.exe" /spath="%USERPROFILE%\AppData\Local\Temp\OnboardLogs" /stypes="app*4004*20161102*" /stext=" 15:.+((SYSTEM_STATE.+slice.+state.+changed )|(ment ac)|(system.+state.+changed )|(\[timeout)|(PRM\|1\|D)|(kpr)|(kdp)|(\|lc)|(penalty))" /e /r /s</v>
      </c>
      <c r="AG50" s="1" t="str">
        <f t="shared" si="10"/>
        <v>EC</v>
      </c>
      <c r="AH50" s="92" t="str">
        <f t="shared" si="19"/>
        <v>"%USERPROFILE%\Documents\GitHub\eaglep3\Utilities\RefineRTDCRunTimes.py" --tripid 138-02 --locoid 4004 --swversion DE.1.0.8.0 --startMP 204:232963 --initTime 2016-11-02T09:04:24 --startdatetime 2016-11-02T09:11:17 --delay 1 --endMP 204:149 --enddatetime 2016-11-02T09:48:21 --enforcementcount 0 &gt;&gt;C:\Users\stu\Documents\GitHub\eaglep3-reporting\EC\2016-11-02-refined-times.txt</v>
      </c>
      <c r="AI5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{"issue":{"subject":"","project_id":79,"tracker_id":40,"status_id":1,"priority_id":2,"assigned_to_id":23,"start_date":"2016-11-02","description":"","custom_fields":[{"id":1,"name":"Subdivision","value":"EC"},{"id":4,"name":"Milepost","value":"0.0149"},{"id":17,"name":"Train ID","value":"138-02"},{"id":16,"name":"Locomotive ID","value":"4004"},{"id":130,"name":"Impact","value":""},{"id":150,"name":"Time of Event (Mountain Time)","value":"09:48:21"},{"id":151,"name":"Denver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487</v>
      </c>
      <c r="B51" s="7">
        <v>4009</v>
      </c>
      <c r="C51" s="22" t="s">
        <v>249</v>
      </c>
      <c r="D51" s="22" t="s">
        <v>210</v>
      </c>
      <c r="E51" s="13">
        <v>42676.352824074071</v>
      </c>
      <c r="F51" s="13">
        <v>42676.354444444441</v>
      </c>
      <c r="G51" s="7">
        <v>0</v>
      </c>
      <c r="H51" s="13" t="s">
        <v>212</v>
      </c>
      <c r="I51" s="13">
        <v>42676.378668981481</v>
      </c>
      <c r="J51" s="7">
        <v>0</v>
      </c>
      <c r="K51" s="112" t="str">
        <f t="shared" si="0"/>
        <v>4009/4010</v>
      </c>
      <c r="L51" s="22" t="str">
        <f>VLOOKUP(A51,'Trips&amp;Operators'!$C$1:$E$10000,3,FALSE)</f>
        <v>ROCHA</v>
      </c>
      <c r="M51" s="6">
        <f t="shared" si="1"/>
        <v>2.4224537039117422E-2</v>
      </c>
      <c r="N51" s="7">
        <f t="shared" si="24"/>
        <v>34.883333336329088</v>
      </c>
      <c r="O51" s="7"/>
      <c r="P51" s="7"/>
      <c r="Q51" s="23"/>
      <c r="R51" s="23"/>
      <c r="S51" s="35">
        <f t="shared" si="22"/>
        <v>1</v>
      </c>
      <c r="T51" s="50" t="str">
        <f t="shared" si="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07:28:04-0600',mode:absolute,to:'2016-11-02 10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1" s="52" t="str">
        <f t="shared" si="5"/>
        <v>N</v>
      </c>
      <c r="X51" s="177">
        <f t="shared" si="25"/>
        <v>1</v>
      </c>
      <c r="Y51" s="67">
        <f t="shared" si="17"/>
        <v>4.5499999999999999E-2</v>
      </c>
      <c r="Z51" s="67">
        <f t="shared" si="18"/>
        <v>23.329499999999999</v>
      </c>
      <c r="AA51" s="67">
        <f t="shared" si="6"/>
        <v>23.283999999999999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7"/>
        <v>0139-02</v>
      </c>
      <c r="AE51" s="91" t="str">
        <f t="shared" si="8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51" s="88" t="str">
        <f t="shared" si="9"/>
        <v>"C:\Program Files (x86)\AstroGrep\AstroGrep.exe" /spath="%USERPROFILE%\AppData\Local\Temp\OnboardLogs" /stypes="app*4009*20161102*" /stext=" 15:.+((SYSTEM_STATE.+slice.+state.+changed )|(ment ac)|(system.+state.+changed )|(\[timeout)|(PRM\|1\|D)|(kpr)|(kdp)|(\|lc)|(penalty))" /e /r /s</v>
      </c>
      <c r="AG51" s="1" t="str">
        <f t="shared" si="10"/>
        <v>EC</v>
      </c>
      <c r="AH51" s="92" t="str">
        <f t="shared" si="19"/>
        <v>"%USERPROFILE%\Documents\GitHub\eaglep3\Utilities\RefineRTDCRunTimes.py" --tripid 139-02 --locoid 4009 --swversion DE.1.0.8.0 --startMP 204:455 --initTime 2016-11-02T08:28:04 --startdatetime 2016-11-02T08:30:24 --delay 0 --endMP 204:233295 --enddatetime 2016-11-02T09:05:17 --enforcementcount 0 &gt;&gt;C:\Users\stu\Documents\GitHub\eaglep3-reporting\EC\2016-11-02-refined-times.txt</v>
      </c>
      <c r="AI5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{"issue":{"subject":"","project_id":79,"tracker_id":40,"status_id":1,"priority_id":2,"assigned_to_id":23,"start_date":"2016-11-02","description":"","custom_fields":[{"id":1,"name":"Subdivision","value":"EC"},{"id":4,"name":"Milepost","value":"23.3295"},{"id":17,"name":"Train ID","value":"139-02"},{"id":16,"name":"Locomotive ID","value":"4009"},{"id":130,"name":"Impact","value":""},{"id":150,"name":"Time of Event (Mountain Time)","value":"09:05:17"},{"id":151,"name":"Denver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497</v>
      </c>
      <c r="B52" s="7">
        <v>4010</v>
      </c>
      <c r="C52" s="22" t="s">
        <v>249</v>
      </c>
      <c r="D52" s="22" t="s">
        <v>224</v>
      </c>
      <c r="E52" s="13">
        <v>42676.391550925924</v>
      </c>
      <c r="F52" s="13">
        <v>42676.39329861111</v>
      </c>
      <c r="G52" s="7">
        <v>1</v>
      </c>
      <c r="H52" s="13" t="s">
        <v>176</v>
      </c>
      <c r="I52" s="13">
        <v>42676.420127314814</v>
      </c>
      <c r="J52" s="7">
        <v>0</v>
      </c>
      <c r="K52" s="112" t="str">
        <f t="shared" si="0"/>
        <v>4009/4010</v>
      </c>
      <c r="L52" s="22" t="str">
        <f>VLOOKUP(A52,'Trips&amp;Operators'!$C$1:$E$10000,3,FALSE)</f>
        <v>ROCHA</v>
      </c>
      <c r="M52" s="6">
        <f t="shared" si="1"/>
        <v>2.6828703703358769E-2</v>
      </c>
      <c r="N52" s="7">
        <f t="shared" si="24"/>
        <v>38.633333332836628</v>
      </c>
      <c r="O52" s="7"/>
      <c r="P52" s="7"/>
      <c r="Q52" s="23"/>
      <c r="R52" s="23"/>
      <c r="S52" s="35">
        <f t="shared" si="22"/>
        <v>1</v>
      </c>
      <c r="T52" s="50" t="str">
        <f t="shared" si="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08:23:50-0600',mode:absolute,to:'2016-11-02 11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2" s="52" t="str">
        <f t="shared" si="5"/>
        <v>N</v>
      </c>
      <c r="X52" s="177">
        <f t="shared" si="25"/>
        <v>1</v>
      </c>
      <c r="Y52" s="67">
        <f t="shared" si="17"/>
        <v>23.297699999999999</v>
      </c>
      <c r="Z52" s="67">
        <f t="shared" si="18"/>
        <v>1.52E-2</v>
      </c>
      <c r="AA52" s="67">
        <f t="shared" si="6"/>
        <v>23.282499999999999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7"/>
        <v>0140-02</v>
      </c>
      <c r="AE52" s="91" t="str">
        <f t="shared" si="8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52" s="88" t="str">
        <f t="shared" si="9"/>
        <v>"C:\Program Files (x86)\AstroGrep\AstroGrep.exe" /spath="%USERPROFILE%\AppData\Local\Temp\OnboardLogs" /stypes="app*4010*20161102*" /stext=" 16:.+((SYSTEM_STATE.+slice.+state.+changed )|(ment ac)|(system.+state.+changed )|(\[timeout)|(PRM\|1\|D)|(kpr)|(kdp)|(\|lc)|(penalty))" /e /r /s</v>
      </c>
      <c r="AG52" s="1" t="str">
        <f t="shared" si="10"/>
        <v>EC</v>
      </c>
      <c r="AH52" s="92" t="str">
        <f t="shared" si="19"/>
        <v>"%USERPROFILE%\Documents\GitHub\eaglep3\Utilities\RefineRTDCRunTimes.py" --tripid 140-02 --locoid 4010 --swversion DE.1.0.8.0 --startMP 204:232977 --initTime 2016-11-02T09:23:50 --startdatetime 2016-11-02T09:26:21 --delay 1 --endMP 204:152 --enddatetime 2016-11-02T10:04:59 --enforcementcount 0 &gt;&gt;C:\Users\stu\Documents\GitHub\eaglep3-reporting\EC\2016-11-02-refined-times.txt</v>
      </c>
      <c r="AI52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{"issue":{"subject":"","project_id":79,"tracker_id":40,"status_id":1,"priority_id":2,"assigned_to_id":23,"start_date":"2016-11-02","description":"","custom_fields":[{"id":1,"name":"Subdivision","value":"EC"},{"id":4,"name":"Milepost","value":"0.0152"},{"id":17,"name":"Train ID","value":"140-02"},{"id":16,"name":"Locomotive ID","value":"4010"},{"id":130,"name":"Impact","value":""},{"id":150,"name":"Time of Event (Mountain Time)","value":"10:04:59"},{"id":151,"name":"Denver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489</v>
      </c>
      <c r="B53" s="7">
        <v>4053</v>
      </c>
      <c r="C53" s="22" t="s">
        <v>249</v>
      </c>
      <c r="D53" s="22" t="s">
        <v>271</v>
      </c>
      <c r="E53" s="13">
        <v>42676.359317129631</v>
      </c>
      <c r="F53" s="13">
        <v>42676.364872685182</v>
      </c>
      <c r="G53" s="7">
        <v>1</v>
      </c>
      <c r="H53" s="13" t="s">
        <v>212</v>
      </c>
      <c r="I53" s="13">
        <v>42676.389710648145</v>
      </c>
      <c r="J53" s="7">
        <v>0</v>
      </c>
      <c r="K53" s="112" t="str">
        <f t="shared" si="0"/>
        <v>4053/4054</v>
      </c>
      <c r="L53" s="22" t="str">
        <f>VLOOKUP(A53,'Trips&amp;Operators'!$C$1:$E$10000,3,FALSE)</f>
        <v>MAELZER</v>
      </c>
      <c r="M53" s="6">
        <f t="shared" si="1"/>
        <v>2.4837962962919846E-2</v>
      </c>
      <c r="N53" s="7">
        <f t="shared" si="24"/>
        <v>35.766666666604578</v>
      </c>
      <c r="O53" s="7"/>
      <c r="P53" s="7"/>
      <c r="Q53" s="23"/>
      <c r="R53" s="23"/>
      <c r="S53" s="35">
        <f t="shared" si="22"/>
        <v>1</v>
      </c>
      <c r="T53" s="50" t="str">
        <f t="shared" si="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07:37:25-0600',mode:absolute,to:'2016-11-02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3" s="52" t="str">
        <f t="shared" si="5"/>
        <v>N</v>
      </c>
      <c r="X53" s="177">
        <f t="shared" si="25"/>
        <v>1</v>
      </c>
      <c r="Y53" s="67">
        <f t="shared" si="17"/>
        <v>4.4400000000000002E-2</v>
      </c>
      <c r="Z53" s="67">
        <f t="shared" si="18"/>
        <v>23.329499999999999</v>
      </c>
      <c r="AA53" s="67">
        <f t="shared" si="6"/>
        <v>23.2851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7"/>
        <v>0141-02</v>
      </c>
      <c r="AE53" s="91" t="str">
        <f t="shared" si="8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53" s="88" t="str">
        <f t="shared" si="9"/>
        <v>"C:\Program Files (x86)\AstroGrep\AstroGrep.exe" /spath="%USERPROFILE%\AppData\Local\Temp\OnboardLogs" /stypes="app*4053*20161102*" /stext=" 15:.+((SYSTEM_STATE.+slice.+state.+changed )|(ment ac)|(system.+state.+changed )|(\[timeout)|(PRM\|1\|D)|(kpr)|(kdp)|(\|lc)|(penalty))" /e /r /s</v>
      </c>
      <c r="AG53" s="1" t="str">
        <f t="shared" si="10"/>
        <v>EC</v>
      </c>
      <c r="AH53" s="92" t="str">
        <f t="shared" si="19"/>
        <v>"%USERPROFILE%\Documents\GitHub\eaglep3\Utilities\RefineRTDCRunTimes.py" --tripid 141-02 --locoid 4053 --swversion DE.1.0.8.0 --startMP 204:444 --initTime 2016-11-02T08:37:25 --startdatetime 2016-11-02T08:45:25 --delay 1 --endMP 204:233295 --enddatetime 2016-11-02T09:21:11 --enforcementcount 0 &gt;&gt;C:\Users\stu\Documents\GitHub\eaglep3-reporting\EC\2016-11-02-refined-times.txt</v>
      </c>
      <c r="AI5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{"issue":{"subject":"","project_id":79,"tracker_id":40,"status_id":1,"priority_id":2,"assigned_to_id":23,"start_date":"2016-11-02","description":"","custom_fields":[{"id":1,"name":"Subdivision","value":"EC"},{"id":4,"name":"Milepost","value":"23.3295"},{"id":17,"name":"Train ID","value":"141-02"},{"id":16,"name":"Locomotive ID","value":"4053"},{"id":130,"name":"Impact","value":""},{"id":150,"name":"Time of Event (Mountain Time)","value":"09:21:11"},{"id":151,"name":"Denver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499</v>
      </c>
      <c r="B54" s="7">
        <v>4054</v>
      </c>
      <c r="C54" s="22" t="s">
        <v>249</v>
      </c>
      <c r="D54" s="22" t="s">
        <v>279</v>
      </c>
      <c r="E54" s="13">
        <v>42676.395532407405</v>
      </c>
      <c r="F54" s="13">
        <v>42676.403796296298</v>
      </c>
      <c r="G54" s="7">
        <v>0</v>
      </c>
      <c r="H54" s="13" t="s">
        <v>207</v>
      </c>
      <c r="I54" s="13">
        <v>42676.431273148148</v>
      </c>
      <c r="J54" s="7">
        <v>0</v>
      </c>
      <c r="K54" s="112" t="str">
        <f t="shared" si="0"/>
        <v>4053/4054</v>
      </c>
      <c r="L54" s="22" t="str">
        <f>VLOOKUP(A54,'Trips&amp;Operators'!$C$1:$E$10000,3,FALSE)</f>
        <v>MAELZER</v>
      </c>
      <c r="M54" s="6">
        <f t="shared" si="1"/>
        <v>2.7476851850224193E-2</v>
      </c>
      <c r="N54" s="7">
        <f t="shared" si="24"/>
        <v>39.566666664322838</v>
      </c>
      <c r="O54" s="7"/>
      <c r="P54" s="7"/>
      <c r="Q54" s="23"/>
      <c r="R54" s="23"/>
      <c r="S54" s="35">
        <f t="shared" si="22"/>
        <v>1</v>
      </c>
      <c r="T54" s="50" t="str">
        <f t="shared" si="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08:29:34-0600',mode:absolute,to:'2016-11-02 11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4" s="52" t="str">
        <f t="shared" si="5"/>
        <v>N</v>
      </c>
      <c r="X54" s="177">
        <f t="shared" si="25"/>
        <v>1</v>
      </c>
      <c r="Y54" s="67">
        <f t="shared" si="17"/>
        <v>23.298400000000001</v>
      </c>
      <c r="Z54" s="67">
        <f t="shared" si="18"/>
        <v>1.43E-2</v>
      </c>
      <c r="AA54" s="67">
        <f t="shared" si="6"/>
        <v>23.284100000000002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7"/>
        <v>0142-02</v>
      </c>
      <c r="AE54" s="91" t="str">
        <f t="shared" si="8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54" s="88" t="str">
        <f t="shared" si="9"/>
        <v>"C:\Program Files (x86)\AstroGrep\AstroGrep.exe" /spath="%USERPROFILE%\AppData\Local\Temp\OnboardLogs" /stypes="app*4054*20161102*" /stext=" 16:.+((SYSTEM_STATE.+slice.+state.+changed )|(ment ac)|(system.+state.+changed )|(\[timeout)|(PRM\|1\|D)|(kpr)|(kdp)|(\|lc)|(penalty))" /e /r /s</v>
      </c>
      <c r="AG54" s="1" t="str">
        <f t="shared" si="10"/>
        <v>EC</v>
      </c>
      <c r="AH54" s="92" t="str">
        <f t="shared" si="19"/>
        <v>"%USERPROFILE%\Documents\GitHub\eaglep3\Utilities\RefineRTDCRunTimes.py" --tripid 142-02 --locoid 4054 --swversion DE.1.0.8.0 --startMP 204:232984 --initTime 2016-11-02T09:29:34 --startdatetime 2016-11-02T09:41:28 --delay 0 --endMP 204:143 --enddatetime 2016-11-02T10:21:02 --enforcementcount 0 &gt;&gt;C:\Users\stu\Documents\GitHub\eaglep3-reporting\EC\2016-11-02-refined-times.txt</v>
      </c>
      <c r="AI5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{"issue":{"subject":"","project_id":79,"tracker_id":40,"status_id":1,"priority_id":2,"assigned_to_id":23,"start_date":"2016-11-02","description":"","custom_fields":[{"id":1,"name":"Subdivision","value":"EC"},{"id":4,"name":"Milepost","value":"0.0143"},{"id":17,"name":"Train ID","value":"142-02"},{"id":16,"name":"Locomotive ID","value":"4054"},{"id":130,"name":"Impact","value":""},{"id":150,"name":"Time of Event (Mountain Time)","value":"10:21:02"},{"id":151,"name":"Denver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492</v>
      </c>
      <c r="B55" s="7">
        <v>4014</v>
      </c>
      <c r="C55" s="22" t="s">
        <v>249</v>
      </c>
      <c r="D55" s="22" t="s">
        <v>658</v>
      </c>
      <c r="E55" s="13">
        <v>42676.371874999997</v>
      </c>
      <c r="F55" s="13">
        <v>42676.3752662037</v>
      </c>
      <c r="G55" s="7">
        <v>1</v>
      </c>
      <c r="H55" s="13" t="s">
        <v>365</v>
      </c>
      <c r="I55" s="13">
        <v>42676.400451388887</v>
      </c>
      <c r="J55" s="7">
        <v>0</v>
      </c>
      <c r="K55" s="112" t="str">
        <f t="shared" si="0"/>
        <v>4013/4014</v>
      </c>
      <c r="L55" s="22" t="str">
        <f>VLOOKUP(A55,'Trips&amp;Operators'!$C$1:$E$10000,3,FALSE)</f>
        <v>GRASTON</v>
      </c>
      <c r="M55" s="6">
        <f t="shared" si="1"/>
        <v>2.5185185186273884E-2</v>
      </c>
      <c r="N55" s="7">
        <f t="shared" si="24"/>
        <v>36.266666668234393</v>
      </c>
      <c r="O55" s="7"/>
      <c r="P55" s="7"/>
      <c r="Q55" s="23"/>
      <c r="R55" s="23"/>
      <c r="S55" s="35">
        <f t="shared" si="22"/>
        <v>1</v>
      </c>
      <c r="T55" s="50" t="str">
        <f t="shared" si="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07:55:30-0600',mode:absolute,to:'2016-11-02 10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5" s="52" t="str">
        <f t="shared" si="5"/>
        <v>N</v>
      </c>
      <c r="X55" s="177">
        <f t="shared" si="25"/>
        <v>1</v>
      </c>
      <c r="Y55" s="67">
        <f t="shared" si="17"/>
        <v>4.7100000000000003E-2</v>
      </c>
      <c r="Z55" s="67">
        <f t="shared" si="18"/>
        <v>23.3306</v>
      </c>
      <c r="AA55" s="67">
        <f t="shared" si="6"/>
        <v>23.2835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7"/>
        <v>0143-02</v>
      </c>
      <c r="AE55" s="91" t="str">
        <f t="shared" si="8"/>
        <v>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 &amp; 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</v>
      </c>
      <c r="AF55" s="88" t="str">
        <f t="shared" si="9"/>
        <v>"C:\Program Files (x86)\AstroGrep\AstroGrep.exe" /spath="%USERPROFILE%\AppData\Local\Temp\OnboardLogs" /stypes="app*4014*20161102*" /stext=" 15:.+((SYSTEM_STATE.+slice.+state.+changed )|(ment ac)|(system.+state.+changed )|(\[timeout)|(PRM\|1\|D)|(kpr)|(kdp)|(\|lc)|(penalty))" /e /r /s</v>
      </c>
      <c r="AG55" s="1" t="str">
        <f t="shared" si="10"/>
        <v>EC</v>
      </c>
      <c r="AH55" s="92" t="str">
        <f t="shared" si="19"/>
        <v>"%USERPROFILE%\Documents\GitHub\eaglep3\Utilities\RefineRTDCRunTimes.py" --tripid 143-02 --locoid 4014 --swversion DE.1.0.8.0 --startMP 204:471 --initTime 2016-11-02T08:55:30 --startdatetime 2016-11-02T09:00:23 --delay 1 --endMP 204:233306 --enddatetime 2016-11-02T09:36:39 --enforcementcount 0 &gt;&gt;C:\Users\stu\Documents\GitHub\eaglep3-reporting\EC\2016-11-02-refined-times.txt</v>
      </c>
      <c r="AI55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{"issue":{"subject":"","project_id":79,"tracker_id":40,"status_id":1,"priority_id":2,"assigned_to_id":23,"start_date":"2016-11-02","description":"","custom_fields":[{"id":1,"name":"Subdivision","value":"EC"},{"id":4,"name":"Milepost","value":"23.3306"},{"id":17,"name":"Train ID","value":"143-02"},{"id":16,"name":"Locomotive ID","value":"4014"},{"id":130,"name":"Impact","value":""},{"id":150,"name":"Time of Event (Mountain Time)","value":"09:36:39"},{"id":151,"name":"Denver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501</v>
      </c>
      <c r="B56" s="7">
        <v>4013</v>
      </c>
      <c r="C56" s="22" t="s">
        <v>249</v>
      </c>
      <c r="D56" s="22" t="s">
        <v>278</v>
      </c>
      <c r="E56" s="13">
        <v>42676.401770833334</v>
      </c>
      <c r="F56" s="13">
        <v>42676.414120370369</v>
      </c>
      <c r="G56" s="7">
        <v>1</v>
      </c>
      <c r="H56" s="13" t="s">
        <v>204</v>
      </c>
      <c r="I56" s="13">
        <v>42676.440243055556</v>
      </c>
      <c r="J56" s="7">
        <v>0</v>
      </c>
      <c r="K56" s="112" t="str">
        <f t="shared" si="0"/>
        <v>4013/4014</v>
      </c>
      <c r="L56" s="22" t="str">
        <f>VLOOKUP(A56,'Trips&amp;Operators'!$C$1:$E$10000,3,FALSE)</f>
        <v>GRASTON</v>
      </c>
      <c r="M56" s="6">
        <f t="shared" si="1"/>
        <v>2.6122685187146999E-2</v>
      </c>
      <c r="N56" s="7">
        <f t="shared" si="24"/>
        <v>37.616666669491678</v>
      </c>
      <c r="O56" s="7"/>
      <c r="P56" s="7"/>
      <c r="Q56" s="23"/>
      <c r="R56" s="23"/>
      <c r="S56" s="35">
        <f t="shared" si="22"/>
        <v>1</v>
      </c>
      <c r="T56" s="50" t="str">
        <f t="shared" si="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08:38:33-0600',mode:absolute,to:'2016-11-02 11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6" s="52" t="str">
        <f t="shared" si="5"/>
        <v>N</v>
      </c>
      <c r="X56" s="177">
        <f t="shared" si="25"/>
        <v>1</v>
      </c>
      <c r="Y56" s="67">
        <f t="shared" si="17"/>
        <v>23.2972</v>
      </c>
      <c r="Z56" s="67">
        <f t="shared" si="18"/>
        <v>1.4500000000000001E-2</v>
      </c>
      <c r="AA56" s="67">
        <f t="shared" si="6"/>
        <v>23.282699999999998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7"/>
        <v>0144-02</v>
      </c>
      <c r="AE56" s="91" t="str">
        <f t="shared" si="8"/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AF56" s="88" t="str">
        <f t="shared" si="9"/>
        <v>"C:\Program Files (x86)\AstroGrep\AstroGrep.exe" /spath="%USERPROFILE%\AppData\Local\Temp\OnboardLogs" /stypes="app*4013*20161102*" /stext=" 16:.+((SYSTEM_STATE.+slice.+state.+changed )|(ment ac)|(system.+state.+changed )|(\[timeout)|(PRM\|1\|D)|(kpr)|(kdp)|(\|lc)|(penalty))" /e /r /s</v>
      </c>
      <c r="AG56" s="1" t="str">
        <f t="shared" si="10"/>
        <v>EC</v>
      </c>
      <c r="AH56" s="92" t="str">
        <f t="shared" si="19"/>
        <v>"%USERPROFILE%\Documents\GitHub\eaglep3\Utilities\RefineRTDCRunTimes.py" --tripid 144-02 --locoid 4013 --swversion DE.1.0.8.0 --startMP 204:232972 --initTime 2016-11-02T09:38:33 --startdatetime 2016-11-02T09:56:20 --delay 1 --endMP 204:145 --enddatetime 2016-11-02T10:33:57 --enforcementcount 0 &gt;&gt;C:\Users\stu\Documents\GitHub\eaglep3-reporting\EC\2016-11-02-refined-times.txt</v>
      </c>
      <c r="AI5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ID","value":"144-02"},{"id":16,"name":"Locomotive ID","value":"4013"},{"id":130,"name":"Impact","value":""},{"id":150,"name":"Time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496</v>
      </c>
      <c r="B57" s="7">
        <v>4002</v>
      </c>
      <c r="C57" s="22" t="s">
        <v>249</v>
      </c>
      <c r="D57" s="22" t="s">
        <v>210</v>
      </c>
      <c r="E57" s="13">
        <v>42676.387407407405</v>
      </c>
      <c r="F57" s="13">
        <v>42676.388622685183</v>
      </c>
      <c r="G57" s="7">
        <v>1</v>
      </c>
      <c r="H57" s="13" t="s">
        <v>659</v>
      </c>
      <c r="I57" s="13">
        <v>42676.413599537038</v>
      </c>
      <c r="J57" s="7">
        <v>0</v>
      </c>
      <c r="K57" s="112" t="str">
        <f t="shared" si="0"/>
        <v>4001/4002</v>
      </c>
      <c r="L57" s="22" t="str">
        <f>VLOOKUP(A57,'Trips&amp;Operators'!$C$1:$E$10000,3,FALSE)</f>
        <v>LALONDE</v>
      </c>
      <c r="M57" s="6">
        <f t="shared" si="1"/>
        <v>2.4976851855171844E-2</v>
      </c>
      <c r="N57" s="7">
        <f t="shared" si="24"/>
        <v>35.966666671447456</v>
      </c>
      <c r="O57" s="7"/>
      <c r="P57" s="7"/>
      <c r="Q57" s="23"/>
      <c r="R57" s="23"/>
      <c r="S57" s="35">
        <f t="shared" si="22"/>
        <v>1</v>
      </c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08:17:52-0600',mode:absolute,to:'2016-11-02 10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7" s="52" t="str">
        <f t="shared" si="5"/>
        <v>N</v>
      </c>
      <c r="X57" s="177">
        <f t="shared" si="25"/>
        <v>1</v>
      </c>
      <c r="Y57" s="67">
        <f t="shared" si="17"/>
        <v>4.5499999999999999E-2</v>
      </c>
      <c r="Z57" s="67">
        <f t="shared" si="18"/>
        <v>23.330500000000001</v>
      </c>
      <c r="AA57" s="67">
        <f t="shared" si="6"/>
        <v>23.285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7"/>
        <v>0145-02</v>
      </c>
      <c r="AE57" s="91" t="str">
        <f t="shared" si="8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57" s="88" t="str">
        <f t="shared" si="9"/>
        <v>"C:\Program Files (x86)\AstroGrep\AstroGrep.exe" /spath="%USERPROFILE%\AppData\Local\Temp\OnboardLogs" /stypes="app*4002*20161102*" /stext=" 15:.+((SYSTEM_STATE.+slice.+state.+changed )|(ment ac)|(system.+state.+changed )|(\[timeout)|(PRM\|1\|D)|(kpr)|(kdp)|(\|lc)|(penalty))" /e /r /s</v>
      </c>
      <c r="AG57" s="1" t="str">
        <f t="shared" si="10"/>
        <v>EC</v>
      </c>
      <c r="AH57" s="92" t="str">
        <f t="shared" si="19"/>
        <v>"%USERPROFILE%\Documents\GitHub\eaglep3\Utilities\RefineRTDCRunTimes.py" --tripid 145-02 --locoid 4002 --swversion DE.1.0.8.0 --startMP 204:455 --initTime 2016-11-02T09:17:52 --startdatetime 2016-11-02T09:19:37 --delay 1 --endMP 204:233305 --enddatetime 2016-11-02T09:55:35 --enforcementcount 0 &gt;&gt;C:\Users\stu\Documents\GitHub\eaglep3-reporting\EC\2016-11-02-refined-times.txt</v>
      </c>
      <c r="AI5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{"issue":{"subject":"","project_id":79,"tracker_id":40,"status_id":1,"priority_id":2,"assigned_to_id":23,"start_date":"2016-11-02","description":"","custom_fields":[{"id":1,"name":"Subdivision","value":"EC"},{"id":4,"name":"Milepost","value":"23.3305"},{"id":17,"name":"Train ID","value":"145-02"},{"id":16,"name":"Locomotive ID","value":"4002"},{"id":130,"name":"Impact","value":""},{"id":150,"name":"Time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503</v>
      </c>
      <c r="B58" s="7">
        <v>4001</v>
      </c>
      <c r="C58" s="22" t="s">
        <v>249</v>
      </c>
      <c r="D58" s="22" t="s">
        <v>279</v>
      </c>
      <c r="E58" s="13">
        <v>42676.415405092594</v>
      </c>
      <c r="F58" s="13">
        <v>42676.424479166664</v>
      </c>
      <c r="G58" s="7">
        <v>1</v>
      </c>
      <c r="H58" s="13" t="s">
        <v>203</v>
      </c>
      <c r="I58" s="13">
        <v>42676.451018518521</v>
      </c>
      <c r="J58" s="7">
        <v>0</v>
      </c>
      <c r="K58" s="112" t="str">
        <f t="shared" si="0"/>
        <v>4001/4002</v>
      </c>
      <c r="L58" s="22" t="str">
        <f>VLOOKUP(A58,'Trips&amp;Operators'!$C$1:$E$10000,3,FALSE)</f>
        <v>LALONDE</v>
      </c>
      <c r="M58" s="6">
        <f t="shared" si="1"/>
        <v>2.6539351856627036E-2</v>
      </c>
      <c r="N58" s="7">
        <f t="shared" si="24"/>
        <v>38.216666673542932</v>
      </c>
      <c r="O58" s="7"/>
      <c r="P58" s="7"/>
      <c r="Q58" s="23"/>
      <c r="R58" s="23"/>
      <c r="S58" s="35">
        <f t="shared" si="22"/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08:58:11-0600',mode:absolute,to:'2016-11-02 11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8" s="52" t="str">
        <f t="shared" si="5"/>
        <v>N</v>
      </c>
      <c r="X58" s="177">
        <f t="shared" si="25"/>
        <v>1</v>
      </c>
      <c r="Y58" s="67">
        <f t="shared" si="17"/>
        <v>23.298400000000001</v>
      </c>
      <c r="Z58" s="67">
        <f t="shared" si="18"/>
        <v>1.54E-2</v>
      </c>
      <c r="AA58" s="67">
        <f t="shared" si="6"/>
        <v>23.283000000000001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7"/>
        <v>0146-02</v>
      </c>
      <c r="AE58" s="91" t="str">
        <f t="shared" si="8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58" s="88" t="str">
        <f t="shared" si="9"/>
        <v>"C:\Program Files (x86)\AstroGrep\AstroGrep.exe" /spath="%USERPROFILE%\AppData\Local\Temp\OnboardLogs" /stypes="app*4001*20161102*" /stext=" 16:.+((SYSTEM_STATE.+slice.+state.+changed )|(ment ac)|(system.+state.+changed )|(\[timeout)|(PRM\|1\|D)|(kpr)|(kdp)|(\|lc)|(penalty))" /e /r /s</v>
      </c>
      <c r="AG58" s="1" t="str">
        <f t="shared" si="10"/>
        <v>EC</v>
      </c>
      <c r="AH58" s="92" t="str">
        <f t="shared" si="19"/>
        <v>"%USERPROFILE%\Documents\GitHub\eaglep3\Utilities\RefineRTDCRunTimes.py" --tripid 146-02 --locoid 4001 --swversion DE.1.0.8.0 --startMP 204:232984 --initTime 2016-11-02T09:58:11 --startdatetime 2016-11-02T10:11:15 --delay 1 --endMP 204:154 --enddatetime 2016-11-02T10:49:28 --enforcementcount 0 &gt;&gt;C:\Users\stu\Documents\GitHub\eaglep3-reporting\EC\2016-11-02-refined-times.txt</v>
      </c>
      <c r="AI5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ID","value":"146-02"},{"id":16,"name":"Locomotive ID","value":"4001"},{"id":130,"name":"Impact","value":""},{"id":150,"name":"Time of Event (Mountain Time)","value":"10:49:28"},{"id":151,"name":"Denver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498</v>
      </c>
      <c r="B59" s="7">
        <v>4038</v>
      </c>
      <c r="C59" s="22" t="s">
        <v>249</v>
      </c>
      <c r="D59" s="22" t="s">
        <v>267</v>
      </c>
      <c r="E59" s="13">
        <v>42676.392685185187</v>
      </c>
      <c r="F59" s="13">
        <v>42676.396018518521</v>
      </c>
      <c r="G59" s="7">
        <v>1</v>
      </c>
      <c r="H59" s="13" t="s">
        <v>363</v>
      </c>
      <c r="I59" s="13">
        <v>42676.42087962963</v>
      </c>
      <c r="J59" s="7">
        <v>0</v>
      </c>
      <c r="K59" s="112" t="str">
        <f t="shared" si="0"/>
        <v>4037/4038</v>
      </c>
      <c r="L59" s="22" t="str">
        <f>VLOOKUP(A59,'Trips&amp;Operators'!$C$1:$E$10000,3,FALSE)</f>
        <v>SANTIZO</v>
      </c>
      <c r="M59" s="6">
        <f t="shared" si="1"/>
        <v>2.4861111109203193E-2</v>
      </c>
      <c r="N59" s="7">
        <f t="shared" si="24"/>
        <v>35.799999997252598</v>
      </c>
      <c r="O59" s="7"/>
      <c r="P59" s="7"/>
      <c r="Q59" s="23"/>
      <c r="R59" s="23"/>
      <c r="S59" s="35">
        <f t="shared" si="22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08:25:28-0600',mode:absolute,to:'2016-11-02 11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2" t="str">
        <f t="shared" si="5"/>
        <v>N</v>
      </c>
      <c r="X59" s="177">
        <f t="shared" si="25"/>
        <v>1</v>
      </c>
      <c r="Y59" s="67">
        <f t="shared" si="17"/>
        <v>4.7300000000000002E-2</v>
      </c>
      <c r="Z59" s="67">
        <f t="shared" si="18"/>
        <v>23.332699999999999</v>
      </c>
      <c r="AA59" s="67">
        <f t="shared" si="6"/>
        <v>23.285399999999999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7"/>
        <v>0147-02</v>
      </c>
      <c r="AE59" s="91" t="str">
        <f t="shared" si="8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59" s="88" t="str">
        <f t="shared" si="9"/>
        <v>"C:\Program Files (x86)\AstroGrep\AstroGrep.exe" /spath="%USERPROFILE%\AppData\Local\Temp\OnboardLogs" /stypes="app*4038*20161102*" /stext=" 16:.+((SYSTEM_STATE.+slice.+state.+changed )|(ment ac)|(system.+state.+changed )|(\[timeout)|(PRM\|1\|D)|(kpr)|(kdp)|(\|lc)|(penalty))" /e /r /s</v>
      </c>
      <c r="AG59" s="1" t="str">
        <f t="shared" si="10"/>
        <v>EC</v>
      </c>
      <c r="AH59" s="92" t="str">
        <f t="shared" si="19"/>
        <v>"%USERPROFILE%\Documents\GitHub\eaglep3\Utilities\RefineRTDCRunTimes.py" --tripid 147-02 --locoid 4038 --swversion DE.1.0.8.0 --startMP 204:473 --initTime 2016-11-02T09:25:28 --startdatetime 2016-11-02T09:30:16 --delay 1 --endMP 204:233327 --enddatetime 2016-11-02T10:06:04 --enforcementcount 0 &gt;&gt;C:\Users\stu\Documents\GitHub\eaglep3-reporting\EC\2016-11-02-refined-times.txt</v>
      </c>
      <c r="AI59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{"issue":{"subject":"","project_id":79,"tracker_id":40,"status_id":1,"priority_id":2,"assigned_to_id":23,"start_date":"2016-11-02","description":"","custom_fields":[{"id":1,"name":"Subdivision","value":"EC"},{"id":4,"name":"Milepost","value":"23.3327"},{"id":17,"name":"Train ID","value":"147-02"},{"id":16,"name":"Locomotive ID","value":"4038"},{"id":130,"name":"Impact","value":""},{"id":150,"name":"Time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506</v>
      </c>
      <c r="B60" s="7">
        <v>4037</v>
      </c>
      <c r="C60" s="22" t="s">
        <v>249</v>
      </c>
      <c r="D60" s="22" t="s">
        <v>354</v>
      </c>
      <c r="E60" s="13">
        <v>42676.422094907408</v>
      </c>
      <c r="F60" s="13">
        <v>42676.43582175926</v>
      </c>
      <c r="G60" s="7">
        <v>1</v>
      </c>
      <c r="H60" s="13" t="s">
        <v>359</v>
      </c>
      <c r="I60" s="13">
        <v>42676.460706018515</v>
      </c>
      <c r="J60" s="7">
        <v>0</v>
      </c>
      <c r="K60" s="112" t="str">
        <f t="shared" si="0"/>
        <v>4037/4038</v>
      </c>
      <c r="L60" s="22" t="str">
        <f>VLOOKUP(A60,'Trips&amp;Operators'!$C$1:$E$10000,3,FALSE)</f>
        <v>SANTIZO</v>
      </c>
      <c r="M60" s="6">
        <f t="shared" si="1"/>
        <v>2.488425925548654E-2</v>
      </c>
      <c r="N60" s="7">
        <f t="shared" si="24"/>
        <v>35.833333327900618</v>
      </c>
      <c r="O60" s="7"/>
      <c r="P60" s="7"/>
      <c r="Q60" s="23"/>
      <c r="R60" s="23"/>
      <c r="S60" s="35">
        <f t="shared" si="22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09:07:49-0600',mode:absolute,to:'2016-11-02 12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2" t="str">
        <f t="shared" si="5"/>
        <v>N</v>
      </c>
      <c r="X60" s="177">
        <f t="shared" si="25"/>
        <v>1</v>
      </c>
      <c r="Y60" s="67">
        <f t="shared" si="17"/>
        <v>23.299800000000001</v>
      </c>
      <c r="Z60" s="67">
        <f t="shared" si="18"/>
        <v>1.34E-2</v>
      </c>
      <c r="AA60" s="67">
        <f t="shared" si="6"/>
        <v>23.2864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7"/>
        <v>0148-02</v>
      </c>
      <c r="AE60" s="91" t="str">
        <f t="shared" si="8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60" s="88" t="str">
        <f t="shared" si="9"/>
        <v>"C:\Program Files (x86)\AstroGrep\AstroGrep.exe" /spath="%USERPROFILE%\AppData\Local\Temp\OnboardLogs" /stypes="app*4037*20161102*" /stext=" 17:.+((SYSTEM_STATE.+slice.+state.+changed )|(ment ac)|(system.+state.+changed )|(\[timeout)|(PRM\|1\|D)|(kpr)|(kdp)|(\|lc)|(penalty))" /e /r /s</v>
      </c>
      <c r="AG60" s="1" t="str">
        <f t="shared" si="10"/>
        <v>EC</v>
      </c>
      <c r="AH60" s="92" t="str">
        <f t="shared" si="19"/>
        <v>"%USERPROFILE%\Documents\GitHub\eaglep3\Utilities\RefineRTDCRunTimes.py" --tripid 148-02 --locoid 4037 --swversion DE.1.0.8.0 --startMP 204:232998 --initTime 2016-11-02T10:07:49 --startdatetime 2016-11-02T10:27:35 --delay 1 --endMP 204:134 --enddatetime 2016-11-02T11:03:25 --enforcementcount 0 &gt;&gt;C:\Users\stu\Documents\GitHub\eaglep3-reporting\EC\2016-11-02-refined-times.txt</v>
      </c>
      <c r="AI6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{"issue":{"subject":"","project_id":79,"tracker_id":40,"status_id":1,"priority_id":2,"assigned_to_id":23,"start_date":"2016-11-02","description":"","custom_fields":[{"id":1,"name":"Subdivision","value":"EC"},{"id":4,"name":"Milepost","value":"0.0134"},{"id":17,"name":"Train ID","value":"148-02"},{"id":16,"name":"Locomotive ID","value":"4037"},{"id":130,"name":"Impact","value":""},{"id":150,"name":"Time of Event (Mountain Time)","value":"11:03:25"},{"id":151,"name":"Denver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409</v>
      </c>
      <c r="B61" s="7">
        <v>4007</v>
      </c>
      <c r="C61" s="22" t="s">
        <v>249</v>
      </c>
      <c r="D61" s="22" t="s">
        <v>215</v>
      </c>
      <c r="E61" s="13">
        <v>42676.403240740743</v>
      </c>
      <c r="F61" s="13">
        <v>42676.406446759262</v>
      </c>
      <c r="G61" s="7">
        <v>4</v>
      </c>
      <c r="H61" s="13" t="s">
        <v>317</v>
      </c>
      <c r="I61" s="13">
        <v>42676.431805555556</v>
      </c>
      <c r="J61" s="7">
        <v>0</v>
      </c>
      <c r="K61" s="112" t="str">
        <f t="shared" si="0"/>
        <v>4007/4008</v>
      </c>
      <c r="L61" s="22" t="str">
        <f>VLOOKUP(A61,'Trips&amp;Operators'!$C$1:$E$10000,3,FALSE)</f>
        <v>RICHARDSON</v>
      </c>
      <c r="M61" s="6">
        <f t="shared" si="1"/>
        <v>2.5358796294312924E-2</v>
      </c>
      <c r="N61" s="7">
        <f t="shared" si="24"/>
        <v>36.516666663810611</v>
      </c>
      <c r="O61" s="7"/>
      <c r="P61" s="7"/>
      <c r="Q61" s="23"/>
      <c r="R61" s="23"/>
      <c r="S61" s="35">
        <f t="shared" si="22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08:40:40-0600',mode:absolute,to:'2016-11-02 11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1" s="52" t="str">
        <f t="shared" si="5"/>
        <v>N</v>
      </c>
      <c r="X61" s="177">
        <f t="shared" si="25"/>
        <v>1</v>
      </c>
      <c r="Y61" s="67">
        <f t="shared" si="17"/>
        <v>4.5100000000000001E-2</v>
      </c>
      <c r="Z61" s="67">
        <f t="shared" si="18"/>
        <v>23.331199999999999</v>
      </c>
      <c r="AA61" s="67">
        <f t="shared" si="6"/>
        <v>23.286099999999998</v>
      </c>
      <c r="AB61" s="64" t="str">
        <f>VLOOKUP(A61,Enforcements!$C$7:$K$21,8,0)</f>
        <v>Speed (6)</v>
      </c>
      <c r="AC61" s="60" t="str">
        <f>VLOOKUP(A61,Enforcements!$C$7:$E$21,3,0)</f>
        <v>PERMANENT SPEED RESTRICTION</v>
      </c>
      <c r="AD61" s="61" t="str">
        <f t="shared" si="7"/>
        <v>0149-02</v>
      </c>
      <c r="AE61" s="91" t="str">
        <f t="shared" si="8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61" s="88" t="str">
        <f t="shared" si="9"/>
        <v>"C:\Program Files (x86)\AstroGrep\AstroGrep.exe" /spath="%USERPROFILE%\AppData\Local\Temp\OnboardLogs" /stypes="app*4007*20161102*" /stext=" 16:.+((SYSTEM_STATE.+slice.+state.+changed )|(ment ac)|(system.+state.+changed )|(\[timeout)|(PRM\|1\|D)|(kpr)|(kdp)|(\|lc)|(penalty))" /e /r /s</v>
      </c>
      <c r="AG61" s="1" t="str">
        <f t="shared" si="10"/>
        <v>EC</v>
      </c>
      <c r="AH61" s="92" t="str">
        <f t="shared" si="19"/>
        <v>"%USERPROFILE%\Documents\GitHub\eaglep3\Utilities\RefineRTDCRunTimes.py" --tripid 149-02 --locoid 4007 --swversion DE.1.0.8.0 --startMP 204:451 --initTime 2016-11-02T09:40:40 --startdatetime 2016-11-02T09:45:17 --delay 4 --endMP 204:233312 --enddatetime 2016-11-02T10:21:48 --enforcementcount 0 &gt;&gt;C:\Users\stu\Documents\GitHub\eaglep3-reporting\EC\2016-11-02-refined-times.txt</v>
      </c>
      <c r="AI6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ID","value":"149-02"},{"id":16,"name":"Locomotive ID","value":"4007"},{"id":130,"name":"Impact","value":""},{"id":150,"name":"Time of Event (Mountain Time)","value":"10:21:48"},{"id":151,"name":"Denver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511</v>
      </c>
      <c r="B62" s="7">
        <v>4008</v>
      </c>
      <c r="C62" s="22" t="s">
        <v>249</v>
      </c>
      <c r="D62" s="22" t="s">
        <v>652</v>
      </c>
      <c r="E62" s="13">
        <v>42676.437731481485</v>
      </c>
      <c r="F62" s="13">
        <v>42676.445335648146</v>
      </c>
      <c r="G62" s="7">
        <v>1</v>
      </c>
      <c r="H62" s="13" t="s">
        <v>176</v>
      </c>
      <c r="I62" s="13">
        <v>42676.471539351849</v>
      </c>
      <c r="J62" s="7">
        <v>0</v>
      </c>
      <c r="K62" s="112" t="str">
        <f t="shared" si="0"/>
        <v>4007/4008</v>
      </c>
      <c r="L62" s="22" t="str">
        <f>VLOOKUP(A62,'Trips&amp;Operators'!$C$1:$E$10000,3,FALSE)</f>
        <v>RICHARDSON</v>
      </c>
      <c r="M62" s="6">
        <f t="shared" si="1"/>
        <v>2.6203703702776693E-2</v>
      </c>
      <c r="N62" s="7">
        <f t="shared" si="24"/>
        <v>37.733333331998438</v>
      </c>
      <c r="O62" s="7"/>
      <c r="P62" s="7"/>
      <c r="Q62" s="23"/>
      <c r="R62" s="23"/>
      <c r="S62" s="35">
        <f t="shared" si="22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09:30:20-0600',mode:absolute,to:'2016-11-02 12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2" s="52" t="str">
        <f t="shared" si="5"/>
        <v>N</v>
      </c>
      <c r="X62" s="177">
        <f t="shared" si="25"/>
        <v>1</v>
      </c>
      <c r="Y62" s="67">
        <f t="shared" si="17"/>
        <v>23.2986</v>
      </c>
      <c r="Z62" s="67">
        <f t="shared" si="18"/>
        <v>1.52E-2</v>
      </c>
      <c r="AA62" s="67">
        <f t="shared" si="6"/>
        <v>23.2834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7"/>
        <v>0150-02</v>
      </c>
      <c r="AE62" s="91" t="str">
        <f t="shared" si="8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62" s="88" t="str">
        <f t="shared" si="9"/>
        <v>"C:\Program Files (x86)\AstroGrep\AstroGrep.exe" /spath="%USERPROFILE%\AppData\Local\Temp\OnboardLogs" /stypes="app*4008*20161102*" /stext=" 17:.+((SYSTEM_STATE.+slice.+state.+changed )|(ment ac)|(system.+state.+changed )|(\[timeout)|(PRM\|1\|D)|(kpr)|(kdp)|(\|lc)|(penalty))" /e /r /s</v>
      </c>
      <c r="AG62" s="1" t="str">
        <f t="shared" si="10"/>
        <v>EC</v>
      </c>
      <c r="AH62" s="92" t="str">
        <f t="shared" si="19"/>
        <v>"%USERPROFILE%\Documents\GitHub\eaglep3\Utilities\RefineRTDCRunTimes.py" --tripid 150-02 --locoid 4008 --swversion DE.1.0.8.0 --startMP 204:232986 --initTime 2016-11-02T10:30:20 --startdatetime 2016-11-02T10:41:17 --delay 1 --endMP 204:152 --enddatetime 2016-11-02T11:19:01 --enforcementcount 0 &gt;&gt;C:\Users\stu\Documents\GitHub\eaglep3-reporting\EC\2016-11-02-refined-times.txt</v>
      </c>
      <c r="AI62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{"issue":{"subject":"","project_id":79,"tracker_id":40,"status_id":1,"priority_id":2,"assigned_to_id":23,"start_date":"2016-11-02","description":"","custom_fields":[{"id":1,"name":"Subdivision","value":"EC"},{"id":4,"name":"Milepost","value":"0.0152"},{"id":17,"name":"Train ID","value":"150-02"},{"id":16,"name":"Locomotive ID","value":"4008"},{"id":130,"name":"Impact","value":""},{"id":150,"name":"Time of Event (Mountain Time)","value":"11:19:01"},{"id":151,"name":"Denver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502</v>
      </c>
      <c r="B63" s="7">
        <v>4003</v>
      </c>
      <c r="C63" s="22" t="s">
        <v>249</v>
      </c>
      <c r="D63" s="22" t="s">
        <v>211</v>
      </c>
      <c r="E63" s="13">
        <v>42676.410682870373</v>
      </c>
      <c r="F63" s="13">
        <v>42676.417187500003</v>
      </c>
      <c r="G63" s="7">
        <v>1</v>
      </c>
      <c r="H63" s="13" t="s">
        <v>253</v>
      </c>
      <c r="I63" s="13">
        <v>42676.443136574075</v>
      </c>
      <c r="J63" s="7">
        <v>0</v>
      </c>
      <c r="K63" s="112" t="str">
        <f t="shared" si="0"/>
        <v>4003/4004</v>
      </c>
      <c r="L63" s="22" t="str">
        <f>VLOOKUP(A63,'Trips&amp;Operators'!$C$1:$E$10000,3,FALSE)</f>
        <v>BADERTSCHER</v>
      </c>
      <c r="M63" s="6">
        <f t="shared" si="1"/>
        <v>2.5949074071832001E-2</v>
      </c>
      <c r="N63" s="7">
        <f t="shared" si="24"/>
        <v>37.366666663438082</v>
      </c>
      <c r="O63" s="7"/>
      <c r="P63" s="7"/>
      <c r="Q63" s="23"/>
      <c r="R63" s="23"/>
      <c r="S63" s="35">
        <f t="shared" si="22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08:51:23-0600',mode:absolute,to:'2016-11-02 11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3" s="52" t="str">
        <f t="shared" si="5"/>
        <v>N</v>
      </c>
      <c r="X63" s="177">
        <f t="shared" si="25"/>
        <v>1</v>
      </c>
      <c r="Y63" s="67">
        <f t="shared" si="17"/>
        <v>4.6600000000000003E-2</v>
      </c>
      <c r="Z63" s="67">
        <f t="shared" si="18"/>
        <v>23.328700000000001</v>
      </c>
      <c r="AA63" s="67">
        <f t="shared" si="6"/>
        <v>23.2821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7"/>
        <v>0151-02</v>
      </c>
      <c r="AE63" s="91" t="str">
        <f t="shared" si="8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63" s="88" t="str">
        <f t="shared" si="9"/>
        <v>"C:\Program Files (x86)\AstroGrep\AstroGrep.exe" /spath="%USERPROFILE%\AppData\Local\Temp\OnboardLogs" /stypes="app*4003*20161102*" /stext=" 16:.+((SYSTEM_STATE.+slice.+state.+changed )|(ment ac)|(system.+state.+changed )|(\[timeout)|(PRM\|1\|D)|(kpr)|(kdp)|(\|lc)|(penalty))" /e /r /s</v>
      </c>
      <c r="AG63" s="1" t="str">
        <f t="shared" si="10"/>
        <v>EC</v>
      </c>
      <c r="AH63" s="92" t="str">
        <f t="shared" si="19"/>
        <v>"%USERPROFILE%\Documents\GitHub\eaglep3\Utilities\RefineRTDCRunTimes.py" --tripid 151-02 --locoid 4003 --swversion DE.1.0.8.0 --startMP 204:466 --initTime 2016-11-02T09:51:23 --startdatetime 2016-11-02T10:00:45 --delay 1 --endMP 204:233287 --enddatetime 2016-11-02T10:38:07 --enforcementcount 0 &gt;&gt;C:\Users\stu\Documents\GitHub\eaglep3-reporting\EC\2016-11-02-refined-times.txt</v>
      </c>
      <c r="AI6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{"issue":{"subject":"","project_id":79,"tracker_id":40,"status_id":1,"priority_id":2,"assigned_to_id":23,"start_date":"2016-11-02","description":"","custom_fields":[{"id":1,"name":"Subdivision","value":"EC"},{"id":4,"name":"Milepost","value":"23.3287"},{"id":17,"name":"Train ID","value":"151-02"},{"id":16,"name":"Locomotive ID","value":"4003"},{"id":130,"name":"Impact","value":""},{"id":150,"name":"Time of Event (Mountain Time)","value":"10:38:07"},{"id":151,"name":"Denver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514</v>
      </c>
      <c r="B64" s="7">
        <v>4004</v>
      </c>
      <c r="C64" s="22" t="s">
        <v>249</v>
      </c>
      <c r="D64" s="22" t="s">
        <v>252</v>
      </c>
      <c r="E64" s="13">
        <v>42676.447766203702</v>
      </c>
      <c r="F64" s="13">
        <v>42676.456064814818</v>
      </c>
      <c r="G64" s="7">
        <v>1</v>
      </c>
      <c r="H64" s="13" t="s">
        <v>243</v>
      </c>
      <c r="I64" s="13">
        <v>42676.482546296298</v>
      </c>
      <c r="J64" s="7">
        <v>0</v>
      </c>
      <c r="K64" s="112" t="str">
        <f t="shared" si="0"/>
        <v>4003/4004</v>
      </c>
      <c r="L64" s="22" t="str">
        <f>VLOOKUP(A64,'Trips&amp;Operators'!$C$1:$E$10000,3,FALSE)</f>
        <v>BADERTSCHER</v>
      </c>
      <c r="M64" s="6">
        <f t="shared" si="1"/>
        <v>2.6481481480004732E-2</v>
      </c>
      <c r="N64" s="7">
        <f t="shared" si="24"/>
        <v>38.133333331206813</v>
      </c>
      <c r="O64" s="7"/>
      <c r="P64" s="7"/>
      <c r="Q64" s="23"/>
      <c r="R64" s="23"/>
      <c r="S64" s="35">
        <f t="shared" si="22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09:44:47-0600',mode:absolute,to:'2016-11-02 12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4" s="52" t="str">
        <f t="shared" si="5"/>
        <v>N</v>
      </c>
      <c r="X64" s="177">
        <f t="shared" si="25"/>
        <v>1</v>
      </c>
      <c r="Y64" s="67">
        <f t="shared" si="17"/>
        <v>23.298300000000001</v>
      </c>
      <c r="Z64" s="67">
        <f t="shared" si="18"/>
        <v>1.61E-2</v>
      </c>
      <c r="AA64" s="67">
        <f t="shared" si="6"/>
        <v>23.2822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7"/>
        <v>0152-02</v>
      </c>
      <c r="AE64" s="91" t="str">
        <f t="shared" si="8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64" s="88" t="str">
        <f t="shared" si="9"/>
        <v>"C:\Program Files (x86)\AstroGrep\AstroGrep.exe" /spath="%USERPROFILE%\AppData\Local\Temp\OnboardLogs" /stypes="app*4004*20161102*" /stext=" 17:.+((SYSTEM_STATE.+slice.+state.+changed )|(ment ac)|(system.+state.+changed )|(\[timeout)|(PRM\|1\|D)|(kpr)|(kdp)|(\|lc)|(penalty))" /e /r /s</v>
      </c>
      <c r="AG64" s="1" t="str">
        <f t="shared" si="10"/>
        <v>EC</v>
      </c>
      <c r="AH64" s="92" t="str">
        <f t="shared" si="19"/>
        <v>"%USERPROFILE%\Documents\GitHub\eaglep3\Utilities\RefineRTDCRunTimes.py" --tripid 152-02 --locoid 4004 --swversion DE.1.0.8.0 --startMP 204:232983 --initTime 2016-11-02T10:44:47 --startdatetime 2016-11-02T10:56:44 --delay 1 --endMP 204:161 --enddatetime 2016-11-02T11:34:52 --enforcementcount 0 &gt;&gt;C:\Users\stu\Documents\GitHub\eaglep3-reporting\EC\2016-11-02-refined-times.txt</v>
      </c>
      <c r="AI6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{"issue":{"subject":"","project_id":79,"tracker_id":40,"status_id":1,"priority_id":2,"assigned_to_id":23,"start_date":"2016-11-02","description":"","custom_fields":[{"id":1,"name":"Subdivision","value":"EC"},{"id":4,"name":"Milepost","value":"0.0161"},{"id":17,"name":"Train ID","value":"152-02"},{"id":16,"name":"Locomotive ID","value":"4004"},{"id":130,"name":"Impact","value":""},{"id":150,"name":"Time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507</v>
      </c>
      <c r="B65" s="7">
        <v>4009</v>
      </c>
      <c r="C65" s="22" t="s">
        <v>249</v>
      </c>
      <c r="D65" s="22" t="s">
        <v>361</v>
      </c>
      <c r="E65" s="13">
        <v>42676.425844907404</v>
      </c>
      <c r="F65" s="13">
        <v>42676.427905092591</v>
      </c>
      <c r="G65" s="7">
        <v>1</v>
      </c>
      <c r="H65" s="13" t="s">
        <v>212</v>
      </c>
      <c r="I65" s="13">
        <v>42676.451342592591</v>
      </c>
      <c r="J65" s="7">
        <v>0</v>
      </c>
      <c r="K65" s="112" t="str">
        <f t="shared" si="0"/>
        <v>4009/4010</v>
      </c>
      <c r="L65" s="22" t="str">
        <f>VLOOKUP(A65,'Trips&amp;Operators'!$C$1:$E$10000,3,FALSE)</f>
        <v>ROCHA</v>
      </c>
      <c r="M65" s="6">
        <f t="shared" si="1"/>
        <v>2.34375E-2</v>
      </c>
      <c r="N65" s="7">
        <f t="shared" si="24"/>
        <v>33.75</v>
      </c>
      <c r="O65" s="7"/>
      <c r="P65" s="7"/>
      <c r="Q65" s="23"/>
      <c r="R65" s="23"/>
      <c r="S65" s="35">
        <f t="shared" si="22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09:13:13-0600',mode:absolute,to:'2016-11-02 11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5" s="52" t="str">
        <f t="shared" si="5"/>
        <v>N</v>
      </c>
      <c r="X65" s="177">
        <f t="shared" si="25"/>
        <v>1</v>
      </c>
      <c r="Y65" s="67">
        <f t="shared" si="17"/>
        <v>4.6899999999999997E-2</v>
      </c>
      <c r="Z65" s="67">
        <f t="shared" si="18"/>
        <v>23.329499999999999</v>
      </c>
      <c r="AA65" s="67">
        <f t="shared" si="6"/>
        <v>23.282599999999999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7"/>
        <v>0153-02</v>
      </c>
      <c r="AE65" s="91" t="str">
        <f t="shared" si="8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65" s="88" t="str">
        <f t="shared" si="9"/>
        <v>"C:\Program Files (x86)\AstroGrep\AstroGrep.exe" /spath="%USERPROFILE%\AppData\Local\Temp\OnboardLogs" /stypes="app*4009*20161102*" /stext=" 16:.+((SYSTEM_STATE.+slice.+state.+changed )|(ment ac)|(system.+state.+changed )|(\[timeout)|(PRM\|1\|D)|(kpr)|(kdp)|(\|lc)|(penalty))" /e /r /s</v>
      </c>
      <c r="AG65" s="1" t="str">
        <f t="shared" si="10"/>
        <v>EC</v>
      </c>
      <c r="AH65" s="92" t="str">
        <f t="shared" si="19"/>
        <v>"%USERPROFILE%\Documents\GitHub\eaglep3\Utilities\RefineRTDCRunTimes.py" --tripid 153-02 --locoid 4009 --swversion DE.1.0.8.0 --startMP 204:469 --initTime 2016-11-02T10:13:13 --startdatetime 2016-11-02T10:16:11 --delay 1 --endMP 204:233295 --enddatetime 2016-11-02T10:49:56 --enforcementcount 0 &gt;&gt;C:\Users\stu\Documents\GitHub\eaglep3-reporting\EC\2016-11-02-refined-times.txt</v>
      </c>
      <c r="AI65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{"issue":{"subject":"","project_id":79,"tracker_id":40,"status_id":1,"priority_id":2,"assigned_to_id":23,"start_date":"2016-11-02","description":"","custom_fields":[{"id":1,"name":"Subdivision","value":"EC"},{"id":4,"name":"Milepost","value":"23.3295"},{"id":17,"name":"Train ID","value":"153-02"},{"id":16,"name":"Locomotive ID","value":"4009"},{"id":130,"name":"Impact","value":""},{"id":150,"name":"Time of Event (Mountain Time)","value":"10:49:56"},{"id":151,"name":"Denver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518</v>
      </c>
      <c r="B66" s="7">
        <v>4010</v>
      </c>
      <c r="C66" s="22" t="s">
        <v>249</v>
      </c>
      <c r="D66" s="22" t="s">
        <v>248</v>
      </c>
      <c r="E66" s="13">
        <v>42676.464444444442</v>
      </c>
      <c r="F66" s="13">
        <v>42676.466226851851</v>
      </c>
      <c r="G66" s="7">
        <v>0</v>
      </c>
      <c r="H66" s="13" t="s">
        <v>203</v>
      </c>
      <c r="I66" s="13">
        <v>42676.491296296299</v>
      </c>
      <c r="J66" s="7">
        <v>0</v>
      </c>
      <c r="K66" s="112" t="str">
        <f t="shared" si="0"/>
        <v>4009/4010</v>
      </c>
      <c r="L66" s="22" t="str">
        <f>VLOOKUP(A66,'Trips&amp;Operators'!$C$1:$E$10000,3,FALSE)</f>
        <v>ROCHA</v>
      </c>
      <c r="M66" s="6">
        <f t="shared" si="1"/>
        <v>2.5069444447581191E-2</v>
      </c>
      <c r="N66" s="7">
        <f t="shared" si="24"/>
        <v>36.100000004516914</v>
      </c>
      <c r="O66" s="7"/>
      <c r="P66" s="7"/>
      <c r="Q66" s="23"/>
      <c r="R66" s="23"/>
      <c r="S66" s="35">
        <f t="shared" si="22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10:08:48-0600',mode:absolute,to:'2016-11-02 12:47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6" s="52" t="str">
        <f t="shared" si="5"/>
        <v>N</v>
      </c>
      <c r="X66" s="177">
        <f t="shared" si="25"/>
        <v>1</v>
      </c>
      <c r="Y66" s="67">
        <f t="shared" si="17"/>
        <v>23.297799999999999</v>
      </c>
      <c r="Z66" s="67">
        <f t="shared" si="18"/>
        <v>1.54E-2</v>
      </c>
      <c r="AA66" s="67">
        <f t="shared" si="6"/>
        <v>23.282399999999999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7"/>
        <v>0154-02</v>
      </c>
      <c r="AE66" s="91" t="str">
        <f t="shared" si="8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66" s="88" t="str">
        <f t="shared" si="9"/>
        <v>"C:\Program Files (x86)\AstroGrep\AstroGrep.exe" /spath="%USERPROFILE%\AppData\Local\Temp\OnboardLogs" /stypes="app*4010*20161102*" /stext=" 17:.+((SYSTEM_STATE.+slice.+state.+changed )|(ment ac)|(system.+state.+changed )|(\[timeout)|(PRM\|1\|D)|(kpr)|(kdp)|(\|lc)|(penalty))" /e /r /s</v>
      </c>
      <c r="AG66" s="1" t="str">
        <f t="shared" si="10"/>
        <v>EC</v>
      </c>
      <c r="AH66" s="92" t="str">
        <f t="shared" si="19"/>
        <v>"%USERPROFILE%\Documents\GitHub\eaglep3\Utilities\RefineRTDCRunTimes.py" --tripid 154-02 --locoid 4010 --swversion DE.1.0.8.0 --startMP 204:232978 --initTime 2016-11-02T11:08:48 --startdatetime 2016-11-02T11:11:22 --delay 0 --endMP 204:154 --enddatetime 2016-11-02T11:47:28 --enforcementcount 0 &gt;&gt;C:\Users\stu\Documents\GitHub\eaglep3-reporting\EC\2016-11-02-refined-times.txt</v>
      </c>
      <c r="AI6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ID","value":"154-02"},{"id":16,"name":"Locomotive ID","value":"4010"},{"id":130,"name":"Impact","value":""},{"id":150,"name":"Time of Event (Mountain Time)","value":"11:47:28"},{"id":151,"name":"Denver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509</v>
      </c>
      <c r="B67" s="7">
        <v>4053</v>
      </c>
      <c r="C67" s="22" t="s">
        <v>249</v>
      </c>
      <c r="D67" s="22" t="s">
        <v>209</v>
      </c>
      <c r="E67" s="13">
        <v>42676.43341435185</v>
      </c>
      <c r="F67" s="13">
        <v>42676.438067129631</v>
      </c>
      <c r="G67" s="7">
        <v>1</v>
      </c>
      <c r="H67" s="13" t="s">
        <v>276</v>
      </c>
      <c r="I67" s="13">
        <v>42676.462546296294</v>
      </c>
      <c r="J67" s="7">
        <v>0</v>
      </c>
      <c r="K67" s="112" t="str">
        <f t="shared" si="0"/>
        <v>4053/4054</v>
      </c>
      <c r="L67" s="22" t="str">
        <f>VLOOKUP(A67,'Trips&amp;Operators'!$C$1:$E$10000,3,FALSE)</f>
        <v>STARKS</v>
      </c>
      <c r="M67" s="6">
        <f t="shared" si="1"/>
        <v>2.4479166662786156E-2</v>
      </c>
      <c r="N67" s="7">
        <f t="shared" si="24"/>
        <v>35.249999994412065</v>
      </c>
      <c r="O67" s="7"/>
      <c r="P67" s="7"/>
      <c r="Q67" s="23"/>
      <c r="R67" s="23"/>
      <c r="S67" s="35">
        <f t="shared" si="22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09:24:07-0600',mode:absolute,to:'2016-11-02 12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7" s="52" t="str">
        <f t="shared" si="5"/>
        <v>N</v>
      </c>
      <c r="X67" s="177">
        <f t="shared" si="25"/>
        <v>1</v>
      </c>
      <c r="Y67" s="67">
        <f t="shared" si="17"/>
        <v>4.53E-2</v>
      </c>
      <c r="Z67" s="67">
        <f t="shared" si="18"/>
        <v>23.328499999999998</v>
      </c>
      <c r="AA67" s="67">
        <f t="shared" si="6"/>
        <v>23.283199999999997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7"/>
        <v>0155-02</v>
      </c>
      <c r="AE67" s="91" t="str">
        <f t="shared" si="8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67" s="88" t="str">
        <f t="shared" si="9"/>
        <v>"C:\Program Files (x86)\AstroGrep\AstroGrep.exe" /spath="%USERPROFILE%\AppData\Local\Temp\OnboardLogs" /stypes="app*4053*20161102*" /stext=" 17:.+((SYSTEM_STATE.+slice.+state.+changed )|(ment ac)|(system.+state.+changed )|(\[timeout)|(PRM\|1\|D)|(kpr)|(kdp)|(\|lc)|(penalty))" /e /r /s</v>
      </c>
      <c r="AG67" s="1" t="str">
        <f t="shared" si="10"/>
        <v>EC</v>
      </c>
      <c r="AH67" s="92" t="str">
        <f t="shared" si="19"/>
        <v>"%USERPROFILE%\Documents\GitHub\eaglep3\Utilities\RefineRTDCRunTimes.py" --tripid 155-02 --locoid 4053 --swversion DE.1.0.8.0 --startMP 204:453 --initTime 2016-11-02T10:24:07 --startdatetime 2016-11-02T10:30:49 --delay 1 --endMP 204:233285 --enddatetime 2016-11-02T11:06:04 --enforcementcount 0 &gt;&gt;C:\Users\stu\Documents\GitHub\eaglep3-reporting\EC\2016-11-02-refined-times.txt</v>
      </c>
      <c r="AI67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{"issue":{"subject":"","project_id":79,"tracker_id":40,"status_id":1,"priority_id":2,"assigned_to_id":23,"start_date":"2016-11-02","description":"","custom_fields":[{"id":1,"name":"Subdivision","value":"EC"},{"id":4,"name":"Milepost","value":"23.3285"},{"id":17,"name":"Train ID","value":"155-02"},{"id":16,"name":"Locomotive ID","value":"4053"},{"id":130,"name":"Impact","value":""},{"id":150,"name":"Time of Event (Mountain Time)","value":"11:06:04"},{"id":151,"name":"Denver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523</v>
      </c>
      <c r="B68" s="7">
        <v>4054</v>
      </c>
      <c r="C68" s="22" t="s">
        <v>249</v>
      </c>
      <c r="D68" s="22" t="s">
        <v>252</v>
      </c>
      <c r="E68" s="13">
        <v>42676.474548611113</v>
      </c>
      <c r="F68" s="13">
        <v>42676.476770833331</v>
      </c>
      <c r="G68" s="7">
        <v>2</v>
      </c>
      <c r="H68" s="13" t="s">
        <v>243</v>
      </c>
      <c r="I68" s="13">
        <v>42676.503159722219</v>
      </c>
      <c r="J68" s="7">
        <v>0</v>
      </c>
      <c r="K68" s="112" t="str">
        <f t="shared" si="0"/>
        <v>4053/4054</v>
      </c>
      <c r="L68" s="22" t="str">
        <f>VLOOKUP(A68,'Trips&amp;Operators'!$C$1:$E$10000,3,FALSE)</f>
        <v>LOZA</v>
      </c>
      <c r="M68" s="6">
        <f t="shared" si="1"/>
        <v>2.6388888887595385E-2</v>
      </c>
      <c r="N68" s="7">
        <f t="shared" si="24"/>
        <v>37.999999998137355</v>
      </c>
      <c r="O68" s="7"/>
      <c r="P68" s="7"/>
      <c r="Q68" s="23"/>
      <c r="R68" s="23"/>
      <c r="S68" s="35">
        <f t="shared" si="22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10:23:21-0600',mode:absolute,to:'2016-11-02 13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8" s="52" t="str">
        <f t="shared" si="5"/>
        <v>N</v>
      </c>
      <c r="X68" s="177">
        <f t="shared" ref="X68:X72" si="26">VALUE(LEFT(AD68,4))-VALUE(LEFT(AD67,4))</f>
        <v>1</v>
      </c>
      <c r="Y68" s="67">
        <f t="shared" si="17"/>
        <v>23.298300000000001</v>
      </c>
      <c r="Z68" s="67">
        <f t="shared" si="18"/>
        <v>1.61E-2</v>
      </c>
      <c r="AA68" s="67">
        <f t="shared" si="6"/>
        <v>23.2822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7"/>
        <v>0156-02</v>
      </c>
      <c r="AE68" s="91" t="str">
        <f t="shared" si="8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68" s="88" t="str">
        <f t="shared" si="9"/>
        <v>"C:\Program Files (x86)\AstroGrep\AstroGrep.exe" /spath="%USERPROFILE%\AppData\Local\Temp\OnboardLogs" /stypes="app*4054*20161102*" /stext=" 18:.+((SYSTEM_STATE.+slice.+state.+changed )|(ment ac)|(system.+state.+changed )|(\[timeout)|(PRM\|1\|D)|(kpr)|(kdp)|(\|lc)|(penalty))" /e /r /s</v>
      </c>
      <c r="AG68" s="1" t="str">
        <f t="shared" si="10"/>
        <v>EC</v>
      </c>
      <c r="AH68" s="92" t="str">
        <f t="shared" si="19"/>
        <v>"%USERPROFILE%\Documents\GitHub\eaglep3\Utilities\RefineRTDCRunTimes.py" --tripid 156-02 --locoid 4054 --swversion DE.1.0.8.0 --startMP 204:232983 --initTime 2016-11-02T11:23:21 --startdatetime 2016-11-02T11:26:33 --delay 2 --endMP 204:161 --enddatetime 2016-11-02T12:04:33 --enforcementcount 0 &gt;&gt;C:\Users\stu\Documents\GitHub\eaglep3-reporting\EC\2016-11-02-refined-times.txt</v>
      </c>
      <c r="AI68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{"issue":{"subject":"","project_id":79,"tracker_id":40,"status_id":1,"priority_id":2,"assigned_to_id":23,"start_date":"2016-11-02","description":"","custom_fields":[{"id":1,"name":"Subdivision","value":"EC"},{"id":4,"name":"Milepost","value":"0.0161"},{"id":17,"name":"Train ID","value":"156-02"},{"id":16,"name":"Locomotive ID","value":"4054"},{"id":130,"name":"Impact","value":""},{"id":150,"name":"Time of Event (Mountain Time)","value":"12:04:33"},{"id":151,"name":"Denver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4014</v>
      </c>
      <c r="C69" s="22" t="s">
        <v>249</v>
      </c>
      <c r="D69" s="22" t="s">
        <v>660</v>
      </c>
      <c r="E69" s="13">
        <v>42676.44258101852</v>
      </c>
      <c r="F69" s="13">
        <v>42676.455057870371</v>
      </c>
      <c r="G69" s="7">
        <v>17</v>
      </c>
      <c r="H69" s="13" t="s">
        <v>245</v>
      </c>
      <c r="I69" s="13">
        <v>42676.473379629628</v>
      </c>
      <c r="J69" s="7">
        <v>0</v>
      </c>
      <c r="K69" s="112" t="str">
        <f t="shared" si="0"/>
        <v>4013/4014</v>
      </c>
      <c r="L69" s="22" t="str">
        <f>VLOOKUP(A69,'Trips&amp;Operators'!$C$1:$E$10000,3,FALSE)</f>
        <v>PERKINS</v>
      </c>
      <c r="M69" s="6">
        <f t="shared" si="1"/>
        <v>1.8321759256650694E-2</v>
      </c>
      <c r="N69" s="7"/>
      <c r="O69" s="7"/>
      <c r="P69" s="7">
        <f>24*60*SUM($M69:$M69)</f>
        <v>26.383333329576999</v>
      </c>
      <c r="Q69" s="23"/>
      <c r="R69" s="23" t="s">
        <v>793</v>
      </c>
      <c r="S69" s="35">
        <f t="shared" si="22"/>
        <v>0.75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9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09:37:19-0600',mode:absolute,to:'2016-11-02 12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9" s="52" t="str">
        <f t="shared" si="5"/>
        <v>Y</v>
      </c>
      <c r="X69" s="177">
        <f t="shared" si="26"/>
        <v>1</v>
      </c>
      <c r="Y69" s="67">
        <f t="shared" si="17"/>
        <v>3.7197</v>
      </c>
      <c r="Z69" s="67">
        <f t="shared" si="18"/>
        <v>23.330100000000002</v>
      </c>
      <c r="AA69" s="67">
        <f t="shared" si="6"/>
        <v>19.610400000000002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7"/>
        <v>0157-02</v>
      </c>
      <c r="AE69" s="91" t="str">
        <f t="shared" si="8"/>
        <v>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 &amp; 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</v>
      </c>
      <c r="AF69" s="88" t="str">
        <f t="shared" si="9"/>
        <v>"C:\Program Files (x86)\AstroGrep\AstroGrep.exe" /spath="%USERPROFILE%\AppData\Local\Temp\OnboardLogs" /stypes="app*4014*20161102*" /stext=" 17:.+((SYSTEM_STATE.+slice.+state.+changed )|(ment ac)|(system.+state.+changed )|(\[timeout)|(PRM\|1\|D)|(kpr)|(kdp)|(\|lc)|(penalty))" /e /r /s</v>
      </c>
      <c r="AG69" s="1" t="str">
        <f t="shared" si="10"/>
        <v>EC</v>
      </c>
      <c r="AH69" s="92" t="str">
        <f t="shared" si="19"/>
        <v>"%USERPROFILE%\Documents\GitHub\eaglep3\Utilities\RefineRTDCRunTimes.py" --tripid 157-02 --locoid 4014 --swversion DE.1.0.8.0 --startMP 204:37197 --initTime 2016-11-02T10:37:19 --startdatetime 2016-11-02T10:55:17 --delay 17 --endMP 204:233301 --enddatetime 2016-11-02T11:21:40 --enforcementcount 0 &gt;&gt;C:\Users\stu\Documents\GitHub\eaglep3-reporting\EC\2016-11-02-refined-times.txt</v>
      </c>
      <c r="AI69" s="122" t="str">
        <f t="shared" si="20"/>
        <v>echo {"issue":{"subject":"Onboard in-route failure","project_id":79,"tracker_id":40,"status_id":1,"priority_id":2,"assigned_to_id":23,"start_date":"2016-11-02","description":"Multiple CPU faults at 2016-11-02 16:40:17 UTC","custom_fields":[{"id":1,"name":"Subdivision","value":"EC"},{"id":4,"name":"Milepost","value":"23.3301"},{"id":17,"name":"Train ID","value":"157-02"},{"id":16,"name":"Locomotive ID","value":"4014"},{"id":130,"name":"Impact","value":"Failed State"},{"id":150,"name":"Time of Event (Mountain Time)","value":"11:21:40"},{"id":151,"name":"Denver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9" s="53" t="s">
        <v>794</v>
      </c>
      <c r="AK69" s="53" t="s">
        <v>128</v>
      </c>
      <c r="AL69" s="53" t="s">
        <v>178</v>
      </c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411</v>
      </c>
      <c r="B70" s="7">
        <v>4013</v>
      </c>
      <c r="C70" s="22" t="s">
        <v>249</v>
      </c>
      <c r="D70" s="22" t="s">
        <v>291</v>
      </c>
      <c r="E70" s="13">
        <v>42676.481064814812</v>
      </c>
      <c r="F70" s="13">
        <v>42676.486990740741</v>
      </c>
      <c r="G70" s="7">
        <v>1</v>
      </c>
      <c r="H70" s="13" t="s">
        <v>661</v>
      </c>
      <c r="I70" s="13">
        <v>42676.512673611112</v>
      </c>
      <c r="J70" s="7">
        <v>0</v>
      </c>
      <c r="K70" s="112" t="str">
        <f t="shared" si="0"/>
        <v>4013/4014</v>
      </c>
      <c r="L70" s="22" t="str">
        <f>VLOOKUP(A70,'Trips&amp;Operators'!$C$1:$E$10000,3,FALSE)</f>
        <v>PERKINS</v>
      </c>
      <c r="M70" s="6">
        <f t="shared" si="1"/>
        <v>2.5682870371383615E-2</v>
      </c>
      <c r="N70" s="7">
        <f t="shared" ref="N70:N96" si="27">24*60*SUM($M70:$M70)</f>
        <v>36.983333334792405</v>
      </c>
      <c r="O70" s="7"/>
      <c r="P70" s="7"/>
      <c r="Q70" s="23"/>
      <c r="R70" s="23"/>
      <c r="S70" s="35">
        <f t="shared" si="22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10:32:44-0600',mode:absolute,to:'2016-11-02 13:18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0" s="52" t="str">
        <f t="shared" si="5"/>
        <v>N</v>
      </c>
      <c r="X70" s="177">
        <f t="shared" si="26"/>
        <v>1</v>
      </c>
      <c r="Y70" s="67">
        <f t="shared" si="17"/>
        <v>23.297999999999998</v>
      </c>
      <c r="Z70" s="67">
        <f t="shared" si="18"/>
        <v>1.9099999999999999E-2</v>
      </c>
      <c r="AA70" s="67">
        <f t="shared" si="6"/>
        <v>23.278899999999997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7"/>
        <v>0158-02</v>
      </c>
      <c r="AE70" s="91" t="str">
        <f t="shared" si="8"/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AF70" s="88" t="str">
        <f t="shared" si="9"/>
        <v>"C:\Program Files (x86)\AstroGrep\AstroGrep.exe" /spath="%USERPROFILE%\AppData\Local\Temp\OnboardLogs" /stypes="app*4013*20161102*" /stext=" 18:.+((SYSTEM_STATE.+slice.+state.+changed )|(ment ac)|(system.+state.+changed )|(\[timeout)|(PRM\|1\|D)|(kpr)|(kdp)|(\|lc)|(penalty))" /e /r /s</v>
      </c>
      <c r="AG70" s="1" t="str">
        <f t="shared" si="10"/>
        <v>EC</v>
      </c>
      <c r="AH70" s="92" t="str">
        <f t="shared" si="19"/>
        <v>"%USERPROFILE%\Documents\GitHub\eaglep3\Utilities\RefineRTDCRunTimes.py" --tripid 158-02 --locoid 4013 --swversion DE.1.0.8.0 --startMP 204:232980 --initTime 2016-11-02T11:32:44 --startdatetime 2016-11-02T11:41:16 --delay 1 --endMP 204:191 --enddatetime 2016-11-02T12:18:15 --enforcementcount 0 &gt;&gt;C:\Users\stu\Documents\GitHub\eaglep3-reporting\EC\2016-11-02-refined-times.txt</v>
      </c>
      <c r="AI70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{"issue":{"subject":"","project_id":79,"tracker_id":40,"status_id":1,"priority_id":2,"assigned_to_id":23,"start_date":"2016-11-02","description":"","custom_fields":[{"id":1,"name":"Subdivision","value":"EC"},{"id":4,"name":"Milepost","value":"0.0191"},{"id":17,"name":"Train ID","value":"158-02"},{"id":16,"name":"Locomotive ID","value":"4013"},{"id":130,"name":"Impact","value":""},{"id":150,"name":"Time of Event (Mountain Time)","value":"12:18:15"},{"id":151,"name":"Denver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4002</v>
      </c>
      <c r="C71" s="22" t="s">
        <v>249</v>
      </c>
      <c r="D71" s="22" t="s">
        <v>361</v>
      </c>
      <c r="E71" s="13">
        <v>42676.452696759261</v>
      </c>
      <c r="F71" s="13">
        <v>42676.458506944444</v>
      </c>
      <c r="G71" s="7">
        <v>1</v>
      </c>
      <c r="H71" s="13" t="s">
        <v>365</v>
      </c>
      <c r="I71" s="13">
        <v>42676.483773148146</v>
      </c>
      <c r="J71" s="7">
        <v>0</v>
      </c>
      <c r="K71" s="112" t="str">
        <f t="shared" si="0"/>
        <v>4001/4002</v>
      </c>
      <c r="L71" s="22" t="str">
        <f>VLOOKUP(A71,'Trips&amp;Operators'!$C$1:$E$10000,3,FALSE)</f>
        <v>SAFIEF</v>
      </c>
      <c r="M71" s="6">
        <f t="shared" si="1"/>
        <v>2.5266203701903578E-2</v>
      </c>
      <c r="N71" s="7">
        <f t="shared" si="27"/>
        <v>36.383333330741152</v>
      </c>
      <c r="O71" s="7"/>
      <c r="P71" s="7"/>
      <c r="Q71" s="23"/>
      <c r="R71" s="23"/>
      <c r="S71" s="35">
        <f t="shared" si="22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09:51:53-0600',mode:absolute,to:'2016-11-02 12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52" t="str">
        <f t="shared" si="5"/>
        <v>N</v>
      </c>
      <c r="X71" s="177">
        <f t="shared" si="26"/>
        <v>1</v>
      </c>
      <c r="Y71" s="67">
        <f t="shared" si="17"/>
        <v>4.6899999999999997E-2</v>
      </c>
      <c r="Z71" s="67">
        <f t="shared" si="18"/>
        <v>23.3306</v>
      </c>
      <c r="AA71" s="67">
        <f t="shared" si="6"/>
        <v>23.2837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7"/>
        <v>0159-02</v>
      </c>
      <c r="AE71" s="91" t="str">
        <f t="shared" si="8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71" s="88" t="str">
        <f t="shared" si="9"/>
        <v>"C:\Program Files (x86)\AstroGrep\AstroGrep.exe" /spath="%USERPROFILE%\AppData\Local\Temp\OnboardLogs" /stypes="app*4002*20161102*" /stext=" 17:.+((SYSTEM_STATE.+slice.+state.+changed )|(ment ac)|(system.+state.+changed )|(\[timeout)|(PRM\|1\|D)|(kpr)|(kdp)|(\|lc)|(penalty))" /e /r /s</v>
      </c>
      <c r="AG71" s="1" t="str">
        <f t="shared" si="10"/>
        <v>EC</v>
      </c>
      <c r="AH71" s="92" t="str">
        <f t="shared" si="19"/>
        <v>"%USERPROFILE%\Documents\GitHub\eaglep3\Utilities\RefineRTDCRunTimes.py" --tripid 159-02 --locoid 4002 --swversion DE.1.0.8.0 --startMP 204:469 --initTime 2016-11-02T10:51:53 --startdatetime 2016-11-02T11:00:15 --delay 1 --endMP 204:233306 --enddatetime 2016-11-02T11:36:38 --enforcementcount 0 &gt;&gt;C:\Users\stu\Documents\GitHub\eaglep3-reporting\EC\2016-11-02-refined-times.txt</v>
      </c>
      <c r="AI71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{"issue":{"subject":"","project_id":79,"tracker_id":40,"status_id":1,"priority_id":2,"assigned_to_id":23,"start_date":"2016-11-02","description":"","custom_fields":[{"id":1,"name":"Subdivision","value":"EC"},{"id":4,"name":"Milepost","value":"23.3306"},{"id":17,"name":"Train ID","value":"159-02"},{"id":16,"name":"Locomotive ID","value":"4002"},{"id":130,"name":"Impact","value":""},{"id":150,"name":"Time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529</v>
      </c>
      <c r="B72" s="7">
        <v>4001</v>
      </c>
      <c r="C72" s="22" t="s">
        <v>249</v>
      </c>
      <c r="D72" s="22" t="s">
        <v>369</v>
      </c>
      <c r="E72" s="13">
        <v>42676.490694444445</v>
      </c>
      <c r="F72" s="13">
        <v>42676.497442129628</v>
      </c>
      <c r="G72" s="7">
        <v>2</v>
      </c>
      <c r="H72" s="13" t="s">
        <v>662</v>
      </c>
      <c r="I72" s="13">
        <v>42676.523310185185</v>
      </c>
      <c r="J72" s="7">
        <v>0</v>
      </c>
      <c r="K72" s="112" t="str">
        <f t="shared" si="0"/>
        <v>4001/4002</v>
      </c>
      <c r="L72" s="22" t="str">
        <f>VLOOKUP(A72,'Trips&amp;Operators'!$C$1:$E$10000,3,FALSE)</f>
        <v>SAFIEF</v>
      </c>
      <c r="M72" s="6">
        <f t="shared" si="1"/>
        <v>2.5868055556202307E-2</v>
      </c>
      <c r="N72" s="7">
        <f t="shared" si="27"/>
        <v>37.250000000931323</v>
      </c>
      <c r="O72" s="7"/>
      <c r="P72" s="7"/>
      <c r="Q72" s="23"/>
      <c r="R72" s="23"/>
      <c r="S72" s="35">
        <f t="shared" si="22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10:46:36-0600',mode:absolute,to:'2016-11-02 13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2" s="52" t="str">
        <f t="shared" si="5"/>
        <v>N</v>
      </c>
      <c r="X72" s="177">
        <f t="shared" si="26"/>
        <v>1</v>
      </c>
      <c r="Y72" s="67">
        <f t="shared" si="17"/>
        <v>23.299099999999999</v>
      </c>
      <c r="Z72" s="67">
        <f t="shared" si="18"/>
        <v>1.6899999999999998E-2</v>
      </c>
      <c r="AA72" s="67">
        <f t="shared" si="6"/>
        <v>23.2822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7"/>
        <v>0160-02</v>
      </c>
      <c r="AE72" s="91" t="str">
        <f t="shared" si="8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72" s="88" t="str">
        <f t="shared" si="9"/>
        <v>"C:\Program Files (x86)\AstroGrep\AstroGrep.exe" /spath="%USERPROFILE%\AppData\Local\Temp\OnboardLogs" /stypes="app*4001*20161102*" /stext=" 18:.+((SYSTEM_STATE.+slice.+state.+changed )|(ment ac)|(system.+state.+changed )|(\[timeout)|(PRM\|1\|D)|(kpr)|(kdp)|(\|lc)|(penalty))" /e /r /s</v>
      </c>
      <c r="AG72" s="1" t="str">
        <f t="shared" si="10"/>
        <v>EC</v>
      </c>
      <c r="AH72" s="92" t="str">
        <f t="shared" si="19"/>
        <v>"%USERPROFILE%\Documents\GitHub\eaglep3\Utilities\RefineRTDCRunTimes.py" --tripid 160-02 --locoid 4001 --swversion DE.1.0.8.0 --startMP 204:232991 --initTime 2016-11-02T11:46:36 --startdatetime 2016-11-02T11:56:19 --delay 2 --endMP 204:169 --enddatetime 2016-11-02T12:33:34 --enforcementcount 0 &gt;&gt;C:\Users\stu\Documents\GitHub\eaglep3-reporting\EC\2016-11-02-refined-times.txt</v>
      </c>
      <c r="AI72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{"issue":{"subject":"","project_id":79,"tracker_id":40,"status_id":1,"priority_id":2,"assigned_to_id":23,"start_date":"2016-11-02","description":"","custom_fields":[{"id":1,"name":"Subdivision","value":"EC"},{"id":4,"name":"Milepost","value":"0.0169"},{"id":17,"name":"Train ID","value":"160-02"},{"id":16,"name":"Locomotive ID","value":"4001"},{"id":130,"name":"Impact","value":""},{"id":150,"name":"Time of Event (Mountain Time)","value":"12:33:34"},{"id":151,"name":"Denver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517</v>
      </c>
      <c r="B73" s="7">
        <v>4038</v>
      </c>
      <c r="C73" s="22" t="s">
        <v>249</v>
      </c>
      <c r="D73" s="22" t="s">
        <v>271</v>
      </c>
      <c r="E73" s="13">
        <v>42676.46365740741</v>
      </c>
      <c r="F73" s="13">
        <v>42676.468912037039</v>
      </c>
      <c r="G73" s="7">
        <v>1</v>
      </c>
      <c r="H73" s="13" t="s">
        <v>254</v>
      </c>
      <c r="I73" s="13">
        <v>42676.493287037039</v>
      </c>
      <c r="J73" s="7">
        <v>0</v>
      </c>
      <c r="K73" s="112" t="str">
        <f t="shared" si="0"/>
        <v>4037/4038</v>
      </c>
      <c r="L73" s="22" t="str">
        <f>VLOOKUP(A73,'Trips&amp;Operators'!$C$1:$E$10000,3,FALSE)</f>
        <v>HOLCOMB</v>
      </c>
      <c r="M73" s="6">
        <f t="shared" si="1"/>
        <v>2.4375000000873115E-2</v>
      </c>
      <c r="N73" s="7">
        <f t="shared" si="27"/>
        <v>35.100000001257285</v>
      </c>
      <c r="O73" s="7"/>
      <c r="P73" s="7"/>
      <c r="Q73" s="23"/>
      <c r="R73" s="23"/>
      <c r="S73" s="35">
        <f t="shared" si="22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10:07:40-0600',mode:absolute,to:'2016-11-02 12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2" t="str">
        <f t="shared" si="5"/>
        <v>N</v>
      </c>
      <c r="X73" s="177">
        <f t="shared" ref="X73:X120" si="28">VALUE(LEFT(AD73,4))-VALUE(LEFT(AD72,4))</f>
        <v>1</v>
      </c>
      <c r="Y73" s="67">
        <f t="shared" si="17"/>
        <v>4.4400000000000002E-2</v>
      </c>
      <c r="Z73" s="67">
        <f t="shared" si="18"/>
        <v>23.328800000000001</v>
      </c>
      <c r="AA73" s="67">
        <f t="shared" si="6"/>
        <v>23.284400000000002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7"/>
        <v>0161-02</v>
      </c>
      <c r="AE73" s="91" t="str">
        <f t="shared" si="8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73" s="88" t="str">
        <f t="shared" si="9"/>
        <v>"C:\Program Files (x86)\AstroGrep\AstroGrep.exe" /spath="%USERPROFILE%\AppData\Local\Temp\OnboardLogs" /stypes="app*4038*20161102*" /stext=" 17:.+((SYSTEM_STATE.+slice.+state.+changed )|(ment ac)|(system.+state.+changed )|(\[timeout)|(PRM\|1\|D)|(kpr)|(kdp)|(\|lc)|(penalty))" /e /r /s</v>
      </c>
      <c r="AG73" s="1" t="str">
        <f t="shared" si="10"/>
        <v>EC</v>
      </c>
      <c r="AH73" s="92" t="str">
        <f t="shared" si="19"/>
        <v>"%USERPROFILE%\Documents\GitHub\eaglep3\Utilities\RefineRTDCRunTimes.py" --tripid 161-02 --locoid 4038 --swversion DE.1.0.8.0 --startMP 204:444 --initTime 2016-11-02T11:07:40 --startdatetime 2016-11-02T11:15:14 --delay 1 --endMP 204:233288 --enddatetime 2016-11-02T11:50:20 --enforcementcount 0 &gt;&gt;C:\Users\stu\Documents\GitHub\eaglep3-reporting\EC\2016-11-02-refined-times.txt</v>
      </c>
      <c r="AI73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{"issue":{"subject":"","project_id":79,"tracker_id":40,"status_id":1,"priority_id":2,"assigned_to_id":23,"start_date":"2016-11-02","description":"","custom_fields":[{"id":1,"name":"Subdivision","value":"EC"},{"id":4,"name":"Milepost","value":"23.3288"},{"id":17,"name":"Train ID","value":"161-02"},{"id":16,"name":"Locomotive ID","value":"4038"},{"id":130,"name":"Impact","value":""},{"id":150,"name":"Time of Event (Mountain Time)","value":"11:50:20"},{"id":151,"name":"Denver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531</v>
      </c>
      <c r="B74" s="7">
        <v>4037</v>
      </c>
      <c r="C74" s="22" t="s">
        <v>249</v>
      </c>
      <c r="D74" s="22" t="s">
        <v>224</v>
      </c>
      <c r="E74" s="13">
        <v>42676.500347222223</v>
      </c>
      <c r="F74" s="13">
        <v>42676.5078125</v>
      </c>
      <c r="G74" s="7">
        <v>2</v>
      </c>
      <c r="H74" s="13" t="s">
        <v>175</v>
      </c>
      <c r="I74" s="13">
        <v>42676.533553240741</v>
      </c>
      <c r="J74" s="7">
        <v>0</v>
      </c>
      <c r="K74" s="112" t="str">
        <f t="shared" si="0"/>
        <v>4037/4038</v>
      </c>
      <c r="L74" s="22" t="str">
        <f>VLOOKUP(A74,'Trips&amp;Operators'!$C$1:$E$10000,3,FALSE)</f>
        <v>HOLCOMB</v>
      </c>
      <c r="M74" s="6">
        <f t="shared" si="1"/>
        <v>2.5740740740729962E-2</v>
      </c>
      <c r="N74" s="7">
        <f t="shared" si="27"/>
        <v>37.066666666651145</v>
      </c>
      <c r="O74" s="7"/>
      <c r="P74" s="7"/>
      <c r="Q74" s="23"/>
      <c r="R74" s="23"/>
      <c r="S74" s="35">
        <f t="shared" si="22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11:00:30-0600',mode:absolute,to:'2016-11-02 13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2" t="str">
        <f t="shared" si="5"/>
        <v>N</v>
      </c>
      <c r="X74" s="177">
        <f t="shared" si="28"/>
        <v>1</v>
      </c>
      <c r="Y74" s="67">
        <f t="shared" si="17"/>
        <v>23.297699999999999</v>
      </c>
      <c r="Z74" s="67">
        <f t="shared" si="18"/>
        <v>1.47E-2</v>
      </c>
      <c r="AA74" s="67">
        <f t="shared" si="6"/>
        <v>23.282999999999998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7"/>
        <v>0162-02</v>
      </c>
      <c r="AE74" s="91" t="str">
        <f t="shared" si="8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74" s="88" t="str">
        <f t="shared" si="9"/>
        <v>"C:\Program Files (x86)\AstroGrep\AstroGrep.exe" /spath="%USERPROFILE%\AppData\Local\Temp\OnboardLogs" /stypes="app*4037*20161102*" /stext=" 18:.+((SYSTEM_STATE.+slice.+state.+changed )|(ment ac)|(system.+state.+changed )|(\[timeout)|(PRM\|1\|D)|(kpr)|(kdp)|(\|lc)|(penalty))" /e /r /s</v>
      </c>
      <c r="AG74" s="1" t="str">
        <f t="shared" si="10"/>
        <v>EC</v>
      </c>
      <c r="AH74" s="92" t="str">
        <f t="shared" si="19"/>
        <v>"%USERPROFILE%\Documents\GitHub\eaglep3\Utilities\RefineRTDCRunTimes.py" --tripid 162-02 --locoid 4037 --swversion DE.1.0.8.0 --startMP 204:232977 --initTime 2016-11-02T12:00:30 --startdatetime 2016-11-02T12:11:15 --delay 2 --endMP 204:147 --enddatetime 2016-11-02T12:48:19 --enforcementcount 0 &gt;&gt;C:\Users\stu\Documents\GitHub\eaglep3-reporting\EC\2016-11-02-refined-times.txt</v>
      </c>
      <c r="AI74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{"issue":{"subject":"","project_id":79,"tracker_id":40,"status_id":1,"priority_id":2,"assigned_to_id":23,"start_date":"2016-11-02","description":"","custom_fields":[{"id":1,"name":"Subdivision","value":"EC"},{"id":4,"name":"Milepost","value":"0.0147"},{"id":17,"name":"Train ID","value":"162-02"},{"id":16,"name":"Locomotive ID","value":"4037"},{"id":130,"name":"Impact","value":""},{"id":150,"name":"Time of Event (Mountain Time)","value":"12:48:19"},{"id":151,"name":"Denver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522</v>
      </c>
      <c r="B75" s="7">
        <v>4007</v>
      </c>
      <c r="C75" s="22" t="s">
        <v>249</v>
      </c>
      <c r="D75" s="22" t="s">
        <v>313</v>
      </c>
      <c r="E75" s="13">
        <v>42676.474374999998</v>
      </c>
      <c r="F75" s="13">
        <v>42676.479432870372</v>
      </c>
      <c r="G75" s="7">
        <v>1</v>
      </c>
      <c r="H75" s="13" t="s">
        <v>235</v>
      </c>
      <c r="I75" s="13">
        <v>42676.503761574073</v>
      </c>
      <c r="J75" s="7">
        <v>0</v>
      </c>
      <c r="K75" s="112" t="str">
        <f t="shared" si="0"/>
        <v>4007/4008</v>
      </c>
      <c r="L75" s="22" t="str">
        <f>VLOOKUP(A75,'Trips&amp;Operators'!$C$1:$E$10000,3,FALSE)</f>
        <v>HELVIE</v>
      </c>
      <c r="M75" s="6">
        <f t="shared" si="1"/>
        <v>2.4328703701030463E-2</v>
      </c>
      <c r="N75" s="7">
        <f t="shared" si="27"/>
        <v>35.033333329483867</v>
      </c>
      <c r="O75" s="7"/>
      <c r="P75" s="7"/>
      <c r="Q75" s="23"/>
      <c r="R75" s="23"/>
      <c r="S75" s="35">
        <f t="shared" si="22"/>
        <v>1</v>
      </c>
      <c r="T75" s="50" t="str">
        <f t="shared" si="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10:23:06-0600',mode:absolute,to:'2016-11-02 13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5" s="52" t="str">
        <f t="shared" si="5"/>
        <v>N</v>
      </c>
      <c r="X75" s="177">
        <f t="shared" si="28"/>
        <v>1</v>
      </c>
      <c r="Y75" s="67">
        <f t="shared" si="17"/>
        <v>4.6699999999999998E-2</v>
      </c>
      <c r="Z75" s="67">
        <f t="shared" si="18"/>
        <v>23.3291</v>
      </c>
      <c r="AA75" s="67">
        <f t="shared" si="6"/>
        <v>23.282399999999999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7"/>
        <v>0163-02</v>
      </c>
      <c r="AE75" s="91" t="str">
        <f t="shared" si="8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75" s="88" t="str">
        <f t="shared" si="9"/>
        <v>"C:\Program Files (x86)\AstroGrep\AstroGrep.exe" /spath="%USERPROFILE%\AppData\Local\Temp\OnboardLogs" /stypes="app*4007*20161102*" /stext=" 18:.+((SYSTEM_STATE.+slice.+state.+changed )|(ment ac)|(system.+state.+changed )|(\[timeout)|(PRM\|1\|D)|(kpr)|(kdp)|(\|lc)|(penalty))" /e /r /s</v>
      </c>
      <c r="AG75" s="1" t="str">
        <f t="shared" si="10"/>
        <v>EC</v>
      </c>
      <c r="AH75" s="92" t="str">
        <f t="shared" si="19"/>
        <v>"%USERPROFILE%\Documents\GitHub\eaglep3\Utilities\RefineRTDCRunTimes.py" --tripid 163-02 --locoid 4007 --swversion DE.1.0.8.0 --startMP 204:467 --initTime 2016-11-02T11:23:06 --startdatetime 2016-11-02T11:30:23 --delay 1 --endMP 204:233291 --enddatetime 2016-11-02T12:05:25 --enforcementcount 0 &gt;&gt;C:\Users\stu\Documents\GitHub\eaglep3-reporting\EC\2016-11-02-refined-times.txt</v>
      </c>
      <c r="AI75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{"issue":{"subject":"","project_id":79,"tracker_id":40,"status_id":1,"priority_id":2,"assigned_to_id":23,"start_date":"2016-11-02","description":"","custom_fields":[{"id":1,"name":"Subdivision","value":"EC"},{"id":4,"name":"Milepost","value":"23.3291"},{"id":17,"name":"Train ID","value":"163-02"},{"id":16,"name":"Locomotive ID","value":"4007"},{"id":130,"name":"Impact","value":""},{"id":150,"name":"Time of Event (Mountain Time)","value":"12:05:25"},{"id":151,"name":"Denver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534</v>
      </c>
      <c r="B76" s="7">
        <v>4008</v>
      </c>
      <c r="C76" s="22" t="s">
        <v>249</v>
      </c>
      <c r="D76" s="22" t="s">
        <v>369</v>
      </c>
      <c r="E76" s="13">
        <v>42676.515046296299</v>
      </c>
      <c r="F76" s="13">
        <v>42676.518240740741</v>
      </c>
      <c r="G76" s="7">
        <v>1</v>
      </c>
      <c r="H76" s="13" t="s">
        <v>204</v>
      </c>
      <c r="I76" s="13">
        <v>42676.543634259258</v>
      </c>
      <c r="J76" s="7">
        <v>0</v>
      </c>
      <c r="K76" s="112" t="str">
        <f t="shared" si="0"/>
        <v>4007/4008</v>
      </c>
      <c r="L76" s="22" t="str">
        <f>VLOOKUP(A76,'Trips&amp;Operators'!$C$1:$E$10000,3,FALSE)</f>
        <v>HELVIE</v>
      </c>
      <c r="M76" s="6">
        <f t="shared" si="1"/>
        <v>2.5393518517375924E-2</v>
      </c>
      <c r="N76" s="7">
        <f t="shared" si="27"/>
        <v>36.56666666502133</v>
      </c>
      <c r="O76" s="7"/>
      <c r="P76" s="7"/>
      <c r="Q76" s="23"/>
      <c r="R76" s="23"/>
      <c r="S76" s="35">
        <f t="shared" si="22"/>
        <v>1</v>
      </c>
      <c r="T76" s="50" t="str">
        <f t="shared" si="3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https://search-rtdc-monitor-bjffxe2xuh6vdkpspy63sjmuny.us-east-1.es.amazonaws.com/_plugin/kibana/#/discover/Steve-Slow-Train-Analysis-(2080s-and-2083s)?_g=(refreshInterval:(display:Off,section:0,value:0),time:(from:'2016-11-02 11:21:40-0600',mode:absolute,to:'2016-11-02 14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6" s="52" t="str">
        <f t="shared" si="5"/>
        <v>N</v>
      </c>
      <c r="X76" s="177">
        <f t="shared" si="28"/>
        <v>1</v>
      </c>
      <c r="Y76" s="67">
        <f t="shared" si="17"/>
        <v>23.299099999999999</v>
      </c>
      <c r="Z76" s="67">
        <f t="shared" si="18"/>
        <v>1.4500000000000001E-2</v>
      </c>
      <c r="AA76" s="67">
        <f t="shared" si="6"/>
        <v>23.284599999999998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7"/>
        <v>0164-02</v>
      </c>
      <c r="AE76" s="91" t="str">
        <f t="shared" si="8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76" s="88" t="str">
        <f t="shared" si="9"/>
        <v>"C:\Program Files (x86)\AstroGrep\AstroGrep.exe" /spath="%USERPROFILE%\AppData\Local\Temp\OnboardLogs" /stypes="app*4008*20161102*" /stext=" 19:.+((SYSTEM_STATE.+slice.+state.+changed )|(ment ac)|(system.+state.+changed )|(\[timeout)|(PRM\|1\|D)|(kpr)|(kdp)|(\|lc)|(penalty))" /e /r /s</v>
      </c>
      <c r="AG76" s="1" t="str">
        <f t="shared" si="10"/>
        <v>EC</v>
      </c>
      <c r="AH76" s="92" t="str">
        <f t="shared" si="19"/>
        <v>"%USERPROFILE%\Documents\GitHub\eaglep3\Utilities\RefineRTDCRunTimes.py" --tripid 164-02 --locoid 4008 --swversion DE.1.0.8.0 --startMP 204:232991 --initTime 2016-11-02T12:21:40 --startdatetime 2016-11-02T12:26:16 --delay 1 --endMP 204:145 --enddatetime 2016-11-02T13:02:50 --enforcementcount 0 &gt;&gt;C:\Users\stu\Documents\GitHub\eaglep3-reporting\EC\2016-11-02-refined-times.txt</v>
      </c>
      <c r="AI76" s="122" t="str">
        <f t="shared" si="20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ID","value":"164-02"},{"id":16,"name":"Locomotive ID","value":"4008"},{"id":130,"name":"Impact","value":""},{"id":150,"name":"Time of Event (Mountain Time)","value":"13:02:50"},{"id":151,"name":"Denver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526</v>
      </c>
      <c r="B77" s="7">
        <v>4003</v>
      </c>
      <c r="C77" s="22" t="s">
        <v>249</v>
      </c>
      <c r="D77" s="22" t="s">
        <v>232</v>
      </c>
      <c r="E77" s="13">
        <v>42676.48636574074</v>
      </c>
      <c r="F77" s="13">
        <v>42676.490729166668</v>
      </c>
      <c r="G77" s="7">
        <v>5</v>
      </c>
      <c r="H77" s="13" t="s">
        <v>206</v>
      </c>
      <c r="I77" s="13">
        <v>42676.515439814815</v>
      </c>
      <c r="J77" s="7">
        <v>0</v>
      </c>
      <c r="K77" s="112" t="str">
        <f t="shared" ref="K77:K140" si="29">IF(ISEVEN(B77),(B77-1)&amp;"/"&amp;B77,B77&amp;"/"&amp;(B77+1))</f>
        <v>4003/4004</v>
      </c>
      <c r="L77" s="22" t="str">
        <f>VLOOKUP(A77,'Trips&amp;Operators'!$C$1:$E$10000,3,FALSE)</f>
        <v>ADANE</v>
      </c>
      <c r="M77" s="6">
        <f t="shared" ref="M77:M140" si="30">I77-F77</f>
        <v>2.47106481474475E-2</v>
      </c>
      <c r="N77" s="7">
        <f t="shared" si="27"/>
        <v>35.583333332324401</v>
      </c>
      <c r="O77" s="7"/>
      <c r="P77" s="7"/>
      <c r="Q77" s="23"/>
      <c r="R77" s="23"/>
      <c r="S77" s="35">
        <f t="shared" ref="S77:S96" si="31">SUM(U77:U77)/IF(AG77="EC",12,1)</f>
        <v>1</v>
      </c>
      <c r="T77" s="50" t="str">
        <f t="shared" ref="T77:T140" si="32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https://search-rtdc-monitor-bjffxe2xuh6vdkpspy63sjmuny.us-east-1.es.amazonaws.com/_plugin/kibana/#/discover/Steve-Slow-Train-Analysis-(2080s-and-2083s)?_g=(refreshInterval:(display:Off,section:0,value:0),time:(from:'2016-11-02 10:40:22-0600',mode:absolute,to:'2016-11-02 13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7" s="52" t="str">
        <f t="shared" ref="W77:W140" si="34">IF(AA77&lt;IF(AG77="EC",23,5.65),"Y","N")</f>
        <v>N</v>
      </c>
      <c r="X77" s="177">
        <f t="shared" si="28"/>
        <v>1</v>
      </c>
      <c r="Y77" s="67">
        <f t="shared" ref="Y77:Y139" si="35">RIGHT(D77,LEN(D77)-4)/10000</f>
        <v>4.6199999999999998E-2</v>
      </c>
      <c r="Z77" s="67">
        <f t="shared" ref="Z77:Z139" si="36">RIGHT(H77,LEN(H77)-4)/10000</f>
        <v>23.3293</v>
      </c>
      <c r="AA77" s="67">
        <f t="shared" ref="AA77:AA140" si="37">ABS(Z77-Y77)</f>
        <v>23.283100000000001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8">IF(LEN(A77)=6,"0"&amp;A77,A77)</f>
        <v>0165-02</v>
      </c>
      <c r="AE77" s="91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77" s="88" t="str">
        <f t="shared" ref="AF77:AF140" si="4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/stypes="app*4003*20161102*" /stext=" 18:.+((SYSTEM_STATE.+slice.+state.+changed )|(ment ac)|(system.+state.+changed )|(\[timeout)|(PRM\|1\|D)|(kpr)|(kdp)|(\|lc)|(penalty))" /e /r /s</v>
      </c>
      <c r="AG77" s="1" t="str">
        <f t="shared" ref="AG77:AG140" si="41">IFERROR(IF(VALUE(LEFT(AD77,2))&lt;=2,"EC",IF(OR(VALUE(LEFT(AD77,2))=8,VALUE(LEFT(AD77,2))=18),"NW","Other")),"Other")</f>
        <v>EC</v>
      </c>
      <c r="AH77" s="92" t="str">
        <f t="shared" ref="AH77:AH139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165-02 --locoid 4003 --swversion DE.1.0.8.0 --startMP 204:462 --initTime 2016-11-02T11:40:22 --startdatetime 2016-11-02T11:46:39 --delay 5 --endMP 204:233293 --enddatetime 2016-11-02T12:22:14 --enforcementcount 0 &gt;&gt;C:\Users\stu\Documents\GitHub\eaglep3-reporting\EC\2016-11-02-refined-times.txt</v>
      </c>
      <c r="AI77" s="122" t="str">
        <f t="shared" ref="AI77:AI139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{"issue":{"subject":"","project_id":79,"tracker_id":40,"status_id":1,"priority_id":2,"assigned_to_id":23,"start_date":"2016-11-02","description":"","custom_fields":[{"id":1,"name":"Subdivision","value":"EC"},{"id":4,"name":"Milepost","value":"23.3293"},{"id":17,"name":"Train ID","value":"165-02"},{"id":16,"name":"Locomotive ID","value":"4003"},{"id":130,"name":"Impact","value":""},{"id":150,"name":"Time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413</v>
      </c>
      <c r="B78" s="7">
        <v>4004</v>
      </c>
      <c r="C78" s="22" t="s">
        <v>249</v>
      </c>
      <c r="D78" s="22" t="s">
        <v>224</v>
      </c>
      <c r="E78" s="13">
        <v>42676.526712962965</v>
      </c>
      <c r="F78" s="13">
        <v>42676.528969907406</v>
      </c>
      <c r="G78" s="7">
        <v>1</v>
      </c>
      <c r="H78" s="13" t="s">
        <v>203</v>
      </c>
      <c r="I78" s="13">
        <v>42676.555208333331</v>
      </c>
      <c r="J78" s="7">
        <v>0</v>
      </c>
      <c r="K78" s="112" t="str">
        <f t="shared" si="29"/>
        <v>4003/4004</v>
      </c>
      <c r="L78" s="22" t="str">
        <f>VLOOKUP(A78,'Trips&amp;Operators'!$C$1:$E$10000,3,FALSE)</f>
        <v>ADANE</v>
      </c>
      <c r="M78" s="6">
        <f t="shared" si="30"/>
        <v>2.6238425925839692E-2</v>
      </c>
      <c r="N78" s="7">
        <f t="shared" si="27"/>
        <v>37.783333333209157</v>
      </c>
      <c r="O78" s="7"/>
      <c r="P78" s="7"/>
      <c r="Q78" s="23"/>
      <c r="R78" s="23"/>
      <c r="S78" s="35">
        <f t="shared" si="31"/>
        <v>1</v>
      </c>
      <c r="T78" s="50" t="str">
        <f t="shared" si="32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11:38:28-0600',mode:absolute,to:'2016-11-02 14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8" s="52" t="str">
        <f t="shared" si="34"/>
        <v>N</v>
      </c>
      <c r="X78" s="177">
        <f t="shared" si="28"/>
        <v>1</v>
      </c>
      <c r="Y78" s="67">
        <f t="shared" si="35"/>
        <v>23.297699999999999</v>
      </c>
      <c r="Z78" s="67">
        <f t="shared" si="36"/>
        <v>1.54E-2</v>
      </c>
      <c r="AA78" s="67">
        <f t="shared" si="37"/>
        <v>23.282299999999999</v>
      </c>
      <c r="AB78" s="64" t="str">
        <f>VLOOKUP(A78,Enforcements!$C$7:$K$21,8,0)</f>
        <v>Bulletin (2)</v>
      </c>
      <c r="AC78" s="60" t="str">
        <f>VLOOKUP(A78,Enforcements!$C$7:$E$21,3,0)</f>
        <v>GRADE CROSSING</v>
      </c>
      <c r="AD78" s="61" t="str">
        <f t="shared" si="38"/>
        <v>0166-02</v>
      </c>
      <c r="AE78" s="91" t="str">
        <f t="shared" si="39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78" s="88" t="str">
        <f t="shared" si="40"/>
        <v>"C:\Program Files (x86)\AstroGrep\AstroGrep.exe" /spath="%USERPROFILE%\AppData\Local\Temp\OnboardLogs" /stypes="app*4004*20161102*" /stext=" 19:.+((SYSTEM_STATE.+slice.+state.+changed )|(ment ac)|(system.+state.+changed )|(\[timeout)|(PRM\|1\|D)|(kpr)|(kdp)|(\|lc)|(penalty))" /e /r /s</v>
      </c>
      <c r="AG78" s="1" t="str">
        <f t="shared" si="41"/>
        <v>EC</v>
      </c>
      <c r="AH78" s="92" t="str">
        <f t="shared" si="42"/>
        <v>"%USERPROFILE%\Documents\GitHub\eaglep3\Utilities\RefineRTDCRunTimes.py" --tripid 166-02 --locoid 4004 --swversion DE.1.0.8.0 --startMP 204:232977 --initTime 2016-11-02T12:38:28 --startdatetime 2016-11-02T12:41:43 --delay 1 --endMP 204:154 --enddatetime 2016-11-02T13:19:30 --enforcementcount 0 &gt;&gt;C:\Users\stu\Documents\GitHub\eaglep3-reporting\EC\2016-11-02-refined-times.txt</v>
      </c>
      <c r="AI7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ID","value":"166-02"},{"id":16,"name":"Locomotive ID","value":"4004"},{"id":130,"name":"Impact","value":""},{"id":150,"name":"Time of Event (Mountain Time)","value":"13:19:30"},{"id":151,"name":"Denver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530</v>
      </c>
      <c r="B79" s="7">
        <v>4009</v>
      </c>
      <c r="C79" s="22" t="s">
        <v>249</v>
      </c>
      <c r="D79" s="22" t="s">
        <v>230</v>
      </c>
      <c r="E79" s="13">
        <v>42676.498078703706</v>
      </c>
      <c r="F79" s="13">
        <v>42676.500231481485</v>
      </c>
      <c r="G79" s="7">
        <v>1</v>
      </c>
      <c r="H79" s="13" t="s">
        <v>317</v>
      </c>
      <c r="I79" s="13">
        <v>42676.525312500002</v>
      </c>
      <c r="J79" s="7">
        <v>0</v>
      </c>
      <c r="K79" s="112" t="str">
        <f t="shared" si="29"/>
        <v>4009/4010</v>
      </c>
      <c r="L79" s="22" t="str">
        <f>VLOOKUP(A79,'Trips&amp;Operators'!$C$1:$E$10000,3,FALSE)</f>
        <v>WHITED</v>
      </c>
      <c r="M79" s="6">
        <f t="shared" si="30"/>
        <v>2.5081018517084885E-2</v>
      </c>
      <c r="N79" s="7">
        <f t="shared" si="27"/>
        <v>36.116666664602235</v>
      </c>
      <c r="O79" s="7"/>
      <c r="P79" s="7"/>
      <c r="Q79" s="23"/>
      <c r="R79" s="23"/>
      <c r="S79" s="35">
        <f t="shared" si="31"/>
        <v>1</v>
      </c>
      <c r="T79" s="50" t="str">
        <f t="shared" si="32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10:57:14-0600',mode:absolute,to:'2016-11-02 13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9" s="52" t="str">
        <f t="shared" si="34"/>
        <v>N</v>
      </c>
      <c r="X79" s="177">
        <f t="shared" si="28"/>
        <v>1</v>
      </c>
      <c r="Y79" s="67">
        <f t="shared" si="35"/>
        <v>4.4900000000000002E-2</v>
      </c>
      <c r="Z79" s="67">
        <f t="shared" si="36"/>
        <v>23.331199999999999</v>
      </c>
      <c r="AA79" s="67">
        <f t="shared" si="37"/>
        <v>23.286300000000001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8"/>
        <v>0167-02</v>
      </c>
      <c r="AE79" s="91" t="str">
        <f t="shared" si="39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79" s="88" t="str">
        <f t="shared" si="40"/>
        <v>"C:\Program Files (x86)\AstroGrep\AstroGrep.exe" /spath="%USERPROFILE%\AppData\Local\Temp\OnboardLogs" /stypes="app*4009*20161102*" /stext=" 18:.+((SYSTEM_STATE.+slice.+state.+changed )|(ment ac)|(system.+state.+changed )|(\[timeout)|(PRM\|1\|D)|(kpr)|(kdp)|(\|lc)|(penalty))" /e /r /s</v>
      </c>
      <c r="AG79" s="1" t="str">
        <f t="shared" si="41"/>
        <v>EC</v>
      </c>
      <c r="AH79" s="92" t="str">
        <f t="shared" si="42"/>
        <v>"%USERPROFILE%\Documents\GitHub\eaglep3\Utilities\RefineRTDCRunTimes.py" --tripid 167-02 --locoid 4009 --swversion DE.1.0.8.0 --startMP 204:449 --initTime 2016-11-02T11:57:14 --startdatetime 2016-11-02T12:00:20 --delay 1 --endMP 204:233312 --enddatetime 2016-11-02T12:36:27 --enforcementcount 0 &gt;&gt;C:\Users\stu\Documents\GitHub\eaglep3-reporting\EC\2016-11-02-refined-times.txt</v>
      </c>
      <c r="AI7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ID","value":"167-02"},{"id":16,"name":"Locomotive ID","value":"4009"},{"id":130,"name":"Impact","value":""},{"id":150,"name":"Time of Event (Mountain Time)","value":"12:36:27"},{"id":151,"name":"Denver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537</v>
      </c>
      <c r="B80" s="7">
        <v>4010</v>
      </c>
      <c r="C80" s="22" t="s">
        <v>249</v>
      </c>
      <c r="D80" s="22" t="s">
        <v>646</v>
      </c>
      <c r="E80" s="13">
        <v>42676.533773148149</v>
      </c>
      <c r="F80" s="13">
        <v>42676.539085648146</v>
      </c>
      <c r="G80" s="7">
        <v>1</v>
      </c>
      <c r="H80" s="13" t="s">
        <v>204</v>
      </c>
      <c r="I80" s="13">
        <v>42676.566979166666</v>
      </c>
      <c r="J80" s="7">
        <v>0</v>
      </c>
      <c r="K80" s="112" t="str">
        <f t="shared" si="29"/>
        <v>4009/4010</v>
      </c>
      <c r="L80" s="22" t="str">
        <f>VLOOKUP(A80,'Trips&amp;Operators'!$C$1:$E$10000,3,FALSE)</f>
        <v>WHITED</v>
      </c>
      <c r="M80" s="6">
        <f t="shared" si="30"/>
        <v>2.789351851970423E-2</v>
      </c>
      <c r="N80" s="7">
        <f t="shared" si="27"/>
        <v>40.166666668374091</v>
      </c>
      <c r="O80" s="7"/>
      <c r="P80" s="7"/>
      <c r="Q80" s="23"/>
      <c r="R80" s="23"/>
      <c r="S80" s="35">
        <f t="shared" si="31"/>
        <v>1</v>
      </c>
      <c r="T80" s="50" t="str">
        <f t="shared" si="32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11:48:38-0600',mode:absolute,to:'2016-11-02 14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0" s="52" t="str">
        <f t="shared" si="34"/>
        <v>N</v>
      </c>
      <c r="X80" s="177">
        <f t="shared" si="28"/>
        <v>1</v>
      </c>
      <c r="Y80" s="67">
        <f t="shared" si="35"/>
        <v>23.2989</v>
      </c>
      <c r="Z80" s="67">
        <f t="shared" si="36"/>
        <v>1.4500000000000001E-2</v>
      </c>
      <c r="AA80" s="67">
        <f t="shared" si="37"/>
        <v>23.284399999999998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8"/>
        <v>0168-02</v>
      </c>
      <c r="AE80" s="91" t="str">
        <f t="shared" si="39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80" s="88" t="str">
        <f t="shared" si="40"/>
        <v>"C:\Program Files (x86)\AstroGrep\AstroGrep.exe" /spath="%USERPROFILE%\AppData\Local\Temp\OnboardLogs" /stypes="app*4010*20161102*" /stext=" 19:.+((SYSTEM_STATE.+slice.+state.+changed )|(ment ac)|(system.+state.+changed )|(\[timeout)|(PRM\|1\|D)|(kpr)|(kdp)|(\|lc)|(penalty))" /e /r /s</v>
      </c>
      <c r="AG80" s="1" t="str">
        <f t="shared" si="41"/>
        <v>EC</v>
      </c>
      <c r="AH80" s="92" t="str">
        <f t="shared" si="42"/>
        <v>"%USERPROFILE%\Documents\GitHub\eaglep3\Utilities\RefineRTDCRunTimes.py" --tripid 168-02 --locoid 4010 --swversion DE.1.0.8.0 --startMP 204:232989 --initTime 2016-11-02T12:48:38 --startdatetime 2016-11-02T12:56:17 --delay 1 --endMP 204:145 --enddatetime 2016-11-02T13:36:27 --enforcementcount 0 &gt;&gt;C:\Users\stu\Documents\GitHub\eaglep3-reporting\EC\2016-11-02-refined-times.txt</v>
      </c>
      <c r="AI8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ID","value":"168-02"},{"id":16,"name":"Locomotive ID","value":"4010"},{"id":130,"name":"Impact","value":""},{"id":150,"name":"Time of Event (Mountain Time)","value":"13:36:27"},{"id":151,"name":"Denver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4053</v>
      </c>
      <c r="C81" s="22" t="s">
        <v>249</v>
      </c>
      <c r="D81" s="22" t="s">
        <v>211</v>
      </c>
      <c r="E81" s="13">
        <v>42676.507511574076</v>
      </c>
      <c r="F81" s="13">
        <v>42676.510671296295</v>
      </c>
      <c r="G81" s="7">
        <v>2</v>
      </c>
      <c r="H81" s="13" t="s">
        <v>353</v>
      </c>
      <c r="I81" s="13">
        <v>42676.53502314815</v>
      </c>
      <c r="J81" s="7">
        <v>0</v>
      </c>
      <c r="K81" s="112" t="str">
        <f t="shared" si="29"/>
        <v>4053/4054</v>
      </c>
      <c r="L81" s="22" t="str">
        <f>VLOOKUP(A81,'Trips&amp;Operators'!$C$1:$E$10000,3,FALSE)</f>
        <v>ROMERO</v>
      </c>
      <c r="M81" s="6">
        <f t="shared" si="30"/>
        <v>2.4351851854589768E-2</v>
      </c>
      <c r="N81" s="7">
        <f t="shared" si="27"/>
        <v>35.066666670609266</v>
      </c>
      <c r="O81" s="7"/>
      <c r="P81" s="7"/>
      <c r="Q81" s="23"/>
      <c r="R81" s="23"/>
      <c r="S81" s="35">
        <f t="shared" si="31"/>
        <v>1</v>
      </c>
      <c r="T81" s="50" t="str">
        <f t="shared" si="32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11:10:49-0600',mode:absolute,to:'2016-11-02 13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1" s="52" t="str">
        <f t="shared" si="34"/>
        <v>N</v>
      </c>
      <c r="X81" s="177">
        <f t="shared" si="28"/>
        <v>1</v>
      </c>
      <c r="Y81" s="67">
        <f t="shared" si="35"/>
        <v>4.6600000000000003E-2</v>
      </c>
      <c r="Z81" s="67">
        <f t="shared" si="36"/>
        <v>23.329899999999999</v>
      </c>
      <c r="AA81" s="67">
        <f t="shared" si="37"/>
        <v>23.283299999999997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8"/>
        <v>0169-02</v>
      </c>
      <c r="AE81" s="91" t="str">
        <f t="shared" si="39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81" s="88" t="str">
        <f t="shared" si="40"/>
        <v>"C:\Program Files (x86)\AstroGrep\AstroGrep.exe" /spath="%USERPROFILE%\AppData\Local\Temp\OnboardLogs" /stypes="app*4053*20161102*" /stext=" 18:.+((SYSTEM_STATE.+slice.+state.+changed )|(ment ac)|(system.+state.+changed )|(\[timeout)|(PRM\|1\|D)|(kpr)|(kdp)|(\|lc)|(penalty))" /e /r /s</v>
      </c>
      <c r="AG81" s="1" t="str">
        <f t="shared" si="41"/>
        <v>EC</v>
      </c>
      <c r="AH81" s="92" t="str">
        <f t="shared" si="42"/>
        <v>"%USERPROFILE%\Documents\GitHub\eaglep3\Utilities\RefineRTDCRunTimes.py" --tripid 169-02 --locoid 4053 --swversion DE.1.0.8.0 --startMP 204:466 --initTime 2016-11-02T12:10:49 --startdatetime 2016-11-02T12:15:22 --delay 2 --endMP 204:233299 --enddatetime 2016-11-02T12:50:26 --enforcementcount 0 &gt;&gt;C:\Users\stu\Documents\GitHub\eaglep3-reporting\EC\2016-11-02-refined-times.txt</v>
      </c>
      <c r="AI8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{"issue":{"subject":"","project_id":79,"tracker_id":40,"status_id":1,"priority_id":2,"assigned_to_id":23,"start_date":"2016-11-02","description":"","custom_fields":[{"id":1,"name":"Subdivision","value":"EC"},{"id":4,"name":"Milepost","value":"23.3299"},{"id":17,"name":"Train ID","value":"169-02"},{"id":16,"name":"Locomotive ID","value":"4053"},{"id":130,"name":"Impact","value":""},{"id":150,"name":"Time of Event (Mountain Time)","value":"12:50:26"},{"id":151,"name":"Denver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539</v>
      </c>
      <c r="B82" s="7">
        <v>4054</v>
      </c>
      <c r="C82" s="22" t="s">
        <v>249</v>
      </c>
      <c r="D82" s="22" t="s">
        <v>269</v>
      </c>
      <c r="E82" s="13">
        <v>42676.537754629629</v>
      </c>
      <c r="F82" s="13">
        <v>42676.54960648148</v>
      </c>
      <c r="G82" s="7">
        <v>1</v>
      </c>
      <c r="H82" s="13" t="s">
        <v>204</v>
      </c>
      <c r="I82" s="13">
        <v>42676.575196759259</v>
      </c>
      <c r="J82" s="7">
        <v>0</v>
      </c>
      <c r="K82" s="112" t="str">
        <f t="shared" si="29"/>
        <v>4053/4054</v>
      </c>
      <c r="L82" s="22" t="str">
        <f>VLOOKUP(A82,'Trips&amp;Operators'!$C$1:$E$10000,3,FALSE)</f>
        <v>ROMERO</v>
      </c>
      <c r="M82" s="6">
        <f t="shared" si="30"/>
        <v>2.5590277778974269E-2</v>
      </c>
      <c r="N82" s="7">
        <f t="shared" si="27"/>
        <v>36.850000001722947</v>
      </c>
      <c r="O82" s="7"/>
      <c r="P82" s="7"/>
      <c r="Q82" s="23"/>
      <c r="R82" s="23"/>
      <c r="S82" s="35">
        <f t="shared" si="31"/>
        <v>1</v>
      </c>
      <c r="T82" s="50" t="str">
        <f t="shared" si="32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11:54:22-0600',mode:absolute,to:'2016-11-02 14:48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2" s="52" t="str">
        <f t="shared" si="34"/>
        <v>N</v>
      </c>
      <c r="X82" s="177">
        <f t="shared" si="28"/>
        <v>1</v>
      </c>
      <c r="Y82" s="67">
        <f t="shared" si="35"/>
        <v>23.297499999999999</v>
      </c>
      <c r="Z82" s="67">
        <f t="shared" si="36"/>
        <v>1.4500000000000001E-2</v>
      </c>
      <c r="AA82" s="67">
        <f t="shared" si="37"/>
        <v>23.282999999999998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8"/>
        <v>0170-02</v>
      </c>
      <c r="AE82" s="91" t="str">
        <f t="shared" si="39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82" s="88" t="str">
        <f t="shared" si="40"/>
        <v>"C:\Program Files (x86)\AstroGrep\AstroGrep.exe" /spath="%USERPROFILE%\AppData\Local\Temp\OnboardLogs" /stypes="app*4054*20161102*" /stext=" 19:.+((SYSTEM_STATE.+slice.+state.+changed )|(ment ac)|(system.+state.+changed )|(\[timeout)|(PRM\|1\|D)|(kpr)|(kdp)|(\|lc)|(penalty))" /e /r /s</v>
      </c>
      <c r="AG82" s="1" t="str">
        <f t="shared" si="41"/>
        <v>EC</v>
      </c>
      <c r="AH82" s="92" t="str">
        <f t="shared" si="42"/>
        <v>"%USERPROFILE%\Documents\GitHub\eaglep3\Utilities\RefineRTDCRunTimes.py" --tripid 170-02 --locoid 4054 --swversion DE.1.0.8.0 --startMP 204:232975 --initTime 2016-11-02T12:54:22 --startdatetime 2016-11-02T13:11:26 --delay 1 --endMP 204:145 --enddatetime 2016-11-02T13:48:17 --enforcementcount 0 &gt;&gt;C:\Users\stu\Documents\GitHub\eaglep3-reporting\EC\2016-11-02-refined-times.txt</v>
      </c>
      <c r="AI8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ID","value":"170-02"},{"id":16,"name":"Locomotive ID","value":"4054"},{"id":130,"name":"Impact","value":""},{"id":150,"name":"Time of Event (Mountain Time)","value":"13:48:17"},{"id":151,"name":"Denver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412</v>
      </c>
      <c r="B83" s="7">
        <v>4014</v>
      </c>
      <c r="C83" s="22" t="s">
        <v>249</v>
      </c>
      <c r="D83" s="22" t="s">
        <v>663</v>
      </c>
      <c r="E83" s="13">
        <v>42676.517916666664</v>
      </c>
      <c r="F83" s="13">
        <v>42676.521215277775</v>
      </c>
      <c r="G83" s="7">
        <v>4</v>
      </c>
      <c r="H83" s="13" t="s">
        <v>212</v>
      </c>
      <c r="I83" s="13">
        <v>42676.547534722224</v>
      </c>
      <c r="J83" s="7">
        <v>0</v>
      </c>
      <c r="K83" s="112" t="str">
        <f t="shared" si="29"/>
        <v>4013/4014</v>
      </c>
      <c r="L83" s="22" t="str">
        <f>VLOOKUP(A83,'Trips&amp;Operators'!$C$1:$E$10000,3,FALSE)</f>
        <v>MACDONALD</v>
      </c>
      <c r="M83" s="6">
        <f t="shared" si="30"/>
        <v>2.6319444448745344E-2</v>
      </c>
      <c r="N83" s="7">
        <f t="shared" si="27"/>
        <v>37.900000006193295</v>
      </c>
      <c r="O83" s="7"/>
      <c r="P83" s="7"/>
      <c r="Q83" s="23"/>
      <c r="R83" s="23"/>
      <c r="S83" s="35">
        <f t="shared" si="31"/>
        <v>1</v>
      </c>
      <c r="T83" s="50" t="str">
        <f t="shared" si="32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11:25:48-0600',mode:absolute,to:'2016-11-02 14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3" s="52" t="str">
        <f t="shared" si="34"/>
        <v>N</v>
      </c>
      <c r="X83" s="177">
        <f t="shared" si="28"/>
        <v>1</v>
      </c>
      <c r="Y83" s="67">
        <f t="shared" si="35"/>
        <v>4.9799999999999997E-2</v>
      </c>
      <c r="Z83" s="67">
        <f t="shared" si="36"/>
        <v>23.329499999999999</v>
      </c>
      <c r="AA83" s="67">
        <f t="shared" si="37"/>
        <v>23.279699999999998</v>
      </c>
      <c r="AB83" s="64" t="str">
        <f>VLOOKUP(A83,Enforcements!$C$7:$K$21,8,0)</f>
        <v>Bulletin (2)</v>
      </c>
      <c r="AC83" s="60" t="str">
        <f>VLOOKUP(A83,Enforcements!$C$7:$E$21,3,0)</f>
        <v>GRADE CROSSING</v>
      </c>
      <c r="AD83" s="61" t="str">
        <f t="shared" si="38"/>
        <v>0171-02</v>
      </c>
      <c r="AE83" s="91" t="str">
        <f t="shared" si="39"/>
        <v>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 &amp; 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</v>
      </c>
      <c r="AF83" s="88" t="str">
        <f t="shared" si="40"/>
        <v>"C:\Program Files (x86)\AstroGrep\AstroGrep.exe" /spath="%USERPROFILE%\AppData\Local\Temp\OnboardLogs" /stypes="app*4014*20161102*" /stext=" 19:.+((SYSTEM_STATE.+slice.+state.+changed )|(ment ac)|(system.+state.+changed )|(\[timeout)|(PRM\|1\|D)|(kpr)|(kdp)|(\|lc)|(penalty))" /e /r /s</v>
      </c>
      <c r="AG83" s="1" t="str">
        <f t="shared" si="41"/>
        <v>EC</v>
      </c>
      <c r="AH83" s="92" t="str">
        <f t="shared" si="42"/>
        <v>"%USERPROFILE%\Documents\GitHub\eaglep3\Utilities\RefineRTDCRunTimes.py" --tripid 171-02 --locoid 4014 --swversion DE.1.0.8.0 --startMP 204:498 --initTime 2016-11-02T12:25:48 --startdatetime 2016-11-02T12:30:33 --delay 4 --endMP 204:233295 --enddatetime 2016-11-02T13:08:27 --enforcementcount 0 &gt;&gt;C:\Users\stu\Documents\GitHub\eaglep3-reporting\EC\2016-11-02-refined-times.txt</v>
      </c>
      <c r="AI8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{"issue":{"subject":"","project_id":79,"tracker_id":40,"status_id":1,"priority_id":2,"assigned_to_id":23,"start_date":"2016-11-02","description":"","custom_fields":[{"id":1,"name":"Subdivision","value":"EC"},{"id":4,"name":"Milepost","value":"23.3295"},{"id":17,"name":"Train ID","value":"171-02"},{"id":16,"name":"Locomotive ID","value":"4014"},{"id":130,"name":"Impact","value":""},{"id":150,"name":"Time of Event (Mountain Time)","value":"13:08:27"},{"id":151,"name":"Denver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541</v>
      </c>
      <c r="B84" s="7">
        <v>4013</v>
      </c>
      <c r="C84" s="22" t="s">
        <v>249</v>
      </c>
      <c r="D84" s="22" t="s">
        <v>252</v>
      </c>
      <c r="E84" s="13">
        <v>42676.556157407409</v>
      </c>
      <c r="F84" s="13">
        <v>42676.560057870367</v>
      </c>
      <c r="G84" s="7">
        <v>3</v>
      </c>
      <c r="H84" s="13" t="s">
        <v>664</v>
      </c>
      <c r="I84" s="13">
        <v>42676.586921296293</v>
      </c>
      <c r="J84" s="7">
        <v>0</v>
      </c>
      <c r="K84" s="112" t="str">
        <f t="shared" si="29"/>
        <v>4013/4014</v>
      </c>
      <c r="L84" s="22" t="str">
        <f>VLOOKUP(A84,'Trips&amp;Operators'!$C$1:$E$10000,3,FALSE)</f>
        <v>MACDONALD</v>
      </c>
      <c r="M84" s="6">
        <f t="shared" si="30"/>
        <v>2.6863425926421769E-2</v>
      </c>
      <c r="N84" s="7">
        <f t="shared" si="27"/>
        <v>38.683333334047347</v>
      </c>
      <c r="O84" s="7"/>
      <c r="P84" s="7"/>
      <c r="Q84" s="23"/>
      <c r="R84" s="23" t="s">
        <v>796</v>
      </c>
      <c r="S84" s="35">
        <f t="shared" si="31"/>
        <v>1</v>
      </c>
      <c r="T84" s="50" t="str">
        <f t="shared" si="32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12:20:52-0600',mode:absolute,to:'2016-11-02 15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4" s="52" t="str">
        <f t="shared" si="34"/>
        <v>Y</v>
      </c>
      <c r="X84" s="177">
        <f t="shared" si="28"/>
        <v>1</v>
      </c>
      <c r="Y84" s="67">
        <f t="shared" si="35"/>
        <v>23.298300000000001</v>
      </c>
      <c r="Z84" s="67">
        <f t="shared" si="36"/>
        <v>0.45479999999999998</v>
      </c>
      <c r="AA84" s="67">
        <f t="shared" si="37"/>
        <v>22.843500000000002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8"/>
        <v>0172-02</v>
      </c>
      <c r="AE84" s="91" t="str">
        <f t="shared" si="39"/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AF84" s="88" t="str">
        <f t="shared" si="40"/>
        <v>"C:\Program Files (x86)\AstroGrep\AstroGrep.exe" /spath="%USERPROFILE%\AppData\Local\Temp\OnboardLogs" /stypes="app*4013*20161102*" /stext=" 20:.+((SYSTEM_STATE.+slice.+state.+changed )|(ment ac)|(system.+state.+changed )|(\[timeout)|(PRM\|1\|D)|(kpr)|(kdp)|(\|lc)|(penalty))" /e /r /s</v>
      </c>
      <c r="AG84" s="1" t="str">
        <f t="shared" si="41"/>
        <v>EC</v>
      </c>
      <c r="AH84" s="92" t="str">
        <f t="shared" si="42"/>
        <v>"%USERPROFILE%\Documents\GitHub\eaglep3\Utilities\RefineRTDCRunTimes.py" --tripid 172-02 --locoid 4013 --swversion DE.1.0.8.0 --startMP 204:232983 --initTime 2016-11-02T13:20:52 --startdatetime 2016-11-02T13:26:29 --delay 3 --endMP 204:4548 --enddatetime 2016-11-02T14:05:10 --enforcementcount 0 &gt;&gt;C:\Users\stu\Documents\GitHub\eaglep3-reporting\EC\2016-11-02-refined-times.txt</v>
      </c>
      <c r="AI84" s="122" t="str">
        <f t="shared" si="43"/>
        <v>echo {"issue":{"subject":"Onboard in-route failure as pulling into DUS","project_id":79,"tracker_id":40,"status_id":1,"priority_id":2,"assigned_to_id":23,"start_date":"2016-11-02","description":"Multiple cpu faults at 14:05:47 Denver time","custom_fields":[{"id":1,"name":"Subdivision","value":"EC"},{"id":4,"name":"Milepost","value":"0.4548"},{"id":17,"name":"Train ID","value":"172-02"},{"id":16,"name":"Locomotive ID","value":"4013"},{"id":130,"name":"Impact","value":"Failed State"},{"id":150,"name":"Time of Event (Mountain Time)","value":"14:05:10"},{"id":151,"name":"Denver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4" s="53" t="s">
        <v>795</v>
      </c>
      <c r="AK84" s="53" t="s">
        <v>128</v>
      </c>
      <c r="AL84" s="53" t="s">
        <v>178</v>
      </c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535</v>
      </c>
      <c r="B85" s="7">
        <v>4002</v>
      </c>
      <c r="C85" s="22" t="s">
        <v>249</v>
      </c>
      <c r="D85" s="22" t="s">
        <v>255</v>
      </c>
      <c r="E85" s="13">
        <v>42676.524641203701</v>
      </c>
      <c r="F85" s="13">
        <v>42676.531585648147</v>
      </c>
      <c r="G85" s="7">
        <v>3</v>
      </c>
      <c r="H85" s="13" t="s">
        <v>263</v>
      </c>
      <c r="I85" s="13">
        <v>42676.556180555555</v>
      </c>
      <c r="J85" s="7">
        <v>0</v>
      </c>
      <c r="K85" s="112" t="str">
        <f t="shared" si="29"/>
        <v>4001/4002</v>
      </c>
      <c r="L85" s="22" t="str">
        <f>VLOOKUP(A85,'Trips&amp;Operators'!$C$1:$E$10000,3,FALSE)</f>
        <v>SAFIEF</v>
      </c>
      <c r="M85" s="6">
        <f t="shared" si="30"/>
        <v>2.4594907408754807E-2</v>
      </c>
      <c r="N85" s="7">
        <f t="shared" si="27"/>
        <v>35.416666668606922</v>
      </c>
      <c r="O85" s="7"/>
      <c r="P85" s="7"/>
      <c r="Q85" s="23"/>
      <c r="R85" s="23"/>
      <c r="S85" s="35">
        <f t="shared" si="31"/>
        <v>1</v>
      </c>
      <c r="T85" s="50" t="str">
        <f t="shared" si="32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11:35:29-0600',mode:absolute,to:'2016-11-02 14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5" s="52" t="str">
        <f t="shared" si="34"/>
        <v>N</v>
      </c>
      <c r="X85" s="177">
        <f t="shared" si="28"/>
        <v>1</v>
      </c>
      <c r="Y85" s="67">
        <f t="shared" si="35"/>
        <v>4.58E-2</v>
      </c>
      <c r="Z85" s="67">
        <f t="shared" si="36"/>
        <v>23.327999999999999</v>
      </c>
      <c r="AA85" s="67">
        <f t="shared" si="37"/>
        <v>23.2822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8"/>
        <v>0173-02</v>
      </c>
      <c r="AE85" s="91" t="str">
        <f t="shared" si="39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85" s="88" t="str">
        <f t="shared" si="40"/>
        <v>"C:\Program Files (x86)\AstroGrep\AstroGrep.exe" /spath="%USERPROFILE%\AppData\Local\Temp\OnboardLogs" /stypes="app*4002*20161102*" /stext=" 19:.+((SYSTEM_STATE.+slice.+state.+changed )|(ment ac)|(system.+state.+changed )|(\[timeout)|(PRM\|1\|D)|(kpr)|(kdp)|(\|lc)|(penalty))" /e /r /s</v>
      </c>
      <c r="AG85" s="1" t="str">
        <f t="shared" si="41"/>
        <v>EC</v>
      </c>
      <c r="AH85" s="92" t="str">
        <f t="shared" si="42"/>
        <v>"%USERPROFILE%\Documents\GitHub\eaglep3\Utilities\RefineRTDCRunTimes.py" --tripid 173-02 --locoid 4002 --swversion DE.1.0.8.0 --startMP 204:458 --initTime 2016-11-02T12:35:29 --startdatetime 2016-11-02T12:45:29 --delay 3 --endMP 204:233280 --enddatetime 2016-11-02T13:20:54 --enforcementcount 0 &gt;&gt;C:\Users\stu\Documents\GitHub\eaglep3-reporting\EC\2016-11-02-refined-times.txt</v>
      </c>
      <c r="AI8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{"issue":{"subject":"","project_id":79,"tracker_id":40,"status_id":1,"priority_id":2,"assigned_to_id":23,"start_date":"2016-11-02","description":"","custom_fields":[{"id":1,"name":"Subdivision","value":"EC"},{"id":4,"name":"Milepost","value":"23.328"},{"id":17,"name":"Train ID","value":"173-02"},{"id":16,"name":"Locomotive ID","value":"4002"},{"id":130,"name":"Impact","value":""},{"id":150,"name":"Time of Event (Mountain Time)","value":"13:20:54"},{"id":151,"name":"Denver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542</v>
      </c>
      <c r="B86" s="7">
        <v>4001</v>
      </c>
      <c r="C86" s="22" t="s">
        <v>249</v>
      </c>
      <c r="D86" s="22" t="s">
        <v>311</v>
      </c>
      <c r="E86" s="13">
        <v>42676.562581018516</v>
      </c>
      <c r="F86" s="13">
        <v>42676.570405092592</v>
      </c>
      <c r="G86" s="7">
        <v>1</v>
      </c>
      <c r="H86" s="13" t="s">
        <v>665</v>
      </c>
      <c r="I86" s="13">
        <v>42676.59778935185</v>
      </c>
      <c r="J86" s="7">
        <v>0</v>
      </c>
      <c r="K86" s="112" t="str">
        <f t="shared" si="29"/>
        <v>4001/4002</v>
      </c>
      <c r="L86" s="22" t="str">
        <f>VLOOKUP(A86,'Trips&amp;Operators'!$C$1:$E$10000,3,FALSE)</f>
        <v>SAFIEF</v>
      </c>
      <c r="M86" s="6">
        <f t="shared" si="30"/>
        <v>2.7384259257814847E-2</v>
      </c>
      <c r="N86" s="7">
        <f t="shared" si="27"/>
        <v>39.43333333125338</v>
      </c>
      <c r="O86" s="7"/>
      <c r="P86" s="7"/>
      <c r="Q86" s="23"/>
      <c r="R86" s="23"/>
      <c r="S86" s="35">
        <f t="shared" si="31"/>
        <v>1</v>
      </c>
      <c r="T86" s="50" t="str">
        <f t="shared" si="32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12:30:07-0600',mode:absolute,to:'2016-11-02 15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6" s="52" t="str">
        <f t="shared" si="34"/>
        <v>N</v>
      </c>
      <c r="X86" s="177">
        <f t="shared" si="28"/>
        <v>1</v>
      </c>
      <c r="Y86" s="67">
        <f t="shared" si="35"/>
        <v>23.295300000000001</v>
      </c>
      <c r="Z86" s="67">
        <f t="shared" si="36"/>
        <v>4.7699999999999999E-2</v>
      </c>
      <c r="AA86" s="67">
        <f t="shared" si="37"/>
        <v>23.247600000000002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8"/>
        <v>0174-02</v>
      </c>
      <c r="AE86" s="91" t="str">
        <f t="shared" si="39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86" s="88" t="str">
        <f t="shared" si="40"/>
        <v>"C:\Program Files (x86)\AstroGrep\AstroGrep.exe" /spath="%USERPROFILE%\AppData\Local\Temp\OnboardLogs" /stypes="app*4001*20161102*" /stext=" 20:.+((SYSTEM_STATE.+slice.+state.+changed )|(ment ac)|(system.+state.+changed )|(\[timeout)|(PRM\|1\|D)|(kpr)|(kdp)|(\|lc)|(penalty))" /e /r /s</v>
      </c>
      <c r="AG86" s="1" t="str">
        <f t="shared" si="41"/>
        <v>EC</v>
      </c>
      <c r="AH86" s="92" t="str">
        <f t="shared" si="42"/>
        <v>"%USERPROFILE%\Documents\GitHub\eaglep3\Utilities\RefineRTDCRunTimes.py" --tripid 174-02 --locoid 4001 --swversion DE.1.0.8.0 --startMP 204:232953 --initTime 2016-11-02T13:30:07 --startdatetime 2016-11-02T13:41:23 --delay 1 --endMP 204:477 --enddatetime 2016-11-02T14:20:49 --enforcementcount 0 &gt;&gt;C:\Users\stu\Documents\GitHub\eaglep3-reporting\EC\2016-11-02-refined-times.txt</v>
      </c>
      <c r="AI8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{"issue":{"subject":"","project_id":79,"tracker_id":40,"status_id":1,"priority_id":2,"assigned_to_id":23,"start_date":"2016-11-02","description":"","custom_fields":[{"id":1,"name":"Subdivision","value":"EC"},{"id":4,"name":"Milepost","value":"0.0477"},{"id":17,"name":"Train ID","value":"174-02"},{"id":16,"name":"Locomotive ID","value":"4001"},{"id":130,"name":"Impact","value":""},{"id":150,"name":"Time of Event (Mountain Time)","value":"14:20:49"},{"id":151,"name":"Denver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538</v>
      </c>
      <c r="B87" s="7">
        <v>4038</v>
      </c>
      <c r="C87" s="22" t="s">
        <v>249</v>
      </c>
      <c r="D87" s="22" t="s">
        <v>265</v>
      </c>
      <c r="E87" s="13">
        <v>42676.534710648149</v>
      </c>
      <c r="F87" s="13">
        <v>42676.54210648148</v>
      </c>
      <c r="G87" s="7">
        <v>1</v>
      </c>
      <c r="H87" s="13" t="s">
        <v>358</v>
      </c>
      <c r="I87" s="13">
        <v>42676.567361111112</v>
      </c>
      <c r="J87" s="7">
        <v>0</v>
      </c>
      <c r="K87" s="112" t="str">
        <f t="shared" si="29"/>
        <v>4037/4038</v>
      </c>
      <c r="L87" s="22" t="str">
        <f>VLOOKUP(A87,'Trips&amp;Operators'!$C$1:$E$10000,3,FALSE)</f>
        <v>HOLCOMB</v>
      </c>
      <c r="M87" s="6">
        <f t="shared" si="30"/>
        <v>2.5254629632399883E-2</v>
      </c>
      <c r="N87" s="7">
        <f t="shared" si="27"/>
        <v>36.366666670655832</v>
      </c>
      <c r="O87" s="7"/>
      <c r="P87" s="7"/>
      <c r="Q87" s="23"/>
      <c r="R87" s="23"/>
      <c r="S87" s="35">
        <f t="shared" si="31"/>
        <v>1</v>
      </c>
      <c r="T87" s="50" t="str">
        <f t="shared" si="32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11:49:59-0600',mode:absolute,to:'2016-11-02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34"/>
        <v>N</v>
      </c>
      <c r="X87" s="177">
        <f t="shared" si="28"/>
        <v>1</v>
      </c>
      <c r="Y87" s="67">
        <f t="shared" si="35"/>
        <v>4.3799999999999999E-2</v>
      </c>
      <c r="Z87" s="67">
        <f t="shared" si="36"/>
        <v>23.331700000000001</v>
      </c>
      <c r="AA87" s="67">
        <f t="shared" si="37"/>
        <v>23.2879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8"/>
        <v>0175-02</v>
      </c>
      <c r="AE87" s="91" t="str">
        <f t="shared" si="39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87" s="88" t="str">
        <f t="shared" si="40"/>
        <v>"C:\Program Files (x86)\AstroGrep\AstroGrep.exe" /spath="%USERPROFILE%\AppData\Local\Temp\OnboardLogs" /stypes="app*4038*20161102*" /stext=" 19:.+((SYSTEM_STATE.+slice.+state.+changed )|(ment ac)|(system.+state.+changed )|(\[timeout)|(PRM\|1\|D)|(kpr)|(kdp)|(\|lc)|(penalty))" /e /r /s</v>
      </c>
      <c r="AG87" s="1" t="str">
        <f t="shared" si="41"/>
        <v>EC</v>
      </c>
      <c r="AH87" s="92" t="str">
        <f t="shared" si="42"/>
        <v>"%USERPROFILE%\Documents\GitHub\eaglep3\Utilities\RefineRTDCRunTimes.py" --tripid 175-02 --locoid 4038 --swversion DE.1.0.8.0 --startMP 204:438 --initTime 2016-11-02T12:49:59 --startdatetime 2016-11-02T13:00:38 --delay 1 --endMP 204:233317 --enddatetime 2016-11-02T13:37:00 --enforcementcount 0 &gt;&gt;C:\Users\stu\Documents\GitHub\eaglep3-reporting\EC\2016-11-02-refined-times.txt</v>
      </c>
      <c r="AI87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{"issue":{"subject":"","project_id":79,"tracker_id":40,"status_id":1,"priority_id":2,"assigned_to_id":23,"start_date":"2016-11-02","description":"","custom_fields":[{"id":1,"name":"Subdivision","value":"EC"},{"id":4,"name":"Milepost","value":"23.3317"},{"id":17,"name":"Train ID","value":"175-02"},{"id":16,"name":"Locomotive ID","value":"4038"},{"id":130,"name":"Impact","value":""},{"id":150,"name":"Time of Event (Mountain Time)","value":"13:37:00"},{"id":151,"name":"Denver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545</v>
      </c>
      <c r="B88" s="7">
        <v>4037</v>
      </c>
      <c r="C88" s="22" t="s">
        <v>249</v>
      </c>
      <c r="D88" s="22" t="s">
        <v>651</v>
      </c>
      <c r="E88" s="13">
        <v>42676.576215277775</v>
      </c>
      <c r="F88" s="13">
        <v>42676.580925925926</v>
      </c>
      <c r="G88" s="7">
        <v>1</v>
      </c>
      <c r="H88" s="13" t="s">
        <v>204</v>
      </c>
      <c r="I88" s="13">
        <v>42676.607881944445</v>
      </c>
      <c r="J88" s="7">
        <v>0</v>
      </c>
      <c r="K88" s="112" t="str">
        <f t="shared" si="29"/>
        <v>4037/4038</v>
      </c>
      <c r="L88" s="22" t="str">
        <f>VLOOKUP(A88,'Trips&amp;Operators'!$C$1:$E$10000,3,FALSE)</f>
        <v>HOLCOMB</v>
      </c>
      <c r="M88" s="6">
        <f t="shared" si="30"/>
        <v>2.6956018518831115E-2</v>
      </c>
      <c r="N88" s="7">
        <f t="shared" si="27"/>
        <v>38.816666667116806</v>
      </c>
      <c r="O88" s="7"/>
      <c r="P88" s="7"/>
      <c r="Q88" s="23"/>
      <c r="R88" s="23"/>
      <c r="S88" s="35">
        <f t="shared" si="31"/>
        <v>1</v>
      </c>
      <c r="T88" s="50" t="str">
        <f t="shared" si="32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12:49:45-0600',mode:absolute,to:'2016-11-02 15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2" t="str">
        <f t="shared" si="34"/>
        <v>N</v>
      </c>
      <c r="X88" s="177">
        <f t="shared" si="28"/>
        <v>1</v>
      </c>
      <c r="Y88" s="67">
        <f t="shared" si="35"/>
        <v>23.299399999999999</v>
      </c>
      <c r="Z88" s="67">
        <f t="shared" si="36"/>
        <v>1.4500000000000001E-2</v>
      </c>
      <c r="AA88" s="67">
        <f t="shared" si="37"/>
        <v>23.284899999999997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8"/>
        <v>0176-02</v>
      </c>
      <c r="AE88" s="91" t="str">
        <f t="shared" si="39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88" s="88" t="str">
        <f t="shared" si="40"/>
        <v>"C:\Program Files (x86)\AstroGrep\AstroGrep.exe" /spath="%USERPROFILE%\AppData\Local\Temp\OnboardLogs" /stypes="app*4037*20161102*" /stext=" 20:.+((SYSTEM_STATE.+slice.+state.+changed )|(ment ac)|(system.+state.+changed )|(\[timeout)|(PRM\|1\|D)|(kpr)|(kdp)|(\|lc)|(penalty))" /e /r /s</v>
      </c>
      <c r="AG88" s="1" t="str">
        <f t="shared" si="41"/>
        <v>EC</v>
      </c>
      <c r="AH88" s="92" t="str">
        <f t="shared" si="42"/>
        <v>"%USERPROFILE%\Documents\GitHub\eaglep3\Utilities\RefineRTDCRunTimes.py" --tripid 176-02 --locoid 4037 --swversion DE.1.0.8.0 --startMP 204:232994 --initTime 2016-11-02T13:49:45 --startdatetime 2016-11-02T13:56:32 --delay 1 --endMP 204:145 --enddatetime 2016-11-02T14:35:21 --enforcementcount 0 &gt;&gt;C:\Users\stu\Documents\GitHub\eaglep3-reporting\EC\2016-11-02-refined-times.txt</v>
      </c>
      <c r="AI8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ID","value":"176-02"},{"id":16,"name":"Locomotive ID","value":"4037"},{"id":130,"name":"Impact","value":""},{"id":150,"name":"Time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540</v>
      </c>
      <c r="B89" s="7">
        <v>4007</v>
      </c>
      <c r="C89" s="22" t="s">
        <v>249</v>
      </c>
      <c r="D89" s="22" t="s">
        <v>209</v>
      </c>
      <c r="E89" s="13">
        <v>42676.549861111111</v>
      </c>
      <c r="F89" s="13">
        <v>42676.553391203706</v>
      </c>
      <c r="G89" s="7">
        <v>1</v>
      </c>
      <c r="H89" s="13" t="s">
        <v>191</v>
      </c>
      <c r="I89" s="13">
        <v>42676.578020833331</v>
      </c>
      <c r="J89" s="7">
        <v>0</v>
      </c>
      <c r="K89" s="112" t="str">
        <f t="shared" si="29"/>
        <v>4007/4008</v>
      </c>
      <c r="L89" s="22" t="str">
        <f>VLOOKUP(A89,'Trips&amp;Operators'!$C$1:$E$10000,3,FALSE)</f>
        <v>HELVIE</v>
      </c>
      <c r="M89" s="6">
        <f t="shared" si="30"/>
        <v>2.4629629624541849E-2</v>
      </c>
      <c r="N89" s="7">
        <f t="shared" si="27"/>
        <v>35.466666659340262</v>
      </c>
      <c r="O89" s="7"/>
      <c r="P89" s="7"/>
      <c r="Q89" s="23"/>
      <c r="R89" s="23"/>
      <c r="S89" s="35">
        <f t="shared" si="31"/>
        <v>1</v>
      </c>
      <c r="T89" s="50" t="str">
        <f t="shared" si="32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12:11:48-0600',mode:absolute,to:'2016-11-02 14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9" s="52" t="str">
        <f t="shared" si="34"/>
        <v>N</v>
      </c>
      <c r="X89" s="177">
        <f t="shared" si="28"/>
        <v>1</v>
      </c>
      <c r="Y89" s="67">
        <f t="shared" si="35"/>
        <v>4.53E-2</v>
      </c>
      <c r="Z89" s="67">
        <f t="shared" si="36"/>
        <v>23.329699999999999</v>
      </c>
      <c r="AA89" s="67">
        <f t="shared" si="37"/>
        <v>23.284399999999998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8"/>
        <v>0177-02</v>
      </c>
      <c r="AE89" s="91" t="str">
        <f t="shared" si="39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89" s="88" t="str">
        <f t="shared" si="40"/>
        <v>"C:\Program Files (x86)\AstroGrep\AstroGrep.exe" /spath="%USERPROFILE%\AppData\Local\Temp\OnboardLogs" /stypes="app*4007*20161102*" /stext=" 19:.+((SYSTEM_STATE.+slice.+state.+changed )|(ment ac)|(system.+state.+changed )|(\[timeout)|(PRM\|1\|D)|(kpr)|(kdp)|(\|lc)|(penalty))" /e /r /s</v>
      </c>
      <c r="AG89" s="1" t="str">
        <f t="shared" si="41"/>
        <v>EC</v>
      </c>
      <c r="AH89" s="92" t="str">
        <f t="shared" si="42"/>
        <v>"%USERPROFILE%\Documents\GitHub\eaglep3\Utilities\RefineRTDCRunTimes.py" --tripid 177-02 --locoid 4007 --swversion DE.1.0.8.0 --startMP 204:453 --initTime 2016-11-02T13:11:48 --startdatetime 2016-11-02T13:16:53 --delay 1 --endMP 204:233297 --enddatetime 2016-11-02T13:52:21 --enforcementcount 0 &gt;&gt;C:\Users\stu\Documents\GitHub\eaglep3-reporting\EC\2016-11-02-refined-times.txt</v>
      </c>
      <c r="AI8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{"issue":{"subject":"","project_id":79,"tracker_id":40,"status_id":1,"priority_id":2,"assigned_to_id":23,"start_date":"2016-11-02","description":"","custom_fields":[{"id":1,"name":"Subdivision","value":"EC"},{"id":4,"name":"Milepost","value":"23.3297"},{"id":17,"name":"Train ID","value":"177-02"},{"id":16,"name":"Locomotive ID","value":"4007"},{"id":130,"name":"Impact","value":""},{"id":150,"name":"Time of Event (Mountain Time)","value":"13:52:21"},{"id":151,"name":"Denver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547</v>
      </c>
      <c r="B90" s="7">
        <v>4008</v>
      </c>
      <c r="C90" s="22" t="s">
        <v>249</v>
      </c>
      <c r="D90" s="22" t="s">
        <v>269</v>
      </c>
      <c r="E90" s="13">
        <v>42676.585810185185</v>
      </c>
      <c r="F90" s="13">
        <v>42676.591261574074</v>
      </c>
      <c r="G90" s="7">
        <v>2</v>
      </c>
      <c r="H90" s="13" t="s">
        <v>181</v>
      </c>
      <c r="I90" s="13">
        <v>42676.617048611108</v>
      </c>
      <c r="J90" s="7">
        <v>0</v>
      </c>
      <c r="K90" s="112" t="str">
        <f t="shared" si="29"/>
        <v>4007/4008</v>
      </c>
      <c r="L90" s="22" t="str">
        <f>VLOOKUP(A90,'Trips&amp;Operators'!$C$1:$E$10000,3,FALSE)</f>
        <v>LOZA</v>
      </c>
      <c r="M90" s="6">
        <f t="shared" si="30"/>
        <v>2.5787037033296656E-2</v>
      </c>
      <c r="N90" s="7">
        <f t="shared" si="27"/>
        <v>37.133333327947184</v>
      </c>
      <c r="O90" s="7"/>
      <c r="P90" s="7"/>
      <c r="Q90" s="23"/>
      <c r="R90" s="23"/>
      <c r="S90" s="35">
        <f t="shared" si="31"/>
        <v>1</v>
      </c>
      <c r="T90" s="50" t="str">
        <f t="shared" si="32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13:03:34-0600',mode:absolute,to:'2016-11-02 15:48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0" s="52" t="str">
        <f t="shared" si="34"/>
        <v>N</v>
      </c>
      <c r="X90" s="177">
        <f t="shared" si="28"/>
        <v>1</v>
      </c>
      <c r="Y90" s="67">
        <f t="shared" si="35"/>
        <v>23.297499999999999</v>
      </c>
      <c r="Z90" s="67">
        <f t="shared" si="36"/>
        <v>1.41E-2</v>
      </c>
      <c r="AA90" s="67">
        <f t="shared" si="37"/>
        <v>23.2834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8"/>
        <v>0178-02</v>
      </c>
      <c r="AE90" s="91" t="str">
        <f t="shared" si="39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90" s="88" t="str">
        <f t="shared" si="40"/>
        <v>"C:\Program Files (x86)\AstroGrep\AstroGrep.exe" /spath="%USERPROFILE%\AppData\Local\Temp\OnboardLogs" /stypes="app*4008*20161102*" /stext=" 20:.+((SYSTEM_STATE.+slice.+state.+changed )|(ment ac)|(system.+state.+changed )|(\[timeout)|(PRM\|1\|D)|(kpr)|(kdp)|(\|lc)|(penalty))" /e /r /s</v>
      </c>
      <c r="AG90" s="1" t="str">
        <f t="shared" si="41"/>
        <v>EC</v>
      </c>
      <c r="AH90" s="92" t="str">
        <f t="shared" si="42"/>
        <v>"%USERPROFILE%\Documents\GitHub\eaglep3\Utilities\RefineRTDCRunTimes.py" --tripid 178-02 --locoid 4008 --swversion DE.1.0.8.0 --startMP 204:232975 --initTime 2016-11-02T14:03:34 --startdatetime 2016-11-02T14:11:25 --delay 2 --endMP 204:141 --enddatetime 2016-11-02T14:48:33 --enforcementcount 0 &gt;&gt;C:\Users\stu\Documents\GitHub\eaglep3-reporting\EC\2016-11-02-refined-times.txt</v>
      </c>
      <c r="AI9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{"issue":{"subject":"","project_id":79,"tracker_id":40,"status_id":1,"priority_id":2,"assigned_to_id":23,"start_date":"2016-11-02","description":"","custom_fields":[{"id":1,"name":"Subdivision","value":"EC"},{"id":4,"name":"Milepost","value":"0.0141"},{"id":17,"name":"Train ID","value":"178-02"},{"id":16,"name":"Locomotive ID","value":"4008"},{"id":130,"name":"Impact","value":""},{"id":150,"name":"Time of Event (Mountain Time)","value":"14:48:33"},{"id":151,"name":"Denver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416</v>
      </c>
      <c r="B91" s="7">
        <v>4003</v>
      </c>
      <c r="C91" s="22" t="s">
        <v>249</v>
      </c>
      <c r="D91" s="22" t="s">
        <v>232</v>
      </c>
      <c r="E91" s="13">
        <v>42676.56040509259</v>
      </c>
      <c r="F91" s="13">
        <v>42676.563113425924</v>
      </c>
      <c r="G91" s="7">
        <v>1</v>
      </c>
      <c r="H91" s="13" t="s">
        <v>310</v>
      </c>
      <c r="I91" s="13">
        <v>42676.588750000003</v>
      </c>
      <c r="J91" s="7">
        <v>0</v>
      </c>
      <c r="K91" s="112" t="str">
        <f t="shared" si="29"/>
        <v>4003/4004</v>
      </c>
      <c r="L91" s="22" t="str">
        <f>VLOOKUP(A91,'Trips&amp;Operators'!$C$1:$E$10000,3,FALSE)</f>
        <v>ADANE</v>
      </c>
      <c r="M91" s="6">
        <f t="shared" si="30"/>
        <v>2.5636574078816921E-2</v>
      </c>
      <c r="N91" s="7">
        <f t="shared" si="27"/>
        <v>36.916666673496366</v>
      </c>
      <c r="O91" s="7"/>
      <c r="P91" s="7"/>
      <c r="Q91" s="23"/>
      <c r="R91" s="23"/>
      <c r="S91" s="35">
        <f t="shared" si="31"/>
        <v>1</v>
      </c>
      <c r="T91" s="50" t="str">
        <f t="shared" si="32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12:26:59-0600',mode:absolute,to:'2016-11-02 15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1" s="52" t="str">
        <f t="shared" si="34"/>
        <v>N</v>
      </c>
      <c r="X91" s="177">
        <f t="shared" si="28"/>
        <v>1</v>
      </c>
      <c r="Y91" s="67">
        <f t="shared" si="35"/>
        <v>4.6199999999999998E-2</v>
      </c>
      <c r="Z91" s="67">
        <f t="shared" si="36"/>
        <v>23.330200000000001</v>
      </c>
      <c r="AA91" s="67">
        <f t="shared" si="37"/>
        <v>23.284000000000002</v>
      </c>
      <c r="AB91" s="64" t="str">
        <f>VLOOKUP(A91,Enforcements!$C$7:$K$21,8,0)</f>
        <v>Bulletin (2)</v>
      </c>
      <c r="AC91" s="60" t="str">
        <f>VLOOKUP(A91,Enforcements!$C$7:$E$21,3,0)</f>
        <v>GRADE CROSSING</v>
      </c>
      <c r="AD91" s="61" t="str">
        <f t="shared" si="38"/>
        <v>0179-02</v>
      </c>
      <c r="AE91" s="91" t="str">
        <f t="shared" si="39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91" s="88" t="str">
        <f t="shared" si="40"/>
        <v>"C:\Program Files (x86)\AstroGrep\AstroGrep.exe" /spath="%USERPROFILE%\AppData\Local\Temp\OnboardLogs" /stypes="app*4003*20161102*" /stext=" 20:.+((SYSTEM_STATE.+slice.+state.+changed )|(ment ac)|(system.+state.+changed )|(\[timeout)|(PRM\|1\|D)|(kpr)|(kdp)|(\|lc)|(penalty))" /e /r /s</v>
      </c>
      <c r="AG91" s="1" t="str">
        <f t="shared" si="41"/>
        <v>EC</v>
      </c>
      <c r="AH91" s="92" t="str">
        <f t="shared" si="42"/>
        <v>"%USERPROFILE%\Documents\GitHub\eaglep3\Utilities\RefineRTDCRunTimes.py" --tripid 179-02 --locoid 4003 --swversion DE.1.0.8.0 --startMP 204:462 --initTime 2016-11-02T13:26:59 --startdatetime 2016-11-02T13:30:53 --delay 1 --endMP 204:233302 --enddatetime 2016-11-02T14:07:48 --enforcementcount 0 &gt;&gt;C:\Users\stu\Documents\GitHub\eaglep3-reporting\EC\2016-11-02-refined-times.txt</v>
      </c>
      <c r="AI9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{"issue":{"subject":"","project_id":79,"tracker_id":40,"status_id":1,"priority_id":2,"assigned_to_id":23,"start_date":"2016-11-02","description":"","custom_fields":[{"id":1,"name":"Subdivision","value":"EC"},{"id":4,"name":"Milepost","value":"23.3302"},{"id":17,"name":"Train ID","value":"179-02"},{"id":16,"name":"Locomotive ID","value":"4003"},{"id":130,"name":"Impact","value":""},{"id":150,"name":"Time of Event (Mountain Time)","value":"14:07:48"},{"id":151,"name":"Denver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417</v>
      </c>
      <c r="B92" s="7">
        <v>4004</v>
      </c>
      <c r="C92" s="22" t="s">
        <v>249</v>
      </c>
      <c r="D92" s="22" t="s">
        <v>646</v>
      </c>
      <c r="E92" s="13">
        <v>42676.599039351851</v>
      </c>
      <c r="F92" s="13">
        <v>42676.601724537039</v>
      </c>
      <c r="G92" s="7">
        <v>1</v>
      </c>
      <c r="H92" s="13" t="s">
        <v>205</v>
      </c>
      <c r="I92" s="13">
        <v>42676.633634259262</v>
      </c>
      <c r="J92" s="7">
        <v>0</v>
      </c>
      <c r="K92" s="112" t="str">
        <f t="shared" si="29"/>
        <v>4003/4004</v>
      </c>
      <c r="L92" s="22" t="str">
        <f>VLOOKUP(A92,'Trips&amp;Operators'!$C$1:$E$10000,3,FALSE)</f>
        <v>ADANE</v>
      </c>
      <c r="M92" s="6">
        <f t="shared" si="30"/>
        <v>3.1909722223645076E-2</v>
      </c>
      <c r="N92" s="7">
        <f t="shared" si="27"/>
        <v>45.95000000204891</v>
      </c>
      <c r="O92" s="7"/>
      <c r="P92" s="7"/>
      <c r="Q92" s="23"/>
      <c r="R92" s="23"/>
      <c r="S92" s="35">
        <f t="shared" si="31"/>
        <v>1</v>
      </c>
      <c r="T92" s="50" t="str">
        <f t="shared" si="32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13:22:37-0600',mode:absolute,to:'2016-11-02 16:12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2" s="52" t="str">
        <f t="shared" si="34"/>
        <v>N</v>
      </c>
      <c r="X92" s="177">
        <f t="shared" si="28"/>
        <v>1</v>
      </c>
      <c r="Y92" s="67">
        <f t="shared" si="35"/>
        <v>23.2989</v>
      </c>
      <c r="Z92" s="67">
        <f t="shared" si="36"/>
        <v>1.49E-2</v>
      </c>
      <c r="AA92" s="67">
        <f t="shared" si="37"/>
        <v>23.283999999999999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8"/>
        <v>0180-02</v>
      </c>
      <c r="AE92" s="91" t="str">
        <f t="shared" si="39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92" s="88" t="str">
        <f t="shared" si="40"/>
        <v>"C:\Program Files (x86)\AstroGrep\AstroGrep.exe" /spath="%USERPROFILE%\AppData\Local\Temp\OnboardLogs" /stypes="app*4004*20161102*" /stext=" 21:.+((SYSTEM_STATE.+slice.+state.+changed )|(ment ac)|(system.+state.+changed )|(\[timeout)|(PRM\|1\|D)|(kpr)|(kdp)|(\|lc)|(penalty))" /e /r /s</v>
      </c>
      <c r="AG92" s="1" t="str">
        <f t="shared" si="41"/>
        <v>EC</v>
      </c>
      <c r="AH92" s="92" t="str">
        <f t="shared" si="42"/>
        <v>"%USERPROFILE%\Documents\GitHub\eaglep3\Utilities\RefineRTDCRunTimes.py" --tripid 180-02 --locoid 4004 --swversion DE.1.0.8.0 --startMP 204:232989 --initTime 2016-11-02T14:22:37 --startdatetime 2016-11-02T14:26:29 --delay 1 --endMP 204:149 --enddatetime 2016-11-02T15:12:26 --enforcementcount 0 &gt;&gt;C:\Users\stu\Documents\GitHub\eaglep3-reporting\EC\2016-11-02-refined-times.txt</v>
      </c>
      <c r="AI9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{"issue":{"subject":"","project_id":79,"tracker_id":40,"status_id":1,"priority_id":2,"assigned_to_id":23,"start_date":"2016-11-02","description":"","custom_fields":[{"id":1,"name":"Subdivision","value":"EC"},{"id":4,"name":"Milepost","value":"0.0149"},{"id":17,"name":"Train ID","value":"180-02"},{"id":16,"name":"Locomotive ID","value":"4004"},{"id":130,"name":"Impact","value":""},{"id":150,"name":"Time of Event (Mountain Time)","value":"15:12:26"},{"id":151,"name":"Denver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544</v>
      </c>
      <c r="B93" s="7">
        <v>4009</v>
      </c>
      <c r="C93" s="22" t="s">
        <v>249</v>
      </c>
      <c r="D93" s="22" t="s">
        <v>361</v>
      </c>
      <c r="E93" s="13">
        <v>42676.570949074077</v>
      </c>
      <c r="F93" s="13">
        <v>42676.573287037034</v>
      </c>
      <c r="G93" s="7">
        <v>1</v>
      </c>
      <c r="H93" s="13" t="s">
        <v>266</v>
      </c>
      <c r="I93" s="13">
        <v>42676.597615740742</v>
      </c>
      <c r="J93" s="7">
        <v>0</v>
      </c>
      <c r="K93" s="112" t="str">
        <f t="shared" si="29"/>
        <v>4009/4010</v>
      </c>
      <c r="L93" s="22" t="str">
        <f>VLOOKUP(A93,'Trips&amp;Operators'!$C$1:$E$10000,3,FALSE)</f>
        <v>WHITED</v>
      </c>
      <c r="M93" s="6">
        <f t="shared" si="30"/>
        <v>2.4328703708306421E-2</v>
      </c>
      <c r="N93" s="7">
        <f t="shared" si="27"/>
        <v>35.033333339961246</v>
      </c>
      <c r="O93" s="7"/>
      <c r="P93" s="7"/>
      <c r="Q93" s="23"/>
      <c r="R93" s="23"/>
      <c r="S93" s="35">
        <f t="shared" si="31"/>
        <v>1</v>
      </c>
      <c r="T93" s="50" t="str">
        <f t="shared" si="32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12:42:10-0600',mode:absolute,to:'2016-11-02 15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3" s="52" t="str">
        <f t="shared" si="34"/>
        <v>N</v>
      </c>
      <c r="X93" s="177">
        <f t="shared" si="28"/>
        <v>1</v>
      </c>
      <c r="Y93" s="67">
        <f t="shared" si="35"/>
        <v>4.6899999999999997E-2</v>
      </c>
      <c r="Z93" s="67">
        <f t="shared" si="36"/>
        <v>23.328900000000001</v>
      </c>
      <c r="AA93" s="67">
        <f t="shared" si="37"/>
        <v>23.282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8"/>
        <v>0181-02</v>
      </c>
      <c r="AE93" s="91" t="str">
        <f t="shared" si="39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93" s="88" t="str">
        <f t="shared" si="40"/>
        <v>"C:\Program Files (x86)\AstroGrep\AstroGrep.exe" /spath="%USERPROFILE%\AppData\Local\Temp\OnboardLogs" /stypes="app*4009*20161102*" /stext=" 20:.+((SYSTEM_STATE.+slice.+state.+changed )|(ment ac)|(system.+state.+changed )|(\[timeout)|(PRM\|1\|D)|(kpr)|(kdp)|(\|lc)|(penalty))" /e /r /s</v>
      </c>
      <c r="AG93" s="1" t="str">
        <f t="shared" si="41"/>
        <v>EC</v>
      </c>
      <c r="AH93" s="92" t="str">
        <f t="shared" si="42"/>
        <v>"%USERPROFILE%\Documents\GitHub\eaglep3\Utilities\RefineRTDCRunTimes.py" --tripid 181-02 --locoid 4009 --swversion DE.1.0.8.0 --startMP 204:469 --initTime 2016-11-02T13:42:10 --startdatetime 2016-11-02T13:45:32 --delay 1 --endMP 204:233289 --enddatetime 2016-11-02T14:20:34 --enforcementcount 0 &gt;&gt;C:\Users\stu\Documents\GitHub\eaglep3-reporting\EC\2016-11-02-refined-times.txt</v>
      </c>
      <c r="AI9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{"issue":{"subject":"","project_id":79,"tracker_id":40,"status_id":1,"priority_id":2,"assigned_to_id":23,"start_date":"2016-11-02","description":"","custom_fields":[{"id":1,"name":"Subdivision","value":"EC"},{"id":4,"name":"Milepost","value":"23.3289"},{"id":17,"name":"Train ID","value":"181-02"},{"id":16,"name":"Locomotive ID","value":"4009"},{"id":130,"name":"Impact","value":""},{"id":150,"name":"Time of Event (Mountain Time)","value":"14:20:34"},{"id":151,"name":"Denver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553</v>
      </c>
      <c r="B94" s="7">
        <v>4010</v>
      </c>
      <c r="C94" s="22" t="s">
        <v>249</v>
      </c>
      <c r="D94" s="22" t="s">
        <v>362</v>
      </c>
      <c r="E94" s="13">
        <v>42676.606678240743</v>
      </c>
      <c r="F94" s="13">
        <v>42676.612025462964</v>
      </c>
      <c r="G94" s="7">
        <v>1</v>
      </c>
      <c r="H94" s="13" t="s">
        <v>666</v>
      </c>
      <c r="I94" s="13">
        <v>42676.640300925923</v>
      </c>
      <c r="J94" s="7">
        <v>0</v>
      </c>
      <c r="K94" s="112" t="str">
        <f t="shared" si="29"/>
        <v>4009/4010</v>
      </c>
      <c r="L94" s="22" t="str">
        <f>VLOOKUP(A94,'Trips&amp;Operators'!$C$1:$E$10000,3,FALSE)</f>
        <v>WHITED</v>
      </c>
      <c r="M94" s="6">
        <f t="shared" si="30"/>
        <v>2.827546295884531E-2</v>
      </c>
      <c r="N94" s="7">
        <f t="shared" si="27"/>
        <v>40.716666660737246</v>
      </c>
      <c r="O94" s="7"/>
      <c r="P94" s="7"/>
      <c r="Q94" s="23"/>
      <c r="R94" s="23"/>
      <c r="S94" s="35">
        <f t="shared" si="31"/>
        <v>1</v>
      </c>
      <c r="T94" s="50" t="str">
        <f t="shared" si="32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13:33:37-0600',mode:absolute,to:'2016-11-02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4" s="52" t="str">
        <f t="shared" si="34"/>
        <v>N</v>
      </c>
      <c r="X94" s="177">
        <f t="shared" si="28"/>
        <v>1</v>
      </c>
      <c r="Y94" s="67">
        <f t="shared" si="35"/>
        <v>23.2988</v>
      </c>
      <c r="Z94" s="67">
        <f t="shared" si="36"/>
        <v>1.0999999999999999E-2</v>
      </c>
      <c r="AA94" s="67">
        <f t="shared" si="37"/>
        <v>23.287800000000001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8"/>
        <v>0182-02</v>
      </c>
      <c r="AE94" s="91" t="str">
        <f t="shared" si="39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94" s="88" t="str">
        <f t="shared" si="40"/>
        <v>"C:\Program Files (x86)\AstroGrep\AstroGrep.exe" /spath="%USERPROFILE%\AppData\Local\Temp\OnboardLogs" /stypes="app*4010*20161102*" /stext=" 21:.+((SYSTEM_STATE.+slice.+state.+changed )|(ment ac)|(system.+state.+changed )|(\[timeout)|(PRM\|1\|D)|(kpr)|(kdp)|(\|lc)|(penalty))" /e /r /s</v>
      </c>
      <c r="AG94" s="1" t="str">
        <f t="shared" si="41"/>
        <v>EC</v>
      </c>
      <c r="AH94" s="92" t="str">
        <f t="shared" si="42"/>
        <v>"%USERPROFILE%\Documents\GitHub\eaglep3\Utilities\RefineRTDCRunTimes.py" --tripid 182-02 --locoid 4010 --swversion DE.1.0.8.0 --startMP 204:232988 --initTime 2016-11-02T14:33:37 --startdatetime 2016-11-02T14:41:19 --delay 1 --endMP 204:110 --enddatetime 2016-11-02T15:22:02 --enforcementcount 0 &gt;&gt;C:\Users\stu\Documents\GitHub\eaglep3-reporting\EC\2016-11-02-refined-times.txt</v>
      </c>
      <c r="AI94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{"issue":{"subject":"","project_id":79,"tracker_id":40,"status_id":1,"priority_id":2,"assigned_to_id":23,"start_date":"2016-11-02","description":"","custom_fields":[{"id":1,"name":"Subdivision","value":"EC"},{"id":4,"name":"Milepost","value":"0.011"},{"id":17,"name":"Train ID","value":"182-02"},{"id":16,"name":"Locomotive ID","value":"4010"},{"id":130,"name":"Impact","value":""},{"id":150,"name":"Time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546</v>
      </c>
      <c r="B95" s="7">
        <v>4053</v>
      </c>
      <c r="C95" s="22" t="s">
        <v>249</v>
      </c>
      <c r="D95" s="22" t="s">
        <v>665</v>
      </c>
      <c r="E95" s="13">
        <v>42676.577766203707</v>
      </c>
      <c r="F95" s="13">
        <v>42676.583634259259</v>
      </c>
      <c r="G95" s="7">
        <v>1</v>
      </c>
      <c r="H95" s="13" t="s">
        <v>293</v>
      </c>
      <c r="I95" s="13">
        <v>42676.60837962963</v>
      </c>
      <c r="J95" s="7">
        <v>0</v>
      </c>
      <c r="K95" s="112" t="str">
        <f t="shared" si="29"/>
        <v>4053/4054</v>
      </c>
      <c r="L95" s="22" t="str">
        <f>VLOOKUP(A95,'Trips&amp;Operators'!$C$1:$E$10000,3,FALSE)</f>
        <v>ROMERO</v>
      </c>
      <c r="M95" s="6">
        <f t="shared" si="30"/>
        <v>2.47453703705105E-2</v>
      </c>
      <c r="N95" s="7">
        <f t="shared" si="27"/>
        <v>35.63333333353512</v>
      </c>
      <c r="O95" s="7"/>
      <c r="P95" s="7"/>
      <c r="Q95" s="23"/>
      <c r="R95" s="23"/>
      <c r="S95" s="35">
        <f t="shared" si="31"/>
        <v>1</v>
      </c>
      <c r="T95" s="50" t="str">
        <f t="shared" si="32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12:51:59-0600',mode:absolute,to:'2016-11-02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5" s="52" t="str">
        <f t="shared" si="34"/>
        <v>N</v>
      </c>
      <c r="X95" s="177">
        <f t="shared" si="28"/>
        <v>1</v>
      </c>
      <c r="Y95" s="67">
        <f t="shared" si="35"/>
        <v>4.7699999999999999E-2</v>
      </c>
      <c r="Z95" s="67">
        <f t="shared" si="36"/>
        <v>23.333200000000001</v>
      </c>
      <c r="AA95" s="67">
        <f t="shared" si="37"/>
        <v>23.285500000000003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8"/>
        <v>0183-02</v>
      </c>
      <c r="AE95" s="91" t="str">
        <f t="shared" si="39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95" s="88" t="str">
        <f t="shared" si="40"/>
        <v>"C:\Program Files (x86)\AstroGrep\AstroGrep.exe" /spath="%USERPROFILE%\AppData\Local\Temp\OnboardLogs" /stypes="app*4053*20161102*" /stext=" 20:.+((SYSTEM_STATE.+slice.+state.+changed )|(ment ac)|(system.+state.+changed )|(\[timeout)|(PRM\|1\|D)|(kpr)|(kdp)|(\|lc)|(penalty))" /e /r /s</v>
      </c>
      <c r="AG95" s="1" t="str">
        <f t="shared" si="41"/>
        <v>EC</v>
      </c>
      <c r="AH95" s="92" t="str">
        <f t="shared" si="42"/>
        <v>"%USERPROFILE%\Documents\GitHub\eaglep3\Utilities\RefineRTDCRunTimes.py" --tripid 183-02 --locoid 4053 --swversion DE.1.0.8.0 --startMP 204:477 --initTime 2016-11-02T13:51:59 --startdatetime 2016-11-02T14:00:26 --delay 1 --endMP 204:233332 --enddatetime 2016-11-02T14:36:04 --enforcementcount 0 &gt;&gt;C:\Users\stu\Documents\GitHub\eaglep3-reporting\EC\2016-11-02-refined-times.txt</v>
      </c>
      <c r="AI9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{"issue":{"subject":"","project_id":79,"tracker_id":40,"status_id":1,"priority_id":2,"assigned_to_id":23,"start_date":"2016-11-02","description":"","custom_fields":[{"id":1,"name":"Subdivision","value":"EC"},{"id":4,"name":"Milepost","value":"23.3332"},{"id":17,"name":"Train ID","value":"183-02"},{"id":16,"name":"Locomotive ID","value":"4053"},{"id":130,"name":"Impact","value":""},{"id":150,"name":"Time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421</v>
      </c>
      <c r="B96" s="7">
        <v>4054</v>
      </c>
      <c r="C96" s="22" t="s">
        <v>249</v>
      </c>
      <c r="D96" s="22" t="s">
        <v>308</v>
      </c>
      <c r="E96" s="13">
        <v>42676.610752314817</v>
      </c>
      <c r="F96" s="13">
        <v>42676.62259259259</v>
      </c>
      <c r="G96" s="7">
        <v>1</v>
      </c>
      <c r="H96" s="13" t="s">
        <v>204</v>
      </c>
      <c r="I96" s="13">
        <v>42676.650104166663</v>
      </c>
      <c r="J96" s="7">
        <v>0</v>
      </c>
      <c r="K96" s="112" t="str">
        <f t="shared" si="29"/>
        <v>4053/4054</v>
      </c>
      <c r="L96" s="22" t="str">
        <f>VLOOKUP(A96,'Trips&amp;Operators'!$C$1:$E$10000,3,FALSE)</f>
        <v>ROMERO</v>
      </c>
      <c r="M96" s="6">
        <f t="shared" si="30"/>
        <v>2.7511574073287193E-2</v>
      </c>
      <c r="N96" s="7">
        <f t="shared" si="27"/>
        <v>39.616666665533558</v>
      </c>
      <c r="O96" s="7"/>
      <c r="P96" s="7"/>
      <c r="Q96" s="23"/>
      <c r="R96" s="23"/>
      <c r="S96" s="35">
        <f t="shared" si="31"/>
        <v>1</v>
      </c>
      <c r="T96" s="50" t="str">
        <f t="shared" si="32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13:39:29-0600',mode:absolute,to:'2016-11-02 16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6" s="52" t="str">
        <f t="shared" si="34"/>
        <v>N</v>
      </c>
      <c r="X96" s="177">
        <f t="shared" si="28"/>
        <v>1</v>
      </c>
      <c r="Y96" s="67">
        <f t="shared" si="35"/>
        <v>23.300599999999999</v>
      </c>
      <c r="Z96" s="67">
        <f t="shared" si="36"/>
        <v>1.4500000000000001E-2</v>
      </c>
      <c r="AA96" s="67">
        <f t="shared" si="37"/>
        <v>23.286099999999998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8"/>
        <v>0184-02</v>
      </c>
      <c r="AE96" s="91" t="str">
        <f t="shared" si="39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96" s="88" t="str">
        <f t="shared" si="40"/>
        <v>"C:\Program Files (x86)\AstroGrep\AstroGrep.exe" /spath="%USERPROFILE%\AppData\Local\Temp\OnboardLogs" /stypes="app*4054*20161102*" /stext=" 21:.+((SYSTEM_STATE.+slice.+state.+changed )|(ment ac)|(system.+state.+changed )|(\[timeout)|(PRM\|1\|D)|(kpr)|(kdp)|(\|lc)|(penalty))" /e /r /s</v>
      </c>
      <c r="AG96" s="1" t="str">
        <f t="shared" si="41"/>
        <v>EC</v>
      </c>
      <c r="AH96" s="92" t="str">
        <f t="shared" si="42"/>
        <v>"%USERPROFILE%\Documents\GitHub\eaglep3\Utilities\RefineRTDCRunTimes.py" --tripid 184-02 --locoid 4054 --swversion DE.1.0.8.0 --startMP 204:233006 --initTime 2016-11-02T14:39:29 --startdatetime 2016-11-02T14:56:32 --delay 1 --endMP 204:145 --enddatetime 2016-11-02T15:36:09 --enforcementcount 0 &gt;&gt;C:\Users\stu\Documents\GitHub\eaglep3-reporting\EC\2016-11-02-refined-times.txt</v>
      </c>
      <c r="AI9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ID","value":"184-02"},{"id":16,"name":"Locomotive ID","value":"4054"},{"id":130,"name":"Impact","value":""},{"id":150,"name":"Time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7" t="s">
        <v>419</v>
      </c>
      <c r="B97" s="7">
        <v>4018</v>
      </c>
      <c r="C97" s="22" t="s">
        <v>249</v>
      </c>
      <c r="D97" s="22" t="s">
        <v>667</v>
      </c>
      <c r="E97" s="13">
        <v>42676.613113425927</v>
      </c>
      <c r="F97" s="13">
        <v>42676.613796296297</v>
      </c>
      <c r="G97" s="7">
        <v>0</v>
      </c>
      <c r="H97" s="13" t="s">
        <v>668</v>
      </c>
      <c r="I97" s="13">
        <v>42676.626805555556</v>
      </c>
      <c r="J97" s="7">
        <v>1</v>
      </c>
      <c r="K97" s="112" t="str">
        <f t="shared" si="29"/>
        <v>4017/4018</v>
      </c>
      <c r="L97" s="22" t="str">
        <f>VLOOKUP(A97,'Trips&amp;Operators'!$C$1:$E$10000,3,FALSE)</f>
        <v>HILLS</v>
      </c>
      <c r="M97" s="6">
        <f t="shared" si="30"/>
        <v>1.3009259258979E-2</v>
      </c>
      <c r="N97" s="7"/>
      <c r="O97" s="7"/>
      <c r="P97" s="7">
        <f>24*60*SUM($M97:$M98)</f>
        <v>42.550000003539026</v>
      </c>
      <c r="Q97" s="23"/>
      <c r="R97" s="23" t="s">
        <v>395</v>
      </c>
      <c r="S97" s="35">
        <f>SUM(U97:U98)/IF(AG97="EC",12,1)</f>
        <v>0.91666666666666663</v>
      </c>
      <c r="T97" s="50" t="str">
        <f t="shared" si="32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13:42:53-0600',mode:absolute,to:'2016-11-02 16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7" s="52" t="str">
        <f t="shared" si="34"/>
        <v>Y</v>
      </c>
      <c r="X97" s="177">
        <f t="shared" si="28"/>
        <v>1</v>
      </c>
      <c r="Y97" s="67">
        <f t="shared" si="35"/>
        <v>11.174899999999999</v>
      </c>
      <c r="Z97" s="67">
        <f t="shared" si="36"/>
        <v>23.3338</v>
      </c>
      <c r="AA97" s="67">
        <f t="shared" si="37"/>
        <v>12.158900000000001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8"/>
        <v>0185-02</v>
      </c>
      <c r="AE97" s="91" t="str">
        <f t="shared" si="39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97" s="88" t="str">
        <f t="shared" si="40"/>
        <v>"C:\Program Files (x86)\AstroGrep\AstroGrep.exe" /spath="%USERPROFILE%\AppData\Local\Temp\OnboardLogs" /stypes="app*4018*20161102*" /stext=" 21:.+((SYSTEM_STATE.+slice.+state.+changed )|(ment ac)|(system.+state.+changed )|(\[timeout)|(PRM\|1\|D)|(kpr)|(kdp)|(\|lc)|(penalty))" /e /r /s</v>
      </c>
      <c r="AG97" s="1" t="str">
        <f t="shared" si="41"/>
        <v>EC</v>
      </c>
      <c r="AH97" s="92" t="str">
        <f t="shared" si="42"/>
        <v>"%USERPROFILE%\Documents\GitHub\eaglep3\Utilities\RefineRTDCRunTimes.py" --tripid 185-02 --locoid 4018 --swversion DE.1.0.8.0 --startMP 204:111749 --initTime 2016-11-02T14:42:53 --startdatetime 2016-11-02T14:43:52 --delay 0 --endMP 204:233338 --enddatetime 2016-11-02T15:02:36 --enforcementcount 1 &gt;&gt;C:\Users\stu\Documents\GitHub\eaglep3-reporting\EC\2016-11-02-refined-times.txt</v>
      </c>
      <c r="AI97" s="122" t="str">
        <f t="shared" si="43"/>
        <v>echo {"issue":{"subject":"Wi-MAX outage","project_id":79,"tracker_id":40,"status_id":1,"priority_id":2,"assigned_to_id":23,"start_date":"2016-11-02","description":"","custom_fields":[{"id":1,"name":"Subdivision","value":"EC"},{"id":4,"name":"Milepost","value":"23.3338"},{"id":17,"name":"Train ID","value":"185-02"},{"id":16,"name":"Locomotive ID","value":"4018"},{"id":130,"name":"Impact","value":""},{"id":150,"name":"Time of Event (Mountain Time)","value":"15:02:36"},{"id":151,"name":"Denver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419</v>
      </c>
      <c r="B98" s="7">
        <v>4018</v>
      </c>
      <c r="C98" s="22" t="s">
        <v>249</v>
      </c>
      <c r="D98" s="22" t="s">
        <v>669</v>
      </c>
      <c r="E98" s="13">
        <v>42676.593761574077</v>
      </c>
      <c r="F98" s="13">
        <v>42676.594872685186</v>
      </c>
      <c r="G98" s="7">
        <v>1</v>
      </c>
      <c r="H98" s="13" t="s">
        <v>670</v>
      </c>
      <c r="I98" s="13">
        <v>42676.61141203704</v>
      </c>
      <c r="J98" s="7">
        <v>3</v>
      </c>
      <c r="K98" s="112" t="str">
        <f t="shared" si="29"/>
        <v>4017/4018</v>
      </c>
      <c r="L98" s="22" t="str">
        <f>VLOOKUP(A98,'Trips&amp;Operators'!$C$1:$E$10000,3,FALSE)</f>
        <v>HILLS</v>
      </c>
      <c r="M98" s="6">
        <f t="shared" si="30"/>
        <v>1.6539351854589768E-2</v>
      </c>
      <c r="N98" s="7"/>
      <c r="O98" s="7"/>
      <c r="P98" s="7"/>
      <c r="Q98" s="23"/>
      <c r="R98" s="23"/>
      <c r="S98" s="35"/>
      <c r="T98" s="50" t="str">
        <f t="shared" si="32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11</v>
      </c>
      <c r="V9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13:15:01-0600',mode:absolute,to:'2016-11-02 15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 t="shared" si="34"/>
        <v>Y</v>
      </c>
      <c r="X98" s="177">
        <f t="shared" si="28"/>
        <v>0</v>
      </c>
      <c r="Y98" s="67">
        <f t="shared" si="35"/>
        <v>0.1484</v>
      </c>
      <c r="Z98" s="67">
        <f t="shared" si="36"/>
        <v>10.5746</v>
      </c>
      <c r="AA98" s="67">
        <f t="shared" si="37"/>
        <v>10.4262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8"/>
        <v>0185-02</v>
      </c>
      <c r="AE98" s="91" t="str">
        <f t="shared" si="39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98" s="88" t="str">
        <f t="shared" si="40"/>
        <v>"C:\Program Files (x86)\AstroGrep\AstroGrep.exe" /spath="%USERPROFILE%\AppData\Local\Temp\OnboardLogs" /stypes="app*4018*20161102*" /stext=" 20:.+((SYSTEM_STATE.+slice.+state.+changed )|(ment ac)|(system.+state.+changed )|(\[timeout)|(PRM\|1\|D)|(kpr)|(kdp)|(\|lc)|(penalty))" /e /r /s</v>
      </c>
      <c r="AG98" s="1" t="str">
        <f t="shared" si="41"/>
        <v>EC</v>
      </c>
      <c r="AH98" s="92" t="str">
        <f t="shared" si="42"/>
        <v>"%USERPROFILE%\Documents\GitHub\eaglep3\Utilities\RefineRTDCRunTimes.py" --tripid 185-02 --locoid 4018 --swversion DE.1.0.8.0 --startMP 204:1484 --initTime 2016-11-02T14:15:01 --startdatetime 2016-11-02T14:16:37 --delay 1 --endMP 204:105746 --enddatetime 2016-11-02T14:40:26 --enforcementcount 3 &gt;&gt;C:\Users\stu\Documents\GitHub\eaglep3-reporting\EC\2016-11-02-refined-times.txt</v>
      </c>
      <c r="AI9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{"issue":{"subject":"","project_id":79,"tracker_id":40,"status_id":1,"priority_id":2,"assigned_to_id":23,"start_date":"2016-11-02","description":"","custom_fields":[{"id":1,"name":"Subdivision","value":"EC"},{"id":4,"name":"Milepost","value":"10.5746"},{"id":17,"name":"Train ID","value":"185-02"},{"id":16,"name":"Locomotive ID","value":"4018"},{"id":130,"name":"Impact","value":""},{"id":150,"name":"Time of Event (Mountain Time)","value":"14:40:26"},{"id":151,"name":"Denver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559</v>
      </c>
      <c r="B99" s="7">
        <v>4017</v>
      </c>
      <c r="C99" s="22" t="s">
        <v>249</v>
      </c>
      <c r="D99" s="22" t="s">
        <v>671</v>
      </c>
      <c r="E99" s="13">
        <v>42676.628645833334</v>
      </c>
      <c r="F99" s="13">
        <v>42676.6328587963</v>
      </c>
      <c r="G99" s="7">
        <v>5</v>
      </c>
      <c r="H99" s="13" t="s">
        <v>672</v>
      </c>
      <c r="I99" s="13">
        <v>42676.658599537041</v>
      </c>
      <c r="J99" s="7">
        <v>0</v>
      </c>
      <c r="K99" s="112" t="str">
        <f t="shared" si="29"/>
        <v>4017/4018</v>
      </c>
      <c r="L99" s="22" t="str">
        <f>VLOOKUP(A99,'Trips&amp;Operators'!$C$1:$E$10000,3,FALSE)</f>
        <v>HILLS</v>
      </c>
      <c r="M99" s="6">
        <f t="shared" si="30"/>
        <v>2.5740740740729962E-2</v>
      </c>
      <c r="N99" s="7">
        <f t="shared" ref="N99:N130" si="44">24*60*SUM($M99:$M99)</f>
        <v>37.066666666651145</v>
      </c>
      <c r="O99" s="7"/>
      <c r="P99" s="7"/>
      <c r="Q99" s="23"/>
      <c r="R99" s="23"/>
      <c r="S99" s="35">
        <f t="shared" ref="S99:S130" si="45">SUM(U99:U99)/IF(AG99="EC",12,1)</f>
        <v>1</v>
      </c>
      <c r="T99" s="50" t="str">
        <f t="shared" si="32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14:05:15-0600',mode:absolute,to:'2016-11-02 16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 t="shared" si="34"/>
        <v>N</v>
      </c>
      <c r="X99" s="177">
        <f t="shared" si="28"/>
        <v>1</v>
      </c>
      <c r="Y99" s="67">
        <f t="shared" si="35"/>
        <v>23.303599999999999</v>
      </c>
      <c r="Z99" s="67">
        <f t="shared" si="36"/>
        <v>1.2500000000000001E-2</v>
      </c>
      <c r="AA99" s="67">
        <f t="shared" si="37"/>
        <v>23.2911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8"/>
        <v>0186-02</v>
      </c>
      <c r="AE99" s="91" t="str">
        <f t="shared" si="39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99" s="88" t="str">
        <f t="shared" si="40"/>
        <v>"C:\Program Files (x86)\AstroGrep\AstroGrep.exe" /spath="%USERPROFILE%\AppData\Local\Temp\OnboardLogs" /stypes="app*4017*20161102*" /stext=" 21:.+((SYSTEM_STATE.+slice.+state.+changed )|(ment ac)|(system.+state.+changed )|(\[timeout)|(PRM\|1\|D)|(kpr)|(kdp)|(\|lc)|(penalty))" /e /r /s</v>
      </c>
      <c r="AG99" s="1" t="str">
        <f t="shared" si="41"/>
        <v>EC</v>
      </c>
      <c r="AH99" s="92" t="str">
        <f t="shared" si="42"/>
        <v>"%USERPROFILE%\Documents\GitHub\eaglep3\Utilities\RefineRTDCRunTimes.py" --tripid 186-02 --locoid 4017 --swversion DE.1.0.8.0 --startMP 204:233036 --initTime 2016-11-02T15:05:15 --startdatetime 2016-11-02T15:11:19 --delay 5 --endMP 204:125 --enddatetime 2016-11-02T15:48:23 --enforcementcount 0 &gt;&gt;C:\Users\stu\Documents\GitHub\eaglep3-reporting\EC\2016-11-02-refined-times.txt</v>
      </c>
      <c r="AI9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{"issue":{"subject":"","project_id":79,"tracker_id":40,"status_id":1,"priority_id":2,"assigned_to_id":23,"start_date":"2016-11-02","description":"","custom_fields":[{"id":1,"name":"Subdivision","value":"EC"},{"id":4,"name":"Milepost","value":"0.0125"},{"id":17,"name":"Train ID","value":"186-02"},{"id":16,"name":"Locomotive ID","value":"4017"},{"id":130,"name":"Impact","value":""},{"id":150,"name":"Time of Event (Mountain Time)","value":"15:48:23"},{"id":151,"name":"Denver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550</v>
      </c>
      <c r="B100" s="7">
        <v>4002</v>
      </c>
      <c r="C100" s="22" t="s">
        <v>249</v>
      </c>
      <c r="D100" s="22" t="s">
        <v>673</v>
      </c>
      <c r="E100" s="13">
        <v>42676.59915509259</v>
      </c>
      <c r="F100" s="13">
        <v>42676.604826388888</v>
      </c>
      <c r="G100" s="7">
        <v>1</v>
      </c>
      <c r="H100" s="13" t="s">
        <v>353</v>
      </c>
      <c r="I100" s="13">
        <v>42676.631874999999</v>
      </c>
      <c r="J100" s="7">
        <v>0</v>
      </c>
      <c r="K100" s="112" t="str">
        <f t="shared" si="29"/>
        <v>4001/4002</v>
      </c>
      <c r="L100" s="22" t="str">
        <f>VLOOKUP(A100,'Trips&amp;Operators'!$C$1:$E$10000,3,FALSE)</f>
        <v>SAFIEF</v>
      </c>
      <c r="M100" s="6">
        <f t="shared" si="30"/>
        <v>2.7048611111240461E-2</v>
      </c>
      <c r="N100" s="7">
        <f t="shared" si="44"/>
        <v>38.950000000186265</v>
      </c>
      <c r="O100" s="7"/>
      <c r="P100" s="7"/>
      <c r="Q100" s="23"/>
      <c r="R100" s="23"/>
      <c r="S100" s="35">
        <f t="shared" si="45"/>
        <v>1</v>
      </c>
      <c r="T100" s="50" t="str">
        <f t="shared" si="32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13:22:47-0600',mode:absolute,to:'2016-11-02 16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0" s="52" t="str">
        <f t="shared" si="34"/>
        <v>N</v>
      </c>
      <c r="X100" s="177">
        <f t="shared" si="28"/>
        <v>1</v>
      </c>
      <c r="Y100" s="67">
        <f t="shared" si="35"/>
        <v>7.9699999999999993E-2</v>
      </c>
      <c r="Z100" s="67">
        <f t="shared" si="36"/>
        <v>23.329899999999999</v>
      </c>
      <c r="AA100" s="67">
        <f t="shared" si="37"/>
        <v>23.2502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8"/>
        <v>0187-02</v>
      </c>
      <c r="AE100" s="91" t="str">
        <f t="shared" si="39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100" s="88" t="str">
        <f t="shared" si="40"/>
        <v>"C:\Program Files (x86)\AstroGrep\AstroGrep.exe" /spath="%USERPROFILE%\AppData\Local\Temp\OnboardLogs" /stypes="app*4002*20161102*" /stext=" 21:.+((SYSTEM_STATE.+slice.+state.+changed )|(ment ac)|(system.+state.+changed )|(\[timeout)|(PRM\|1\|D)|(kpr)|(kdp)|(\|lc)|(penalty))" /e /r /s</v>
      </c>
      <c r="AG100" s="1" t="str">
        <f t="shared" si="41"/>
        <v>EC</v>
      </c>
      <c r="AH100" s="92" t="str">
        <f t="shared" si="42"/>
        <v>"%USERPROFILE%\Documents\GitHub\eaglep3\Utilities\RefineRTDCRunTimes.py" --tripid 187-02 --locoid 4002 --swversion DE.1.0.8.0 --startMP 204:797 --initTime 2016-11-02T14:22:47 --startdatetime 2016-11-02T14:30:57 --delay 1 --endMP 204:233299 --enddatetime 2016-11-02T15:09:54 --enforcementcount 0 &gt;&gt;C:\Users\stu\Documents\GitHub\eaglep3-reporting\EC\2016-11-02-refined-times.txt</v>
      </c>
      <c r="AI10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{"issue":{"subject":"","project_id":79,"tracker_id":40,"status_id":1,"priority_id":2,"assigned_to_id":23,"start_date":"2016-11-02","description":"","custom_fields":[{"id":1,"name":"Subdivision","value":"EC"},{"id":4,"name":"Milepost","value":"23.3299"},{"id":17,"name":"Train ID","value":"187-02"},{"id":16,"name":"Locomotive ID","value":"4002"},{"id":130,"name":"Impact","value":""},{"id":150,"name":"Time of Event (Mountain Time)","value":"15:09:54"},{"id":151,"name":"Denver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561</v>
      </c>
      <c r="B101" s="7">
        <v>4001</v>
      </c>
      <c r="C101" s="22" t="s">
        <v>249</v>
      </c>
      <c r="D101" s="22" t="s">
        <v>315</v>
      </c>
      <c r="E101" s="13">
        <v>42676.637187499997</v>
      </c>
      <c r="F101" s="13">
        <v>42676.643275462964</v>
      </c>
      <c r="G101" s="7">
        <v>1</v>
      </c>
      <c r="H101" s="13" t="s">
        <v>204</v>
      </c>
      <c r="I101" s="13">
        <v>42676.669560185182</v>
      </c>
      <c r="J101" s="7">
        <v>0</v>
      </c>
      <c r="K101" s="112" t="str">
        <f t="shared" si="29"/>
        <v>4001/4002</v>
      </c>
      <c r="L101" s="22" t="str">
        <f>VLOOKUP(A101,'Trips&amp;Operators'!$C$1:$E$10000,3,FALSE)</f>
        <v>SAFIEF</v>
      </c>
      <c r="M101" s="6">
        <f t="shared" si="30"/>
        <v>2.6284722218406387E-2</v>
      </c>
      <c r="N101" s="7">
        <f t="shared" si="44"/>
        <v>37.849999994505197</v>
      </c>
      <c r="O101" s="7"/>
      <c r="P101" s="7"/>
      <c r="Q101" s="23"/>
      <c r="R101" s="23"/>
      <c r="S101" s="35">
        <f t="shared" si="45"/>
        <v>1</v>
      </c>
      <c r="T101" s="50" t="str">
        <f t="shared" si="32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14:17:33-0600',mode:absolute,to:'2016-11-02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1" s="52" t="str">
        <f t="shared" si="34"/>
        <v>N</v>
      </c>
      <c r="X101" s="177">
        <f t="shared" si="28"/>
        <v>1</v>
      </c>
      <c r="Y101" s="67">
        <f t="shared" si="35"/>
        <v>23.298200000000001</v>
      </c>
      <c r="Z101" s="67">
        <f t="shared" si="36"/>
        <v>1.4500000000000001E-2</v>
      </c>
      <c r="AA101" s="67">
        <f t="shared" si="37"/>
        <v>23.2837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8"/>
        <v>0188-02</v>
      </c>
      <c r="AE101" s="91" t="str">
        <f t="shared" si="39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101" s="88" t="str">
        <f t="shared" si="40"/>
        <v>"C:\Program Files (x86)\AstroGrep\AstroGrep.exe" /spath="%USERPROFILE%\AppData\Local\Temp\OnboardLogs" /stypes="app*4001*20161102*" /stext=" 22:.+((SYSTEM_STATE.+slice.+state.+changed )|(ment ac)|(system.+state.+changed )|(\[timeout)|(PRM\|1\|D)|(kpr)|(kdp)|(\|lc)|(penalty))" /e /r /s</v>
      </c>
      <c r="AG101" s="1" t="str">
        <f t="shared" si="41"/>
        <v>EC</v>
      </c>
      <c r="AH101" s="92" t="str">
        <f t="shared" si="42"/>
        <v>"%USERPROFILE%\Documents\GitHub\eaglep3\Utilities\RefineRTDCRunTimes.py" --tripid 188-02 --locoid 4001 --swversion DE.1.0.8.0 --startMP 204:232982 --initTime 2016-11-02T15:17:33 --startdatetime 2016-11-02T15:26:19 --delay 1 --endMP 204:145 --enddatetime 2016-11-02T16:04:10 --enforcementcount 0 &gt;&gt;C:\Users\stu\Documents\GitHub\eaglep3-reporting\EC\2016-11-02-refined-times.txt</v>
      </c>
      <c r="AI10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ID","value":"188-02"},{"id":16,"name":"Locomotive ID","value":"4001"},{"id":130,"name":"Impact","value":""},{"id":150,"name":"Time of Event (Mountain Time)","value":"16:04:10"},{"id":151,"name":"Denver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554</v>
      </c>
      <c r="B102" s="7">
        <v>4038</v>
      </c>
      <c r="C102" s="22" t="s">
        <v>249</v>
      </c>
      <c r="D102" s="22" t="s">
        <v>230</v>
      </c>
      <c r="E102" s="13">
        <v>42676.609398148146</v>
      </c>
      <c r="F102" s="13">
        <v>42676.614895833336</v>
      </c>
      <c r="G102" s="7">
        <v>1</v>
      </c>
      <c r="H102" s="13" t="s">
        <v>674</v>
      </c>
      <c r="I102" s="13">
        <v>42676.639247685183</v>
      </c>
      <c r="J102" s="7">
        <v>0</v>
      </c>
      <c r="K102" s="112" t="str">
        <f t="shared" si="29"/>
        <v>4037/4038</v>
      </c>
      <c r="L102" s="22" t="str">
        <f>VLOOKUP(A102,'Trips&amp;Operators'!$C$1:$E$10000,3,FALSE)</f>
        <v>HOLCOMB</v>
      </c>
      <c r="M102" s="6">
        <f t="shared" si="30"/>
        <v>2.435185184731381E-2</v>
      </c>
      <c r="N102" s="7">
        <f t="shared" si="44"/>
        <v>35.066666660131887</v>
      </c>
      <c r="O102" s="7"/>
      <c r="P102" s="7"/>
      <c r="Q102" s="23"/>
      <c r="R102" s="23"/>
      <c r="S102" s="35">
        <f t="shared" si="45"/>
        <v>1</v>
      </c>
      <c r="T102" s="50" t="str">
        <f t="shared" si="32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13:37:32-0600',mode:absolute,to:'2016-11-02 16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2" s="52" t="str">
        <f t="shared" si="34"/>
        <v>N</v>
      </c>
      <c r="X102" s="177">
        <f t="shared" si="28"/>
        <v>1</v>
      </c>
      <c r="Y102" s="67">
        <f t="shared" si="35"/>
        <v>4.4900000000000002E-2</v>
      </c>
      <c r="Z102" s="67">
        <f t="shared" si="36"/>
        <v>23.333400000000001</v>
      </c>
      <c r="AA102" s="67">
        <f t="shared" si="37"/>
        <v>23.288500000000003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8"/>
        <v>0189-02</v>
      </c>
      <c r="AE102" s="91" t="str">
        <f t="shared" si="39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02" s="88" t="str">
        <f t="shared" si="40"/>
        <v>"C:\Program Files (x86)\AstroGrep\AstroGrep.exe" /spath="%USERPROFILE%\AppData\Local\Temp\OnboardLogs" /stypes="app*4038*20161102*" /stext=" 21:.+((SYSTEM_STATE.+slice.+state.+changed )|(ment ac)|(system.+state.+changed )|(\[timeout)|(PRM\|1\|D)|(kpr)|(kdp)|(\|lc)|(penalty))" /e /r /s</v>
      </c>
      <c r="AG102" s="1" t="str">
        <f t="shared" si="41"/>
        <v>EC</v>
      </c>
      <c r="AH102" s="92" t="str">
        <f t="shared" si="42"/>
        <v>"%USERPROFILE%\Documents\GitHub\eaglep3\Utilities\RefineRTDCRunTimes.py" --tripid 189-02 --locoid 4038 --swversion DE.1.0.8.0 --startMP 204:449 --initTime 2016-11-02T14:37:32 --startdatetime 2016-11-02T14:45:27 --delay 1 --endMP 204:233334 --enddatetime 2016-11-02T15:20:31 --enforcementcount 0 &gt;&gt;C:\Users\stu\Documents\GitHub\eaglep3-reporting\EC\2016-11-02-refined-times.txt</v>
      </c>
      <c r="AI10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{"issue":{"subject":"","project_id":79,"tracker_id":40,"status_id":1,"priority_id":2,"assigned_to_id":23,"start_date":"2016-11-02","description":"","custom_fields":[{"id":1,"name":"Subdivision","value":"EC"},{"id":4,"name":"Milepost","value":"23.3334"},{"id":17,"name":"Train ID","value":"189-02"},{"id":16,"name":"Locomotive ID","value":"4038"},{"id":130,"name":"Impact","value":""},{"id":150,"name":"Time of Event (Mountain Time)","value":"15:20:31"},{"id":151,"name":"Denver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564</v>
      </c>
      <c r="B103" s="7">
        <v>4037</v>
      </c>
      <c r="C103" s="22" t="s">
        <v>249</v>
      </c>
      <c r="D103" s="22" t="s">
        <v>247</v>
      </c>
      <c r="E103" s="13">
        <v>42676.648564814815</v>
      </c>
      <c r="F103" s="13">
        <v>42676.653645833336</v>
      </c>
      <c r="G103" s="7">
        <v>1</v>
      </c>
      <c r="H103" s="13" t="s">
        <v>207</v>
      </c>
      <c r="I103" s="13">
        <v>42676.679652777777</v>
      </c>
      <c r="J103" s="7">
        <v>0</v>
      </c>
      <c r="K103" s="112" t="str">
        <f t="shared" si="29"/>
        <v>4037/4038</v>
      </c>
      <c r="L103" s="22" t="str">
        <f>VLOOKUP(A103,'Trips&amp;Operators'!$C$1:$E$10000,3,FALSE)</f>
        <v>HOLCOMB</v>
      </c>
      <c r="M103" s="6">
        <f t="shared" si="30"/>
        <v>2.6006944441178348E-2</v>
      </c>
      <c r="N103" s="7">
        <f t="shared" si="44"/>
        <v>37.449999995296821</v>
      </c>
      <c r="O103" s="7"/>
      <c r="P103" s="7"/>
      <c r="Q103" s="23"/>
      <c r="R103" s="23"/>
      <c r="S103" s="35">
        <f t="shared" si="45"/>
        <v>1</v>
      </c>
      <c r="T103" s="50" t="str">
        <f t="shared" si="32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14:33:56-0600',mode:absolute,to:'2016-11-02 17:18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3" s="52" t="str">
        <f t="shared" si="34"/>
        <v>N</v>
      </c>
      <c r="X103" s="177">
        <f t="shared" si="28"/>
        <v>1</v>
      </c>
      <c r="Y103" s="67">
        <f t="shared" si="35"/>
        <v>23.298100000000002</v>
      </c>
      <c r="Z103" s="67">
        <f t="shared" si="36"/>
        <v>1.43E-2</v>
      </c>
      <c r="AA103" s="67">
        <f t="shared" si="37"/>
        <v>23.283800000000003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8"/>
        <v>0190-02</v>
      </c>
      <c r="AE103" s="91" t="str">
        <f t="shared" si="39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103" s="88" t="str">
        <f t="shared" si="40"/>
        <v>"C:\Program Files (x86)\AstroGrep\AstroGrep.exe" /spath="%USERPROFILE%\AppData\Local\Temp\OnboardLogs" /stypes="app*4037*20161102*" /stext=" 22:.+((SYSTEM_STATE.+slice.+state.+changed )|(ment ac)|(system.+state.+changed )|(\[timeout)|(PRM\|1\|D)|(kpr)|(kdp)|(\|lc)|(penalty))" /e /r /s</v>
      </c>
      <c r="AG103" s="1" t="str">
        <f t="shared" si="41"/>
        <v>EC</v>
      </c>
      <c r="AH103" s="92" t="str">
        <f t="shared" si="42"/>
        <v>"%USERPROFILE%\Documents\GitHub\eaglep3\Utilities\RefineRTDCRunTimes.py" --tripid 190-02 --locoid 4037 --swversion DE.1.0.8.0 --startMP 204:232981 --initTime 2016-11-02T15:33:56 --startdatetime 2016-11-02T15:41:15 --delay 1 --endMP 204:143 --enddatetime 2016-11-02T16:18:42 --enforcementcount 0 &gt;&gt;C:\Users\stu\Documents\GitHub\eaglep3-reporting\EC\2016-11-02-refined-times.txt</v>
      </c>
      <c r="AI10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{"issue":{"subject":"","project_id":79,"tracker_id":40,"status_id":1,"priority_id":2,"assigned_to_id":23,"start_date":"2016-11-02","description":"","custom_fields":[{"id":1,"name":"Subdivision","value":"EC"},{"id":4,"name":"Milepost","value":"0.0143"},{"id":17,"name":"Train ID","value":"190-02"},{"id":16,"name":"Locomotive ID","value":"4037"},{"id":130,"name":"Impact","value":""},{"id":150,"name":"Time of Event (Mountain Time)","value":"16:18:42"},{"id":151,"name":"Denver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557</v>
      </c>
      <c r="B104" s="7">
        <v>4007</v>
      </c>
      <c r="C104" s="22" t="s">
        <v>249</v>
      </c>
      <c r="D104" s="22" t="s">
        <v>271</v>
      </c>
      <c r="E104" s="13">
        <v>42676.621712962966</v>
      </c>
      <c r="F104" s="13">
        <v>42676.6252662037</v>
      </c>
      <c r="G104" s="7">
        <v>1</v>
      </c>
      <c r="H104" s="13" t="s">
        <v>266</v>
      </c>
      <c r="I104" s="13">
        <v>42676.649456018517</v>
      </c>
      <c r="J104" s="7">
        <v>0</v>
      </c>
      <c r="K104" s="112" t="str">
        <f t="shared" si="29"/>
        <v>4007/4008</v>
      </c>
      <c r="L104" s="22" t="str">
        <f>VLOOKUP(A104,'Trips&amp;Operators'!$C$1:$E$10000,3,FALSE)</f>
        <v>LOZA</v>
      </c>
      <c r="M104" s="6">
        <f t="shared" si="30"/>
        <v>2.4189814816054422E-2</v>
      </c>
      <c r="N104" s="7">
        <f t="shared" si="44"/>
        <v>34.833333335118368</v>
      </c>
      <c r="O104" s="7"/>
      <c r="P104" s="7"/>
      <c r="Q104" s="23"/>
      <c r="R104" s="23"/>
      <c r="S104" s="35">
        <f t="shared" si="45"/>
        <v>1</v>
      </c>
      <c r="T104" s="50" t="str">
        <f t="shared" si="32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13:55:16-0600',mode:absolute,to:'2016-11-02 16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4" s="52" t="str">
        <f t="shared" si="34"/>
        <v>N</v>
      </c>
      <c r="X104" s="177">
        <f t="shared" si="28"/>
        <v>1</v>
      </c>
      <c r="Y104" s="67">
        <f t="shared" si="35"/>
        <v>4.4400000000000002E-2</v>
      </c>
      <c r="Z104" s="67">
        <f t="shared" si="36"/>
        <v>23.328900000000001</v>
      </c>
      <c r="AA104" s="67">
        <f t="shared" si="37"/>
        <v>23.284500000000001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8"/>
        <v>0191-02</v>
      </c>
      <c r="AE104" s="91" t="str">
        <f t="shared" si="39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04" s="88" t="str">
        <f t="shared" si="40"/>
        <v>"C:\Program Files (x86)\AstroGrep\AstroGrep.exe" /spath="%USERPROFILE%\AppData\Local\Temp\OnboardLogs" /stypes="app*4007*20161102*" /stext=" 21:.+((SYSTEM_STATE.+slice.+state.+changed )|(ment ac)|(system.+state.+changed )|(\[timeout)|(PRM\|1\|D)|(kpr)|(kdp)|(\|lc)|(penalty))" /e /r /s</v>
      </c>
      <c r="AG104" s="1" t="str">
        <f t="shared" si="41"/>
        <v>EC</v>
      </c>
      <c r="AH104" s="92" t="str">
        <f t="shared" si="42"/>
        <v>"%USERPROFILE%\Documents\GitHub\eaglep3\Utilities\RefineRTDCRunTimes.py" --tripid 191-02 --locoid 4007 --swversion DE.1.0.8.0 --startMP 204:444 --initTime 2016-11-02T14:55:16 --startdatetime 2016-11-02T15:00:23 --delay 1 --endMP 204:233289 --enddatetime 2016-11-02T15:35:13 --enforcementcount 0 &gt;&gt;C:\Users\stu\Documents\GitHub\eaglep3-reporting\EC\2016-11-02-refined-times.txt</v>
      </c>
      <c r="AI104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{"issue":{"subject":"","project_id":79,"tracker_id":40,"status_id":1,"priority_id":2,"assigned_to_id":23,"start_date":"2016-11-02","description":"","custom_fields":[{"id":1,"name":"Subdivision","value":"EC"},{"id":4,"name":"Milepost","value":"23.3289"},{"id":17,"name":"Train ID","value":"191-02"},{"id":16,"name":"Locomotive ID","value":"4007"},{"id":130,"name":"Impact","value":""},{"id":150,"name":"Time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556</v>
      </c>
      <c r="B105" s="7">
        <v>4008</v>
      </c>
      <c r="C105" s="22" t="s">
        <v>249</v>
      </c>
      <c r="D105" s="22" t="s">
        <v>275</v>
      </c>
      <c r="E105" s="13">
        <v>42676.65966435185</v>
      </c>
      <c r="F105" s="13">
        <v>42676.6643287037</v>
      </c>
      <c r="G105" s="7">
        <v>2</v>
      </c>
      <c r="H105" s="13" t="s">
        <v>226</v>
      </c>
      <c r="I105" s="13">
        <v>42676.690046296295</v>
      </c>
      <c r="J105" s="7">
        <v>0</v>
      </c>
      <c r="K105" s="112" t="str">
        <f t="shared" si="29"/>
        <v>4007/4008</v>
      </c>
      <c r="L105" s="22" t="str">
        <f>VLOOKUP(A105,'Trips&amp;Operators'!$C$1:$E$10000,3,FALSE)</f>
        <v>LOZA</v>
      </c>
      <c r="M105" s="6">
        <f t="shared" si="30"/>
        <v>2.5717592594446614E-2</v>
      </c>
      <c r="N105" s="7">
        <f t="shared" si="44"/>
        <v>37.033333336003125</v>
      </c>
      <c r="O105" s="7"/>
      <c r="P105" s="7"/>
      <c r="Q105" s="23"/>
      <c r="R105" s="23"/>
      <c r="S105" s="35">
        <f t="shared" si="45"/>
        <v>1</v>
      </c>
      <c r="T105" s="50" t="str">
        <f t="shared" si="32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14:49:55-0600',mode:absolute,to:'2016-11-02 17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5" s="52" t="str">
        <f t="shared" si="34"/>
        <v>N</v>
      </c>
      <c r="X105" s="177">
        <f t="shared" si="28"/>
        <v>1</v>
      </c>
      <c r="Y105" s="67">
        <f t="shared" si="35"/>
        <v>23.2973</v>
      </c>
      <c r="Z105" s="67">
        <f t="shared" si="36"/>
        <v>1.5599999999999999E-2</v>
      </c>
      <c r="AA105" s="67">
        <f t="shared" si="37"/>
        <v>23.281700000000001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8"/>
        <v>0192-02</v>
      </c>
      <c r="AE105" s="91" t="str">
        <f t="shared" si="39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105" s="88" t="str">
        <f t="shared" si="40"/>
        <v>"C:\Program Files (x86)\AstroGrep\AstroGrep.exe" /spath="%USERPROFILE%\AppData\Local\Temp\OnboardLogs" /stypes="app*4008*20161102*" /stext=" 22:.+((SYSTEM_STATE.+slice.+state.+changed )|(ment ac)|(system.+state.+changed )|(\[timeout)|(PRM\|1\|D)|(kpr)|(kdp)|(\|lc)|(penalty))" /e /r /s</v>
      </c>
      <c r="AG105" s="1" t="str">
        <f t="shared" si="41"/>
        <v>EC</v>
      </c>
      <c r="AH105" s="92" t="str">
        <f t="shared" si="42"/>
        <v>"%USERPROFILE%\Documents\GitHub\eaglep3\Utilities\RefineRTDCRunTimes.py" --tripid 192-02 --locoid 4008 --swversion DE.1.0.8.0 --startMP 204:232973 --initTime 2016-11-02T15:49:55 --startdatetime 2016-11-02T15:56:38 --delay 2 --endMP 204:156 --enddatetime 2016-11-02T16:33:40 --enforcementcount 0 &gt;&gt;C:\Users\stu\Documents\GitHub\eaglep3-reporting\EC\2016-11-02-refined-times.txt</v>
      </c>
      <c r="AI10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{"issue":{"subject":"","project_id":79,"tracker_id":40,"status_id":1,"priority_id":2,"assigned_to_id":23,"start_date":"2016-11-02","description":"","custom_fields":[{"id":1,"name":"Subdivision","value":"EC"},{"id":4,"name":"Milepost","value":"0.0156"},{"id":17,"name":"Train ID","value":"192-02"},{"id":16,"name":"Locomotive ID","value":"4008"},{"id":130,"name":"Impact","value":""},{"id":150,"name":"Time of Event (Mountain Time)","value":"16:33:40"},{"id":151,"name":"Denver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560</v>
      </c>
      <c r="B106" s="7">
        <v>4003</v>
      </c>
      <c r="C106" s="22" t="s">
        <v>249</v>
      </c>
      <c r="D106" s="22" t="s">
        <v>214</v>
      </c>
      <c r="E106" s="13">
        <v>42676.635150462964</v>
      </c>
      <c r="F106" s="13">
        <v>42676.637337962966</v>
      </c>
      <c r="G106" s="7">
        <v>2</v>
      </c>
      <c r="H106" s="13" t="s">
        <v>316</v>
      </c>
      <c r="I106" s="13">
        <v>42676.661504629628</v>
      </c>
      <c r="J106" s="7">
        <v>0</v>
      </c>
      <c r="K106" s="112" t="str">
        <f t="shared" si="29"/>
        <v>4003/4004</v>
      </c>
      <c r="L106" s="22" t="str">
        <f>VLOOKUP(A106,'Trips&amp;Operators'!$C$1:$E$10000,3,FALSE)</f>
        <v>ADANE</v>
      </c>
      <c r="M106" s="6">
        <f t="shared" si="30"/>
        <v>2.4166666662495118E-2</v>
      </c>
      <c r="N106" s="7">
        <f t="shared" si="44"/>
        <v>34.799999993992969</v>
      </c>
      <c r="O106" s="7"/>
      <c r="P106" s="7"/>
      <c r="Q106" s="23"/>
      <c r="R106" s="23"/>
      <c r="S106" s="35">
        <f t="shared" si="45"/>
        <v>1</v>
      </c>
      <c r="T106" s="50" t="str">
        <f t="shared" si="32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14:14:37-0600',mode:absolute,to:'2016-11-02 16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 t="shared" si="34"/>
        <v>N</v>
      </c>
      <c r="X106" s="177">
        <f t="shared" si="28"/>
        <v>1</v>
      </c>
      <c r="Y106" s="67">
        <f t="shared" si="35"/>
        <v>4.5999999999999999E-2</v>
      </c>
      <c r="Z106" s="67">
        <f t="shared" si="36"/>
        <v>23.331</v>
      </c>
      <c r="AA106" s="67">
        <f t="shared" si="37"/>
        <v>23.285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8"/>
        <v>0193-02</v>
      </c>
      <c r="AE106" s="91" t="str">
        <f t="shared" si="39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106" s="88" t="str">
        <f t="shared" si="40"/>
        <v>"C:\Program Files (x86)\AstroGrep\AstroGrep.exe" /spath="%USERPROFILE%\AppData\Local\Temp\OnboardLogs" /stypes="app*4003*20161102*" /stext=" 21:.+((SYSTEM_STATE.+slice.+state.+changed )|(ment ac)|(system.+state.+changed )|(\[timeout)|(PRM\|1\|D)|(kpr)|(kdp)|(\|lc)|(penalty))" /e /r /s</v>
      </c>
      <c r="AG106" s="1" t="str">
        <f t="shared" si="41"/>
        <v>EC</v>
      </c>
      <c r="AH106" s="92" t="str">
        <f t="shared" si="42"/>
        <v>"%USERPROFILE%\Documents\GitHub\eaglep3\Utilities\RefineRTDCRunTimes.py" --tripid 193-02 --locoid 4003 --swversion DE.1.0.8.0 --startMP 204:460 --initTime 2016-11-02T15:14:37 --startdatetime 2016-11-02T15:17:46 --delay 2 --endMP 204:233310 --enddatetime 2016-11-02T15:52:34 --enforcementcount 0 &gt;&gt;C:\Users\stu\Documents\GitHub\eaglep3-reporting\EC\2016-11-02-refined-times.txt</v>
      </c>
      <c r="AI10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{"issue":{"subject":"","project_id":79,"tracker_id":40,"status_id":1,"priority_id":2,"assigned_to_id":23,"start_date":"2016-11-02","description":"","custom_fields":[{"id":1,"name":"Subdivision","value":"EC"},{"id":4,"name":"Milepost","value":"23.331"},{"id":17,"name":"Train ID","value":"193-02"},{"id":16,"name":"Locomotive ID","value":"4003"},{"id":130,"name":"Impact","value":""},{"id":150,"name":"Time of Event (Mountain Time)","value":"15:52:34"},{"id":151,"name":"Denver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422</v>
      </c>
      <c r="B107" s="7">
        <v>4004</v>
      </c>
      <c r="C107" s="22" t="s">
        <v>249</v>
      </c>
      <c r="D107" s="22" t="s">
        <v>351</v>
      </c>
      <c r="E107" s="13">
        <v>42676.673113425924</v>
      </c>
      <c r="F107" s="13">
        <v>42676.674641203703</v>
      </c>
      <c r="G107" s="7">
        <v>1</v>
      </c>
      <c r="H107" s="13" t="s">
        <v>226</v>
      </c>
      <c r="I107" s="13">
        <v>42676.700127314813</v>
      </c>
      <c r="J107" s="7">
        <v>0</v>
      </c>
      <c r="K107" s="112" t="str">
        <f t="shared" si="29"/>
        <v>4003/4004</v>
      </c>
      <c r="L107" s="22" t="str">
        <f>VLOOKUP(A107,'Trips&amp;Operators'!$C$1:$E$10000,3,FALSE)</f>
        <v>ADANE</v>
      </c>
      <c r="M107" s="6">
        <f t="shared" si="30"/>
        <v>2.548611110978527E-2</v>
      </c>
      <c r="N107" s="7">
        <f t="shared" si="44"/>
        <v>36.699999998090789</v>
      </c>
      <c r="O107" s="7"/>
      <c r="P107" s="7"/>
      <c r="Q107" s="23"/>
      <c r="R107" s="23"/>
      <c r="S107" s="35">
        <f t="shared" si="45"/>
        <v>1</v>
      </c>
      <c r="T107" s="50" t="str">
        <f t="shared" si="32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15:09:17-0600',mode:absolute,to:'2016-11-02 17:48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 t="shared" si="34"/>
        <v>N</v>
      </c>
      <c r="X107" s="177">
        <f t="shared" si="28"/>
        <v>1</v>
      </c>
      <c r="Y107" s="67">
        <f t="shared" si="35"/>
        <v>23.2987</v>
      </c>
      <c r="Z107" s="67">
        <f t="shared" si="36"/>
        <v>1.5599999999999999E-2</v>
      </c>
      <c r="AA107" s="67">
        <f t="shared" si="37"/>
        <v>23.283100000000001</v>
      </c>
      <c r="AB107" s="64" t="str">
        <f>VLOOKUP(A107,Enforcements!$C$7:$K$21,8,0)</f>
        <v>Speed (6)</v>
      </c>
      <c r="AC107" s="60" t="str">
        <f>VLOOKUP(A107,Enforcements!$C$7:$E$21,3,0)</f>
        <v>PERMANENT SPEED RESTRICTION</v>
      </c>
      <c r="AD107" s="61" t="str">
        <f t="shared" si="38"/>
        <v>0194-02</v>
      </c>
      <c r="AE107" s="91" t="str">
        <f t="shared" si="39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107" s="88" t="str">
        <f t="shared" si="40"/>
        <v>"C:\Program Files (x86)\AstroGrep\AstroGrep.exe" /spath="%USERPROFILE%\AppData\Local\Temp\OnboardLogs" /stypes="app*4004*20161102*" /stext=" 22:.+((SYSTEM_STATE.+slice.+state.+changed )|(ment ac)|(system.+state.+changed )|(\[timeout)|(PRM\|1\|D)|(kpr)|(kdp)|(\|lc)|(penalty))" /e /r /s</v>
      </c>
      <c r="AG107" s="1" t="str">
        <f t="shared" si="41"/>
        <v>EC</v>
      </c>
      <c r="AH107" s="92" t="str">
        <f t="shared" si="42"/>
        <v>"%USERPROFILE%\Documents\GitHub\eaglep3\Utilities\RefineRTDCRunTimes.py" --tripid 194-02 --locoid 4004 --swversion DE.1.0.8.0 --startMP 204:232987 --initTime 2016-11-02T16:09:17 --startdatetime 2016-11-02T16:11:29 --delay 1 --endMP 204:156 --enddatetime 2016-11-02T16:48:11 --enforcementcount 0 &gt;&gt;C:\Users\stu\Documents\GitHub\eaglep3-reporting\EC\2016-11-02-refined-times.txt</v>
      </c>
      <c r="AI107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{"issue":{"subject":"","project_id":79,"tracker_id":40,"status_id":1,"priority_id":2,"assigned_to_id":23,"start_date":"2016-11-02","description":"","custom_fields":[{"id":1,"name":"Subdivision","value":"EC"},{"id":4,"name":"Milepost","value":"0.0156"},{"id":17,"name":"Train ID","value":"194-02"},{"id":16,"name":"Locomotive ID","value":"4004"},{"id":130,"name":"Impact","value":""},{"id":150,"name":"Time of Event (Mountain Time)","value":"16:48:11"},{"id":151,"name":"Denver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563</v>
      </c>
      <c r="B108" s="7">
        <v>4009</v>
      </c>
      <c r="C108" s="22" t="s">
        <v>249</v>
      </c>
      <c r="D108" s="22" t="s">
        <v>675</v>
      </c>
      <c r="E108" s="13">
        <v>42676.642546296294</v>
      </c>
      <c r="F108" s="13">
        <v>42676.646192129629</v>
      </c>
      <c r="G108" s="7">
        <v>1</v>
      </c>
      <c r="H108" s="13" t="s">
        <v>644</v>
      </c>
      <c r="I108" s="13">
        <v>42676.670682870368</v>
      </c>
      <c r="J108" s="7">
        <v>0</v>
      </c>
      <c r="K108" s="112" t="str">
        <f t="shared" si="29"/>
        <v>4009/4010</v>
      </c>
      <c r="L108" s="22" t="str">
        <f>VLOOKUP(A108,'Trips&amp;Operators'!$C$1:$E$10000,3,FALSE)</f>
        <v>WHITED</v>
      </c>
      <c r="M108" s="6">
        <f t="shared" si="30"/>
        <v>2.4490740739565808E-2</v>
      </c>
      <c r="N108" s="7">
        <f t="shared" si="44"/>
        <v>35.266666664974764</v>
      </c>
      <c r="O108" s="7"/>
      <c r="P108" s="7"/>
      <c r="Q108" s="23"/>
      <c r="R108" s="23"/>
      <c r="S108" s="35">
        <f t="shared" si="45"/>
        <v>1</v>
      </c>
      <c r="T108" s="50" t="str">
        <f t="shared" si="32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14:25:16-0600',mode:absolute,to:'2016-11-02 17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8" s="52" t="str">
        <f t="shared" si="34"/>
        <v>N</v>
      </c>
      <c r="X108" s="177">
        <f t="shared" si="28"/>
        <v>1</v>
      </c>
      <c r="Y108" s="67">
        <f t="shared" si="35"/>
        <v>4.0399999999999998E-2</v>
      </c>
      <c r="Z108" s="67">
        <f t="shared" si="36"/>
        <v>23.3324</v>
      </c>
      <c r="AA108" s="67">
        <f t="shared" si="37"/>
        <v>23.291999999999998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8"/>
        <v>0195-02</v>
      </c>
      <c r="AE108" s="91" t="str">
        <f t="shared" si="39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108" s="88" t="str">
        <f t="shared" si="40"/>
        <v>"C:\Program Files (x86)\AstroGrep\AstroGrep.exe" /spath="%USERPROFILE%\AppData\Local\Temp\OnboardLogs" /stypes="app*4009*20161102*" /stext=" 22:.+((SYSTEM_STATE.+slice.+state.+changed )|(ment ac)|(system.+state.+changed )|(\[timeout)|(PRM\|1\|D)|(kpr)|(kdp)|(\|lc)|(penalty))" /e /r /s</v>
      </c>
      <c r="AG108" s="1" t="str">
        <f t="shared" si="41"/>
        <v>EC</v>
      </c>
      <c r="AH108" s="92" t="str">
        <f t="shared" si="42"/>
        <v>"%USERPROFILE%\Documents\GitHub\eaglep3\Utilities\RefineRTDCRunTimes.py" --tripid 195-02 --locoid 4009 --swversion DE.1.0.8.0 --startMP 204:404 --initTime 2016-11-02T15:25:16 --startdatetime 2016-11-02T15:30:31 --delay 1 --endMP 204:233324 --enddatetime 2016-11-02T16:05:47 --enforcementcount 0 &gt;&gt;C:\Users\stu\Documents\GitHub\eaglep3-reporting\EC\2016-11-02-refined-times.txt</v>
      </c>
      <c r="AI10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{"issue":{"subject":"","project_id":79,"tracker_id":40,"status_id":1,"priority_id":2,"assigned_to_id":23,"start_date":"2016-11-02","description":"","custom_fields":[{"id":1,"name":"Subdivision","value":"EC"},{"id":4,"name":"Milepost","value":"23.3324"},{"id":17,"name":"Train ID","value":"195-02"},{"id":16,"name":"Locomotive ID","value":"4009"},{"id":130,"name":"Impact","value":""},{"id":150,"name":"Time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571</v>
      </c>
      <c r="B109" s="7">
        <v>4010</v>
      </c>
      <c r="C109" s="22" t="s">
        <v>249</v>
      </c>
      <c r="D109" s="22" t="s">
        <v>315</v>
      </c>
      <c r="E109" s="13">
        <v>42676.679340277777</v>
      </c>
      <c r="F109" s="13">
        <v>42676.685254629629</v>
      </c>
      <c r="G109" s="7">
        <v>1</v>
      </c>
      <c r="H109" s="13" t="s">
        <v>662</v>
      </c>
      <c r="I109" s="13">
        <v>42676.711597222224</v>
      </c>
      <c r="J109" s="7">
        <v>0</v>
      </c>
      <c r="K109" s="112" t="str">
        <f t="shared" si="29"/>
        <v>4009/4010</v>
      </c>
      <c r="L109" s="22" t="str">
        <f>VLOOKUP(A109,'Trips&amp;Operators'!$C$1:$E$10000,3,FALSE)</f>
        <v>WHITED</v>
      </c>
      <c r="M109" s="6">
        <f t="shared" si="30"/>
        <v>2.6342592595028691E-2</v>
      </c>
      <c r="N109" s="7">
        <f t="shared" si="44"/>
        <v>37.933333336841315</v>
      </c>
      <c r="O109" s="7"/>
      <c r="P109" s="7"/>
      <c r="Q109" s="23"/>
      <c r="R109" s="23"/>
      <c r="S109" s="35">
        <f t="shared" si="45"/>
        <v>1</v>
      </c>
      <c r="T109" s="50" t="str">
        <f t="shared" si="32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15:18:15-0600',mode:absolute,to:'2016-11-02 18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9" s="52" t="str">
        <f t="shared" si="34"/>
        <v>N</v>
      </c>
      <c r="X109" s="177">
        <f t="shared" si="28"/>
        <v>1</v>
      </c>
      <c r="Y109" s="67">
        <f t="shared" si="35"/>
        <v>23.298200000000001</v>
      </c>
      <c r="Z109" s="67">
        <f t="shared" si="36"/>
        <v>1.6899999999999998E-2</v>
      </c>
      <c r="AA109" s="67">
        <f t="shared" si="37"/>
        <v>23.281300000000002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8"/>
        <v>0196-02</v>
      </c>
      <c r="AE109" s="91" t="str">
        <f t="shared" si="39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109" s="88" t="str">
        <f t="shared" si="40"/>
        <v>"C:\Program Files (x86)\AstroGrep\AstroGrep.exe" /spath="%USERPROFILE%\AppData\Local\Temp\OnboardLogs" /stypes="app*4010*20161102*" /stext=" 23:.+((SYSTEM_STATE.+slice.+state.+changed )|(ment ac)|(system.+state.+changed )|(\[timeout)|(PRM\|1\|D)|(kpr)|(kdp)|(\|lc)|(penalty))" /e /r /s</v>
      </c>
      <c r="AG109" s="1" t="str">
        <f t="shared" si="41"/>
        <v>EC</v>
      </c>
      <c r="AH109" s="92" t="str">
        <f t="shared" si="42"/>
        <v>"%USERPROFILE%\Documents\GitHub\eaglep3\Utilities\RefineRTDCRunTimes.py" --tripid 196-02 --locoid 4010 --swversion DE.1.0.8.0 --startMP 204:232982 --initTime 2016-11-02T16:18:15 --startdatetime 2016-11-02T16:26:46 --delay 1 --endMP 204:169 --enddatetime 2016-11-02T17:04:42 --enforcementcount 0 &gt;&gt;C:\Users\stu\Documents\GitHub\eaglep3-reporting\EC\2016-11-02-refined-times.txt</v>
      </c>
      <c r="AI10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{"issue":{"subject":"","project_id":79,"tracker_id":40,"status_id":1,"priority_id":2,"assigned_to_id":23,"start_date":"2016-11-02","description":"","custom_fields":[{"id":1,"name":"Subdivision","value":"EC"},{"id":4,"name":"Milepost","value":"0.0169"},{"id":17,"name":"Train ID","value":"196-02"},{"id":16,"name":"Locomotive ID","value":"4010"},{"id":130,"name":"Impact","value":""},{"id":150,"name":"Time of Event (Mountain Time)","value":"17:04:42"},{"id":151,"name":"Denver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565</v>
      </c>
      <c r="B110" s="7">
        <v>4053</v>
      </c>
      <c r="C110" s="22" t="s">
        <v>249</v>
      </c>
      <c r="D110" s="22" t="s">
        <v>267</v>
      </c>
      <c r="E110" s="13">
        <v>42676.651863425926</v>
      </c>
      <c r="F110" s="13">
        <v>42676.656435185185</v>
      </c>
      <c r="G110" s="7">
        <v>1</v>
      </c>
      <c r="H110" s="13" t="s">
        <v>365</v>
      </c>
      <c r="I110" s="13">
        <v>42676.68068287037</v>
      </c>
      <c r="J110" s="7">
        <v>0</v>
      </c>
      <c r="K110" s="112" t="str">
        <f t="shared" si="29"/>
        <v>4053/4054</v>
      </c>
      <c r="L110" s="22" t="str">
        <f>VLOOKUP(A110,'Trips&amp;Operators'!$C$1:$E$10000,3,FALSE)</f>
        <v>ROMERO</v>
      </c>
      <c r="M110" s="6">
        <f t="shared" si="30"/>
        <v>2.4247685185400769E-2</v>
      </c>
      <c r="N110" s="7">
        <f t="shared" si="44"/>
        <v>34.916666666977108</v>
      </c>
      <c r="O110" s="7"/>
      <c r="P110" s="7"/>
      <c r="Q110" s="23"/>
      <c r="R110" s="23"/>
      <c r="S110" s="35">
        <f t="shared" si="45"/>
        <v>1</v>
      </c>
      <c r="T110" s="50" t="str">
        <f t="shared" si="32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14:38:41-0600',mode:absolute,to:'2016-11-02 17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0" s="52" t="str">
        <f t="shared" si="34"/>
        <v>N</v>
      </c>
      <c r="X110" s="177">
        <f t="shared" si="28"/>
        <v>1</v>
      </c>
      <c r="Y110" s="67">
        <f t="shared" si="35"/>
        <v>4.7300000000000002E-2</v>
      </c>
      <c r="Z110" s="67">
        <f t="shared" si="36"/>
        <v>23.3306</v>
      </c>
      <c r="AA110" s="67">
        <f t="shared" si="37"/>
        <v>23.283300000000001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8"/>
        <v>0197-02</v>
      </c>
      <c r="AE110" s="91" t="str">
        <f t="shared" si="39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110" s="88" t="str">
        <f t="shared" si="40"/>
        <v>"C:\Program Files (x86)\AstroGrep\AstroGrep.exe" /spath="%USERPROFILE%\AppData\Local\Temp\OnboardLogs" /stypes="app*4053*20161102*" /stext=" 22:.+((SYSTEM_STATE.+slice.+state.+changed )|(ment ac)|(system.+state.+changed )|(\[timeout)|(PRM\|1\|D)|(kpr)|(kdp)|(\|lc)|(penalty))" /e /r /s</v>
      </c>
      <c r="AG110" s="1" t="str">
        <f t="shared" si="41"/>
        <v>EC</v>
      </c>
      <c r="AH110" s="92" t="str">
        <f t="shared" si="42"/>
        <v>"%USERPROFILE%\Documents\GitHub\eaglep3\Utilities\RefineRTDCRunTimes.py" --tripid 197-02 --locoid 4053 --swversion DE.1.0.8.0 --startMP 204:473 --initTime 2016-11-02T15:38:41 --startdatetime 2016-11-02T15:45:16 --delay 1 --endMP 204:233306 --enddatetime 2016-11-02T16:20:11 --enforcementcount 0 &gt;&gt;C:\Users\stu\Documents\GitHub\eaglep3-reporting\EC\2016-11-02-refined-times.txt</v>
      </c>
      <c r="AI11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{"issue":{"subject":"","project_id":79,"tracker_id":40,"status_id":1,"priority_id":2,"assigned_to_id":23,"start_date":"2016-11-02","description":"","custom_fields":[{"id":1,"name":"Subdivision","value":"EC"},{"id":4,"name":"Milepost","value":"23.3306"},{"id":17,"name":"Train ID","value":"197-02"},{"id":16,"name":"Locomotive ID","value":"4053"},{"id":130,"name":"Impact","value":""},{"id":150,"name":"Time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572</v>
      </c>
      <c r="B111" s="7">
        <v>4054</v>
      </c>
      <c r="C111" s="22" t="s">
        <v>249</v>
      </c>
      <c r="D111" s="22" t="s">
        <v>369</v>
      </c>
      <c r="E111" s="13">
        <v>42676.682233796295</v>
      </c>
      <c r="F111" s="13">
        <v>42676.695590277777</v>
      </c>
      <c r="G111" s="7">
        <v>1</v>
      </c>
      <c r="H111" s="13" t="s">
        <v>309</v>
      </c>
      <c r="I111" s="13">
        <v>42676.721145833333</v>
      </c>
      <c r="J111" s="7">
        <v>0</v>
      </c>
      <c r="K111" s="112" t="str">
        <f t="shared" si="29"/>
        <v>4053/4054</v>
      </c>
      <c r="L111" s="22" t="str">
        <f>VLOOKUP(A111,'Trips&amp;Operators'!$C$1:$E$10000,3,FALSE)</f>
        <v>ROMERO</v>
      </c>
      <c r="M111" s="6">
        <f t="shared" si="30"/>
        <v>2.5555555555911269E-2</v>
      </c>
      <c r="N111" s="7">
        <f t="shared" si="44"/>
        <v>36.800000000512227</v>
      </c>
      <c r="O111" s="7"/>
      <c r="P111" s="7"/>
      <c r="Q111" s="23"/>
      <c r="R111" s="23"/>
      <c r="S111" s="35">
        <f t="shared" si="45"/>
        <v>1</v>
      </c>
      <c r="T111" s="50" t="str">
        <f t="shared" si="32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15:22:25-0600',mode:absolute,to:'2016-11-02 18:18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1" s="52" t="str">
        <f t="shared" si="34"/>
        <v>N</v>
      </c>
      <c r="X111" s="177">
        <f t="shared" si="28"/>
        <v>1</v>
      </c>
      <c r="Y111" s="67">
        <f t="shared" si="35"/>
        <v>23.299099999999999</v>
      </c>
      <c r="Z111" s="67">
        <f t="shared" si="36"/>
        <v>1.6299999999999999E-2</v>
      </c>
      <c r="AA111" s="67">
        <f t="shared" si="37"/>
        <v>23.282799999999998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8"/>
        <v>0198-02</v>
      </c>
      <c r="AE111" s="91" t="str">
        <f t="shared" si="39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111" s="88" t="str">
        <f t="shared" si="40"/>
        <v>"C:\Program Files (x86)\AstroGrep\AstroGrep.exe" /spath="%USERPROFILE%\AppData\Local\Temp\OnboardLogs" /stypes="app*4054*20161102*" /stext=" 23:.+((SYSTEM_STATE.+slice.+state.+changed )|(ment ac)|(system.+state.+changed )|(\[timeout)|(PRM\|1\|D)|(kpr)|(kdp)|(\|lc)|(penalty))" /e /r /s</v>
      </c>
      <c r="AG111" s="1" t="str">
        <f t="shared" si="41"/>
        <v>EC</v>
      </c>
      <c r="AH111" s="92" t="str">
        <f t="shared" si="42"/>
        <v>"%USERPROFILE%\Documents\GitHub\eaglep3\Utilities\RefineRTDCRunTimes.py" --tripid 198-02 --locoid 4054 --swversion DE.1.0.8.0 --startMP 204:232991 --initTime 2016-11-02T16:22:25 --startdatetime 2016-11-02T16:41:39 --delay 1 --endMP 204:163 --enddatetime 2016-11-02T17:18:27 --enforcementcount 0 &gt;&gt;C:\Users\stu\Documents\GitHub\eaglep3-reporting\EC\2016-11-02-refined-times.txt</v>
      </c>
      <c r="AI11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{"issue":{"subject":"","project_id":79,"tracker_id":40,"status_id":1,"priority_id":2,"assigned_to_id":23,"start_date":"2016-11-02","description":"","custom_fields":[{"id":1,"name":"Subdivision","value":"EC"},{"id":4,"name":"Milepost","value":"0.0163"},{"id":17,"name":"Train ID","value":"198-02"},{"id":16,"name":"Locomotive ID","value":"4054"},{"id":130,"name":"Impact","value":""},{"id":150,"name":"Time of Event (Mountain Time)","value":"17:18:27"},{"id":151,"name":"Denver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568</v>
      </c>
      <c r="B112" s="7">
        <v>4018</v>
      </c>
      <c r="C112" s="22" t="s">
        <v>249</v>
      </c>
      <c r="D112" s="22" t="s">
        <v>292</v>
      </c>
      <c r="E112" s="13">
        <v>42676.660810185182</v>
      </c>
      <c r="F112" s="13">
        <v>42676.666944444441</v>
      </c>
      <c r="G112" s="7">
        <v>1</v>
      </c>
      <c r="H112" s="13" t="s">
        <v>294</v>
      </c>
      <c r="I112" s="13">
        <v>42676.691574074073</v>
      </c>
      <c r="J112" s="7">
        <v>0</v>
      </c>
      <c r="K112" s="112" t="str">
        <f t="shared" si="29"/>
        <v>4017/4018</v>
      </c>
      <c r="L112" s="22" t="str">
        <f>VLOOKUP(A112,'Trips&amp;Operators'!$C$1:$E$10000,3,FALSE)</f>
        <v>MACDONALD</v>
      </c>
      <c r="M112" s="6">
        <f t="shared" si="30"/>
        <v>2.4629629631817807E-2</v>
      </c>
      <c r="N112" s="7">
        <f t="shared" si="44"/>
        <v>35.466666669817641</v>
      </c>
      <c r="O112" s="7"/>
      <c r="P112" s="7"/>
      <c r="Q112" s="23"/>
      <c r="R112" s="23"/>
      <c r="S112" s="35">
        <f t="shared" si="45"/>
        <v>1</v>
      </c>
      <c r="T112" s="50" t="str">
        <f t="shared" si="32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14:51:34-0600',mode:absolute,to:'2016-11-02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34"/>
        <v>N</v>
      </c>
      <c r="X112" s="177">
        <f t="shared" si="28"/>
        <v>1</v>
      </c>
      <c r="Y112" s="67">
        <f t="shared" si="35"/>
        <v>4.4200000000000003E-2</v>
      </c>
      <c r="Z112" s="67">
        <f t="shared" si="36"/>
        <v>23.3276</v>
      </c>
      <c r="AA112" s="67">
        <f t="shared" si="37"/>
        <v>23.2834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8"/>
        <v>0199-02</v>
      </c>
      <c r="AE112" s="91" t="str">
        <f t="shared" si="39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12" s="88" t="str">
        <f t="shared" si="40"/>
        <v>"C:\Program Files (x86)\AstroGrep\AstroGrep.exe" /spath="%USERPROFILE%\AppData\Local\Temp\OnboardLogs" /stypes="app*4018*20161102*" /stext=" 22:.+((SYSTEM_STATE.+slice.+state.+changed )|(ment ac)|(system.+state.+changed )|(\[timeout)|(PRM\|1\|D)|(kpr)|(kdp)|(\|lc)|(penalty))" /e /r /s</v>
      </c>
      <c r="AG112" s="1" t="str">
        <f t="shared" si="41"/>
        <v>EC</v>
      </c>
      <c r="AH112" s="92" t="str">
        <f t="shared" si="42"/>
        <v>"%USERPROFILE%\Documents\GitHub\eaglep3\Utilities\RefineRTDCRunTimes.py" --tripid 199-02 --locoid 4018 --swversion DE.1.0.8.0 --startMP 204:442 --initTime 2016-11-02T15:51:34 --startdatetime 2016-11-02T16:00:24 --delay 1 --endMP 204:233276 --enddatetime 2016-11-02T16:35:52 --enforcementcount 0 &gt;&gt;C:\Users\stu\Documents\GitHub\eaglep3-reporting\EC\2016-11-02-refined-times.txt</v>
      </c>
      <c r="AI11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{"issue":{"subject":"","project_id":79,"tracker_id":40,"status_id":1,"priority_id":2,"assigned_to_id":23,"start_date":"2016-11-02","description":"","custom_fields":[{"id":1,"name":"Subdivision","value":"EC"},{"id":4,"name":"Milepost","value":"23.3276"},{"id":17,"name":"Train ID","value":"199-02"},{"id":16,"name":"Locomotive ID","value":"4018"},{"id":130,"name":"Impact","value":""},{"id":150,"name":"Time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576</v>
      </c>
      <c r="B113" s="7">
        <v>4017</v>
      </c>
      <c r="C113" s="22" t="s">
        <v>249</v>
      </c>
      <c r="D113" s="22" t="s">
        <v>676</v>
      </c>
      <c r="E113" s="13">
        <v>42676.701990740738</v>
      </c>
      <c r="F113" s="13">
        <v>42676.706793981481</v>
      </c>
      <c r="G113" s="7">
        <v>1</v>
      </c>
      <c r="H113" s="13" t="s">
        <v>239</v>
      </c>
      <c r="I113" s="13">
        <v>42676.732499999998</v>
      </c>
      <c r="J113" s="7">
        <v>0</v>
      </c>
      <c r="K113" s="112" t="str">
        <f t="shared" si="29"/>
        <v>4017/4018</v>
      </c>
      <c r="L113" s="22" t="str">
        <f>VLOOKUP(A113,'Trips&amp;Operators'!$C$1:$E$10000,3,FALSE)</f>
        <v>MACDONALD</v>
      </c>
      <c r="M113" s="6">
        <f t="shared" si="30"/>
        <v>2.5706018517666962E-2</v>
      </c>
      <c r="N113" s="7">
        <f t="shared" si="44"/>
        <v>37.016666665440425</v>
      </c>
      <c r="O113" s="7"/>
      <c r="P113" s="7"/>
      <c r="Q113" s="23"/>
      <c r="R113" s="23"/>
      <c r="S113" s="35">
        <f t="shared" si="45"/>
        <v>1</v>
      </c>
      <c r="T113" s="50" t="str">
        <f t="shared" si="32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15:50:52-0600',mode:absolute,to:'2016-11-02 18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34"/>
        <v>N</v>
      </c>
      <c r="X113" s="177">
        <f t="shared" si="28"/>
        <v>1</v>
      </c>
      <c r="Y113" s="67">
        <f t="shared" si="35"/>
        <v>23.294599999999999</v>
      </c>
      <c r="Z113" s="67">
        <f t="shared" si="36"/>
        <v>1.67E-2</v>
      </c>
      <c r="AA113" s="67">
        <f t="shared" si="37"/>
        <v>23.277899999999999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8"/>
        <v>0200-02</v>
      </c>
      <c r="AE113" s="91" t="str">
        <f t="shared" si="39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113" s="88" t="str">
        <f t="shared" si="40"/>
        <v>"C:\Program Files (x86)\AstroGrep\AstroGrep.exe" /spath="%USERPROFILE%\AppData\Local\Temp\OnboardLogs" /stypes="app*4017*20161102*" /stext=" 23:.+((SYSTEM_STATE.+slice.+state.+changed )|(ment ac)|(system.+state.+changed )|(\[timeout)|(PRM\|1\|D)|(kpr)|(kdp)|(\|lc)|(penalty))" /e /r /s</v>
      </c>
      <c r="AG113" s="1" t="str">
        <f t="shared" si="41"/>
        <v>EC</v>
      </c>
      <c r="AH113" s="92" t="str">
        <f t="shared" si="42"/>
        <v>"%USERPROFILE%\Documents\GitHub\eaglep3\Utilities\RefineRTDCRunTimes.py" --tripid 200-02 --locoid 4017 --swversion DE.1.0.8.0 --startMP 204:232946 --initTime 2016-11-02T16:50:52 --startdatetime 2016-11-02T16:57:47 --delay 1 --endMP 204:167 --enddatetime 2016-11-02T17:34:48 --enforcementcount 0 &gt;&gt;C:\Users\stu\Documents\GitHub\eaglep3-reporting\EC\2016-11-02-refined-times.txt</v>
      </c>
      <c r="AI11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{"issue":{"subject":"","project_id":79,"tracker_id":40,"status_id":1,"priority_id":2,"assigned_to_id":23,"start_date":"2016-11-02","description":"","custom_fields":[{"id":1,"name":"Subdivision","value":"EC"},{"id":4,"name":"Milepost","value":"0.0167"},{"id":17,"name":"Train ID","value":"200-02"},{"id":16,"name":"Locomotive ID","value":"4017"},{"id":130,"name":"Impact","value":""},{"id":150,"name":"Time of Event (Mountain Time)","value":"17:34:48"},{"id":151,"name":"Denver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569</v>
      </c>
      <c r="B114" s="7">
        <v>4002</v>
      </c>
      <c r="C114" s="22" t="s">
        <v>249</v>
      </c>
      <c r="D114" s="22" t="s">
        <v>210</v>
      </c>
      <c r="E114" s="13">
        <v>42676.670810185184</v>
      </c>
      <c r="F114" s="13">
        <v>42676.677245370367</v>
      </c>
      <c r="G114" s="7">
        <v>1</v>
      </c>
      <c r="H114" s="13" t="s">
        <v>358</v>
      </c>
      <c r="I114" s="13">
        <v>42676.701874999999</v>
      </c>
      <c r="J114" s="7">
        <v>0</v>
      </c>
      <c r="K114" s="112" t="str">
        <f t="shared" si="29"/>
        <v>4001/4002</v>
      </c>
      <c r="L114" s="22" t="str">
        <f>VLOOKUP(A114,'Trips&amp;Operators'!$C$1:$E$10000,3,FALSE)</f>
        <v>SAFIEF</v>
      </c>
      <c r="M114" s="6">
        <f t="shared" si="30"/>
        <v>2.4629629631817807E-2</v>
      </c>
      <c r="N114" s="7">
        <f t="shared" si="44"/>
        <v>35.466666669817641</v>
      </c>
      <c r="O114" s="7"/>
      <c r="P114" s="7"/>
      <c r="Q114" s="23"/>
      <c r="R114" s="23"/>
      <c r="S114" s="35">
        <f t="shared" si="45"/>
        <v>1</v>
      </c>
      <c r="T114" s="50" t="str">
        <f t="shared" si="32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15:05:58-0600',mode:absolute,to:'2016-11-02 17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4" s="52" t="str">
        <f t="shared" si="34"/>
        <v>N</v>
      </c>
      <c r="X114" s="177">
        <f t="shared" si="28"/>
        <v>1</v>
      </c>
      <c r="Y114" s="67">
        <f t="shared" si="35"/>
        <v>4.5499999999999999E-2</v>
      </c>
      <c r="Z114" s="67">
        <f t="shared" si="36"/>
        <v>23.331700000000001</v>
      </c>
      <c r="AA114" s="67">
        <f t="shared" si="37"/>
        <v>23.286200000000001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8"/>
        <v>0201-02</v>
      </c>
      <c r="AE114" s="91" t="str">
        <f t="shared" si="39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114" s="88" t="str">
        <f t="shared" si="40"/>
        <v>"C:\Program Files (x86)\AstroGrep\AstroGrep.exe" /spath="%USERPROFILE%\AppData\Local\Temp\OnboardLogs" /stypes="app*4002*20161102*" /stext=" 22:.+((SYSTEM_STATE.+slice.+state.+changed )|(ment ac)|(system.+state.+changed )|(\[timeout)|(PRM\|1\|D)|(kpr)|(kdp)|(\|lc)|(penalty))" /e /r /s</v>
      </c>
      <c r="AG114" s="1" t="str">
        <f t="shared" si="41"/>
        <v>EC</v>
      </c>
      <c r="AH114" s="92" t="str">
        <f t="shared" si="42"/>
        <v>"%USERPROFILE%\Documents\GitHub\eaglep3\Utilities\RefineRTDCRunTimes.py" --tripid 201-02 --locoid 4002 --swversion DE.1.0.8.0 --startMP 204:455 --initTime 2016-11-02T16:05:58 --startdatetime 2016-11-02T16:15:14 --delay 1 --endMP 204:233317 --enddatetime 2016-11-02T16:50:42 --enforcementcount 0 &gt;&gt;C:\Users\stu\Documents\GitHub\eaglep3-reporting\EC\2016-11-02-refined-times.txt</v>
      </c>
      <c r="AI114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{"issue":{"subject":"","project_id":79,"tracker_id":40,"status_id":1,"priority_id":2,"assigned_to_id":23,"start_date":"2016-11-02","description":"","custom_fields":[{"id":1,"name":"Subdivision","value":"EC"},{"id":4,"name":"Milepost","value":"23.3317"},{"id":17,"name":"Train ID","value":"201-02"},{"id":16,"name":"Locomotive ID","value":"4002"},{"id":130,"name":"Impact","value":""},{"id":150,"name":"Time of Event (Mountain Time)","value":"16:50:42"},{"id":151,"name":"Denver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578</v>
      </c>
      <c r="B115" s="7">
        <v>4001</v>
      </c>
      <c r="C115" s="22" t="s">
        <v>249</v>
      </c>
      <c r="D115" s="22" t="s">
        <v>308</v>
      </c>
      <c r="E115" s="13">
        <v>42676.706643518519</v>
      </c>
      <c r="F115" s="13">
        <v>42676.716168981482</v>
      </c>
      <c r="G115" s="7">
        <v>1</v>
      </c>
      <c r="H115" s="13" t="s">
        <v>176</v>
      </c>
      <c r="I115" s="13">
        <v>42676.743738425925</v>
      </c>
      <c r="J115" s="7">
        <v>0</v>
      </c>
      <c r="K115" s="112" t="str">
        <f t="shared" si="29"/>
        <v>4001/4002</v>
      </c>
      <c r="L115" s="22" t="str">
        <f>VLOOKUP(A115,'Trips&amp;Operators'!$C$1:$E$10000,3,FALSE)</f>
        <v>SAFIEF</v>
      </c>
      <c r="M115" s="6">
        <f t="shared" si="30"/>
        <v>2.7569444442633539E-2</v>
      </c>
      <c r="N115" s="7">
        <f t="shared" si="44"/>
        <v>39.699999997392297</v>
      </c>
      <c r="O115" s="7"/>
      <c r="P115" s="7"/>
      <c r="Q115" s="23"/>
      <c r="R115" s="23"/>
      <c r="S115" s="35">
        <f t="shared" si="45"/>
        <v>1</v>
      </c>
      <c r="T115" s="50" t="str">
        <f t="shared" si="32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15:57:34-0600',mode:absolute,to:'2016-11-02 18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5" s="52" t="str">
        <f t="shared" si="34"/>
        <v>N</v>
      </c>
      <c r="X115" s="177">
        <f t="shared" si="28"/>
        <v>1</v>
      </c>
      <c r="Y115" s="67">
        <f t="shared" si="35"/>
        <v>23.300599999999999</v>
      </c>
      <c r="Z115" s="67">
        <f t="shared" si="36"/>
        <v>1.52E-2</v>
      </c>
      <c r="AA115" s="67">
        <f t="shared" si="37"/>
        <v>23.285399999999999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8"/>
        <v>0202-02</v>
      </c>
      <c r="AE115" s="91" t="str">
        <f t="shared" si="39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115" s="88" t="str">
        <f t="shared" si="40"/>
        <v>"C:\Program Files (x86)\AstroGrep\AstroGrep.exe" /spath="%USERPROFILE%\AppData\Local\Temp\OnboardLogs" /stypes="app*4001*20161102*" /stext=" 23:.+((SYSTEM_STATE.+slice.+state.+changed )|(ment ac)|(system.+state.+changed )|(\[timeout)|(PRM\|1\|D)|(kpr)|(kdp)|(\|lc)|(penalty))" /e /r /s</v>
      </c>
      <c r="AG115" s="1" t="str">
        <f t="shared" si="41"/>
        <v>EC</v>
      </c>
      <c r="AH115" s="92" t="str">
        <f t="shared" si="42"/>
        <v>"%USERPROFILE%\Documents\GitHub\eaglep3\Utilities\RefineRTDCRunTimes.py" --tripid 202-02 --locoid 4001 --swversion DE.1.0.8.0 --startMP 204:233006 --initTime 2016-11-02T16:57:34 --startdatetime 2016-11-02T17:11:17 --delay 1 --endMP 204:152 --enddatetime 2016-11-02T17:50:59 --enforcementcount 0 &gt;&gt;C:\Users\stu\Documents\GitHub\eaglep3-reporting\EC\2016-11-02-refined-times.txt</v>
      </c>
      <c r="AI11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{"issue":{"subject":"","project_id":79,"tracker_id":40,"status_id":1,"priority_id":2,"assigned_to_id":23,"start_date":"2016-11-02","description":"","custom_fields":[{"id":1,"name":"Subdivision","value":"EC"},{"id":4,"name":"Milepost","value":"0.0152"},{"id":17,"name":"Train ID","value":"202-02"},{"id":16,"name":"Locomotive ID","value":"4001"},{"id":130,"name":"Impact","value":""},{"id":150,"name":"Time of Event (Mountain Time)","value":"17:50:59"},{"id":151,"name":"Denver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573</v>
      </c>
      <c r="B116" s="7">
        <v>4038</v>
      </c>
      <c r="C116" s="22" t="s">
        <v>249</v>
      </c>
      <c r="D116" s="22" t="s">
        <v>255</v>
      </c>
      <c r="E116" s="13">
        <v>42676.683865740742</v>
      </c>
      <c r="F116" s="13">
        <v>42676.688032407408</v>
      </c>
      <c r="G116" s="7">
        <v>2</v>
      </c>
      <c r="H116" s="13" t="s">
        <v>191</v>
      </c>
      <c r="I116" s="13">
        <v>42676.712361111109</v>
      </c>
      <c r="J116" s="7">
        <v>0</v>
      </c>
      <c r="K116" s="112" t="str">
        <f t="shared" si="29"/>
        <v>4037/4038</v>
      </c>
      <c r="L116" s="22" t="str">
        <f>VLOOKUP(A116,'Trips&amp;Operators'!$C$1:$E$10000,3,FALSE)</f>
        <v>HOLCOMB</v>
      </c>
      <c r="M116" s="6">
        <f t="shared" si="30"/>
        <v>2.4328703701030463E-2</v>
      </c>
      <c r="N116" s="7">
        <f t="shared" si="44"/>
        <v>35.033333329483867</v>
      </c>
      <c r="O116" s="7"/>
      <c r="P116" s="7"/>
      <c r="Q116" s="23"/>
      <c r="R116" s="23"/>
      <c r="S116" s="35">
        <f t="shared" si="45"/>
        <v>1</v>
      </c>
      <c r="T116" s="50" t="str">
        <f t="shared" si="32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15:24:46-0600',mode:absolute,to:'2016-11-02 18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6" s="52" t="str">
        <f t="shared" si="34"/>
        <v>N</v>
      </c>
      <c r="X116" s="177">
        <f t="shared" si="28"/>
        <v>1</v>
      </c>
      <c r="Y116" s="67">
        <f t="shared" si="35"/>
        <v>4.58E-2</v>
      </c>
      <c r="Z116" s="67">
        <f t="shared" si="36"/>
        <v>23.329699999999999</v>
      </c>
      <c r="AA116" s="67">
        <f t="shared" si="37"/>
        <v>23.283899999999999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8"/>
        <v>0203-02</v>
      </c>
      <c r="AE116" s="91" t="str">
        <f t="shared" si="39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16" s="88" t="str">
        <f t="shared" si="40"/>
        <v>"C:\Program Files (x86)\AstroGrep\AstroGrep.exe" /spath="%USERPROFILE%\AppData\Local\Temp\OnboardLogs" /stypes="app*4038*20161102*" /stext=" 23:.+((SYSTEM_STATE.+slice.+state.+changed )|(ment ac)|(system.+state.+changed )|(\[timeout)|(PRM\|1\|D)|(kpr)|(kdp)|(\|lc)|(penalty))" /e /r /s</v>
      </c>
      <c r="AG116" s="1" t="str">
        <f t="shared" si="41"/>
        <v>EC</v>
      </c>
      <c r="AH116" s="92" t="str">
        <f t="shared" si="42"/>
        <v>"%USERPROFILE%\Documents\GitHub\eaglep3\Utilities\RefineRTDCRunTimes.py" --tripid 203-02 --locoid 4038 --swversion DE.1.0.8.0 --startMP 204:458 --initTime 2016-11-02T16:24:46 --startdatetime 2016-11-02T16:30:46 --delay 2 --endMP 204:233297 --enddatetime 2016-11-02T17:05:48 --enforcementcount 0 &gt;&gt;C:\Users\stu\Documents\GitHub\eaglep3-reporting\EC\2016-11-02-refined-times.txt</v>
      </c>
      <c r="AI11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{"issue":{"subject":"","project_id":79,"tracker_id":40,"status_id":1,"priority_id":2,"assigned_to_id":23,"start_date":"2016-11-02","description":"","custom_fields":[{"id":1,"name":"Subdivision","value":"EC"},{"id":4,"name":"Milepost","value":"23.3297"},{"id":17,"name":"Train ID","value":"203-02"},{"id":16,"name":"Locomotive ID","value":"4038"},{"id":130,"name":"Impact","value":""},{"id":150,"name":"Time of Event (Mountain Time)","value":"17:05:48"},{"id":151,"name":"Denver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581</v>
      </c>
      <c r="B117" s="7">
        <v>4037</v>
      </c>
      <c r="C117" s="22" t="s">
        <v>249</v>
      </c>
      <c r="D117" s="22" t="s">
        <v>246</v>
      </c>
      <c r="E117" s="13">
        <v>42676.720092592594</v>
      </c>
      <c r="F117" s="13">
        <v>42676.726620370369</v>
      </c>
      <c r="G117" s="7">
        <v>1</v>
      </c>
      <c r="H117" s="13" t="s">
        <v>677</v>
      </c>
      <c r="I117" s="13">
        <v>42676.753831018519</v>
      </c>
      <c r="J117" s="7">
        <v>0</v>
      </c>
      <c r="K117" s="112" t="str">
        <f t="shared" si="29"/>
        <v>4037/4038</v>
      </c>
      <c r="L117" s="22" t="str">
        <f>VLOOKUP(A117,'Trips&amp;Operators'!$C$1:$E$10000,3,FALSE)</f>
        <v>HOLCOMB</v>
      </c>
      <c r="M117" s="6">
        <f t="shared" si="30"/>
        <v>2.7210648149775807E-2</v>
      </c>
      <c r="N117" s="7">
        <f t="shared" si="44"/>
        <v>39.183333335677162</v>
      </c>
      <c r="O117" s="7"/>
      <c r="P117" s="7"/>
      <c r="Q117" s="23"/>
      <c r="R117" s="23"/>
      <c r="S117" s="35">
        <f t="shared" si="45"/>
        <v>1</v>
      </c>
      <c r="T117" s="50" t="str">
        <f t="shared" si="32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16:16:56-0600',mode:absolute,to:'2016-11-02 19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7" s="52" t="str">
        <f t="shared" si="34"/>
        <v>N</v>
      </c>
      <c r="X117" s="177">
        <f t="shared" si="28"/>
        <v>1</v>
      </c>
      <c r="Y117" s="67">
        <f t="shared" si="35"/>
        <v>23.296900000000001</v>
      </c>
      <c r="Z117" s="67">
        <f t="shared" si="36"/>
        <v>1.72E-2</v>
      </c>
      <c r="AA117" s="67">
        <f t="shared" si="37"/>
        <v>23.279700000000002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8"/>
        <v>0204-02</v>
      </c>
      <c r="AE117" s="91" t="str">
        <f t="shared" si="39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117" s="88" t="str">
        <f t="shared" si="40"/>
        <v>"C:\Program Files (x86)\AstroGrep\AstroGrep.exe" /spath="%USERPROFILE%\AppData\Local\Temp\OnboardLogs" /stypes="app*4037*20161103*" /stext=" 00:.+((SYSTEM_STATE.+slice.+state.+changed )|(ment ac)|(system.+state.+changed )|(\[timeout)|(PRM\|1\|D)|(kpr)|(kdp)|(\|lc)|(penalty))" /e /r /s</v>
      </c>
      <c r="AG117" s="1" t="str">
        <f t="shared" si="41"/>
        <v>EC</v>
      </c>
      <c r="AH117" s="92" t="str">
        <f t="shared" si="42"/>
        <v>"%USERPROFILE%\Documents\GitHub\eaglep3\Utilities\RefineRTDCRunTimes.py" --tripid 204-02 --locoid 4037 --swversion DE.1.0.8.0 --startMP 204:232969 --initTime 2016-11-02T17:16:56 --startdatetime 2016-11-02T17:26:20 --delay 1 --endMP 204:172 --enddatetime 2016-11-02T18:05:31 --enforcementcount 0 &gt;&gt;C:\Users\stu\Documents\GitHub\eaglep3-reporting\EC\2016-11-02-refined-times.txt</v>
      </c>
      <c r="AI117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{"issue":{"subject":"","project_id":79,"tracker_id":40,"status_id":1,"priority_id":2,"assigned_to_id":23,"start_date":"2016-11-02","description":"","custom_fields":[{"id":1,"name":"Subdivision","value":"EC"},{"id":4,"name":"Milepost","value":"0.0172"},{"id":17,"name":"Train ID","value":"204-02"},{"id":16,"name":"Locomotive ID","value":"4037"},{"id":130,"name":"Impact","value":""},{"id":150,"name":"Time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424</v>
      </c>
      <c r="B118" s="7">
        <v>4007</v>
      </c>
      <c r="C118" s="22" t="s">
        <v>249</v>
      </c>
      <c r="D118" s="22" t="s">
        <v>238</v>
      </c>
      <c r="E118" s="13">
        <v>42676.694849537038</v>
      </c>
      <c r="F118" s="13">
        <v>42676.698159722226</v>
      </c>
      <c r="G118" s="7">
        <v>1</v>
      </c>
      <c r="H118" s="13" t="s">
        <v>310</v>
      </c>
      <c r="I118" s="13">
        <v>42676.723171296297</v>
      </c>
      <c r="J118" s="7">
        <v>0</v>
      </c>
      <c r="K118" s="112" t="str">
        <f t="shared" si="29"/>
        <v>4007/4008</v>
      </c>
      <c r="L118" s="22" t="str">
        <f>VLOOKUP(A118,'Trips&amp;Operators'!$C$1:$E$10000,3,FALSE)</f>
        <v>HELVIE</v>
      </c>
      <c r="M118" s="6">
        <f t="shared" si="30"/>
        <v>2.5011574070958886E-2</v>
      </c>
      <c r="N118" s="7">
        <f t="shared" si="44"/>
        <v>36.016666662180796</v>
      </c>
      <c r="O118" s="7"/>
      <c r="P118" s="7"/>
      <c r="Q118" s="23"/>
      <c r="R118" s="23"/>
      <c r="S118" s="35">
        <f t="shared" si="45"/>
        <v>1</v>
      </c>
      <c r="T118" s="50" t="str">
        <f t="shared" si="32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15:40:35-0600',mode:absolute,to:'2016-11-02 18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8" s="52" t="str">
        <f t="shared" si="34"/>
        <v>N</v>
      </c>
      <c r="X118" s="177">
        <f t="shared" si="28"/>
        <v>1</v>
      </c>
      <c r="Y118" s="67">
        <f t="shared" si="35"/>
        <v>4.5699999999999998E-2</v>
      </c>
      <c r="Z118" s="67">
        <f t="shared" si="36"/>
        <v>23.330200000000001</v>
      </c>
      <c r="AA118" s="67">
        <f t="shared" si="37"/>
        <v>23.284500000000001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8"/>
        <v>0205-02</v>
      </c>
      <c r="AE118" s="91" t="str">
        <f t="shared" si="39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18" s="88" t="str">
        <f t="shared" si="40"/>
        <v>"C:\Program Files (x86)\AstroGrep\AstroGrep.exe" /spath="%USERPROFILE%\AppData\Local\Temp\OnboardLogs" /stypes="app*4007*20161102*" /stext=" 23:.+((SYSTEM_STATE.+slice.+state.+changed )|(ment ac)|(system.+state.+changed )|(\[timeout)|(PRM\|1\|D)|(kpr)|(kdp)|(\|lc)|(penalty))" /e /r /s</v>
      </c>
      <c r="AG118" s="1" t="str">
        <f t="shared" si="41"/>
        <v>EC</v>
      </c>
      <c r="AH118" s="92" t="str">
        <f t="shared" si="42"/>
        <v>"%USERPROFILE%\Documents\GitHub\eaglep3\Utilities\RefineRTDCRunTimes.py" --tripid 205-02 --locoid 4007 --swversion DE.1.0.8.0 --startMP 204:457 --initTime 2016-11-02T16:40:35 --startdatetime 2016-11-02T16:45:21 --delay 1 --endMP 204:233302 --enddatetime 2016-11-02T17:21:22 --enforcementcount 0 &gt;&gt;C:\Users\stu\Documents\GitHub\eaglep3-reporting\EC\2016-11-02-refined-times.txt</v>
      </c>
      <c r="AI11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{"issue":{"subject":"","project_id":79,"tracker_id":40,"status_id":1,"priority_id":2,"assigned_to_id":23,"start_date":"2016-11-02","description":"","custom_fields":[{"id":1,"name":"Subdivision","value":"EC"},{"id":4,"name":"Milepost","value":"23.3302"},{"id":17,"name":"Train ID","value":"205-02"},{"id":16,"name":"Locomotive ID","value":"4007"},{"id":130,"name":"Impact","value":""},{"id":150,"name":"Time of Event (Mountain Time)","value":"17:21:22"},{"id":151,"name":"Denver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583</v>
      </c>
      <c r="B119" s="7">
        <v>4008</v>
      </c>
      <c r="C119" s="22" t="s">
        <v>249</v>
      </c>
      <c r="D119" s="22" t="s">
        <v>247</v>
      </c>
      <c r="E119" s="13">
        <v>42676.733402777776</v>
      </c>
      <c r="F119" s="13">
        <v>42676.737060185187</v>
      </c>
      <c r="G119" s="7">
        <v>1</v>
      </c>
      <c r="H119" s="13" t="s">
        <v>280</v>
      </c>
      <c r="I119" s="13">
        <v>42676.762442129628</v>
      </c>
      <c r="J119" s="7">
        <v>0</v>
      </c>
      <c r="K119" s="112" t="str">
        <f t="shared" si="29"/>
        <v>4007/4008</v>
      </c>
      <c r="L119" s="22" t="str">
        <f>VLOOKUP(A119,'Trips&amp;Operators'!$C$1:$E$10000,3,FALSE)</f>
        <v>HELVIE</v>
      </c>
      <c r="M119" s="6">
        <f t="shared" si="30"/>
        <v>2.5381944440596271E-2</v>
      </c>
      <c r="N119" s="7">
        <f t="shared" si="44"/>
        <v>36.549999994458631</v>
      </c>
      <c r="O119" s="7"/>
      <c r="P119" s="7"/>
      <c r="Q119" s="23"/>
      <c r="R119" s="23"/>
      <c r="S119" s="35">
        <f t="shared" si="45"/>
        <v>1</v>
      </c>
      <c r="T119" s="50" t="str">
        <f t="shared" si="32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16:36:06-0600',mode:absolute,to:'2016-11-02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9" s="52" t="str">
        <f t="shared" si="34"/>
        <v>N</v>
      </c>
      <c r="X119" s="177">
        <f t="shared" si="28"/>
        <v>1</v>
      </c>
      <c r="Y119" s="67">
        <f t="shared" si="35"/>
        <v>23.298100000000002</v>
      </c>
      <c r="Z119" s="67">
        <f t="shared" si="36"/>
        <v>1.5800000000000002E-2</v>
      </c>
      <c r="AA119" s="67">
        <f t="shared" si="37"/>
        <v>23.282300000000003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8"/>
        <v>0206-02</v>
      </c>
      <c r="AE119" s="91" t="str">
        <f t="shared" si="39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119" s="88" t="str">
        <f t="shared" si="40"/>
        <v>"C:\Program Files (x86)\AstroGrep\AstroGrep.exe" /spath="%USERPROFILE%\AppData\Local\Temp\OnboardLogs" /stypes="app*4008*20161103*" /stext=" 00:.+((SYSTEM_STATE.+slice.+state.+changed )|(ment ac)|(system.+state.+changed )|(\[timeout)|(PRM\|1\|D)|(kpr)|(kdp)|(\|lc)|(penalty))" /e /r /s</v>
      </c>
      <c r="AG119" s="1" t="str">
        <f t="shared" si="41"/>
        <v>EC</v>
      </c>
      <c r="AH119" s="92" t="str">
        <f t="shared" si="42"/>
        <v>"%USERPROFILE%\Documents\GitHub\eaglep3\Utilities\RefineRTDCRunTimes.py" --tripid 206-02 --locoid 4008 --swversion DE.1.0.8.0 --startMP 204:232981 --initTime 2016-11-02T17:36:06 --startdatetime 2016-11-02T17:41:22 --delay 1 --endMP 204:158 --enddatetime 2016-11-02T18:17:55 --enforcementcount 0 &gt;&gt;C:\Users\stu\Documents\GitHub\eaglep3-reporting\EC\2016-11-02-refined-times.txt</v>
      </c>
      <c r="AI11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{"issue":{"subject":"","project_id":79,"tracker_id":40,"status_id":1,"priority_id":2,"assigned_to_id":23,"start_date":"2016-11-02","description":"","custom_fields":[{"id":1,"name":"Subdivision","value":"EC"},{"id":4,"name":"Milepost","value":"0.0158"},{"id":17,"name":"Train ID","value":"206-02"},{"id":16,"name":"Locomotive ID","value":"4008"},{"id":130,"name":"Impact","value":""},{"id":150,"name":"Time of Event (Mountain Time)","value":"18:17:55"},{"id":151,"name":"Denver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577</v>
      </c>
      <c r="B120" s="7">
        <v>4003</v>
      </c>
      <c r="C120" s="22" t="s">
        <v>249</v>
      </c>
      <c r="D120" s="22" t="s">
        <v>361</v>
      </c>
      <c r="E120" s="13">
        <v>42676.704282407409</v>
      </c>
      <c r="F120" s="13">
        <v>42676.710277777776</v>
      </c>
      <c r="G120" s="7">
        <v>1</v>
      </c>
      <c r="H120" s="13" t="s">
        <v>678</v>
      </c>
      <c r="I120" s="13">
        <v>42676.734849537039</v>
      </c>
      <c r="J120" s="7">
        <v>0</v>
      </c>
      <c r="K120" s="112" t="str">
        <f t="shared" si="29"/>
        <v>4003/4004</v>
      </c>
      <c r="L120" s="22" t="str">
        <f>VLOOKUP(A120,'Trips&amp;Operators'!$C$1:$E$10000,3,FALSE)</f>
        <v>ADANE</v>
      </c>
      <c r="M120" s="6">
        <f t="shared" si="30"/>
        <v>2.457175926247146E-2</v>
      </c>
      <c r="N120" s="7">
        <f t="shared" si="44"/>
        <v>35.383333337958902</v>
      </c>
      <c r="O120" s="7"/>
      <c r="P120" s="7"/>
      <c r="Q120" s="23"/>
      <c r="R120" s="23"/>
      <c r="S120" s="35">
        <f t="shared" si="45"/>
        <v>1</v>
      </c>
      <c r="T120" s="50" t="str">
        <f t="shared" si="32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15:54:10-0600',mode:absolute,to:'2016-11-02 18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0" s="52" t="str">
        <f t="shared" si="34"/>
        <v>N</v>
      </c>
      <c r="X120" s="177">
        <f t="shared" si="28"/>
        <v>1</v>
      </c>
      <c r="Y120" s="67">
        <f t="shared" si="35"/>
        <v>4.6899999999999997E-2</v>
      </c>
      <c r="Z120" s="67">
        <f t="shared" si="36"/>
        <v>23.3309</v>
      </c>
      <c r="AA120" s="67">
        <f t="shared" si="37"/>
        <v>23.283999999999999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8"/>
        <v>0207-02</v>
      </c>
      <c r="AE120" s="91" t="str">
        <f t="shared" si="39"/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AF120" s="88" t="str">
        <f t="shared" si="40"/>
        <v>"C:\Program Files (x86)\AstroGrep\AstroGrep.exe" /spath="%USERPROFILE%\AppData\Local\Temp\OnboardLogs" /stypes="app*4003*20161102*" /stext=" 23:.+((SYSTEM_STATE.+slice.+state.+changed )|(ment ac)|(system.+state.+changed )|(\[timeout)|(PRM\|1\|D)|(kpr)|(kdp)|(\|lc)|(penalty))" /e /r /s</v>
      </c>
      <c r="AG120" s="1" t="str">
        <f t="shared" si="41"/>
        <v>EC</v>
      </c>
      <c r="AH120" s="92" t="str">
        <f t="shared" si="42"/>
        <v>"%USERPROFILE%\Documents\GitHub\eaglep3\Utilities\RefineRTDCRunTimes.py" --tripid 207-02 --locoid 4003 --swversion DE.1.0.8.0 --startMP 204:469 --initTime 2016-11-02T16:54:10 --startdatetime 2016-11-02T17:02:48 --delay 1 --endMP 204:233309 --enddatetime 2016-11-02T17:38:11 --enforcementcount 0 &gt;&gt;C:\Users\stu\Documents\GitHub\eaglep3-reporting\EC\2016-11-02-refined-times.txt</v>
      </c>
      <c r="AI12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{"issue":{"subject":"","project_id":79,"tracker_id":40,"status_id":1,"priority_id":2,"assigned_to_id":23,"start_date":"2016-11-02","description":"","custom_fields":[{"id":1,"name":"Subdivision","value":"EC"},{"id":4,"name":"Milepost","value":"23.3309"},{"id":17,"name":"Train ID","value":"207-02"},{"id":16,"name":"Locomotive ID","value":"4003"},{"id":130,"name":"Impact","value":""},{"id":150,"name":"Time of Event (Mountain Time)","value":"17:38:11"},{"id":151,"name":"Denver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427</v>
      </c>
      <c r="B121" s="7">
        <v>4004</v>
      </c>
      <c r="C121" s="22" t="s">
        <v>249</v>
      </c>
      <c r="D121" s="22" t="s">
        <v>248</v>
      </c>
      <c r="E121" s="13">
        <v>42676.745347222219</v>
      </c>
      <c r="F121" s="13">
        <v>42676.747627314813</v>
      </c>
      <c r="G121" s="7">
        <v>1</v>
      </c>
      <c r="H121" s="13" t="s">
        <v>207</v>
      </c>
      <c r="I121" s="13">
        <v>42676.774513888886</v>
      </c>
      <c r="J121" s="7">
        <v>0</v>
      </c>
      <c r="K121" s="112" t="str">
        <f t="shared" si="29"/>
        <v>4003/4004</v>
      </c>
      <c r="L121" s="22" t="str">
        <f>VLOOKUP(A121,'Trips&amp;Operators'!$C$1:$E$10000,3,FALSE)</f>
        <v>ADANE</v>
      </c>
      <c r="M121" s="6">
        <f t="shared" si="30"/>
        <v>2.6886574072705116E-2</v>
      </c>
      <c r="N121" s="7">
        <f t="shared" si="44"/>
        <v>38.716666664695367</v>
      </c>
      <c r="O121" s="7"/>
      <c r="P121" s="7"/>
      <c r="Q121" s="23"/>
      <c r="R121" s="23"/>
      <c r="S121" s="35">
        <f t="shared" si="45"/>
        <v>1</v>
      </c>
      <c r="T121" s="50" t="str">
        <f t="shared" si="32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16:53:18-0600',mode:absolute,to:'2016-11-02 19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1" s="52" t="str">
        <f t="shared" si="34"/>
        <v>N</v>
      </c>
      <c r="X121" s="177">
        <f t="shared" ref="X121:X125" si="46">VALUE(LEFT(AD121,4))-VALUE(LEFT(AD120,4))</f>
        <v>1</v>
      </c>
      <c r="Y121" s="67">
        <f t="shared" si="35"/>
        <v>23.297799999999999</v>
      </c>
      <c r="Z121" s="67">
        <f t="shared" si="36"/>
        <v>1.43E-2</v>
      </c>
      <c r="AA121" s="67">
        <f t="shared" si="37"/>
        <v>23.2835</v>
      </c>
      <c r="AB121" s="64" t="str">
        <f>VLOOKUP(A121,Enforcements!$C$7:$K$21,8,0)</f>
        <v>Bulletin (2)</v>
      </c>
      <c r="AC121" s="60" t="str">
        <f>VLOOKUP(A121,Enforcements!$C$7:$E$21,3,0)</f>
        <v>GRADE CROSSING</v>
      </c>
      <c r="AD121" s="61" t="str">
        <f t="shared" si="38"/>
        <v>0208-02</v>
      </c>
      <c r="AE121" s="91" t="str">
        <f t="shared" si="39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121" s="88" t="str">
        <f t="shared" si="40"/>
        <v>"C:\Program Files (x86)\AstroGrep\AstroGrep.exe" /spath="%USERPROFILE%\AppData\Local\Temp\OnboardLogs" /stypes="app*4004*20161103*" /stext=" 00:.+((SYSTEM_STATE.+slice.+state.+changed )|(ment ac)|(system.+state.+changed )|(\[timeout)|(PRM\|1\|D)|(kpr)|(kdp)|(\|lc)|(penalty))" /e /r /s</v>
      </c>
      <c r="AG121" s="1" t="str">
        <f t="shared" si="41"/>
        <v>EC</v>
      </c>
      <c r="AH121" s="92" t="str">
        <f t="shared" si="42"/>
        <v>"%USERPROFILE%\Documents\GitHub\eaglep3\Utilities\RefineRTDCRunTimes.py" --tripid 208-02 --locoid 4004 --swversion DE.1.0.8.0 --startMP 204:232978 --initTime 2016-11-02T17:53:18 --startdatetime 2016-11-02T17:56:35 --delay 1 --endMP 204:143 --enddatetime 2016-11-02T18:35:18 --enforcementcount 0 &gt;&gt;C:\Users\stu\Documents\GitHub\eaglep3-reporting\EC\2016-11-02-refined-times.txt</v>
      </c>
      <c r="AI12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{"issue":{"subject":"","project_id":79,"tracker_id":40,"status_id":1,"priority_id":2,"assigned_to_id":23,"start_date":"2016-11-02","description":"","custom_fields":[{"id":1,"name":"Subdivision","value":"EC"},{"id":4,"name":"Milepost","value":"0.0143"},{"id":17,"name":"Train ID","value":"208-02"},{"id":16,"name":"Locomotive ID","value":"4004"},{"id":130,"name":"Impact","value":""},{"id":150,"name":"Time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580</v>
      </c>
      <c r="B122" s="7">
        <v>4009</v>
      </c>
      <c r="C122" s="22" t="s">
        <v>249</v>
      </c>
      <c r="D122" s="22" t="s">
        <v>238</v>
      </c>
      <c r="E122" s="13">
        <v>42676.714548611111</v>
      </c>
      <c r="F122" s="13">
        <v>42676.719201388885</v>
      </c>
      <c r="G122" s="7">
        <v>2</v>
      </c>
      <c r="H122" s="13" t="s">
        <v>316</v>
      </c>
      <c r="I122" s="13">
        <v>42676.743217592593</v>
      </c>
      <c r="J122" s="7">
        <v>0</v>
      </c>
      <c r="K122" s="112" t="str">
        <f t="shared" si="29"/>
        <v>4009/4010</v>
      </c>
      <c r="L122" s="22" t="str">
        <f>VLOOKUP(A122,'Trips&amp;Operators'!$C$1:$E$10000,3,FALSE)</f>
        <v>STAMBAUGH</v>
      </c>
      <c r="M122" s="6">
        <f t="shared" si="30"/>
        <v>2.4016203708015382E-2</v>
      </c>
      <c r="N122" s="7">
        <f t="shared" si="44"/>
        <v>34.58333333954215</v>
      </c>
      <c r="O122" s="7"/>
      <c r="P122" s="7"/>
      <c r="Q122" s="23"/>
      <c r="R122" s="23"/>
      <c r="S122" s="35">
        <f t="shared" si="45"/>
        <v>1</v>
      </c>
      <c r="T122" s="50" t="str">
        <f t="shared" si="32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16:08:57-0600',mode:absolute,to:'2016-11-02 18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2" s="52" t="str">
        <f t="shared" si="34"/>
        <v>N</v>
      </c>
      <c r="X122" s="177">
        <f t="shared" si="46"/>
        <v>1</v>
      </c>
      <c r="Y122" s="67">
        <f t="shared" si="35"/>
        <v>4.5699999999999998E-2</v>
      </c>
      <c r="Z122" s="67">
        <f t="shared" si="36"/>
        <v>23.331</v>
      </c>
      <c r="AA122" s="67">
        <f t="shared" si="37"/>
        <v>23.285299999999999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8"/>
        <v>0209-02</v>
      </c>
      <c r="AE122" s="91" t="str">
        <f t="shared" si="39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122" s="88" t="str">
        <f t="shared" si="40"/>
        <v>"C:\Program Files (x86)\AstroGrep\AstroGrep.exe" /spath="%USERPROFILE%\AppData\Local\Temp\OnboardLogs" /stypes="app*4009*20161102*" /stext=" 23:.+((SYSTEM_STATE.+slice.+state.+changed )|(ment ac)|(system.+state.+changed )|(\[timeout)|(PRM\|1\|D)|(kpr)|(kdp)|(\|lc)|(penalty))" /e /r /s</v>
      </c>
      <c r="AG122" s="1" t="str">
        <f t="shared" si="41"/>
        <v>EC</v>
      </c>
      <c r="AH122" s="92" t="str">
        <f t="shared" si="42"/>
        <v>"%USERPROFILE%\Documents\GitHub\eaglep3\Utilities\RefineRTDCRunTimes.py" --tripid 209-02 --locoid 4009 --swversion DE.1.0.8.0 --startMP 204:457 --initTime 2016-11-02T17:08:57 --startdatetime 2016-11-02T17:15:39 --delay 2 --endMP 204:233310 --enddatetime 2016-11-02T17:50:14 --enforcementcount 0 &gt;&gt;C:\Users\stu\Documents\GitHub\eaglep3-reporting\EC\2016-11-02-refined-times.txt</v>
      </c>
      <c r="AI12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{"issue":{"subject":"","project_id":79,"tracker_id":40,"status_id":1,"priority_id":2,"assigned_to_id":23,"start_date":"2016-11-02","description":"","custom_fields":[{"id":1,"name":"Subdivision","value":"EC"},{"id":4,"name":"Milepost","value":"23.331"},{"id":17,"name":"Train ID","value":"209-02"},{"id":16,"name":"Locomotive ID","value":"4009"},{"id":130,"name":"Impact","value":""},{"id":150,"name":"Time of Event (Mountain Time)","value":"17:50:14"},{"id":151,"name":"Denver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588</v>
      </c>
      <c r="B123" s="7">
        <v>4010</v>
      </c>
      <c r="C123" s="22" t="s">
        <v>249</v>
      </c>
      <c r="D123" s="22" t="s">
        <v>252</v>
      </c>
      <c r="E123" s="13">
        <v>42676.749664351853</v>
      </c>
      <c r="F123" s="13">
        <v>42676.758344907408</v>
      </c>
      <c r="G123" s="7">
        <v>4</v>
      </c>
      <c r="H123" s="13" t="s">
        <v>280</v>
      </c>
      <c r="I123" s="13">
        <v>42676.783819444441</v>
      </c>
      <c r="J123" s="7">
        <v>0</v>
      </c>
      <c r="K123" s="112" t="str">
        <f t="shared" si="29"/>
        <v>4009/4010</v>
      </c>
      <c r="L123" s="22" t="str">
        <f>VLOOKUP(A123,'Trips&amp;Operators'!$C$1:$E$10000,3,FALSE)</f>
        <v>STAMBAUGH</v>
      </c>
      <c r="M123" s="6">
        <f t="shared" si="30"/>
        <v>2.5474537033005618E-2</v>
      </c>
      <c r="N123" s="7">
        <f t="shared" si="44"/>
        <v>36.683333327528089</v>
      </c>
      <c r="O123" s="7"/>
      <c r="P123" s="7"/>
      <c r="Q123" s="23"/>
      <c r="R123" s="23"/>
      <c r="S123" s="35">
        <f t="shared" si="45"/>
        <v>1</v>
      </c>
      <c r="T123" s="50" t="str">
        <f t="shared" si="32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16:59:31-0600',mode:absolute,to:'2016-11-02 19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3" s="52" t="str">
        <f t="shared" si="34"/>
        <v>N</v>
      </c>
      <c r="X123" s="177">
        <f t="shared" si="46"/>
        <v>1</v>
      </c>
      <c r="Y123" s="67">
        <f t="shared" si="35"/>
        <v>23.298300000000001</v>
      </c>
      <c r="Z123" s="67">
        <f t="shared" si="36"/>
        <v>1.5800000000000002E-2</v>
      </c>
      <c r="AA123" s="67">
        <f t="shared" si="37"/>
        <v>23.282500000000002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8"/>
        <v>0210-02</v>
      </c>
      <c r="AE123" s="91" t="str">
        <f t="shared" si="39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123" s="88" t="str">
        <f t="shared" si="40"/>
        <v>"C:\Program Files (x86)\AstroGrep\AstroGrep.exe" /spath="%USERPROFILE%\AppData\Local\Temp\OnboardLogs" /stypes="app*4010*20161103*" /stext=" 00:.+((SYSTEM_STATE.+slice.+state.+changed )|(ment ac)|(system.+state.+changed )|(\[timeout)|(PRM\|1\|D)|(kpr)|(kdp)|(\|lc)|(penalty))" /e /r /s</v>
      </c>
      <c r="AG123" s="1" t="str">
        <f t="shared" si="41"/>
        <v>EC</v>
      </c>
      <c r="AH123" s="92" t="str">
        <f t="shared" si="42"/>
        <v>"%USERPROFILE%\Documents\GitHub\eaglep3\Utilities\RefineRTDCRunTimes.py" --tripid 210-02 --locoid 4010 --swversion DE.1.0.8.0 --startMP 204:232983 --initTime 2016-11-02T17:59:31 --startdatetime 2016-11-02T18:12:01 --delay 4 --endMP 204:158 --enddatetime 2016-11-02T18:48:42 --enforcementcount 0 &gt;&gt;C:\Users\stu\Documents\GitHub\eaglep3-reporting\EC\2016-11-02-refined-times.txt</v>
      </c>
      <c r="AI12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{"issue":{"subject":"","project_id":79,"tracker_id":40,"status_id":1,"priority_id":2,"assigned_to_id":23,"start_date":"2016-11-02","description":"","custom_fields":[{"id":1,"name":"Subdivision","value":"EC"},{"id":4,"name":"Milepost","value":"0.0158"},{"id":17,"name":"Train ID","value":"210-02"},{"id":16,"name":"Locomotive ID","value":"4010"},{"id":130,"name":"Impact","value":""},{"id":150,"name":"Time of Event (Mountain Time)","value":"18:48:42"},{"id":151,"name":"Denver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582</v>
      </c>
      <c r="B124" s="7">
        <v>4053</v>
      </c>
      <c r="C124" s="22" t="s">
        <v>249</v>
      </c>
      <c r="D124" s="22" t="s">
        <v>292</v>
      </c>
      <c r="E124" s="13">
        <v>42676.724988425929</v>
      </c>
      <c r="F124" s="13">
        <v>42676.729548611111</v>
      </c>
      <c r="G124" s="7">
        <v>1</v>
      </c>
      <c r="H124" s="13" t="s">
        <v>266</v>
      </c>
      <c r="I124" s="13">
        <v>42676.756666666668</v>
      </c>
      <c r="J124" s="7">
        <v>0</v>
      </c>
      <c r="K124" s="112" t="str">
        <f t="shared" si="29"/>
        <v>4053/4054</v>
      </c>
      <c r="L124" s="22" t="str">
        <f>VLOOKUP(A124,'Trips&amp;Operators'!$C$1:$E$10000,3,FALSE)</f>
        <v>YOUNG</v>
      </c>
      <c r="M124" s="6">
        <f t="shared" si="30"/>
        <v>2.7118055557366461E-2</v>
      </c>
      <c r="N124" s="7">
        <f t="shared" si="44"/>
        <v>39.050000002607703</v>
      </c>
      <c r="O124" s="7"/>
      <c r="P124" s="7"/>
      <c r="Q124" s="23"/>
      <c r="R124" s="23"/>
      <c r="S124" s="35">
        <f t="shared" si="45"/>
        <v>1</v>
      </c>
      <c r="T124" s="50" t="str">
        <f t="shared" si="32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16:23:59-0600',mode:absolute,to:'2016-11-02 19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4" s="52" t="str">
        <f t="shared" si="34"/>
        <v>N</v>
      </c>
      <c r="X124" s="177">
        <f t="shared" si="46"/>
        <v>1</v>
      </c>
      <c r="Y124" s="67">
        <f t="shared" si="35"/>
        <v>4.4200000000000003E-2</v>
      </c>
      <c r="Z124" s="67">
        <f t="shared" si="36"/>
        <v>23.328900000000001</v>
      </c>
      <c r="AA124" s="67">
        <f t="shared" si="37"/>
        <v>23.284700000000001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8"/>
        <v>0211-02</v>
      </c>
      <c r="AE124" s="91" t="str">
        <f t="shared" si="39"/>
        <v>aws s3 cp s3://rtdc.mdm.uploadarchive.raw/RTDC4053/ "%USERPROFILE%\AppData\Local\Temp\OnboardLogs"\RTDC4053\2016-11-02 --exclude "*" --recursive --include "*20161102*" &amp; "%USERPROFILE%\Documents\GitHub\mrs-test-scripts\Headless Mode &amp; Sideloading\WalkAndUnGZ.bat" "%USERPROFILE%\AppData\Local\Temp\OnboardLogs"\RTDC4053\2016-11-02 &amp; 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</v>
      </c>
      <c r="AF124" s="88" t="str">
        <f t="shared" si="40"/>
        <v>"C:\Program Files (x86)\AstroGrep\AstroGrep.exe" /spath="%USERPROFILE%\AppData\Local\Temp\OnboardLogs" /stypes="app*4053*20161103*" /stext=" 00:.+((SYSTEM_STATE.+slice.+state.+changed )|(ment ac)|(system.+state.+changed )|(\[timeout)|(PRM\|1\|D)|(kpr)|(kdp)|(\|lc)|(penalty))" /e /r /s</v>
      </c>
      <c r="AG124" s="1" t="str">
        <f t="shared" si="41"/>
        <v>EC</v>
      </c>
      <c r="AH124" s="92" t="str">
        <f t="shared" si="42"/>
        <v>"%USERPROFILE%\Documents\GitHub\eaglep3\Utilities\RefineRTDCRunTimes.py" --tripid 211-02 --locoid 4053 --swversion DE.1.0.8.0 --startMP 204:442 --initTime 2016-11-02T17:23:59 --startdatetime 2016-11-02T17:30:33 --delay 1 --endMP 204:233289 --enddatetime 2016-11-02T18:09:36 --enforcementcount 0 &gt;&gt;C:\Users\stu\Documents\GitHub\eaglep3-reporting\EC\2016-11-02-refined-times.txt</v>
      </c>
      <c r="AI124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{"issue":{"subject":"","project_id":79,"tracker_id":40,"status_id":1,"priority_id":2,"assigned_to_id":23,"start_date":"2016-11-02","description":"","custom_fields":[{"id":1,"name":"Subdivision","value":"EC"},{"id":4,"name":"Milepost","value":"23.3289"},{"id":17,"name":"Train ID","value":"211-02"},{"id":16,"name":"Locomotive ID","value":"4053"},{"id":130,"name":"Impact","value":""},{"id":150,"name":"Time of Event (Mountain Time)","value":"18:09:36"},{"id":151,"name":"Denver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594</v>
      </c>
      <c r="B125" s="7">
        <v>4054</v>
      </c>
      <c r="C125" s="22" t="s">
        <v>249</v>
      </c>
      <c r="D125" s="22" t="s">
        <v>315</v>
      </c>
      <c r="E125" s="13">
        <v>42676.759513888886</v>
      </c>
      <c r="F125" s="13">
        <v>42676.768275462964</v>
      </c>
      <c r="G125" s="7">
        <v>2</v>
      </c>
      <c r="H125" s="13" t="s">
        <v>680</v>
      </c>
      <c r="I125" s="13">
        <v>42676.798055555555</v>
      </c>
      <c r="J125" s="7">
        <v>0</v>
      </c>
      <c r="K125" s="112" t="str">
        <f t="shared" si="29"/>
        <v>4053/4054</v>
      </c>
      <c r="L125" s="22" t="str">
        <f>VLOOKUP(A125,'Trips&amp;Operators'!$C$1:$E$10000,3,FALSE)</f>
        <v>YOUNG</v>
      </c>
      <c r="M125" s="6">
        <f t="shared" si="30"/>
        <v>2.9780092590954155E-2</v>
      </c>
      <c r="N125" s="7">
        <f t="shared" si="44"/>
        <v>42.883333330973983</v>
      </c>
      <c r="O125" s="7"/>
      <c r="P125" s="7"/>
      <c r="Q125" s="23"/>
      <c r="R125" s="23"/>
      <c r="S125" s="35">
        <f t="shared" si="45"/>
        <v>1</v>
      </c>
      <c r="T125" s="50" t="str">
        <f t="shared" si="32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17:13:42-0600',mode:absolute,to:'2016-11-02 20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5" s="52" t="str">
        <f t="shared" si="34"/>
        <v>N</v>
      </c>
      <c r="X125" s="177">
        <f t="shared" si="46"/>
        <v>1</v>
      </c>
      <c r="Y125" s="67">
        <f t="shared" si="35"/>
        <v>23.298200000000001</v>
      </c>
      <c r="Z125" s="67">
        <f t="shared" si="36"/>
        <v>1.14E-2</v>
      </c>
      <c r="AA125" s="67">
        <f t="shared" si="37"/>
        <v>23.286800000000003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8"/>
        <v>0212-02</v>
      </c>
      <c r="AE125" s="91" t="str">
        <f t="shared" si="39"/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125" s="88" t="str">
        <f t="shared" si="40"/>
        <v>"C:\Program Files (x86)\AstroGrep\AstroGrep.exe" /spath="%USERPROFILE%\AppData\Local\Temp\OnboardLogs" /stypes="app*4054*20161103*" /stext=" 01:.+((SYSTEM_STATE.+slice.+state.+changed )|(ment ac)|(system.+state.+changed )|(\[timeout)|(PRM\|1\|D)|(kpr)|(kdp)|(\|lc)|(penalty))" /e /r /s</v>
      </c>
      <c r="AG125" s="1" t="str">
        <f t="shared" si="41"/>
        <v>EC</v>
      </c>
      <c r="AH125" s="92" t="str">
        <f t="shared" si="42"/>
        <v>"%USERPROFILE%\Documents\GitHub\eaglep3\Utilities\RefineRTDCRunTimes.py" --tripid 212-02 --locoid 4054 --swversion DE.1.0.8.0 --startMP 204:232982 --initTime 2016-11-02T18:13:42 --startdatetime 2016-11-02T18:26:19 --delay 2 --endMP 204:114 --enddatetime 2016-11-02T19:09:12 --enforcementcount 0 &gt;&gt;C:\Users\stu\Documents\GitHub\eaglep3-reporting\EC\2016-11-02-refined-times.txt</v>
      </c>
      <c r="AI12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{"issue":{"subject":"","project_id":79,"tracker_id":40,"status_id":1,"priority_id":2,"assigned_to_id":23,"start_date":"2016-11-02","description":"","custom_fields":[{"id":1,"name":"Subdivision","value":"EC"},{"id":4,"name":"Milepost","value":"0.0114"},{"id":17,"name":"Train ID","value":"212-02"},{"id":16,"name":"Locomotive ID","value":"4054"},{"id":130,"name":"Impact","value":""},{"id":150,"name":"Time of Event (Mountain Time)","value":"19:09:12"},{"id":151,"name":"Denver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586</v>
      </c>
      <c r="B126" s="7">
        <v>4018</v>
      </c>
      <c r="C126" s="22" t="s">
        <v>249</v>
      </c>
      <c r="D126" s="22" t="s">
        <v>681</v>
      </c>
      <c r="E126" s="13">
        <v>42676.737303240741</v>
      </c>
      <c r="F126" s="13">
        <v>42676.739803240744</v>
      </c>
      <c r="G126" s="7">
        <v>1</v>
      </c>
      <c r="H126" s="13" t="s">
        <v>668</v>
      </c>
      <c r="I126" s="13">
        <v>42676.764178240737</v>
      </c>
      <c r="J126" s="7">
        <v>0</v>
      </c>
      <c r="K126" s="112" t="str">
        <f t="shared" si="29"/>
        <v>4017/4018</v>
      </c>
      <c r="L126" s="22" t="str">
        <f>VLOOKUP(A126,'Trips&amp;Operators'!$C$1:$E$10000,3,FALSE)</f>
        <v>MAGEE</v>
      </c>
      <c r="M126" s="6">
        <f t="shared" si="30"/>
        <v>2.4374999993597157E-2</v>
      </c>
      <c r="N126" s="7">
        <f t="shared" si="44"/>
        <v>35.099999990779907</v>
      </c>
      <c r="O126" s="7"/>
      <c r="P126" s="7"/>
      <c r="Q126" s="23"/>
      <c r="R126" s="23"/>
      <c r="S126" s="35">
        <f t="shared" si="45"/>
        <v>1</v>
      </c>
      <c r="T126" s="50" t="str">
        <f t="shared" si="32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16:41:43-0600',mode:absolute,to:'2016-11-02 19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6" s="52" t="str">
        <f t="shared" si="34"/>
        <v>N</v>
      </c>
      <c r="X126" s="177">
        <f t="shared" ref="X126:X157" si="47">VALUE(LEFT(AD126,4))-VALUE(LEFT(AD125,4))</f>
        <v>1</v>
      </c>
      <c r="Y126" s="67">
        <f t="shared" si="35"/>
        <v>4.3099999999999999E-2</v>
      </c>
      <c r="Z126" s="67">
        <f t="shared" si="36"/>
        <v>23.3338</v>
      </c>
      <c r="AA126" s="67">
        <f t="shared" si="37"/>
        <v>23.290700000000001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8"/>
        <v>0213-02</v>
      </c>
      <c r="AE126" s="91" t="str">
        <f t="shared" si="39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26" s="88" t="str">
        <f t="shared" si="40"/>
        <v>"C:\Program Files (x86)\AstroGrep\AstroGrep.exe" /spath="%USERPROFILE%\AppData\Local\Temp\OnboardLogs" /stypes="app*4018*20161103*" /stext=" 00:.+((SYSTEM_STATE.+slice.+state.+changed )|(ment ac)|(system.+state.+changed )|(\[timeout)|(PRM\|1\|D)|(kpr)|(kdp)|(\|lc)|(penalty))" /e /r /s</v>
      </c>
      <c r="AG126" s="1" t="str">
        <f t="shared" si="41"/>
        <v>EC</v>
      </c>
      <c r="AH126" s="92" t="str">
        <f t="shared" si="42"/>
        <v>"%USERPROFILE%\Documents\GitHub\eaglep3\Utilities\RefineRTDCRunTimes.py" --tripid 213-02 --locoid 4018 --swversion DE.1.0.8.0 --startMP 204:431 --initTime 2016-11-02T17:41:43 --startdatetime 2016-11-02T17:45:19 --delay 1 --endMP 204:233338 --enddatetime 2016-11-02T18:20:25 --enforcementcount 0 &gt;&gt;C:\Users\stu\Documents\GitHub\eaglep3-reporting\EC\2016-11-02-refined-times.txt</v>
      </c>
      <c r="AI12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{"issue":{"subject":"","project_id":79,"tracker_id":40,"status_id":1,"priority_id":2,"assigned_to_id":23,"start_date":"2016-11-02","description":"","custom_fields":[{"id":1,"name":"Subdivision","value":"EC"},{"id":4,"name":"Milepost","value":"23.3338"},{"id":17,"name":"Train ID","value":"213-02"},{"id":16,"name":"Locomotive ID","value":"4018"},{"id":130,"name":"Impact","value":""},{"id":150,"name":"Time of Event (Mountain Time)","value":"18:20:25"},{"id":151,"name":"Denver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598</v>
      </c>
      <c r="B127" s="7">
        <v>4017</v>
      </c>
      <c r="C127" s="22" t="s">
        <v>249</v>
      </c>
      <c r="D127" s="22" t="s">
        <v>282</v>
      </c>
      <c r="E127" s="13">
        <v>42676.775520833333</v>
      </c>
      <c r="F127" s="13">
        <v>42676.778703703705</v>
      </c>
      <c r="G127" s="7">
        <v>1</v>
      </c>
      <c r="H127" s="13" t="s">
        <v>243</v>
      </c>
      <c r="I127" s="13">
        <v>42676.804259259261</v>
      </c>
      <c r="J127" s="7">
        <v>0</v>
      </c>
      <c r="K127" s="112" t="str">
        <f t="shared" si="29"/>
        <v>4017/4018</v>
      </c>
      <c r="L127" s="22" t="str">
        <f>VLOOKUP(A127,'Trips&amp;Operators'!$C$1:$E$10000,3,FALSE)</f>
        <v>MAGEE</v>
      </c>
      <c r="M127" s="6">
        <f t="shared" si="30"/>
        <v>2.5555555555911269E-2</v>
      </c>
      <c r="N127" s="7">
        <f t="shared" si="44"/>
        <v>36.800000000512227</v>
      </c>
      <c r="O127" s="7"/>
      <c r="P127" s="7"/>
      <c r="Q127" s="23"/>
      <c r="R127" s="23"/>
      <c r="S127" s="35">
        <f t="shared" si="45"/>
        <v>1</v>
      </c>
      <c r="T127" s="50" t="str">
        <f t="shared" si="32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17:36:45-0600',mode:absolute,to:'2016-11-02 20:18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7" s="52" t="str">
        <f t="shared" si="34"/>
        <v>N</v>
      </c>
      <c r="X127" s="177">
        <f t="shared" si="47"/>
        <v>1</v>
      </c>
      <c r="Y127" s="67">
        <f t="shared" si="35"/>
        <v>23.297599999999999</v>
      </c>
      <c r="Z127" s="67">
        <f t="shared" si="36"/>
        <v>1.61E-2</v>
      </c>
      <c r="AA127" s="67">
        <f t="shared" si="37"/>
        <v>23.281499999999998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8"/>
        <v>0214-02</v>
      </c>
      <c r="AE127" s="91" t="str">
        <f t="shared" si="39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127" s="88" t="str">
        <f t="shared" si="40"/>
        <v>"C:\Program Files (x86)\AstroGrep\AstroGrep.exe" /spath="%USERPROFILE%\AppData\Local\Temp\OnboardLogs" /stypes="app*4017*20161103*" /stext=" 01:.+((SYSTEM_STATE.+slice.+state.+changed )|(ment ac)|(system.+state.+changed )|(\[timeout)|(PRM\|1\|D)|(kpr)|(kdp)|(\|lc)|(penalty))" /e /r /s</v>
      </c>
      <c r="AG127" s="1" t="str">
        <f t="shared" si="41"/>
        <v>EC</v>
      </c>
      <c r="AH127" s="92" t="str">
        <f t="shared" si="42"/>
        <v>"%USERPROFILE%\Documents\GitHub\eaglep3\Utilities\RefineRTDCRunTimes.py" --tripid 214-02 --locoid 4017 --swversion DE.1.0.8.0 --startMP 204:232976 --initTime 2016-11-02T18:36:45 --startdatetime 2016-11-02T18:41:20 --delay 1 --endMP 204:161 --enddatetime 2016-11-02T19:18:08 --enforcementcount 0 &gt;&gt;C:\Users\stu\Documents\GitHub\eaglep3-reporting\EC\2016-11-02-refined-times.txt</v>
      </c>
      <c r="AI127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{"issue":{"subject":"","project_id":79,"tracker_id":40,"status_id":1,"priority_id":2,"assigned_to_id":23,"start_date":"2016-11-02","description":"","custom_fields":[{"id":1,"name":"Subdivision","value":"EC"},{"id":4,"name":"Milepost","value":"0.0161"},{"id":17,"name":"Train ID","value":"214-02"},{"id":16,"name":"Locomotive ID","value":"4017"},{"id":130,"name":"Impact","value":""},{"id":150,"name":"Time of Event (Mountain Time)","value":"19:18:08"},{"id":151,"name":"Denver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589</v>
      </c>
      <c r="B128" s="7">
        <v>4002</v>
      </c>
      <c r="C128" s="22" t="s">
        <v>249</v>
      </c>
      <c r="D128" s="22" t="s">
        <v>214</v>
      </c>
      <c r="E128" s="13">
        <v>42676.745891203704</v>
      </c>
      <c r="F128" s="13">
        <v>42676.750462962962</v>
      </c>
      <c r="G128" s="7">
        <v>6</v>
      </c>
      <c r="H128" s="13" t="s">
        <v>682</v>
      </c>
      <c r="I128" s="13">
        <v>42676.775243055556</v>
      </c>
      <c r="J128" s="7">
        <v>0</v>
      </c>
      <c r="K128" s="112" t="str">
        <f t="shared" si="29"/>
        <v>4001/4002</v>
      </c>
      <c r="L128" s="22" t="str">
        <f>VLOOKUP(A128,'Trips&amp;Operators'!$C$1:$E$10000,3,FALSE)</f>
        <v>MACDONALD</v>
      </c>
      <c r="M128" s="6">
        <f t="shared" si="30"/>
        <v>2.4780092593573499E-2</v>
      </c>
      <c r="N128" s="7">
        <f t="shared" si="44"/>
        <v>35.683333334745839</v>
      </c>
      <c r="O128" s="7"/>
      <c r="P128" s="7"/>
      <c r="Q128" s="23"/>
      <c r="R128" s="23"/>
      <c r="S128" s="35">
        <f t="shared" si="45"/>
        <v>1</v>
      </c>
      <c r="T128" s="50" t="str">
        <f t="shared" si="32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16:54:05-0600',mode:absolute,to:'2016-11-02 19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8" s="52" t="str">
        <f t="shared" si="34"/>
        <v>N</v>
      </c>
      <c r="X128" s="177">
        <f t="shared" si="47"/>
        <v>1</v>
      </c>
      <c r="Y128" s="67">
        <f t="shared" si="35"/>
        <v>4.5999999999999999E-2</v>
      </c>
      <c r="Z128" s="67">
        <f t="shared" si="36"/>
        <v>23.325500000000002</v>
      </c>
      <c r="AA128" s="67">
        <f t="shared" si="37"/>
        <v>23.279500000000002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8"/>
        <v>0215-02</v>
      </c>
      <c r="AE128" s="91" t="str">
        <f t="shared" si="39"/>
        <v>aws s3 cp s3://rtdc.mdm.uploadarchive.raw/RTDC4002/ "%USERPROFILE%\AppData\Local\Temp\OnboardLogs"\RTDC4002\2016-11-02 --exclude "*" --recursive --include "*20161102*" &amp; "%USERPROFILE%\Documents\GitHub\mrs-test-scripts\Headless Mode &amp; Sideloading\WalkAndUnGZ.bat" "%USERPROFILE%\AppData\Local\Temp\OnboardLogs"\RTDC4002\2016-11-02 &amp; 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</v>
      </c>
      <c r="AF128" s="88" t="str">
        <f t="shared" si="40"/>
        <v>"C:\Program Files (x86)\AstroGrep\AstroGrep.exe" /spath="%USERPROFILE%\AppData\Local\Temp\OnboardLogs" /stypes="app*4002*20161103*" /stext=" 00:.+((SYSTEM_STATE.+slice.+state.+changed )|(ment ac)|(system.+state.+changed )|(\[timeout)|(PRM\|1\|D)|(kpr)|(kdp)|(\|lc)|(penalty))" /e /r /s</v>
      </c>
      <c r="AG128" s="1" t="str">
        <f t="shared" si="41"/>
        <v>EC</v>
      </c>
      <c r="AH128" s="92" t="str">
        <f t="shared" si="42"/>
        <v>"%USERPROFILE%\Documents\GitHub\eaglep3\Utilities\RefineRTDCRunTimes.py" --tripid 215-02 --locoid 4002 --swversion DE.1.0.8.0 --startMP 204:460 --initTime 2016-11-02T17:54:05 --startdatetime 2016-11-02T18:00:40 --delay 6 --endMP 204:233255 --enddatetime 2016-11-02T18:36:21 --enforcementcount 0 &gt;&gt;C:\Users\stu\Documents\GitHub\eaglep3-reporting\EC\2016-11-02-refined-times.txt</v>
      </c>
      <c r="AI12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{"issue":{"subject":"","project_id":79,"tracker_id":40,"status_id":1,"priority_id":2,"assigned_to_id":23,"start_date":"2016-11-02","description":"","custom_fields":[{"id":1,"name":"Subdivision","value":"EC"},{"id":4,"name":"Milepost","value":"23.3255"},{"id":17,"name":"Train ID","value":"215-02"},{"id":16,"name":"Locomotive ID","value":"4002"},{"id":130,"name":"Impact","value":""},{"id":150,"name":"Time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602</v>
      </c>
      <c r="B129" s="7">
        <v>4001</v>
      </c>
      <c r="C129" s="22" t="s">
        <v>249</v>
      </c>
      <c r="D129" s="22" t="s">
        <v>683</v>
      </c>
      <c r="E129" s="13">
        <v>42676.78361111111</v>
      </c>
      <c r="F129" s="13">
        <v>42676.789201388892</v>
      </c>
      <c r="G129" s="7">
        <v>2</v>
      </c>
      <c r="H129" s="13" t="s">
        <v>203</v>
      </c>
      <c r="I129" s="13">
        <v>42676.815416666665</v>
      </c>
      <c r="J129" s="7">
        <v>0</v>
      </c>
      <c r="K129" s="112" t="str">
        <f t="shared" si="29"/>
        <v>4001/4002</v>
      </c>
      <c r="L129" s="22" t="str">
        <f>VLOOKUP(A129,'Trips&amp;Operators'!$C$1:$E$10000,3,FALSE)</f>
        <v>MACDONALD</v>
      </c>
      <c r="M129" s="6">
        <f t="shared" si="30"/>
        <v>2.6215277772280388E-2</v>
      </c>
      <c r="N129" s="7">
        <f t="shared" si="44"/>
        <v>37.749999992083758</v>
      </c>
      <c r="O129" s="7"/>
      <c r="P129" s="7"/>
      <c r="Q129" s="23"/>
      <c r="R129" s="23"/>
      <c r="S129" s="35">
        <f t="shared" si="45"/>
        <v>1</v>
      </c>
      <c r="T129" s="50" t="str">
        <f t="shared" si="32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17:48:24-0600',mode:absolute,to:'2016-11-02 20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9" s="52" t="str">
        <f t="shared" si="34"/>
        <v>N</v>
      </c>
      <c r="X129" s="177">
        <f t="shared" si="47"/>
        <v>1</v>
      </c>
      <c r="Y129" s="67">
        <f t="shared" si="35"/>
        <v>23.295500000000001</v>
      </c>
      <c r="Z129" s="67">
        <f t="shared" si="36"/>
        <v>1.54E-2</v>
      </c>
      <c r="AA129" s="67">
        <f t="shared" si="37"/>
        <v>23.280100000000001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8"/>
        <v>0216-02</v>
      </c>
      <c r="AE129" s="91" t="str">
        <f t="shared" si="39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129" s="88" t="str">
        <f t="shared" si="40"/>
        <v>"C:\Program Files (x86)\AstroGrep\AstroGrep.exe" /spath="%USERPROFILE%\AppData\Local\Temp\OnboardLogs" /stypes="app*4001*20161103*" /stext=" 01:.+((SYSTEM_STATE.+slice.+state.+changed )|(ment ac)|(system.+state.+changed )|(\[timeout)|(PRM\|1\|D)|(kpr)|(kdp)|(\|lc)|(penalty))" /e /r /s</v>
      </c>
      <c r="AG129" s="1" t="str">
        <f t="shared" si="41"/>
        <v>EC</v>
      </c>
      <c r="AH129" s="92" t="str">
        <f t="shared" si="42"/>
        <v>"%USERPROFILE%\Documents\GitHub\eaglep3\Utilities\RefineRTDCRunTimes.py" --tripid 216-02 --locoid 4001 --swversion DE.1.0.8.0 --startMP 204:232955 --initTime 2016-11-02T18:48:24 --startdatetime 2016-11-02T18:56:27 --delay 2 --endMP 204:154 --enddatetime 2016-11-02T19:34:12 --enforcementcount 0 &gt;&gt;C:\Users\stu\Documents\GitHub\eaglep3-reporting\EC\2016-11-02-refined-times.txt</v>
      </c>
      <c r="AI12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ID","value":"216-02"},{"id":16,"name":"Locomotive ID","value":"4001"},{"id":130,"name":"Impact","value":""},{"id":150,"name":"Time of Event (Mountain Time)","value":"19:34:12"},{"id":151,"name":"Denver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593</v>
      </c>
      <c r="B130" s="7">
        <v>4038</v>
      </c>
      <c r="C130" s="22" t="s">
        <v>249</v>
      </c>
      <c r="D130" s="22" t="s">
        <v>232</v>
      </c>
      <c r="E130" s="13">
        <v>42676.756504629629</v>
      </c>
      <c r="F130" s="13">
        <v>42676.760810185187</v>
      </c>
      <c r="G130" s="7">
        <v>1</v>
      </c>
      <c r="H130" s="13" t="s">
        <v>668</v>
      </c>
      <c r="I130" s="13">
        <v>42676.78502314815</v>
      </c>
      <c r="J130" s="7">
        <v>0</v>
      </c>
      <c r="K130" s="112" t="str">
        <f t="shared" si="29"/>
        <v>4037/4038</v>
      </c>
      <c r="L130" s="22" t="str">
        <f>VLOOKUP(A130,'Trips&amp;Operators'!$C$1:$E$10000,3,FALSE)</f>
        <v>LEVIN</v>
      </c>
      <c r="M130" s="6">
        <f t="shared" si="30"/>
        <v>2.421296296233777E-2</v>
      </c>
      <c r="N130" s="7">
        <f t="shared" si="44"/>
        <v>34.866666665766388</v>
      </c>
      <c r="O130" s="7"/>
      <c r="P130" s="7"/>
      <c r="Q130" s="23"/>
      <c r="R130" s="23"/>
      <c r="S130" s="35">
        <f t="shared" si="45"/>
        <v>1</v>
      </c>
      <c r="T130" s="50" t="str">
        <f t="shared" si="32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17:09:22-0600',mode:absolute,to:'2016-11-02 19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0" s="52" t="str">
        <f t="shared" si="34"/>
        <v>N</v>
      </c>
      <c r="X130" s="177">
        <f t="shared" si="47"/>
        <v>1</v>
      </c>
      <c r="Y130" s="67">
        <f t="shared" si="35"/>
        <v>4.6199999999999998E-2</v>
      </c>
      <c r="Z130" s="67">
        <f t="shared" si="36"/>
        <v>23.3338</v>
      </c>
      <c r="AA130" s="67">
        <f t="shared" si="37"/>
        <v>23.287600000000001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8"/>
        <v>0217-02</v>
      </c>
      <c r="AE130" s="91" t="str">
        <f t="shared" si="39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30" s="88" t="str">
        <f t="shared" si="40"/>
        <v>"C:\Program Files (x86)\AstroGrep\AstroGrep.exe" /spath="%USERPROFILE%\AppData\Local\Temp\OnboardLogs" /stypes="app*4038*20161103*" /stext=" 00:.+((SYSTEM_STATE.+slice.+state.+changed )|(ment ac)|(system.+state.+changed )|(\[timeout)|(PRM\|1\|D)|(kpr)|(kdp)|(\|lc)|(penalty))" /e /r /s</v>
      </c>
      <c r="AG130" s="1" t="str">
        <f t="shared" si="41"/>
        <v>EC</v>
      </c>
      <c r="AH130" s="92" t="str">
        <f t="shared" si="42"/>
        <v>"%USERPROFILE%\Documents\GitHub\eaglep3\Utilities\RefineRTDCRunTimes.py" --tripid 217-02 --locoid 4038 --swversion DE.1.0.8.0 --startMP 204:462 --initTime 2016-11-02T18:09:22 --startdatetime 2016-11-02T18:15:34 --delay 1 --endMP 204:233338 --enddatetime 2016-11-02T18:50:26 --enforcementcount 0 &gt;&gt;C:\Users\stu\Documents\GitHub\eaglep3-reporting\EC\2016-11-02-refined-times.txt</v>
      </c>
      <c r="AI130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{"issue":{"subject":"","project_id":79,"tracker_id":40,"status_id":1,"priority_id":2,"assigned_to_id":23,"start_date":"2016-11-02","description":"","custom_fields":[{"id":1,"name":"Subdivision","value":"EC"},{"id":4,"name":"Milepost","value":"23.3338"},{"id":17,"name":"Train ID","value":"217-02"},{"id":16,"name":"Locomotive ID","value":"4038"},{"id":130,"name":"Impact","value":""},{"id":150,"name":"Time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428</v>
      </c>
      <c r="B131" s="7">
        <v>4037</v>
      </c>
      <c r="C131" s="22" t="s">
        <v>249</v>
      </c>
      <c r="D131" s="22" t="s">
        <v>308</v>
      </c>
      <c r="E131" s="13">
        <v>42676.794432870367</v>
      </c>
      <c r="F131" s="13">
        <v>42676.799502314818</v>
      </c>
      <c r="G131" s="7">
        <v>1</v>
      </c>
      <c r="H131" s="13" t="s">
        <v>203</v>
      </c>
      <c r="I131" s="13">
        <v>42676.825219907405</v>
      </c>
      <c r="J131" s="7">
        <v>0</v>
      </c>
      <c r="K131" s="112" t="str">
        <f t="shared" si="29"/>
        <v>4037/4038</v>
      </c>
      <c r="L131" s="22" t="str">
        <f>VLOOKUP(A131,'Trips&amp;Operators'!$C$1:$E$10000,3,FALSE)</f>
        <v>LEVIN</v>
      </c>
      <c r="M131" s="6">
        <f t="shared" si="30"/>
        <v>2.5717592587170657E-2</v>
      </c>
      <c r="N131" s="7">
        <f t="shared" ref="N131:N162" si="48">24*60*SUM($M131:$M131)</f>
        <v>37.033333325525746</v>
      </c>
      <c r="O131" s="7"/>
      <c r="P131" s="7"/>
      <c r="Q131" s="23"/>
      <c r="R131" s="23"/>
      <c r="S131" s="35">
        <f t="shared" ref="S131:S162" si="49">SUM(U131:U131)/IF(AG131="EC",12,1)</f>
        <v>1</v>
      </c>
      <c r="T131" s="50" t="str">
        <f t="shared" si="32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18:03:59-0600',mode:absolute,to:'2016-11-02 20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1" s="52" t="str">
        <f t="shared" si="34"/>
        <v>N</v>
      </c>
      <c r="X131" s="177">
        <f t="shared" si="47"/>
        <v>1</v>
      </c>
      <c r="Y131" s="67">
        <f t="shared" si="35"/>
        <v>23.300599999999999</v>
      </c>
      <c r="Z131" s="67">
        <f t="shared" si="36"/>
        <v>1.54E-2</v>
      </c>
      <c r="AA131" s="67">
        <f t="shared" si="37"/>
        <v>23.2852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8"/>
        <v>0218-02</v>
      </c>
      <c r="AE131" s="91" t="str">
        <f t="shared" si="39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131" s="88" t="str">
        <f t="shared" si="40"/>
        <v>"C:\Program Files (x86)\AstroGrep\AstroGrep.exe" /spath="%USERPROFILE%\AppData\Local\Temp\OnboardLogs" /stypes="app*4037*20161103*" /stext=" 01:.+((SYSTEM_STATE.+slice.+state.+changed )|(ment ac)|(system.+state.+changed )|(\[timeout)|(PRM\|1\|D)|(kpr)|(kdp)|(\|lc)|(penalty))" /e /r /s</v>
      </c>
      <c r="AG131" s="1" t="str">
        <f t="shared" si="41"/>
        <v>EC</v>
      </c>
      <c r="AH131" s="92" t="str">
        <f t="shared" si="42"/>
        <v>"%USERPROFILE%\Documents\GitHub\eaglep3\Utilities\RefineRTDCRunTimes.py" --tripid 218-02 --locoid 4037 --swversion DE.1.0.8.0 --startMP 204:233006 --initTime 2016-11-02T19:03:59 --startdatetime 2016-11-02T19:11:17 --delay 1 --endMP 204:154 --enddatetime 2016-11-02T19:48:19 --enforcementcount 0 &gt;&gt;C:\Users\stu\Documents\GitHub\eaglep3-reporting\EC\2016-11-02-refined-times.txt</v>
      </c>
      <c r="AI131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{"issue":{"subject":"","project_id":79,"tracker_id":40,"status_id":1,"priority_id":2,"assigned_to_id":23,"start_date":"2016-11-02","description":"","custom_fields":[{"id":1,"name":"Subdivision","value":"EC"},{"id":4,"name":"Milepost","value":"0.0154"},{"id":17,"name":"Train ID","value":"218-02"},{"id":16,"name":"Locomotive ID","value":"4037"},{"id":130,"name":"Impact","value":""},{"id":150,"name":"Time of Event (Mountain Time)","value":"19:48:19"},{"id":151,"name":"Denver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595</v>
      </c>
      <c r="B132" s="7">
        <v>4007</v>
      </c>
      <c r="C132" s="22" t="s">
        <v>249</v>
      </c>
      <c r="D132" s="22" t="s">
        <v>267</v>
      </c>
      <c r="E132" s="13">
        <v>42676.764201388891</v>
      </c>
      <c r="F132" s="13">
        <v>42676.771041666667</v>
      </c>
      <c r="G132" s="7">
        <v>1</v>
      </c>
      <c r="H132" s="13" t="s">
        <v>295</v>
      </c>
      <c r="I132" s="13">
        <v>42676.79550925926</v>
      </c>
      <c r="J132" s="7">
        <v>0</v>
      </c>
      <c r="K132" s="112" t="str">
        <f t="shared" si="29"/>
        <v>4007/4008</v>
      </c>
      <c r="L132" s="22" t="str">
        <f>VLOOKUP(A132,'Trips&amp;Operators'!$C$1:$E$10000,3,FALSE)</f>
        <v>CRAYTON</v>
      </c>
      <c r="M132" s="6">
        <f t="shared" si="30"/>
        <v>2.4467592593282461E-2</v>
      </c>
      <c r="N132" s="7">
        <f t="shared" si="48"/>
        <v>35.233333334326744</v>
      </c>
      <c r="O132" s="7"/>
      <c r="P132" s="7"/>
      <c r="Q132" s="23"/>
      <c r="R132" s="23"/>
      <c r="S132" s="35">
        <f t="shared" si="49"/>
        <v>1</v>
      </c>
      <c r="T132" s="50" t="str">
        <f t="shared" si="32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17:20:27-0600',mode:absolute,to:'2016-11-02 20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2" s="52" t="str">
        <f t="shared" si="34"/>
        <v>N</v>
      </c>
      <c r="X132" s="177">
        <f t="shared" si="47"/>
        <v>1</v>
      </c>
      <c r="Y132" s="67">
        <f t="shared" si="35"/>
        <v>4.7300000000000002E-2</v>
      </c>
      <c r="Z132" s="67">
        <f t="shared" si="36"/>
        <v>23.332799999999999</v>
      </c>
      <c r="AA132" s="67">
        <f t="shared" si="37"/>
        <v>23.285499999999999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8"/>
        <v>0219-02</v>
      </c>
      <c r="AE132" s="91" t="str">
        <f t="shared" si="39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32" s="88" t="str">
        <f t="shared" si="40"/>
        <v>"C:\Program Files (x86)\AstroGrep\AstroGrep.exe" /spath="%USERPROFILE%\AppData\Local\Temp\OnboardLogs" /stypes="app*4007*20161103*" /stext=" 01:.+((SYSTEM_STATE.+slice.+state.+changed )|(ment ac)|(system.+state.+changed )|(\[timeout)|(PRM\|1\|D)|(kpr)|(kdp)|(\|lc)|(penalty))" /e /r /s</v>
      </c>
      <c r="AG132" s="1" t="str">
        <f t="shared" si="41"/>
        <v>EC</v>
      </c>
      <c r="AH132" s="92" t="str">
        <f t="shared" si="42"/>
        <v>"%USERPROFILE%\Documents\GitHub\eaglep3\Utilities\RefineRTDCRunTimes.py" --tripid 219-02 --locoid 4007 --swversion DE.1.0.8.0 --startMP 204:473 --initTime 2016-11-02T18:20:27 --startdatetime 2016-11-02T18:30:18 --delay 1 --endMP 204:233328 --enddatetime 2016-11-02T19:05:32 --enforcementcount 0 &gt;&gt;C:\Users\stu\Documents\GitHub\eaglep3-reporting\EC\2016-11-02-refined-times.txt</v>
      </c>
      <c r="AI132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{"issue":{"subject":"","project_id":79,"tracker_id":40,"status_id":1,"priority_id":2,"assigned_to_id":23,"start_date":"2016-11-02","description":"","custom_fields":[{"id":1,"name":"Subdivision","value":"EC"},{"id":4,"name":"Milepost","value":"23.3328"},{"id":17,"name":"Train ID","value":"219-02"},{"id":16,"name":"Locomotive ID","value":"4007"},{"id":130,"name":"Impact","value":""},{"id":150,"name":"Time of Event (Mountain Time)","value":"19:05:32"},{"id":151,"name":"Denver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429</v>
      </c>
      <c r="B133" s="7">
        <v>4008</v>
      </c>
      <c r="C133" s="22" t="s">
        <v>249</v>
      </c>
      <c r="D133" s="22" t="s">
        <v>684</v>
      </c>
      <c r="E133" s="13">
        <v>42676.797569444447</v>
      </c>
      <c r="F133" s="13">
        <v>42676.810185185182</v>
      </c>
      <c r="G133" s="7">
        <v>1</v>
      </c>
      <c r="H133" s="13" t="s">
        <v>359</v>
      </c>
      <c r="I133" s="13">
        <v>42676.836331018516</v>
      </c>
      <c r="J133" s="7">
        <v>0</v>
      </c>
      <c r="K133" s="112" t="str">
        <f t="shared" si="29"/>
        <v>4007/4008</v>
      </c>
      <c r="L133" s="22" t="str">
        <f>VLOOKUP(A133,'Trips&amp;Operators'!$C$1:$E$10000,3,FALSE)</f>
        <v>CRAYTON</v>
      </c>
      <c r="M133" s="6">
        <f t="shared" si="30"/>
        <v>2.6145833333430346E-2</v>
      </c>
      <c r="N133" s="7">
        <f t="shared" si="48"/>
        <v>37.650000000139698</v>
      </c>
      <c r="O133" s="7"/>
      <c r="P133" s="7"/>
      <c r="Q133" s="23"/>
      <c r="R133" s="23"/>
      <c r="S133" s="35">
        <f t="shared" si="49"/>
        <v>1</v>
      </c>
      <c r="T133" s="50" t="str">
        <f t="shared" si="32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18:08:30-0600',mode:absolute,to:'2016-11-02 21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3" s="52" t="str">
        <f t="shared" si="34"/>
        <v>N</v>
      </c>
      <c r="X133" s="177">
        <f t="shared" si="47"/>
        <v>1</v>
      </c>
      <c r="Y133" s="67">
        <f t="shared" si="35"/>
        <v>23.3001</v>
      </c>
      <c r="Z133" s="67">
        <f t="shared" si="36"/>
        <v>1.34E-2</v>
      </c>
      <c r="AA133" s="67">
        <f t="shared" si="37"/>
        <v>23.2867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8"/>
        <v>0220-02</v>
      </c>
      <c r="AE133" s="91" t="str">
        <f t="shared" si="39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133" s="88" t="str">
        <f t="shared" si="40"/>
        <v>"C:\Program Files (x86)\AstroGrep\AstroGrep.exe" /spath="%USERPROFILE%\AppData\Local\Temp\OnboardLogs" /stypes="app*4008*20161103*" /stext=" 02:.+((SYSTEM_STATE.+slice.+state.+changed )|(ment ac)|(system.+state.+changed )|(\[timeout)|(PRM\|1\|D)|(kpr)|(kdp)|(\|lc)|(penalty))" /e /r /s</v>
      </c>
      <c r="AG133" s="1" t="str">
        <f t="shared" si="41"/>
        <v>EC</v>
      </c>
      <c r="AH133" s="92" t="str">
        <f t="shared" si="42"/>
        <v>"%USERPROFILE%\Documents\GitHub\eaglep3\Utilities\RefineRTDCRunTimes.py" --tripid 220-02 --locoid 4008 --swversion DE.1.0.8.0 --startMP 204:233001 --initTime 2016-11-02T19:08:30 --startdatetime 2016-11-02T19:26:40 --delay 1 --endMP 204:134 --enddatetime 2016-11-02T20:04:19 --enforcementcount 0 &gt;&gt;C:\Users\stu\Documents\GitHub\eaglep3-reporting\EC\2016-11-02-refined-times.txt</v>
      </c>
      <c r="AI133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{"issue":{"subject":"","project_id":79,"tracker_id":40,"status_id":1,"priority_id":2,"assigned_to_id":23,"start_date":"2016-11-02","description":"","custom_fields":[{"id":1,"name":"Subdivision","value":"EC"},{"id":4,"name":"Milepost","value":"0.0134"},{"id":17,"name":"Train ID","value":"220-02"},{"id":16,"name":"Locomotive ID","value":"4008"},{"id":130,"name":"Impact","value":""},{"id":150,"name":"Time of Event (Mountain Time)","value":"20:04:19"},{"id":151,"name":"Denver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603</v>
      </c>
      <c r="B134" s="7">
        <v>4009</v>
      </c>
      <c r="C134" s="22" t="s">
        <v>249</v>
      </c>
      <c r="D134" s="22" t="s">
        <v>214</v>
      </c>
      <c r="E134" s="13">
        <v>42676.785509259258</v>
      </c>
      <c r="F134" s="13">
        <v>42676.791967592595</v>
      </c>
      <c r="G134" s="7">
        <v>1</v>
      </c>
      <c r="H134" s="13" t="s">
        <v>685</v>
      </c>
      <c r="I134" s="13">
        <v>42676.817361111112</v>
      </c>
      <c r="J134" s="7">
        <v>0</v>
      </c>
      <c r="K134" s="112" t="str">
        <f t="shared" si="29"/>
        <v>4009/4010</v>
      </c>
      <c r="L134" s="22" t="str">
        <f>VLOOKUP(A134,'Trips&amp;Operators'!$C$1:$E$10000,3,FALSE)</f>
        <v>STAMBAUGH</v>
      </c>
      <c r="M134" s="6">
        <f t="shared" si="30"/>
        <v>2.5393518517375924E-2</v>
      </c>
      <c r="N134" s="7">
        <f t="shared" si="48"/>
        <v>36.56666666502133</v>
      </c>
      <c r="O134" s="7"/>
      <c r="P134" s="7"/>
      <c r="Q134" s="23"/>
      <c r="R134" s="23"/>
      <c r="S134" s="35">
        <f t="shared" si="49"/>
        <v>1</v>
      </c>
      <c r="T134" s="50" t="str">
        <f t="shared" si="32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17:51:08-0600',mode:absolute,to:'2016-11-02 20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4" s="52" t="str">
        <f t="shared" si="34"/>
        <v>N</v>
      </c>
      <c r="X134" s="177">
        <f t="shared" si="47"/>
        <v>1</v>
      </c>
      <c r="Y134" s="67">
        <f t="shared" si="35"/>
        <v>4.5999999999999999E-2</v>
      </c>
      <c r="Z134" s="67">
        <f t="shared" si="36"/>
        <v>23.331499999999998</v>
      </c>
      <c r="AA134" s="67">
        <f t="shared" si="37"/>
        <v>23.285499999999999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8"/>
        <v>0221-02</v>
      </c>
      <c r="AE134" s="91" t="str">
        <f t="shared" si="39"/>
        <v>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 &amp; aws s3 cp s3://rtdc.mdm.uploadarchive.raw/RTDC4009/ "%USERPROFILE%\AppData\Local\Temp\OnboardLogs"\RTDC4009\2016-11-03 --exclude "*" --recursive --include "*20161103*" &amp; "%USERPROFILE%\Documents\GitHub\mrs-test-scripts\Headless Mode &amp; Sideloading\WalkAndUnGZ.bat" "%USERPROFILE%\AppData\Local\Temp\OnboardLogs"\RTDC4009\2016-11-03</v>
      </c>
      <c r="AF134" s="88" t="str">
        <f t="shared" si="40"/>
        <v>"C:\Program Files (x86)\AstroGrep\AstroGrep.exe" /spath="%USERPROFILE%\AppData\Local\Temp\OnboardLogs" /stypes="app*4009*20161103*" /stext=" 01:.+((SYSTEM_STATE.+slice.+state.+changed )|(ment ac)|(system.+state.+changed )|(\[timeout)|(PRM\|1\|D)|(kpr)|(kdp)|(\|lc)|(penalty))" /e /r /s</v>
      </c>
      <c r="AG134" s="1" t="str">
        <f t="shared" si="41"/>
        <v>EC</v>
      </c>
      <c r="AH134" s="92" t="str">
        <f t="shared" si="42"/>
        <v>"%USERPROFILE%\Documents\GitHub\eaglep3\Utilities\RefineRTDCRunTimes.py" --tripid 221-02 --locoid 4009 --swversion DE.1.0.8.0 --startMP 204:460 --initTime 2016-11-02T18:51:08 --startdatetime 2016-11-02T19:00:26 --delay 1 --endMP 204:233315 --enddatetime 2016-11-02T19:37:00 --enforcementcount 0 &gt;&gt;C:\Users\stu\Documents\GitHub\eaglep3-reporting\EC\2016-11-02-refined-times.txt</v>
      </c>
      <c r="AI134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{"issue":{"subject":"","project_id":79,"tracker_id":40,"status_id":1,"priority_id":2,"assigned_to_id":23,"start_date":"2016-11-02","description":"","custom_fields":[{"id":1,"name":"Subdivision","value":"EC"},{"id":4,"name":"Milepost","value":"23.3315"},{"id":17,"name":"Train ID","value":"221-02"},{"id":16,"name":"Locomotive ID","value":"4009"},{"id":130,"name":"Impact","value":""},{"id":150,"name":"Time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610</v>
      </c>
      <c r="B135" s="7">
        <v>4010</v>
      </c>
      <c r="C135" s="22" t="s">
        <v>249</v>
      </c>
      <c r="D135" s="22" t="s">
        <v>236</v>
      </c>
      <c r="E135" s="13">
        <v>42676.823900462965</v>
      </c>
      <c r="F135" s="13">
        <v>42676.830960648149</v>
      </c>
      <c r="G135" s="7">
        <v>1</v>
      </c>
      <c r="H135" s="13" t="s">
        <v>204</v>
      </c>
      <c r="I135" s="13">
        <v>42676.857662037037</v>
      </c>
      <c r="J135" s="7">
        <v>0</v>
      </c>
      <c r="K135" s="112" t="str">
        <f t="shared" si="29"/>
        <v>4009/4010</v>
      </c>
      <c r="L135" s="22" t="str">
        <f>VLOOKUP(A135,'Trips&amp;Operators'!$C$1:$E$10000,3,FALSE)</f>
        <v>STAMBAUGH</v>
      </c>
      <c r="M135" s="6">
        <f t="shared" si="30"/>
        <v>2.6701388887886424E-2</v>
      </c>
      <c r="N135" s="7">
        <f t="shared" si="48"/>
        <v>38.44999999855645</v>
      </c>
      <c r="O135" s="7"/>
      <c r="P135" s="7"/>
      <c r="Q135" s="23"/>
      <c r="R135" s="23"/>
      <c r="S135" s="35">
        <f t="shared" si="49"/>
        <v>1</v>
      </c>
      <c r="T135" s="50" t="str">
        <f t="shared" si="32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18:46:25-0600',mode:absolute,to:'2016-11-02 21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5" s="52" t="str">
        <f t="shared" si="34"/>
        <v>N</v>
      </c>
      <c r="X135" s="177">
        <f t="shared" si="47"/>
        <v>1</v>
      </c>
      <c r="Y135" s="67">
        <f t="shared" si="35"/>
        <v>23.298500000000001</v>
      </c>
      <c r="Z135" s="67">
        <f t="shared" si="36"/>
        <v>1.4500000000000001E-2</v>
      </c>
      <c r="AA135" s="67">
        <f t="shared" si="37"/>
        <v>23.283999999999999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8"/>
        <v>0222-02</v>
      </c>
      <c r="AE135" s="91" t="str">
        <f t="shared" si="39"/>
        <v>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 &amp; aws s3 cp s3://rtdc.mdm.uploadarchive.raw/RTDC4010/ "%USERPROFILE%\AppData\Local\Temp\OnboardLogs"\RTDC4010\2016-11-03 --exclude "*" --recursive --include "*20161103*" &amp; "%USERPROFILE%\Documents\GitHub\mrs-test-scripts\Headless Mode &amp; Sideloading\WalkAndUnGZ.bat" "%USERPROFILE%\AppData\Local\Temp\OnboardLogs"\RTDC4010\2016-11-03</v>
      </c>
      <c r="AF135" s="88" t="str">
        <f t="shared" si="40"/>
        <v>"C:\Program Files (x86)\AstroGrep\AstroGrep.exe" /spath="%USERPROFILE%\AppData\Local\Temp\OnboardLogs" /stypes="app*4010*20161103*" /stext=" 02:.+((SYSTEM_STATE.+slice.+state.+changed )|(ment ac)|(system.+state.+changed )|(\[timeout)|(PRM\|1\|D)|(kpr)|(kdp)|(\|lc)|(penalty))" /e /r /s</v>
      </c>
      <c r="AG135" s="1" t="str">
        <f t="shared" si="41"/>
        <v>EC</v>
      </c>
      <c r="AH135" s="92" t="str">
        <f t="shared" si="42"/>
        <v>"%USERPROFILE%\Documents\GitHub\eaglep3\Utilities\RefineRTDCRunTimes.py" --tripid 222-02 --locoid 4010 --swversion DE.1.0.8.0 --startMP 204:232985 --initTime 2016-11-02T19:46:25 --startdatetime 2016-11-02T19:56:35 --delay 1 --endMP 204:145 --enddatetime 2016-11-02T20:35:02 --enforcementcount 0 &gt;&gt;C:\Users\stu\Documents\GitHub\eaglep3-reporting\EC\2016-11-02-refined-times.txt</v>
      </c>
      <c r="AI135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{"issue":{"subject":"","project_id":79,"tracker_id":40,"status_id":1,"priority_id":2,"assigned_to_id":23,"start_date":"2016-11-02","description":"","custom_fields":[{"id":1,"name":"Subdivision","value":"EC"},{"id":4,"name":"Milepost","value":"0.0145"},{"id":17,"name":"Train ID","value":"222-02"},{"id":16,"name":"Locomotive ID","value":"4010"},{"id":130,"name":"Impact","value":""},{"id":150,"name":"Time of Event (Mountain Time)","value":"20:35:02"},{"id":151,"name":"Denver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607</v>
      </c>
      <c r="B136" s="7">
        <v>4018</v>
      </c>
      <c r="C136" s="22" t="s">
        <v>249</v>
      </c>
      <c r="D136" s="22" t="s">
        <v>230</v>
      </c>
      <c r="E136" s="13">
        <v>42676.808067129627</v>
      </c>
      <c r="F136" s="13">
        <v>42676.812685185185</v>
      </c>
      <c r="G136" s="7">
        <v>1</v>
      </c>
      <c r="H136" s="13" t="s">
        <v>317</v>
      </c>
      <c r="I136" s="13">
        <v>42676.837557870371</v>
      </c>
      <c r="J136" s="7">
        <v>0</v>
      </c>
      <c r="K136" s="112" t="str">
        <f t="shared" si="29"/>
        <v>4017/4018</v>
      </c>
      <c r="L136" s="22" t="str">
        <f>VLOOKUP(A136,'Trips&amp;Operators'!$C$1:$E$10000,3,FALSE)</f>
        <v>MAGEE</v>
      </c>
      <c r="M136" s="6">
        <f t="shared" si="30"/>
        <v>2.4872685185982846E-2</v>
      </c>
      <c r="N136" s="7">
        <f t="shared" si="48"/>
        <v>35.816666667815298</v>
      </c>
      <c r="O136" s="7"/>
      <c r="P136" s="7"/>
      <c r="Q136" s="23"/>
      <c r="R136" s="23"/>
      <c r="S136" s="35">
        <f t="shared" si="49"/>
        <v>1</v>
      </c>
      <c r="T136" s="50" t="str">
        <f t="shared" si="32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18:23:37-0600',mode:absolute,to:'2016-11-02 21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6" s="52" t="str">
        <f t="shared" si="34"/>
        <v>N</v>
      </c>
      <c r="X136" s="177">
        <f t="shared" si="47"/>
        <v>1</v>
      </c>
      <c r="Y136" s="67">
        <f t="shared" si="35"/>
        <v>4.4900000000000002E-2</v>
      </c>
      <c r="Z136" s="67">
        <f t="shared" si="36"/>
        <v>23.331199999999999</v>
      </c>
      <c r="AA136" s="67">
        <f t="shared" si="37"/>
        <v>23.286300000000001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8"/>
        <v>0223-02</v>
      </c>
      <c r="AE136" s="91" t="str">
        <f t="shared" si="39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36" s="88" t="str">
        <f t="shared" si="40"/>
        <v>"C:\Program Files (x86)\AstroGrep\AstroGrep.exe" /spath="%USERPROFILE%\AppData\Local\Temp\OnboardLogs" /stypes="app*4018*20161103*" /stext=" 02:.+((SYSTEM_STATE.+slice.+state.+changed )|(ment ac)|(system.+state.+changed )|(\[timeout)|(PRM\|1\|D)|(kpr)|(kdp)|(\|lc)|(penalty))" /e /r /s</v>
      </c>
      <c r="AG136" s="1" t="str">
        <f t="shared" si="41"/>
        <v>EC</v>
      </c>
      <c r="AH136" s="92" t="str">
        <f t="shared" si="42"/>
        <v>"%USERPROFILE%\Documents\GitHub\eaglep3\Utilities\RefineRTDCRunTimes.py" --tripid 223-02 --locoid 4018 --swversion DE.1.0.8.0 --startMP 204:449 --initTime 2016-11-02T19:23:37 --startdatetime 2016-11-02T19:30:16 --delay 1 --endMP 204:233312 --enddatetime 2016-11-02T20:06:05 --enforcementcount 0 &gt;&gt;C:\Users\stu\Documents\GitHub\eaglep3-reporting\EC\2016-11-02-refined-times.txt</v>
      </c>
      <c r="AI136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ID","value":"223-02"},{"id":16,"name":"Locomotive ID","value":"4018"},{"id":130,"name":"Impact","value":""},{"id":150,"name":"Time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614</v>
      </c>
      <c r="B137" s="7">
        <v>4017</v>
      </c>
      <c r="C137" s="22" t="s">
        <v>249</v>
      </c>
      <c r="D137" s="22" t="s">
        <v>282</v>
      </c>
      <c r="E137" s="13">
        <v>42676.846967592595</v>
      </c>
      <c r="F137" s="13">
        <v>42676.851655092592</v>
      </c>
      <c r="G137" s="7">
        <v>1</v>
      </c>
      <c r="H137" s="13" t="s">
        <v>175</v>
      </c>
      <c r="I137" s="13">
        <v>42676.880868055552</v>
      </c>
      <c r="J137" s="7">
        <v>0</v>
      </c>
      <c r="K137" s="112" t="str">
        <f t="shared" si="29"/>
        <v>4017/4018</v>
      </c>
      <c r="L137" s="22" t="str">
        <f>VLOOKUP(A137,'Trips&amp;Operators'!$C$1:$E$10000,3,FALSE)</f>
        <v>MAGEE</v>
      </c>
      <c r="M137" s="6">
        <f t="shared" si="30"/>
        <v>2.9212962959718425E-2</v>
      </c>
      <c r="N137" s="7">
        <f t="shared" si="48"/>
        <v>42.066666661994532</v>
      </c>
      <c r="O137" s="7"/>
      <c r="P137" s="7"/>
      <c r="Q137" s="23"/>
      <c r="R137" s="23"/>
      <c r="S137" s="35">
        <f t="shared" si="49"/>
        <v>1</v>
      </c>
      <c r="T137" s="50" t="str">
        <f t="shared" si="32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19:19:38-0600',mode:absolute,to:'2016-11-02 22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7" s="52" t="str">
        <f t="shared" si="34"/>
        <v>N</v>
      </c>
      <c r="X137" s="177">
        <f t="shared" si="47"/>
        <v>1</v>
      </c>
      <c r="Y137" s="67">
        <f t="shared" si="35"/>
        <v>23.297599999999999</v>
      </c>
      <c r="Z137" s="67">
        <f t="shared" si="36"/>
        <v>1.47E-2</v>
      </c>
      <c r="AA137" s="67">
        <f t="shared" si="37"/>
        <v>23.282899999999998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8"/>
        <v>0224-02</v>
      </c>
      <c r="AE137" s="91" t="str">
        <f t="shared" si="39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137" s="88" t="str">
        <f t="shared" si="40"/>
        <v>"C:\Program Files (x86)\AstroGrep\AstroGrep.exe" /spath="%USERPROFILE%\AppData\Local\Temp\OnboardLogs" /stypes="app*4017*20161103*" /stext=" 03:.+((SYSTEM_STATE.+slice.+state.+changed )|(ment ac)|(system.+state.+changed )|(\[timeout)|(PRM\|1\|D)|(kpr)|(kdp)|(\|lc)|(penalty))" /e /r /s</v>
      </c>
      <c r="AG137" s="1" t="str">
        <f t="shared" si="41"/>
        <v>EC</v>
      </c>
      <c r="AH137" s="92" t="str">
        <f t="shared" si="42"/>
        <v>"%USERPROFILE%\Documents\GitHub\eaglep3\Utilities\RefineRTDCRunTimes.py" --tripid 224-02 --locoid 4017 --swversion DE.1.0.8.0 --startMP 204:232976 --initTime 2016-11-02T20:19:38 --startdatetime 2016-11-02T20:26:23 --delay 1 --endMP 204:147 --enddatetime 2016-11-02T21:08:27 --enforcementcount 0 &gt;&gt;C:\Users\stu\Documents\GitHub\eaglep3-reporting\EC\2016-11-02-refined-times.txt</v>
      </c>
      <c r="AI137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{"issue":{"subject":"","project_id":79,"tracker_id":40,"status_id":1,"priority_id":2,"assigned_to_id":23,"start_date":"2016-11-02","description":"","custom_fields":[{"id":1,"name":"Subdivision","value":"EC"},{"id":4,"name":"Milepost","value":"0.0147"},{"id":17,"name":"Train ID","value":"224-02"},{"id":16,"name":"Locomotive ID","value":"4017"},{"id":130,"name":"Impact","value":""},{"id":150,"name":"Time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611</v>
      </c>
      <c r="B138" s="7">
        <v>4038</v>
      </c>
      <c r="C138" s="22" t="s">
        <v>249</v>
      </c>
      <c r="D138" s="22" t="s">
        <v>211</v>
      </c>
      <c r="E138" s="13">
        <v>42676.826689814814</v>
      </c>
      <c r="F138" s="13">
        <v>42676.833611111113</v>
      </c>
      <c r="G138" s="7">
        <v>1</v>
      </c>
      <c r="H138" s="13" t="s">
        <v>270</v>
      </c>
      <c r="I138" s="13">
        <v>42676.858506944445</v>
      </c>
      <c r="J138" s="7">
        <v>0</v>
      </c>
      <c r="K138" s="112" t="str">
        <f t="shared" si="29"/>
        <v>4037/4038</v>
      </c>
      <c r="L138" s="22" t="str">
        <f>VLOOKUP(A138,'Trips&amp;Operators'!$C$1:$E$10000,3,FALSE)</f>
        <v>LEVIN</v>
      </c>
      <c r="M138" s="6">
        <f t="shared" si="30"/>
        <v>2.4895833332266193E-2</v>
      </c>
      <c r="N138" s="7">
        <f t="shared" si="48"/>
        <v>35.849999998463318</v>
      </c>
      <c r="O138" s="7"/>
      <c r="P138" s="7"/>
      <c r="Q138" s="23"/>
      <c r="R138" s="23"/>
      <c r="S138" s="35">
        <f t="shared" si="49"/>
        <v>1</v>
      </c>
      <c r="T138" s="50" t="str">
        <f t="shared" si="32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18:50:26-0600',mode:absolute,to:'2016-11-02 21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8" s="52" t="str">
        <f t="shared" si="34"/>
        <v>N</v>
      </c>
      <c r="X138" s="177">
        <f t="shared" si="47"/>
        <v>1</v>
      </c>
      <c r="Y138" s="67">
        <f t="shared" si="35"/>
        <v>4.6600000000000003E-2</v>
      </c>
      <c r="Z138" s="67">
        <f t="shared" si="36"/>
        <v>23.3278</v>
      </c>
      <c r="AA138" s="67">
        <f t="shared" si="37"/>
        <v>23.281199999999998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8"/>
        <v>0225-02</v>
      </c>
      <c r="AE138" s="91" t="str">
        <f t="shared" si="39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38" s="88" t="str">
        <f t="shared" si="40"/>
        <v>"C:\Program Files (x86)\AstroGrep\AstroGrep.exe" /spath="%USERPROFILE%\AppData\Local\Temp\OnboardLogs" /stypes="app*4038*20161103*" /stext=" 02:.+((SYSTEM_STATE.+slice.+state.+changed )|(ment ac)|(system.+state.+changed )|(\[timeout)|(PRM\|1\|D)|(kpr)|(kdp)|(\|lc)|(penalty))" /e /r /s</v>
      </c>
      <c r="AG138" s="1" t="str">
        <f t="shared" si="41"/>
        <v>EC</v>
      </c>
      <c r="AH138" s="92" t="str">
        <f t="shared" si="42"/>
        <v>"%USERPROFILE%\Documents\GitHub\eaglep3\Utilities\RefineRTDCRunTimes.py" --tripid 225-02 --locoid 4038 --swversion DE.1.0.8.0 --startMP 204:466 --initTime 2016-11-02T19:50:26 --startdatetime 2016-11-02T20:00:24 --delay 1 --endMP 204:233278 --enddatetime 2016-11-02T20:36:15 --enforcementcount 0 &gt;&gt;C:\Users\stu\Documents\GitHub\eaglep3-reporting\EC\2016-11-02-refined-times.txt</v>
      </c>
      <c r="AI138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{"issue":{"subject":"","project_id":79,"tracker_id":40,"status_id":1,"priority_id":2,"assigned_to_id":23,"start_date":"2016-11-02","description":"","custom_fields":[{"id":1,"name":"Subdivision","value":"EC"},{"id":4,"name":"Milepost","value":"23.3278"},{"id":17,"name":"Train ID","value":"225-02"},{"id":16,"name":"Locomotive ID","value":"4038"},{"id":130,"name":"Impact","value":""},{"id":150,"name":"Time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616</v>
      </c>
      <c r="B139" s="7">
        <v>4037</v>
      </c>
      <c r="C139" s="22" t="s">
        <v>249</v>
      </c>
      <c r="D139" s="22" t="s">
        <v>686</v>
      </c>
      <c r="E139" s="13">
        <v>42676.867037037038</v>
      </c>
      <c r="F139" s="13">
        <v>42676.872465277775</v>
      </c>
      <c r="G139" s="7">
        <v>1</v>
      </c>
      <c r="H139" s="13" t="s">
        <v>207</v>
      </c>
      <c r="I139" s="13">
        <v>42676.898831018516</v>
      </c>
      <c r="J139" s="7">
        <v>0</v>
      </c>
      <c r="K139" s="112" t="str">
        <f t="shared" si="29"/>
        <v>4037/4038</v>
      </c>
      <c r="L139" s="22" t="str">
        <f>VLOOKUP(A139,'Trips&amp;Operators'!$C$1:$E$10000,3,FALSE)</f>
        <v>LEVIN</v>
      </c>
      <c r="M139" s="6">
        <f t="shared" si="30"/>
        <v>2.6365740741312038E-2</v>
      </c>
      <c r="N139" s="7">
        <f t="shared" si="48"/>
        <v>37.966666667489335</v>
      </c>
      <c r="O139" s="7"/>
      <c r="P139" s="7"/>
      <c r="Q139" s="23"/>
      <c r="R139" s="23"/>
      <c r="S139" s="35">
        <f t="shared" si="49"/>
        <v>1</v>
      </c>
      <c r="T139" s="50" t="str">
        <f t="shared" si="32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19:48:32-0600',mode:absolute,to:'2016-11-02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9" s="52" t="str">
        <f t="shared" si="34"/>
        <v>N</v>
      </c>
      <c r="X139" s="177">
        <f t="shared" si="47"/>
        <v>1</v>
      </c>
      <c r="Y139" s="67">
        <f t="shared" si="35"/>
        <v>23.294899999999998</v>
      </c>
      <c r="Z139" s="67">
        <f t="shared" si="36"/>
        <v>1.43E-2</v>
      </c>
      <c r="AA139" s="67">
        <f t="shared" si="37"/>
        <v>23.2806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8"/>
        <v>0226-02</v>
      </c>
      <c r="AE139" s="91" t="str">
        <f t="shared" si="39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139" s="88" t="str">
        <f t="shared" si="40"/>
        <v>"C:\Program Files (x86)\AstroGrep\AstroGrep.exe" /spath="%USERPROFILE%\AppData\Local\Temp\OnboardLogs" /stypes="app*4037*20161103*" /stext=" 03:.+((SYSTEM_STATE.+slice.+state.+changed )|(ment ac)|(system.+state.+changed )|(\[timeout)|(PRM\|1\|D)|(kpr)|(kdp)|(\|lc)|(penalty))" /e /r /s</v>
      </c>
      <c r="AG139" s="1" t="str">
        <f t="shared" si="41"/>
        <v>EC</v>
      </c>
      <c r="AH139" s="92" t="str">
        <f t="shared" si="42"/>
        <v>"%USERPROFILE%\Documents\GitHub\eaglep3\Utilities\RefineRTDCRunTimes.py" --tripid 226-02 --locoid 4037 --swversion DE.1.0.8.0 --startMP 204:232949 --initTime 2016-11-02T20:48:32 --startdatetime 2016-11-02T20:56:21 --delay 1 --endMP 204:143 --enddatetime 2016-11-02T21:34:19 --enforcementcount 0 &gt;&gt;C:\Users\stu\Documents\GitHub\eaglep3-reporting\EC\2016-11-02-refined-times.txt</v>
      </c>
      <c r="AI139" s="122" t="str">
        <f t="shared" si="43"/>
        <v>echo {"issue":{"subject":"","project_id":79,"tracker_id":40,"status_id":1,"priority_id":2,"assigned_to_id":23,"start_date":"2016-11-02","description":"","custom_fields":[{"id":1,"name":"Subdivision","value":"EC"},{"id":4,"name":"Milepost","value":"0.0143"},{"id":17,"name":"Train ID","value":"226-02"},{"id":16,"name":"Locomotive ID","value":"4037"},{"id":130,"name":"Impact","value":""},{"id":150,"name":"Time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613</v>
      </c>
      <c r="B140" s="7">
        <v>4007</v>
      </c>
      <c r="C140" s="22" t="s">
        <v>249</v>
      </c>
      <c r="D140" s="22" t="s">
        <v>271</v>
      </c>
      <c r="E140" s="13">
        <v>42676.846701388888</v>
      </c>
      <c r="F140" s="13">
        <v>42676.854386574072</v>
      </c>
      <c r="G140" s="7">
        <v>1</v>
      </c>
      <c r="H140" s="13" t="s">
        <v>356</v>
      </c>
      <c r="I140" s="13">
        <v>42676.879004629627</v>
      </c>
      <c r="J140" s="7">
        <v>0</v>
      </c>
      <c r="K140" s="112" t="str">
        <f t="shared" si="29"/>
        <v>4007/4008</v>
      </c>
      <c r="L140" s="22" t="str">
        <f>VLOOKUP(A140,'Trips&amp;Operators'!$C$1:$E$10000,3,FALSE)</f>
        <v>CRAYTON</v>
      </c>
      <c r="M140" s="6">
        <f t="shared" si="30"/>
        <v>2.4618055555038154E-2</v>
      </c>
      <c r="N140" s="7">
        <f t="shared" si="48"/>
        <v>35.449999999254942</v>
      </c>
      <c r="O140" s="7"/>
      <c r="P140" s="7"/>
      <c r="Q140" s="23"/>
      <c r="R140" s="23"/>
      <c r="S140" s="35">
        <f t="shared" si="49"/>
        <v>1</v>
      </c>
      <c r="T140" s="50" t="str">
        <f t="shared" si="32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https://search-rtdc-monitor-bjffxe2xuh6vdkpspy63sjmuny.us-east-1.es.amazonaws.com/_plugin/kibana/#/discover/Steve-Slow-Train-Analysis-(2080s-and-2083s)?_g=(refreshInterval:(display:Off,section:0,value:0),time:(from:'2016-11-02 19:19:15-0600',mode:absolute,to:'2016-11-02 22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0" s="52" t="str">
        <f t="shared" si="34"/>
        <v>N</v>
      </c>
      <c r="X140" s="177">
        <f t="shared" si="47"/>
        <v>1</v>
      </c>
      <c r="Y140" s="67">
        <f t="shared" ref="Y140:Y203" si="50">RIGHT(D140,LEN(D140)-4)/10000</f>
        <v>4.4400000000000002E-2</v>
      </c>
      <c r="Z140" s="67">
        <f t="shared" ref="Z140:Z203" si="51">RIGHT(H140,LEN(H140)-4)/10000</f>
        <v>23.3308</v>
      </c>
      <c r="AA140" s="67">
        <f t="shared" si="37"/>
        <v>23.2864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8"/>
        <v>0227-02</v>
      </c>
      <c r="AE140" s="91" t="str">
        <f t="shared" si="39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40" s="88" t="str">
        <f t="shared" si="40"/>
        <v>"C:\Program Files (x86)\AstroGrep\AstroGrep.exe" /spath="%USERPROFILE%\AppData\Local\Temp\OnboardLogs" /stypes="app*4007*20161103*" /stext=" 03:.+((SYSTEM_STATE.+slice.+state.+changed )|(ment ac)|(system.+state.+changed )|(\[timeout)|(PRM\|1\|D)|(kpr)|(kdp)|(\|lc)|(penalty))" /e /r /s</v>
      </c>
      <c r="AG140" s="1" t="str">
        <f t="shared" si="41"/>
        <v>EC</v>
      </c>
      <c r="AH140" s="92" t="str">
        <f t="shared" ref="AH140:AH203" si="5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227-02 --locoid 4007 --swversion DE.1.0.8.0 --startMP 204:444 --initTime 2016-11-02T20:19:15 --startdatetime 2016-11-02T20:30:19 --delay 1 --endMP 204:233308 --enddatetime 2016-11-02T21:05:46 --enforcementcount 0 &gt;&gt;C:\Users\stu\Documents\GitHub\eaglep3-reporting\EC\2016-11-02-refined-times.txt</v>
      </c>
      <c r="AI140" s="122" t="str">
        <f t="shared" ref="AI140:AI203" si="5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{"issue":{"subject":"","project_id":79,"tracker_id":40,"status_id":1,"priority_id":2,"assigned_to_id":23,"start_date":"2016-11-02","description":"","custom_fields":[{"id":1,"name":"Subdivision","value":"EC"},{"id":4,"name":"Milepost","value":"23.3308"},{"id":17,"name":"Train ID","value":"227-02"},{"id":16,"name":"Locomotive ID","value":"4007"},{"id":130,"name":"Impact","value":""},{"id":150,"name":"Time of Event (Mountain Time)","value":"21:05:46"},{"id":151,"name":"Denver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617</v>
      </c>
      <c r="B141" s="7">
        <v>4008</v>
      </c>
      <c r="C141" s="22" t="s">
        <v>249</v>
      </c>
      <c r="D141" s="22" t="s">
        <v>355</v>
      </c>
      <c r="E141" s="13">
        <v>42676.8830787037</v>
      </c>
      <c r="F141" s="13">
        <v>42676.89340277778</v>
      </c>
      <c r="G141" s="7">
        <v>1</v>
      </c>
      <c r="H141" s="13" t="s">
        <v>357</v>
      </c>
      <c r="I141" s="13">
        <v>42676.919745370367</v>
      </c>
      <c r="J141" s="7">
        <v>0</v>
      </c>
      <c r="K141" s="112" t="str">
        <f t="shared" ref="K141:K204" si="54">IF(ISEVEN(B141),(B141-1)&amp;"/"&amp;B141,B141&amp;"/"&amp;(B141+1))</f>
        <v>4007/4008</v>
      </c>
      <c r="L141" s="22" t="str">
        <f>VLOOKUP(A141,'Trips&amp;Operators'!$C$1:$E$10000,3,FALSE)</f>
        <v>CRAYTON</v>
      </c>
      <c r="M141" s="6">
        <f t="shared" ref="M141:M204" si="55">I141-F141</f>
        <v>2.6342592587752733E-2</v>
      </c>
      <c r="N141" s="7">
        <f t="shared" si="48"/>
        <v>37.933333326363936</v>
      </c>
      <c r="O141" s="7"/>
      <c r="P141" s="7"/>
      <c r="Q141" s="23"/>
      <c r="R141" s="23"/>
      <c r="S141" s="35">
        <f t="shared" si="49"/>
        <v>1</v>
      </c>
      <c r="T141" s="50" t="str">
        <f t="shared" ref="T141:T204" si="56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https://search-rtdc-monitor-bjffxe2xuh6vdkpspy63sjmuny.us-east-1.es.amazonaws.com/_plugin/kibana/#/discover/Steve-Slow-Train-Analysis-(2080s-and-2083s)?_g=(refreshInterval:(display:Off,section:0,value:0),time:(from:'2016-11-02 20:11:38-0600',mode:absolute,to:'2016-11-02 23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1" s="52" t="str">
        <f t="shared" ref="W141:W204" si="58">IF(AA141&lt;IF(AG141="EC",23,5.65),"Y","N")</f>
        <v>N</v>
      </c>
      <c r="X141" s="177">
        <f t="shared" si="47"/>
        <v>1</v>
      </c>
      <c r="Y141" s="67">
        <f t="shared" si="50"/>
        <v>23.3</v>
      </c>
      <c r="Z141" s="67">
        <f t="shared" si="51"/>
        <v>1.2699999999999999E-2</v>
      </c>
      <c r="AA141" s="67">
        <f t="shared" ref="AA141:AA204" si="59">ABS(Z141-Y141)</f>
        <v>23.287300000000002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60">IF(LEN(A141)=6,"0"&amp;A141,A141)</f>
        <v>0228-02</v>
      </c>
      <c r="AE141" s="91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141" s="88" t="str">
        <f t="shared" ref="AF141:AF204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/stypes="app*4008*20161103*" /stext=" 04:.+((SYSTEM_STATE.+slice.+state.+changed )|(ment ac)|(system.+state.+changed )|(\[timeout)|(PRM\|1\|D)|(kpr)|(kdp)|(\|lc)|(penalty))"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92" t="str">
        <f t="shared" si="52"/>
        <v>"%USERPROFILE%\Documents\GitHub\eaglep3\Utilities\RefineRTDCRunTimes.py" --tripid 228-02 --locoid 4008 --swversion DE.1.0.8.0 --startMP 204:233000 --initTime 2016-11-02T21:11:38 --startdatetime 2016-11-02T21:26:30 --delay 1 --endMP 204:127 --enddatetime 2016-11-02T22:04:26 --enforcementcount 0 &gt;&gt;C:\Users\stu\Documents\GitHub\eaglep3-reporting\EC\2016-11-02-refined-times.txt</v>
      </c>
      <c r="AI141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{"issue":{"subject":"","project_id":79,"tracker_id":40,"status_id":1,"priority_id":2,"assigned_to_id":23,"start_date":"2016-11-02","description":"","custom_fields":[{"id":1,"name":"Subdivision","value":"EC"},{"id":4,"name":"Milepost","value":"0.0127"},{"id":17,"name":"Train ID","value":"228-02"},{"id":16,"name":"Locomotive ID","value":"4008"},{"id":130,"name":"Impact","value":""},{"id":150,"name":"Time of Event (Mountain Time)","value":"22:04:26"},{"id":151,"name":"Denver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430</v>
      </c>
      <c r="B142" s="7">
        <v>4046</v>
      </c>
      <c r="C142" s="22" t="s">
        <v>249</v>
      </c>
      <c r="D142" s="22" t="s">
        <v>687</v>
      </c>
      <c r="E142" s="13">
        <v>42676.872581018521</v>
      </c>
      <c r="F142" s="13">
        <v>42676.877060185187</v>
      </c>
      <c r="G142" s="7">
        <v>1</v>
      </c>
      <c r="H142" s="13" t="s">
        <v>317</v>
      </c>
      <c r="I142" s="13">
        <v>42676.906331018516</v>
      </c>
      <c r="J142" s="7">
        <v>0</v>
      </c>
      <c r="K142" s="112" t="str">
        <f t="shared" si="54"/>
        <v>4045/4046</v>
      </c>
      <c r="L142" s="22" t="str">
        <f>VLOOKUP(A142,'Trips&amp;Operators'!$C$1:$E$10000,3,FALSE)</f>
        <v>STAMBAUGH</v>
      </c>
      <c r="M142" s="6">
        <f t="shared" si="55"/>
        <v>2.9270833329064772E-2</v>
      </c>
      <c r="N142" s="7">
        <f t="shared" si="48"/>
        <v>42.149999993853271</v>
      </c>
      <c r="O142" s="7"/>
      <c r="P142" s="7"/>
      <c r="Q142" s="23"/>
      <c r="R142" s="23"/>
      <c r="S142" s="35">
        <f t="shared" si="49"/>
        <v>1</v>
      </c>
      <c r="T142" s="50" t="str">
        <f t="shared" si="56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19:56:31-0600',mode:absolute,to:'2016-11-02 22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52" t="str">
        <f t="shared" si="58"/>
        <v>N</v>
      </c>
      <c r="X142" s="177">
        <f t="shared" si="47"/>
        <v>1</v>
      </c>
      <c r="Y142" s="67">
        <f t="shared" si="50"/>
        <v>0.115</v>
      </c>
      <c r="Z142" s="67">
        <f t="shared" si="51"/>
        <v>23.331199999999999</v>
      </c>
      <c r="AA142" s="67">
        <f t="shared" si="59"/>
        <v>23.216200000000001</v>
      </c>
      <c r="AB142" s="64" t="str">
        <f>VLOOKUP(A142,Enforcements!$C$7:$K$21,8,0)</f>
        <v>Bulletin (2)</v>
      </c>
      <c r="AC142" s="60" t="str">
        <f>VLOOKUP(A142,Enforcements!$C$7:$E$21,3,0)</f>
        <v>GRADE CROSSING</v>
      </c>
      <c r="AD142" s="61" t="str">
        <f t="shared" si="60"/>
        <v>0229-02</v>
      </c>
      <c r="AE142" s="91" t="str">
        <f t="shared" si="61"/>
        <v>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 &amp; aws s3 cp s3://rtdc.mdm.uploadarchive.raw/RTDC4046/ "%USERPROFILE%\AppData\Local\Temp\OnboardLogs"\RTDC4046\2016-11-03 --exclude "*" --recursive --include "*20161103*" &amp; "%USERPROFILE%\Documents\GitHub\mrs-test-scripts\Headless Mode &amp; Sideloading\WalkAndUnGZ.bat" "%USERPROFILE%\AppData\Local\Temp\OnboardLogs"\RTDC4046\2016-11-03</v>
      </c>
      <c r="AF142" s="88" t="str">
        <f t="shared" si="62"/>
        <v>"C:\Program Files (x86)\AstroGrep\AstroGrep.exe" /spath="%USERPROFILE%\AppData\Local\Temp\OnboardLogs" /stypes="app*4046*20161103*" /stext=" 03:.+((SYSTEM_STATE.+slice.+state.+changed )|(ment ac)|(system.+state.+changed )|(\[timeout)|(PRM\|1\|D)|(kpr)|(kdp)|(\|lc)|(penalty))" /e /r /s</v>
      </c>
      <c r="AG142" s="1" t="str">
        <f t="shared" si="63"/>
        <v>EC</v>
      </c>
      <c r="AH142" s="92" t="str">
        <f t="shared" si="52"/>
        <v>"%USERPROFILE%\Documents\GitHub\eaglep3\Utilities\RefineRTDCRunTimes.py" --tripid 229-02 --locoid 4046 --swversion DE.1.0.8.0 --startMP 204:1150 --initTime 2016-11-02T20:56:31 --startdatetime 2016-11-02T21:02:58 --delay 1 --endMP 204:233312 --enddatetime 2016-11-02T21:45:07 --enforcementcount 0 &gt;&gt;C:\Users\stu\Documents\GitHub\eaglep3-reporting\EC\2016-11-02-refined-times.txt</v>
      </c>
      <c r="AI142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ID","value":"229-02"},{"id":16,"name":"Locomotive ID","value":"4046"},{"id":130,"name":"Impact","value":""},{"id":150,"name":"Time of Event (Mountain Time)","value":"21:45:07"},{"id":151,"name":"Denver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620</v>
      </c>
      <c r="B143" s="7">
        <v>4045</v>
      </c>
      <c r="C143" s="22" t="s">
        <v>249</v>
      </c>
      <c r="D143" s="22" t="s">
        <v>369</v>
      </c>
      <c r="E143" s="13">
        <v>42676.909409722219</v>
      </c>
      <c r="F143" s="13">
        <v>42676.914398148147</v>
      </c>
      <c r="G143" s="7">
        <v>1</v>
      </c>
      <c r="H143" s="13" t="s">
        <v>352</v>
      </c>
      <c r="I143" s="13">
        <v>42676.939768518518</v>
      </c>
      <c r="J143" s="7">
        <v>0</v>
      </c>
      <c r="K143" s="112" t="str">
        <f t="shared" si="54"/>
        <v>4045/4046</v>
      </c>
      <c r="L143" s="22" t="str">
        <f>VLOOKUP(A143,'Trips&amp;Operators'!$C$1:$E$10000,3,FALSE)</f>
        <v>STAMBAUGH</v>
      </c>
      <c r="M143" s="6">
        <f t="shared" si="55"/>
        <v>2.5370370371092577E-2</v>
      </c>
      <c r="N143" s="7">
        <f t="shared" si="48"/>
        <v>36.53333333437331</v>
      </c>
      <c r="O143" s="7"/>
      <c r="P143" s="7"/>
      <c r="Q143" s="23"/>
      <c r="R143" s="23"/>
      <c r="S143" s="35">
        <f t="shared" si="49"/>
        <v>1</v>
      </c>
      <c r="T143" s="50" t="str">
        <f t="shared" si="56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20:49:33-0600',mode:absolute,to:'2016-11-02 23:33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52" t="str">
        <f t="shared" si="58"/>
        <v>N</v>
      </c>
      <c r="X143" s="177">
        <f t="shared" si="47"/>
        <v>1</v>
      </c>
      <c r="Y143" s="67">
        <f t="shared" si="50"/>
        <v>23.299099999999999</v>
      </c>
      <c r="Z143" s="67">
        <f t="shared" si="51"/>
        <v>1.6500000000000001E-2</v>
      </c>
      <c r="AA143" s="67">
        <f t="shared" si="59"/>
        <v>23.282599999999999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60"/>
        <v>0230-02</v>
      </c>
      <c r="AE143" s="91" t="str">
        <f t="shared" si="61"/>
        <v>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 &amp; aws s3 cp s3://rtdc.mdm.uploadarchive.raw/RTDC4045/ "%USERPROFILE%\AppData\Local\Temp\OnboardLogs"\RTDC4045\2016-11-03 --exclude "*" --recursive --include "*20161103*" &amp; "%USERPROFILE%\Documents\GitHub\mrs-test-scripts\Headless Mode &amp; Sideloading\WalkAndUnGZ.bat" "%USERPROFILE%\AppData\Local\Temp\OnboardLogs"\RTDC4045\2016-11-03</v>
      </c>
      <c r="AF143" s="88" t="str">
        <f t="shared" si="62"/>
        <v>"C:\Program Files (x86)\AstroGrep\AstroGrep.exe" /spath="%USERPROFILE%\AppData\Local\Temp\OnboardLogs" /stypes="app*4045*20161103*" /stext=" 04:.+((SYSTEM_STATE.+slice.+state.+changed )|(ment ac)|(system.+state.+changed )|(\[timeout)|(PRM\|1\|D)|(kpr)|(kdp)|(\|lc)|(penalty))" /e /r /s</v>
      </c>
      <c r="AG143" s="1" t="str">
        <f t="shared" si="63"/>
        <v>EC</v>
      </c>
      <c r="AH143" s="92" t="str">
        <f t="shared" si="52"/>
        <v>"%USERPROFILE%\Documents\GitHub\eaglep3\Utilities\RefineRTDCRunTimes.py" --tripid 230-02 --locoid 4045 --swversion DE.1.0.8.0 --startMP 204:232991 --initTime 2016-11-02T21:49:33 --startdatetime 2016-11-02T21:56:44 --delay 1 --endMP 204:165 --enddatetime 2016-11-02T22:33:16 --enforcementcount 0 &gt;&gt;C:\Users\stu\Documents\GitHub\eaglep3-reporting\EC\2016-11-02-refined-times.txt</v>
      </c>
      <c r="AI143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{"issue":{"subject":"","project_id":79,"tracker_id":40,"status_id":1,"priority_id":2,"assigned_to_id":23,"start_date":"2016-11-02","description":"","custom_fields":[{"id":1,"name":"Subdivision","value":"EC"},{"id":4,"name":"Milepost","value":"0.0165"},{"id":17,"name":"Train ID","value":"230-02"},{"id":16,"name":"Locomotive ID","value":"4045"},{"id":130,"name":"Impact","value":""},{"id":150,"name":"Time of Event (Mountain Time)","value":"22:33:16"},{"id":151,"name":"Denver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618</v>
      </c>
      <c r="B144" s="7">
        <v>4018</v>
      </c>
      <c r="C144" s="22" t="s">
        <v>249</v>
      </c>
      <c r="D144" s="22" t="s">
        <v>244</v>
      </c>
      <c r="E144" s="13">
        <v>42676.892916666664</v>
      </c>
      <c r="F144" s="13">
        <v>42676.895983796298</v>
      </c>
      <c r="G144" s="7">
        <v>1</v>
      </c>
      <c r="H144" s="13" t="s">
        <v>314</v>
      </c>
      <c r="I144" s="13">
        <v>42676.920671296299</v>
      </c>
      <c r="J144" s="7">
        <v>0</v>
      </c>
      <c r="K144" s="112" t="str">
        <f t="shared" si="54"/>
        <v>4017/4018</v>
      </c>
      <c r="L144" s="22" t="str">
        <f>VLOOKUP(A144,'Trips&amp;Operators'!$C$1:$E$10000,3,FALSE)</f>
        <v>MAGEE</v>
      </c>
      <c r="M144" s="6">
        <f t="shared" si="55"/>
        <v>2.4687500001164153E-2</v>
      </c>
      <c r="N144" s="7">
        <f t="shared" si="48"/>
        <v>35.550000001676381</v>
      </c>
      <c r="O144" s="7"/>
      <c r="P144" s="7"/>
      <c r="Q144" s="23"/>
      <c r="R144" s="23"/>
      <c r="S144" s="35">
        <f t="shared" si="49"/>
        <v>1</v>
      </c>
      <c r="T144" s="50" t="str">
        <f t="shared" si="56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20:25:48-0600',mode:absolute,to:'2016-11-02 23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4" s="52" t="str">
        <f t="shared" si="58"/>
        <v>N</v>
      </c>
      <c r="X144" s="177">
        <f t="shared" si="47"/>
        <v>1</v>
      </c>
      <c r="Y144" s="67">
        <f t="shared" si="50"/>
        <v>4.6399999999999997E-2</v>
      </c>
      <c r="Z144" s="67">
        <f t="shared" si="51"/>
        <v>23.329799999999999</v>
      </c>
      <c r="AA144" s="67">
        <f t="shared" si="59"/>
        <v>23.2834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0"/>
        <v>0231-02</v>
      </c>
      <c r="AE144" s="91" t="str">
        <f t="shared" si="61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44" s="88" t="str">
        <f t="shared" si="62"/>
        <v>"C:\Program Files (x86)\AstroGrep\AstroGrep.exe" /spath="%USERPROFILE%\AppData\Local\Temp\OnboardLogs" /stypes="app*4018*20161103*" /stext=" 04:.+((SYSTEM_STATE.+slice.+state.+changed )|(ment ac)|(system.+state.+changed )|(\[timeout)|(PRM\|1\|D)|(kpr)|(kdp)|(\|lc)|(penalty))" /e /r /s</v>
      </c>
      <c r="AG144" s="1" t="str">
        <f t="shared" si="63"/>
        <v>EC</v>
      </c>
      <c r="AH144" s="92" t="str">
        <f t="shared" si="52"/>
        <v>"%USERPROFILE%\Documents\GitHub\eaglep3\Utilities\RefineRTDCRunTimes.py" --tripid 231-02 --locoid 4018 --swversion DE.1.0.8.0 --startMP 204:464 --initTime 2016-11-02T21:25:48 --startdatetime 2016-11-02T21:30:13 --delay 1 --endMP 204:233298 --enddatetime 2016-11-02T22:05:46 --enforcementcount 0 &gt;&gt;C:\Users\stu\Documents\GitHub\eaglep3-reporting\EC\2016-11-02-refined-times.txt</v>
      </c>
      <c r="AI144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{"issue":{"subject":"","project_id":79,"tracker_id":40,"status_id":1,"priority_id":2,"assigned_to_id":23,"start_date":"2016-11-02","description":"","custom_fields":[{"id":1,"name":"Subdivision","value":"EC"},{"id":4,"name":"Milepost","value":"23.3298"},{"id":17,"name":"Train ID","value":"231-02"},{"id":16,"name":"Locomotive ID","value":"4018"},{"id":130,"name":"Impact","value":""},{"id":150,"name":"Time of Event (Mountain Time)","value":"22:05:46"},{"id":151,"name":"Denver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621</v>
      </c>
      <c r="B145" s="7">
        <v>4017</v>
      </c>
      <c r="C145" s="22" t="s">
        <v>249</v>
      </c>
      <c r="D145" s="22" t="s">
        <v>278</v>
      </c>
      <c r="E145" s="13">
        <v>42676.926018518519</v>
      </c>
      <c r="F145" s="13">
        <v>42676.934895833336</v>
      </c>
      <c r="G145" s="7">
        <v>1</v>
      </c>
      <c r="H145" s="13" t="s">
        <v>309</v>
      </c>
      <c r="I145" s="13">
        <v>42676.962638888886</v>
      </c>
      <c r="J145" s="7">
        <v>0</v>
      </c>
      <c r="K145" s="112" t="str">
        <f t="shared" si="54"/>
        <v>4017/4018</v>
      </c>
      <c r="L145" s="22" t="str">
        <f>VLOOKUP(A145,'Trips&amp;Operators'!$C$1:$E$10000,3,FALSE)</f>
        <v>MAGEE</v>
      </c>
      <c r="M145" s="6">
        <f t="shared" si="55"/>
        <v>2.774305555067258E-2</v>
      </c>
      <c r="N145" s="7">
        <f t="shared" si="48"/>
        <v>39.949999992968515</v>
      </c>
      <c r="O145" s="7"/>
      <c r="P145" s="7"/>
      <c r="Q145" s="23"/>
      <c r="R145" s="23"/>
      <c r="S145" s="35">
        <f t="shared" si="49"/>
        <v>1</v>
      </c>
      <c r="T145" s="50" t="str">
        <f t="shared" si="56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21:13:28-0600',mode:absolute,to:'2016-11-03 00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5" s="52" t="str">
        <f t="shared" si="58"/>
        <v>N</v>
      </c>
      <c r="X145" s="177">
        <f t="shared" si="47"/>
        <v>1</v>
      </c>
      <c r="Y145" s="67">
        <f t="shared" si="50"/>
        <v>23.2972</v>
      </c>
      <c r="Z145" s="67">
        <f t="shared" si="51"/>
        <v>1.6299999999999999E-2</v>
      </c>
      <c r="AA145" s="67">
        <f t="shared" si="59"/>
        <v>23.280899999999999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0"/>
        <v>0232-02</v>
      </c>
      <c r="AE145" s="91" t="str">
        <f t="shared" si="61"/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AF145" s="88" t="str">
        <f t="shared" si="62"/>
        <v>"C:\Program Files (x86)\AstroGrep\AstroGrep.exe" /spath="%USERPROFILE%\AppData\Local\Temp\OnboardLogs" /stypes="app*4017*20161103*" /stext=" 05:.+((SYSTEM_STATE.+slice.+state.+changed )|(ment ac)|(system.+state.+changed )|(\[timeout)|(PRM\|1\|D)|(kpr)|(kdp)|(\|lc)|(penalty))" /e /r /s</v>
      </c>
      <c r="AG145" s="1" t="str">
        <f t="shared" si="63"/>
        <v>EC</v>
      </c>
      <c r="AH145" s="92" t="str">
        <f t="shared" si="52"/>
        <v>"%USERPROFILE%\Documents\GitHub\eaglep3\Utilities\RefineRTDCRunTimes.py" --tripid 232-02 --locoid 4017 --swversion DE.1.0.8.0 --startMP 204:232972 --initTime 2016-11-02T22:13:28 --startdatetime 2016-11-02T22:26:15 --delay 1 --endMP 204:163 --enddatetime 2016-11-02T23:06:12 --enforcementcount 0 &gt;&gt;C:\Users\stu\Documents\GitHub\eaglep3-reporting\EC\2016-11-02-refined-times.txt</v>
      </c>
      <c r="AI145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{"issue":{"subject":"","project_id":79,"tracker_id":40,"status_id":1,"priority_id":2,"assigned_to_id":23,"start_date":"2016-11-02","description":"","custom_fields":[{"id":1,"name":"Subdivision","value":"EC"},{"id":4,"name":"Milepost","value":"0.0163"},{"id":17,"name":"Train ID","value":"232-02"},{"id":16,"name":"Locomotive ID","value":"4017"},{"id":130,"name":"Impact","value":""},{"id":150,"name":"Time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432</v>
      </c>
      <c r="B146" s="7">
        <v>4038</v>
      </c>
      <c r="C146" s="22" t="s">
        <v>249</v>
      </c>
      <c r="D146" s="22" t="s">
        <v>281</v>
      </c>
      <c r="E146" s="13">
        <v>42676.913275462961</v>
      </c>
      <c r="F146" s="13">
        <v>42676.916921296295</v>
      </c>
      <c r="G146" s="7">
        <v>1</v>
      </c>
      <c r="H146" s="13" t="s">
        <v>365</v>
      </c>
      <c r="I146" s="13">
        <v>42676.942372685182</v>
      </c>
      <c r="J146" s="7">
        <v>0</v>
      </c>
      <c r="K146" s="112" t="str">
        <f t="shared" si="54"/>
        <v>4037/4038</v>
      </c>
      <c r="L146" s="22" t="str">
        <f>VLOOKUP(A146,'Trips&amp;Operators'!$C$1:$E$10000,3,FALSE)</f>
        <v>LEVIN</v>
      </c>
      <c r="M146" s="6">
        <f t="shared" si="55"/>
        <v>2.545138888672227E-2</v>
      </c>
      <c r="N146" s="7">
        <f t="shared" si="48"/>
        <v>36.649999996880069</v>
      </c>
      <c r="O146" s="7"/>
      <c r="P146" s="7"/>
      <c r="Q146" s="23"/>
      <c r="R146" s="23"/>
      <c r="S146" s="35">
        <f t="shared" si="49"/>
        <v>1</v>
      </c>
      <c r="T146" s="50" t="str">
        <f t="shared" si="56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20:55:07-0600',mode:absolute,to:'2016-11-02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6" s="52" t="str">
        <f t="shared" si="58"/>
        <v>N</v>
      </c>
      <c r="X146" s="177">
        <f t="shared" si="47"/>
        <v>1</v>
      </c>
      <c r="Y146" s="67">
        <f t="shared" si="50"/>
        <v>4.7500000000000001E-2</v>
      </c>
      <c r="Z146" s="67">
        <f t="shared" si="51"/>
        <v>23.3306</v>
      </c>
      <c r="AA146" s="67">
        <f t="shared" si="59"/>
        <v>23.283100000000001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0"/>
        <v>0233-02</v>
      </c>
      <c r="AE146" s="91" t="str">
        <f t="shared" si="61"/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AF146" s="88" t="str">
        <f t="shared" si="62"/>
        <v>"C:\Program Files (x86)\AstroGrep\AstroGrep.exe" /spath="%USERPROFILE%\AppData\Local\Temp\OnboardLogs" /stypes="app*4038*20161103*" /stext=" 04:.+((SYSTEM_STATE.+slice.+state.+changed )|(ment ac)|(system.+state.+changed )|(\[timeout)|(PRM\|1\|D)|(kpr)|(kdp)|(\|lc)|(penalty))" /e /r /s</v>
      </c>
      <c r="AG146" s="1" t="str">
        <f t="shared" si="63"/>
        <v>EC</v>
      </c>
      <c r="AH146" s="92" t="str">
        <f t="shared" si="52"/>
        <v>"%USERPROFILE%\Documents\GitHub\eaglep3\Utilities\RefineRTDCRunTimes.py" --tripid 233-02 --locoid 4038 --swversion DE.1.0.8.0 --startMP 204:475 --initTime 2016-11-02T21:55:07 --startdatetime 2016-11-02T22:00:22 --delay 1 --endMP 204:233306 --enddatetime 2016-11-02T22:37:01 --enforcementcount 0 &gt;&gt;C:\Users\stu\Documents\GitHub\eaglep3-reporting\EC\2016-11-02-refined-times.txt</v>
      </c>
      <c r="AI146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{"issue":{"subject":"","project_id":79,"tracker_id":40,"status_id":1,"priority_id":2,"assigned_to_id":23,"start_date":"2016-11-02","description":"","custom_fields":[{"id":1,"name":"Subdivision","value":"EC"},{"id":4,"name":"Milepost","value":"23.3306"},{"id":17,"name":"Train ID","value":"233-02"},{"id":16,"name":"Locomotive ID","value":"4038"},{"id":130,"name":"Impact","value":""},{"id":150,"name":"Time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625</v>
      </c>
      <c r="B147" s="7">
        <v>4037</v>
      </c>
      <c r="C147" s="22" t="s">
        <v>249</v>
      </c>
      <c r="D147" s="22" t="s">
        <v>224</v>
      </c>
      <c r="E147" s="13">
        <v>42676.952094907407</v>
      </c>
      <c r="F147" s="13">
        <v>42676.955810185187</v>
      </c>
      <c r="G147" s="7">
        <v>1</v>
      </c>
      <c r="H147" s="13" t="s">
        <v>176</v>
      </c>
      <c r="I147" s="13">
        <v>42676.982141203705</v>
      </c>
      <c r="J147" s="7">
        <v>0</v>
      </c>
      <c r="K147" s="112" t="str">
        <f t="shared" si="54"/>
        <v>4037/4038</v>
      </c>
      <c r="L147" s="22" t="str">
        <f>VLOOKUP(A147,'Trips&amp;Operators'!$C$1:$E$10000,3,FALSE)</f>
        <v>LEVIN</v>
      </c>
      <c r="M147" s="6">
        <f t="shared" si="55"/>
        <v>2.6331018518249039E-2</v>
      </c>
      <c r="N147" s="7">
        <f t="shared" si="48"/>
        <v>37.916666666278616</v>
      </c>
      <c r="O147" s="7"/>
      <c r="P147" s="7"/>
      <c r="Q147" s="23"/>
      <c r="R147" s="23"/>
      <c r="S147" s="35">
        <f t="shared" si="49"/>
        <v>1</v>
      </c>
      <c r="T147" s="50" t="str">
        <f t="shared" si="56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21:51:01-0600',mode:absolute,to:'2016-11-03 00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7" s="52" t="str">
        <f t="shared" si="58"/>
        <v>N</v>
      </c>
      <c r="X147" s="177">
        <f t="shared" si="47"/>
        <v>1</v>
      </c>
      <c r="Y147" s="67">
        <f t="shared" si="50"/>
        <v>23.297699999999999</v>
      </c>
      <c r="Z147" s="67">
        <f t="shared" si="51"/>
        <v>1.52E-2</v>
      </c>
      <c r="AA147" s="67">
        <f t="shared" si="59"/>
        <v>23.282499999999999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0"/>
        <v>0234-02</v>
      </c>
      <c r="AE147" s="91" t="str">
        <f t="shared" si="61"/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AF147" s="88" t="str">
        <f t="shared" si="62"/>
        <v>"C:\Program Files (x86)\AstroGrep\AstroGrep.exe" /spath="%USERPROFILE%\AppData\Local\Temp\OnboardLogs" /stypes="app*4037*20161103*" /stext=" 05:.+((SYSTEM_STATE.+slice.+state.+changed )|(ment ac)|(system.+state.+changed )|(\[timeout)|(PRM\|1\|D)|(kpr)|(kdp)|(\|lc)|(penalty))" /e /r /s</v>
      </c>
      <c r="AG147" s="1" t="str">
        <f t="shared" si="63"/>
        <v>EC</v>
      </c>
      <c r="AH147" s="92" t="str">
        <f t="shared" si="52"/>
        <v>"%USERPROFILE%\Documents\GitHub\eaglep3\Utilities\RefineRTDCRunTimes.py" --tripid 234-02 --locoid 4037 --swversion DE.1.0.8.0 --startMP 204:232977 --initTime 2016-11-02T22:51:01 --startdatetime 2016-11-02T22:56:22 --delay 1 --endMP 204:152 --enddatetime 2016-11-02T23:34:17 --enforcementcount 0 &gt;&gt;C:\Users\stu\Documents\GitHub\eaglep3-reporting\EC\2016-11-02-refined-times.txt</v>
      </c>
      <c r="AI147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{"issue":{"subject":"","project_id":79,"tracker_id":40,"status_id":1,"priority_id":2,"assigned_to_id":23,"start_date":"2016-11-02","description":"","custom_fields":[{"id":1,"name":"Subdivision","value":"EC"},{"id":4,"name":"Milepost","value":"0.0152"},{"id":17,"name":"Train ID","value":"234-02"},{"id":16,"name":"Locomotive ID","value":"4037"},{"id":130,"name":"Impact","value":""},{"id":150,"name":"Time of Event (Mountain Time)","value":"23:34:17"},{"id":151,"name":"Denver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623</v>
      </c>
      <c r="B148" s="7">
        <v>4007</v>
      </c>
      <c r="C148" s="22" t="s">
        <v>249</v>
      </c>
      <c r="D148" s="22" t="s">
        <v>367</v>
      </c>
      <c r="E148" s="13">
        <v>42676.929513888892</v>
      </c>
      <c r="F148" s="13">
        <v>42676.937662037039</v>
      </c>
      <c r="G148" s="7">
        <v>1</v>
      </c>
      <c r="H148" s="13" t="s">
        <v>688</v>
      </c>
      <c r="I148" s="13">
        <v>42676.962268518517</v>
      </c>
      <c r="J148" s="7">
        <v>0</v>
      </c>
      <c r="K148" s="112" t="str">
        <f t="shared" si="54"/>
        <v>4007/4008</v>
      </c>
      <c r="L148" s="22" t="str">
        <f>VLOOKUP(A148,'Trips&amp;Operators'!$C$1:$E$10000,3,FALSE)</f>
        <v>CRAYTON</v>
      </c>
      <c r="M148" s="6">
        <f t="shared" si="55"/>
        <v>2.4606481478258502E-2</v>
      </c>
      <c r="N148" s="7">
        <f t="shared" si="48"/>
        <v>35.433333328692243</v>
      </c>
      <c r="O148" s="7"/>
      <c r="P148" s="7"/>
      <c r="Q148" s="23"/>
      <c r="R148" s="23"/>
      <c r="S148" s="35">
        <f t="shared" si="49"/>
        <v>1</v>
      </c>
      <c r="T148" s="50" t="str">
        <f t="shared" si="56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21:18:30-0600',mode:absolute,to:'2016-11-03 00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8" s="52" t="str">
        <f t="shared" si="58"/>
        <v>N</v>
      </c>
      <c r="X148" s="177">
        <f t="shared" si="47"/>
        <v>1</v>
      </c>
      <c r="Y148" s="67">
        <f t="shared" si="50"/>
        <v>4.3999999999999997E-2</v>
      </c>
      <c r="Z148" s="67">
        <f t="shared" si="51"/>
        <v>23.334599999999998</v>
      </c>
      <c r="AA148" s="67">
        <f t="shared" si="59"/>
        <v>23.290599999999998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60"/>
        <v>0235-02</v>
      </c>
      <c r="AE148" s="91" t="str">
        <f t="shared" si="61"/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AF148" s="88" t="str">
        <f t="shared" si="62"/>
        <v>"C:\Program Files (x86)\AstroGrep\AstroGrep.exe" /spath="%USERPROFILE%\AppData\Local\Temp\OnboardLogs" /stypes="app*4007*20161103*" /stext=" 05:.+((SYSTEM_STATE.+slice.+state.+changed )|(ment ac)|(system.+state.+changed )|(\[timeout)|(PRM\|1\|D)|(kpr)|(kdp)|(\|lc)|(penalty))" /e /r /s</v>
      </c>
      <c r="AG148" s="1" t="str">
        <f t="shared" si="63"/>
        <v>EC</v>
      </c>
      <c r="AH148" s="92" t="str">
        <f t="shared" si="52"/>
        <v>"%USERPROFILE%\Documents\GitHub\eaglep3\Utilities\RefineRTDCRunTimes.py" --tripid 235-02 --locoid 4007 --swversion DE.1.0.8.0 --startMP 204:440 --initTime 2016-11-02T22:18:30 --startdatetime 2016-11-02T22:30:14 --delay 1 --endMP 204:233346 --enddatetime 2016-11-02T23:05:40 --enforcementcount 0 &gt;&gt;C:\Users\stu\Documents\GitHub\eaglep3-reporting\EC\2016-11-02-refined-times.txt</v>
      </c>
      <c r="AI148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{"issue":{"subject":"","project_id":79,"tracker_id":40,"status_id":1,"priority_id":2,"assigned_to_id":23,"start_date":"2016-11-02","description":"","custom_fields":[{"id":1,"name":"Subdivision","value":"EC"},{"id":4,"name":"Milepost","value":"23.3346"},{"id":17,"name":"Train ID","value":"235-02"},{"id":16,"name":"Locomotive ID","value":"4007"},{"id":130,"name":"Impact","value":""},{"id":150,"name":"Time of Event (Mountain Time)","value":"23:05:40"},{"id":151,"name":"Denver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628</v>
      </c>
      <c r="B149" s="7">
        <v>4008</v>
      </c>
      <c r="C149" s="22" t="s">
        <v>249</v>
      </c>
      <c r="D149" s="22" t="s">
        <v>369</v>
      </c>
      <c r="E149" s="13">
        <v>42676.968993055554</v>
      </c>
      <c r="F149" s="13">
        <v>42676.976747685185</v>
      </c>
      <c r="G149" s="7">
        <v>1</v>
      </c>
      <c r="H149" s="13" t="s">
        <v>203</v>
      </c>
      <c r="I149" s="13">
        <v>42677.003449074073</v>
      </c>
      <c r="J149" s="7">
        <v>0</v>
      </c>
      <c r="K149" s="112" t="str">
        <f t="shared" si="54"/>
        <v>4007/4008</v>
      </c>
      <c r="L149" s="22" t="str">
        <f>VLOOKUP(A149,'Trips&amp;Operators'!$C$1:$E$10000,3,FALSE)</f>
        <v>CRAYTON</v>
      </c>
      <c r="M149" s="6">
        <f t="shared" si="55"/>
        <v>2.6701388887886424E-2</v>
      </c>
      <c r="N149" s="7">
        <f t="shared" si="48"/>
        <v>38.44999999855645</v>
      </c>
      <c r="O149" s="7"/>
      <c r="P149" s="7"/>
      <c r="Q149" s="23"/>
      <c r="R149" s="23"/>
      <c r="S149" s="35">
        <f t="shared" si="49"/>
        <v>1</v>
      </c>
      <c r="T149" s="50" t="str">
        <f t="shared" si="56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22:15:21-0600',mode:absolute,to:'2016-11-03 01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9" s="52" t="str">
        <f t="shared" si="58"/>
        <v>N</v>
      </c>
      <c r="X149" s="177">
        <f t="shared" si="47"/>
        <v>1</v>
      </c>
      <c r="Y149" s="67">
        <f t="shared" si="50"/>
        <v>23.299099999999999</v>
      </c>
      <c r="Z149" s="67">
        <f t="shared" si="51"/>
        <v>1.54E-2</v>
      </c>
      <c r="AA149" s="67">
        <f t="shared" si="59"/>
        <v>23.2837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0"/>
        <v>0236-02</v>
      </c>
      <c r="AE149" s="91" t="str">
        <f t="shared" si="61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149" s="88" t="str">
        <f t="shared" si="62"/>
        <v>"C:\Program Files (x86)\AstroGrep\AstroGrep.exe" /spath="%USERPROFILE%\AppData\Local\Temp\OnboardLogs" /stypes="app*4008*20161103*" /stext=" 06:.+((SYSTEM_STATE.+slice.+state.+changed )|(ment ac)|(system.+state.+changed )|(\[timeout)|(PRM\|1\|D)|(kpr)|(kdp)|(\|lc)|(penalty))" /e /r /s</v>
      </c>
      <c r="AG149" s="1" t="str">
        <f t="shared" si="63"/>
        <v>EC</v>
      </c>
      <c r="AH149" s="92" t="str">
        <f t="shared" si="52"/>
        <v>"%USERPROFILE%\Documents\GitHub\eaglep3\Utilities\RefineRTDCRunTimes.py" --tripid 236-02 --locoid 4008 --swversion DE.1.0.8.0 --startMP 204:232991 --initTime 2016-11-02T23:15:21 --startdatetime 2016-11-02T23:26:31 --delay 1 --endMP 204:154 --enddatetime 2016-11-03T00:04:58 --enforcementcount 0 &gt;&gt;C:\Users\stu\Documents\GitHub\eaglep3-reporting\EC\2016-11-02-refined-times.txt</v>
      </c>
      <c r="AI149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{"issue":{"subject":"","project_id":79,"tracker_id":40,"status_id":1,"priority_id":2,"assigned_to_id":23,"start_date":"2016-11-03","description":"","custom_fields":[{"id":1,"name":"Subdivision","value":"EC"},{"id":4,"name":"Milepost","value":"0.0154"},{"id":17,"name":"Train ID","value":"236-02"},{"id":16,"name":"Locomotive ID","value":"4008"},{"id":130,"name":"Impact","value":""},{"id":150,"name":"Time of Event (Mountain Time)","value":"00:04:58"},{"id":151,"name":"Denver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626</v>
      </c>
      <c r="B150" s="7">
        <v>4046</v>
      </c>
      <c r="C150" s="22" t="s">
        <v>249</v>
      </c>
      <c r="D150" s="22" t="s">
        <v>361</v>
      </c>
      <c r="E150" s="13">
        <v>42676.952627314815</v>
      </c>
      <c r="F150" s="13">
        <v>42676.959224537037</v>
      </c>
      <c r="G150" s="7">
        <v>1</v>
      </c>
      <c r="H150" s="13" t="s">
        <v>317</v>
      </c>
      <c r="I150" s="13">
        <v>42676.984965277778</v>
      </c>
      <c r="J150" s="7">
        <v>0</v>
      </c>
      <c r="K150" s="112" t="str">
        <f t="shared" si="54"/>
        <v>4045/4046</v>
      </c>
      <c r="L150" s="22" t="str">
        <f>VLOOKUP(A150,'Trips&amp;Operators'!$C$1:$E$10000,3,FALSE)</f>
        <v>STAMBAUGH</v>
      </c>
      <c r="M150" s="6">
        <f t="shared" si="55"/>
        <v>2.5740740740729962E-2</v>
      </c>
      <c r="N150" s="7">
        <f t="shared" si="48"/>
        <v>37.066666666651145</v>
      </c>
      <c r="O150" s="7"/>
      <c r="P150" s="7"/>
      <c r="Q150" s="23"/>
      <c r="R150" s="23"/>
      <c r="S150" s="35">
        <f t="shared" si="49"/>
        <v>1</v>
      </c>
      <c r="T150" s="50" t="str">
        <f t="shared" si="56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21:51:47-0600',mode:absolute,to:'2016-11-03 00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 t="shared" si="58"/>
        <v>N</v>
      </c>
      <c r="X150" s="177">
        <f t="shared" si="47"/>
        <v>1</v>
      </c>
      <c r="Y150" s="67">
        <f t="shared" si="50"/>
        <v>4.6899999999999997E-2</v>
      </c>
      <c r="Z150" s="67">
        <f t="shared" si="51"/>
        <v>23.331199999999999</v>
      </c>
      <c r="AA150" s="67">
        <f t="shared" si="59"/>
        <v>23.284299999999998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0"/>
        <v>0237-02</v>
      </c>
      <c r="AE150" s="91" t="str">
        <f t="shared" si="61"/>
        <v>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 &amp; aws s3 cp s3://rtdc.mdm.uploadarchive.raw/RTDC4046/ "%USERPROFILE%\AppData\Local\Temp\OnboardLogs"\RTDC4046\2016-11-03 --exclude "*" --recursive --include "*20161103*" &amp; "%USERPROFILE%\Documents\GitHub\mrs-test-scripts\Headless Mode &amp; Sideloading\WalkAndUnGZ.bat" "%USERPROFILE%\AppData\Local\Temp\OnboardLogs"\RTDC4046\2016-11-03</v>
      </c>
      <c r="AF150" s="88" t="str">
        <f t="shared" si="62"/>
        <v>"C:\Program Files (x86)\AstroGrep\AstroGrep.exe" /spath="%USERPROFILE%\AppData\Local\Temp\OnboardLogs" /stypes="app*4046*20161103*" /stext=" 05:.+((SYSTEM_STATE.+slice.+state.+changed )|(ment ac)|(system.+state.+changed )|(\[timeout)|(PRM\|1\|D)|(kpr)|(kdp)|(\|lc)|(penalty))" /e /r /s</v>
      </c>
      <c r="AG150" s="1" t="str">
        <f t="shared" si="63"/>
        <v>EC</v>
      </c>
      <c r="AH150" s="92" t="str">
        <f t="shared" si="52"/>
        <v>"%USERPROFILE%\Documents\GitHub\eaglep3\Utilities\RefineRTDCRunTimes.py" --tripid 237-02 --locoid 4046 --swversion DE.1.0.8.0 --startMP 204:469 --initTime 2016-11-02T22:51:47 --startdatetime 2016-11-02T23:01:17 --delay 1 --endMP 204:233312 --enddatetime 2016-11-02T23:38:21 --enforcementcount 0 &gt;&gt;C:\Users\stu\Documents\GitHub\eaglep3-reporting\EC\2016-11-02-refined-times.txt</v>
      </c>
      <c r="AI150" s="122" t="str">
        <f t="shared" si="53"/>
        <v>echo {"issue":{"subject":"","project_id":79,"tracker_id":40,"status_id":1,"priority_id":2,"assigned_to_id":23,"start_date":"2016-11-02","description":"","custom_fields":[{"id":1,"name":"Subdivision","value":"EC"},{"id":4,"name":"Milepost","value":"23.3312"},{"id":17,"name":"Train ID","value":"237-02"},{"id":16,"name":"Locomotive ID","value":"4046"},{"id":130,"name":"Impact","value":""},{"id":150,"name":"Time of Event (Mountain Time)","value":"23:38:21"},{"id":151,"name":"Denver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629</v>
      </c>
      <c r="B151" s="7">
        <v>4045</v>
      </c>
      <c r="C151" s="22" t="s">
        <v>249</v>
      </c>
      <c r="D151" s="22" t="s">
        <v>368</v>
      </c>
      <c r="E151" s="13">
        <v>42676.992719907408</v>
      </c>
      <c r="F151" s="13">
        <v>42676.997696759259</v>
      </c>
      <c r="G151" s="7">
        <v>1</v>
      </c>
      <c r="H151" s="13" t="s">
        <v>689</v>
      </c>
      <c r="I151" s="13">
        <v>42677.02516203704</v>
      </c>
      <c r="J151" s="7">
        <v>0</v>
      </c>
      <c r="K151" s="112" t="str">
        <f t="shared" si="54"/>
        <v>4045/4046</v>
      </c>
      <c r="L151" s="22" t="str">
        <f>VLOOKUP(A151,'Trips&amp;Operators'!$C$1:$E$10000,3,FALSE)</f>
        <v>STAMBAUGH</v>
      </c>
      <c r="M151" s="6">
        <f t="shared" si="55"/>
        <v>2.7465277780720498E-2</v>
      </c>
      <c r="N151" s="7">
        <f t="shared" si="48"/>
        <v>39.550000004237518</v>
      </c>
      <c r="O151" s="7"/>
      <c r="P151" s="7"/>
      <c r="Q151" s="23"/>
      <c r="R151" s="23"/>
      <c r="S151" s="35">
        <f t="shared" si="49"/>
        <v>1</v>
      </c>
      <c r="T151" s="50" t="str">
        <f t="shared" si="56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22:49:31-0600',mode:absolute,to:'2016-11-03 01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 t="shared" si="58"/>
        <v>N</v>
      </c>
      <c r="X151" s="177">
        <f t="shared" si="47"/>
        <v>1</v>
      </c>
      <c r="Y151" s="67">
        <f t="shared" si="50"/>
        <v>23.3002</v>
      </c>
      <c r="Z151" s="67">
        <f t="shared" si="51"/>
        <v>9.3100000000000002E-2</v>
      </c>
      <c r="AA151" s="67">
        <f t="shared" si="59"/>
        <v>23.207100000000001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0"/>
        <v>0238-02</v>
      </c>
      <c r="AE151" s="91" t="str">
        <f t="shared" si="61"/>
        <v>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 &amp; aws s3 cp s3://rtdc.mdm.uploadarchive.raw/RTDC4045/ "%USERPROFILE%\AppData\Local\Temp\OnboardLogs"\RTDC4045\2016-11-03 --exclude "*" --recursive --include "*20161103*" &amp; "%USERPROFILE%\Documents\GitHub\mrs-test-scripts\Headless Mode &amp; Sideloading\WalkAndUnGZ.bat" "%USERPROFILE%\AppData\Local\Temp\OnboardLogs"\RTDC4045\2016-11-03</v>
      </c>
      <c r="AF151" s="88" t="str">
        <f t="shared" si="62"/>
        <v>"C:\Program Files (x86)\AstroGrep\AstroGrep.exe" /spath="%USERPROFILE%\AppData\Local\Temp\OnboardLogs" /stypes="app*4045*20161103*" /stext=" 06:.+((SYSTEM_STATE.+slice.+state.+changed )|(ment ac)|(system.+state.+changed )|(\[timeout)|(PRM\|1\|D)|(kpr)|(kdp)|(\|lc)|(penalty))" /e /r /s</v>
      </c>
      <c r="AG151" s="1" t="str">
        <f t="shared" si="63"/>
        <v>EC</v>
      </c>
      <c r="AH151" s="92" t="str">
        <f t="shared" si="52"/>
        <v>"%USERPROFILE%\Documents\GitHub\eaglep3\Utilities\RefineRTDCRunTimes.py" --tripid 238-02 --locoid 4045 --swversion DE.1.0.8.0 --startMP 204:233002 --initTime 2016-11-02T23:49:31 --startdatetime 2016-11-02T23:56:41 --delay 1 --endMP 204:931 --enddatetime 2016-11-03T00:36:14 --enforcementcount 0 &gt;&gt;C:\Users\stu\Documents\GitHub\eaglep3-reporting\EC\2016-11-02-refined-times.txt</v>
      </c>
      <c r="AI151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{"issue":{"subject":"","project_id":79,"tracker_id":40,"status_id":1,"priority_id":2,"assigned_to_id":23,"start_date":"2016-11-03","description":"","custom_fields":[{"id":1,"name":"Subdivision","value":"EC"},{"id":4,"name":"Milepost","value":"0.0931"},{"id":17,"name":"Train ID","value":"238-02"},{"id":16,"name":"Locomotive ID","value":"4045"},{"id":130,"name":"Impact","value":""},{"id":150,"name":"Time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627</v>
      </c>
      <c r="B152" s="7">
        <v>4018</v>
      </c>
      <c r="C152" s="22" t="s">
        <v>249</v>
      </c>
      <c r="D152" s="22" t="s">
        <v>210</v>
      </c>
      <c r="E152" s="13">
        <v>42676.963784722226</v>
      </c>
      <c r="F152" s="13">
        <v>42676.97934027778</v>
      </c>
      <c r="G152" s="7">
        <v>1</v>
      </c>
      <c r="H152" s="13" t="s">
        <v>358</v>
      </c>
      <c r="I152" s="13">
        <v>42677.003935185188</v>
      </c>
      <c r="J152" s="7">
        <v>0</v>
      </c>
      <c r="K152" s="112" t="str">
        <f t="shared" si="54"/>
        <v>4017/4018</v>
      </c>
      <c r="L152" s="22" t="str">
        <f>VLOOKUP(A152,'Trips&amp;Operators'!$C$1:$E$10000,3,FALSE)</f>
        <v>MAGEE</v>
      </c>
      <c r="M152" s="6">
        <f t="shared" si="55"/>
        <v>2.4594907408754807E-2</v>
      </c>
      <c r="N152" s="7">
        <f t="shared" si="48"/>
        <v>35.416666668606922</v>
      </c>
      <c r="O152" s="7"/>
      <c r="P152" s="7"/>
      <c r="Q152" s="23"/>
      <c r="R152" s="23"/>
      <c r="S152" s="35">
        <f t="shared" si="49"/>
        <v>1</v>
      </c>
      <c r="T152" s="50" t="str">
        <f t="shared" si="56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22:07:51-0600',mode:absolute,to:'2016-11-03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2" s="52" t="str">
        <f t="shared" si="58"/>
        <v>N</v>
      </c>
      <c r="X152" s="177">
        <f t="shared" si="47"/>
        <v>1</v>
      </c>
      <c r="Y152" s="67">
        <f t="shared" si="50"/>
        <v>4.5499999999999999E-2</v>
      </c>
      <c r="Z152" s="67">
        <f t="shared" si="51"/>
        <v>23.331700000000001</v>
      </c>
      <c r="AA152" s="67">
        <f t="shared" si="59"/>
        <v>23.286200000000001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0"/>
        <v>0239-02</v>
      </c>
      <c r="AE152" s="91" t="str">
        <f t="shared" si="61"/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AF152" s="88" t="str">
        <f t="shared" si="62"/>
        <v>"C:\Program Files (x86)\AstroGrep\AstroGrep.exe" /spath="%USERPROFILE%\AppData\Local\Temp\OnboardLogs" /stypes="app*4018*20161103*" /stext=" 06:.+((SYSTEM_STATE.+slice.+state.+changed )|(ment ac)|(system.+state.+changed )|(\[timeout)|(PRM\|1\|D)|(kpr)|(kdp)|(\|lc)|(penalty))" /e /r /s</v>
      </c>
      <c r="AG152" s="1" t="str">
        <f t="shared" si="63"/>
        <v>EC</v>
      </c>
      <c r="AH152" s="92" t="str">
        <f t="shared" si="52"/>
        <v>"%USERPROFILE%\Documents\GitHub\eaglep3\Utilities\RefineRTDCRunTimes.py" --tripid 239-02 --locoid 4018 --swversion DE.1.0.8.0 --startMP 204:455 --initTime 2016-11-02T23:07:51 --startdatetime 2016-11-02T23:30:15 --delay 1 --endMP 204:233317 --enddatetime 2016-11-03T00:05:40 --enforcementcount 0 &gt;&gt;C:\Users\stu\Documents\GitHub\eaglep3-reporting\EC\2016-11-02-refined-times.txt</v>
      </c>
      <c r="AI152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{"issue":{"subject":"","project_id":79,"tracker_id":40,"status_id":1,"priority_id":2,"assigned_to_id":23,"start_date":"2016-11-03","description":"","custom_fields":[{"id":1,"name":"Subdivision","value":"EC"},{"id":4,"name":"Milepost","value":"23.3317"},{"id":17,"name":"Train ID","value":"239-02"},{"id":16,"name":"Locomotive ID","value":"4018"},{"id":130,"name":"Impact","value":""},{"id":150,"name":"Time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631</v>
      </c>
      <c r="B153" s="7">
        <v>4017</v>
      </c>
      <c r="C153" s="22" t="s">
        <v>249</v>
      </c>
      <c r="D153" s="22" t="s">
        <v>679</v>
      </c>
      <c r="E153" s="13">
        <v>42677.006643518522</v>
      </c>
      <c r="F153" s="13">
        <v>42677.018275462964</v>
      </c>
      <c r="G153" s="7">
        <v>6</v>
      </c>
      <c r="H153" s="13" t="s">
        <v>226</v>
      </c>
      <c r="I153" s="13">
        <v>42677.043807870374</v>
      </c>
      <c r="J153" s="7">
        <v>0</v>
      </c>
      <c r="K153" s="112" t="str">
        <f t="shared" si="54"/>
        <v>4017/4018</v>
      </c>
      <c r="L153" s="22" t="str">
        <f>VLOOKUP(A153,'Trips&amp;Operators'!$C$1:$E$10000,3,FALSE)</f>
        <v>MAGEE</v>
      </c>
      <c r="M153" s="6">
        <f t="shared" si="55"/>
        <v>2.5532407409627922E-2</v>
      </c>
      <c r="N153" s="7">
        <f t="shared" si="48"/>
        <v>36.766666669864208</v>
      </c>
      <c r="O153" s="7"/>
      <c r="P153" s="7"/>
      <c r="Q153" s="23"/>
      <c r="R153" s="23"/>
      <c r="S153" s="35">
        <f t="shared" si="49"/>
        <v>1</v>
      </c>
      <c r="T153" s="50" t="str">
        <f t="shared" si="56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23:09:34-0600',mode:absolute,to:'2016-11-03 02:03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3" s="52" t="str">
        <f t="shared" si="58"/>
        <v>N</v>
      </c>
      <c r="X153" s="177">
        <f t="shared" si="47"/>
        <v>1</v>
      </c>
      <c r="Y153" s="67">
        <f t="shared" si="50"/>
        <v>23.297899999999998</v>
      </c>
      <c r="Z153" s="67">
        <f t="shared" si="51"/>
        <v>1.5599999999999999E-2</v>
      </c>
      <c r="AA153" s="67">
        <f t="shared" si="59"/>
        <v>23.282299999999999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0"/>
        <v>0240-02</v>
      </c>
      <c r="AE153" s="91" t="str">
        <f t="shared" si="61"/>
        <v>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 &amp; aws s3 cp s3://rtdc.mdm.uploadarchive.raw/RTDC4017/ "%USERPROFILE%\AppData\Local\Temp\OnboardLogs"\RTDC4017\2016-11-04 --exclude "*" --recursive --include "*20161104*" &amp; "%USERPROFILE%\Documents\GitHub\mrs-test-scripts\Headless Mode &amp; Sideloading\WalkAndUnGZ.bat" "%USERPROFILE%\AppData\Local\Temp\OnboardLogs"\RTDC4017\2016-11-04</v>
      </c>
      <c r="AF153" s="88" t="str">
        <f t="shared" si="62"/>
        <v>"C:\Program Files (x86)\AstroGrep\AstroGrep.exe" /spath="%USERPROFILE%\AppData\Local\Temp\OnboardLogs" /stypes="app*4017*20161103*" /stext=" 07:.+((SYSTEM_STATE.+slice.+state.+changed )|(ment ac)|(system.+state.+changed )|(\[timeout)|(PRM\|1\|D)|(kpr)|(kdp)|(\|lc)|(penalty))" /e /r /s</v>
      </c>
      <c r="AG153" s="1" t="str">
        <f t="shared" si="63"/>
        <v>EC</v>
      </c>
      <c r="AH153" s="92" t="str">
        <f t="shared" si="52"/>
        <v>"%USERPROFILE%\Documents\GitHub\eaglep3\Utilities\RefineRTDCRunTimes.py" --tripid 240-02 --locoid 4017 --swversion DE.1.0.8.0 --startMP 204:232979 --initTime 2016-11-03T00:09:34 --startdatetime 2016-11-03T00:26:19 --delay 6 --endMP 204:156 --enddatetime 2016-11-03T01:03:05 --enforcementcount 0 &gt;&gt;C:\Users\stu\Documents\GitHub\eaglep3-reporting\EC\2016-11-02-refined-times.txt</v>
      </c>
      <c r="AI153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{"issue":{"subject":"","project_id":79,"tracker_id":40,"status_id":1,"priority_id":2,"assigned_to_id":23,"start_date":"2016-11-03","description":"","custom_fields":[{"id":1,"name":"Subdivision","value":"EC"},{"id":4,"name":"Milepost","value":"0.0156"},{"id":17,"name":"Train ID","value":"240-02"},{"id":16,"name":"Locomotive ID","value":"4017"},{"id":130,"name":"Impact","value":""},{"id":150,"name":"Time of Event (Mountain Time)","value":"01:03:05"},{"id":151,"name":"Denver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630</v>
      </c>
      <c r="B154" s="7">
        <v>4038</v>
      </c>
      <c r="C154" s="22" t="s">
        <v>249</v>
      </c>
      <c r="D154" s="22" t="s">
        <v>268</v>
      </c>
      <c r="E154" s="13">
        <v>42676.998171296298</v>
      </c>
      <c r="F154" s="13">
        <v>42677.000173611108</v>
      </c>
      <c r="G154" s="7">
        <v>1</v>
      </c>
      <c r="H154" s="13" t="s">
        <v>690</v>
      </c>
      <c r="I154" s="13">
        <v>42677.024791666663</v>
      </c>
      <c r="J154" s="7">
        <v>0</v>
      </c>
      <c r="K154" s="112" t="str">
        <f t="shared" si="54"/>
        <v>4037/4038</v>
      </c>
      <c r="L154" s="22" t="str">
        <f>VLOOKUP(A154,'Trips&amp;Operators'!$C$1:$E$10000,3,FALSE)</f>
        <v>LEVIN</v>
      </c>
      <c r="M154" s="6">
        <f t="shared" si="55"/>
        <v>2.4618055555038154E-2</v>
      </c>
      <c r="N154" s="7">
        <f t="shared" si="48"/>
        <v>35.449999999254942</v>
      </c>
      <c r="O154" s="7"/>
      <c r="P154" s="7"/>
      <c r="Q154" s="23"/>
      <c r="R154" s="23"/>
      <c r="S154" s="35">
        <f t="shared" si="49"/>
        <v>1</v>
      </c>
      <c r="T154" s="50" t="str">
        <f t="shared" si="56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22:57:22-0600',mode:absolute,to:'2016-11-03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4" s="52" t="str">
        <f t="shared" si="58"/>
        <v>N</v>
      </c>
      <c r="X154" s="177">
        <f t="shared" si="47"/>
        <v>1</v>
      </c>
      <c r="Y154" s="67">
        <f t="shared" si="50"/>
        <v>4.82E-2</v>
      </c>
      <c r="Z154" s="67">
        <f t="shared" si="51"/>
        <v>23.3323</v>
      </c>
      <c r="AA154" s="67">
        <f t="shared" si="59"/>
        <v>23.284099999999999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0"/>
        <v>0241-02</v>
      </c>
      <c r="AE154" s="91" t="str">
        <f t="shared" si="61"/>
        <v>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 &amp; 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</v>
      </c>
      <c r="AF154" s="88" t="str">
        <f t="shared" si="62"/>
        <v>"C:\Program Files (x86)\AstroGrep\AstroGrep.exe" /spath="%USERPROFILE%\AppData\Local\Temp\OnboardLogs" /stypes="app*4038*20161103*" /stext=" 06:.+((SYSTEM_STATE.+slice.+state.+changed )|(ment ac)|(system.+state.+changed )|(\[timeout)|(PRM\|1\|D)|(kpr)|(kdp)|(\|lc)|(penalty))" /e /r /s</v>
      </c>
      <c r="AG154" s="1" t="str">
        <f t="shared" si="63"/>
        <v>EC</v>
      </c>
      <c r="AH154" s="92" t="str">
        <f t="shared" si="52"/>
        <v>"%USERPROFILE%\Documents\GitHub\eaglep3\Utilities\RefineRTDCRunTimes.py" --tripid 241-02 --locoid 4038 --swversion DE.1.0.8.0 --startMP 204:482 --initTime 2016-11-02T23:57:22 --startdatetime 2016-11-03T00:00:15 --delay 1 --endMP 204:233323 --enddatetime 2016-11-03T00:35:42 --enforcementcount 0 &gt;&gt;C:\Users\stu\Documents\GitHub\eaglep3-reporting\EC\2016-11-02-refined-times.txt</v>
      </c>
      <c r="AI154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{"issue":{"subject":"","project_id":79,"tracker_id":40,"status_id":1,"priority_id":2,"assigned_to_id":23,"start_date":"2016-11-03","description":"","custom_fields":[{"id":1,"name":"Subdivision","value":"EC"},{"id":4,"name":"Milepost","value":"23.3323"},{"id":17,"name":"Train ID","value":"241-02"},{"id":16,"name":"Locomotive ID","value":"4038"},{"id":130,"name":"Impact","value":""},{"id":150,"name":"Time of Event (Mountain Time)","value":"00:35:42"},{"id":151,"name":"Denver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634</v>
      </c>
      <c r="B155" s="7">
        <v>4037</v>
      </c>
      <c r="C155" s="22" t="s">
        <v>249</v>
      </c>
      <c r="D155" s="22" t="s">
        <v>354</v>
      </c>
      <c r="E155" s="13">
        <v>42677.035868055558</v>
      </c>
      <c r="F155" s="13">
        <v>42677.0390625</v>
      </c>
      <c r="G155" s="7">
        <v>1</v>
      </c>
      <c r="H155" s="13" t="s">
        <v>672</v>
      </c>
      <c r="I155" s="13">
        <v>42677.064618055556</v>
      </c>
      <c r="J155" s="7">
        <v>0</v>
      </c>
      <c r="K155" s="112" t="str">
        <f t="shared" si="54"/>
        <v>4037/4038</v>
      </c>
      <c r="L155" s="22" t="str">
        <f>VLOOKUP(A155,'Trips&amp;Operators'!$C$1:$E$10000,3,FALSE)</f>
        <v>LEVIN</v>
      </c>
      <c r="M155" s="6">
        <f t="shared" si="55"/>
        <v>2.5555555555911269E-2</v>
      </c>
      <c r="N155" s="7">
        <f t="shared" si="48"/>
        <v>36.800000000512227</v>
      </c>
      <c r="O155" s="7"/>
      <c r="P155" s="7"/>
      <c r="Q155" s="23"/>
      <c r="R155" s="23"/>
      <c r="S155" s="35">
        <f t="shared" si="49"/>
        <v>1</v>
      </c>
      <c r="T155" s="50" t="str">
        <f t="shared" si="56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23:51:39-0600',mode:absolute,to:'2016-11-03 02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5" s="52" t="str">
        <f t="shared" si="58"/>
        <v>N</v>
      </c>
      <c r="X155" s="177">
        <f t="shared" si="47"/>
        <v>1</v>
      </c>
      <c r="Y155" s="67">
        <f t="shared" si="50"/>
        <v>23.299800000000001</v>
      </c>
      <c r="Z155" s="67">
        <f t="shared" si="51"/>
        <v>1.2500000000000001E-2</v>
      </c>
      <c r="AA155" s="67">
        <f t="shared" si="59"/>
        <v>23.287300000000002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0"/>
        <v>0242-02</v>
      </c>
      <c r="AE155" s="91" t="str">
        <f t="shared" si="61"/>
        <v>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 &amp; 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</v>
      </c>
      <c r="AF155" s="88" t="str">
        <f t="shared" si="62"/>
        <v>"C:\Program Files (x86)\AstroGrep\AstroGrep.exe" /spath="%USERPROFILE%\AppData\Local\Temp\OnboardLogs" /stypes="app*4037*20161103*" /stext=" 07:.+((SYSTEM_STATE.+slice.+state.+changed )|(ment ac)|(system.+state.+changed )|(\[timeout)|(PRM\|1\|D)|(kpr)|(kdp)|(\|lc)|(penalty))" /e /r /s</v>
      </c>
      <c r="AG155" s="1" t="str">
        <f t="shared" si="63"/>
        <v>EC</v>
      </c>
      <c r="AH155" s="92" t="str">
        <f t="shared" si="52"/>
        <v>"%USERPROFILE%\Documents\GitHub\eaglep3\Utilities\RefineRTDCRunTimes.py" --tripid 242-02 --locoid 4037 --swversion DE.1.0.8.0 --startMP 204:232998 --initTime 2016-11-03T00:51:39 --startdatetime 2016-11-03T00:56:15 --delay 1 --endMP 204:125 --enddatetime 2016-11-03T01:33:03 --enforcementcount 0 &gt;&gt;C:\Users\stu\Documents\GitHub\eaglep3-reporting\EC\2016-11-02-refined-times.txt</v>
      </c>
      <c r="AI155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{"issue":{"subject":"","project_id":79,"tracker_id":40,"status_id":1,"priority_id":2,"assigned_to_id":23,"start_date":"2016-11-03","description":"","custom_fields":[{"id":1,"name":"Subdivision","value":"EC"},{"id":4,"name":"Milepost","value":"0.0125"},{"id":17,"name":"Train ID","value":"242-02"},{"id":16,"name":"Locomotive ID","value":"4037"},{"id":130,"name":"Impact","value":""},{"id":150,"name":"Time of Event (Mountain Time)","value":"01:33:03"},{"id":151,"name":"Denver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632</v>
      </c>
      <c r="B156" s="7">
        <v>4007</v>
      </c>
      <c r="C156" s="22" t="s">
        <v>249</v>
      </c>
      <c r="D156" s="22" t="s">
        <v>214</v>
      </c>
      <c r="E156" s="13">
        <v>42677.013402777775</v>
      </c>
      <c r="F156" s="13">
        <v>42677.021006944444</v>
      </c>
      <c r="G156" s="7">
        <v>1</v>
      </c>
      <c r="H156" s="13" t="s">
        <v>358</v>
      </c>
      <c r="I156" s="13">
        <v>42677.045717592591</v>
      </c>
      <c r="J156" s="7">
        <v>0</v>
      </c>
      <c r="K156" s="112" t="str">
        <f t="shared" si="54"/>
        <v>4007/4008</v>
      </c>
      <c r="L156" s="22" t="str">
        <f>VLOOKUP(A156,'Trips&amp;Operators'!$C$1:$E$10000,3,FALSE)</f>
        <v>CRAYTON</v>
      </c>
      <c r="M156" s="6">
        <f t="shared" si="55"/>
        <v>2.47106481474475E-2</v>
      </c>
      <c r="N156" s="7">
        <f t="shared" si="48"/>
        <v>35.583333332324401</v>
      </c>
      <c r="O156" s="7"/>
      <c r="P156" s="7"/>
      <c r="Q156" s="23"/>
      <c r="R156" s="23"/>
      <c r="S156" s="35">
        <f t="shared" si="49"/>
        <v>1</v>
      </c>
      <c r="T156" s="50" t="str">
        <f t="shared" si="56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23:19:18-0600',mode:absolute,to:'2016-11-03 02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6" s="52" t="str">
        <f t="shared" si="58"/>
        <v>N</v>
      </c>
      <c r="X156" s="177">
        <f t="shared" si="47"/>
        <v>1</v>
      </c>
      <c r="Y156" s="67">
        <f t="shared" si="50"/>
        <v>4.5999999999999999E-2</v>
      </c>
      <c r="Z156" s="67">
        <f t="shared" si="51"/>
        <v>23.331700000000001</v>
      </c>
      <c r="AA156" s="67">
        <f t="shared" si="59"/>
        <v>23.285700000000002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0"/>
        <v>0243-02</v>
      </c>
      <c r="AE156" s="91" t="str">
        <f t="shared" si="61"/>
        <v>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 &amp; 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</v>
      </c>
      <c r="AF156" s="88" t="str">
        <f t="shared" si="62"/>
        <v>"C:\Program Files (x86)\AstroGrep\AstroGrep.exe" /spath="%USERPROFILE%\AppData\Local\Temp\OnboardLogs" /stypes="app*4007*20161103*" /stext=" 07:.+((SYSTEM_STATE.+slice.+state.+changed )|(ment ac)|(system.+state.+changed )|(\[timeout)|(PRM\|1\|D)|(kpr)|(kdp)|(\|lc)|(penalty))" /e /r /s</v>
      </c>
      <c r="AG156" s="1" t="str">
        <f t="shared" si="63"/>
        <v>EC</v>
      </c>
      <c r="AH156" s="92" t="str">
        <f t="shared" si="52"/>
        <v>"%USERPROFILE%\Documents\GitHub\eaglep3\Utilities\RefineRTDCRunTimes.py" --tripid 243-02 --locoid 4007 --swversion DE.1.0.8.0 --startMP 204:460 --initTime 2016-11-03T00:19:18 --startdatetime 2016-11-03T00:30:15 --delay 1 --endMP 204:233317 --enddatetime 2016-11-03T01:05:50 --enforcementcount 0 &gt;&gt;C:\Users\stu\Documents\GitHub\eaglep3-reporting\EC\2016-11-02-refined-times.txt</v>
      </c>
      <c r="AI156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{"issue":{"subject":"","project_id":79,"tracker_id":40,"status_id":1,"priority_id":2,"assigned_to_id":23,"start_date":"2016-11-03","description":"","custom_fields":[{"id":1,"name":"Subdivision","value":"EC"},{"id":4,"name":"Milepost","value":"23.3317"},{"id":17,"name":"Train ID","value":"243-02"},{"id":16,"name":"Locomotive ID","value":"4007"},{"id":130,"name":"Impact","value":""},{"id":150,"name":"Time of Event (Mountain Time)","value":"01:05:50"},{"id":151,"name":"Denver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433</v>
      </c>
      <c r="B157" s="7">
        <v>4008</v>
      </c>
      <c r="C157" s="22" t="s">
        <v>249</v>
      </c>
      <c r="D157" s="22" t="s">
        <v>366</v>
      </c>
      <c r="E157" s="13">
        <v>42677.054675925923</v>
      </c>
      <c r="F157" s="13">
        <v>42677.059988425928</v>
      </c>
      <c r="G157" s="7">
        <v>1</v>
      </c>
      <c r="H157" s="13" t="s">
        <v>691</v>
      </c>
      <c r="I157" s="13">
        <v>42677.086273148147</v>
      </c>
      <c r="J157" s="7">
        <v>0</v>
      </c>
      <c r="K157" s="112" t="str">
        <f t="shared" si="54"/>
        <v>4007/4008</v>
      </c>
      <c r="L157" s="22" t="str">
        <f>VLOOKUP(A157,'Trips&amp;Operators'!$C$1:$E$10000,3,FALSE)</f>
        <v>CRAYTON</v>
      </c>
      <c r="M157" s="6">
        <f t="shared" si="55"/>
        <v>2.6284722218406387E-2</v>
      </c>
      <c r="N157" s="7">
        <f t="shared" si="48"/>
        <v>37.849999994505197</v>
      </c>
      <c r="O157" s="7"/>
      <c r="P157" s="7"/>
      <c r="Q157" s="23"/>
      <c r="R157" s="23"/>
      <c r="S157" s="35">
        <f t="shared" si="49"/>
        <v>1</v>
      </c>
      <c r="T157" s="50" t="str">
        <f t="shared" si="56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https://search-rtdc-monitor-bjffxe2xuh6vdkpspy63sjmuny.us-east-1.es.amazonaws.com/_plugin/kibana/#/discover/Steve-Slow-Train-Analysis-(2080s-and-2083s)?_g=(refreshInterval:(display:Off,section:0,value:0),time:(from:'2016-11-03 00:18:44-0600',mode:absolute,to:'2016-11-03 03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7" s="52" t="str">
        <f t="shared" si="58"/>
        <v>N</v>
      </c>
      <c r="X157" s="177">
        <f t="shared" si="47"/>
        <v>1</v>
      </c>
      <c r="Y157" s="67">
        <f t="shared" si="50"/>
        <v>23.3004</v>
      </c>
      <c r="Z157" s="67">
        <f t="shared" si="51"/>
        <v>1.9599999999999999E-2</v>
      </c>
      <c r="AA157" s="67">
        <f t="shared" si="59"/>
        <v>23.280799999999999</v>
      </c>
      <c r="AB157" s="64" t="str">
        <f>VLOOKUP(A157,Enforcements!$C$7:$K$21,8,0)</f>
        <v>Speed (6)</v>
      </c>
      <c r="AC157" s="60" t="str">
        <f>VLOOKUP(A157,Enforcements!$C$7:$E$21,3,0)</f>
        <v>PERMANENT SPEED RESTRICTION</v>
      </c>
      <c r="AD157" s="61" t="str">
        <f t="shared" si="60"/>
        <v>0244-02</v>
      </c>
      <c r="AE157" s="91" t="str">
        <f t="shared" si="61"/>
        <v>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 &amp; 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</v>
      </c>
      <c r="AF157" s="88" t="str">
        <f t="shared" si="62"/>
        <v>"C:\Program Files (x86)\AstroGrep\AstroGrep.exe" /spath="%USERPROFILE%\AppData\Local\Temp\OnboardLogs" /stypes="app*4008*20161103*" /stext=" 08:.+((SYSTEM_STATE.+slice.+state.+changed )|(ment ac)|(system.+state.+changed )|(\[timeout)|(PRM\|1\|D)|(kpr)|(kdp)|(\|lc)|(penalty))" /e /r /s</v>
      </c>
      <c r="AG157" s="1" t="str">
        <f t="shared" si="63"/>
        <v>EC</v>
      </c>
      <c r="AH157" s="92" t="str">
        <f t="shared" si="52"/>
        <v>"%USERPROFILE%\Documents\GitHub\eaglep3\Utilities\RefineRTDCRunTimes.py" --tripid 244-02 --locoid 4008 --swversion DE.1.0.8.0 --startMP 204:233004 --initTime 2016-11-03T01:18:44 --startdatetime 2016-11-03T01:26:23 --delay 1 --endMP 204:196 --enddatetime 2016-11-03T02:04:14 --enforcementcount 0 &gt;&gt;C:\Users\stu\Documents\GitHub\eaglep3-reporting\EC\2016-11-02-refined-times.txt</v>
      </c>
      <c r="AI157" s="122" t="str">
        <f t="shared" si="53"/>
        <v>echo {"issue":{"subject":"","project_id":79,"tracker_id":40,"status_id":1,"priority_id":2,"assigned_to_id":23,"start_date":"2016-11-03","description":"","custom_fields":[{"id":1,"name":"Subdivision","value":"EC"},{"id":4,"name":"Milepost","value":"0.0196"},{"id":17,"name":"Train ID","value":"244-02"},{"id":16,"name":"Locomotive ID","value":"4008"},{"id":130,"name":"Impact","value":""},{"id":150,"name":"Time of Event (Mountain Time)","value":"02:04:14"},{"id":151,"name":"Denver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401</v>
      </c>
      <c r="B158" s="7">
        <v>4032</v>
      </c>
      <c r="C158" s="22" t="s">
        <v>249</v>
      </c>
      <c r="D158" s="22" t="s">
        <v>272</v>
      </c>
      <c r="E158" s="13">
        <v>42676.212939814817</v>
      </c>
      <c r="F158" s="13">
        <v>42676.214502314811</v>
      </c>
      <c r="G158" s="7">
        <v>1</v>
      </c>
      <c r="H158" s="13" t="s">
        <v>720</v>
      </c>
      <c r="I158" s="13">
        <v>42676.226770833331</v>
      </c>
      <c r="J158" s="7">
        <v>0</v>
      </c>
      <c r="K158" s="112" t="str">
        <f t="shared" si="54"/>
        <v>4031/4032</v>
      </c>
      <c r="L158" s="22" t="str">
        <f>VLOOKUP(A158,'Trips&amp;Operators'!$C$1:$E$10000,3,FALSE)</f>
        <v>STARKS</v>
      </c>
      <c r="M158" s="6">
        <f t="shared" si="55"/>
        <v>1.226851851970423E-2</v>
      </c>
      <c r="N158" s="7">
        <f t="shared" si="48"/>
        <v>17.666666668374091</v>
      </c>
      <c r="O158" s="7"/>
      <c r="P158" s="7"/>
      <c r="Q158" s="23"/>
      <c r="R158" s="23"/>
      <c r="S158" s="35">
        <f t="shared" si="49"/>
        <v>1</v>
      </c>
      <c r="T158" s="50" t="str">
        <f t="shared" si="56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04:06:38-0600',mode:absolute,to:'2016-11-02 06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8" s="52" t="str">
        <f t="shared" si="58"/>
        <v>N</v>
      </c>
      <c r="X158" s="177">
        <f t="shared" ref="X158:X189" si="64">VALUE(LEFT(AD158,4))-VALUE(LEFT(AD157,4))</f>
        <v>556</v>
      </c>
      <c r="Y158" s="67">
        <f t="shared" si="50"/>
        <v>5.8613</v>
      </c>
      <c r="Z158" s="67">
        <f t="shared" si="51"/>
        <v>7.6799999999999993E-2</v>
      </c>
      <c r="AA158" s="67">
        <f t="shared" si="59"/>
        <v>5.7844999999999995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0"/>
        <v>0800-02</v>
      </c>
      <c r="AE158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58" s="88" t="str">
        <f t="shared" si="62"/>
        <v>"C:\Program Files (x86)\AstroGrep\AstroGrep.exe" /spath="%USERPROFILE%\AppData\Local\Temp\OnboardLogs" /stypes="app*4032*20161102*" /stext=" 11:.+((SYSTEM_STATE.+slice.+state.+changed )|(ment ac)|(system.+state.+changed )|(\[timeout)|(PRM\|1\|D)|(kpr)|(kdp)|(\|lc)|(penalty))" /e /r /s</v>
      </c>
      <c r="AG158" s="1" t="str">
        <f t="shared" si="63"/>
        <v>NW</v>
      </c>
      <c r="AH158" s="92" t="str">
        <f t="shared" si="52"/>
        <v>"%USERPROFILE%\Documents\GitHub\eaglep3\Utilities\RefineRTDCRunTimes.py" --tripid 800-02 --locoid 4032 --swversion DE.1.0.8.0 --startMP 300:58613 --initTime 2016-11-02T05:06:38 --startdatetime 2016-11-02T05:08:53 --delay 1 --endMP 204:768 --enddatetime 2016-11-02T05:26:33 --enforcementcount 0 &gt;&gt;C:\Users\stu\Documents\GitHub\eaglep3-reporting\EC\2016-11-02-refined-times.txt</v>
      </c>
      <c r="AI158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{"issue":{"subject":"","project_id":79,"tracker_id":40,"status_id":1,"priority_id":2,"assigned_to_id":23,"start_date":"2016-11-02","description":"","custom_fields":[{"id":1,"name":"Subdivision","value":"NW"},{"id":4,"name":"Milepost","value":"0.0768"},{"id":17,"name":"Train ID","value":"800-02"},{"id":16,"name":"Locomotive ID","value":"4032"},{"id":130,"name":"Impact","value":""},{"id":150,"name":"Time of Event (Mountain Time)","value":"05:26:33"},{"id":151,"name":"Denver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457</v>
      </c>
      <c r="B159" s="7">
        <v>4031</v>
      </c>
      <c r="C159" s="22" t="s">
        <v>249</v>
      </c>
      <c r="D159" s="22" t="s">
        <v>721</v>
      </c>
      <c r="E159" s="13">
        <v>42676.242256944446</v>
      </c>
      <c r="F159" s="13">
        <v>42676.243923611109</v>
      </c>
      <c r="G159" s="7">
        <v>0</v>
      </c>
      <c r="H159" s="13" t="s">
        <v>386</v>
      </c>
      <c r="I159" s="13">
        <v>42676.253541666665</v>
      </c>
      <c r="J159" s="7">
        <v>0</v>
      </c>
      <c r="K159" s="112" t="str">
        <f t="shared" si="54"/>
        <v>4031/4032</v>
      </c>
      <c r="L159" s="22" t="str">
        <f>VLOOKUP(A159,'Trips&amp;Operators'!$C$1:$E$10000,3,FALSE)</f>
        <v>STARKS</v>
      </c>
      <c r="M159" s="6">
        <f t="shared" si="55"/>
        <v>9.6180555556202307E-3</v>
      </c>
      <c r="N159" s="7">
        <f t="shared" si="48"/>
        <v>13.850000000093132</v>
      </c>
      <c r="O159" s="7"/>
      <c r="P159" s="7"/>
      <c r="Q159" s="23"/>
      <c r="R159" s="23"/>
      <c r="S159" s="35">
        <f t="shared" si="49"/>
        <v>1</v>
      </c>
      <c r="T159" s="50" t="str">
        <f t="shared" si="56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04:48:51-0600',mode:absolute,to:'2016-11-02 07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9" s="52" t="str">
        <f t="shared" si="58"/>
        <v>N</v>
      </c>
      <c r="X159" s="177">
        <f t="shared" si="64"/>
        <v>1</v>
      </c>
      <c r="Y159" s="67">
        <f t="shared" si="50"/>
        <v>0.10630000000000001</v>
      </c>
      <c r="Z159" s="67">
        <f t="shared" si="51"/>
        <v>5.8924000000000003</v>
      </c>
      <c r="AA159" s="67">
        <f t="shared" si="59"/>
        <v>5.7861000000000002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0"/>
        <v>0801-02</v>
      </c>
      <c r="AE159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59" s="88" t="str">
        <f t="shared" si="62"/>
        <v>"C:\Program Files (x86)\AstroGrep\AstroGrep.exe" /spath="%USERPROFILE%\AppData\Local\Temp\OnboardLogs" /stypes="app*4031*20161102*" /stext=" 12:.+((SYSTEM_STATE.+slice.+state.+changed )|(ment ac)|(system.+state.+changed )|(\[timeout)|(PRM\|1\|D)|(kpr)|(kdp)|(\|lc)|(penalty))" /e /r /s</v>
      </c>
      <c r="AG159" s="1" t="str">
        <f t="shared" si="63"/>
        <v>NW</v>
      </c>
      <c r="AH159" s="92" t="str">
        <f t="shared" si="52"/>
        <v>"%USERPROFILE%\Documents\GitHub\eaglep3\Utilities\RefineRTDCRunTimes.py" --tripid 801-02 --locoid 4031 --swversion DE.1.0.8.0 --startMP 204:1063 --initTime 2016-11-02T05:48:51 --startdatetime 2016-11-02T05:51:15 --delay 0 --endMP 300:58924 --enddatetime 2016-11-02T06:05:06 --enforcementcount 0 &gt;&gt;C:\Users\stu\Documents\GitHub\eaglep3-reporting\EC\2016-11-02-refined-times.txt</v>
      </c>
      <c r="AI159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{"issue":{"subject":"","project_id":79,"tracker_id":40,"status_id":1,"priority_id":2,"assigned_to_id":23,"start_date":"2016-11-02","description":"","custom_fields":[{"id":1,"name":"Subdivision","value":"NW"},{"id":4,"name":"Milepost","value":"5.8924"},{"id":17,"name":"Train ID","value":"801-02"},{"id":16,"name":"Locomotive ID","value":"4031"},{"id":130,"name":"Impact","value":""},{"id":150,"name":"Time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464</v>
      </c>
      <c r="B160" s="7">
        <v>4032</v>
      </c>
      <c r="C160" s="22" t="s">
        <v>249</v>
      </c>
      <c r="D160" s="22" t="s">
        <v>389</v>
      </c>
      <c r="E160" s="13">
        <v>42676.254618055558</v>
      </c>
      <c r="F160" s="13">
        <v>42676.256296296298</v>
      </c>
      <c r="G160" s="7">
        <v>1</v>
      </c>
      <c r="H160" s="13" t="s">
        <v>375</v>
      </c>
      <c r="I160" s="13">
        <v>42676.268229166664</v>
      </c>
      <c r="J160" s="7">
        <v>0</v>
      </c>
      <c r="K160" s="112" t="str">
        <f t="shared" si="54"/>
        <v>4031/4032</v>
      </c>
      <c r="L160" s="22" t="str">
        <f>VLOOKUP(A160,'Trips&amp;Operators'!$C$1:$E$10000,3,FALSE)</f>
        <v>STARKS</v>
      </c>
      <c r="M160" s="6">
        <f t="shared" si="55"/>
        <v>1.1932870365853887E-2</v>
      </c>
      <c r="N160" s="7">
        <f t="shared" si="48"/>
        <v>17.183333326829597</v>
      </c>
      <c r="O160" s="7"/>
      <c r="P160" s="7"/>
      <c r="Q160" s="23"/>
      <c r="R160" s="23"/>
      <c r="S160" s="35">
        <f t="shared" si="49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05:06:39-0600',mode:absolute,to:'2016-11-02 07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0" s="52" t="str">
        <f t="shared" si="58"/>
        <v>N</v>
      </c>
      <c r="X160" s="177">
        <f t="shared" si="64"/>
        <v>1</v>
      </c>
      <c r="Y160" s="67">
        <f t="shared" si="50"/>
        <v>5.8611000000000004</v>
      </c>
      <c r="Z160" s="67">
        <f t="shared" si="51"/>
        <v>7.2900000000000006E-2</v>
      </c>
      <c r="AA160" s="67">
        <f t="shared" si="59"/>
        <v>5.7882000000000007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0"/>
        <v>0802-02</v>
      </c>
      <c r="AE160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60" s="88" t="str">
        <f t="shared" si="62"/>
        <v>"C:\Program Files (x86)\AstroGrep\AstroGrep.exe" /spath="%USERPROFILE%\AppData\Local\Temp\OnboardLogs" /stypes="app*4032*20161102*" /stext=" 12:.+((SYSTEM_STATE.+slice.+state.+changed )|(ment ac)|(system.+state.+changed )|(\[timeout)|(PRM\|1\|D)|(kpr)|(kdp)|(\|lc)|(penalty))" /e /r /s</v>
      </c>
      <c r="AG160" s="1" t="str">
        <f t="shared" si="63"/>
        <v>NW</v>
      </c>
      <c r="AH160" s="92" t="str">
        <f t="shared" si="52"/>
        <v>"%USERPROFILE%\Documents\GitHub\eaglep3\Utilities\RefineRTDCRunTimes.py" --tripid 802-02 --locoid 4032 --swversion DE.1.0.8.0 --startMP 300:58611 --initTime 2016-11-02T06:06:39 --startdatetime 2016-11-02T06:09:04 --delay 1 --endMP 204:729 --enddatetime 2016-11-02T06:26:15 --enforcementcount 0 &gt;&gt;C:\Users\stu\Documents\GitHub\eaglep3-reporting\EC\2016-11-02-refined-times.txt</v>
      </c>
      <c r="AI160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{"issue":{"subject":"","project_id":79,"tracker_id":40,"status_id":1,"priority_id":2,"assigned_to_id":23,"start_date":"2016-11-02","description":"","custom_fields":[{"id":1,"name":"Subdivision","value":"NW"},{"id":4,"name":"Milepost","value":"0.0729"},{"id":17,"name":"Train ID","value":"802-02"},{"id":16,"name":"Locomotive ID","value":"4032"},{"id":130,"name":"Impact","value":""},{"id":150,"name":"Time of Event (Mountain Time)","value":"06:26:15"},{"id":151,"name":"Denver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466</v>
      </c>
      <c r="B161" s="7">
        <v>4025</v>
      </c>
      <c r="C161" s="22" t="s">
        <v>249</v>
      </c>
      <c r="D161" s="22" t="s">
        <v>722</v>
      </c>
      <c r="E161" s="13">
        <v>42676.260648148149</v>
      </c>
      <c r="F161" s="13">
        <v>42676.264768518522</v>
      </c>
      <c r="G161" s="7">
        <v>1</v>
      </c>
      <c r="H161" s="13" t="s">
        <v>723</v>
      </c>
      <c r="I161" s="13">
        <v>42676.274282407408</v>
      </c>
      <c r="J161" s="7">
        <v>0</v>
      </c>
      <c r="K161" s="112" t="str">
        <f t="shared" si="54"/>
        <v>4025/4026</v>
      </c>
      <c r="L161" s="22" t="str">
        <f>VLOOKUP(A161,'Trips&amp;Operators'!$C$1:$E$10000,3,FALSE)</f>
        <v>DAVIDSON</v>
      </c>
      <c r="M161" s="6">
        <f t="shared" si="55"/>
        <v>9.5138888864312321E-3</v>
      </c>
      <c r="N161" s="7">
        <f t="shared" si="48"/>
        <v>13.699999996460974</v>
      </c>
      <c r="O161" s="7"/>
      <c r="P161" s="7"/>
      <c r="Q161" s="23"/>
      <c r="R161" s="23"/>
      <c r="S161" s="35">
        <f t="shared" si="49"/>
        <v>1</v>
      </c>
      <c r="T161" s="50" t="str">
        <f t="shared" si="56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05:15:20-0600',mode:absolute,to:'2016-11-02 07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1" s="52" t="str">
        <f t="shared" si="58"/>
        <v>N</v>
      </c>
      <c r="X161" s="177">
        <f t="shared" si="64"/>
        <v>1</v>
      </c>
      <c r="Y161" s="67">
        <f t="shared" si="50"/>
        <v>9.8100000000000007E-2</v>
      </c>
      <c r="Z161" s="67">
        <f t="shared" si="51"/>
        <v>5.8982000000000001</v>
      </c>
      <c r="AA161" s="67">
        <f t="shared" si="59"/>
        <v>5.8001000000000005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0"/>
        <v>0803-02</v>
      </c>
      <c r="AE161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61" s="88" t="str">
        <f t="shared" si="62"/>
        <v>"C:\Program Files (x86)\AstroGrep\AstroGrep.exe" /spath="%USERPROFILE%\AppData\Local\Temp\OnboardLogs" /stypes="app*4025*20161102*" /stext=" 12:.+((SYSTEM_STATE.+slice.+state.+changed )|(ment ac)|(system.+state.+changed )|(\[timeout)|(PRM\|1\|D)|(kpr)|(kdp)|(\|lc)|(penalty))" /e /r /s</v>
      </c>
      <c r="AG161" s="1" t="str">
        <f t="shared" si="63"/>
        <v>NW</v>
      </c>
      <c r="AH161" s="92" t="str">
        <f t="shared" si="52"/>
        <v>"%USERPROFILE%\Documents\GitHub\eaglep3\Utilities\RefineRTDCRunTimes.py" --tripid 803-02 --locoid 4025 --swversion DE.1.0.8.0 --startMP 204:981 --initTime 2016-11-02T06:15:20 --startdatetime 2016-11-02T06:21:16 --delay 1 --endMP 300:58982 --enddatetime 2016-11-02T06:34:58 --enforcementcount 0 &gt;&gt;C:\Users\stu\Documents\GitHub\eaglep3-reporting\EC\2016-11-02-refined-times.txt</v>
      </c>
      <c r="AI161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{"issue":{"subject":"","project_id":79,"tracker_id":40,"status_id":1,"priority_id":2,"assigned_to_id":23,"start_date":"2016-11-02","description":"","custom_fields":[{"id":1,"name":"Subdivision","value":"NW"},{"id":4,"name":"Milepost","value":"5.8982"},{"id":17,"name":"Train ID","value":"803-02"},{"id":16,"name":"Locomotive ID","value":"4025"},{"id":130,"name":"Impact","value":""},{"id":150,"name":"Time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469</v>
      </c>
      <c r="B162" s="7">
        <v>4026</v>
      </c>
      <c r="C162" s="22" t="s">
        <v>249</v>
      </c>
      <c r="D162" s="22" t="s">
        <v>724</v>
      </c>
      <c r="E162" s="13">
        <v>42676.27584490741</v>
      </c>
      <c r="F162" s="13">
        <v>42676.278148148151</v>
      </c>
      <c r="G162" s="7">
        <v>1</v>
      </c>
      <c r="H162" s="13" t="s">
        <v>725</v>
      </c>
      <c r="I162" s="13">
        <v>42676.288854166669</v>
      </c>
      <c r="J162" s="7">
        <v>0</v>
      </c>
      <c r="K162" s="112" t="str">
        <f t="shared" si="54"/>
        <v>4025/4026</v>
      </c>
      <c r="L162" s="22" t="str">
        <f>VLOOKUP(A162,'Trips&amp;Operators'!$C$1:$E$10000,3,FALSE)</f>
        <v>DAVIDSON</v>
      </c>
      <c r="M162" s="6">
        <f t="shared" si="55"/>
        <v>1.0706018518249039E-2</v>
      </c>
      <c r="N162" s="7">
        <f t="shared" si="48"/>
        <v>15.416666666278616</v>
      </c>
      <c r="O162" s="7"/>
      <c r="P162" s="7"/>
      <c r="Q162" s="23"/>
      <c r="R162" s="23"/>
      <c r="S162" s="35">
        <f t="shared" si="49"/>
        <v>1</v>
      </c>
      <c r="T162" s="50" t="str">
        <f t="shared" si="56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05:37:13-0600',mode:absolute,to:'2016-11-02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2" s="52" t="str">
        <f t="shared" si="58"/>
        <v>N</v>
      </c>
      <c r="X162" s="177">
        <f t="shared" si="64"/>
        <v>1</v>
      </c>
      <c r="Y162" s="67">
        <f t="shared" si="50"/>
        <v>5.8672000000000004</v>
      </c>
      <c r="Z162" s="67">
        <f t="shared" si="51"/>
        <v>6.8900000000000003E-2</v>
      </c>
      <c r="AA162" s="67">
        <f t="shared" si="59"/>
        <v>5.7983000000000002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0"/>
        <v>0804-02</v>
      </c>
      <c r="AE162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62" s="88" t="str">
        <f t="shared" si="62"/>
        <v>"C:\Program Files (x86)\AstroGrep\AstroGrep.exe" /spath="%USERPROFILE%\AppData\Local\Temp\OnboardLogs" /stypes="app*4026*20161102*" /stext=" 12:.+((SYSTEM_STATE.+slice.+state.+changed )|(ment ac)|(system.+state.+changed )|(\[timeout)|(PRM\|1\|D)|(kpr)|(kdp)|(\|lc)|(penalty))" /e /r /s</v>
      </c>
      <c r="AG162" s="1" t="str">
        <f t="shared" si="63"/>
        <v>NW</v>
      </c>
      <c r="AH162" s="92" t="str">
        <f t="shared" si="52"/>
        <v>"%USERPROFILE%\Documents\GitHub\eaglep3\Utilities\RefineRTDCRunTimes.py" --tripid 804-02 --locoid 4026 --swversion DE.1.0.8.0 --startMP 300:58672 --initTime 2016-11-02T06:37:13 --startdatetime 2016-11-02T06:40:32 --delay 1 --endMP 204:689 --enddatetime 2016-11-02T06:55:57 --enforcementcount 0 &gt;&gt;C:\Users\stu\Documents\GitHub\eaglep3-reporting\EC\2016-11-02-refined-times.txt</v>
      </c>
      <c r="AI162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{"issue":{"subject":"","project_id":79,"tracker_id":40,"status_id":1,"priority_id":2,"assigned_to_id":23,"start_date":"2016-11-02","description":"","custom_fields":[{"id":1,"name":"Subdivision","value":"NW"},{"id":4,"name":"Milepost","value":"0.0689"},{"id":17,"name":"Train ID","value":"804-02"},{"id":16,"name":"Locomotive ID","value":"4026"},{"id":130,"name":"Impact","value":""},{"id":150,"name":"Time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x14ac:dyDescent="0.25">
      <c r="A163" s="37" t="s">
        <v>471</v>
      </c>
      <c r="B163" s="7">
        <v>4031</v>
      </c>
      <c r="C163" s="22" t="s">
        <v>249</v>
      </c>
      <c r="D163" s="22" t="s">
        <v>372</v>
      </c>
      <c r="E163" s="13">
        <v>42676.281412037039</v>
      </c>
      <c r="F163" s="13">
        <v>42676.285578703704</v>
      </c>
      <c r="G163" s="7">
        <v>1</v>
      </c>
      <c r="H163" s="13" t="s">
        <v>376</v>
      </c>
      <c r="I163" s="13">
        <v>42676.294756944444</v>
      </c>
      <c r="J163" s="7">
        <v>0</v>
      </c>
      <c r="K163" s="112" t="str">
        <f t="shared" si="54"/>
        <v>4031/4032</v>
      </c>
      <c r="L163" s="22" t="str">
        <f>VLOOKUP(A163,'Trips&amp;Operators'!$C$1:$E$10000,3,FALSE)</f>
        <v>STARKS</v>
      </c>
      <c r="M163" s="6">
        <f t="shared" si="55"/>
        <v>9.1782407398568466E-3</v>
      </c>
      <c r="N163" s="7">
        <f t="shared" ref="N163:N194" si="65">24*60*SUM($M163:$M163)</f>
        <v>13.216666665393859</v>
      </c>
      <c r="O163" s="7"/>
      <c r="P163" s="7"/>
      <c r="Q163" s="23"/>
      <c r="R163" s="23"/>
      <c r="S163" s="35">
        <f t="shared" ref="S163:S194" si="66">SUM(U163:U163)/IF(AG163="EC",12,1)</f>
        <v>1</v>
      </c>
      <c r="T163" s="50" t="str">
        <f t="shared" si="56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05:45:14-0600',mode:absolute,to:'2016-11-02 08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3" s="52" t="str">
        <f t="shared" si="58"/>
        <v>N</v>
      </c>
      <c r="X163" s="177">
        <f t="shared" si="64"/>
        <v>1</v>
      </c>
      <c r="Y163" s="67">
        <f t="shared" si="50"/>
        <v>0.10199999999999999</v>
      </c>
      <c r="Z163" s="67">
        <f t="shared" si="51"/>
        <v>5.8930999999999996</v>
      </c>
      <c r="AA163" s="67">
        <f t="shared" si="59"/>
        <v>5.7910999999999992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0"/>
        <v>0805-02</v>
      </c>
      <c r="AE163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63" s="88" t="str">
        <f t="shared" si="62"/>
        <v>"C:\Program Files (x86)\AstroGrep\AstroGrep.exe" /spath="%USERPROFILE%\AppData\Local\Temp\OnboardLogs" /stypes="app*4031*20161102*" /stext=" 13:.+((SYSTEM_STATE.+slice.+state.+changed )|(ment ac)|(system.+state.+changed )|(\[timeout)|(PRM\|1\|D)|(kpr)|(kdp)|(\|lc)|(penalty))" /e /r /s</v>
      </c>
      <c r="AG163" s="1" t="str">
        <f t="shared" si="63"/>
        <v>NW</v>
      </c>
      <c r="AH163" s="92" t="str">
        <f t="shared" si="52"/>
        <v>"%USERPROFILE%\Documents\GitHub\eaglep3\Utilities\RefineRTDCRunTimes.py" --tripid 805-02 --locoid 4031 --swversion DE.1.0.8.0 --startMP 204:1020 --initTime 2016-11-02T06:45:14 --startdatetime 2016-11-02T06:51:14 --delay 1 --endMP 300:58931 --enddatetime 2016-11-02T07:04:27 --enforcementcount 0 &gt;&gt;C:\Users\stu\Documents\GitHub\eaglep3-reporting\EC\2016-11-02-refined-times.txt</v>
      </c>
      <c r="AI163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{"issue":{"subject":"","project_id":79,"tracker_id":40,"status_id":1,"priority_id":2,"assigned_to_id":23,"start_date":"2016-11-02","description":"","custom_fields":[{"id":1,"name":"Subdivision","value":"NW"},{"id":4,"name":"Milepost","value":"5.8931"},{"id":17,"name":"Train ID","value":"805-02"},{"id":16,"name":"Locomotive ID","value":"4031"},{"id":130,"name":"Impact","value":""},{"id":150,"name":"Time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473</v>
      </c>
      <c r="B164" s="7">
        <v>4032</v>
      </c>
      <c r="C164" s="22" t="s">
        <v>249</v>
      </c>
      <c r="D164" s="22" t="s">
        <v>378</v>
      </c>
      <c r="E164" s="13">
        <v>42676.295787037037</v>
      </c>
      <c r="F164" s="13">
        <v>42676.297592592593</v>
      </c>
      <c r="G164" s="7">
        <v>1</v>
      </c>
      <c r="H164" s="13" t="s">
        <v>726</v>
      </c>
      <c r="I164" s="13">
        <v>42676.309837962966</v>
      </c>
      <c r="J164" s="7">
        <v>0</v>
      </c>
      <c r="K164" s="112" t="str">
        <f t="shared" si="54"/>
        <v>4031/4032</v>
      </c>
      <c r="L164" s="22" t="str">
        <f>VLOOKUP(A164,'Trips&amp;Operators'!$C$1:$E$10000,3,FALSE)</f>
        <v>STARKS</v>
      </c>
      <c r="M164" s="6">
        <f t="shared" si="55"/>
        <v>1.2245370373420883E-2</v>
      </c>
      <c r="N164" s="7">
        <f t="shared" si="65"/>
        <v>17.633333337726071</v>
      </c>
      <c r="O164" s="7"/>
      <c r="P164" s="7"/>
      <c r="Q164" s="23"/>
      <c r="R164" s="23"/>
      <c r="S164" s="35">
        <f t="shared" si="66"/>
        <v>1</v>
      </c>
      <c r="T164" s="50" t="str">
        <f t="shared" si="56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06:05:56-0600',mode:absolute,to:'2016-11-02 08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4" s="52" t="str">
        <f t="shared" si="58"/>
        <v>N</v>
      </c>
      <c r="X164" s="177">
        <f t="shared" si="64"/>
        <v>1</v>
      </c>
      <c r="Y164" s="67">
        <f t="shared" si="50"/>
        <v>5.8615000000000004</v>
      </c>
      <c r="Z164" s="67">
        <f t="shared" si="51"/>
        <v>7.2400000000000006E-2</v>
      </c>
      <c r="AA164" s="67">
        <f t="shared" si="59"/>
        <v>5.7891000000000004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0"/>
        <v>0806-02</v>
      </c>
      <c r="AE164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64" s="88" t="str">
        <f t="shared" si="62"/>
        <v>"C:\Program Files (x86)\AstroGrep\AstroGrep.exe" /spath="%USERPROFILE%\AppData\Local\Temp\OnboardLogs" /stypes="app*4032*20161102*" /stext=" 13:.+((SYSTEM_STATE.+slice.+state.+changed )|(ment ac)|(system.+state.+changed )|(\[timeout)|(PRM\|1\|D)|(kpr)|(kdp)|(\|lc)|(penalty))" /e /r /s</v>
      </c>
      <c r="AG164" s="1" t="str">
        <f t="shared" si="63"/>
        <v>NW</v>
      </c>
      <c r="AH164" s="92" t="str">
        <f t="shared" si="52"/>
        <v>"%USERPROFILE%\Documents\GitHub\eaglep3\Utilities\RefineRTDCRunTimes.py" --tripid 806-02 --locoid 4032 --swversion DE.1.0.8.0 --startMP 300:58615 --initTime 2016-11-02T07:05:56 --startdatetime 2016-11-02T07:08:32 --delay 1 --endMP 204:724 --enddatetime 2016-11-02T07:26:10 --enforcementcount 0 &gt;&gt;C:\Users\stu\Documents\GitHub\eaglep3-reporting\EC\2016-11-02-refined-times.txt</v>
      </c>
      <c r="AI164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{"issue":{"subject":"","project_id":79,"tracker_id":40,"status_id":1,"priority_id":2,"assigned_to_id":23,"start_date":"2016-11-02","description":"","custom_fields":[{"id":1,"name":"Subdivision","value":"NW"},{"id":4,"name":"Milepost","value":"0.0724"},{"id":17,"name":"Train ID","value":"806-02"},{"id":16,"name":"Locomotive ID","value":"4032"},{"id":130,"name":"Impact","value":""},{"id":150,"name":"Time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x14ac:dyDescent="0.25">
      <c r="A165" s="37" t="s">
        <v>476</v>
      </c>
      <c r="B165" s="7">
        <v>4025</v>
      </c>
      <c r="C165" s="22" t="s">
        <v>249</v>
      </c>
      <c r="D165" s="22" t="s">
        <v>727</v>
      </c>
      <c r="E165" s="13">
        <v>42676.304363425923</v>
      </c>
      <c r="F165" s="13">
        <v>42676.306458333333</v>
      </c>
      <c r="G165" s="7">
        <v>1</v>
      </c>
      <c r="H165" s="13" t="s">
        <v>728</v>
      </c>
      <c r="I165" s="13">
        <v>42676.315682870372</v>
      </c>
      <c r="J165" s="7">
        <v>0</v>
      </c>
      <c r="K165" s="112" t="str">
        <f t="shared" si="54"/>
        <v>4025/4026</v>
      </c>
      <c r="L165" s="22" t="str">
        <f>VLOOKUP(A165,'Trips&amp;Operators'!$C$1:$E$10000,3,FALSE)</f>
        <v>DAVIDSON</v>
      </c>
      <c r="M165" s="6">
        <f t="shared" si="55"/>
        <v>9.2245370396994986E-3</v>
      </c>
      <c r="N165" s="7">
        <f t="shared" si="65"/>
        <v>13.283333337167278</v>
      </c>
      <c r="O165" s="7"/>
      <c r="P165" s="7"/>
      <c r="Q165" s="23"/>
      <c r="R165" s="23"/>
      <c r="S165" s="35">
        <f t="shared" si="66"/>
        <v>1</v>
      </c>
      <c r="T165" s="50" t="str">
        <f t="shared" si="56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06:18:17-0600',mode:absolute,to:'2016-11-02 08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5" s="52" t="str">
        <f t="shared" si="58"/>
        <v>N</v>
      </c>
      <c r="X165" s="177">
        <f t="shared" si="64"/>
        <v>1</v>
      </c>
      <c r="Y165" s="67">
        <f t="shared" si="50"/>
        <v>9.9000000000000005E-2</v>
      </c>
      <c r="Z165" s="67">
        <f t="shared" si="51"/>
        <v>5.8997000000000002</v>
      </c>
      <c r="AA165" s="67">
        <f t="shared" si="59"/>
        <v>5.8007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60"/>
        <v>0807-02</v>
      </c>
      <c r="AE165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65" s="88" t="str">
        <f t="shared" si="62"/>
        <v>"C:\Program Files (x86)\AstroGrep\AstroGrep.exe" /spath="%USERPROFILE%\AppData\Local\Temp\OnboardLogs" /stypes="app*4025*20161102*" /stext=" 13:.+((SYSTEM_STATE.+slice.+state.+changed )|(ment ac)|(system.+state.+changed )|(\[timeout)|(PRM\|1\|D)|(kpr)|(kdp)|(\|lc)|(penalty))" /e /r /s</v>
      </c>
      <c r="AG165" s="1" t="str">
        <f t="shared" si="63"/>
        <v>NW</v>
      </c>
      <c r="AH165" s="92" t="str">
        <f t="shared" si="52"/>
        <v>"%USERPROFILE%\Documents\GitHub\eaglep3\Utilities\RefineRTDCRunTimes.py" --tripid 807-02 --locoid 4025 --swversion DE.1.0.8.0 --startMP 204:990 --initTime 2016-11-02T07:18:17 --startdatetime 2016-11-02T07:21:18 --delay 1 --endMP 300:58997 --enddatetime 2016-11-02T07:34:35 --enforcementcount 0 &gt;&gt;C:\Users\stu\Documents\GitHub\eaglep3-reporting\EC\2016-11-02-refined-times.txt</v>
      </c>
      <c r="AI165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{"issue":{"subject":"","project_id":79,"tracker_id":40,"status_id":1,"priority_id":2,"assigned_to_id":23,"start_date":"2016-11-02","description":"","custom_fields":[{"id":1,"name":"Subdivision","value":"NW"},{"id":4,"name":"Milepost","value":"5.8997"},{"id":17,"name":"Train ID","value":"807-02"},{"id":16,"name":"Locomotive ID","value":"4025"},{"id":130,"name":"Impact","value":""},{"id":150,"name":"Time of Event (Mountain Time)","value":"07:34:35"},{"id":151,"name":"Denver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478</v>
      </c>
      <c r="B166" s="7">
        <v>4026</v>
      </c>
      <c r="C166" s="22" t="s">
        <v>249</v>
      </c>
      <c r="D166" s="22" t="s">
        <v>729</v>
      </c>
      <c r="E166" s="13">
        <v>42676.317291666666</v>
      </c>
      <c r="F166" s="13">
        <v>42676.319120370368</v>
      </c>
      <c r="G166" s="7">
        <v>1</v>
      </c>
      <c r="H166" s="13" t="s">
        <v>392</v>
      </c>
      <c r="I166" s="13">
        <v>42676.330347222225</v>
      </c>
      <c r="J166" s="7">
        <v>0</v>
      </c>
      <c r="K166" s="112" t="str">
        <f t="shared" si="54"/>
        <v>4025/4026</v>
      </c>
      <c r="L166" s="22" t="str">
        <f>VLOOKUP(A166,'Trips&amp;Operators'!$C$1:$E$10000,3,FALSE)</f>
        <v>DAVIDSON</v>
      </c>
      <c r="M166" s="6">
        <f t="shared" si="55"/>
        <v>1.1226851856918074E-2</v>
      </c>
      <c r="N166" s="7">
        <f t="shared" si="65"/>
        <v>16.166666673962027</v>
      </c>
      <c r="O166" s="7"/>
      <c r="P166" s="7"/>
      <c r="Q166" s="23"/>
      <c r="R166" s="23"/>
      <c r="S166" s="35">
        <f t="shared" si="66"/>
        <v>1</v>
      </c>
      <c r="T166" s="50" t="str">
        <f t="shared" si="56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06:36:54-0600',mode:absolute,to:'2016-11-02 08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6" s="52" t="str">
        <f t="shared" si="58"/>
        <v>N</v>
      </c>
      <c r="X166" s="177">
        <f t="shared" si="64"/>
        <v>1</v>
      </c>
      <c r="Y166" s="67">
        <f t="shared" si="50"/>
        <v>5.8686999999999996</v>
      </c>
      <c r="Z166" s="67">
        <f t="shared" si="51"/>
        <v>7.0099999999999996E-2</v>
      </c>
      <c r="AA166" s="67">
        <f t="shared" si="59"/>
        <v>5.7985999999999995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60"/>
        <v>0808-02</v>
      </c>
      <c r="AE166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66" s="88" t="str">
        <f t="shared" si="62"/>
        <v>"C:\Program Files (x86)\AstroGrep\AstroGrep.exe" /spath="%USERPROFILE%\AppData\Local\Temp\OnboardLogs" /stypes="app*4026*20161102*" /stext=" 13:.+((SYSTEM_STATE.+slice.+state.+changed )|(ment ac)|(system.+state.+changed )|(\[timeout)|(PRM\|1\|D)|(kpr)|(kdp)|(\|lc)|(penalty))" /e /r /s</v>
      </c>
      <c r="AG166" s="1" t="str">
        <f t="shared" si="63"/>
        <v>NW</v>
      </c>
      <c r="AH166" s="92" t="str">
        <f t="shared" si="52"/>
        <v>"%USERPROFILE%\Documents\GitHub\eaglep3\Utilities\RefineRTDCRunTimes.py" --tripid 808-02 --locoid 4026 --swversion DE.1.0.8.0 --startMP 300:58687 --initTime 2016-11-02T07:36:54 --startdatetime 2016-11-02T07:39:32 --delay 1 --endMP 204:701 --enddatetime 2016-11-02T07:55:42 --enforcementcount 0 &gt;&gt;C:\Users\stu\Documents\GitHub\eaglep3-reporting\EC\2016-11-02-refined-times.txt</v>
      </c>
      <c r="AI166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{"issue":{"subject":"","project_id":79,"tracker_id":40,"status_id":1,"priority_id":2,"assigned_to_id":23,"start_date":"2016-11-02","description":"","custom_fields":[{"id":1,"name":"Subdivision","value":"NW"},{"id":4,"name":"Milepost","value":"0.0701"},{"id":17,"name":"Train ID","value":"808-02"},{"id":16,"name":"Locomotive ID","value":"4026"},{"id":130,"name":"Impact","value":""},{"id":150,"name":"Time of Event (Mountain Time)","value":"07:55:42"},{"id":151,"name":"Denver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482</v>
      </c>
      <c r="B167" s="7">
        <v>4031</v>
      </c>
      <c r="C167" s="22" t="s">
        <v>249</v>
      </c>
      <c r="D167" s="22" t="s">
        <v>321</v>
      </c>
      <c r="E167" s="13">
        <v>42676.32503472222</v>
      </c>
      <c r="F167" s="13">
        <v>42676.341284722221</v>
      </c>
      <c r="G167" s="7">
        <v>1</v>
      </c>
      <c r="H167" s="13" t="s">
        <v>386</v>
      </c>
      <c r="I167" s="13">
        <v>42676.351307870369</v>
      </c>
      <c r="J167" s="7">
        <v>0</v>
      </c>
      <c r="K167" s="112" t="str">
        <f t="shared" si="54"/>
        <v>4031/4032</v>
      </c>
      <c r="L167" s="22" t="str">
        <f>VLOOKUP(A167,'Trips&amp;Operators'!$C$1:$E$10000,3,FALSE)</f>
        <v>STARKS</v>
      </c>
      <c r="M167" s="6">
        <f t="shared" si="55"/>
        <v>1.0023148148320615E-2</v>
      </c>
      <c r="N167" s="7">
        <f t="shared" si="65"/>
        <v>14.433333333581686</v>
      </c>
      <c r="O167" s="7"/>
      <c r="P167" s="7"/>
      <c r="Q167" s="23"/>
      <c r="R167" s="23"/>
      <c r="S167" s="35">
        <f t="shared" si="66"/>
        <v>1</v>
      </c>
      <c r="T167" s="50" t="str">
        <f t="shared" si="56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06:48:03-0600',mode:absolute,to:'2016-11-02 09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7" s="52" t="str">
        <f t="shared" si="58"/>
        <v>N</v>
      </c>
      <c r="X167" s="177">
        <f t="shared" si="64"/>
        <v>1</v>
      </c>
      <c r="Y167" s="67">
        <f t="shared" si="50"/>
        <v>0.1016</v>
      </c>
      <c r="Z167" s="67">
        <f t="shared" si="51"/>
        <v>5.8924000000000003</v>
      </c>
      <c r="AA167" s="67">
        <f t="shared" si="59"/>
        <v>5.7907999999999999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60"/>
        <v>0809-02</v>
      </c>
      <c r="AE167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67" s="88" t="str">
        <f t="shared" si="62"/>
        <v>"C:\Program Files (x86)\AstroGrep\AstroGrep.exe" /spath="%USERPROFILE%\AppData\Local\Temp\OnboardLogs" /stypes="app*4031*20161102*" /stext=" 14:.+((SYSTEM_STATE.+slice.+state.+changed )|(ment ac)|(system.+state.+changed )|(\[timeout)|(PRM\|1\|D)|(kpr)|(kdp)|(\|lc)|(penalty))" /e /r /s</v>
      </c>
      <c r="AG167" s="1" t="str">
        <f t="shared" si="63"/>
        <v>NW</v>
      </c>
      <c r="AH167" s="92" t="str">
        <f t="shared" si="52"/>
        <v>"%USERPROFILE%\Documents\GitHub\eaglep3\Utilities\RefineRTDCRunTimes.py" --tripid 809-02 --locoid 4031 --swversion DE.1.0.8.0 --startMP 204:1016 --initTime 2016-11-02T07:48:03 --startdatetime 2016-11-02T08:11:27 --delay 1 --endMP 300:58924 --enddatetime 2016-11-02T08:25:53 --enforcementcount 0 &gt;&gt;C:\Users\stu\Documents\GitHub\eaglep3-reporting\EC\2016-11-02-refined-times.txt</v>
      </c>
      <c r="AI167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{"issue":{"subject":"","project_id":79,"tracker_id":40,"status_id":1,"priority_id":2,"assigned_to_id":23,"start_date":"2016-11-02","description":"","custom_fields":[{"id":1,"name":"Subdivision","value":"NW"},{"id":4,"name":"Milepost","value":"5.8924"},{"id":17,"name":"Train ID","value":"809-02"},{"id":16,"name":"Locomotive ID","value":"4031"},{"id":130,"name":"Impact","value":""},{"id":150,"name":"Time of Event (Mountain Time)","value":"08:25:53"},{"id":151,"name":"Denver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406</v>
      </c>
      <c r="B168" s="7">
        <v>4032</v>
      </c>
      <c r="C168" s="22" t="s">
        <v>249</v>
      </c>
      <c r="D168" s="22" t="s">
        <v>378</v>
      </c>
      <c r="E168" s="13">
        <v>42676.339583333334</v>
      </c>
      <c r="F168" s="13">
        <v>42676.357534722221</v>
      </c>
      <c r="G168" s="7">
        <v>1</v>
      </c>
      <c r="H168" s="13" t="s">
        <v>730</v>
      </c>
      <c r="I168" s="13">
        <v>42676.363854166666</v>
      </c>
      <c r="J168" s="7">
        <v>0</v>
      </c>
      <c r="K168" s="112" t="str">
        <f t="shared" si="54"/>
        <v>4031/4032</v>
      </c>
      <c r="L168" s="22" t="str">
        <f>VLOOKUP(A168,'Trips&amp;Operators'!$C$1:$E$10000,3,FALSE)</f>
        <v>STARKS</v>
      </c>
      <c r="M168" s="6">
        <f t="shared" si="55"/>
        <v>6.3194444446708076E-3</v>
      </c>
      <c r="N168" s="7">
        <f t="shared" si="65"/>
        <v>9.1000000003259629</v>
      </c>
      <c r="O168" s="7"/>
      <c r="P168" s="7"/>
      <c r="Q168" s="23"/>
      <c r="R168" s="23"/>
      <c r="S168" s="35">
        <f t="shared" si="66"/>
        <v>1</v>
      </c>
      <c r="T168" s="50" t="str">
        <f t="shared" si="56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07:09:00-0600',mode:absolute,to:'2016-11-02 09:43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8" s="52" t="str">
        <f t="shared" si="58"/>
        <v>N</v>
      </c>
      <c r="X168" s="177">
        <f t="shared" si="64"/>
        <v>1</v>
      </c>
      <c r="Y168" s="67">
        <f t="shared" si="50"/>
        <v>5.8615000000000004</v>
      </c>
      <c r="Z168" s="67">
        <f t="shared" si="51"/>
        <v>7.7799999999999994E-2</v>
      </c>
      <c r="AA168" s="67">
        <f t="shared" si="59"/>
        <v>5.7837000000000005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60"/>
        <v>0810-02</v>
      </c>
      <c r="AE168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68" s="88" t="str">
        <f t="shared" si="62"/>
        <v>"C:\Program Files (x86)\AstroGrep\AstroGrep.exe" /spath="%USERPROFILE%\AppData\Local\Temp\OnboardLogs" /stypes="app*4032*20161102*" /stext=" 14:.+((SYSTEM_STATE.+slice.+state.+changed )|(ment ac)|(system.+state.+changed )|(\[timeout)|(PRM\|1\|D)|(kpr)|(kdp)|(\|lc)|(penalty))" /e /r /s</v>
      </c>
      <c r="AG168" s="1" t="str">
        <f t="shared" si="63"/>
        <v>NW</v>
      </c>
      <c r="AH168" s="92" t="str">
        <f t="shared" si="52"/>
        <v>"%USERPROFILE%\Documents\GitHub\eaglep3\Utilities\RefineRTDCRunTimes.py" --tripid 810-02 --locoid 4032 --swversion DE.1.0.8.0 --startMP 300:58615 --initTime 2016-11-02T08:09:00 --startdatetime 2016-11-02T08:34:51 --delay 1 --endMP 204:778 --enddatetime 2016-11-02T08:43:57 --enforcementcount 0 &gt;&gt;C:\Users\stu\Documents\GitHub\eaglep3-reporting\EC\2016-11-02-refined-times.txt</v>
      </c>
      <c r="AI168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{"issue":{"subject":"","project_id":79,"tracker_id":40,"status_id":1,"priority_id":2,"assigned_to_id":23,"start_date":"2016-11-02","description":"","custom_fields":[{"id":1,"name":"Subdivision","value":"NW"},{"id":4,"name":"Milepost","value":"0.0778"},{"id":17,"name":"Train ID","value":"810-02"},{"id":16,"name":"Locomotive ID","value":"4032"},{"id":130,"name":"Impact","value":""},{"id":150,"name":"Time of Event (Mountain Time)","value":"08:43:57"},{"id":151,"name":"Denver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486</v>
      </c>
      <c r="B169" s="7">
        <v>4025</v>
      </c>
      <c r="C169" s="22" t="s">
        <v>249</v>
      </c>
      <c r="D169" s="22" t="s">
        <v>722</v>
      </c>
      <c r="E169" s="13">
        <v>42676.34542824074</v>
      </c>
      <c r="F169" s="13">
        <v>42676.348090277781</v>
      </c>
      <c r="G169" s="7">
        <v>1</v>
      </c>
      <c r="H169" s="13" t="s">
        <v>731</v>
      </c>
      <c r="I169" s="13">
        <v>42676.359027777777</v>
      </c>
      <c r="J169" s="7">
        <v>0</v>
      </c>
      <c r="K169" s="112" t="str">
        <f t="shared" si="54"/>
        <v>4025/4026</v>
      </c>
      <c r="L169" s="22" t="str">
        <f>VLOOKUP(A169,'Trips&amp;Operators'!$C$1:$E$10000,3,FALSE)</f>
        <v>DAVIDSON</v>
      </c>
      <c r="M169" s="6">
        <f t="shared" si="55"/>
        <v>1.0937499995634425E-2</v>
      </c>
      <c r="N169" s="7">
        <f t="shared" si="65"/>
        <v>15.749999993713573</v>
      </c>
      <c r="O169" s="7"/>
      <c r="P169" s="7"/>
      <c r="Q169" s="23"/>
      <c r="R169" s="23"/>
      <c r="S169" s="35">
        <f t="shared" si="66"/>
        <v>1</v>
      </c>
      <c r="T169" s="50" t="str">
        <f t="shared" si="56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07:17:25-0600',mode:absolute,to:'2016-11-02 09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9" s="52" t="str">
        <f t="shared" si="58"/>
        <v>N</v>
      </c>
      <c r="X169" s="177">
        <f t="shared" si="64"/>
        <v>1</v>
      </c>
      <c r="Y169" s="67">
        <f t="shared" si="50"/>
        <v>9.8100000000000007E-2</v>
      </c>
      <c r="Z169" s="67">
        <f t="shared" si="51"/>
        <v>5.8983999999999996</v>
      </c>
      <c r="AA169" s="67">
        <f t="shared" si="59"/>
        <v>5.8003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60"/>
        <v>0811-02</v>
      </c>
      <c r="AE169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69" s="88" t="str">
        <f t="shared" si="62"/>
        <v>"C:\Program Files (x86)\AstroGrep\AstroGrep.exe" /spath="%USERPROFILE%\AppData\Local\Temp\OnboardLogs" /stypes="app*4025*20161102*" /stext=" 14:.+((SYSTEM_STATE.+slice.+state.+changed )|(ment ac)|(system.+state.+changed )|(\[timeout)|(PRM\|1\|D)|(kpr)|(kdp)|(\|lc)|(penalty))" /e /r /s</v>
      </c>
      <c r="AG169" s="1" t="str">
        <f t="shared" si="63"/>
        <v>NW</v>
      </c>
      <c r="AH169" s="92" t="str">
        <f t="shared" si="52"/>
        <v>"%USERPROFILE%\Documents\GitHub\eaglep3\Utilities\RefineRTDCRunTimes.py" --tripid 811-02 --locoid 4025 --swversion DE.1.0.8.0 --startMP 204:981 --initTime 2016-11-02T08:17:25 --startdatetime 2016-11-02T08:21:15 --delay 1 --endMP 300:58984 --enddatetime 2016-11-02T08:37:00 --enforcementcount 0 &gt;&gt;C:\Users\stu\Documents\GitHub\eaglep3-reporting\EC\2016-11-02-refined-times.txt</v>
      </c>
      <c r="AI169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{"issue":{"subject":"","project_id":79,"tracker_id":40,"status_id":1,"priority_id":2,"assigned_to_id":23,"start_date":"2016-11-02","description":"","custom_fields":[{"id":1,"name":"Subdivision","value":"NW"},{"id":4,"name":"Milepost","value":"5.8984"},{"id":17,"name":"Train ID","value":"811-02"},{"id":16,"name":"Locomotive ID","value":"4025"},{"id":130,"name":"Impact","value":""},{"id":150,"name":"Time of Event (Mountain Time)","value":"08:37:00"},{"id":151,"name":"Denver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490</v>
      </c>
      <c r="B170" s="7">
        <v>4026</v>
      </c>
      <c r="C170" s="22" t="s">
        <v>249</v>
      </c>
      <c r="D170" s="22" t="s">
        <v>724</v>
      </c>
      <c r="E170" s="13">
        <v>42676.359953703701</v>
      </c>
      <c r="F170" s="13">
        <v>42676.362129629626</v>
      </c>
      <c r="G170" s="7">
        <v>1</v>
      </c>
      <c r="H170" s="13" t="s">
        <v>387</v>
      </c>
      <c r="I170" s="13">
        <v>42676.371238425927</v>
      </c>
      <c r="J170" s="7">
        <v>0</v>
      </c>
      <c r="K170" s="112" t="str">
        <f t="shared" si="54"/>
        <v>4025/4026</v>
      </c>
      <c r="L170" s="22" t="str">
        <f>VLOOKUP(A170,'Trips&amp;Operators'!$C$1:$E$10000,3,FALSE)</f>
        <v>DAVIDSON</v>
      </c>
      <c r="M170" s="6">
        <f t="shared" si="55"/>
        <v>9.1087963010068052E-3</v>
      </c>
      <c r="N170" s="7">
        <f t="shared" si="65"/>
        <v>13.116666673449799</v>
      </c>
      <c r="O170" s="7"/>
      <c r="P170" s="7"/>
      <c r="Q170" s="23"/>
      <c r="R170" s="23"/>
      <c r="S170" s="35">
        <f t="shared" si="66"/>
        <v>1</v>
      </c>
      <c r="T170" s="50" t="str">
        <f t="shared" si="56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07:38:20-0600',mode:absolute,to:'2016-11-02 09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0" s="52" t="str">
        <f t="shared" si="58"/>
        <v>N</v>
      </c>
      <c r="X170" s="177">
        <f t="shared" si="64"/>
        <v>1</v>
      </c>
      <c r="Y170" s="67">
        <f t="shared" si="50"/>
        <v>5.8672000000000004</v>
      </c>
      <c r="Z170" s="67">
        <f t="shared" si="51"/>
        <v>6.8699999999999997E-2</v>
      </c>
      <c r="AA170" s="67">
        <f t="shared" si="59"/>
        <v>5.7985000000000007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60"/>
        <v>0812-02</v>
      </c>
      <c r="AE170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70" s="88" t="str">
        <f t="shared" si="62"/>
        <v>"C:\Program Files (x86)\AstroGrep\AstroGrep.exe" /spath="%USERPROFILE%\AppData\Local\Temp\OnboardLogs" /stypes="app*4026*20161102*" /stext=" 14:.+((SYSTEM_STATE.+slice.+state.+changed )|(ment ac)|(system.+state.+changed )|(\[timeout)|(PRM\|1\|D)|(kpr)|(kdp)|(\|lc)|(penalty))" /e /r /s</v>
      </c>
      <c r="AG170" s="1" t="str">
        <f t="shared" si="63"/>
        <v>NW</v>
      </c>
      <c r="AH170" s="92" t="str">
        <f t="shared" si="52"/>
        <v>"%USERPROFILE%\Documents\GitHub\eaglep3\Utilities\RefineRTDCRunTimes.py" --tripid 812-02 --locoid 4026 --swversion DE.1.0.8.0 --startMP 300:58672 --initTime 2016-11-02T08:38:20 --startdatetime 2016-11-02T08:41:28 --delay 1 --endMP 204:687 --enddatetime 2016-11-02T08:54:35 --enforcementcount 0 &gt;&gt;C:\Users\stu\Documents\GitHub\eaglep3-reporting\EC\2016-11-02-refined-times.txt</v>
      </c>
      <c r="AI170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{"issue":{"subject":"","project_id":79,"tracker_id":40,"status_id":1,"priority_id":2,"assigned_to_id":23,"start_date":"2016-11-02","description":"","custom_fields":[{"id":1,"name":"Subdivision","value":"NW"},{"id":4,"name":"Milepost","value":"0.0687"},{"id":17,"name":"Train ID","value":"812-02"},{"id":16,"name":"Locomotive ID","value":"4026"},{"id":130,"name":"Impact","value":""},{"id":150,"name":"Time of Event (Mountain Time)","value":"08:54:35"},{"id":151,"name":"Denver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495</v>
      </c>
      <c r="B171" s="7">
        <v>4025</v>
      </c>
      <c r="C171" s="22" t="s">
        <v>249</v>
      </c>
      <c r="D171" s="22" t="s">
        <v>379</v>
      </c>
      <c r="E171" s="13">
        <v>42676.387118055558</v>
      </c>
      <c r="F171" s="13">
        <v>42676.389780092592</v>
      </c>
      <c r="G171" s="7">
        <v>1</v>
      </c>
      <c r="H171" s="13" t="s">
        <v>732</v>
      </c>
      <c r="I171" s="13">
        <v>42676.399560185186</v>
      </c>
      <c r="J171" s="7">
        <v>0</v>
      </c>
      <c r="K171" s="112" t="str">
        <f t="shared" si="54"/>
        <v>4025/4026</v>
      </c>
      <c r="L171" s="22" t="str">
        <f>VLOOKUP(A171,'Trips&amp;Operators'!$C$1:$E$10000,3,FALSE)</f>
        <v>DAVIDSON</v>
      </c>
      <c r="M171" s="6">
        <f t="shared" si="55"/>
        <v>9.7800925941555761E-3</v>
      </c>
      <c r="N171" s="7">
        <f t="shared" si="65"/>
        <v>14.08333333558403</v>
      </c>
      <c r="O171" s="7"/>
      <c r="P171" s="7"/>
      <c r="Q171" s="23"/>
      <c r="R171" s="23"/>
      <c r="S171" s="35">
        <f t="shared" si="66"/>
        <v>1</v>
      </c>
      <c r="T171" s="50" t="str">
        <f t="shared" si="56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08:17:27-0600',mode:absolute,to:'2016-11-02 10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1" s="52" t="str">
        <f t="shared" si="58"/>
        <v>N</v>
      </c>
      <c r="X171" s="177">
        <f t="shared" si="64"/>
        <v>1</v>
      </c>
      <c r="Y171" s="67">
        <f t="shared" si="50"/>
        <v>9.8500000000000004E-2</v>
      </c>
      <c r="Z171" s="67">
        <f t="shared" si="51"/>
        <v>5.8994999999999997</v>
      </c>
      <c r="AA171" s="67">
        <f t="shared" si="59"/>
        <v>5.8010000000000002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60"/>
        <v>0813-02</v>
      </c>
      <c r="AE171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71" s="88" t="str">
        <f t="shared" si="62"/>
        <v>"C:\Program Files (x86)\AstroGrep\AstroGrep.exe" /spath="%USERPROFILE%\AppData\Local\Temp\OnboardLogs" /stypes="app*4025*20161102*" /stext=" 15:.+((SYSTEM_STATE.+slice.+state.+changed )|(ment ac)|(system.+state.+changed )|(\[timeout)|(PRM\|1\|D)|(kpr)|(kdp)|(\|lc)|(penalty))" /e /r /s</v>
      </c>
      <c r="AG171" s="1" t="str">
        <f t="shared" si="63"/>
        <v>NW</v>
      </c>
      <c r="AH171" s="92" t="str">
        <f t="shared" si="52"/>
        <v>"%USERPROFILE%\Documents\GitHub\eaglep3\Utilities\RefineRTDCRunTimes.py" --tripid 813-02 --locoid 4025 --swversion DE.1.0.8.0 --startMP 204:985 --initTime 2016-11-02T09:17:27 --startdatetime 2016-11-02T09:21:17 --delay 1 --endMP 300:58995 --enddatetime 2016-11-02T09:35:22 --enforcementcount 0 &gt;&gt;C:\Users\stu\Documents\GitHub\eaglep3-reporting\EC\2016-11-02-refined-times.txt</v>
      </c>
      <c r="AI171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{"issue":{"subject":"","project_id":79,"tracker_id":40,"status_id":1,"priority_id":2,"assigned_to_id":23,"start_date":"2016-11-02","description":"","custom_fields":[{"id":1,"name":"Subdivision","value":"NW"},{"id":4,"name":"Milepost","value":"5.8995"},{"id":17,"name":"Train ID","value":"813-02"},{"id":16,"name":"Locomotive ID","value":"4025"},{"id":130,"name":"Impact","value":""},{"id":150,"name":"Time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500</v>
      </c>
      <c r="B172" s="7">
        <v>4026</v>
      </c>
      <c r="C172" s="22" t="s">
        <v>249</v>
      </c>
      <c r="D172" s="22" t="s">
        <v>733</v>
      </c>
      <c r="E172" s="13">
        <v>42676.400937500002</v>
      </c>
      <c r="F172" s="13">
        <v>42676.40283564815</v>
      </c>
      <c r="G172" s="7">
        <v>1</v>
      </c>
      <c r="H172" s="13" t="s">
        <v>734</v>
      </c>
      <c r="I172" s="13">
        <v>42676.413194444445</v>
      </c>
      <c r="J172" s="7">
        <v>0</v>
      </c>
      <c r="K172" s="112" t="str">
        <f t="shared" si="54"/>
        <v>4025/4026</v>
      </c>
      <c r="L172" s="22" t="str">
        <f>VLOOKUP(A172,'Trips&amp;Operators'!$C$1:$E$10000,3,FALSE)</f>
        <v>DAVIDSON</v>
      </c>
      <c r="M172" s="6">
        <f t="shared" si="55"/>
        <v>1.0358796294895001E-2</v>
      </c>
      <c r="N172" s="7">
        <f t="shared" si="65"/>
        <v>14.916666664648801</v>
      </c>
      <c r="O172" s="7"/>
      <c r="P172" s="7"/>
      <c r="Q172" s="23"/>
      <c r="R172" s="23"/>
      <c r="S172" s="35">
        <f t="shared" si="66"/>
        <v>1</v>
      </c>
      <c r="T172" s="50" t="str">
        <f t="shared" si="56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08:37:21-0600',mode:absolute,to:'2016-11-02 10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2" s="52" t="str">
        <f t="shared" si="58"/>
        <v>N</v>
      </c>
      <c r="X172" s="177">
        <f t="shared" si="64"/>
        <v>1</v>
      </c>
      <c r="Y172" s="67">
        <f t="shared" si="50"/>
        <v>5.8673000000000002</v>
      </c>
      <c r="Z172" s="67">
        <f t="shared" si="51"/>
        <v>6.9199999999999998E-2</v>
      </c>
      <c r="AA172" s="67">
        <f t="shared" si="59"/>
        <v>5.7980999999999998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60"/>
        <v>0814-02</v>
      </c>
      <c r="AE172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72" s="88" t="str">
        <f t="shared" si="62"/>
        <v>"C:\Program Files (x86)\AstroGrep\AstroGrep.exe" /spath="%USERPROFILE%\AppData\Local\Temp\OnboardLogs" /stypes="app*4026*20161102*" /stext=" 15:.+((SYSTEM_STATE.+slice.+state.+changed )|(ment ac)|(system.+state.+changed )|(\[timeout)|(PRM\|1\|D)|(kpr)|(kdp)|(\|lc)|(penalty))" /e /r /s</v>
      </c>
      <c r="AG172" s="1" t="str">
        <f t="shared" si="63"/>
        <v>NW</v>
      </c>
      <c r="AH172" s="92" t="str">
        <f t="shared" si="52"/>
        <v>"%USERPROFILE%\Documents\GitHub\eaglep3\Utilities\RefineRTDCRunTimes.py" --tripid 814-02 --locoid 4026 --swversion DE.1.0.8.0 --startMP 300:58673 --initTime 2016-11-02T09:37:21 --startdatetime 2016-11-02T09:40:05 --delay 1 --endMP 204:692 --enddatetime 2016-11-02T09:55:00 --enforcementcount 0 &gt;&gt;C:\Users\stu\Documents\GitHub\eaglep3-reporting\EC\2016-11-02-refined-times.txt</v>
      </c>
      <c r="AI172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{"issue":{"subject":"","project_id":79,"tracker_id":40,"status_id":1,"priority_id":2,"assigned_to_id":23,"start_date":"2016-11-02","description":"","custom_fields":[{"id":1,"name":"Subdivision","value":"NW"},{"id":4,"name":"Milepost","value":"0.0692"},{"id":17,"name":"Train ID","value":"814-02"},{"id":16,"name":"Locomotive ID","value":"4026"},{"id":130,"name":"Impact","value":""},{"id":150,"name":"Time of Event (Mountain Time)","value":"09:55:00"},{"id":151,"name":"Denver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508</v>
      </c>
      <c r="B173" s="7">
        <v>4025</v>
      </c>
      <c r="C173" s="22" t="s">
        <v>249</v>
      </c>
      <c r="D173" s="22" t="s">
        <v>388</v>
      </c>
      <c r="E173" s="13">
        <v>42676.427997685183</v>
      </c>
      <c r="F173" s="13">
        <v>42676.431423611109</v>
      </c>
      <c r="G173" s="7">
        <v>2</v>
      </c>
      <c r="H173" s="13" t="s">
        <v>723</v>
      </c>
      <c r="I173" s="13">
        <v>42676.441469907404</v>
      </c>
      <c r="J173" s="7">
        <v>0</v>
      </c>
      <c r="K173" s="112" t="str">
        <f t="shared" si="54"/>
        <v>4025/4026</v>
      </c>
      <c r="L173" s="22" t="str">
        <f>VLOOKUP(A173,'Trips&amp;Operators'!$C$1:$E$10000,3,FALSE)</f>
        <v>DAVIDSON</v>
      </c>
      <c r="M173" s="6">
        <f t="shared" si="55"/>
        <v>1.0046296294603962E-2</v>
      </c>
      <c r="N173" s="7">
        <f t="shared" si="65"/>
        <v>14.466666664229706</v>
      </c>
      <c r="O173" s="7"/>
      <c r="P173" s="7"/>
      <c r="Q173" s="23"/>
      <c r="R173" s="23"/>
      <c r="S173" s="35">
        <f t="shared" si="66"/>
        <v>1</v>
      </c>
      <c r="T173" s="50" t="str">
        <f t="shared" si="56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09:16:19-0600',mode:absolute,to:'2016-11-02 11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3" s="52" t="str">
        <f t="shared" si="58"/>
        <v>N</v>
      </c>
      <c r="X173" s="177">
        <f t="shared" si="64"/>
        <v>1</v>
      </c>
      <c r="Y173" s="67">
        <f t="shared" si="50"/>
        <v>9.6699999999999994E-2</v>
      </c>
      <c r="Z173" s="67">
        <f t="shared" si="51"/>
        <v>5.8982000000000001</v>
      </c>
      <c r="AA173" s="67">
        <f t="shared" si="59"/>
        <v>5.8014999999999999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60"/>
        <v>0815-02</v>
      </c>
      <c r="AE173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73" s="88" t="str">
        <f t="shared" si="62"/>
        <v>"C:\Program Files (x86)\AstroGrep\AstroGrep.exe" /spath="%USERPROFILE%\AppData\Local\Temp\OnboardLogs" /stypes="app*4025*20161102*" /stext=" 16:.+((SYSTEM_STATE.+slice.+state.+changed )|(ment ac)|(system.+state.+changed )|(\[timeout)|(PRM\|1\|D)|(kpr)|(kdp)|(\|lc)|(penalty))" /e /r /s</v>
      </c>
      <c r="AG173" s="1" t="str">
        <f t="shared" si="63"/>
        <v>NW</v>
      </c>
      <c r="AH173" s="92" t="str">
        <f t="shared" si="52"/>
        <v>"%USERPROFILE%\Documents\GitHub\eaglep3\Utilities\RefineRTDCRunTimes.py" --tripid 815-02 --locoid 4025 --swversion DE.1.0.8.0 --startMP 204:967 --initTime 2016-11-02T10:16:19 --startdatetime 2016-11-02T10:21:15 --delay 2 --endMP 300:58982 --enddatetime 2016-11-02T10:35:43 --enforcementcount 0 &gt;&gt;C:\Users\stu\Documents\GitHub\eaglep3-reporting\EC\2016-11-02-refined-times.txt</v>
      </c>
      <c r="AI173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{"issue":{"subject":"","project_id":79,"tracker_id":40,"status_id":1,"priority_id":2,"assigned_to_id":23,"start_date":"2016-11-02","description":"","custom_fields":[{"id":1,"name":"Subdivision","value":"NW"},{"id":4,"name":"Milepost","value":"5.8982"},{"id":17,"name":"Train ID","value":"815-02"},{"id":16,"name":"Locomotive ID","value":"4025"},{"id":130,"name":"Impact","value":""},{"id":150,"name":"Time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513</v>
      </c>
      <c r="B174" s="7">
        <v>4026</v>
      </c>
      <c r="C174" s="22" t="s">
        <v>249</v>
      </c>
      <c r="D174" s="22" t="s">
        <v>735</v>
      </c>
      <c r="E174" s="13">
        <v>42676.442708333336</v>
      </c>
      <c r="F174" s="13">
        <v>42676.444293981483</v>
      </c>
      <c r="G174" s="7">
        <v>1</v>
      </c>
      <c r="H174" s="13" t="s">
        <v>385</v>
      </c>
      <c r="I174" s="13">
        <v>42676.454594907409</v>
      </c>
      <c r="J174" s="7">
        <v>0</v>
      </c>
      <c r="K174" s="112" t="str">
        <f t="shared" si="54"/>
        <v>4025/4026</v>
      </c>
      <c r="L174" s="22" t="str">
        <f>VLOOKUP(A174,'Trips&amp;Operators'!$C$1:$E$10000,3,FALSE)</f>
        <v>DAVIDSON</v>
      </c>
      <c r="M174" s="6">
        <f t="shared" si="55"/>
        <v>1.0300925925548654E-2</v>
      </c>
      <c r="N174" s="7">
        <f t="shared" si="65"/>
        <v>14.833333332790062</v>
      </c>
      <c r="O174" s="7"/>
      <c r="P174" s="7"/>
      <c r="Q174" s="23"/>
      <c r="R174" s="23"/>
      <c r="S174" s="35">
        <f t="shared" si="66"/>
        <v>1</v>
      </c>
      <c r="T174" s="50" t="str">
        <f t="shared" si="56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09:37:30-0600',mode:absolute,to:'2016-11-02 11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4" s="52" t="str">
        <f t="shared" si="58"/>
        <v>N</v>
      </c>
      <c r="X174" s="177">
        <f t="shared" si="64"/>
        <v>1</v>
      </c>
      <c r="Y174" s="67">
        <f t="shared" si="50"/>
        <v>5.8677000000000001</v>
      </c>
      <c r="Z174" s="67">
        <f t="shared" si="51"/>
        <v>6.7799999999999999E-2</v>
      </c>
      <c r="AA174" s="67">
        <f t="shared" si="59"/>
        <v>5.7999000000000001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60"/>
        <v>0816-02</v>
      </c>
      <c r="AE174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74" s="88" t="str">
        <f t="shared" si="62"/>
        <v>"C:\Program Files (x86)\AstroGrep\AstroGrep.exe" /spath="%USERPROFILE%\AppData\Local\Temp\OnboardLogs" /stypes="app*4026*20161102*" /stext=" 16:.+((SYSTEM_STATE.+slice.+state.+changed )|(ment ac)|(system.+state.+changed )|(\[timeout)|(PRM\|1\|D)|(kpr)|(kdp)|(\|lc)|(penalty))" /e /r /s</v>
      </c>
      <c r="AG174" s="1" t="str">
        <f t="shared" si="63"/>
        <v>NW</v>
      </c>
      <c r="AH174" s="92" t="str">
        <f t="shared" si="52"/>
        <v>"%USERPROFILE%\Documents\GitHub\eaglep3\Utilities\RefineRTDCRunTimes.py" --tripid 816-02 --locoid 4026 --swversion DE.1.0.8.0 --startMP 300:58677 --initTime 2016-11-02T10:37:30 --startdatetime 2016-11-02T10:39:47 --delay 1 --endMP 204:678 --enddatetime 2016-11-02T10:54:37 --enforcementcount 0 &gt;&gt;C:\Users\stu\Documents\GitHub\eaglep3-reporting\EC\2016-11-02-refined-times.txt</v>
      </c>
      <c r="AI174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{"issue":{"subject":"","project_id":79,"tracker_id":40,"status_id":1,"priority_id":2,"assigned_to_id":23,"start_date":"2016-11-02","description":"","custom_fields":[{"id":1,"name":"Subdivision","value":"NW"},{"id":4,"name":"Milepost","value":"0.0678"},{"id":17,"name":"Train ID","value":"816-02"},{"id":16,"name":"Locomotive ID","value":"4026"},{"id":130,"name":"Impact","value":""},{"id":150,"name":"Time of Event (Mountain Time)","value":"10:54:37"},{"id":151,"name":"Denver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521</v>
      </c>
      <c r="B175" s="7">
        <v>4025</v>
      </c>
      <c r="C175" s="22" t="s">
        <v>249</v>
      </c>
      <c r="D175" s="22" t="s">
        <v>727</v>
      </c>
      <c r="E175" s="13">
        <v>42676.467453703706</v>
      </c>
      <c r="F175" s="13">
        <v>42676.473101851851</v>
      </c>
      <c r="G175" s="7">
        <v>1</v>
      </c>
      <c r="H175" s="13" t="s">
        <v>736</v>
      </c>
      <c r="I175" s="13">
        <v>42676.482754629629</v>
      </c>
      <c r="J175" s="7">
        <v>0</v>
      </c>
      <c r="K175" s="112" t="str">
        <f t="shared" si="54"/>
        <v>4025/4026</v>
      </c>
      <c r="L175" s="22" t="str">
        <f>VLOOKUP(A175,'Trips&amp;Operators'!$C$1:$E$10000,3,FALSE)</f>
        <v>DAVIDSON</v>
      </c>
      <c r="M175" s="6">
        <f t="shared" si="55"/>
        <v>9.6527777786832303E-3</v>
      </c>
      <c r="N175" s="7">
        <f t="shared" si="65"/>
        <v>13.900000001303852</v>
      </c>
      <c r="O175" s="7"/>
      <c r="P175" s="7"/>
      <c r="Q175" s="23"/>
      <c r="R175" s="23"/>
      <c r="S175" s="35">
        <f t="shared" si="66"/>
        <v>1</v>
      </c>
      <c r="T175" s="50" t="str">
        <f t="shared" si="56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10:13:08-0600',mode:absolute,to:'2016-11-02 12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5" s="52" t="str">
        <f t="shared" si="58"/>
        <v>N</v>
      </c>
      <c r="X175" s="177">
        <f t="shared" si="64"/>
        <v>1</v>
      </c>
      <c r="Y175" s="67">
        <f t="shared" si="50"/>
        <v>9.9000000000000005E-2</v>
      </c>
      <c r="Z175" s="67">
        <f t="shared" si="51"/>
        <v>5.8992000000000004</v>
      </c>
      <c r="AA175" s="67">
        <f t="shared" si="59"/>
        <v>5.8002000000000002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60"/>
        <v>0817-02</v>
      </c>
      <c r="AE175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75" s="88" t="str">
        <f t="shared" si="62"/>
        <v>"C:\Program Files (x86)\AstroGrep\AstroGrep.exe" /spath="%USERPROFILE%\AppData\Local\Temp\OnboardLogs" /stypes="app*4025*20161102*" /stext=" 17:.+((SYSTEM_STATE.+slice.+state.+changed )|(ment ac)|(system.+state.+changed )|(\[timeout)|(PRM\|1\|D)|(kpr)|(kdp)|(\|lc)|(penalty))" /e /r /s</v>
      </c>
      <c r="AG175" s="1" t="str">
        <f t="shared" si="63"/>
        <v>NW</v>
      </c>
      <c r="AH175" s="92" t="str">
        <f t="shared" si="52"/>
        <v>"%USERPROFILE%\Documents\GitHub\eaglep3\Utilities\RefineRTDCRunTimes.py" --tripid 817-02 --locoid 4025 --swversion DE.1.0.8.0 --startMP 204:990 --initTime 2016-11-02T11:13:08 --startdatetime 2016-11-02T11:21:16 --delay 1 --endMP 300:58992 --enddatetime 2016-11-02T11:35:10 --enforcementcount 0 &gt;&gt;C:\Users\stu\Documents\GitHub\eaglep3-reporting\EC\2016-11-02-refined-times.txt</v>
      </c>
      <c r="AI175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{"issue":{"subject":"","project_id":79,"tracker_id":40,"status_id":1,"priority_id":2,"assigned_to_id":23,"start_date":"2016-11-02","description":"","custom_fields":[{"id":1,"name":"Subdivision","value":"NW"},{"id":4,"name":"Milepost","value":"5.8992"},{"id":17,"name":"Train ID","value":"817-02"},{"id":16,"name":"Locomotive ID","value":"4025"},{"id":130,"name":"Impact","value":""},{"id":150,"name":"Time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525</v>
      </c>
      <c r="B176" s="7">
        <v>4026</v>
      </c>
      <c r="C176" s="22" t="s">
        <v>249</v>
      </c>
      <c r="D176" s="22" t="s">
        <v>735</v>
      </c>
      <c r="E176" s="13">
        <v>42676.484039351853</v>
      </c>
      <c r="F176" s="13">
        <v>42676.486215277779</v>
      </c>
      <c r="G176" s="7">
        <v>1</v>
      </c>
      <c r="H176" s="13" t="s">
        <v>737</v>
      </c>
      <c r="I176" s="13">
        <v>42676.496296296296</v>
      </c>
      <c r="J176" s="7">
        <v>0</v>
      </c>
      <c r="K176" s="112" t="str">
        <f t="shared" si="54"/>
        <v>4025/4026</v>
      </c>
      <c r="L176" s="22" t="str">
        <f>VLOOKUP(A176,'Trips&amp;Operators'!$C$1:$E$10000,3,FALSE)</f>
        <v>DAVIDSON</v>
      </c>
      <c r="M176" s="6">
        <f t="shared" si="55"/>
        <v>1.0081018517666962E-2</v>
      </c>
      <c r="N176" s="7">
        <f t="shared" si="65"/>
        <v>14.516666665440425</v>
      </c>
      <c r="O176" s="7"/>
      <c r="P176" s="7"/>
      <c r="Q176" s="23"/>
      <c r="R176" s="23"/>
      <c r="S176" s="35">
        <f t="shared" si="66"/>
        <v>1</v>
      </c>
      <c r="T176" s="50" t="str">
        <f t="shared" si="56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10:37:01-0600',mode:absolute,to:'2016-11-02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6" s="52" t="str">
        <f t="shared" si="58"/>
        <v>N</v>
      </c>
      <c r="X176" s="177">
        <f t="shared" si="64"/>
        <v>1</v>
      </c>
      <c r="Y176" s="67">
        <f t="shared" si="50"/>
        <v>5.8677000000000001</v>
      </c>
      <c r="Z176" s="67">
        <f t="shared" si="51"/>
        <v>6.7699999999999996E-2</v>
      </c>
      <c r="AA176" s="67">
        <f t="shared" si="59"/>
        <v>5.8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60"/>
        <v>0818-02</v>
      </c>
      <c r="AE176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76" s="88" t="str">
        <f t="shared" si="62"/>
        <v>"C:\Program Files (x86)\AstroGrep\AstroGrep.exe" /spath="%USERPROFILE%\AppData\Local\Temp\OnboardLogs" /stypes="app*4026*20161102*" /stext=" 17:.+((SYSTEM_STATE.+slice.+state.+changed )|(ment ac)|(system.+state.+changed )|(\[timeout)|(PRM\|1\|D)|(kpr)|(kdp)|(\|lc)|(penalty))" /e /r /s</v>
      </c>
      <c r="AG176" s="1" t="str">
        <f t="shared" si="63"/>
        <v>NW</v>
      </c>
      <c r="AH176" s="92" t="str">
        <f t="shared" si="52"/>
        <v>"%USERPROFILE%\Documents\GitHub\eaglep3\Utilities\RefineRTDCRunTimes.py" --tripid 818-02 --locoid 4026 --swversion DE.1.0.8.0 --startMP 300:58677 --initTime 2016-11-02T11:37:01 --startdatetime 2016-11-02T11:40:09 --delay 1 --endMP 204:677 --enddatetime 2016-11-02T11:54:40 --enforcementcount 0 &gt;&gt;C:\Users\stu\Documents\GitHub\eaglep3-reporting\EC\2016-11-02-refined-times.txt</v>
      </c>
      <c r="AI176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{"issue":{"subject":"","project_id":79,"tracker_id":40,"status_id":1,"priority_id":2,"assigned_to_id":23,"start_date":"2016-11-02","description":"","custom_fields":[{"id":1,"name":"Subdivision","value":"NW"},{"id":4,"name":"Milepost","value":"0.0677"},{"id":17,"name":"Train ID","value":"818-02"},{"id":16,"name":"Locomotive ID","value":"4026"},{"id":130,"name":"Impact","value":""},{"id":150,"name":"Time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533</v>
      </c>
      <c r="B177" s="7">
        <v>4025</v>
      </c>
      <c r="C177" s="22" t="s">
        <v>249</v>
      </c>
      <c r="D177" s="22" t="s">
        <v>318</v>
      </c>
      <c r="E177" s="13">
        <v>42676.511724537035</v>
      </c>
      <c r="F177" s="13">
        <v>42676.514768518522</v>
      </c>
      <c r="G177" s="7">
        <v>2</v>
      </c>
      <c r="H177" s="13" t="s">
        <v>738</v>
      </c>
      <c r="I177" s="13">
        <v>42676.524895833332</v>
      </c>
      <c r="J177" s="7">
        <v>0</v>
      </c>
      <c r="K177" s="112" t="str">
        <f t="shared" si="54"/>
        <v>4025/4026</v>
      </c>
      <c r="L177" s="22" t="str">
        <f>VLOOKUP(A177,'Trips&amp;Operators'!$C$1:$E$10000,3,FALSE)</f>
        <v>DAVIDSON</v>
      </c>
      <c r="M177" s="6">
        <f t="shared" si="55"/>
        <v>1.0127314810233656E-2</v>
      </c>
      <c r="N177" s="7">
        <f t="shared" si="65"/>
        <v>14.583333326736465</v>
      </c>
      <c r="O177" s="7"/>
      <c r="P177" s="7"/>
      <c r="Q177" s="23"/>
      <c r="R177" s="23"/>
      <c r="S177" s="35">
        <f t="shared" si="66"/>
        <v>1</v>
      </c>
      <c r="T177" s="50" t="str">
        <f t="shared" si="5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11:16:53-0600',mode:absolute,to:'2016-11-02 13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7" s="52" t="str">
        <f t="shared" si="58"/>
        <v>N</v>
      </c>
      <c r="X177" s="177">
        <f t="shared" si="64"/>
        <v>1</v>
      </c>
      <c r="Y177" s="67">
        <f t="shared" si="50"/>
        <v>9.7100000000000006E-2</v>
      </c>
      <c r="Z177" s="67">
        <f t="shared" si="51"/>
        <v>5.8987999999999996</v>
      </c>
      <c r="AA177" s="67">
        <f t="shared" si="59"/>
        <v>5.8016999999999994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60"/>
        <v>0819-02</v>
      </c>
      <c r="AE177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77" s="88" t="str">
        <f t="shared" si="62"/>
        <v>"C:\Program Files (x86)\AstroGrep\AstroGrep.exe" /spath="%USERPROFILE%\AppData\Local\Temp\OnboardLogs" /stypes="app*4025*20161102*" /stext=" 18:.+((SYSTEM_STATE.+slice.+state.+changed )|(ment ac)|(system.+state.+changed )|(\[timeout)|(PRM\|1\|D)|(kpr)|(kdp)|(\|lc)|(penalty))" /e /r /s</v>
      </c>
      <c r="AG177" s="1" t="str">
        <f t="shared" si="63"/>
        <v>NW</v>
      </c>
      <c r="AH177" s="92" t="str">
        <f t="shared" si="52"/>
        <v>"%USERPROFILE%\Documents\GitHub\eaglep3\Utilities\RefineRTDCRunTimes.py" --tripid 819-02 --locoid 4025 --swversion DE.1.0.8.0 --startMP 204:971 --initTime 2016-11-02T12:16:53 --startdatetime 2016-11-02T12:21:16 --delay 2 --endMP 300:58988 --enddatetime 2016-11-02T12:35:51 --enforcementcount 0 &gt;&gt;C:\Users\stu\Documents\GitHub\eaglep3-reporting\EC\2016-11-02-refined-times.txt</v>
      </c>
      <c r="AI177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{"issue":{"subject":"","project_id":79,"tracker_id":40,"status_id":1,"priority_id":2,"assigned_to_id":23,"start_date":"2016-11-02","description":"","custom_fields":[{"id":1,"name":"Subdivision","value":"NW"},{"id":4,"name":"Milepost","value":"5.8988"},{"id":17,"name":"Train ID","value":"819-02"},{"id":16,"name":"Locomotive ID","value":"4025"},{"id":130,"name":"Impact","value":""},{"id":150,"name":"Time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536</v>
      </c>
      <c r="B178" s="7">
        <v>4026</v>
      </c>
      <c r="C178" s="22" t="s">
        <v>249</v>
      </c>
      <c r="D178" s="22" t="s">
        <v>724</v>
      </c>
      <c r="E178" s="13">
        <v>42676.52621527778</v>
      </c>
      <c r="F178" s="13">
        <v>42676.527662037035</v>
      </c>
      <c r="G178" s="7">
        <v>1</v>
      </c>
      <c r="H178" s="13" t="s">
        <v>380</v>
      </c>
      <c r="I178" s="13">
        <v>42676.537905092591</v>
      </c>
      <c r="J178" s="7">
        <v>0</v>
      </c>
      <c r="K178" s="112" t="str">
        <f t="shared" si="54"/>
        <v>4025/4026</v>
      </c>
      <c r="L178" s="22" t="str">
        <f>VLOOKUP(A178,'Trips&amp;Operators'!$C$1:$E$10000,3,FALSE)</f>
        <v>DAVIDSON</v>
      </c>
      <c r="M178" s="6">
        <f t="shared" si="55"/>
        <v>1.0243055556202307E-2</v>
      </c>
      <c r="N178" s="7">
        <f t="shared" si="65"/>
        <v>14.750000000931323</v>
      </c>
      <c r="O178" s="7"/>
      <c r="P178" s="7"/>
      <c r="Q178" s="23"/>
      <c r="R178" s="23"/>
      <c r="S178" s="35">
        <f t="shared" si="66"/>
        <v>1</v>
      </c>
      <c r="T178" s="50" t="str">
        <f t="shared" si="5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11:37:45-0600',mode:absolute,to:'2016-11-02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8" s="52" t="str">
        <f t="shared" si="58"/>
        <v>N</v>
      </c>
      <c r="X178" s="177">
        <f t="shared" si="64"/>
        <v>1</v>
      </c>
      <c r="Y178" s="67">
        <f t="shared" si="50"/>
        <v>5.8672000000000004</v>
      </c>
      <c r="Z178" s="67">
        <f t="shared" si="51"/>
        <v>7.0599999999999996E-2</v>
      </c>
      <c r="AA178" s="67">
        <f t="shared" si="59"/>
        <v>5.7966000000000006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60"/>
        <v>0820-02</v>
      </c>
      <c r="AE178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78" s="88" t="str">
        <f t="shared" si="62"/>
        <v>"C:\Program Files (x86)\AstroGrep\AstroGrep.exe" /spath="%USERPROFILE%\AppData\Local\Temp\OnboardLogs" /stypes="app*4026*20161102*" /stext=" 18:.+((SYSTEM_STATE.+slice.+state.+changed )|(ment ac)|(system.+state.+changed )|(\[timeout)|(PRM\|1\|D)|(kpr)|(kdp)|(\|lc)|(penalty))" /e /r /s</v>
      </c>
      <c r="AG178" s="1" t="str">
        <f t="shared" si="63"/>
        <v>NW</v>
      </c>
      <c r="AH178" s="92" t="str">
        <f t="shared" si="52"/>
        <v>"%USERPROFILE%\Documents\GitHub\eaglep3\Utilities\RefineRTDCRunTimes.py" --tripid 820-02 --locoid 4026 --swversion DE.1.0.8.0 --startMP 300:58672 --initTime 2016-11-02T12:37:45 --startdatetime 2016-11-02T12:39:50 --delay 1 --endMP 204:706 --enddatetime 2016-11-02T12:54:35 --enforcementcount 0 &gt;&gt;C:\Users\stu\Documents\GitHub\eaglep3-reporting\EC\2016-11-02-refined-times.txt</v>
      </c>
      <c r="AI178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{"issue":{"subject":"","project_id":79,"tracker_id":40,"status_id":1,"priority_id":2,"assigned_to_id":23,"start_date":"2016-11-02","description":"","custom_fields":[{"id":1,"name":"Subdivision","value":"NW"},{"id":4,"name":"Milepost","value":"0.0706"},{"id":17,"name":"Train ID","value":"820-02"},{"id":16,"name":"Locomotive ID","value":"4026"},{"id":130,"name":"Impact","value":""},{"id":150,"name":"Time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415</v>
      </c>
      <c r="B179" s="7">
        <v>4025</v>
      </c>
      <c r="C179" s="22" t="s">
        <v>249</v>
      </c>
      <c r="D179" s="22" t="s">
        <v>379</v>
      </c>
      <c r="E179" s="13">
        <v>42676.549930555557</v>
      </c>
      <c r="F179" s="13">
        <v>42676.556770833333</v>
      </c>
      <c r="G179" s="7">
        <v>3</v>
      </c>
      <c r="H179" s="13" t="s">
        <v>739</v>
      </c>
      <c r="I179" s="13">
        <v>42676.566770833335</v>
      </c>
      <c r="J179" s="7">
        <v>0</v>
      </c>
      <c r="K179" s="112" t="str">
        <f t="shared" si="54"/>
        <v>4025/4026</v>
      </c>
      <c r="L179" s="22" t="str">
        <f>VLOOKUP(A179,'Trips&amp;Operators'!$C$1:$E$10000,3,FALSE)</f>
        <v>LOPES</v>
      </c>
      <c r="M179" s="6">
        <f t="shared" si="55"/>
        <v>1.0000000002037268E-2</v>
      </c>
      <c r="N179" s="7">
        <f t="shared" si="65"/>
        <v>14.400000002933666</v>
      </c>
      <c r="O179" s="7"/>
      <c r="P179" s="7"/>
      <c r="Q179" s="23"/>
      <c r="R179" s="23"/>
      <c r="S179" s="35">
        <f t="shared" si="66"/>
        <v>1</v>
      </c>
      <c r="T179" s="50" t="str">
        <f t="shared" si="5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12:11:54-0600',mode:absolute,to:'2016-11-02 14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9" s="52" t="str">
        <f t="shared" si="58"/>
        <v>N</v>
      </c>
      <c r="X179" s="177">
        <f t="shared" si="64"/>
        <v>1</v>
      </c>
      <c r="Y179" s="67">
        <f t="shared" si="50"/>
        <v>9.8500000000000004E-2</v>
      </c>
      <c r="Z179" s="67">
        <f t="shared" si="51"/>
        <v>5.8960999999999997</v>
      </c>
      <c r="AA179" s="67">
        <f t="shared" si="59"/>
        <v>5.7976000000000001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60"/>
        <v>0821-02</v>
      </c>
      <c r="AE179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79" s="88" t="str">
        <f t="shared" si="62"/>
        <v>"C:\Program Files (x86)\AstroGrep\AstroGrep.exe" /spath="%USERPROFILE%\AppData\Local\Temp\OnboardLogs" /stypes="app*4025*20161102*" /stext=" 19:.+((SYSTEM_STATE.+slice.+state.+changed )|(ment ac)|(system.+state.+changed )|(\[timeout)|(PRM\|1\|D)|(kpr)|(kdp)|(\|lc)|(penalty))" /e /r /s</v>
      </c>
      <c r="AG179" s="1" t="str">
        <f t="shared" si="63"/>
        <v>NW</v>
      </c>
      <c r="AH179" s="92" t="str">
        <f t="shared" si="52"/>
        <v>"%USERPROFILE%\Documents\GitHub\eaglep3\Utilities\RefineRTDCRunTimes.py" --tripid 821-02 --locoid 4025 --swversion DE.1.0.8.0 --startMP 204:985 --initTime 2016-11-02T13:11:54 --startdatetime 2016-11-02T13:21:45 --delay 3 --endMP 300:58961 --enddatetime 2016-11-02T13:36:09 --enforcementcount 0 &gt;&gt;C:\Users\stu\Documents\GitHub\eaglep3-reporting\EC\2016-11-02-refined-times.txt</v>
      </c>
      <c r="AI179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{"issue":{"subject":"","project_id":79,"tracker_id":40,"status_id":1,"priority_id":2,"assigned_to_id":23,"start_date":"2016-11-02","description":"","custom_fields":[{"id":1,"name":"Subdivision","value":"NW"},{"id":4,"name":"Milepost","value":"5.8961"},{"id":17,"name":"Train ID","value":"821-02"},{"id":16,"name":"Locomotive ID","value":"4025"},{"id":130,"name":"Impact","value":""},{"id":150,"name":"Time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543</v>
      </c>
      <c r="B180" s="7">
        <v>4026</v>
      </c>
      <c r="C180" s="22" t="s">
        <v>249</v>
      </c>
      <c r="D180" s="22" t="s">
        <v>740</v>
      </c>
      <c r="E180" s="13">
        <v>42676.568310185183</v>
      </c>
      <c r="F180" s="13">
        <v>42676.570335648146</v>
      </c>
      <c r="G180" s="7">
        <v>1</v>
      </c>
      <c r="H180" s="13" t="s">
        <v>725</v>
      </c>
      <c r="I180" s="13">
        <v>42676.581307870372</v>
      </c>
      <c r="J180" s="7">
        <v>0</v>
      </c>
      <c r="K180" s="112" t="str">
        <f t="shared" si="54"/>
        <v>4025/4026</v>
      </c>
      <c r="L180" s="22" t="str">
        <f>VLOOKUP(A180,'Trips&amp;Operators'!$C$1:$E$10000,3,FALSE)</f>
        <v>LOPES</v>
      </c>
      <c r="M180" s="6">
        <f t="shared" si="55"/>
        <v>1.0972222225973383E-2</v>
      </c>
      <c r="N180" s="7">
        <f t="shared" si="65"/>
        <v>15.800000005401671</v>
      </c>
      <c r="O180" s="7"/>
      <c r="P180" s="7"/>
      <c r="Q180" s="23"/>
      <c r="R180" s="23"/>
      <c r="S180" s="35">
        <f t="shared" si="66"/>
        <v>1</v>
      </c>
      <c r="T180" s="50" t="str">
        <f t="shared" si="5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12:38:22-0600',mode:absolute,to:'2016-11-02 14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0" s="52" t="str">
        <f t="shared" si="58"/>
        <v>N</v>
      </c>
      <c r="X180" s="177">
        <f t="shared" si="64"/>
        <v>1</v>
      </c>
      <c r="Y180" s="67">
        <f t="shared" si="50"/>
        <v>5.8648999999999996</v>
      </c>
      <c r="Z180" s="67">
        <f t="shared" si="51"/>
        <v>6.8900000000000003E-2</v>
      </c>
      <c r="AA180" s="67">
        <f t="shared" si="59"/>
        <v>5.7959999999999994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60"/>
        <v>0822-02</v>
      </c>
      <c r="AE180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80" s="88" t="str">
        <f t="shared" si="62"/>
        <v>"C:\Program Files (x86)\AstroGrep\AstroGrep.exe" /spath="%USERPROFILE%\AppData\Local\Temp\OnboardLogs" /stypes="app*4026*20161102*" /stext=" 19:.+((SYSTEM_STATE.+slice.+state.+changed )|(ment ac)|(system.+state.+changed )|(\[timeout)|(PRM\|1\|D)|(kpr)|(kdp)|(\|lc)|(penalty))" /e /r /s</v>
      </c>
      <c r="AG180" s="1" t="str">
        <f t="shared" si="63"/>
        <v>NW</v>
      </c>
      <c r="AH180" s="92" t="str">
        <f t="shared" si="52"/>
        <v>"%USERPROFILE%\Documents\GitHub\eaglep3\Utilities\RefineRTDCRunTimes.py" --tripid 822-02 --locoid 4026 --swversion DE.1.0.8.0 --startMP 300:58649 --initTime 2016-11-02T13:38:22 --startdatetime 2016-11-02T13:41:17 --delay 1 --endMP 204:689 --enddatetime 2016-11-02T13:57:05 --enforcementcount 0 &gt;&gt;C:\Users\stu\Documents\GitHub\eaglep3-reporting\EC\2016-11-02-refined-times.txt</v>
      </c>
      <c r="AI180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{"issue":{"subject":"","project_id":79,"tracker_id":40,"status_id":1,"priority_id":2,"assigned_to_id":23,"start_date":"2016-11-02","description":"","custom_fields":[{"id":1,"name":"Subdivision","value":"NW"},{"id":4,"name":"Milepost","value":"0.0689"},{"id":17,"name":"Train ID","value":"822-02"},{"id":16,"name":"Locomotive ID","value":"4026"},{"id":130,"name":"Impact","value":""},{"id":150,"name":"Time of Event (Mountain Time)","value":"13:57:05"},{"id":151,"name":"Denver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548</v>
      </c>
      <c r="B181" s="7">
        <v>4025</v>
      </c>
      <c r="C181" s="22" t="s">
        <v>249</v>
      </c>
      <c r="D181" s="22" t="s">
        <v>741</v>
      </c>
      <c r="E181" s="13">
        <v>42676.592592592591</v>
      </c>
      <c r="F181" s="13">
        <v>42676.598101851851</v>
      </c>
      <c r="G181" s="7">
        <v>1</v>
      </c>
      <c r="H181" s="13" t="s">
        <v>390</v>
      </c>
      <c r="I181" s="13">
        <v>42676.608460648145</v>
      </c>
      <c r="J181" s="7">
        <v>0</v>
      </c>
      <c r="K181" s="112" t="str">
        <f t="shared" si="54"/>
        <v>4025/4026</v>
      </c>
      <c r="L181" s="22" t="str">
        <f>VLOOKUP(A181,'Trips&amp;Operators'!$C$1:$E$10000,3,FALSE)</f>
        <v>LOPES</v>
      </c>
      <c r="M181" s="6">
        <f t="shared" si="55"/>
        <v>1.0358796294895001E-2</v>
      </c>
      <c r="N181" s="7">
        <f t="shared" si="65"/>
        <v>14.916666664648801</v>
      </c>
      <c r="O181" s="7"/>
      <c r="P181" s="7"/>
      <c r="Q181" s="23"/>
      <c r="R181" s="23"/>
      <c r="S181" s="35">
        <f t="shared" si="66"/>
        <v>1</v>
      </c>
      <c r="T181" s="50" t="str">
        <f t="shared" si="5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13:13:20-0600',mode:absolute,to:'2016-11-02 15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1" s="52" t="str">
        <f t="shared" si="58"/>
        <v>N</v>
      </c>
      <c r="X181" s="177">
        <f t="shared" si="64"/>
        <v>1</v>
      </c>
      <c r="Y181" s="67">
        <f t="shared" si="50"/>
        <v>9.9199999999999997E-2</v>
      </c>
      <c r="Z181" s="67">
        <f t="shared" si="51"/>
        <v>5.8949999999999996</v>
      </c>
      <c r="AA181" s="67">
        <f t="shared" si="59"/>
        <v>5.7957999999999998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60"/>
        <v>0823-02</v>
      </c>
      <c r="AE181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81" s="88" t="str">
        <f t="shared" si="62"/>
        <v>"C:\Program Files (x86)\AstroGrep\AstroGrep.exe" /spath="%USERPROFILE%\AppData\Local\Temp\OnboardLogs" /stypes="app*4025*20161102*" /stext=" 20:.+((SYSTEM_STATE.+slice.+state.+changed )|(ment ac)|(system.+state.+changed )|(\[timeout)|(PRM\|1\|D)|(kpr)|(kdp)|(\|lc)|(penalty))" /e /r /s</v>
      </c>
      <c r="AG181" s="1" t="str">
        <f t="shared" si="63"/>
        <v>NW</v>
      </c>
      <c r="AH181" s="92" t="str">
        <f t="shared" si="52"/>
        <v>"%USERPROFILE%\Documents\GitHub\eaglep3\Utilities\RefineRTDCRunTimes.py" --tripid 823-02 --locoid 4025 --swversion DE.1.0.8.0 --startMP 204:992 --initTime 2016-11-02T14:13:20 --startdatetime 2016-11-02T14:21:16 --delay 1 --endMP 300:58950 --enddatetime 2016-11-02T14:36:11 --enforcementcount 0 &gt;&gt;C:\Users\stu\Documents\GitHub\eaglep3-reporting\EC\2016-11-02-refined-times.txt</v>
      </c>
      <c r="AI181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{"issue":{"subject":"","project_id":79,"tracker_id":40,"status_id":1,"priority_id":2,"assigned_to_id":23,"start_date":"2016-11-02","description":"","custom_fields":[{"id":1,"name":"Subdivision","value":"NW"},{"id":4,"name":"Milepost","value":"5.895"},{"id":17,"name":"Train ID","value":"823-02"},{"id":16,"name":"Locomotive ID","value":"4025"},{"id":130,"name":"Impact","value":""},{"id":150,"name":"Time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555</v>
      </c>
      <c r="B182" s="7">
        <v>4026</v>
      </c>
      <c r="C182" s="22" t="s">
        <v>249</v>
      </c>
      <c r="D182" s="22" t="s">
        <v>742</v>
      </c>
      <c r="E182" s="13">
        <v>42676.609525462962</v>
      </c>
      <c r="F182" s="13">
        <v>42676.611307870371</v>
      </c>
      <c r="G182" s="7">
        <v>1</v>
      </c>
      <c r="H182" s="13" t="s">
        <v>394</v>
      </c>
      <c r="I182" s="13">
        <v>42676.622187499997</v>
      </c>
      <c r="J182" s="7">
        <v>0</v>
      </c>
      <c r="K182" s="112" t="str">
        <f t="shared" si="54"/>
        <v>4025/4026</v>
      </c>
      <c r="L182" s="22" t="str">
        <f>VLOOKUP(A182,'Trips&amp;Operators'!$C$1:$E$10000,3,FALSE)</f>
        <v>LOPES</v>
      </c>
      <c r="M182" s="6">
        <f t="shared" si="55"/>
        <v>1.0879629626288079E-2</v>
      </c>
      <c r="N182" s="7">
        <f t="shared" si="65"/>
        <v>15.666666661854833</v>
      </c>
      <c r="O182" s="7"/>
      <c r="P182" s="7"/>
      <c r="Q182" s="23"/>
      <c r="R182" s="23"/>
      <c r="S182" s="35">
        <f t="shared" si="66"/>
        <v>1</v>
      </c>
      <c r="T182" s="50" t="str">
        <f t="shared" si="5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13:37:43-0600',mode:absolute,to:'2016-11-02 15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2" s="52" t="str">
        <f t="shared" si="58"/>
        <v>N</v>
      </c>
      <c r="X182" s="177">
        <f t="shared" si="64"/>
        <v>1</v>
      </c>
      <c r="Y182" s="67">
        <f t="shared" si="50"/>
        <v>5.8635999999999999</v>
      </c>
      <c r="Z182" s="67">
        <f t="shared" si="51"/>
        <v>7.17E-2</v>
      </c>
      <c r="AA182" s="67">
        <f t="shared" si="59"/>
        <v>5.7919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60"/>
        <v>0824-02</v>
      </c>
      <c r="AE182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82" s="88" t="str">
        <f t="shared" si="62"/>
        <v>"C:\Program Files (x86)\AstroGrep\AstroGrep.exe" /spath="%USERPROFILE%\AppData\Local\Temp\OnboardLogs" /stypes="app*4026*20161102*" /stext=" 20:.+((SYSTEM_STATE.+slice.+state.+changed )|(ment ac)|(system.+state.+changed )|(\[timeout)|(PRM\|1\|D)|(kpr)|(kdp)|(\|lc)|(penalty))" /e /r /s</v>
      </c>
      <c r="AG182" s="1" t="str">
        <f t="shared" si="63"/>
        <v>NW</v>
      </c>
      <c r="AH182" s="92" t="str">
        <f t="shared" si="52"/>
        <v>"%USERPROFILE%\Documents\GitHub\eaglep3\Utilities\RefineRTDCRunTimes.py" --tripid 824-02 --locoid 4026 --swversion DE.1.0.8.0 --startMP 300:58636 --initTime 2016-11-02T14:37:43 --startdatetime 2016-11-02T14:40:17 --delay 1 --endMP 204:717 --enddatetime 2016-11-02T14:55:57 --enforcementcount 0 &gt;&gt;C:\Users\stu\Documents\GitHub\eaglep3-reporting\EC\2016-11-02-refined-times.txt</v>
      </c>
      <c r="AI182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{"issue":{"subject":"","project_id":79,"tracker_id":40,"status_id":1,"priority_id":2,"assigned_to_id":23,"start_date":"2016-11-02","description":"","custom_fields":[{"id":1,"name":"Subdivision","value":"NW"},{"id":4,"name":"Milepost","value":"0.0717"},{"id":17,"name":"Train ID","value":"824-02"},{"id":16,"name":"Locomotive ID","value":"4026"},{"id":130,"name":"Impact","value":""},{"id":150,"name":"Time of Event (Mountain Time)","value":"14:55:57"},{"id":151,"name":"Denver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558</v>
      </c>
      <c r="B183" s="7">
        <v>4025</v>
      </c>
      <c r="C183" s="22" t="s">
        <v>249</v>
      </c>
      <c r="D183" s="22" t="s">
        <v>374</v>
      </c>
      <c r="E183" s="13">
        <v>42676.624479166669</v>
      </c>
      <c r="F183" s="13">
        <v>42676.639780092592</v>
      </c>
      <c r="G183" s="7">
        <v>1</v>
      </c>
      <c r="H183" s="13" t="s">
        <v>743</v>
      </c>
      <c r="I183" s="13">
        <v>42676.650451388887</v>
      </c>
      <c r="J183" s="7">
        <v>0</v>
      </c>
      <c r="K183" s="112" t="str">
        <f t="shared" si="54"/>
        <v>4025/4026</v>
      </c>
      <c r="L183" s="22" t="str">
        <f>VLOOKUP(A183,'Trips&amp;Operators'!$C$1:$E$10000,3,FALSE)</f>
        <v>LOPES</v>
      </c>
      <c r="M183" s="6">
        <f t="shared" si="55"/>
        <v>1.0671296295186039E-2</v>
      </c>
      <c r="N183" s="7">
        <f t="shared" si="65"/>
        <v>15.366666665067896</v>
      </c>
      <c r="O183" s="7"/>
      <c r="P183" s="7"/>
      <c r="Q183" s="23"/>
      <c r="R183" s="23"/>
      <c r="S183" s="35">
        <f t="shared" si="66"/>
        <v>1</v>
      </c>
      <c r="T183" s="50" t="str">
        <f t="shared" si="56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13:59:15-0600',mode:absolute,to:'2016-11-02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3" s="52" t="str">
        <f t="shared" si="58"/>
        <v>N</v>
      </c>
      <c r="X183" s="177">
        <f t="shared" si="64"/>
        <v>1</v>
      </c>
      <c r="Y183" s="67">
        <f t="shared" si="50"/>
        <v>0.1002</v>
      </c>
      <c r="Z183" s="67">
        <f t="shared" si="51"/>
        <v>5.8917999999999999</v>
      </c>
      <c r="AA183" s="67">
        <f t="shared" si="59"/>
        <v>5.7915999999999999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60"/>
        <v>0825-02</v>
      </c>
      <c r="AE183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83" s="88" t="str">
        <f t="shared" si="62"/>
        <v>"C:\Program Files (x86)\AstroGrep\AstroGrep.exe" /spath="%USERPROFILE%\AppData\Local\Temp\OnboardLogs" /stypes="app*4025*20161102*" /stext=" 21:.+((SYSTEM_STATE.+slice.+state.+changed )|(ment ac)|(system.+state.+changed )|(\[timeout)|(PRM\|1\|D)|(kpr)|(kdp)|(\|lc)|(penalty))" /e /r /s</v>
      </c>
      <c r="AG183" s="1" t="str">
        <f t="shared" si="63"/>
        <v>NW</v>
      </c>
      <c r="AH183" s="92" t="str">
        <f t="shared" si="52"/>
        <v>"%USERPROFILE%\Documents\GitHub\eaglep3\Utilities\RefineRTDCRunTimes.py" --tripid 825-02 --locoid 4025 --swversion DE.1.0.8.0 --startMP 204:1002 --initTime 2016-11-02T14:59:15 --startdatetime 2016-11-02T15:21:17 --delay 1 --endMP 300:58918 --enddatetime 2016-11-02T15:36:39 --enforcementcount 0 &gt;&gt;C:\Users\stu\Documents\GitHub\eaglep3-reporting\EC\2016-11-02-refined-times.txt</v>
      </c>
      <c r="AI183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{"issue":{"subject":"","project_id":79,"tracker_id":40,"status_id":1,"priority_id":2,"assigned_to_id":23,"start_date":"2016-11-02","description":"","custom_fields":[{"id":1,"name":"Subdivision","value":"NW"},{"id":4,"name":"Milepost","value":"5.8918"},{"id":17,"name":"Train ID","value":"825-02"},{"id":16,"name":"Locomotive ID","value":"4025"},{"id":130,"name":"Impact","value":""},{"id":150,"name":"Time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566</v>
      </c>
      <c r="B184" s="7">
        <v>4026</v>
      </c>
      <c r="C184" s="22" t="s">
        <v>249</v>
      </c>
      <c r="D184" s="22" t="s">
        <v>389</v>
      </c>
      <c r="E184" s="13">
        <v>42676.653749999998</v>
      </c>
      <c r="F184" s="13">
        <v>42676.65520833333</v>
      </c>
      <c r="G184" s="7">
        <v>1</v>
      </c>
      <c r="H184" s="13" t="s">
        <v>726</v>
      </c>
      <c r="I184" s="13">
        <v>42676.66511574074</v>
      </c>
      <c r="J184" s="7">
        <v>0</v>
      </c>
      <c r="K184" s="112" t="str">
        <f t="shared" si="54"/>
        <v>4025/4026</v>
      </c>
      <c r="L184" s="22" t="str">
        <f>VLOOKUP(A184,'Trips&amp;Operators'!$C$1:$E$10000,3,FALSE)</f>
        <v>LOPES</v>
      </c>
      <c r="M184" s="6">
        <f t="shared" si="55"/>
        <v>9.9074074096279219E-3</v>
      </c>
      <c r="N184" s="7">
        <f t="shared" si="65"/>
        <v>14.266666669864208</v>
      </c>
      <c r="O184" s="7"/>
      <c r="P184" s="7"/>
      <c r="Q184" s="23"/>
      <c r="R184" s="23"/>
      <c r="S184" s="35">
        <f t="shared" si="66"/>
        <v>1</v>
      </c>
      <c r="T184" s="50" t="str">
        <f t="shared" si="56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14:41:24-0600',mode:absolute,to:'2016-11-02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4" s="52" t="str">
        <f t="shared" si="58"/>
        <v>N</v>
      </c>
      <c r="X184" s="177">
        <f t="shared" si="64"/>
        <v>1</v>
      </c>
      <c r="Y184" s="67">
        <f t="shared" si="50"/>
        <v>5.8611000000000004</v>
      </c>
      <c r="Z184" s="67">
        <f t="shared" si="51"/>
        <v>7.2400000000000006E-2</v>
      </c>
      <c r="AA184" s="67">
        <f t="shared" si="59"/>
        <v>5.7887000000000004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60"/>
        <v>0826-02</v>
      </c>
      <c r="AE184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84" s="88" t="str">
        <f t="shared" si="62"/>
        <v>"C:\Program Files (x86)\AstroGrep\AstroGrep.exe" /spath="%USERPROFILE%\AppData\Local\Temp\OnboardLogs" /stypes="app*4026*20161102*" /stext=" 21:.+((SYSTEM_STATE.+slice.+state.+changed )|(ment ac)|(system.+state.+changed )|(\[timeout)|(PRM\|1\|D)|(kpr)|(kdp)|(\|lc)|(penalty))" /e /r /s</v>
      </c>
      <c r="AG184" s="1" t="str">
        <f t="shared" si="63"/>
        <v>NW</v>
      </c>
      <c r="AH184" s="92" t="str">
        <f t="shared" si="52"/>
        <v>"%USERPROFILE%\Documents\GitHub\eaglep3\Utilities\RefineRTDCRunTimes.py" --tripid 826-02 --locoid 4026 --swversion DE.1.0.8.0 --startMP 300:58611 --initTime 2016-11-02T15:41:24 --startdatetime 2016-11-02T15:43:30 --delay 1 --endMP 204:724 --enddatetime 2016-11-02T15:57:46 --enforcementcount 0 &gt;&gt;C:\Users\stu\Documents\GitHub\eaglep3-reporting\EC\2016-11-02-refined-times.txt</v>
      </c>
      <c r="AI184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{"issue":{"subject":"","project_id":79,"tracker_id":40,"status_id":1,"priority_id":2,"assigned_to_id":23,"start_date":"2016-11-02","description":"","custom_fields":[{"id":1,"name":"Subdivision","value":"NW"},{"id":4,"name":"Milepost","value":"0.0724"},{"id":17,"name":"Train ID","value":"826-02"},{"id":16,"name":"Locomotive ID","value":"4026"},{"id":130,"name":"Impact","value":""},{"id":150,"name":"Time of Event (Mountain Time)","value":"15:57:46"},{"id":151,"name":"Denver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567</v>
      </c>
      <c r="B185" s="7">
        <v>4031</v>
      </c>
      <c r="C185" s="22" t="s">
        <v>249</v>
      </c>
      <c r="D185" s="22" t="s">
        <v>320</v>
      </c>
      <c r="E185" s="13">
        <v>42676.6559837963</v>
      </c>
      <c r="F185" s="13">
        <v>42676.660613425927</v>
      </c>
      <c r="G185" s="7">
        <v>1</v>
      </c>
      <c r="H185" s="13" t="s">
        <v>319</v>
      </c>
      <c r="I185" s="13">
        <v>42676.672743055555</v>
      </c>
      <c r="J185" s="7">
        <v>0</v>
      </c>
      <c r="K185" s="112" t="str">
        <f t="shared" si="54"/>
        <v>4031/4032</v>
      </c>
      <c r="L185" s="22" t="str">
        <f>VLOOKUP(A185,'Trips&amp;Operators'!$C$1:$E$10000,3,FALSE)</f>
        <v>JOHNSON</v>
      </c>
      <c r="M185" s="6">
        <f t="shared" si="55"/>
        <v>1.2129629627452232E-2</v>
      </c>
      <c r="N185" s="7">
        <f t="shared" si="65"/>
        <v>17.466666663531214</v>
      </c>
      <c r="O185" s="7"/>
      <c r="P185" s="7"/>
      <c r="Q185" s="23"/>
      <c r="R185" s="23" t="s">
        <v>798</v>
      </c>
      <c r="S185" s="35">
        <f t="shared" si="66"/>
        <v>1</v>
      </c>
      <c r="T185" s="50" t="str">
        <f t="shared" si="56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14:44:37-0600',mode:absolute,to:'2016-11-02 17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5" s="52" t="str">
        <f t="shared" si="58"/>
        <v>N</v>
      </c>
      <c r="X185" s="177">
        <f t="shared" si="64"/>
        <v>1</v>
      </c>
      <c r="Y185" s="67">
        <f t="shared" si="50"/>
        <v>9.69E-2</v>
      </c>
      <c r="Z185" s="67">
        <f t="shared" si="51"/>
        <v>5.8954000000000004</v>
      </c>
      <c r="AA185" s="67">
        <f t="shared" si="59"/>
        <v>5.7985000000000007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60"/>
        <v>0827-02</v>
      </c>
      <c r="AE185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85" s="88" t="str">
        <f t="shared" si="62"/>
        <v>"C:\Program Files (x86)\AstroGrep\AstroGrep.exe" /spath="%USERPROFILE%\AppData\Local\Temp\OnboardLogs" /stypes="app*4031*20161102*" /stext=" 22:.+((SYSTEM_STATE.+slice.+state.+changed )|(ment ac)|(system.+state.+changed )|(\[timeout)|(PRM\|1\|D)|(kpr)|(kdp)|(\|lc)|(penalty))" /e /r /s</v>
      </c>
      <c r="AG185" s="1" t="str">
        <f t="shared" si="63"/>
        <v>NW</v>
      </c>
      <c r="AH185" s="92" t="str">
        <f t="shared" si="52"/>
        <v>"%USERPROFILE%\Documents\GitHub\eaglep3\Utilities\RefineRTDCRunTimes.py" --tripid 827-02 --locoid 4031 --swversion DE.1.0.8.0 --startMP 204:969 --initTime 2016-11-02T15:44:37 --startdatetime 2016-11-02T15:51:17 --delay 1 --endMP 300:58954 --enddatetime 2016-11-02T16:08:45 --enforcementcount 0 &gt;&gt;C:\Users\stu\Documents\GitHub\eaglep3-reporting\EC\2016-11-02-refined-times.txt</v>
      </c>
      <c r="AI185" s="122" t="str">
        <f t="shared" si="53"/>
        <v>echo {"issue":{"subject":"Poor GPS under bridge made location go lost","project_id":79,"tracker_id":40,"status_id":1,"priority_id":2,"assigned_to_id":23,"start_date":"2016-11-02","description":"At 15:56:27, GPS HDOP got very high (2.0ish), but location source remained as GPS (instead of what we'd expect - switching to wheel tach). Eventually, got various GPS-related and nav-related faults, and ultimately went lost.","custom_fields":[{"id":1,"name":"Subdivision","value":"NW"},{"id":4,"name":"Milepost","value":"5.8954"},{"id":17,"name":"Train ID","value":"827-02"},{"id":16,"name":"Locomotive ID","value":"4031"},{"id":130,"name":"Impact","value":"Unexpected Cut-Out or Disengaged"},{"id":150,"name":"Time of Event (Mountain Time)","value":"16:08:45"},{"id":151,"name":"Denver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5" s="53" t="s">
        <v>799</v>
      </c>
      <c r="AK185" s="53" t="s">
        <v>131</v>
      </c>
      <c r="AL185" s="53" t="s">
        <v>178</v>
      </c>
    </row>
    <row r="186" spans="1:91" s="21" customFormat="1" x14ac:dyDescent="0.25">
      <c r="A186" s="37" t="s">
        <v>570</v>
      </c>
      <c r="B186" s="7">
        <v>4032</v>
      </c>
      <c r="C186" s="22" t="s">
        <v>249</v>
      </c>
      <c r="D186" s="22" t="s">
        <v>744</v>
      </c>
      <c r="E186" s="13">
        <v>42676.673692129632</v>
      </c>
      <c r="F186" s="13">
        <v>42676.67496527778</v>
      </c>
      <c r="G186" s="7">
        <v>1</v>
      </c>
      <c r="H186" s="13" t="s">
        <v>745</v>
      </c>
      <c r="I186" s="13">
        <v>42676.686203703706</v>
      </c>
      <c r="J186" s="7">
        <v>0</v>
      </c>
      <c r="K186" s="112" t="str">
        <f t="shared" si="54"/>
        <v>4031/4032</v>
      </c>
      <c r="L186" s="22" t="str">
        <f>VLOOKUP(A186,'Trips&amp;Operators'!$C$1:$E$10000,3,FALSE)</f>
        <v>JOHNSON</v>
      </c>
      <c r="M186" s="6">
        <f t="shared" si="55"/>
        <v>1.1238425926421769E-2</v>
      </c>
      <c r="N186" s="7">
        <f t="shared" si="65"/>
        <v>16.183333334047347</v>
      </c>
      <c r="O186" s="7"/>
      <c r="P186" s="7"/>
      <c r="Q186" s="23"/>
      <c r="R186" s="23"/>
      <c r="S186" s="35">
        <f t="shared" si="66"/>
        <v>1</v>
      </c>
      <c r="T186" s="50" t="str">
        <f t="shared" si="56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15:10:07-0600',mode:absolute,to:'2016-11-02 17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6" s="52" t="str">
        <f t="shared" si="58"/>
        <v>N</v>
      </c>
      <c r="X186" s="177">
        <f t="shared" si="64"/>
        <v>1</v>
      </c>
      <c r="Y186" s="67">
        <f t="shared" si="50"/>
        <v>5.8643000000000001</v>
      </c>
      <c r="Z186" s="67">
        <f t="shared" si="51"/>
        <v>6.7100000000000007E-2</v>
      </c>
      <c r="AA186" s="67">
        <f t="shared" si="59"/>
        <v>5.7972000000000001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60"/>
        <v>0828-02</v>
      </c>
      <c r="AE186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86" s="88" t="str">
        <f t="shared" si="62"/>
        <v>"C:\Program Files (x86)\AstroGrep\AstroGrep.exe" /spath="%USERPROFILE%\AppData\Local\Temp\OnboardLogs" /stypes="app*4032*20161102*" /stext=" 22:.+((SYSTEM_STATE.+slice.+state.+changed )|(ment ac)|(system.+state.+changed )|(\[timeout)|(PRM\|1\|D)|(kpr)|(kdp)|(\|lc)|(penalty))" /e /r /s</v>
      </c>
      <c r="AG186" s="1" t="str">
        <f t="shared" si="63"/>
        <v>NW</v>
      </c>
      <c r="AH186" s="92" t="str">
        <f t="shared" si="52"/>
        <v>"%USERPROFILE%\Documents\GitHub\eaglep3\Utilities\RefineRTDCRunTimes.py" --tripid 828-02 --locoid 4032 --swversion DE.1.0.8.0 --startMP 300:58643 --initTime 2016-11-02T16:10:07 --startdatetime 2016-11-02T16:11:57 --delay 1 --endMP 204:671 --enddatetime 2016-11-02T16:28:08 --enforcementcount 0 &gt;&gt;C:\Users\stu\Documents\GitHub\eaglep3-reporting\EC\2016-11-02-refined-times.txt</v>
      </c>
      <c r="AI186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{"issue":{"subject":"","project_id":79,"tracker_id":40,"status_id":1,"priority_id":2,"assigned_to_id":23,"start_date":"2016-11-02","description":"","custom_fields":[{"id":1,"name":"Subdivision","value":"NW"},{"id":4,"name":"Milepost","value":"0.0671"},{"id":17,"name":"Train ID","value":"828-02"},{"id":16,"name":"Locomotive ID","value":"4032"},{"id":130,"name":"Impact","value":""},{"id":150,"name":"Time of Event (Mountain Time)","value":"16:28:08"},{"id":151,"name":"Denver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423</v>
      </c>
      <c r="B187" s="7">
        <v>4025</v>
      </c>
      <c r="C187" s="22" t="s">
        <v>249</v>
      </c>
      <c r="D187" s="22" t="s">
        <v>746</v>
      </c>
      <c r="E187" s="13">
        <v>42676.67759259259</v>
      </c>
      <c r="F187" s="13">
        <v>42676.681435185186</v>
      </c>
      <c r="G187" s="7">
        <v>1</v>
      </c>
      <c r="H187" s="13" t="s">
        <v>747</v>
      </c>
      <c r="I187" s="13">
        <v>42676.690879629627</v>
      </c>
      <c r="J187" s="7">
        <v>0</v>
      </c>
      <c r="K187" s="112" t="str">
        <f t="shared" si="54"/>
        <v>4025/4026</v>
      </c>
      <c r="L187" s="22" t="str">
        <f>VLOOKUP(A187,'Trips&amp;Operators'!$C$1:$E$10000,3,FALSE)</f>
        <v>LOPES</v>
      </c>
      <c r="M187" s="6">
        <f t="shared" si="55"/>
        <v>9.444444440305233E-3</v>
      </c>
      <c r="N187" s="7">
        <f t="shared" si="65"/>
        <v>13.599999994039536</v>
      </c>
      <c r="O187" s="7"/>
      <c r="P187" s="7"/>
      <c r="Q187" s="23"/>
      <c r="R187" s="23"/>
      <c r="S187" s="35">
        <f t="shared" si="66"/>
        <v>1</v>
      </c>
      <c r="T187" s="50" t="str">
        <f t="shared" si="56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15:15:44-0600',mode:absolute,to:'2016-11-02 17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7" s="52" t="str">
        <f t="shared" si="58"/>
        <v>N</v>
      </c>
      <c r="X187" s="177">
        <f t="shared" si="64"/>
        <v>1</v>
      </c>
      <c r="Y187" s="67">
        <f t="shared" si="50"/>
        <v>0.1023</v>
      </c>
      <c r="Z187" s="67">
        <f t="shared" si="51"/>
        <v>5.8936999999999999</v>
      </c>
      <c r="AA187" s="67">
        <f t="shared" si="59"/>
        <v>5.7914000000000003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60"/>
        <v>0829-02</v>
      </c>
      <c r="AE187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87" s="88" t="str">
        <f t="shared" si="62"/>
        <v>"C:\Program Files (x86)\AstroGrep\AstroGrep.exe" /spath="%USERPROFILE%\AppData\Local\Temp\OnboardLogs" /stypes="app*4025*20161102*" /stext=" 22:.+((SYSTEM_STATE.+slice.+state.+changed )|(ment ac)|(system.+state.+changed )|(\[timeout)|(PRM\|1\|D)|(kpr)|(kdp)|(\|lc)|(penalty))" /e /r /s</v>
      </c>
      <c r="AG187" s="1" t="str">
        <f t="shared" si="63"/>
        <v>NW</v>
      </c>
      <c r="AH187" s="92" t="str">
        <f t="shared" si="52"/>
        <v>"%USERPROFILE%\Documents\GitHub\eaglep3\Utilities\RefineRTDCRunTimes.py" --tripid 829-02 --locoid 4025 --swversion DE.1.0.8.0 --startMP 204:1023 --initTime 2016-11-02T16:15:44 --startdatetime 2016-11-02T16:21:16 --delay 1 --endMP 300:58937 --enddatetime 2016-11-02T16:34:52 --enforcementcount 0 &gt;&gt;C:\Users\stu\Documents\GitHub\eaglep3-reporting\EC\2016-11-02-refined-times.txt</v>
      </c>
      <c r="AI187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{"issue":{"subject":"","project_id":79,"tracker_id":40,"status_id":1,"priority_id":2,"assigned_to_id":23,"start_date":"2016-11-02","description":"","custom_fields":[{"id":1,"name":"Subdivision","value":"NW"},{"id":4,"name":"Milepost","value":"5.8937"},{"id":17,"name":"Train ID","value":"829-02"},{"id":16,"name":"Locomotive ID","value":"4025"},{"id":130,"name":"Impact","value":""},{"id":150,"name":"Time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574</v>
      </c>
      <c r="B188" s="7">
        <v>4026</v>
      </c>
      <c r="C188" s="22" t="s">
        <v>249</v>
      </c>
      <c r="D188" s="22" t="s">
        <v>383</v>
      </c>
      <c r="E188" s="13">
        <v>42676.692245370374</v>
      </c>
      <c r="F188" s="13">
        <v>42676.695115740738</v>
      </c>
      <c r="G188" s="7">
        <v>2</v>
      </c>
      <c r="H188" s="13" t="s">
        <v>748</v>
      </c>
      <c r="I188" s="13">
        <v>42676.706435185188</v>
      </c>
      <c r="J188" s="7">
        <v>0</v>
      </c>
      <c r="K188" s="112" t="str">
        <f t="shared" si="54"/>
        <v>4025/4026</v>
      </c>
      <c r="L188" s="22" t="str">
        <f>VLOOKUP(A188,'Trips&amp;Operators'!$C$1:$E$10000,3,FALSE)</f>
        <v>LOPES</v>
      </c>
      <c r="M188" s="6">
        <f t="shared" si="55"/>
        <v>1.131944444932742E-2</v>
      </c>
      <c r="N188" s="7">
        <f t="shared" si="65"/>
        <v>16.300000007031485</v>
      </c>
      <c r="O188" s="7"/>
      <c r="P188" s="7"/>
      <c r="Q188" s="23"/>
      <c r="R188" s="23"/>
      <c r="S188" s="35">
        <f t="shared" si="66"/>
        <v>1</v>
      </c>
      <c r="T188" s="50" t="str">
        <f t="shared" si="5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15:36:50-0600',mode:absolute,to:'2016-11-02 17:57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8" s="52" t="str">
        <f t="shared" si="58"/>
        <v>N</v>
      </c>
      <c r="X188" s="177">
        <f t="shared" si="64"/>
        <v>1</v>
      </c>
      <c r="Y188" s="67">
        <f t="shared" si="50"/>
        <v>5.8628</v>
      </c>
      <c r="Z188" s="67">
        <f t="shared" si="51"/>
        <v>6.9900000000000004E-2</v>
      </c>
      <c r="AA188" s="67">
        <f t="shared" si="59"/>
        <v>5.7929000000000004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60"/>
        <v>0830-02</v>
      </c>
      <c r="AE188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88" s="88" t="str">
        <f t="shared" si="62"/>
        <v>"C:\Program Files (x86)\AstroGrep\AstroGrep.exe" /spath="%USERPROFILE%\AppData\Local\Temp\OnboardLogs" /stypes="app*4026*20161102*" /stext=" 22:.+((SYSTEM_STATE.+slice.+state.+changed )|(ment ac)|(system.+state.+changed )|(\[timeout)|(PRM\|1\|D)|(kpr)|(kdp)|(\|lc)|(penalty))" /e /r /s</v>
      </c>
      <c r="AG188" s="1" t="str">
        <f t="shared" si="63"/>
        <v>NW</v>
      </c>
      <c r="AH188" s="92" t="str">
        <f t="shared" si="52"/>
        <v>"%USERPROFILE%\Documents\GitHub\eaglep3\Utilities\RefineRTDCRunTimes.py" --tripid 830-02 --locoid 4026 --swversion DE.1.0.8.0 --startMP 300:58628 --initTime 2016-11-02T16:36:50 --startdatetime 2016-11-02T16:40:58 --delay 2 --endMP 204:699 --enddatetime 2016-11-02T16:57:16 --enforcementcount 0 &gt;&gt;C:\Users\stu\Documents\GitHub\eaglep3-reporting\EC\2016-11-02-refined-times.txt</v>
      </c>
      <c r="AI188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{"issue":{"subject":"","project_id":79,"tracker_id":40,"status_id":1,"priority_id":2,"assigned_to_id":23,"start_date":"2016-11-02","description":"","custom_fields":[{"id":1,"name":"Subdivision","value":"NW"},{"id":4,"name":"Milepost","value":"0.0699"},{"id":17,"name":"Train ID","value":"830-02"},{"id":16,"name":"Locomotive ID","value":"4026"},{"id":130,"name":"Impact","value":""},{"id":150,"name":"Time of Event (Mountain Time)","value":"16:57:16"},{"id":151,"name":"Denver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575</v>
      </c>
      <c r="B189" s="7">
        <v>4031</v>
      </c>
      <c r="C189" s="22" t="s">
        <v>249</v>
      </c>
      <c r="D189" s="22" t="s">
        <v>749</v>
      </c>
      <c r="E189" s="13">
        <v>42676.697013888886</v>
      </c>
      <c r="F189" s="13">
        <v>42676.702638888892</v>
      </c>
      <c r="G189" s="7">
        <v>1</v>
      </c>
      <c r="H189" s="13" t="s">
        <v>750</v>
      </c>
      <c r="I189" s="13">
        <v>42676.71297453704</v>
      </c>
      <c r="J189" s="7">
        <v>0</v>
      </c>
      <c r="K189" s="112" t="str">
        <f t="shared" si="54"/>
        <v>4031/4032</v>
      </c>
      <c r="L189" s="22" t="str">
        <f>VLOOKUP(A189,'Trips&amp;Operators'!$C$1:$E$10000,3,FALSE)</f>
        <v>JOHNSON</v>
      </c>
      <c r="M189" s="6">
        <f t="shared" si="55"/>
        <v>1.0335648148611654E-2</v>
      </c>
      <c r="N189" s="7">
        <f t="shared" si="65"/>
        <v>14.883333334000781</v>
      </c>
      <c r="O189" s="7"/>
      <c r="P189" s="7"/>
      <c r="Q189" s="23"/>
      <c r="R189" s="23"/>
      <c r="S189" s="35">
        <f t="shared" si="66"/>
        <v>1</v>
      </c>
      <c r="T189" s="50" t="str">
        <f t="shared" si="5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15:43:42-0600',mode:absolute,to:'2016-11-02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9" s="52" t="str">
        <f t="shared" si="58"/>
        <v>N</v>
      </c>
      <c r="X189" s="177">
        <f t="shared" si="64"/>
        <v>1</v>
      </c>
      <c r="Y189" s="67">
        <f t="shared" si="50"/>
        <v>9.64E-2</v>
      </c>
      <c r="Z189" s="67">
        <f t="shared" si="51"/>
        <v>5.8959999999999999</v>
      </c>
      <c r="AA189" s="67">
        <f t="shared" si="59"/>
        <v>5.7995999999999999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60"/>
        <v>0831-02</v>
      </c>
      <c r="AE189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89" s="88" t="str">
        <f t="shared" si="62"/>
        <v>"C:\Program Files (x86)\AstroGrep\AstroGrep.exe" /spath="%USERPROFILE%\AppData\Local\Temp\OnboardLogs" /stypes="app*4031*20161102*" /stext=" 23:.+((SYSTEM_STATE.+slice.+state.+changed )|(ment ac)|(system.+state.+changed )|(\[timeout)|(PRM\|1\|D)|(kpr)|(kdp)|(\|lc)|(penalty))" /e /r /s</v>
      </c>
      <c r="AG189" s="1" t="str">
        <f t="shared" si="63"/>
        <v>NW</v>
      </c>
      <c r="AH189" s="92" t="str">
        <f t="shared" si="52"/>
        <v>"%USERPROFILE%\Documents\GitHub\eaglep3\Utilities\RefineRTDCRunTimes.py" --tripid 831-02 --locoid 4031 --swversion DE.1.0.8.0 --startMP 204:964 --initTime 2016-11-02T16:43:42 --startdatetime 2016-11-02T16:51:48 --delay 1 --endMP 300:58960 --enddatetime 2016-11-02T17:06:41 --enforcementcount 0 &gt;&gt;C:\Users\stu\Documents\GitHub\eaglep3-reporting\EC\2016-11-02-refined-times.txt</v>
      </c>
      <c r="AI189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{"issue":{"subject":"","project_id":79,"tracker_id":40,"status_id":1,"priority_id":2,"assigned_to_id":23,"start_date":"2016-11-02","description":"","custom_fields":[{"id":1,"name":"Subdivision","value":"NW"},{"id":4,"name":"Milepost","value":"5.896"},{"id":17,"name":"Train ID","value":"831-02"},{"id":16,"name":"Locomotive ID","value":"4031"},{"id":130,"name":"Impact","value":""},{"id":150,"name":"Time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425</v>
      </c>
      <c r="B190" s="7">
        <v>4032</v>
      </c>
      <c r="C190" s="22" t="s">
        <v>249</v>
      </c>
      <c r="D190" s="22" t="s">
        <v>391</v>
      </c>
      <c r="E190" s="13">
        <v>42676.714247685188</v>
      </c>
      <c r="F190" s="13">
        <v>42676.715891203705</v>
      </c>
      <c r="G190" s="7">
        <v>1</v>
      </c>
      <c r="H190" s="13" t="s">
        <v>751</v>
      </c>
      <c r="I190" s="13">
        <v>42676.727696759262</v>
      </c>
      <c r="J190" s="7">
        <v>0</v>
      </c>
      <c r="K190" s="112" t="str">
        <f t="shared" si="54"/>
        <v>4031/4032</v>
      </c>
      <c r="L190" s="22" t="str">
        <f>VLOOKUP(A190,'Trips&amp;Operators'!$C$1:$E$10000,3,FALSE)</f>
        <v>JOHNSON</v>
      </c>
      <c r="M190" s="6">
        <f t="shared" si="55"/>
        <v>1.1805555557657499E-2</v>
      </c>
      <c r="N190" s="7">
        <f t="shared" si="65"/>
        <v>17.000000003026798</v>
      </c>
      <c r="O190" s="7"/>
      <c r="P190" s="7"/>
      <c r="Q190" s="23"/>
      <c r="R190" s="23"/>
      <c r="S190" s="35">
        <f t="shared" si="66"/>
        <v>1</v>
      </c>
      <c r="T190" s="50" t="str">
        <f t="shared" si="5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16:08:31-0600',mode:absolute,to:'2016-11-02 18:27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0" s="52" t="str">
        <f t="shared" si="58"/>
        <v>N</v>
      </c>
      <c r="X190" s="177">
        <f t="shared" ref="X190:X221" si="67">VALUE(LEFT(AD190,4))-VALUE(LEFT(AD189,4))</f>
        <v>1</v>
      </c>
      <c r="Y190" s="67">
        <f t="shared" si="50"/>
        <v>5.8644999999999996</v>
      </c>
      <c r="Z190" s="67">
        <f t="shared" si="51"/>
        <v>6.9099999999999995E-2</v>
      </c>
      <c r="AA190" s="67">
        <f t="shared" si="59"/>
        <v>5.7953999999999999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60"/>
        <v>0832-02</v>
      </c>
      <c r="AE190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90" s="88" t="str">
        <f t="shared" si="62"/>
        <v>"C:\Program Files (x86)\AstroGrep\AstroGrep.exe" /spath="%USERPROFILE%\AppData\Local\Temp\OnboardLogs" /stypes="app*4032*20161102*" /stext=" 23:.+((SYSTEM_STATE.+slice.+state.+changed )|(ment ac)|(system.+state.+changed )|(\[timeout)|(PRM\|1\|D)|(kpr)|(kdp)|(\|lc)|(penalty))" /e /r /s</v>
      </c>
      <c r="AG190" s="1" t="str">
        <f t="shared" si="63"/>
        <v>NW</v>
      </c>
      <c r="AH190" s="92" t="str">
        <f t="shared" si="52"/>
        <v>"%USERPROFILE%\Documents\GitHub\eaglep3\Utilities\RefineRTDCRunTimes.py" --tripid 832-02 --locoid 4032 --swversion DE.1.0.8.0 --startMP 300:58645 --initTime 2016-11-02T17:08:31 --startdatetime 2016-11-02T17:10:53 --delay 1 --endMP 204:691 --enddatetime 2016-11-02T17:27:53 --enforcementcount 0 &gt;&gt;C:\Users\stu\Documents\GitHub\eaglep3-reporting\EC\2016-11-02-refined-times.txt</v>
      </c>
      <c r="AI190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{"issue":{"subject":"","project_id":79,"tracker_id":40,"status_id":1,"priority_id":2,"assigned_to_id":23,"start_date":"2016-11-02","description":"","custom_fields":[{"id":1,"name":"Subdivision","value":"NW"},{"id":4,"name":"Milepost","value":"0.0691"},{"id":17,"name":"Train ID","value":"832-02"},{"id":16,"name":"Locomotive ID","value":"4032"},{"id":130,"name":"Impact","value":""},{"id":150,"name":"Time of Event (Mountain Time)","value":"17:27:53"},{"id":151,"name":"Denver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579</v>
      </c>
      <c r="B191" s="7">
        <v>4025</v>
      </c>
      <c r="C191" s="22" t="s">
        <v>249</v>
      </c>
      <c r="D191" s="22" t="s">
        <v>393</v>
      </c>
      <c r="E191" s="13">
        <v>42676.712569444448</v>
      </c>
      <c r="F191" s="13">
        <v>42676.723333333335</v>
      </c>
      <c r="G191" s="7">
        <v>1</v>
      </c>
      <c r="H191" s="13" t="s">
        <v>273</v>
      </c>
      <c r="I191" s="13">
        <v>42676.733969907407</v>
      </c>
      <c r="J191" s="7">
        <v>0</v>
      </c>
      <c r="K191" s="112" t="str">
        <f t="shared" si="54"/>
        <v>4025/4026</v>
      </c>
      <c r="L191" s="22" t="str">
        <f>VLOOKUP(A191,'Trips&amp;Operators'!$C$1:$E$10000,3,FALSE)</f>
        <v>LOPES</v>
      </c>
      <c r="M191" s="6">
        <f t="shared" si="55"/>
        <v>1.063657407212304E-2</v>
      </c>
      <c r="N191" s="7">
        <f t="shared" si="65"/>
        <v>15.316666663857177</v>
      </c>
      <c r="O191" s="7"/>
      <c r="P191" s="7"/>
      <c r="Q191" s="23"/>
      <c r="R191" s="23"/>
      <c r="S191" s="35">
        <f t="shared" si="66"/>
        <v>1</v>
      </c>
      <c r="T191" s="50" t="str">
        <f t="shared" si="56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16:06:06-0600',mode:absolute,to:'2016-11-02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1" s="52" t="str">
        <f t="shared" si="58"/>
        <v>N</v>
      </c>
      <c r="X191" s="177">
        <f t="shared" si="67"/>
        <v>1</v>
      </c>
      <c r="Y191" s="67">
        <f t="shared" si="50"/>
        <v>9.7600000000000006E-2</v>
      </c>
      <c r="Z191" s="67">
        <f t="shared" si="51"/>
        <v>5.8925999999999998</v>
      </c>
      <c r="AA191" s="67">
        <f t="shared" si="59"/>
        <v>5.7949999999999999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60"/>
        <v>0833-02</v>
      </c>
      <c r="AE191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91" s="88" t="str">
        <f t="shared" si="62"/>
        <v>"C:\Program Files (x86)\AstroGrep\AstroGrep.exe" /spath="%USERPROFILE%\AppData\Local\Temp\OnboardLogs" /stypes="app*4025*20161102*" /stext=" 23:.+((SYSTEM_STATE.+slice.+state.+changed )|(ment ac)|(system.+state.+changed )|(\[timeout)|(PRM\|1\|D)|(kpr)|(kdp)|(\|lc)|(penalty))" /e /r /s</v>
      </c>
      <c r="AG191" s="1" t="str">
        <f t="shared" si="63"/>
        <v>NW</v>
      </c>
      <c r="AH191" s="92" t="str">
        <f t="shared" si="52"/>
        <v>"%USERPROFILE%\Documents\GitHub\eaglep3\Utilities\RefineRTDCRunTimes.py" --tripid 833-02 --locoid 4025 --swversion DE.1.0.8.0 --startMP 204:976 --initTime 2016-11-02T17:06:06 --startdatetime 2016-11-02T17:21:36 --delay 1 --endMP 300:58926 --enddatetime 2016-11-02T17:36:55 --enforcementcount 0 &gt;&gt;C:\Users\stu\Documents\GitHub\eaglep3-reporting\EC\2016-11-02-refined-times.txt</v>
      </c>
      <c r="AI191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{"issue":{"subject":"","project_id":79,"tracker_id":40,"status_id":1,"priority_id":2,"assigned_to_id":23,"start_date":"2016-11-02","description":"","custom_fields":[{"id":1,"name":"Subdivision","value":"NW"},{"id":4,"name":"Milepost","value":"5.8926"},{"id":17,"name":"Train ID","value":"833-02"},{"id":16,"name":"Locomotive ID","value":"4025"},{"id":130,"name":"Impact","value":""},{"id":150,"name":"Time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584</v>
      </c>
      <c r="B192" s="7">
        <v>4026</v>
      </c>
      <c r="C192" s="22" t="s">
        <v>249</v>
      </c>
      <c r="D192" s="22" t="s">
        <v>272</v>
      </c>
      <c r="E192" s="13">
        <v>42676.735196759262</v>
      </c>
      <c r="F192" s="13">
        <v>42676.736944444441</v>
      </c>
      <c r="G192" s="7">
        <v>1</v>
      </c>
      <c r="H192" s="13" t="s">
        <v>752</v>
      </c>
      <c r="I192" s="13">
        <v>42676.747719907406</v>
      </c>
      <c r="J192" s="7">
        <v>0</v>
      </c>
      <c r="K192" s="112" t="str">
        <f t="shared" si="54"/>
        <v>4025/4026</v>
      </c>
      <c r="L192" s="22" t="str">
        <f>VLOOKUP(A192,'Trips&amp;Operators'!$C$1:$E$10000,3,FALSE)</f>
        <v>LOPES</v>
      </c>
      <c r="M192" s="6">
        <f t="shared" si="55"/>
        <v>1.0775462964375038E-2</v>
      </c>
      <c r="N192" s="7">
        <f t="shared" si="65"/>
        <v>15.516666668700054</v>
      </c>
      <c r="O192" s="7"/>
      <c r="P192" s="7"/>
      <c r="Q192" s="23"/>
      <c r="R192" s="23"/>
      <c r="S192" s="35">
        <f t="shared" si="66"/>
        <v>1</v>
      </c>
      <c r="T192" s="50" t="str">
        <f t="shared" si="56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16:38:41-0600',mode:absolute,to:'2016-11-02 18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2" s="52" t="str">
        <f t="shared" si="58"/>
        <v>N</v>
      </c>
      <c r="X192" s="177">
        <f t="shared" si="67"/>
        <v>1</v>
      </c>
      <c r="Y192" s="67">
        <f t="shared" si="50"/>
        <v>5.8613</v>
      </c>
      <c r="Z192" s="67">
        <f t="shared" si="51"/>
        <v>7.6100000000000001E-2</v>
      </c>
      <c r="AA192" s="67">
        <f t="shared" si="59"/>
        <v>5.7851999999999997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60"/>
        <v>0834-02</v>
      </c>
      <c r="AE192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92" s="88" t="str">
        <f t="shared" si="62"/>
        <v>"C:\Program Files (x86)\AstroGrep\AstroGrep.exe" /spath="%USERPROFILE%\AppData\Local\Temp\OnboardLogs" /stypes="app*4026*20161102*" /stext=" 23:.+((SYSTEM_STATE.+slice.+state.+changed )|(ment ac)|(system.+state.+changed )|(\[timeout)|(PRM\|1\|D)|(kpr)|(kdp)|(\|lc)|(penalty))" /e /r /s</v>
      </c>
      <c r="AG192" s="1" t="str">
        <f t="shared" si="63"/>
        <v>NW</v>
      </c>
      <c r="AH192" s="92" t="str">
        <f t="shared" si="52"/>
        <v>"%USERPROFILE%\Documents\GitHub\eaglep3\Utilities\RefineRTDCRunTimes.py" --tripid 834-02 --locoid 4026 --swversion DE.1.0.8.0 --startMP 300:58613 --initTime 2016-11-02T17:38:41 --startdatetime 2016-11-02T17:41:12 --delay 1 --endMP 204:761 --enddatetime 2016-11-02T17:56:43 --enforcementcount 0 &gt;&gt;C:\Users\stu\Documents\GitHub\eaglep3-reporting\EC\2016-11-02-refined-times.txt</v>
      </c>
      <c r="AI192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{"issue":{"subject":"","project_id":79,"tracker_id":40,"status_id":1,"priority_id":2,"assigned_to_id":23,"start_date":"2016-11-02","description":"","custom_fields":[{"id":1,"name":"Subdivision","value":"NW"},{"id":4,"name":"Milepost","value":"0.0761"},{"id":17,"name":"Train ID","value":"834-02"},{"id":16,"name":"Locomotive ID","value":"4026"},{"id":130,"name":"Impact","value":""},{"id":150,"name":"Time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585</v>
      </c>
      <c r="B193" s="7">
        <v>4031</v>
      </c>
      <c r="C193" s="22" t="s">
        <v>249</v>
      </c>
      <c r="D193" s="22" t="s">
        <v>318</v>
      </c>
      <c r="E193" s="13">
        <v>42676.736157407409</v>
      </c>
      <c r="F193" s="13">
        <v>42676.74391203704</v>
      </c>
      <c r="G193" s="7">
        <v>1</v>
      </c>
      <c r="H193" s="13" t="s">
        <v>381</v>
      </c>
      <c r="I193" s="13">
        <v>42676.754594907405</v>
      </c>
      <c r="J193" s="7">
        <v>0</v>
      </c>
      <c r="K193" s="112" t="str">
        <f t="shared" si="54"/>
        <v>4031/4032</v>
      </c>
      <c r="L193" s="22" t="str">
        <f>VLOOKUP(A193,'Trips&amp;Operators'!$C$1:$E$10000,3,FALSE)</f>
        <v>JOHNSON</v>
      </c>
      <c r="M193" s="6">
        <f t="shared" si="55"/>
        <v>1.0682870364689734E-2</v>
      </c>
      <c r="N193" s="7">
        <f t="shared" si="65"/>
        <v>15.383333325153217</v>
      </c>
      <c r="O193" s="7"/>
      <c r="P193" s="7"/>
      <c r="Q193" s="23"/>
      <c r="R193" s="23"/>
      <c r="S193" s="35">
        <f t="shared" si="66"/>
        <v>1</v>
      </c>
      <c r="T193" s="50" t="str">
        <f t="shared" si="56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16:40:04-0600',mode:absolute,to:'2016-11-02 19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3" s="52" t="str">
        <f t="shared" si="58"/>
        <v>N</v>
      </c>
      <c r="X193" s="177">
        <f t="shared" si="67"/>
        <v>1</v>
      </c>
      <c r="Y193" s="67">
        <f t="shared" si="50"/>
        <v>9.7100000000000006E-2</v>
      </c>
      <c r="Z193" s="67">
        <f t="shared" si="51"/>
        <v>5.8964999999999996</v>
      </c>
      <c r="AA193" s="67">
        <f t="shared" si="59"/>
        <v>5.7993999999999994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60"/>
        <v>0835-02</v>
      </c>
      <c r="AE193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93" s="88" t="str">
        <f t="shared" si="62"/>
        <v>"C:\Program Files (x86)\AstroGrep\AstroGrep.exe" /spath="%USERPROFILE%\AppData\Local\Temp\OnboardLogs" /stypes="app*4031*20161103*" /stext=" 00:.+((SYSTEM_STATE.+slice.+state.+changed )|(ment ac)|(system.+state.+changed )|(\[timeout)|(PRM\|1\|D)|(kpr)|(kdp)|(\|lc)|(penalty))" /e /r /s</v>
      </c>
      <c r="AG193" s="1" t="str">
        <f t="shared" si="63"/>
        <v>NW</v>
      </c>
      <c r="AH193" s="92" t="str">
        <f t="shared" si="52"/>
        <v>"%USERPROFILE%\Documents\GitHub\eaglep3\Utilities\RefineRTDCRunTimes.py" --tripid 835-02 --locoid 4031 --swversion DE.1.0.8.0 --startMP 204:971 --initTime 2016-11-02T17:40:04 --startdatetime 2016-11-02T17:51:14 --delay 1 --endMP 300:58965 --enddatetime 2016-11-02T18:06:37 --enforcementcount 0 &gt;&gt;C:\Users\stu\Documents\GitHub\eaglep3-reporting\EC\2016-11-02-refined-times.txt</v>
      </c>
      <c r="AI193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{"issue":{"subject":"","project_id":79,"tracker_id":40,"status_id":1,"priority_id":2,"assigned_to_id":23,"start_date":"2016-11-02","description":"","custom_fields":[{"id":1,"name":"Subdivision","value":"NW"},{"id":4,"name":"Milepost","value":"5.8965"},{"id":17,"name":"Train ID","value":"835-02"},{"id":16,"name":"Locomotive ID","value":"4031"},{"id":130,"name":"Impact","value":""},{"id":150,"name":"Time of Event (Mountain Time)","value":"18:06:37"},{"id":151,"name":"Denver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592</v>
      </c>
      <c r="B194" s="7">
        <v>4032</v>
      </c>
      <c r="C194" s="22" t="s">
        <v>249</v>
      </c>
      <c r="D194" s="22" t="s">
        <v>391</v>
      </c>
      <c r="E194" s="13">
        <v>42676.755613425928</v>
      </c>
      <c r="F194" s="13">
        <v>42676.757349537038</v>
      </c>
      <c r="G194" s="7">
        <v>1</v>
      </c>
      <c r="H194" s="13" t="s">
        <v>745</v>
      </c>
      <c r="I194" s="13">
        <v>42676.768807870372</v>
      </c>
      <c r="J194" s="7">
        <v>0</v>
      </c>
      <c r="K194" s="112" t="str">
        <f t="shared" si="54"/>
        <v>4031/4032</v>
      </c>
      <c r="L194" s="22" t="str">
        <f>VLOOKUP(A194,'Trips&amp;Operators'!$C$1:$E$10000,3,FALSE)</f>
        <v>JOHNSON</v>
      </c>
      <c r="M194" s="6">
        <f t="shared" si="55"/>
        <v>1.1458333334303461E-2</v>
      </c>
      <c r="N194" s="7">
        <f t="shared" si="65"/>
        <v>16.500000001396984</v>
      </c>
      <c r="O194" s="7"/>
      <c r="P194" s="7"/>
      <c r="Q194" s="23"/>
      <c r="R194" s="23"/>
      <c r="S194" s="35">
        <f t="shared" si="66"/>
        <v>1</v>
      </c>
      <c r="T194" s="50" t="str">
        <f t="shared" si="56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17:08:05-0600',mode:absolute,to:'2016-11-02 19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4" s="52" t="str">
        <f t="shared" si="58"/>
        <v>N</v>
      </c>
      <c r="X194" s="177">
        <f t="shared" si="67"/>
        <v>1</v>
      </c>
      <c r="Y194" s="67">
        <f t="shared" si="50"/>
        <v>5.8644999999999996</v>
      </c>
      <c r="Z194" s="67">
        <f t="shared" si="51"/>
        <v>6.7100000000000007E-2</v>
      </c>
      <c r="AA194" s="67">
        <f t="shared" si="59"/>
        <v>5.7973999999999997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60"/>
        <v>0836-02</v>
      </c>
      <c r="AE194" s="91" t="str">
        <f t="shared" si="6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194" s="88" t="str">
        <f t="shared" si="62"/>
        <v>"C:\Program Files (x86)\AstroGrep\AstroGrep.exe" /spath="%USERPROFILE%\AppData\Local\Temp\OnboardLogs" /stypes="app*4032*20161103*" /stext=" 00:.+((SYSTEM_STATE.+slice.+state.+changed )|(ment ac)|(system.+state.+changed )|(\[timeout)|(PRM\|1\|D)|(kpr)|(kdp)|(\|lc)|(penalty))" /e /r /s</v>
      </c>
      <c r="AG194" s="1" t="str">
        <f t="shared" si="63"/>
        <v>NW</v>
      </c>
      <c r="AH194" s="92" t="str">
        <f t="shared" si="52"/>
        <v>"%USERPROFILE%\Documents\GitHub\eaglep3\Utilities\RefineRTDCRunTimes.py" --tripid 836-02 --locoid 4032 --swversion DE.1.0.8.0 --startMP 300:58645 --initTime 2016-11-02T18:08:05 --startdatetime 2016-11-02T18:10:35 --delay 1 --endMP 204:671 --enddatetime 2016-11-02T18:27:05 --enforcementcount 0 &gt;&gt;C:\Users\stu\Documents\GitHub\eaglep3-reporting\EC\2016-11-02-refined-times.txt</v>
      </c>
      <c r="AI194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{"issue":{"subject":"","project_id":79,"tracker_id":40,"status_id":1,"priority_id":2,"assigned_to_id":23,"start_date":"2016-11-02","description":"","custom_fields":[{"id":1,"name":"Subdivision","value":"NW"},{"id":4,"name":"Milepost","value":"0.0671"},{"id":17,"name":"Train ID","value":"836-02"},{"id":16,"name":"Locomotive ID","value":"4032"},{"id":130,"name":"Impact","value":""},{"id":150,"name":"Time of Event (Mountain Time)","value":"18:27:05"},{"id":151,"name":"Denver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591</v>
      </c>
      <c r="B195" s="7">
        <v>4025</v>
      </c>
      <c r="C195" s="22" t="s">
        <v>249</v>
      </c>
      <c r="D195" s="22" t="s">
        <v>753</v>
      </c>
      <c r="E195" s="13">
        <v>42676.749386574076</v>
      </c>
      <c r="F195" s="13">
        <v>42676.764780092592</v>
      </c>
      <c r="G195" s="7">
        <v>1</v>
      </c>
      <c r="H195" s="13" t="s">
        <v>754</v>
      </c>
      <c r="I195" s="13">
        <v>42676.774895833332</v>
      </c>
      <c r="J195" s="7">
        <v>0</v>
      </c>
      <c r="K195" s="112" t="str">
        <f t="shared" si="54"/>
        <v>4025/4026</v>
      </c>
      <c r="L195" s="22" t="str">
        <f>VLOOKUP(A195,'Trips&amp;Operators'!$C$1:$E$10000,3,FALSE)</f>
        <v>LOPES</v>
      </c>
      <c r="M195" s="6">
        <f t="shared" si="55"/>
        <v>1.0115740740729962E-2</v>
      </c>
      <c r="N195" s="7">
        <f t="shared" ref="N195:N231" si="68">24*60*SUM($M195:$M195)</f>
        <v>14.566666666651145</v>
      </c>
      <c r="O195" s="7"/>
      <c r="P195" s="7"/>
      <c r="Q195" s="23"/>
      <c r="R195" s="23"/>
      <c r="S195" s="35">
        <f t="shared" ref="S195:S231" si="69">SUM(U195:U195)/IF(AG195="EC",12,1)</f>
        <v>1</v>
      </c>
      <c r="T195" s="50" t="str">
        <f t="shared" si="56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16:59:07-0600',mode:absolute,to:'2016-11-02 19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5" s="52" t="str">
        <f t="shared" si="58"/>
        <v>N</v>
      </c>
      <c r="X195" s="177">
        <f t="shared" si="67"/>
        <v>1</v>
      </c>
      <c r="Y195" s="67">
        <f t="shared" si="50"/>
        <v>0.10299999999999999</v>
      </c>
      <c r="Z195" s="67">
        <f t="shared" si="51"/>
        <v>5.8986000000000001</v>
      </c>
      <c r="AA195" s="67">
        <f t="shared" si="59"/>
        <v>5.7956000000000003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60"/>
        <v>0837-02</v>
      </c>
      <c r="AE195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95" s="88" t="str">
        <f t="shared" si="62"/>
        <v>"C:\Program Files (x86)\AstroGrep\AstroGrep.exe" /spath="%USERPROFILE%\AppData\Local\Temp\OnboardLogs" /stypes="app*4025*20161103*" /stext=" 00:.+((SYSTEM_STATE.+slice.+state.+changed )|(ment ac)|(system.+state.+changed )|(\[timeout)|(PRM\|1\|D)|(kpr)|(kdp)|(\|lc)|(penalty))" /e /r /s</v>
      </c>
      <c r="AG195" s="1" t="str">
        <f t="shared" si="63"/>
        <v>NW</v>
      </c>
      <c r="AH195" s="92" t="str">
        <f t="shared" si="52"/>
        <v>"%USERPROFILE%\Documents\GitHub\eaglep3\Utilities\RefineRTDCRunTimes.py" --tripid 837-02 --locoid 4025 --swversion DE.1.0.8.0 --startMP 204:1030 --initTime 2016-11-02T17:59:07 --startdatetime 2016-11-02T18:21:17 --delay 1 --endMP 300:58986 --enddatetime 2016-11-02T18:35:51 --enforcementcount 0 &gt;&gt;C:\Users\stu\Documents\GitHub\eaglep3-reporting\EC\2016-11-02-refined-times.txt</v>
      </c>
      <c r="AI195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{"issue":{"subject":"","project_id":79,"tracker_id":40,"status_id":1,"priority_id":2,"assigned_to_id":23,"start_date":"2016-11-02","description":"","custom_fields":[{"id":1,"name":"Subdivision","value":"NW"},{"id":4,"name":"Milepost","value":"5.8986"},{"id":17,"name":"Train ID","value":"837-02"},{"id":16,"name":"Locomotive ID","value":"4025"},{"id":130,"name":"Impact","value":""},{"id":150,"name":"Time of Event (Mountain Time)","value":"18:35:51"},{"id":151,"name":"Denver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599</v>
      </c>
      <c r="B196" s="7">
        <v>4026</v>
      </c>
      <c r="C196" s="22" t="s">
        <v>249</v>
      </c>
      <c r="D196" s="22" t="s">
        <v>382</v>
      </c>
      <c r="E196" s="13">
        <v>42676.776076388887</v>
      </c>
      <c r="F196" s="13">
        <v>42676.777708333335</v>
      </c>
      <c r="G196" s="7">
        <v>1</v>
      </c>
      <c r="H196" s="13" t="s">
        <v>755</v>
      </c>
      <c r="I196" s="13">
        <v>42676.789733796293</v>
      </c>
      <c r="J196" s="7">
        <v>0</v>
      </c>
      <c r="K196" s="112" t="str">
        <f t="shared" si="54"/>
        <v>4025/4026</v>
      </c>
      <c r="L196" s="22" t="str">
        <f>VLOOKUP(A196,'Trips&amp;Operators'!$C$1:$E$10000,3,FALSE)</f>
        <v>LOPES</v>
      </c>
      <c r="M196" s="6">
        <f t="shared" si="55"/>
        <v>1.2025462958263233E-2</v>
      </c>
      <c r="N196" s="7">
        <f t="shared" si="68"/>
        <v>17.316666659899056</v>
      </c>
      <c r="O196" s="7"/>
      <c r="P196" s="7"/>
      <c r="Q196" s="23"/>
      <c r="R196" s="23"/>
      <c r="S196" s="35">
        <f t="shared" si="69"/>
        <v>1</v>
      </c>
      <c r="T196" s="50" t="str">
        <f t="shared" si="56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17:37:33-0600',mode:absolute,to:'2016-11-02 19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6" s="52" t="str">
        <f t="shared" si="58"/>
        <v>N</v>
      </c>
      <c r="X196" s="177">
        <f t="shared" si="67"/>
        <v>1</v>
      </c>
      <c r="Y196" s="67">
        <f t="shared" si="50"/>
        <v>5.8659999999999997</v>
      </c>
      <c r="Z196" s="67">
        <f t="shared" si="51"/>
        <v>7.3599999999999999E-2</v>
      </c>
      <c r="AA196" s="67">
        <f t="shared" si="59"/>
        <v>5.7923999999999998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60"/>
        <v>0838-02</v>
      </c>
      <c r="AE196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96" s="88" t="str">
        <f t="shared" si="62"/>
        <v>"C:\Program Files (x86)\AstroGrep\AstroGrep.exe" /spath="%USERPROFILE%\AppData\Local\Temp\OnboardLogs" /stypes="app*4026*20161103*" /stext=" 00:.+((SYSTEM_STATE.+slice.+state.+changed )|(ment ac)|(system.+state.+changed )|(\[timeout)|(PRM\|1\|D)|(kpr)|(kdp)|(\|lc)|(penalty))" /e /r /s</v>
      </c>
      <c r="AG196" s="1" t="str">
        <f t="shared" si="63"/>
        <v>NW</v>
      </c>
      <c r="AH196" s="92" t="str">
        <f t="shared" si="52"/>
        <v>"%USERPROFILE%\Documents\GitHub\eaglep3\Utilities\RefineRTDCRunTimes.py" --tripid 838-02 --locoid 4026 --swversion DE.1.0.8.0 --startMP 300:58660 --initTime 2016-11-02T18:37:33 --startdatetime 2016-11-02T18:39:54 --delay 1 --endMP 204:736 --enddatetime 2016-11-02T18:57:13 --enforcementcount 0 &gt;&gt;C:\Users\stu\Documents\GitHub\eaglep3-reporting\EC\2016-11-02-refined-times.txt</v>
      </c>
      <c r="AI196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{"issue":{"subject":"","project_id":79,"tracker_id":40,"status_id":1,"priority_id":2,"assigned_to_id":23,"start_date":"2016-11-02","description":"","custom_fields":[{"id":1,"name":"Subdivision","value":"NW"},{"id":4,"name":"Milepost","value":"0.0736"},{"id":17,"name":"Train ID","value":"838-02"},{"id":16,"name":"Locomotive ID","value":"4026"},{"id":130,"name":"Impact","value":""},{"id":150,"name":"Time of Event (Mountain Time)","value":"18:57:13"},{"id":151,"name":"Denver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601</v>
      </c>
      <c r="B197" s="7">
        <v>4031</v>
      </c>
      <c r="C197" s="22" t="s">
        <v>249</v>
      </c>
      <c r="D197" s="22" t="s">
        <v>322</v>
      </c>
      <c r="E197" s="13">
        <v>42676.782337962963</v>
      </c>
      <c r="F197" s="13">
        <v>42676.785613425927</v>
      </c>
      <c r="G197" s="7">
        <v>1</v>
      </c>
      <c r="H197" s="13" t="s">
        <v>756</v>
      </c>
      <c r="I197" s="13">
        <v>42676.795682870368</v>
      </c>
      <c r="J197" s="7">
        <v>0</v>
      </c>
      <c r="K197" s="112" t="str">
        <f t="shared" si="54"/>
        <v>4031/4032</v>
      </c>
      <c r="L197" s="22" t="str">
        <f>VLOOKUP(A197,'Trips&amp;Operators'!$C$1:$E$10000,3,FALSE)</f>
        <v>JOHNSON</v>
      </c>
      <c r="M197" s="6">
        <f t="shared" si="55"/>
        <v>1.006944444088731E-2</v>
      </c>
      <c r="N197" s="7">
        <f t="shared" si="68"/>
        <v>14.499999994877726</v>
      </c>
      <c r="O197" s="7"/>
      <c r="P197" s="7"/>
      <c r="Q197" s="23"/>
      <c r="R197" s="23"/>
      <c r="S197" s="35">
        <f t="shared" si="69"/>
        <v>1</v>
      </c>
      <c r="T197" s="50" t="str">
        <f t="shared" si="5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17:46:34-0600',mode:absolute,to:'2016-11-02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7" s="52" t="str">
        <f t="shared" si="58"/>
        <v>N</v>
      </c>
      <c r="X197" s="177">
        <f t="shared" si="67"/>
        <v>1</v>
      </c>
      <c r="Y197" s="67">
        <f t="shared" si="50"/>
        <v>9.74E-2</v>
      </c>
      <c r="Z197" s="67">
        <f t="shared" si="51"/>
        <v>5.8956</v>
      </c>
      <c r="AA197" s="67">
        <f t="shared" si="59"/>
        <v>5.7981999999999996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60"/>
        <v>0839-02</v>
      </c>
      <c r="AE197" s="91" t="str">
        <f t="shared" si="6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197" s="88" t="str">
        <f t="shared" si="62"/>
        <v>"C:\Program Files (x86)\AstroGrep\AstroGrep.exe" /spath="%USERPROFILE%\AppData\Local\Temp\OnboardLogs" /stypes="app*4031*20161103*" /stext=" 01:.+((SYSTEM_STATE.+slice.+state.+changed )|(ment ac)|(system.+state.+changed )|(\[timeout)|(PRM\|1\|D)|(kpr)|(kdp)|(\|lc)|(penalty))" /e /r /s</v>
      </c>
      <c r="AG197" s="1" t="str">
        <f t="shared" si="63"/>
        <v>NW</v>
      </c>
      <c r="AH197" s="92" t="str">
        <f t="shared" si="52"/>
        <v>"%USERPROFILE%\Documents\GitHub\eaglep3\Utilities\RefineRTDCRunTimes.py" --tripid 839-02 --locoid 4031 --swversion DE.1.0.8.0 --startMP 204:974 --initTime 2016-11-02T18:46:34 --startdatetime 2016-11-02T18:51:17 --delay 1 --endMP 300:58956 --enddatetime 2016-11-02T19:05:47 --enforcementcount 0 &gt;&gt;C:\Users\stu\Documents\GitHub\eaglep3-reporting\EC\2016-11-02-refined-times.txt</v>
      </c>
      <c r="AI197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{"issue":{"subject":"","project_id":79,"tracker_id":40,"status_id":1,"priority_id":2,"assigned_to_id":23,"start_date":"2016-11-02","description":"","custom_fields":[{"id":1,"name":"Subdivision","value":"NW"},{"id":4,"name":"Milepost","value":"5.8956"},{"id":17,"name":"Train ID","value":"839-02"},{"id":16,"name":"Locomotive ID","value":"4031"},{"id":130,"name":"Impact","value":""},{"id":150,"name":"Time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609</v>
      </c>
      <c r="B198" s="7">
        <v>4026</v>
      </c>
      <c r="C198" s="22" t="s">
        <v>249</v>
      </c>
      <c r="D198" s="22" t="s">
        <v>757</v>
      </c>
      <c r="E198" s="13">
        <v>42676.817442129628</v>
      </c>
      <c r="F198" s="13">
        <v>42676.819039351853</v>
      </c>
      <c r="G198" s="7">
        <v>1</v>
      </c>
      <c r="H198" s="13" t="s">
        <v>373</v>
      </c>
      <c r="I198" s="13">
        <v>42676.832233796296</v>
      </c>
      <c r="J198" s="7">
        <v>0</v>
      </c>
      <c r="K198" s="112" t="str">
        <f t="shared" si="54"/>
        <v>4025/4026</v>
      </c>
      <c r="L198" s="22" t="str">
        <f>VLOOKUP(A198,'Trips&amp;Operators'!$C$1:$E$10000,3,FALSE)</f>
        <v>LOPES</v>
      </c>
      <c r="M198" s="6">
        <f t="shared" si="55"/>
        <v>1.3194444443797693E-2</v>
      </c>
      <c r="N198" s="7">
        <f t="shared" si="68"/>
        <v>18.999999999068677</v>
      </c>
      <c r="O198" s="7"/>
      <c r="P198" s="7"/>
      <c r="Q198" s="23"/>
      <c r="R198" s="23"/>
      <c r="S198" s="35">
        <f t="shared" si="69"/>
        <v>1</v>
      </c>
      <c r="T198" s="50" t="str">
        <f t="shared" si="56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18:37:07-0600',mode:absolute,to:'2016-11-02 20:58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8" s="52" t="str">
        <f t="shared" si="58"/>
        <v>N</v>
      </c>
      <c r="X198" s="177">
        <f t="shared" si="67"/>
        <v>1</v>
      </c>
      <c r="Y198" s="67">
        <f t="shared" si="50"/>
        <v>5.8658000000000001</v>
      </c>
      <c r="Z198" s="67">
        <f t="shared" si="51"/>
        <v>7.3099999999999998E-2</v>
      </c>
      <c r="AA198" s="67">
        <f t="shared" si="59"/>
        <v>5.7927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60"/>
        <v>0840-02</v>
      </c>
      <c r="AE198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198" s="88" t="str">
        <f t="shared" si="62"/>
        <v>"C:\Program Files (x86)\AstroGrep\AstroGrep.exe" /spath="%USERPROFILE%\AppData\Local\Temp\OnboardLogs" /stypes="app*4026*20161103*" /stext=" 01:.+((SYSTEM_STATE.+slice.+state.+changed )|(ment ac)|(system.+state.+changed )|(\[timeout)|(PRM\|1\|D)|(kpr)|(kdp)|(\|lc)|(penalty))" /e /r /s</v>
      </c>
      <c r="AG198" s="1" t="str">
        <f t="shared" si="63"/>
        <v>NW</v>
      </c>
      <c r="AH198" s="92" t="str">
        <f t="shared" si="52"/>
        <v>"%USERPROFILE%\Documents\GitHub\eaglep3\Utilities\RefineRTDCRunTimes.py" --tripid 840-02 --locoid 4026 --swversion DE.1.0.8.0 --startMP 300:58658 --initTime 2016-11-02T19:37:07 --startdatetime 2016-11-02T19:39:25 --delay 1 --endMP 204:731 --enddatetime 2016-11-02T19:58:25 --enforcementcount 0 &gt;&gt;C:\Users\stu\Documents\GitHub\eaglep3-reporting\EC\2016-11-02-refined-times.txt</v>
      </c>
      <c r="AI198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{"issue":{"subject":"","project_id":79,"tracker_id":40,"status_id":1,"priority_id":2,"assigned_to_id":23,"start_date":"2016-11-02","description":"","custom_fields":[{"id":1,"name":"Subdivision","value":"NW"},{"id":4,"name":"Milepost","value":"0.0731"},{"id":17,"name":"Train ID","value":"840-02"},{"id":16,"name":"Locomotive ID","value":"4026"},{"id":130,"name":"Impact","value":""},{"id":150,"name":"Time of Event (Mountain Time)","value":"19:58:25"},{"id":151,"name":"Denver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604</v>
      </c>
      <c r="B199" s="7">
        <v>4025</v>
      </c>
      <c r="C199" s="22" t="s">
        <v>249</v>
      </c>
      <c r="D199" s="22" t="s">
        <v>758</v>
      </c>
      <c r="E199" s="13">
        <v>42676.796527777777</v>
      </c>
      <c r="F199" s="13">
        <v>42676.806435185186</v>
      </c>
      <c r="G199" s="7">
        <v>1</v>
      </c>
      <c r="H199" s="13" t="s">
        <v>759</v>
      </c>
      <c r="I199" s="13">
        <v>42676.816493055558</v>
      </c>
      <c r="J199" s="7">
        <v>0</v>
      </c>
      <c r="K199" s="112" t="str">
        <f t="shared" si="54"/>
        <v>4025/4026</v>
      </c>
      <c r="L199" s="22" t="str">
        <f>VLOOKUP(A199,'Trips&amp;Operators'!$C$1:$E$10000,3,FALSE)</f>
        <v>LOPES</v>
      </c>
      <c r="M199" s="6">
        <f t="shared" si="55"/>
        <v>1.0057870371383615E-2</v>
      </c>
      <c r="N199" s="7">
        <f t="shared" si="68"/>
        <v>14.483333334792405</v>
      </c>
      <c r="O199" s="7"/>
      <c r="P199" s="7"/>
      <c r="Q199" s="23"/>
      <c r="R199" s="23"/>
      <c r="S199" s="35">
        <f t="shared" si="69"/>
        <v>1</v>
      </c>
      <c r="T199" s="50" t="str">
        <f t="shared" si="56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18:07:00-0600',mode:absolute,to:'2016-11-02 20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58"/>
        <v>N</v>
      </c>
      <c r="X199" s="177">
        <f t="shared" si="67"/>
        <v>1</v>
      </c>
      <c r="Y199" s="67">
        <f t="shared" si="50"/>
        <v>0.1028</v>
      </c>
      <c r="Z199" s="67">
        <f t="shared" si="51"/>
        <v>5.8973000000000004</v>
      </c>
      <c r="AA199" s="67">
        <f t="shared" si="59"/>
        <v>5.7945000000000002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60"/>
        <v>0841-02</v>
      </c>
      <c r="AE199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199" s="88" t="str">
        <f t="shared" si="62"/>
        <v>"C:\Program Files (x86)\AstroGrep\AstroGrep.exe" /spath="%USERPROFILE%\AppData\Local\Temp\OnboardLogs" /stypes="app*4025*20161103*" /stext=" 01:.+((SYSTEM_STATE.+slice.+state.+changed )|(ment ac)|(system.+state.+changed )|(\[timeout)|(PRM\|1\|D)|(kpr)|(kdp)|(\|lc)|(penalty))" /e /r /s</v>
      </c>
      <c r="AG199" s="1" t="str">
        <f t="shared" si="63"/>
        <v>NW</v>
      </c>
      <c r="AH199" s="92" t="str">
        <f t="shared" si="52"/>
        <v>"%USERPROFILE%\Documents\GitHub\eaglep3\Utilities\RefineRTDCRunTimes.py" --tripid 841-02 --locoid 4025 --swversion DE.1.0.8.0 --startMP 204:1028 --initTime 2016-11-02T19:07:00 --startdatetime 2016-11-02T19:21:16 --delay 1 --endMP 300:58973 --enddatetime 2016-11-02T19:35:45 --enforcementcount 0 &gt;&gt;C:\Users\stu\Documents\GitHub\eaglep3-reporting\EC\2016-11-02-refined-times.txt</v>
      </c>
      <c r="AI199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{"issue":{"subject":"","project_id":79,"tracker_id":40,"status_id":1,"priority_id":2,"assigned_to_id":23,"start_date":"2016-11-02","description":"","custom_fields":[{"id":1,"name":"Subdivision","value":"NW"},{"id":4,"name":"Milepost","value":"5.8973"},{"id":17,"name":"Train ID","value":"841-02"},{"id":16,"name":"Locomotive ID","value":"4025"},{"id":130,"name":"Impact","value":""},{"id":150,"name":"Time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615</v>
      </c>
      <c r="B200" s="7">
        <v>4026</v>
      </c>
      <c r="C200" s="22" t="s">
        <v>249</v>
      </c>
      <c r="D200" s="22" t="s">
        <v>760</v>
      </c>
      <c r="E200" s="13">
        <v>42676.86</v>
      </c>
      <c r="F200" s="13">
        <v>42676.861539351848</v>
      </c>
      <c r="G200" s="7">
        <v>1</v>
      </c>
      <c r="H200" s="13" t="s">
        <v>761</v>
      </c>
      <c r="I200" s="13">
        <v>42676.87296296296</v>
      </c>
      <c r="J200" s="7">
        <v>0</v>
      </c>
      <c r="K200" s="112" t="str">
        <f t="shared" si="54"/>
        <v>4025/4026</v>
      </c>
      <c r="L200" s="22" t="str">
        <f>VLOOKUP(A200,'Trips&amp;Operators'!$C$1:$E$10000,3,FALSE)</f>
        <v>LOPES</v>
      </c>
      <c r="M200" s="6">
        <f t="shared" si="55"/>
        <v>1.1423611111240461E-2</v>
      </c>
      <c r="N200" s="7">
        <f t="shared" si="68"/>
        <v>16.450000000186265</v>
      </c>
      <c r="O200" s="7"/>
      <c r="P200" s="7"/>
      <c r="Q200" s="23"/>
      <c r="R200" s="23"/>
      <c r="S200" s="35">
        <f t="shared" si="69"/>
        <v>1</v>
      </c>
      <c r="T200" s="50" t="str">
        <f t="shared" si="56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19:38:24-0600',mode:absolute,to:'2016-11-02 21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0" s="52" t="str">
        <f t="shared" si="58"/>
        <v>N</v>
      </c>
      <c r="X200" s="177">
        <f t="shared" si="67"/>
        <v>1</v>
      </c>
      <c r="Y200" s="67">
        <f t="shared" si="50"/>
        <v>5.867</v>
      </c>
      <c r="Z200" s="67">
        <f t="shared" si="51"/>
        <v>7.4300000000000005E-2</v>
      </c>
      <c r="AA200" s="67">
        <f t="shared" si="59"/>
        <v>5.7927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0"/>
        <v>0842-02</v>
      </c>
      <c r="AE200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200" s="88" t="str">
        <f t="shared" si="62"/>
        <v>"C:\Program Files (x86)\AstroGrep\AstroGrep.exe" /spath="%USERPROFILE%\AppData\Local\Temp\OnboardLogs" /stypes="app*4026*20161103*" /stext=" 02:.+((SYSTEM_STATE.+slice.+state.+changed )|(ment ac)|(system.+state.+changed )|(\[timeout)|(PRM\|1\|D)|(kpr)|(kdp)|(\|lc)|(penalty))" /e /r /s</v>
      </c>
      <c r="AG200" s="1" t="str">
        <f t="shared" si="63"/>
        <v>NW</v>
      </c>
      <c r="AH200" s="92" t="str">
        <f t="shared" si="52"/>
        <v>"%USERPROFILE%\Documents\GitHub\eaglep3\Utilities\RefineRTDCRunTimes.py" --tripid 842-02 --locoid 4026 --swversion DE.1.0.8.0 --startMP 300:58670 --initTime 2016-11-02T20:38:24 --startdatetime 2016-11-02T20:40:37 --delay 1 --endMP 204:743 --enddatetime 2016-11-02T20:57:04 --enforcementcount 0 &gt;&gt;C:\Users\stu\Documents\GitHub\eaglep3-reporting\EC\2016-11-02-refined-times.txt</v>
      </c>
      <c r="AI200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{"issue":{"subject":"","project_id":79,"tracker_id":40,"status_id":1,"priority_id":2,"assigned_to_id":23,"start_date":"2016-11-02","description":"","custom_fields":[{"id":1,"name":"Subdivision","value":"NW"},{"id":4,"name":"Milepost","value":"0.0743"},{"id":17,"name":"Train ID","value":"842-02"},{"id":16,"name":"Locomotive ID","value":"4026"},{"id":130,"name":"Impact","value":""},{"id":150,"name":"Time of Event (Mountain Time)","value":"20:57:04"},{"id":151,"name":"Denver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4025</v>
      </c>
      <c r="C201" s="22" t="s">
        <v>249</v>
      </c>
      <c r="D201" s="22" t="s">
        <v>762</v>
      </c>
      <c r="E201" s="13">
        <v>42676.844224537039</v>
      </c>
      <c r="F201" s="13">
        <v>42676.848437499997</v>
      </c>
      <c r="G201" s="7">
        <v>1</v>
      </c>
      <c r="H201" s="13" t="s">
        <v>763</v>
      </c>
      <c r="I201" s="13">
        <v>42676.858495370368</v>
      </c>
      <c r="J201" s="7">
        <v>0</v>
      </c>
      <c r="K201" s="112" t="str">
        <f t="shared" si="54"/>
        <v>4025/4026</v>
      </c>
      <c r="L201" s="22" t="str">
        <f>VLOOKUP(A201,'Trips&amp;Operators'!$C$1:$E$10000,3,FALSE)</f>
        <v>LOPES</v>
      </c>
      <c r="M201" s="6">
        <f t="shared" si="55"/>
        <v>1.0057870371383615E-2</v>
      </c>
      <c r="N201" s="7">
        <f t="shared" si="68"/>
        <v>14.483333334792405</v>
      </c>
      <c r="O201" s="7"/>
      <c r="P201" s="7"/>
      <c r="Q201" s="23"/>
      <c r="R201" s="23"/>
      <c r="S201" s="35">
        <f t="shared" si="69"/>
        <v>1</v>
      </c>
      <c r="T201" s="50" t="str">
        <f t="shared" si="56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19:15:41-0600',mode:absolute,to:'2016-11-02 21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1" s="52" t="str">
        <f t="shared" si="58"/>
        <v>N</v>
      </c>
      <c r="X201" s="177">
        <f t="shared" si="67"/>
        <v>1</v>
      </c>
      <c r="Y201" s="67">
        <f t="shared" si="50"/>
        <v>0.1032</v>
      </c>
      <c r="Z201" s="67">
        <f t="shared" si="51"/>
        <v>5.899</v>
      </c>
      <c r="AA201" s="67">
        <f t="shared" si="59"/>
        <v>5.7957999999999998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0"/>
        <v>0843-02</v>
      </c>
      <c r="AE201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201" s="88" t="str">
        <f t="shared" si="62"/>
        <v>"C:\Program Files (x86)\AstroGrep\AstroGrep.exe" /spath="%USERPROFILE%\AppData\Local\Temp\OnboardLogs" /stypes="app*4025*20161103*" /stext=" 02:.+((SYSTEM_STATE.+slice.+state.+changed )|(ment ac)|(system.+state.+changed )|(\[timeout)|(PRM\|1\|D)|(kpr)|(kdp)|(\|lc)|(penalty))" /e /r /s</v>
      </c>
      <c r="AG201" s="1" t="str">
        <f t="shared" si="63"/>
        <v>NW</v>
      </c>
      <c r="AH201" s="92" t="str">
        <f t="shared" si="52"/>
        <v>"%USERPROFILE%\Documents\GitHub\eaglep3\Utilities\RefineRTDCRunTimes.py" --tripid 843-02 --locoid 4025 --swversion DE.1.0.8.0 --startMP 204:1032 --initTime 2016-11-02T20:15:41 --startdatetime 2016-11-02T20:21:45 --delay 1 --endMP 300:58990 --enddatetime 2016-11-02T20:36:14 --enforcementcount 0 &gt;&gt;C:\Users\stu\Documents\GitHub\eaglep3-reporting\EC\2016-11-02-refined-times.txt</v>
      </c>
      <c r="AI201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{"issue":{"subject":"","project_id":79,"tracker_id":40,"status_id":1,"priority_id":2,"assigned_to_id":23,"start_date":"2016-11-02","description":"","custom_fields":[{"id":1,"name":"Subdivision","value":"NW"},{"id":4,"name":"Milepost","value":"5.899"},{"id":17,"name":"Train ID","value":"843-02"},{"id":16,"name":"Locomotive ID","value":"4025"},{"id":130,"name":"Impact","value":""},{"id":150,"name":"Time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619</v>
      </c>
      <c r="B202" s="7">
        <v>4026</v>
      </c>
      <c r="C202" s="22" t="s">
        <v>249</v>
      </c>
      <c r="D202" s="22" t="s">
        <v>382</v>
      </c>
      <c r="E202" s="13">
        <v>42676.903263888889</v>
      </c>
      <c r="F202" s="13">
        <v>42676.905115740738</v>
      </c>
      <c r="G202" s="7">
        <v>1</v>
      </c>
      <c r="H202" s="13" t="s">
        <v>387</v>
      </c>
      <c r="I202" s="13">
        <v>42676.915416666663</v>
      </c>
      <c r="J202" s="7">
        <v>0</v>
      </c>
      <c r="K202" s="112" t="str">
        <f t="shared" si="54"/>
        <v>4025/4026</v>
      </c>
      <c r="L202" s="22" t="str">
        <f>VLOOKUP(A202,'Trips&amp;Operators'!$C$1:$E$10000,3,FALSE)</f>
        <v>JOHNSON</v>
      </c>
      <c r="M202" s="6">
        <f t="shared" si="55"/>
        <v>1.0300925925548654E-2</v>
      </c>
      <c r="N202" s="7">
        <f t="shared" si="68"/>
        <v>14.833333332790062</v>
      </c>
      <c r="O202" s="7"/>
      <c r="P202" s="7"/>
      <c r="Q202" s="23"/>
      <c r="R202" s="23"/>
      <c r="S202" s="35">
        <f t="shared" si="69"/>
        <v>1</v>
      </c>
      <c r="T202" s="50" t="str">
        <f t="shared" si="56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20:40:42-0600',mode:absolute,to:'2016-11-02 22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2" s="52" t="str">
        <f t="shared" si="58"/>
        <v>N</v>
      </c>
      <c r="X202" s="177">
        <f t="shared" si="67"/>
        <v>1</v>
      </c>
      <c r="Y202" s="67">
        <f t="shared" si="50"/>
        <v>5.8659999999999997</v>
      </c>
      <c r="Z202" s="67">
        <f t="shared" si="51"/>
        <v>6.8699999999999997E-2</v>
      </c>
      <c r="AA202" s="67">
        <f t="shared" si="59"/>
        <v>5.7972999999999999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0"/>
        <v>0844-02</v>
      </c>
      <c r="AE202" s="91" t="str">
        <f t="shared" si="6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202" s="88" t="str">
        <f t="shared" si="62"/>
        <v>"C:\Program Files (x86)\AstroGrep\AstroGrep.exe" /spath="%USERPROFILE%\AppData\Local\Temp\OnboardLogs" /stypes="app*4026*20161103*" /stext=" 03:.+((SYSTEM_STATE.+slice.+state.+changed )|(ment ac)|(system.+state.+changed )|(\[timeout)|(PRM\|1\|D)|(kpr)|(kdp)|(\|lc)|(penalty))" /e /r /s</v>
      </c>
      <c r="AG202" s="1" t="str">
        <f t="shared" si="63"/>
        <v>NW</v>
      </c>
      <c r="AH202" s="92" t="str">
        <f t="shared" si="52"/>
        <v>"%USERPROFILE%\Documents\GitHub\eaglep3\Utilities\RefineRTDCRunTimes.py" --tripid 844-02 --locoid 4026 --swversion DE.1.0.8.0 --startMP 300:58660 --initTime 2016-11-02T21:40:42 --startdatetime 2016-11-02T21:43:22 --delay 1 --endMP 204:687 --enddatetime 2016-11-02T21:58:12 --enforcementcount 0 &gt;&gt;C:\Users\stu\Documents\GitHub\eaglep3-reporting\EC\2016-11-02-refined-times.txt</v>
      </c>
      <c r="AI202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{"issue":{"subject":"","project_id":79,"tracker_id":40,"status_id":1,"priority_id":2,"assigned_to_id":23,"start_date":"2016-11-02","description":"","custom_fields":[{"id":1,"name":"Subdivision","value":"NW"},{"id":4,"name":"Milepost","value":"0.0687"},{"id":17,"name":"Train ID","value":"844-02"},{"id":16,"name":"Locomotive ID","value":"4026"},{"id":130,"name":"Impact","value":""},{"id":150,"name":"Time of Event (Mountain Time)","value":"21:58:12"},{"id":151,"name":"Denver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431</v>
      </c>
      <c r="B203" s="7">
        <v>4025</v>
      </c>
      <c r="C203" s="22" t="s">
        <v>249</v>
      </c>
      <c r="D203" s="22" t="s">
        <v>764</v>
      </c>
      <c r="E203" s="13">
        <v>42676.879687499997</v>
      </c>
      <c r="F203" s="13">
        <v>42676.889861111114</v>
      </c>
      <c r="G203" s="7">
        <v>1</v>
      </c>
      <c r="H203" s="13" t="s">
        <v>765</v>
      </c>
      <c r="I203" s="13">
        <v>42676.901620370372</v>
      </c>
      <c r="J203" s="7">
        <v>0</v>
      </c>
      <c r="K203" s="112" t="str">
        <f t="shared" si="54"/>
        <v>4025/4026</v>
      </c>
      <c r="L203" s="22" t="str">
        <f>VLOOKUP(A203,'Trips&amp;Operators'!$C$1:$E$10000,3,FALSE)</f>
        <v>JOHNSON</v>
      </c>
      <c r="M203" s="6">
        <f t="shared" si="55"/>
        <v>1.1759259257814847E-2</v>
      </c>
      <c r="N203" s="7">
        <f t="shared" si="68"/>
        <v>16.93333333125338</v>
      </c>
      <c r="O203" s="7"/>
      <c r="P203" s="7"/>
      <c r="Q203" s="23"/>
      <c r="R203" s="23"/>
      <c r="S203" s="35">
        <f t="shared" si="69"/>
        <v>1</v>
      </c>
      <c r="T203" s="50" t="str">
        <f t="shared" si="5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20:06:45-0600',mode:absolute,to:'2016-11-02 22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3" s="52" t="str">
        <f t="shared" si="58"/>
        <v>N</v>
      </c>
      <c r="X203" s="177">
        <f t="shared" si="67"/>
        <v>1</v>
      </c>
      <c r="Y203" s="67">
        <f t="shared" si="50"/>
        <v>0.1027</v>
      </c>
      <c r="Z203" s="67">
        <f t="shared" si="51"/>
        <v>5.8968999999999996</v>
      </c>
      <c r="AA203" s="67">
        <f t="shared" si="59"/>
        <v>5.7942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0"/>
        <v>0845-02</v>
      </c>
      <c r="AE203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203" s="88" t="str">
        <f t="shared" si="62"/>
        <v>"C:\Program Files (x86)\AstroGrep\AstroGrep.exe" /spath="%USERPROFILE%\AppData\Local\Temp\OnboardLogs" /stypes="app*4025*20161103*" /stext=" 03:.+((SYSTEM_STATE.+slice.+state.+changed )|(ment ac)|(system.+state.+changed )|(\[timeout)|(PRM\|1\|D)|(kpr)|(kdp)|(\|lc)|(penalty))" /e /r /s</v>
      </c>
      <c r="AG203" s="1" t="str">
        <f t="shared" si="63"/>
        <v>NW</v>
      </c>
      <c r="AH203" s="92" t="str">
        <f t="shared" si="52"/>
        <v>"%USERPROFILE%\Documents\GitHub\eaglep3\Utilities\RefineRTDCRunTimes.py" --tripid 845-02 --locoid 4025 --swversion DE.1.0.8.0 --startMP 204:1027 --initTime 2016-11-02T21:06:45 --startdatetime 2016-11-02T21:21:24 --delay 1 --endMP 300:58969 --enddatetime 2016-11-02T21:38:20 --enforcementcount 0 &gt;&gt;C:\Users\stu\Documents\GitHub\eaglep3-reporting\EC\2016-11-02-refined-times.txt</v>
      </c>
      <c r="AI203" s="122" t="str">
        <f t="shared" si="53"/>
        <v>echo {"issue":{"subject":"","project_id":79,"tracker_id":40,"status_id":1,"priority_id":2,"assigned_to_id":23,"start_date":"2016-11-02","description":"","custom_fields":[{"id":1,"name":"Subdivision","value":"NW"},{"id":4,"name":"Milepost","value":"5.8969"},{"id":17,"name":"Train ID","value":"845-02"},{"id":16,"name":"Locomotive ID","value":"4025"},{"id":130,"name":"Impact","value":""},{"id":150,"name":"Time of Event (Mountain Time)","value":"21:38:20"},{"id":151,"name":"Denver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622</v>
      </c>
      <c r="B204" s="7">
        <v>4025</v>
      </c>
      <c r="C204" s="22" t="s">
        <v>249</v>
      </c>
      <c r="D204" s="22" t="s">
        <v>766</v>
      </c>
      <c r="E204" s="13">
        <v>42676.92628472222</v>
      </c>
      <c r="F204" s="13">
        <v>42676.931435185186</v>
      </c>
      <c r="G204" s="7">
        <v>1</v>
      </c>
      <c r="H204" s="13" t="s">
        <v>750</v>
      </c>
      <c r="I204" s="13">
        <v>42676.942118055558</v>
      </c>
      <c r="J204" s="7">
        <v>0</v>
      </c>
      <c r="K204" s="112" t="str">
        <f t="shared" si="54"/>
        <v>4025/4026</v>
      </c>
      <c r="L204" s="22" t="str">
        <f>VLOOKUP(A204,'Trips&amp;Operators'!$C$1:$E$10000,3,FALSE)</f>
        <v>JOHNSON</v>
      </c>
      <c r="M204" s="6">
        <f t="shared" si="55"/>
        <v>1.0682870371965691E-2</v>
      </c>
      <c r="N204" s="7">
        <f t="shared" si="68"/>
        <v>15.383333335630596</v>
      </c>
      <c r="O204" s="7"/>
      <c r="P204" s="7"/>
      <c r="Q204" s="23"/>
      <c r="R204" s="23"/>
      <c r="S204" s="35">
        <f t="shared" si="69"/>
        <v>1</v>
      </c>
      <c r="T204" s="50" t="str">
        <f t="shared" si="5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https://search-rtdc-monitor-bjffxe2xuh6vdkpspy63sjmuny.us-east-1.es.amazonaws.com/_plugin/kibana/#/discover/Steve-Slow-Train-Analysis-(2080s-and-2083s)?_g=(refreshInterval:(display:Off,section:0,value:0),time:(from:'2016-11-02 21:13:51-0600',mode:absolute,to:'2016-11-02 23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58"/>
        <v>N</v>
      </c>
      <c r="X204" s="177">
        <f t="shared" si="67"/>
        <v>2</v>
      </c>
      <c r="Y204" s="67">
        <f t="shared" ref="Y204:Y231" si="70">RIGHT(D204,LEN(D204)-4)/10000</f>
        <v>9.6500000000000002E-2</v>
      </c>
      <c r="Z204" s="67">
        <f t="shared" ref="Z204:Z231" si="71">RIGHT(H204,LEN(H204)-4)/10000</f>
        <v>5.8959999999999999</v>
      </c>
      <c r="AA204" s="67">
        <f t="shared" si="59"/>
        <v>5.7995000000000001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0"/>
        <v>0847-02</v>
      </c>
      <c r="AE204" s="91" t="str">
        <f t="shared" si="61"/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AF204" s="88" t="str">
        <f t="shared" si="62"/>
        <v>"C:\Program Files (x86)\AstroGrep\AstroGrep.exe" /spath="%USERPROFILE%\AppData\Local\Temp\OnboardLogs" /stypes="app*4025*20161103*" /stext=" 04:.+((SYSTEM_STATE.+slice.+state.+changed )|(ment ac)|(system.+state.+changed )|(\[timeout)|(PRM\|1\|D)|(kpr)|(kdp)|(\|lc)|(penalty))" /e /r /s</v>
      </c>
      <c r="AG204" s="1" t="str">
        <f t="shared" si="63"/>
        <v>NW</v>
      </c>
      <c r="AH204" s="92" t="str">
        <f t="shared" ref="AH204:AH231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847-02 --locoid 4025 --swversion DE.1.0.8.0 --startMP 204:965 --initTime 2016-11-02T22:13:51 --startdatetime 2016-11-02T22:21:16 --delay 1 --endMP 300:58960 --enddatetime 2016-11-02T22:36:39 --enforcementcount 0 &gt;&gt;C:\Users\stu\Documents\GitHub\eaglep3-reporting\EC\2016-11-02-refined-times.txt</v>
      </c>
      <c r="AI204" s="122" t="str">
        <f t="shared" ref="AI204:AI231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{"issue":{"subject":"","project_id":79,"tracker_id":40,"status_id":1,"priority_id":2,"assigned_to_id":23,"start_date":"2016-11-02","description":"","custom_fields":[{"id":1,"name":"Subdivision","value":"NW"},{"id":4,"name":"Milepost","value":"5.896"},{"id":17,"name":"Train ID","value":"847-02"},{"id":16,"name":"Locomotive ID","value":"4025"},{"id":130,"name":"Impact","value":""},{"id":150,"name":"Time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434</v>
      </c>
      <c r="B205" s="7">
        <v>4054</v>
      </c>
      <c r="C205" s="22" t="s">
        <v>249</v>
      </c>
      <c r="D205" s="22" t="s">
        <v>692</v>
      </c>
      <c r="E205" s="13">
        <v>42676.124050925922</v>
      </c>
      <c r="F205" s="13">
        <v>42676.125416666669</v>
      </c>
      <c r="G205" s="7">
        <v>1</v>
      </c>
      <c r="H205" s="13" t="s">
        <v>693</v>
      </c>
      <c r="I205" s="13">
        <v>42676.127372685187</v>
      </c>
      <c r="J205" s="7">
        <v>0</v>
      </c>
      <c r="K205" s="112" t="str">
        <f t="shared" ref="K205:K231" si="74">IF(ISEVEN(B205),(B205-1)&amp;"/"&amp;B205,B205&amp;"/"&amp;(B205+1))</f>
        <v>4053/4054</v>
      </c>
      <c r="L205" s="22" t="str">
        <f>VLOOKUP(A205,'Trips&amp;Operators'!$C$1:$E$10000,3,FALSE)</f>
        <v>MAELZER</v>
      </c>
      <c r="M205" s="6">
        <f t="shared" ref="M205:M231" si="75">I205-F205</f>
        <v>1.9560185173759237E-3</v>
      </c>
      <c r="N205" s="7">
        <f t="shared" si="68"/>
        <v>2.8166666650213301</v>
      </c>
      <c r="O205" s="7"/>
      <c r="P205" s="7"/>
      <c r="Q205" s="23"/>
      <c r="R205" s="23"/>
      <c r="S205" s="35">
        <f t="shared" si="69"/>
        <v>0</v>
      </c>
      <c r="T205" s="50" t="str">
        <f t="shared" ref="T205:T231" si="76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:V231" si="77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https://search-rtdc-monitor-bjffxe2xuh6vdkpspy63sjmuny.us-east-1.es.amazonaws.com/_plugin/kibana/#/discover/Steve-Slow-Train-Analysis-(2080s-and-2083s)?_g=(refreshInterval:(display:Off,section:0,value:0),time:(from:'2016-11-02 01:58:38-0600',mode:absolute,to:'2016-11-02 04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5" s="52" t="str">
        <f t="shared" ref="W205:W231" si="78">IF(AA205&lt;IF(AG205="EC",23,5.65),"Y","N")</f>
        <v>Y</v>
      </c>
      <c r="X205" s="177">
        <f t="shared" si="67"/>
        <v>-545</v>
      </c>
      <c r="Y205" s="67">
        <f t="shared" si="70"/>
        <v>2.3157999999999999</v>
      </c>
      <c r="Z205" s="67">
        <f t="shared" si="71"/>
        <v>1.6158999999999999</v>
      </c>
      <c r="AA205" s="67">
        <f t="shared" ref="AA205:AA268" si="79">ABS(Z205-Y205)</f>
        <v>0.69989999999999997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1" si="80">IF(LEN(A205)=6,"0"&amp;A205,A205)</f>
        <v>0302-02</v>
      </c>
      <c r="AE205" s="91" t="str">
        <f t="shared" ref="AE205:AE231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AF205" s="88" t="str">
        <f t="shared" ref="AF205:AF231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/stypes="app*4054*20161102*" /stext=" 09:.+((SYSTEM_STATE.+slice.+state.+changed )|(ment ac)|(system.+state.+changed )|(\[timeout)|(PRM\|1\|D)|(kpr)|(kdp)|(\|lc)|(penalty))" /e /r /s</v>
      </c>
      <c r="AG205" s="1" t="str">
        <f t="shared" ref="AG205:AG231" si="83">IFERROR(IF(VALUE(LEFT(AD205,2))&lt;=2,"EC",IF(OR(VALUE(LEFT(AD205,2))=8,VALUE(LEFT(AD205,2))=18),"NW","Other")),"Other")</f>
        <v>Other</v>
      </c>
      <c r="AH205" s="92" t="str">
        <f t="shared" si="72"/>
        <v>"%USERPROFILE%\Documents\GitHub\eaglep3\Utilities\RefineRTDCRunTimes.py" --tripid 302-02 --locoid 4054 --swversion DE.1.0.8.0 --startMP 300:23158 --initTime 2016-11-02T02:58:38 --startdatetime 2016-11-02T03:00:36 --delay 1 --endMP 300:16159 --enddatetime 2016-11-02T03:03:25 --enforcementcount 0 &gt;&gt;C:\Users\stu\Documents\GitHub\eaglep3-reporting\EC\2016-11-02-refined-times.txt</v>
      </c>
      <c r="AI205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{"issue":{"subject":"","project_id":79,"tracker_id":40,"status_id":1,"priority_id":2,"assigned_to_id":23,"start_date":"2016-11-02","description":"","custom_fields":[{"id":1,"name":"Subdivision","value":"Other"},{"id":4,"name":"Milepost","value":"1.6159"},{"id":17,"name":"Train ID","value":"302-02"},{"id":16,"name":"Locomotive ID","value":"4054"},{"id":130,"name":"Impact","value":""},{"id":150,"name":"Time of Event (Mountain Time)","value":"03:03:25"},{"id":151,"name":"Denver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600</v>
      </c>
      <c r="B206" s="7">
        <v>4003</v>
      </c>
      <c r="C206" s="22" t="s">
        <v>249</v>
      </c>
      <c r="D206" s="22" t="s">
        <v>313</v>
      </c>
      <c r="E206" s="13">
        <v>42676.776956018519</v>
      </c>
      <c r="F206" s="13">
        <v>25568.708333333332</v>
      </c>
      <c r="G206" s="7">
        <v>1</v>
      </c>
      <c r="H206" s="13" t="s">
        <v>694</v>
      </c>
      <c r="I206" s="13">
        <v>25568.708333333332</v>
      </c>
      <c r="J206" s="7">
        <v>0</v>
      </c>
      <c r="K206" s="112" t="str">
        <f t="shared" si="74"/>
        <v>4003/4004</v>
      </c>
      <c r="L206" s="22" t="str">
        <f>VLOOKUP(A206,'Trips&amp;Operators'!$C$1:$E$10000,3,FALSE)</f>
        <v>ADANE</v>
      </c>
      <c r="M206" s="6">
        <f t="shared" si="75"/>
        <v>0</v>
      </c>
      <c r="N206" s="7">
        <f t="shared" si="68"/>
        <v>0</v>
      </c>
      <c r="O206" s="7"/>
      <c r="P206" s="7"/>
      <c r="Q206" s="23"/>
      <c r="R206" s="23"/>
      <c r="S206" s="35">
        <f t="shared" si="69"/>
        <v>1</v>
      </c>
      <c r="T206" s="50" t="str">
        <f t="shared" si="76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17:38:49-0600',mode:absolute,to:'1969-12-31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2" t="str">
        <f t="shared" si="78"/>
        <v>Y</v>
      </c>
      <c r="X206" s="177">
        <f t="shared" si="67"/>
        <v>1</v>
      </c>
      <c r="Y206" s="67">
        <f t="shared" si="70"/>
        <v>4.6699999999999998E-2</v>
      </c>
      <c r="Z206" s="67">
        <f t="shared" si="71"/>
        <v>2.3300999999999998</v>
      </c>
      <c r="AA206" s="67">
        <f t="shared" si="79"/>
        <v>2.2833999999999999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0"/>
        <v>0303-02</v>
      </c>
      <c r="AE206" s="91" t="str">
        <f t="shared" si="8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6" s="88" t="str">
        <f t="shared" si="82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06" s="1" t="str">
        <f t="shared" si="83"/>
        <v>Other</v>
      </c>
      <c r="AH206" s="92" t="str">
        <f t="shared" si="72"/>
        <v>"%USERPROFILE%\Documents\GitHub\eaglep3\Utilities\RefineRTDCRunTimes.py" --tripid 303-02 --locoid 4003 --swversion DE.1.0.8.0 --startMP 204:467 --initTime 2016-11-02T18:38:49 --startdatetime 1969-12-31T17:00:00 --delay 1 --endMP 300:23301 --enddatetime 1969-12-31T17:00:00 --enforcementcount 0 &gt;&gt;C:\Users\stu\Documents\GitHub\eaglep3-reporting\EC\2016-11-02-refined-times.txt</v>
      </c>
      <c r="AI206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ID","value":"303-02"},{"id":16,"name":"Locomotive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437</v>
      </c>
      <c r="B207" s="7">
        <v>4001</v>
      </c>
      <c r="C207" s="22" t="s">
        <v>249</v>
      </c>
      <c r="D207" s="22" t="s">
        <v>695</v>
      </c>
      <c r="E207" s="13">
        <v>42676.144849537035</v>
      </c>
      <c r="F207" s="13">
        <v>42676.146516203706</v>
      </c>
      <c r="G207" s="7">
        <v>1</v>
      </c>
      <c r="H207" s="13" t="s">
        <v>696</v>
      </c>
      <c r="I207" s="13">
        <v>42676.153078703705</v>
      </c>
      <c r="J207" s="7">
        <v>0</v>
      </c>
      <c r="K207" s="112" t="str">
        <f t="shared" si="74"/>
        <v>4001/4002</v>
      </c>
      <c r="L207" s="22" t="str">
        <f>VLOOKUP(A207,'Trips&amp;Operators'!$C$1:$E$10000,3,FALSE)</f>
        <v>LALONDE</v>
      </c>
      <c r="M207" s="6">
        <f t="shared" si="75"/>
        <v>6.5624999988358468E-3</v>
      </c>
      <c r="N207" s="7">
        <f t="shared" si="68"/>
        <v>9.4499999983236194</v>
      </c>
      <c r="O207" s="7"/>
      <c r="P207" s="7"/>
      <c r="Q207" s="23"/>
      <c r="R207" s="23"/>
      <c r="S207" s="35">
        <f t="shared" si="69"/>
        <v>1</v>
      </c>
      <c r="T207" s="50" t="str">
        <f t="shared" si="76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02:28:35-0600',mode:absolute,to:'2016-11-02 04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7" s="52" t="str">
        <f t="shared" si="78"/>
        <v>Y</v>
      </c>
      <c r="X207" s="177">
        <f t="shared" si="67"/>
        <v>1</v>
      </c>
      <c r="Y207" s="67">
        <f t="shared" si="70"/>
        <v>2.2345999999999999</v>
      </c>
      <c r="Z207" s="67">
        <f t="shared" si="71"/>
        <v>1.09E-2</v>
      </c>
      <c r="AA207" s="67">
        <f t="shared" si="79"/>
        <v>2.2237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0304-02</v>
      </c>
      <c r="AE207" s="91" t="str">
        <f t="shared" si="81"/>
        <v>aws s3 cp s3://rtdc.mdm.uploadarchive.raw/RTDC4001/ "%USERPROFILE%\AppData\Local\Temp\OnboardLogs"\RTDC4001\2016-11-02 --exclude "*" --recursive --include "*20161102*" &amp; "%USERPROFILE%\Documents\GitHub\mrs-test-scripts\Headless Mode &amp; Sideloading\WalkAndUnGZ.bat" "%USERPROFILE%\AppData\Local\Temp\OnboardLogs"\RTDC4001\2016-11-02 &amp; 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</v>
      </c>
      <c r="AF207" s="88" t="str">
        <f t="shared" si="82"/>
        <v>"C:\Program Files (x86)\AstroGrep\AstroGrep.exe" /spath="%USERPROFILE%\AppData\Local\Temp\OnboardLogs" /stypes="app*4001*20161102*" /stext=" 09:.+((SYSTEM_STATE.+slice.+state.+changed )|(ment ac)|(system.+state.+changed )|(\[timeout)|(PRM\|1\|D)|(kpr)|(kdp)|(\|lc)|(penalty))" /e /r /s</v>
      </c>
      <c r="AG207" s="1" t="str">
        <f t="shared" si="83"/>
        <v>Other</v>
      </c>
      <c r="AH207" s="92" t="str">
        <f t="shared" si="72"/>
        <v>"%USERPROFILE%\Documents\GitHub\eaglep3\Utilities\RefineRTDCRunTimes.py" --tripid 304-02 --locoid 4001 --swversion DE.1.0.8.0 --startMP 300:22346 --initTime 2016-11-02T03:28:35 --startdatetime 2016-11-02T03:30:59 --delay 1 --endMP 204:109 --enddatetime 2016-11-02T03:40:26 --enforcementcount 0 &gt;&gt;C:\Users\stu\Documents\GitHub\eaglep3-reporting\EC\2016-11-02-refined-times.txt</v>
      </c>
      <c r="AI207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{"issue":{"subject":"","project_id":79,"tracker_id":40,"status_id":1,"priority_id":2,"assigned_to_id":23,"start_date":"2016-11-02","description":"","custom_fields":[{"id":1,"name":"Subdivision","value":"Other"},{"id":4,"name":"Milepost","value":"0.0109"},{"id":17,"name":"Train ID","value":"304-02"},{"id":16,"name":"Locomotive ID","value":"4001"},{"id":130,"name":"Impact","value":""},{"id":150,"name":"Time of Event (Mountain Time)","value":"03:40:26"},{"id":151,"name":"Denver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606</v>
      </c>
      <c r="B208" s="7">
        <v>4053</v>
      </c>
      <c r="C208" s="22" t="s">
        <v>249</v>
      </c>
      <c r="D208" s="22" t="s">
        <v>697</v>
      </c>
      <c r="E208" s="13">
        <v>42676.800787037035</v>
      </c>
      <c r="F208" s="13">
        <v>25568.708333333332</v>
      </c>
      <c r="G208" s="7">
        <v>0</v>
      </c>
      <c r="H208" s="13" t="s">
        <v>698</v>
      </c>
      <c r="I208" s="13">
        <v>25568.708333333332</v>
      </c>
      <c r="J208" s="7">
        <v>0</v>
      </c>
      <c r="K208" s="112" t="str">
        <f t="shared" si="74"/>
        <v>4053/4054</v>
      </c>
      <c r="L208" s="22" t="str">
        <f>VLOOKUP(A208,'Trips&amp;Operators'!$C$1:$E$10000,3,FALSE)</f>
        <v>YOUNG</v>
      </c>
      <c r="M208" s="6">
        <f t="shared" si="75"/>
        <v>0</v>
      </c>
      <c r="N208" s="7">
        <f t="shared" si="68"/>
        <v>0</v>
      </c>
      <c r="O208" s="7"/>
      <c r="P208" s="7"/>
      <c r="Q208" s="23"/>
      <c r="R208" s="23"/>
      <c r="S208" s="35">
        <f t="shared" si="69"/>
        <v>1</v>
      </c>
      <c r="T208" s="50" t="str">
        <f t="shared" si="76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18:13:08-0600',mode:absolute,to:'1969-12-31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8" s="52" t="str">
        <f t="shared" si="78"/>
        <v>Y</v>
      </c>
      <c r="X208" s="177">
        <f t="shared" si="67"/>
        <v>1</v>
      </c>
      <c r="Y208" s="67">
        <f t="shared" si="70"/>
        <v>4.1500000000000002E-2</v>
      </c>
      <c r="Z208" s="67">
        <f t="shared" si="71"/>
        <v>2.3008999999999999</v>
      </c>
      <c r="AA208" s="67">
        <f t="shared" si="79"/>
        <v>2.2593999999999999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0305-02</v>
      </c>
      <c r="AE208" s="91" t="str">
        <f t="shared" si="8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8" s="88" t="str">
        <f t="shared" si="82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8" s="1" t="str">
        <f t="shared" si="83"/>
        <v>Other</v>
      </c>
      <c r="AH208" s="92" t="str">
        <f t="shared" si="72"/>
        <v>"%USERPROFILE%\Documents\GitHub\eaglep3\Utilities\RefineRTDCRunTimes.py" --tripid 305-02 --locoid 4053 --swversion DE.1.0.8.0 --startMP 204:415 --initTime 2016-11-02T19:13:08 --startdatetime 1969-12-31T17:00:00 --delay 0 --endMP 300:23009 --enddatetime 1969-12-31T17:00:00 --enforcementcount 0 &gt;&gt;C:\Users\stu\Documents\GitHub\eaglep3-reporting\EC\2016-11-02-refined-times.txt</v>
      </c>
      <c r="AI208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{"issue":{"subject":"","project_id":79,"tracker_id":40,"status_id":1,"priority_id":2,"assigned_to_id":23,"start_date":"1969-12-31","description":"","custom_fields":[{"id":1,"name":"Subdivision","value":"Other"},{"id":4,"name":"Milepost","value":"2.3009"},{"id":17,"name":"Train ID","value":"305-02"},{"id":16,"name":"Locomotive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440</v>
      </c>
      <c r="B209" s="7">
        <v>4013</v>
      </c>
      <c r="C209" s="22" t="s">
        <v>249</v>
      </c>
      <c r="D209" s="22" t="s">
        <v>699</v>
      </c>
      <c r="E209" s="13">
        <v>42676.158055555556</v>
      </c>
      <c r="F209" s="13">
        <v>42676.159525462965</v>
      </c>
      <c r="G209" s="7">
        <v>1</v>
      </c>
      <c r="H209" s="13" t="s">
        <v>207</v>
      </c>
      <c r="I209" s="13">
        <v>42676.165590277778</v>
      </c>
      <c r="J209" s="7">
        <v>0</v>
      </c>
      <c r="K209" s="112" t="str">
        <f t="shared" si="74"/>
        <v>4013/4014</v>
      </c>
      <c r="L209" s="22" t="str">
        <f>VLOOKUP(A209,'Trips&amp;Operators'!$C$1:$E$10000,3,FALSE)</f>
        <v>SANTIZO</v>
      </c>
      <c r="M209" s="6">
        <f t="shared" si="75"/>
        <v>6.064814813726116E-3</v>
      </c>
      <c r="N209" s="7">
        <f t="shared" si="68"/>
        <v>8.733333331765607</v>
      </c>
      <c r="O209" s="7"/>
      <c r="P209" s="7"/>
      <c r="Q209" s="23"/>
      <c r="R209" s="23"/>
      <c r="S209" s="35">
        <f t="shared" si="69"/>
        <v>1</v>
      </c>
      <c r="T209" s="50" t="str">
        <f t="shared" si="76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02:47:36-0600',mode:absolute,to:'2016-11-02 04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9" s="52" t="str">
        <f t="shared" si="78"/>
        <v>Y</v>
      </c>
      <c r="X209" s="177">
        <f t="shared" si="67"/>
        <v>1</v>
      </c>
      <c r="Y209" s="67">
        <f t="shared" si="70"/>
        <v>2.1322000000000001</v>
      </c>
      <c r="Z209" s="67">
        <f t="shared" si="71"/>
        <v>1.43E-2</v>
      </c>
      <c r="AA209" s="67">
        <f t="shared" si="79"/>
        <v>2.1179000000000001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0306-02</v>
      </c>
      <c r="AE209" s="91" t="str">
        <f t="shared" si="81"/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AF209" s="88" t="str">
        <f t="shared" si="82"/>
        <v>"C:\Program Files (x86)\AstroGrep\AstroGrep.exe" /spath="%USERPROFILE%\AppData\Local\Temp\OnboardLogs" /stypes="app*4013*20161102*" /stext=" 09:.+((SYSTEM_STATE.+slice.+state.+changed )|(ment ac)|(system.+state.+changed )|(\[timeout)|(PRM\|1\|D)|(kpr)|(kdp)|(\|lc)|(penalty))" /e /r /s</v>
      </c>
      <c r="AG209" s="1" t="str">
        <f t="shared" si="83"/>
        <v>Other</v>
      </c>
      <c r="AH209" s="92" t="str">
        <f t="shared" si="72"/>
        <v>"%USERPROFILE%\Documents\GitHub\eaglep3\Utilities\RefineRTDCRunTimes.py" --tripid 306-02 --locoid 4013 --swversion DE.1.0.8.0 --startMP 300:21322 --initTime 2016-11-02T03:47:36 --startdatetime 2016-11-02T03:49:43 --delay 1 --endMP 204:143 --enddatetime 2016-11-02T03:58:27 --enforcementcount 0 &gt;&gt;C:\Users\stu\Documents\GitHub\eaglep3-reporting\EC\2016-11-02-refined-times.txt</v>
      </c>
      <c r="AI209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{"issue":{"subject":"","project_id":79,"tracker_id":40,"status_id":1,"priority_id":2,"assigned_to_id":23,"start_date":"2016-11-02","description":"","custom_fields":[{"id":1,"name":"Subdivision","value":"Other"},{"id":4,"name":"Milepost","value":"0.0143"},{"id":17,"name":"Train ID","value":"306-02"},{"id":16,"name":"Locomotive ID","value":"4013"},{"id":130,"name":"Impact","value":""},{"id":150,"name":"Time of Event (Mountain Time)","value":"03:58:27"},{"id":151,"name":"Denver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608</v>
      </c>
      <c r="B210" s="7">
        <v>4002</v>
      </c>
      <c r="C210" s="22" t="s">
        <v>249</v>
      </c>
      <c r="D210" s="22" t="s">
        <v>210</v>
      </c>
      <c r="E210" s="13">
        <v>42676.817037037035</v>
      </c>
      <c r="F210" s="13">
        <v>25568.708333333332</v>
      </c>
      <c r="G210" s="7">
        <v>1</v>
      </c>
      <c r="H210" s="13" t="s">
        <v>700</v>
      </c>
      <c r="I210" s="13">
        <v>25568.708333333332</v>
      </c>
      <c r="J210" s="7">
        <v>0</v>
      </c>
      <c r="K210" s="112" t="str">
        <f t="shared" si="74"/>
        <v>4001/4002</v>
      </c>
      <c r="L210" s="22" t="str">
        <f>VLOOKUP(A210,'Trips&amp;Operators'!$C$1:$E$10000,3,FALSE)</f>
        <v>MACDONALD</v>
      </c>
      <c r="M210" s="6">
        <f t="shared" si="75"/>
        <v>0</v>
      </c>
      <c r="N210" s="7">
        <f t="shared" si="68"/>
        <v>0</v>
      </c>
      <c r="O210" s="7"/>
      <c r="P210" s="7"/>
      <c r="Q210" s="23"/>
      <c r="R210" s="23"/>
      <c r="S210" s="35">
        <f t="shared" si="69"/>
        <v>1</v>
      </c>
      <c r="T210" s="50" t="str">
        <f t="shared" si="76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18:36:32-0600',mode:absolute,to:'1969-12-31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0" s="52" t="str">
        <f t="shared" si="78"/>
        <v>Y</v>
      </c>
      <c r="X210" s="177">
        <f t="shared" si="67"/>
        <v>1</v>
      </c>
      <c r="Y210" s="67">
        <f t="shared" si="70"/>
        <v>4.5499999999999999E-2</v>
      </c>
      <c r="Z210" s="67">
        <f t="shared" si="71"/>
        <v>2.3302</v>
      </c>
      <c r="AA210" s="67">
        <f t="shared" si="79"/>
        <v>2.2847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0307-02</v>
      </c>
      <c r="AE210" s="91" t="str">
        <f t="shared" si="8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0" s="88" t="str">
        <f t="shared" si="82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0" s="1" t="str">
        <f t="shared" si="83"/>
        <v>Other</v>
      </c>
      <c r="AH210" s="92" t="str">
        <f t="shared" si="72"/>
        <v>"%USERPROFILE%\Documents\GitHub\eaglep3\Utilities\RefineRTDCRunTimes.py" --tripid 307-02 --locoid 4002 --swversion DE.1.0.8.0 --startMP 204:455 --initTime 2016-11-02T19:36:32 --startdatetime 1969-12-31T17:00:00 --delay 1 --endMP 300:23302 --enddatetime 1969-12-31T17:00:00 --enforcementcount 0 &gt;&gt;C:\Users\stu\Documents\GitHub\eaglep3-reporting\EC\2016-11-02-refined-times.txt</v>
      </c>
      <c r="AI210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444</v>
      </c>
      <c r="B211" s="7">
        <v>4008</v>
      </c>
      <c r="C211" s="22" t="s">
        <v>249</v>
      </c>
      <c r="D211" s="22" t="s">
        <v>701</v>
      </c>
      <c r="E211" s="13">
        <v>42676.175069444442</v>
      </c>
      <c r="F211" s="13">
        <v>42676.178506944445</v>
      </c>
      <c r="G211" s="7">
        <v>4</v>
      </c>
      <c r="H211" s="13" t="s">
        <v>181</v>
      </c>
      <c r="I211" s="13">
        <v>42676.18608796296</v>
      </c>
      <c r="J211" s="7">
        <v>0</v>
      </c>
      <c r="K211" s="112" t="str">
        <f t="shared" si="74"/>
        <v>4007/4008</v>
      </c>
      <c r="L211" s="22" t="str">
        <f>VLOOKUP(A211,'Trips&amp;Operators'!$C$1:$E$10000,3,FALSE)</f>
        <v>RICHARDSON</v>
      </c>
      <c r="M211" s="6">
        <f t="shared" si="75"/>
        <v>7.5810185153386556E-3</v>
      </c>
      <c r="N211" s="7">
        <f t="shared" si="68"/>
        <v>10.916666662087664</v>
      </c>
      <c r="O211" s="7"/>
      <c r="P211" s="7"/>
      <c r="Q211" s="23"/>
      <c r="R211" s="23"/>
      <c r="S211" s="35">
        <f t="shared" si="69"/>
        <v>1</v>
      </c>
      <c r="T211" s="50" t="str">
        <f t="shared" si="76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03:12:06-0600',mode:absolute,to:'2016-11-02 05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1" s="52" t="str">
        <f t="shared" si="78"/>
        <v>Y</v>
      </c>
      <c r="X211" s="177">
        <f t="shared" si="67"/>
        <v>1</v>
      </c>
      <c r="Y211" s="67">
        <f t="shared" si="70"/>
        <v>2.3209</v>
      </c>
      <c r="Z211" s="67">
        <f t="shared" si="71"/>
        <v>1.41E-2</v>
      </c>
      <c r="AA211" s="67">
        <f t="shared" si="79"/>
        <v>2.3068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0308-02</v>
      </c>
      <c r="AE211" s="91" t="str">
        <f t="shared" si="81"/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AF211" s="88" t="str">
        <f t="shared" si="82"/>
        <v>"C:\Program Files (x86)\AstroGrep\AstroGrep.exe" /spath="%USERPROFILE%\AppData\Local\Temp\OnboardLogs" /stypes="app*4008*20161102*" /stext=" 10:.+((SYSTEM_STATE.+slice.+state.+changed )|(ment ac)|(system.+state.+changed )|(\[timeout)|(PRM\|1\|D)|(kpr)|(kdp)|(\|lc)|(penalty))" /e /r /s</v>
      </c>
      <c r="AG211" s="1" t="str">
        <f t="shared" si="83"/>
        <v>Other</v>
      </c>
      <c r="AH211" s="92" t="str">
        <f t="shared" si="72"/>
        <v>"%USERPROFILE%\Documents\GitHub\eaglep3\Utilities\RefineRTDCRunTimes.py" --tripid 308-02 --locoid 4008 --swversion DE.1.0.8.0 --startMP 300:23209 --initTime 2016-11-02T04:12:06 --startdatetime 2016-11-02T04:17:03 --delay 4 --endMP 204:141 --enddatetime 2016-11-02T04:27:58 --enforcementcount 0 &gt;&gt;C:\Users\stu\Documents\GitHub\eaglep3-reporting\EC\2016-11-02-refined-times.txt</v>
      </c>
      <c r="AI211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{"issue":{"subject":"","project_id":79,"tracker_id":40,"status_id":1,"priority_id":2,"assigned_to_id":23,"start_date":"2016-11-02","description":"","custom_fields":[{"id":1,"name":"Subdivision","value":"Other"},{"id":4,"name":"Milepost","value":"0.0141"},{"id":17,"name":"Train ID","value":"308-02"},{"id":16,"name":"Locomotive ID","value":"4008"},{"id":130,"name":"Impact","value":""},{"id":150,"name":"Time of Event (Mountain Time)","value":"04:27:58"},{"id":151,"name":"Denver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633</v>
      </c>
      <c r="B212" s="7">
        <v>4009</v>
      </c>
      <c r="C212" s="22" t="s">
        <v>249</v>
      </c>
      <c r="D212" s="22" t="s">
        <v>214</v>
      </c>
      <c r="E212" s="13">
        <v>42677.03125</v>
      </c>
      <c r="F212" s="13">
        <v>25568.708333333332</v>
      </c>
      <c r="G212" s="7">
        <v>1</v>
      </c>
      <c r="H212" s="13" t="s">
        <v>694</v>
      </c>
      <c r="I212" s="13">
        <v>25568.708333333332</v>
      </c>
      <c r="J212" s="7">
        <v>0</v>
      </c>
      <c r="K212" s="112" t="str">
        <f t="shared" si="74"/>
        <v>4009/4010</v>
      </c>
      <c r="L212" s="22" t="str">
        <f>VLOOKUP(A212,'Trips&amp;Operators'!$C$1:$E$10000,3,FALSE)</f>
        <v>STAMBAUGH</v>
      </c>
      <c r="M212" s="6">
        <f t="shared" si="75"/>
        <v>0</v>
      </c>
      <c r="N212" s="7">
        <f t="shared" si="68"/>
        <v>0</v>
      </c>
      <c r="O212" s="7"/>
      <c r="P212" s="7"/>
      <c r="Q212" s="23"/>
      <c r="R212" s="23"/>
      <c r="S212" s="35">
        <f t="shared" si="69"/>
        <v>1</v>
      </c>
      <c r="T212" s="50" t="str">
        <f t="shared" si="76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23:45:00-0600',mode:absolute,to:'1969-12-31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2" s="52" t="str">
        <f t="shared" si="78"/>
        <v>Y</v>
      </c>
      <c r="X212" s="177">
        <f t="shared" si="67"/>
        <v>1</v>
      </c>
      <c r="Y212" s="67">
        <f t="shared" si="70"/>
        <v>4.5999999999999999E-2</v>
      </c>
      <c r="Z212" s="67">
        <f t="shared" si="71"/>
        <v>2.3300999999999998</v>
      </c>
      <c r="AA212" s="67">
        <f t="shared" si="79"/>
        <v>2.2841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0309-02</v>
      </c>
      <c r="AE212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2" s="88" t="str">
        <f t="shared" si="82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12" s="1" t="str">
        <f t="shared" si="83"/>
        <v>Other</v>
      </c>
      <c r="AH212" s="92" t="str">
        <f t="shared" si="72"/>
        <v>"%USERPROFILE%\Documents\GitHub\eaglep3\Utilities\RefineRTDCRunTimes.py" --tripid 309-02 --locoid 4009 --swversion DE.1.0.8.0 --startMP 204:460 --initTime 2016-11-03T00:45:00 --startdatetime 1969-12-31T17:00:00 --delay 1 --endMP 300:23301 --enddatetime 1969-12-31T17:00:00 --enforcementcount 0 &gt;&gt;C:\Users\stu\Documents\GitHub\eaglep3-reporting\EC\2016-11-02-refined-times.txt</v>
      </c>
      <c r="AI212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ID","value":"309-02"},{"id":16,"name":"Locomotive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7" t="s">
        <v>445</v>
      </c>
      <c r="B213" s="7">
        <v>4004</v>
      </c>
      <c r="C213" s="22" t="s">
        <v>249</v>
      </c>
      <c r="D213" s="22" t="s">
        <v>702</v>
      </c>
      <c r="E213" s="13">
        <v>42676.184351851851</v>
      </c>
      <c r="F213" s="13">
        <v>42676.185787037037</v>
      </c>
      <c r="G213" s="7">
        <v>1</v>
      </c>
      <c r="H213" s="13" t="s">
        <v>703</v>
      </c>
      <c r="I213" s="13">
        <v>42676.193842592591</v>
      </c>
      <c r="J213" s="7">
        <v>0</v>
      </c>
      <c r="K213" s="112" t="str">
        <f t="shared" si="74"/>
        <v>4003/4004</v>
      </c>
      <c r="L213" s="22" t="str">
        <f>VLOOKUP(A213,'Trips&amp;Operators'!$C$1:$E$10000,3,FALSE)</f>
        <v>BADERTSCHER</v>
      </c>
      <c r="M213" s="6">
        <f t="shared" si="75"/>
        <v>8.0555555541650392E-3</v>
      </c>
      <c r="N213" s="7">
        <f t="shared" si="68"/>
        <v>11.599999997997656</v>
      </c>
      <c r="O213" s="7"/>
      <c r="P213" s="7"/>
      <c r="Q213" s="23"/>
      <c r="R213" s="23"/>
      <c r="S213" s="35">
        <f t="shared" si="69"/>
        <v>1</v>
      </c>
      <c r="T213" s="50" t="str">
        <f t="shared" si="76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03:25:28-0600',mode:absolute,to:'2016-11-02 05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3" s="52" t="str">
        <f t="shared" si="78"/>
        <v>Y</v>
      </c>
      <c r="X213" s="177">
        <f t="shared" si="67"/>
        <v>1</v>
      </c>
      <c r="Y213" s="67">
        <f t="shared" si="70"/>
        <v>2.1858</v>
      </c>
      <c r="Z213" s="67">
        <f t="shared" si="71"/>
        <v>1.2999999999999999E-2</v>
      </c>
      <c r="AA213" s="67">
        <f t="shared" si="79"/>
        <v>2.1728000000000001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0310-02</v>
      </c>
      <c r="AE213" s="91" t="str">
        <f t="shared" si="81"/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AF213" s="88" t="str">
        <f t="shared" si="82"/>
        <v>"C:\Program Files (x86)\AstroGrep\AstroGrep.exe" /spath="%USERPROFILE%\AppData\Local\Temp\OnboardLogs" /stypes="app*4004*20161102*" /stext=" 10:.+((SYSTEM_STATE.+slice.+state.+changed )|(ment ac)|(system.+state.+changed )|(\[timeout)|(PRM\|1\|D)|(kpr)|(kdp)|(\|lc)|(penalty))" /e /r /s</v>
      </c>
      <c r="AG213" s="1" t="str">
        <f t="shared" si="83"/>
        <v>Other</v>
      </c>
      <c r="AH213" s="92" t="str">
        <f t="shared" si="72"/>
        <v>"%USERPROFILE%\Documents\GitHub\eaglep3\Utilities\RefineRTDCRunTimes.py" --tripid 310-02 --locoid 4004 --swversion DE.1.0.8.0 --startMP 300:21858 --initTime 2016-11-02T04:25:28 --startdatetime 2016-11-02T04:27:32 --delay 1 --endMP 204:130 --enddatetime 2016-11-02T04:39:08 --enforcementcount 0 &gt;&gt;C:\Users\stu\Documents\GitHub\eaglep3-reporting\EC\2016-11-02-refined-times.txt</v>
      </c>
      <c r="AI213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{"issue":{"subject":"","project_id":79,"tracker_id":40,"status_id":1,"priority_id":2,"assigned_to_id":23,"start_date":"2016-11-02","description":"","custom_fields":[{"id":1,"name":"Subdivision","value":"Other"},{"id":4,"name":"Milepost","value":"0.013"},{"id":17,"name":"Train ID","value":"310-02"},{"id":16,"name":"Locomotive ID","value":"4004"},{"id":130,"name":"Impact","value":""},{"id":150,"name":"Time of Event (Mountain Time)","value":"04:39:08"},{"id":151,"name":"Denver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635</v>
      </c>
      <c r="B214" s="7">
        <v>4018</v>
      </c>
      <c r="C214" s="22" t="s">
        <v>249</v>
      </c>
      <c r="D214" s="22" t="s">
        <v>215</v>
      </c>
      <c r="E214" s="13">
        <v>42677.045659722222</v>
      </c>
      <c r="F214" s="13">
        <v>25568.708333333332</v>
      </c>
      <c r="G214" s="7">
        <v>1</v>
      </c>
      <c r="H214" s="13" t="s">
        <v>704</v>
      </c>
      <c r="I214" s="13">
        <v>25568.708333333332</v>
      </c>
      <c r="J214" s="7">
        <v>0</v>
      </c>
      <c r="K214" s="112" t="str">
        <f t="shared" si="74"/>
        <v>4017/4018</v>
      </c>
      <c r="L214" s="22" t="str">
        <f>VLOOKUP(A214,'Trips&amp;Operators'!$C$1:$E$10000,3,FALSE)</f>
        <v>MAGEE</v>
      </c>
      <c r="M214" s="6">
        <f t="shared" si="75"/>
        <v>0</v>
      </c>
      <c r="N214" s="7">
        <f t="shared" si="68"/>
        <v>0</v>
      </c>
      <c r="O214" s="7"/>
      <c r="P214" s="7"/>
      <c r="Q214" s="23"/>
      <c r="R214" s="23"/>
      <c r="S214" s="35">
        <f t="shared" si="69"/>
        <v>1</v>
      </c>
      <c r="T214" s="50" t="str">
        <f t="shared" si="76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https://search-rtdc-monitor-bjffxe2xuh6vdkpspy63sjmuny.us-east-1.es.amazonaws.com/_plugin/kibana/#/discover/Steve-Slow-Train-Analysis-(2080s-and-2083s)?_g=(refreshInterval:(display:Off,section:0,value:0),time:(from:'2016-11-03 00:05:45-0600',mode:absolute,to:'1969-12-31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78"/>
        <v>Y</v>
      </c>
      <c r="X214" s="177">
        <f t="shared" si="67"/>
        <v>1</v>
      </c>
      <c r="Y214" s="67">
        <f t="shared" si="70"/>
        <v>4.5100000000000001E-2</v>
      </c>
      <c r="Z214" s="67">
        <f t="shared" si="71"/>
        <v>2.3064</v>
      </c>
      <c r="AA214" s="67">
        <f t="shared" si="79"/>
        <v>2.2612999999999999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0311-02</v>
      </c>
      <c r="AE214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4" s="88" t="str">
        <f t="shared" si="8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14" s="1" t="str">
        <f t="shared" si="83"/>
        <v>Other</v>
      </c>
      <c r="AH214" s="92" t="str">
        <f t="shared" si="72"/>
        <v>"%USERPROFILE%\Documents\GitHub\eaglep3\Utilities\RefineRTDCRunTimes.py" --tripid 311-02 --locoid 4018 --swversion DE.1.0.8.0 --startMP 204:451 --initTime 2016-11-03T01:05:45 --startdatetime 1969-12-31T17:00:00 --delay 1 --endMP 300:23064 --enddatetime 1969-12-31T17:00:00 --enforcementcount 0 &gt;&gt;C:\Users\stu\Documents\GitHub\eaglep3-reporting\EC\2016-11-02-refined-times.txt</v>
      </c>
      <c r="AI214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{"issue":{"subject":"","project_id":79,"tracker_id":40,"status_id":1,"priority_id":2,"assigned_to_id":23,"start_date":"1969-12-31","description":"","custom_fields":[{"id":1,"name":"Subdivision","value":"Other"},{"id":4,"name":"Milepost","value":"2.3064"},{"id":17,"name":"Train ID","value":"311-02"},{"id":16,"name":"Locomotive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350</v>
      </c>
      <c r="B215" s="7">
        <v>4040</v>
      </c>
      <c r="C215" s="22" t="s">
        <v>249</v>
      </c>
      <c r="D215" s="22" t="s">
        <v>370</v>
      </c>
      <c r="E215" s="13">
        <v>42676.091898148145</v>
      </c>
      <c r="F215" s="13">
        <v>42676.093136574076</v>
      </c>
      <c r="G215" s="7">
        <v>1</v>
      </c>
      <c r="H215" s="13" t="s">
        <v>371</v>
      </c>
      <c r="I215" s="13">
        <v>42676.100023148145</v>
      </c>
      <c r="J215" s="7">
        <v>0</v>
      </c>
      <c r="K215" s="112" t="str">
        <f t="shared" si="74"/>
        <v>4039/4040</v>
      </c>
      <c r="L215" s="22" t="str">
        <f>VLOOKUP(A215,'Trips&amp;Operators'!$C$1:$E$10000,3,FALSE)</f>
        <v>CHANDLER</v>
      </c>
      <c r="M215" s="6">
        <f t="shared" si="75"/>
        <v>6.8865740686305799E-3</v>
      </c>
      <c r="N215" s="7">
        <f t="shared" si="68"/>
        <v>9.916666658828035</v>
      </c>
      <c r="O215" s="7"/>
      <c r="P215" s="7"/>
      <c r="Q215" s="23"/>
      <c r="R215" s="23"/>
      <c r="S215" s="35">
        <f t="shared" si="69"/>
        <v>1</v>
      </c>
      <c r="T215" s="50" t="str">
        <f t="shared" si="76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01:12:20-0600',mode:absolute,to:'2016-11-02 03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5" s="52" t="str">
        <f t="shared" si="78"/>
        <v>Y</v>
      </c>
      <c r="X215" s="177">
        <f t="shared" si="67"/>
        <v>4</v>
      </c>
      <c r="Y215" s="67">
        <f t="shared" si="70"/>
        <v>3.8800000000000001E-2</v>
      </c>
      <c r="Z215" s="67">
        <f t="shared" si="71"/>
        <v>2.2231000000000001</v>
      </c>
      <c r="AA215" s="67">
        <f t="shared" si="79"/>
        <v>2.1842999999999999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0315-01</v>
      </c>
      <c r="AE215" s="91" t="str">
        <f t="shared" si="81"/>
        <v>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 &amp; 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</v>
      </c>
      <c r="AF215" s="88" t="str">
        <f t="shared" si="82"/>
        <v>"C:\Program Files (x86)\AstroGrep\AstroGrep.exe" /spath="%USERPROFILE%\AppData\Local\Temp\OnboardLogs" /stypes="app*4040*20161102*" /stext=" 08:.+((SYSTEM_STATE.+slice.+state.+changed )|(ment ac)|(system.+state.+changed )|(\[timeout)|(PRM\|1\|D)|(kpr)|(kdp)|(\|lc)|(penalty))" /e /r /s</v>
      </c>
      <c r="AG215" s="1" t="str">
        <f t="shared" si="83"/>
        <v>Other</v>
      </c>
      <c r="AH215" s="92" t="str">
        <f t="shared" si="72"/>
        <v>"%USERPROFILE%\Documents\GitHub\eaglep3\Utilities\RefineRTDCRunTimes.py" --tripid 315-01 --locoid 4040 --swversion DE.1.0.8.0 --startMP 204:388 --initTime 2016-11-02T02:12:20 --startdatetime 2016-11-02T02:14:07 --delay 1 --endMP 300:22231 --enddatetime 2016-11-02T02:24:02 --enforcementcount 0 &gt;&gt;C:\Users\stu\Documents\GitHub\eaglep3-reporting\EC\2016-11-02-refined-times.txt</v>
      </c>
      <c r="AI215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{"issue":{"subject":"","project_id":79,"tracker_id":40,"status_id":1,"priority_id":2,"assigned_to_id":23,"start_date":"2016-11-02","description":"","custom_fields":[{"id":1,"name":"Subdivision","value":"Other"},{"id":4,"name":"Milepost","value":"2.2231"},{"id":17,"name":"Train ID","value":"315-01"},{"id":16,"name":"Locomotive ID","value":"4040"},{"id":130,"name":"Impact","value":""},{"id":150,"name":"Time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637</v>
      </c>
      <c r="B216" s="7">
        <v>4007</v>
      </c>
      <c r="C216" s="22" t="s">
        <v>249</v>
      </c>
      <c r="D216" s="22" t="s">
        <v>255</v>
      </c>
      <c r="E216" s="13">
        <v>42677.087719907409</v>
      </c>
      <c r="F216" s="13">
        <v>25568.708333333332</v>
      </c>
      <c r="G216" s="7">
        <v>1</v>
      </c>
      <c r="H216" s="13" t="s">
        <v>705</v>
      </c>
      <c r="I216" s="13">
        <v>25568.708333333332</v>
      </c>
      <c r="J216" s="7">
        <v>0</v>
      </c>
      <c r="K216" s="112" t="str">
        <f t="shared" si="74"/>
        <v>4007/4008</v>
      </c>
      <c r="L216" s="22" t="str">
        <f>VLOOKUP(A216,'Trips&amp;Operators'!$C$1:$E$10000,3,FALSE)</f>
        <v>CRAYTON</v>
      </c>
      <c r="M216" s="6">
        <f t="shared" si="75"/>
        <v>0</v>
      </c>
      <c r="N216" s="7">
        <f t="shared" si="68"/>
        <v>0</v>
      </c>
      <c r="O216" s="7"/>
      <c r="P216" s="7"/>
      <c r="Q216" s="23"/>
      <c r="R216" s="23"/>
      <c r="S216" s="35">
        <f t="shared" si="69"/>
        <v>1</v>
      </c>
      <c r="T216" s="50" t="str">
        <f t="shared" si="76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https://search-rtdc-monitor-bjffxe2xuh6vdkpspy63sjmuny.us-east-1.es.amazonaws.com/_plugin/kibana/#/discover/Steve-Slow-Train-Analysis-(2080s-and-2083s)?_g=(refreshInterval:(display:Off,section:0,value:0),time:(from:'2016-11-03 01:06:19-0600',mode:absolute,to:'1969-12-31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6" s="52" t="str">
        <f t="shared" si="78"/>
        <v>Y</v>
      </c>
      <c r="X216" s="177">
        <f t="shared" si="67"/>
        <v>0</v>
      </c>
      <c r="Y216" s="67">
        <f t="shared" si="70"/>
        <v>4.58E-2</v>
      </c>
      <c r="Z216" s="67">
        <f t="shared" si="71"/>
        <v>2.3128000000000002</v>
      </c>
      <c r="AA216" s="67">
        <f t="shared" si="79"/>
        <v>2.2670000000000003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0315-02</v>
      </c>
      <c r="AE216" s="91" t="str">
        <f t="shared" si="8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6" s="88" t="str">
        <f t="shared" si="82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6" s="1" t="str">
        <f t="shared" si="83"/>
        <v>Other</v>
      </c>
      <c r="AH216" s="92" t="str">
        <f t="shared" si="72"/>
        <v>"%USERPROFILE%\Documents\GitHub\eaglep3\Utilities\RefineRTDCRunTimes.py" --tripid 315-02 --locoid 4007 --swversion DE.1.0.8.0 --startMP 204:458 --initTime 2016-11-03T02:06:19 --startdatetime 1969-12-31T17:00:00 --delay 1 --endMP 300:23128 --enddatetime 1969-12-31T17:00:00 --enforcementcount 0 &gt;&gt;C:\Users\stu\Documents\GitHub\eaglep3-reporting\EC\2016-11-02-refined-times.txt</v>
      </c>
      <c r="AI216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{"issue":{"subject":"","project_id":79,"tracker_id":40,"status_id":1,"priority_id":2,"assigned_to_id":23,"start_date":"1969-12-31","description":"","custom_fields":[{"id":1,"name":"Subdivision","value":"Other"},{"id":4,"name":"Milepost","value":"2.3128"},{"id":17,"name":"Train ID","value":"315-02"},{"id":16,"name":"Locomotive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400</v>
      </c>
      <c r="B217" s="7">
        <v>4031</v>
      </c>
      <c r="C217" s="22" t="s">
        <v>249</v>
      </c>
      <c r="D217" s="22" t="s">
        <v>767</v>
      </c>
      <c r="E217" s="13">
        <v>42676.20113425926</v>
      </c>
      <c r="F217" s="13">
        <v>42676.205949074072</v>
      </c>
      <c r="G217" s="7">
        <v>6</v>
      </c>
      <c r="H217" s="13" t="s">
        <v>768</v>
      </c>
      <c r="I217" s="13">
        <v>42676.207025462965</v>
      </c>
      <c r="J217" s="7">
        <v>0</v>
      </c>
      <c r="K217" s="112" t="str">
        <f t="shared" si="74"/>
        <v>4031/4032</v>
      </c>
      <c r="L217" s="22" t="str">
        <f>VLOOKUP(A217,'Trips&amp;Operators'!$C$1:$E$10000,3,FALSE)</f>
        <v>STARKS</v>
      </c>
      <c r="M217" s="6">
        <f t="shared" si="75"/>
        <v>1.0763888931251131E-3</v>
      </c>
      <c r="N217" s="7">
        <f t="shared" si="68"/>
        <v>1.5500000061001629</v>
      </c>
      <c r="O217" s="7"/>
      <c r="P217" s="7"/>
      <c r="Q217" s="23"/>
      <c r="R217" s="23"/>
      <c r="S217" s="35">
        <f t="shared" si="69"/>
        <v>0</v>
      </c>
      <c r="T217" s="50" t="str">
        <f t="shared" si="76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03:49:38-0600',mode:absolute,to:'2016-11-02 05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7" s="52" t="str">
        <f t="shared" si="78"/>
        <v>Y</v>
      </c>
      <c r="X217" s="177">
        <f t="shared" si="67"/>
        <v>586</v>
      </c>
      <c r="Y217" s="67">
        <f t="shared" si="70"/>
        <v>2.9460999999999999</v>
      </c>
      <c r="Z217" s="67">
        <f t="shared" si="71"/>
        <v>3.2978999999999998</v>
      </c>
      <c r="AA217" s="67">
        <f t="shared" si="79"/>
        <v>0.35179999999999989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0901-02</v>
      </c>
      <c r="AE217" s="91" t="str">
        <f t="shared" si="8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217" s="88" t="str">
        <f t="shared" si="82"/>
        <v>"C:\Program Files (x86)\AstroGrep\AstroGrep.exe" /spath="%USERPROFILE%\AppData\Local\Temp\OnboardLogs" /stypes="app*4031*20161102*" /stext=" 10:.+((SYSTEM_STATE.+slice.+state.+changed )|(ment ac)|(system.+state.+changed )|(\[timeout)|(PRM\|1\|D)|(kpr)|(kdp)|(\|lc)|(penalty))" /e /r /s</v>
      </c>
      <c r="AG217" s="1" t="str">
        <f t="shared" si="83"/>
        <v>Other</v>
      </c>
      <c r="AH217" s="92" t="str">
        <f t="shared" si="72"/>
        <v>"%USERPROFILE%\Documents\GitHub\eaglep3\Utilities\RefineRTDCRunTimes.py" --tripid 901-02 --locoid 4031 --swversion DE.1.0.8.0 --startMP 300:29461 --initTime 2016-11-02T04:49:38 --startdatetime 2016-11-02T04:56:34 --delay 6 --endMP 300:32979 --enddatetime 2016-11-02T04:58:07 --enforcementcount 0 &gt;&gt;C:\Users\stu\Documents\GitHub\eaglep3-reporting\EC\2016-11-02-refined-times.txt</v>
      </c>
      <c r="AI217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{"issue":{"subject":"","project_id":79,"tracker_id":40,"status_id":1,"priority_id":2,"assigned_to_id":23,"start_date":"2016-11-02","description":"","custom_fields":[{"id":1,"name":"Subdivision","value":"Other"},{"id":4,"name":"Milepost","value":"3.2979"},{"id":17,"name":"Train ID","value":"901-02"},{"id":16,"name":"Locomotive ID","value":"4031"},{"id":130,"name":"Impact","value":""},{"id":150,"name":"Time of Event (Mountain Time)","value":"04:58:07"},{"id":151,"name":"Denver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462</v>
      </c>
      <c r="B218" s="7">
        <v>4026</v>
      </c>
      <c r="C218" s="22" t="s">
        <v>249</v>
      </c>
      <c r="D218" s="22" t="s">
        <v>769</v>
      </c>
      <c r="E218" s="13">
        <v>42676.250034722223</v>
      </c>
      <c r="F218" s="13">
        <v>42676.25199074074</v>
      </c>
      <c r="G218" s="7">
        <v>1</v>
      </c>
      <c r="H218" s="13" t="s">
        <v>734</v>
      </c>
      <c r="I218" s="13">
        <v>42676.257754629631</v>
      </c>
      <c r="J218" s="7">
        <v>0</v>
      </c>
      <c r="K218" s="112" t="str">
        <f t="shared" si="74"/>
        <v>4025/4026</v>
      </c>
      <c r="L218" s="22" t="str">
        <f>VLOOKUP(A218,'Trips&amp;Operators'!$C$1:$E$10000,3,FALSE)</f>
        <v>DAVIDSON</v>
      </c>
      <c r="M218" s="6">
        <f t="shared" si="75"/>
        <v>5.7638888902147301E-3</v>
      </c>
      <c r="N218" s="7">
        <f t="shared" si="68"/>
        <v>8.3000000019092113</v>
      </c>
      <c r="O218" s="7"/>
      <c r="P218" s="7"/>
      <c r="Q218" s="23"/>
      <c r="R218" s="23"/>
      <c r="S218" s="35">
        <f t="shared" si="69"/>
        <v>1</v>
      </c>
      <c r="T218" s="50" t="str">
        <f t="shared" si="76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05:00:03-0600',mode:absolute,to:'2016-11-02 07:11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8" s="52" t="str">
        <f t="shared" si="78"/>
        <v>Y</v>
      </c>
      <c r="X218" s="177">
        <f t="shared" si="67"/>
        <v>1</v>
      </c>
      <c r="Y218" s="67">
        <f t="shared" si="70"/>
        <v>2.2286000000000001</v>
      </c>
      <c r="Z218" s="67">
        <f t="shared" si="71"/>
        <v>6.9199999999999998E-2</v>
      </c>
      <c r="AA218" s="67">
        <f t="shared" si="79"/>
        <v>2.1594000000000002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0902-02</v>
      </c>
      <c r="AE218" s="91" t="str">
        <f t="shared" si="8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218" s="88" t="str">
        <f t="shared" si="82"/>
        <v>"C:\Program Files (x86)\AstroGrep\AstroGrep.exe" /spath="%USERPROFILE%\AppData\Local\Temp\OnboardLogs" /stypes="app*4026*20161102*" /stext=" 12:.+((SYSTEM_STATE.+slice.+state.+changed )|(ment ac)|(system.+state.+changed )|(\[timeout)|(PRM\|1\|D)|(kpr)|(kdp)|(\|lc)|(penalty))" /e /r /s</v>
      </c>
      <c r="AG218" s="1" t="str">
        <f t="shared" si="83"/>
        <v>Other</v>
      </c>
      <c r="AH218" s="92" t="str">
        <f t="shared" si="72"/>
        <v>"%USERPROFILE%\Documents\GitHub\eaglep3\Utilities\RefineRTDCRunTimes.py" --tripid 902-02 --locoid 4026 --swversion DE.1.0.8.0 --startMP 300:22286 --initTime 2016-11-02T06:00:03 --startdatetime 2016-11-02T06:02:52 --delay 1 --endMP 204:692 --enddatetime 2016-11-02T06:11:10 --enforcementcount 0 &gt;&gt;C:\Users\stu\Documents\GitHub\eaglep3-reporting\EC\2016-11-02-refined-times.txt</v>
      </c>
      <c r="AI218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{"issue":{"subject":"","project_id":79,"tracker_id":40,"status_id":1,"priority_id":2,"assigned_to_id":23,"start_date":"2016-11-02","description":"","custom_fields":[{"id":1,"name":"Subdivision","value":"Other"},{"id":4,"name":"Milepost","value":"0.0692"},{"id":17,"name":"Train ID","value":"902-02"},{"id":16,"name":"Locomotive ID","value":"4026"},{"id":130,"name":"Impact","value":""},{"id":150,"name":"Time of Event (Mountain Time)","value":"06:11:10"},{"id":151,"name":"Denver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488</v>
      </c>
      <c r="B219" s="7">
        <v>4031</v>
      </c>
      <c r="C219" s="22" t="s">
        <v>249</v>
      </c>
      <c r="D219" s="22" t="s">
        <v>770</v>
      </c>
      <c r="E219" s="13">
        <v>42676.356145833335</v>
      </c>
      <c r="F219" s="13">
        <v>42676.357534722221</v>
      </c>
      <c r="G219" s="7">
        <v>1</v>
      </c>
      <c r="H219" s="13" t="s">
        <v>771</v>
      </c>
      <c r="I219" s="13">
        <v>42676.363854166666</v>
      </c>
      <c r="J219" s="7">
        <v>0</v>
      </c>
      <c r="K219" s="112" t="str">
        <f t="shared" si="74"/>
        <v>4031/4032</v>
      </c>
      <c r="L219" s="22" t="str">
        <f>VLOOKUP(A219,'Trips&amp;Operators'!$C$1:$E$10000,3,FALSE)</f>
        <v>STARKS</v>
      </c>
      <c r="M219" s="6">
        <f t="shared" si="75"/>
        <v>6.3194444446708076E-3</v>
      </c>
      <c r="N219" s="7">
        <f t="shared" si="68"/>
        <v>9.1000000003259629</v>
      </c>
      <c r="O219" s="7"/>
      <c r="P219" s="7"/>
      <c r="Q219" s="23"/>
      <c r="R219" s="23"/>
      <c r="S219" s="35">
        <f t="shared" si="69"/>
        <v>1</v>
      </c>
      <c r="T219" s="50" t="str">
        <f t="shared" si="76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07:32:51-0600',mode:absolute,to:'2016-11-02 09:43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9" s="52" t="str">
        <f t="shared" si="78"/>
        <v>Y</v>
      </c>
      <c r="X219" s="177">
        <f t="shared" si="67"/>
        <v>1</v>
      </c>
      <c r="Y219" s="67">
        <f t="shared" si="70"/>
        <v>0.1065</v>
      </c>
      <c r="Z219" s="67">
        <f t="shared" si="71"/>
        <v>2.4222000000000001</v>
      </c>
      <c r="AA219" s="67">
        <f t="shared" si="79"/>
        <v>2.3157000000000001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0"/>
        <v>0903-02</v>
      </c>
      <c r="AE219" s="91" t="str">
        <f t="shared" si="81"/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AF219" s="88" t="str">
        <f t="shared" si="82"/>
        <v>"C:\Program Files (x86)\AstroGrep\AstroGrep.exe" /spath="%USERPROFILE%\AppData\Local\Temp\OnboardLogs" /stypes="app*4031*20161102*" /stext=" 14:.+((SYSTEM_STATE.+slice.+state.+changed )|(ment ac)|(system.+state.+changed )|(\[timeout)|(PRM\|1\|D)|(kpr)|(kdp)|(\|lc)|(penalty))" /e /r /s</v>
      </c>
      <c r="AG219" s="1" t="str">
        <f t="shared" si="83"/>
        <v>Other</v>
      </c>
      <c r="AH219" s="92" t="str">
        <f t="shared" si="72"/>
        <v>"%USERPROFILE%\Documents\GitHub\eaglep3\Utilities\RefineRTDCRunTimes.py" --tripid 903-02 --locoid 4031 --swversion DE.1.0.8.0 --startMP 204:1065 --initTime 2016-11-02T08:32:51 --startdatetime 2016-11-02T08:34:51 --delay 1 --endMP 300:24222 --enddatetime 2016-11-02T08:43:57 --enforcementcount 0 &gt;&gt;C:\Users\stu\Documents\GitHub\eaglep3-reporting\EC\2016-11-02-refined-times.txt</v>
      </c>
      <c r="AI219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{"issue":{"subject":"","project_id":79,"tracker_id":40,"status_id":1,"priority_id":2,"assigned_to_id":23,"start_date":"2016-11-02","description":"","custom_fields":[{"id":1,"name":"Subdivision","value":"Other"},{"id":4,"name":"Milepost","value":"2.4222"},{"id":17,"name":"Train ID","value":"903-02"},{"id":16,"name":"Locomotive ID","value":"4031"},{"id":130,"name":"Impact","value":""},{"id":150,"name":"Time of Event (Mountain Time)","value":"08:43:57"},{"id":151,"name":"Denver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562</v>
      </c>
      <c r="B220" s="7">
        <v>4032</v>
      </c>
      <c r="C220" s="22" t="s">
        <v>249</v>
      </c>
      <c r="D220" s="22" t="s">
        <v>772</v>
      </c>
      <c r="E220" s="13">
        <v>42676.639074074075</v>
      </c>
      <c r="F220" s="13">
        <v>42676.640752314815</v>
      </c>
      <c r="G220" s="7">
        <v>1</v>
      </c>
      <c r="H220" s="13" t="s">
        <v>377</v>
      </c>
      <c r="I220" s="13">
        <v>42676.64775462963</v>
      </c>
      <c r="J220" s="7">
        <v>0</v>
      </c>
      <c r="K220" s="112" t="str">
        <f t="shared" si="74"/>
        <v>4031/4032</v>
      </c>
      <c r="L220" s="22" t="str">
        <f>VLOOKUP(A220,'Trips&amp;Operators'!$C$1:$E$10000,3,FALSE)</f>
        <v>JOHNSON</v>
      </c>
      <c r="M220" s="6">
        <f t="shared" si="75"/>
        <v>7.0023148145992309E-3</v>
      </c>
      <c r="N220" s="7">
        <f t="shared" si="68"/>
        <v>10.083333333022892</v>
      </c>
      <c r="O220" s="7"/>
      <c r="P220" s="7"/>
      <c r="Q220" s="23"/>
      <c r="R220" s="23"/>
      <c r="S220" s="35">
        <f t="shared" si="69"/>
        <v>1</v>
      </c>
      <c r="T220" s="50" t="str">
        <f t="shared" si="76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14:20:16-0600',mode:absolute,to:'2016-11-02 16:32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0" s="52" t="str">
        <f t="shared" si="78"/>
        <v>Y</v>
      </c>
      <c r="X220" s="177">
        <f t="shared" si="67"/>
        <v>1</v>
      </c>
      <c r="Y220" s="67">
        <f t="shared" si="70"/>
        <v>2.3266</v>
      </c>
      <c r="Z220" s="67">
        <f t="shared" si="71"/>
        <v>6.9400000000000003E-2</v>
      </c>
      <c r="AA220" s="67">
        <f t="shared" si="79"/>
        <v>2.2572000000000001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0"/>
        <v>0904-02</v>
      </c>
      <c r="AE220" s="91" t="str">
        <f t="shared" si="8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220" s="88" t="str">
        <f t="shared" si="82"/>
        <v>"C:\Program Files (x86)\AstroGrep\AstroGrep.exe" /spath="%USERPROFILE%\AppData\Local\Temp\OnboardLogs" /stypes="app*4032*20161102*" /stext=" 21:.+((SYSTEM_STATE.+slice.+state.+changed )|(ment ac)|(system.+state.+changed )|(\[timeout)|(PRM\|1\|D)|(kpr)|(kdp)|(\|lc)|(penalty))" /e /r /s</v>
      </c>
      <c r="AG220" s="1" t="str">
        <f t="shared" si="83"/>
        <v>Other</v>
      </c>
      <c r="AH220" s="92" t="str">
        <f t="shared" si="72"/>
        <v>"%USERPROFILE%\Documents\GitHub\eaglep3\Utilities\RefineRTDCRunTimes.py" --tripid 904-02 --locoid 4032 --swversion DE.1.0.8.0 --startMP 300:23266 --initTime 2016-11-02T15:20:16 --startdatetime 2016-11-02T15:22:41 --delay 1 --endMP 204:694 --enddatetime 2016-11-02T15:32:46 --enforcementcount 0 &gt;&gt;C:\Users\stu\Documents\GitHub\eaglep3-reporting\EC\2016-11-02-refined-times.txt</v>
      </c>
      <c r="AI220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{"issue":{"subject":"","project_id":79,"tracker_id":40,"status_id":1,"priority_id":2,"assigned_to_id":23,"start_date":"2016-11-02","description":"","custom_fields":[{"id":1,"name":"Subdivision","value":"Other"},{"id":4,"name":"Milepost","value":"0.0694"},{"id":17,"name":"Train ID","value":"904-02"},{"id":16,"name":"Locomotive ID","value":"4032"},{"id":130,"name":"Impact","value":""},{"id":150,"name":"Time of Event (Mountain Time)","value":"15:32:46"},{"id":151,"name":"Denver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605</v>
      </c>
      <c r="B221" s="7">
        <v>4032</v>
      </c>
      <c r="C221" s="22" t="s">
        <v>249</v>
      </c>
      <c r="D221" s="22" t="s">
        <v>773</v>
      </c>
      <c r="E221" s="13">
        <v>42676.796932870369</v>
      </c>
      <c r="F221" s="13">
        <v>42676.798379629632</v>
      </c>
      <c r="G221" s="7">
        <v>1</v>
      </c>
      <c r="H221" s="13" t="s">
        <v>774</v>
      </c>
      <c r="I221" s="13">
        <v>42676.803564814814</v>
      </c>
      <c r="J221" s="7">
        <v>0</v>
      </c>
      <c r="K221" s="112" t="str">
        <f t="shared" si="74"/>
        <v>4031/4032</v>
      </c>
      <c r="L221" s="22" t="str">
        <f>VLOOKUP(A221,'Trips&amp;Operators'!$C$1:$E$10000,3,FALSE)</f>
        <v>JOHNSON</v>
      </c>
      <c r="M221" s="6">
        <f t="shared" si="75"/>
        <v>5.1851851821993478E-3</v>
      </c>
      <c r="N221" s="7">
        <f t="shared" si="68"/>
        <v>7.4666666623670608</v>
      </c>
      <c r="O221" s="7"/>
      <c r="P221" s="7"/>
      <c r="Q221" s="23"/>
      <c r="R221" s="23"/>
      <c r="S221" s="35">
        <f t="shared" si="69"/>
        <v>0</v>
      </c>
      <c r="T221" s="50" t="str">
        <f t="shared" si="76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18:07:35-0600',mode:absolute,to:'2016-11-02 20:17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1" s="52" t="str">
        <f t="shared" si="78"/>
        <v>Y</v>
      </c>
      <c r="X221" s="177">
        <f t="shared" si="67"/>
        <v>2</v>
      </c>
      <c r="Y221" s="67">
        <f t="shared" si="70"/>
        <v>5.8638000000000003</v>
      </c>
      <c r="Z221" s="67">
        <f t="shared" si="71"/>
        <v>2.9148999999999998</v>
      </c>
      <c r="AA221" s="67">
        <f t="shared" si="79"/>
        <v>2.9489000000000005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0"/>
        <v>0906-02</v>
      </c>
      <c r="AE221" s="91" t="str">
        <f t="shared" si="81"/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AF221" s="88" t="str">
        <f t="shared" si="82"/>
        <v>"C:\Program Files (x86)\AstroGrep\AstroGrep.exe" /spath="%USERPROFILE%\AppData\Local\Temp\OnboardLogs" /stypes="app*4032*20161103*" /stext=" 01:.+((SYSTEM_STATE.+slice.+state.+changed )|(ment ac)|(system.+state.+changed )|(\[timeout)|(PRM\|1\|D)|(kpr)|(kdp)|(\|lc)|(penalty))" /e /r /s</v>
      </c>
      <c r="AG221" s="1" t="str">
        <f t="shared" si="83"/>
        <v>Other</v>
      </c>
      <c r="AH221" s="92" t="str">
        <f t="shared" si="72"/>
        <v>"%USERPROFILE%\Documents\GitHub\eaglep3\Utilities\RefineRTDCRunTimes.py" --tripid 906-02 --locoid 4032 --swversion DE.1.0.8.0 --startMP 300:58638 --initTime 2016-11-02T19:07:35 --startdatetime 2016-11-02T19:09:40 --delay 1 --endMP 300:29149 --enddatetime 2016-11-02T19:17:08 --enforcementcount 0 &gt;&gt;C:\Users\stu\Documents\GitHub\eaglep3-reporting\EC\2016-11-02-refined-times.txt</v>
      </c>
      <c r="AI221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{"issue":{"subject":"","project_id":79,"tracker_id":40,"status_id":1,"priority_id":2,"assigned_to_id":23,"start_date":"2016-11-02","description":"","custom_fields":[{"id":1,"name":"Subdivision","value":"Other"},{"id":4,"name":"Milepost","value":"2.9149"},{"id":17,"name":"Train ID","value":"906-02"},{"id":16,"name":"Locomotive ID","value":"4032"},{"id":130,"name":"Impact","value":""},{"id":150,"name":"Time of Event (Mountain Time)","value":"19:17:08"},{"id":151,"name":"Denver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624</v>
      </c>
      <c r="B222" s="7">
        <v>4026</v>
      </c>
      <c r="C222" s="22" t="s">
        <v>249</v>
      </c>
      <c r="D222" s="22" t="s">
        <v>384</v>
      </c>
      <c r="E222" s="13">
        <v>42676.943437499998</v>
      </c>
      <c r="F222" s="13">
        <v>42676.945590277777</v>
      </c>
      <c r="G222" s="7">
        <v>1</v>
      </c>
      <c r="H222" s="13" t="s">
        <v>775</v>
      </c>
      <c r="I222" s="13">
        <v>42676.95144675926</v>
      </c>
      <c r="J222" s="7">
        <v>0</v>
      </c>
      <c r="K222" s="112" t="str">
        <f t="shared" si="74"/>
        <v>4025/4026</v>
      </c>
      <c r="L222" s="22" t="str">
        <f>VLOOKUP(A222,'Trips&amp;Operators'!$C$1:$E$10000,3,FALSE)</f>
        <v>JOHNSON</v>
      </c>
      <c r="M222" s="6">
        <f t="shared" si="75"/>
        <v>5.8564814826240763E-3</v>
      </c>
      <c r="N222" s="7">
        <f t="shared" si="68"/>
        <v>8.4333333349786699</v>
      </c>
      <c r="O222" s="7"/>
      <c r="P222" s="7"/>
      <c r="Q222" s="23"/>
      <c r="R222" s="23"/>
      <c r="S222" s="35">
        <f t="shared" si="69"/>
        <v>0</v>
      </c>
      <c r="T222" s="50" t="str">
        <f t="shared" si="76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21:38:33-0600',mode:absolute,to:'2016-11-02 23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2" s="52" t="str">
        <f t="shared" si="78"/>
        <v>Y</v>
      </c>
      <c r="X222" s="177">
        <f t="shared" ref="X222:X231" si="84">VALUE(LEFT(AD222,4))-VALUE(LEFT(AD221,4))</f>
        <v>2</v>
      </c>
      <c r="Y222" s="67">
        <f t="shared" si="70"/>
        <v>5.8647</v>
      </c>
      <c r="Z222" s="67">
        <f t="shared" si="71"/>
        <v>2.1776</v>
      </c>
      <c r="AA222" s="67">
        <f t="shared" si="79"/>
        <v>3.6871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0"/>
        <v>0908-02</v>
      </c>
      <c r="AE222" s="91" t="str">
        <f t="shared" si="81"/>
        <v>aws s3 cp s3://rtdc.mdm.uploadarchive.raw/RTDC4026/ "%USERPROFILE%\AppData\Local\Temp\OnboardLogs"\RTDC4026\2016-11-02 --exclude "*" --recursive --include "*20161102*" &amp; "%USERPROFILE%\Documents\GitHub\mrs-test-scripts\Headless Mode &amp; Sideloading\WalkAndUnGZ.bat" "%USERPROFILE%\AppData\Local\Temp\OnboardLogs"\RTDC4026\2016-11-02 &amp; 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</v>
      </c>
      <c r="AF222" s="88" t="str">
        <f t="shared" si="82"/>
        <v>"C:\Program Files (x86)\AstroGrep\AstroGrep.exe" /spath="%USERPROFILE%\AppData\Local\Temp\OnboardLogs" /stypes="app*4026*20161103*" /stext=" 04:.+((SYSTEM_STATE.+slice.+state.+changed )|(ment ac)|(system.+state.+changed )|(\[timeout)|(PRM\|1\|D)|(kpr)|(kdp)|(\|lc)|(penalty))" /e /r /s</v>
      </c>
      <c r="AG222" s="1" t="str">
        <f t="shared" si="83"/>
        <v>Other</v>
      </c>
      <c r="AH222" s="92" t="str">
        <f t="shared" si="72"/>
        <v>"%USERPROFILE%\Documents\GitHub\eaglep3\Utilities\RefineRTDCRunTimes.py" --tripid 908-02 --locoid 4026 --swversion DE.1.0.8.0 --startMP 300:58647 --initTime 2016-11-02T22:38:33 --startdatetime 2016-11-02T22:41:39 --delay 1 --endMP 300:21776 --enddatetime 2016-11-02T22:50:05 --enforcementcount 0 &gt;&gt;C:\Users\stu\Documents\GitHub\eaglep3-reporting\EC\2016-11-02-refined-times.txt</v>
      </c>
      <c r="AI222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{"issue":{"subject":"","project_id":79,"tracker_id":40,"status_id":1,"priority_id":2,"assigned_to_id":23,"start_date":"2016-11-02","description":"","custom_fields":[{"id":1,"name":"Subdivision","value":"Other"},{"id":4,"name":"Milepost","value":"2.1776"},{"id":17,"name":"Train ID","value":"908-02"},{"id":16,"name":"Locomotive ID","value":"4026"},{"id":130,"name":"Impact","value":""},{"id":150,"name":"Time of Event (Mountain Time)","value":"22:50:05"},{"id":151,"name":"Denver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510</v>
      </c>
      <c r="B223" s="7">
        <v>4030</v>
      </c>
      <c r="C223" s="22" t="s">
        <v>249</v>
      </c>
      <c r="D223" s="22" t="s">
        <v>706</v>
      </c>
      <c r="E223" s="13">
        <v>42676.436099537037</v>
      </c>
      <c r="F223" s="13">
        <v>42676.437314814815</v>
      </c>
      <c r="G223" s="7">
        <v>1</v>
      </c>
      <c r="H223" s="13" t="s">
        <v>231</v>
      </c>
      <c r="I223" s="13">
        <v>42676.442476851851</v>
      </c>
      <c r="J223" s="7">
        <v>0</v>
      </c>
      <c r="K223" s="112" t="str">
        <f t="shared" si="74"/>
        <v>4029/4030</v>
      </c>
      <c r="L223" s="22" t="str">
        <f>VLOOKUP(A223,'Trips&amp;Operators'!$C$1:$E$10000,3,FALSE)</f>
        <v>HOLCOMB</v>
      </c>
      <c r="M223" s="6">
        <f t="shared" si="75"/>
        <v>5.1620370359160006E-3</v>
      </c>
      <c r="N223" s="7">
        <f t="shared" si="68"/>
        <v>7.4333333317190409</v>
      </c>
      <c r="O223" s="7"/>
      <c r="P223" s="7"/>
      <c r="Q223" s="23"/>
      <c r="R223" s="23"/>
      <c r="S223" s="35">
        <f t="shared" si="69"/>
        <v>0</v>
      </c>
      <c r="T223" s="50" t="e">
        <f t="shared" si="76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09:27:59-0600',mode:absolute,to:'2016-11-02 11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3" s="52" t="str">
        <f t="shared" si="78"/>
        <v>Y</v>
      </c>
      <c r="X223" s="177" t="e">
        <f t="shared" si="84"/>
        <v>#VALUE!</v>
      </c>
      <c r="Y223" s="67">
        <f t="shared" si="70"/>
        <v>2.1947000000000001</v>
      </c>
      <c r="Z223" s="67">
        <f t="shared" si="71"/>
        <v>1.38E-2</v>
      </c>
      <c r="AA223" s="67">
        <f t="shared" si="79"/>
        <v>2.1809000000000003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0"/>
        <v>50-02</v>
      </c>
      <c r="AE223" s="91" t="str">
        <f t="shared" si="81"/>
        <v>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 &amp; 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</v>
      </c>
      <c r="AF223" s="88" t="str">
        <f t="shared" si="82"/>
        <v>"C:\Program Files (x86)\AstroGrep\AstroGrep.exe" /spath="%USERPROFILE%\AppData\Local\Temp\OnboardLogs" /stypes="app*4030*20161102*" /stext=" 16:.+((SYSTEM_STATE.+slice.+state.+changed )|(ment ac)|(system.+state.+changed )|(\[timeout)|(PRM\|1\|D)|(kpr)|(kdp)|(\|lc)|(penalty))" /e /r /s</v>
      </c>
      <c r="AG223" s="1" t="str">
        <f t="shared" si="83"/>
        <v>Other</v>
      </c>
      <c r="AH223" s="92" t="str">
        <f t="shared" si="72"/>
        <v>"%USERPROFILE%\Documents\GitHub\eaglep3\Utilities\RefineRTDCRunTimes.py" --tripid 50-02 --locoid 4030 --swversion DE.1.0.8.0 --startMP 300:21947 --initTime 2016-11-02T10:27:59 --startdatetime 2016-11-02T10:29:44 --delay 1 --endMP 204:138 --enddatetime 2016-11-02T10:37:10 --enforcementcount 0 &gt;&gt;C:\Users\stu\Documents\GitHub\eaglep3-reporting\EC\2016-11-02-refined-times.txt</v>
      </c>
      <c r="AI223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{"issue":{"subject":"","project_id":79,"tracker_id":40,"status_id":1,"priority_id":2,"assigned_to_id":23,"start_date":"2016-11-02","description":"","custom_fields":[{"id":1,"name":"Subdivision","value":"Other"},{"id":4,"name":"Milepost","value":"0.0138"},{"id":17,"name":"Train ID","value":"50-02"},{"id":16,"name":"Locomotive ID","value":"4030"},{"id":130,"name":"Impact","value":""},{"id":150,"name":"Time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519</v>
      </c>
      <c r="B224" s="7">
        <v>4029</v>
      </c>
      <c r="C224" s="22" t="s">
        <v>249</v>
      </c>
      <c r="D224" s="22" t="s">
        <v>209</v>
      </c>
      <c r="E224" s="13">
        <v>42676.465925925928</v>
      </c>
      <c r="F224" s="13">
        <v>42676.468333333331</v>
      </c>
      <c r="G224" s="7">
        <v>2</v>
      </c>
      <c r="H224" s="13" t="s">
        <v>707</v>
      </c>
      <c r="I224" s="13">
        <v>42676.481504629628</v>
      </c>
      <c r="J224" s="7">
        <v>0</v>
      </c>
      <c r="K224" s="112" t="str">
        <f t="shared" si="74"/>
        <v>4029/4030</v>
      </c>
      <c r="L224" s="22" t="str">
        <f>VLOOKUP(A224,'Trips&amp;Operators'!$C$1:$E$10000,3,FALSE)</f>
        <v>BEAM</v>
      </c>
      <c r="M224" s="6">
        <f t="shared" si="75"/>
        <v>1.3171296297514345E-2</v>
      </c>
      <c r="N224" s="7">
        <f t="shared" si="68"/>
        <v>18.966666668420658</v>
      </c>
      <c r="O224" s="7"/>
      <c r="P224" s="7"/>
      <c r="Q224" s="23"/>
      <c r="R224" s="23"/>
      <c r="S224" s="35">
        <f t="shared" si="69"/>
        <v>0</v>
      </c>
      <c r="T224" s="50" t="e">
        <f t="shared" si="76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10:10:56-0600',mode:absolute,to:'2016-11-02 12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4" s="52" t="str">
        <f t="shared" si="78"/>
        <v>Y</v>
      </c>
      <c r="X224" s="177" t="e">
        <f t="shared" si="84"/>
        <v>#VALUE!</v>
      </c>
      <c r="Y224" s="67">
        <f t="shared" si="70"/>
        <v>4.53E-2</v>
      </c>
      <c r="Z224" s="67">
        <f t="shared" si="71"/>
        <v>2.4262000000000001</v>
      </c>
      <c r="AA224" s="67">
        <f t="shared" si="79"/>
        <v>2.3809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0"/>
        <v>51-02</v>
      </c>
      <c r="AE224" s="91" t="str">
        <f t="shared" si="81"/>
        <v>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 &amp; 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</v>
      </c>
      <c r="AF224" s="88" t="str">
        <f t="shared" si="82"/>
        <v>"C:\Program Files (x86)\AstroGrep\AstroGrep.exe" /spath="%USERPROFILE%\AppData\Local\Temp\OnboardLogs" /stypes="app*4029*20161102*" /stext=" 17:.+((SYSTEM_STATE.+slice.+state.+changed )|(ment ac)|(system.+state.+changed )|(\[timeout)|(PRM\|1\|D)|(kpr)|(kdp)|(\|lc)|(penalty))" /e /r /s</v>
      </c>
      <c r="AG224" s="1" t="str">
        <f t="shared" si="83"/>
        <v>Other</v>
      </c>
      <c r="AH224" s="92" t="str">
        <f t="shared" si="72"/>
        <v>"%USERPROFILE%\Documents\GitHub\eaglep3\Utilities\RefineRTDCRunTimes.py" --tripid 51-02 --locoid 4029 --swversion DE.1.0.8.0 --startMP 204:453 --initTime 2016-11-02T11:10:56 --startdatetime 2016-11-02T11:14:24 --delay 2 --endMP 300:24262 --enddatetime 2016-11-02T11:33:22 --enforcementcount 0 &gt;&gt;C:\Users\stu\Documents\GitHub\eaglep3-reporting\EC\2016-11-02-refined-times.txt</v>
      </c>
      <c r="AI224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{"issue":{"subject":"","project_id":79,"tracker_id":40,"status_id":1,"priority_id":2,"assigned_to_id":23,"start_date":"2016-11-02","description":"","custom_fields":[{"id":1,"name":"Subdivision","value":"Other"},{"id":4,"name":"Milepost","value":"2.4262"},{"id":17,"name":"Train ID","value":"51-02"},{"id":16,"name":"Locomotive ID","value":"4029"},{"id":130,"name":"Impact","value":""},{"id":150,"name":"Time of Event (Mountain Time)","value":"11:33:22"},{"id":151,"name":"Denver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410</v>
      </c>
      <c r="B225" s="7">
        <v>4021</v>
      </c>
      <c r="C225" s="22" t="s">
        <v>249</v>
      </c>
      <c r="D225" s="22" t="s">
        <v>708</v>
      </c>
      <c r="E225" s="13">
        <v>42676.457789351851</v>
      </c>
      <c r="F225" s="13">
        <v>42676.459155092591</v>
      </c>
      <c r="G225" s="7">
        <v>1</v>
      </c>
      <c r="H225" s="13" t="s">
        <v>709</v>
      </c>
      <c r="I225" s="13">
        <v>42676.463530092595</v>
      </c>
      <c r="J225" s="7">
        <v>0</v>
      </c>
      <c r="K225" s="112" t="str">
        <f t="shared" si="74"/>
        <v>4021/4022</v>
      </c>
      <c r="L225" s="22" t="str">
        <f>VLOOKUP(A225,'Trips&amp;Operators'!$C$1:$E$10000,3,FALSE)</f>
        <v>HELVIE</v>
      </c>
      <c r="M225" s="6">
        <f t="shared" si="75"/>
        <v>4.3750000040745363E-3</v>
      </c>
      <c r="N225" s="7">
        <f t="shared" si="68"/>
        <v>6.3000000058673322</v>
      </c>
      <c r="O225" s="7"/>
      <c r="P225" s="7"/>
      <c r="Q225" s="23"/>
      <c r="R225" s="23"/>
      <c r="S225" s="35">
        <f t="shared" si="69"/>
        <v>0</v>
      </c>
      <c r="T225" s="50" t="e">
        <f t="shared" si="76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09:59:13-0600',mode:absolute,to:'2016-11-02 12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5" s="52" t="str">
        <f t="shared" si="78"/>
        <v>Y</v>
      </c>
      <c r="X225" s="177" t="e">
        <f t="shared" si="84"/>
        <v>#VALUE!</v>
      </c>
      <c r="Y225" s="67">
        <f t="shared" si="70"/>
        <v>2.1875</v>
      </c>
      <c r="Z225" s="67">
        <f t="shared" si="71"/>
        <v>0.1053</v>
      </c>
      <c r="AA225" s="67">
        <f t="shared" si="79"/>
        <v>2.0821999999999998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0"/>
        <v>52-02</v>
      </c>
      <c r="AE225" s="91" t="str">
        <f t="shared" si="81"/>
        <v>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 &amp; 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</v>
      </c>
      <c r="AF225" s="88" t="str">
        <f t="shared" si="82"/>
        <v>"C:\Program Files (x86)\AstroGrep\AstroGrep.exe" /spath="%USERPROFILE%\AppData\Local\Temp\OnboardLogs" /stypes="app*4021*20161102*" /stext=" 17:.+((SYSTEM_STATE.+slice.+state.+changed )|(ment ac)|(system.+state.+changed )|(\[timeout)|(PRM\|1\|D)|(kpr)|(kdp)|(\|lc)|(penalty))" /e /r /s</v>
      </c>
      <c r="AG225" s="1" t="str">
        <f t="shared" si="83"/>
        <v>Other</v>
      </c>
      <c r="AH225" s="92" t="str">
        <f t="shared" si="72"/>
        <v>"%USERPROFILE%\Documents\GitHub\eaglep3\Utilities\RefineRTDCRunTimes.py" --tripid 52-02 --locoid 4021 --swversion DE.1.0.8.0 --startMP 300:21875 --initTime 2016-11-02T10:59:13 --startdatetime 2016-11-02T11:01:11 --delay 1 --endMP 204:1053 --enddatetime 2016-11-02T11:07:29 --enforcementcount 0 &gt;&gt;C:\Users\stu\Documents\GitHub\eaglep3-reporting\EC\2016-11-02-refined-times.txt</v>
      </c>
      <c r="AI225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{"issue":{"subject":"","project_id":79,"tracker_id":40,"status_id":1,"priority_id":2,"assigned_to_id":23,"start_date":"2016-11-02","description":"","custom_fields":[{"id":1,"name":"Subdivision","value":"Other"},{"id":4,"name":"Milepost","value":"0.1053"},{"id":17,"name":"Train ID","value":"52-02"},{"id":16,"name":"Locomotive ID","value":"4021"},{"id":130,"name":"Impact","value":""},{"id":150,"name":"Time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528</v>
      </c>
      <c r="B226" s="7">
        <v>4022</v>
      </c>
      <c r="C226" s="22" t="s">
        <v>249</v>
      </c>
      <c r="D226" s="22" t="s">
        <v>710</v>
      </c>
      <c r="E226" s="13">
        <v>42676.490520833337</v>
      </c>
      <c r="F226" s="13">
        <v>42676.496342592596</v>
      </c>
      <c r="G226" s="7">
        <v>4</v>
      </c>
      <c r="H226" s="13" t="s">
        <v>711</v>
      </c>
      <c r="I226" s="13">
        <v>42676.502754629626</v>
      </c>
      <c r="J226" s="7">
        <v>0</v>
      </c>
      <c r="K226" s="112" t="str">
        <f t="shared" si="74"/>
        <v>4021/4022</v>
      </c>
      <c r="L226" s="22" t="str">
        <f>VLOOKUP(A226,'Trips&amp;Operators'!$C$1:$E$10000,3,FALSE)</f>
        <v>RICHARDSON</v>
      </c>
      <c r="M226" s="6">
        <f t="shared" si="75"/>
        <v>6.4120370298041962E-3</v>
      </c>
      <c r="N226" s="7">
        <f t="shared" si="68"/>
        <v>9.2333333229180425</v>
      </c>
      <c r="O226" s="7"/>
      <c r="P226" s="7"/>
      <c r="Q226" s="23"/>
      <c r="R226" s="23"/>
      <c r="S226" s="35">
        <f t="shared" si="69"/>
        <v>0</v>
      </c>
      <c r="T226" s="50" t="e">
        <f t="shared" si="76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10:46:21-0600',mode:absolute,to:'2016-11-02 13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6" s="52" t="str">
        <f t="shared" si="78"/>
        <v>Y</v>
      </c>
      <c r="X226" s="177" t="e">
        <f t="shared" si="84"/>
        <v>#VALUE!</v>
      </c>
      <c r="Y226" s="67">
        <f t="shared" si="70"/>
        <v>0.13700000000000001</v>
      </c>
      <c r="Z226" s="67">
        <f t="shared" si="71"/>
        <v>2.4224000000000001</v>
      </c>
      <c r="AA226" s="67">
        <f t="shared" si="79"/>
        <v>2.2854000000000001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0"/>
        <v>53-02</v>
      </c>
      <c r="AE226" s="91" t="str">
        <f t="shared" si="81"/>
        <v>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 &amp; aws s3 cp s3://rtdc.mdm.uploadarchive.raw/RTDC4022/ "%USERPROFILE%\AppData\Local\Temp\OnboardLogs"\RTDC4022\2016-11-03 --exclude "*" --recursive --include "*20161103*" &amp; "%USERPROFILE%\Documents\GitHub\mrs-test-scripts\Headless Mode &amp; Sideloading\WalkAndUnGZ.bat" "%USERPROFILE%\AppData\Local\Temp\OnboardLogs"\RTDC4022\2016-11-03</v>
      </c>
      <c r="AF226" s="88" t="str">
        <f t="shared" si="82"/>
        <v>"C:\Program Files (x86)\AstroGrep\AstroGrep.exe" /spath="%USERPROFILE%\AppData\Local\Temp\OnboardLogs" /stypes="app*4022*20161102*" /stext=" 18:.+((SYSTEM_STATE.+slice.+state.+changed )|(ment ac)|(system.+state.+changed )|(\[timeout)|(PRM\|1\|D)|(kpr)|(kdp)|(\|lc)|(penalty))" /e /r /s</v>
      </c>
      <c r="AG226" s="1" t="str">
        <f t="shared" si="83"/>
        <v>Other</v>
      </c>
      <c r="AH226" s="92" t="str">
        <f t="shared" si="72"/>
        <v>"%USERPROFILE%\Documents\GitHub\eaglep3\Utilities\RefineRTDCRunTimes.py" --tripid 53-02 --locoid 4022 --swversion DE.1.0.8.0 --startMP 204:1370 --initTime 2016-11-02T11:46:21 --startdatetime 2016-11-02T11:54:44 --delay 4 --endMP 300:24224 --enddatetime 2016-11-02T12:03:58 --enforcementcount 0 &gt;&gt;C:\Users\stu\Documents\GitHub\eaglep3-reporting\EC\2016-11-02-refined-times.txt</v>
      </c>
      <c r="AI226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{"issue":{"subject":"","project_id":79,"tracker_id":40,"status_id":1,"priority_id":2,"assigned_to_id":23,"start_date":"2016-11-02","description":"","custom_fields":[{"id":1,"name":"Subdivision","value":"Other"},{"id":4,"name":"Milepost","value":"2.4224"},{"id":17,"name":"Train ID","value":"53-02"},{"id":16,"name":"Locomotive ID","value":"4022"},{"id":130,"name":"Impact","value":""},{"id":150,"name":"Time of Event (Mountain Time)","value":"12:03:58"},{"id":151,"name":"Denver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590</v>
      </c>
      <c r="B227" s="7">
        <v>4021</v>
      </c>
      <c r="C227" s="22" t="s">
        <v>249</v>
      </c>
      <c r="D227" s="22" t="s">
        <v>712</v>
      </c>
      <c r="E227" s="13">
        <v>42676.747546296298</v>
      </c>
      <c r="F227" s="13">
        <v>42676.748692129629</v>
      </c>
      <c r="G227" s="7">
        <v>1</v>
      </c>
      <c r="H227" s="13" t="s">
        <v>713</v>
      </c>
      <c r="I227" s="13">
        <v>42676.754849537036</v>
      </c>
      <c r="J227" s="7">
        <v>0</v>
      </c>
      <c r="K227" s="112" t="str">
        <f t="shared" si="74"/>
        <v>4021/4022</v>
      </c>
      <c r="L227" s="22" t="str">
        <f>VLOOKUP(A227,'Trips&amp;Operators'!$C$1:$E$10000,3,FALSE)</f>
        <v>CRAYTON</v>
      </c>
      <c r="M227" s="6">
        <f t="shared" si="75"/>
        <v>6.1574074061354622E-3</v>
      </c>
      <c r="N227" s="7">
        <f t="shared" si="68"/>
        <v>8.8666666648350656</v>
      </c>
      <c r="O227" s="7"/>
      <c r="P227" s="7"/>
      <c r="Q227" s="23"/>
      <c r="R227" s="23"/>
      <c r="S227" s="35">
        <f t="shared" si="69"/>
        <v>0</v>
      </c>
      <c r="T227" s="50" t="e">
        <f t="shared" si="76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16:56:28-0600',mode:absolute,to:'2016-11-02 19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7" s="52" t="str">
        <f t="shared" si="78"/>
        <v>Y</v>
      </c>
      <c r="X227" s="177" t="e">
        <f t="shared" si="84"/>
        <v>#VALUE!</v>
      </c>
      <c r="Y227" s="67">
        <f t="shared" si="70"/>
        <v>2.3599000000000001</v>
      </c>
      <c r="Z227" s="67">
        <f t="shared" si="71"/>
        <v>1.35E-2</v>
      </c>
      <c r="AA227" s="67">
        <f t="shared" si="79"/>
        <v>2.3464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0"/>
        <v>54-02</v>
      </c>
      <c r="AE227" s="91" t="str">
        <f t="shared" si="81"/>
        <v>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 &amp; 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</v>
      </c>
      <c r="AF227" s="88" t="str">
        <f t="shared" si="82"/>
        <v>"C:\Program Files (x86)\AstroGrep\AstroGrep.exe" /spath="%USERPROFILE%\AppData\Local\Temp\OnboardLogs" /stypes="app*4021*20161103*" /stext=" 00:.+((SYSTEM_STATE.+slice.+state.+changed )|(ment ac)|(system.+state.+changed )|(\[timeout)|(PRM\|1\|D)|(kpr)|(kdp)|(\|lc)|(penalty))" /e /r /s</v>
      </c>
      <c r="AG227" s="1" t="str">
        <f t="shared" si="83"/>
        <v>Other</v>
      </c>
      <c r="AH227" s="92" t="str">
        <f t="shared" si="72"/>
        <v>"%USERPROFILE%\Documents\GitHub\eaglep3\Utilities\RefineRTDCRunTimes.py" --tripid 54-02 --locoid 4021 --swversion DE.1.0.8.0 --startMP 300:23599 --initTime 2016-11-02T17:56:28 --startdatetime 2016-11-02T17:58:07 --delay 1 --endMP 204:135 --enddatetime 2016-11-02T18:06:59 --enforcementcount 0 &gt;&gt;C:\Users\stu\Documents\GitHub\eaglep3-reporting\EC\2016-11-02-refined-times.txt</v>
      </c>
      <c r="AI227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{"issue":{"subject":"","project_id":79,"tracker_id":40,"status_id":1,"priority_id":2,"assigned_to_id":23,"start_date":"2016-11-02","description":"","custom_fields":[{"id":1,"name":"Subdivision","value":"Other"},{"id":4,"name":"Milepost","value":"0.0135"},{"id":17,"name":"Train ID","value":"54-02"},{"id":16,"name":"Locomotive ID","value":"4021"},{"id":130,"name":"Impact","value":""},{"id":150,"name":"Time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596</v>
      </c>
      <c r="B228" s="7">
        <v>4022</v>
      </c>
      <c r="C228" s="22" t="s">
        <v>249</v>
      </c>
      <c r="D228" s="22" t="s">
        <v>714</v>
      </c>
      <c r="E228" s="13">
        <v>42676.766469907408</v>
      </c>
      <c r="F228" s="13">
        <v>42676.768854166665</v>
      </c>
      <c r="G228" s="7">
        <v>1</v>
      </c>
      <c r="H228" s="13" t="s">
        <v>715</v>
      </c>
      <c r="I228" s="13">
        <v>42676.774016203701</v>
      </c>
      <c r="J228" s="7">
        <v>0</v>
      </c>
      <c r="K228" s="112" t="str">
        <f t="shared" si="74"/>
        <v>4021/4022</v>
      </c>
      <c r="L228" s="22" t="str">
        <f>VLOOKUP(A228,'Trips&amp;Operators'!$C$1:$E$10000,3,FALSE)</f>
        <v>HELVIE</v>
      </c>
      <c r="M228" s="6">
        <f t="shared" si="75"/>
        <v>5.1620370359160006E-3</v>
      </c>
      <c r="N228" s="7">
        <f t="shared" si="68"/>
        <v>7.4333333317190409</v>
      </c>
      <c r="O228" s="7"/>
      <c r="P228" s="7"/>
      <c r="Q228" s="23"/>
      <c r="R228" s="23"/>
      <c r="S228" s="35">
        <f t="shared" si="69"/>
        <v>0</v>
      </c>
      <c r="T228" s="50" t="e">
        <f t="shared" si="76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17:23:43-0600',mode:absolute,to:'2016-11-02 19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8" s="52" t="str">
        <f t="shared" si="78"/>
        <v>Y</v>
      </c>
      <c r="X228" s="177" t="e">
        <f t="shared" si="84"/>
        <v>#VALUE!</v>
      </c>
      <c r="Y228" s="67">
        <f t="shared" si="70"/>
        <v>4.24E-2</v>
      </c>
      <c r="Z228" s="67">
        <f t="shared" si="71"/>
        <v>2.4232999999999998</v>
      </c>
      <c r="AA228" s="67">
        <f t="shared" si="79"/>
        <v>2.3808999999999996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0"/>
        <v>55-02</v>
      </c>
      <c r="AE228" s="91" t="str">
        <f t="shared" si="81"/>
        <v>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 &amp; aws s3 cp s3://rtdc.mdm.uploadarchive.raw/RTDC4022/ "%USERPROFILE%\AppData\Local\Temp\OnboardLogs"\RTDC4022\2016-11-03 --exclude "*" --recursive --include "*20161103*" &amp; "%USERPROFILE%\Documents\GitHub\mrs-test-scripts\Headless Mode &amp; Sideloading\WalkAndUnGZ.bat" "%USERPROFILE%\AppData\Local\Temp\OnboardLogs"\RTDC4022\2016-11-03</v>
      </c>
      <c r="AF228" s="88" t="str">
        <f t="shared" si="82"/>
        <v>"C:\Program Files (x86)\AstroGrep\AstroGrep.exe" /spath="%USERPROFILE%\AppData\Local\Temp\OnboardLogs" /stypes="app*4022*20161103*" /stext=" 00:.+((SYSTEM_STATE.+slice.+state.+changed )|(ment ac)|(system.+state.+changed )|(\[timeout)|(PRM\|1\|D)|(kpr)|(kdp)|(\|lc)|(penalty))" /e /r /s</v>
      </c>
      <c r="AG228" s="1" t="str">
        <f t="shared" si="83"/>
        <v>Other</v>
      </c>
      <c r="AH228" s="92" t="str">
        <f t="shared" si="72"/>
        <v>"%USERPROFILE%\Documents\GitHub\eaglep3\Utilities\RefineRTDCRunTimes.py" --tripid 55-02 --locoid 4022 --swversion DE.1.0.8.0 --startMP 204:424 --initTime 2016-11-02T18:23:43 --startdatetime 2016-11-02T18:27:09 --delay 1 --endMP 300:24233 --enddatetime 2016-11-02T18:34:35 --enforcementcount 0 &gt;&gt;C:\Users\stu\Documents\GitHub\eaglep3-reporting\EC\2016-11-02-refined-times.txt</v>
      </c>
      <c r="AI228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{"issue":{"subject":"","project_id":79,"tracker_id":40,"status_id":1,"priority_id":2,"assigned_to_id":23,"start_date":"2016-11-02","description":"","custom_fields":[{"id":1,"name":"Subdivision","value":"Other"},{"id":4,"name":"Milepost","value":"2.4233"},{"id":17,"name":"Train ID","value":"55-02"},{"id":16,"name":"Locomotive ID","value":"4022"},{"id":130,"name":"Impact","value":""},{"id":150,"name":"Time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426</v>
      </c>
      <c r="B229" s="7">
        <v>4045</v>
      </c>
      <c r="C229" s="22" t="s">
        <v>249</v>
      </c>
      <c r="D229" s="22" t="s">
        <v>716</v>
      </c>
      <c r="E229" s="13">
        <v>42676.751701388886</v>
      </c>
      <c r="F229" s="13">
        <v>42676.754629629628</v>
      </c>
      <c r="G229" s="7">
        <v>4</v>
      </c>
      <c r="H229" s="13" t="s">
        <v>717</v>
      </c>
      <c r="I229" s="13">
        <v>42676.761261574073</v>
      </c>
      <c r="J229" s="7">
        <v>0</v>
      </c>
      <c r="K229" s="112" t="str">
        <f t="shared" si="74"/>
        <v>4045/4046</v>
      </c>
      <c r="L229" s="22" t="str">
        <f>VLOOKUP(A229,'Trips&amp;Operators'!$C$1:$E$10000,3,FALSE)</f>
        <v>DELGADO</v>
      </c>
      <c r="M229" s="6">
        <f t="shared" si="75"/>
        <v>6.6319444449618459E-3</v>
      </c>
      <c r="N229" s="7">
        <f t="shared" si="68"/>
        <v>9.5500000007450581</v>
      </c>
      <c r="O229" s="7"/>
      <c r="P229" s="7"/>
      <c r="Q229" s="23"/>
      <c r="R229" s="23"/>
      <c r="S229" s="35">
        <f t="shared" si="69"/>
        <v>0</v>
      </c>
      <c r="T229" s="50" t="e">
        <f t="shared" si="76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17:02:27-0600',mode:absolute,to:'2016-11-02 19:16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9" s="52" t="str">
        <f t="shared" si="78"/>
        <v>Y</v>
      </c>
      <c r="X229" s="177" t="e">
        <f t="shared" si="84"/>
        <v>#VALUE!</v>
      </c>
      <c r="Y229" s="67">
        <f t="shared" si="70"/>
        <v>2.0693000000000001</v>
      </c>
      <c r="Z229" s="67">
        <f t="shared" si="71"/>
        <v>0.1701</v>
      </c>
      <c r="AA229" s="67">
        <f t="shared" si="79"/>
        <v>1.8992000000000002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80"/>
        <v>56-02</v>
      </c>
      <c r="AE229" s="91" t="str">
        <f t="shared" si="81"/>
        <v>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 &amp; aws s3 cp s3://rtdc.mdm.uploadarchive.raw/RTDC4045/ "%USERPROFILE%\AppData\Local\Temp\OnboardLogs"\RTDC4045\2016-11-03 --exclude "*" --recursive --include "*20161103*" &amp; "%USERPROFILE%\Documents\GitHub\mrs-test-scripts\Headless Mode &amp; Sideloading\WalkAndUnGZ.bat" "%USERPROFILE%\AppData\Local\Temp\OnboardLogs"\RTDC4045\2016-11-03</v>
      </c>
      <c r="AF229" s="88" t="str">
        <f t="shared" si="82"/>
        <v>"C:\Program Files (x86)\AstroGrep\AstroGrep.exe" /spath="%USERPROFILE%\AppData\Local\Temp\OnboardLogs" /stypes="app*4045*20161103*" /stext=" 00:.+((SYSTEM_STATE.+slice.+state.+changed )|(ment ac)|(system.+state.+changed )|(\[timeout)|(PRM\|1\|D)|(kpr)|(kdp)|(\|lc)|(penalty))" /e /r /s</v>
      </c>
      <c r="AG229" s="1" t="str">
        <f t="shared" si="83"/>
        <v>Other</v>
      </c>
      <c r="AH229" s="92" t="str">
        <f t="shared" si="72"/>
        <v>"%USERPROFILE%\Documents\GitHub\eaglep3\Utilities\RefineRTDCRunTimes.py" --tripid 56-02 --locoid 4045 --swversion DE.1.0.8.0 --startMP 300:20693 --initTime 2016-11-02T18:02:27 --startdatetime 2016-11-02T18:06:40 --delay 4 --endMP 204:1701 --enddatetime 2016-11-02T18:16:13 --enforcementcount 0 &gt;&gt;C:\Users\stu\Documents\GitHub\eaglep3-reporting\EC\2016-11-02-refined-times.txt</v>
      </c>
      <c r="AI229" s="122" t="str">
        <f t="shared" si="73"/>
        <v>echo {"issue":{"subject":"","project_id":79,"tracker_id":40,"status_id":1,"priority_id":2,"assigned_to_id":23,"start_date":"2016-11-02","description":"","custom_fields":[{"id":1,"name":"Subdivision","value":"Other"},{"id":4,"name":"Milepost","value":"0.1701"},{"id":17,"name":"Train ID","value":"56-02"},{"id":16,"name":"Locomotive ID","value":"4045"},{"id":130,"name":"Impact","value":""},{"id":150,"name":"Time of Event (Mountain Time)","value":"18:16:13"},{"id":151,"name":"Denver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551</v>
      </c>
      <c r="B230" s="7">
        <v>4014</v>
      </c>
      <c r="C230" s="22" t="s">
        <v>249</v>
      </c>
      <c r="D230" s="22" t="s">
        <v>265</v>
      </c>
      <c r="E230" s="13">
        <v>42676.598738425928</v>
      </c>
      <c r="F230" s="13">
        <v>25568.708333333332</v>
      </c>
      <c r="G230" s="7">
        <v>7</v>
      </c>
      <c r="H230" s="13" t="s">
        <v>718</v>
      </c>
      <c r="I230" s="13">
        <v>25568.708333333332</v>
      </c>
      <c r="J230" s="7">
        <v>0</v>
      </c>
      <c r="K230" s="112" t="str">
        <f t="shared" si="74"/>
        <v>4013/4014</v>
      </c>
      <c r="L230" s="22" t="str">
        <f>VLOOKUP(A230,'Trips&amp;Operators'!$C$1:$E$10000,3,FALSE)</f>
        <v>STORY</v>
      </c>
      <c r="M230" s="6">
        <f t="shared" si="75"/>
        <v>0</v>
      </c>
      <c r="N230" s="7">
        <f t="shared" si="68"/>
        <v>0</v>
      </c>
      <c r="O230" s="7"/>
      <c r="P230" s="7"/>
      <c r="Q230" s="23"/>
      <c r="R230" s="23"/>
      <c r="S230" s="35">
        <f t="shared" si="69"/>
        <v>0</v>
      </c>
      <c r="T230" s="50" t="e">
        <f t="shared" si="76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13:22:11-0600',mode:absolute,to:'1969-12-31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0" s="52" t="str">
        <f t="shared" si="78"/>
        <v>Y</v>
      </c>
      <c r="X230" s="177" t="e">
        <f t="shared" si="84"/>
        <v>#VALUE!</v>
      </c>
      <c r="Y230" s="67">
        <f t="shared" si="70"/>
        <v>4.3799999999999999E-2</v>
      </c>
      <c r="Z230" s="67">
        <f t="shared" si="71"/>
        <v>0.35560000000000003</v>
      </c>
      <c r="AA230" s="67">
        <f t="shared" si="79"/>
        <v>0.31180000000000002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80"/>
        <v>63-02</v>
      </c>
      <c r="AE230" s="91" t="str">
        <f t="shared" si="81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0" s="88" t="str">
        <f t="shared" si="82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30" s="1" t="str">
        <f t="shared" si="83"/>
        <v>Other</v>
      </c>
      <c r="AH230" s="92" t="str">
        <f t="shared" si="72"/>
        <v>"%USERPROFILE%\Documents\GitHub\eaglep3\Utilities\RefineRTDCRunTimes.py" --tripid 63-02 --locoid 4014 --swversion DE.1.0.8.0 --startMP 204:438 --initTime 2016-11-02T14:22:11 --startdatetime 1969-12-31T17:00:00 --delay 7 --endMP 204:3556 --enddatetime 1969-12-31T17:00:00 --enforcementcount 0 &gt;&gt;C:\Users\stu\Documents\GitHub\eaglep3-reporting\EC\2016-11-02-refined-times.txt</v>
      </c>
      <c r="AI230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{"issue":{"subject":"","project_id":79,"tracker_id":40,"status_id":1,"priority_id":2,"assigned_to_id":23,"start_date":"1969-12-31","description":"","custom_fields":[{"id":1,"name":"Subdivision","value":"Other"},{"id":4,"name":"Milepost","value":"0.3556"},{"id":17,"name":"Train ID","value":"63-02"},{"id":16,"name":"Locomotive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597</v>
      </c>
      <c r="B231" s="7">
        <v>4014</v>
      </c>
      <c r="C231" s="22" t="s">
        <v>249</v>
      </c>
      <c r="D231" s="22" t="s">
        <v>719</v>
      </c>
      <c r="E231" s="13">
        <v>42676.767685185187</v>
      </c>
      <c r="F231" s="13">
        <v>25568.708333333332</v>
      </c>
      <c r="G231" s="7">
        <v>1</v>
      </c>
      <c r="H231" s="13" t="s">
        <v>700</v>
      </c>
      <c r="I231" s="13">
        <v>25568.708333333332</v>
      </c>
      <c r="J231" s="7">
        <v>0</v>
      </c>
      <c r="K231" s="112" t="str">
        <f t="shared" si="74"/>
        <v>4013/4014</v>
      </c>
      <c r="L231" s="22" t="str">
        <f>VLOOKUP(A231,'Trips&amp;Operators'!$C$1:$E$10000,3,FALSE)</f>
        <v>HILLS</v>
      </c>
      <c r="M231" s="6">
        <f t="shared" si="75"/>
        <v>0</v>
      </c>
      <c r="N231" s="7">
        <f t="shared" si="68"/>
        <v>0</v>
      </c>
      <c r="O231" s="7"/>
      <c r="P231" s="7"/>
      <c r="Q231" s="23"/>
      <c r="R231" s="23"/>
      <c r="S231" s="35">
        <f t="shared" si="69"/>
        <v>0</v>
      </c>
      <c r="T231" s="50" t="e">
        <f t="shared" si="76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https://search-rtdc-monitor-bjffxe2xuh6vdkpspy63sjmuny.us-east-1.es.amazonaws.com/_plugin/kibana/#/discover/Steve-Slow-Train-Analysis-(2080s-and-2083s)?_g=(refreshInterval:(display:Off,section:0,value:0),time:(from:'2016-11-02 17:25:28-0600',mode:absolute,to:'1969-12-31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1" s="52" t="str">
        <f t="shared" si="78"/>
        <v>Y</v>
      </c>
      <c r="X231" s="177" t="e">
        <f t="shared" si="84"/>
        <v>#VALUE!</v>
      </c>
      <c r="Y231" s="67">
        <f t="shared" si="70"/>
        <v>0.14749999999999999</v>
      </c>
      <c r="Z231" s="67">
        <f t="shared" si="71"/>
        <v>2.3302</v>
      </c>
      <c r="AA231" s="67">
        <f t="shared" si="79"/>
        <v>2.1827000000000001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80"/>
        <v>71-02</v>
      </c>
      <c r="AE231" s="91" t="str">
        <f t="shared" si="81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1" s="88" t="str">
        <f t="shared" si="82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31" s="1" t="str">
        <f t="shared" si="83"/>
        <v>Other</v>
      </c>
      <c r="AH231" s="92" t="str">
        <f t="shared" si="72"/>
        <v>"%USERPROFILE%\Documents\GitHub\eaglep3\Utilities\RefineRTDCRunTimes.py" --tripid 71-02 --locoid 4014 --swversion DE.1.0.8.0 --startMP 204:1475 --initTime 2016-11-02T18:25:28 --startdatetime 1969-12-31T17:00:00 --delay 1 --endMP 300:23302 --enddatetime 1969-12-31T17:00:00 --enforcementcount 0 &gt;&gt;C:\Users\stu\Documents\GitHub\eaglep3-reporting\EC\2016-11-02-refined-times.txt</v>
      </c>
      <c r="AI231" s="122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ID","value":"71-02"},{"id":16,"name":"Locomotive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66:X1048576 W13:X231">
    <cfRule type="cellIs" dxfId="22" priority="344" operator="equal">
      <formula>"Y"</formula>
    </cfRule>
  </conditionalFormatting>
  <conditionalFormatting sqref="X266:X1048576 X13:X231">
    <cfRule type="cellIs" dxfId="21" priority="327" operator="greaterThan">
      <formula>1</formula>
    </cfRule>
  </conditionalFormatting>
  <conditionalFormatting sqref="X266:X1048576 X12:X231">
    <cfRule type="cellIs" dxfId="20" priority="324" operator="equal">
      <formula>0</formula>
    </cfRule>
  </conditionalFormatting>
  <conditionalFormatting sqref="A13:S231">
    <cfRule type="expression" dxfId="19" priority="318" stopIfTrue="1">
      <formula>$P13&gt;0</formula>
    </cfRule>
    <cfRule type="expression" dxfId="18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4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- 2016-11-02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42676.568101851852</v>
      </c>
      <c r="B7" s="31" t="s">
        <v>287</v>
      </c>
      <c r="C7" s="31" t="s">
        <v>416</v>
      </c>
      <c r="D7" s="31" t="s">
        <v>49</v>
      </c>
      <c r="E7" s="31" t="s">
        <v>154</v>
      </c>
      <c r="F7" s="47">
        <v>0</v>
      </c>
      <c r="G7" s="47">
        <v>211</v>
      </c>
      <c r="H7" s="47">
        <v>26951</v>
      </c>
      <c r="I7" s="47">
        <v>27274</v>
      </c>
      <c r="J7" s="31" t="s">
        <v>153</v>
      </c>
      <c r="K7" s="47">
        <v>27053</v>
      </c>
      <c r="L7" s="157" t="s">
        <v>50</v>
      </c>
      <c r="M7" s="158">
        <f t="shared" ref="M7:M45" si="0">CONVERT((I7-K7)/10000,"mi","ft")*IF(L7="Increasing Mileposts (1)",-1,1)</f>
        <v>-116.688</v>
      </c>
      <c r="N7" s="159" t="str">
        <f>VLOOKUP(C7,'Trips&amp;Operators'!$C$1:$E$99999,3,FALSE)</f>
        <v>ADANE</v>
      </c>
      <c r="O7" s="184" t="s">
        <v>216</v>
      </c>
      <c r="P7" s="160" t="s">
        <v>805</v>
      </c>
      <c r="Q7" s="31"/>
      <c r="R7" s="100" t="str">
        <f>VLOOKUP(C7,'Train Runs'!$A$13:$AE$10009,31,0)</f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S7" s="103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https://search-rtdc-monitor-bjffxe2xuh6vdkpspy63sjmuny.us-east-1.es.amazonaws.com/_plugin/kibana/#/discover/Steve-Slow-Train-Analysis-(2080s-and-2083s)?_g=(refreshInterval:(display:Off,section:0,value:0),time:(from:'2016-11-02 12:26:59-0600',mode:absolute,to:'2016-11-02 15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7" s="105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/stypes="*4003*201611021*" /stext=" 19:.+((SYSTEM_STATE.+slice.+state.+changed )|(ment ac)|(system.+state.+changed )|(\[timeout)|(PRM\|1\|D)|(kpr)|(kdp)|(\|lc)|(penalty))" /e /r /s</v>
      </c>
      <c r="U7" s="9" t="str">
        <f t="shared" ref="U7:U45" si="2">MID(B7,13,4)</f>
        <v>4003</v>
      </c>
      <c r="V7" s="36">
        <f t="shared" ref="V7:V45" si="3">A7+6/24</f>
        <v>42676.818101851852</v>
      </c>
      <c r="W7" s="50" t="str">
        <f t="shared" ref="W7:W45" si="4">IF(VALUE(LEFT(IF(LEN(C7)=6,"0"&amp;C7,C7),2))&lt;=2,"EC",IF(OR(VALUE(LEFT(IF(LEN(C7)=6,"0"&amp;C7,C7),2))=8,VALUE(LEFT(IF(LEN(C7)=6,"0"&amp;C7,C7),2))=18),"NW","Other"))</f>
        <v>EC</v>
      </c>
      <c r="X7" s="50" t="str">
        <f t="shared" ref="X7:X45" si="5">IF(AND(E7="TRACK WARRANT AUTHORITY",G7&lt;10),"OMIT","KEEP")</f>
        <v>KEEP</v>
      </c>
      <c r="Y7" s="122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enough","project_id":79,"tracker_id":40,"status_id":1,"priority_id":2,"assigned_to_id":23,"start_date":"2016-11-02","description":"","custom_fields":[{"id":1,"name":"Subdivision","value":"EC"},{"id":4,"name":"Milepost","value":"2.7053"},{"id":17,"name":"Train ID","value":"179-02"},{"id":16,"name":"Locomotive ID","value":"4003"},{"id":130,"name":"Impact","value":""},{"id":150,"name":"Time of Event (Mountain Time)","value":"13:38:04"},{"id":151,"name":"Denver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"%USERPROFILE%\AppData\Local\Temp\OnboardLogs"\RTDC4003\*4003*201611021* | grep -SE "((Enforcement Ac)|(PRM))" -</v>
      </c>
    </row>
    <row r="8" spans="1:29" s="1" customFormat="1" x14ac:dyDescent="0.25">
      <c r="A8" s="36">
        <v>42676.310081018521</v>
      </c>
      <c r="B8" s="31" t="s">
        <v>234</v>
      </c>
      <c r="C8" s="31" t="s">
        <v>405</v>
      </c>
      <c r="D8" s="31" t="s">
        <v>98</v>
      </c>
      <c r="E8" s="31" t="s">
        <v>154</v>
      </c>
      <c r="F8" s="47">
        <v>190</v>
      </c>
      <c r="G8" s="47">
        <v>240</v>
      </c>
      <c r="H8" s="47">
        <v>27067</v>
      </c>
      <c r="I8" s="47">
        <v>26458</v>
      </c>
      <c r="J8" s="31" t="s">
        <v>153</v>
      </c>
      <c r="K8" s="47">
        <v>27350</v>
      </c>
      <c r="L8" s="157" t="s">
        <v>51</v>
      </c>
      <c r="M8" s="158">
        <f t="shared" si="0"/>
        <v>-470.976</v>
      </c>
      <c r="N8" s="159" t="str">
        <f>VLOOKUP(C8,'Trips&amp;Operators'!$C$1:$E$99999,3,FALSE)</f>
        <v>SANTIZO</v>
      </c>
      <c r="O8" s="184" t="s">
        <v>216</v>
      </c>
      <c r="P8" s="160" t="s">
        <v>806</v>
      </c>
      <c r="Q8" s="31"/>
      <c r="R8" s="100" t="str">
        <f>VLOOKUP(C8,'Train Runs'!$A$13:$AE$10009,31,0)</f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S8" s="103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https://search-rtdc-monitor-bjffxe2xuh6vdkpspy63sjmuny.us-east-1.es.amazonaws.com/_plugin/kibana/#/discover/Steve-Slow-Train-Analysis-(2080s-and-2083s)?_g=(refreshInterval:(display:Off,section:0,value:0),time:(from:'2016-11-02 05:39:37-0600',mode:absolute,to:'2016-11-02 08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/stypes="*4037*201611021*" /stext=" 13:.+((SYSTEM_STATE.+slice.+state.+changed )|(ment ac)|(system.+state.+changed )|(\[timeout)|(PRM\|1\|D)|(kpr)|(kdp)|(\|lc)|(penalty))" /e /r /s</v>
      </c>
      <c r="U8" s="9" t="str">
        <f t="shared" si="2"/>
        <v>4037</v>
      </c>
      <c r="V8" s="36">
        <f t="shared" si="3"/>
        <v>42676.560081018521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accelerated while still in crossing","project_id":79,"tracker_id":40,"status_id":1,"priority_id":2,"assigned_to_id":23,"start_date":"2016-11-02","description":"","custom_fields":[{"id":1,"name":"Subdivision","value":"EC"},{"id":4,"name":"Milepost","value":"2.735"},{"id":17,"name":"Train ID","value":"120-02"},{"id":16,"name":"Locomotive ID","value":"4037"},{"id":130,"name":"Impact","value":""},{"id":150,"name":"Time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"%USERPROFILE%\AppData\Local\Temp\OnboardLogs"\RTDC4037\*4037*201611021* | grep -SE "((Enforcement Ac)|(PRM))" -</v>
      </c>
    </row>
    <row r="9" spans="1:29" s="1" customFormat="1" x14ac:dyDescent="0.25">
      <c r="A9" s="36">
        <v>42676.52715277778</v>
      </c>
      <c r="B9" s="31" t="s">
        <v>257</v>
      </c>
      <c r="C9" s="31" t="s">
        <v>412</v>
      </c>
      <c r="D9" s="31" t="s">
        <v>98</v>
      </c>
      <c r="E9" s="31" t="s">
        <v>154</v>
      </c>
      <c r="F9" s="47">
        <v>90</v>
      </c>
      <c r="G9" s="47">
        <v>150</v>
      </c>
      <c r="H9" s="47">
        <v>30963</v>
      </c>
      <c r="I9" s="47">
        <v>31177</v>
      </c>
      <c r="J9" s="31" t="s">
        <v>153</v>
      </c>
      <c r="K9" s="47">
        <v>30830</v>
      </c>
      <c r="L9" s="157" t="s">
        <v>50</v>
      </c>
      <c r="M9" s="158">
        <f t="shared" si="0"/>
        <v>-183.21600000000001</v>
      </c>
      <c r="N9" s="159" t="str">
        <f>VLOOKUP(C9,'Trips&amp;Operators'!$C$1:$E$99999,3,FALSE)</f>
        <v>MACDONALD</v>
      </c>
      <c r="O9" s="184" t="s">
        <v>216</v>
      </c>
      <c r="P9" s="160" t="s">
        <v>806</v>
      </c>
      <c r="Q9" s="31"/>
      <c r="R9" s="100" t="str">
        <f>VLOOKUP(C9,'Train Runs'!$A$13:$AE$10009,31,0)</f>
        <v>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 &amp; 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</v>
      </c>
      <c r="S9" s="103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https://search-rtdc-monitor-bjffxe2xuh6vdkpspy63sjmuny.us-east-1.es.amazonaws.com/_plugin/kibana/#/discover/Steve-Slow-Train-Analysis-(2080s-and-2083s)?_g=(refreshInterval:(display:Off,section:0,value:0),time:(from:'2016-11-02 11:25:48-0600',mode:absolute,to:'2016-11-02 14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9" s="105" t="str">
        <f t="shared" si="1"/>
        <v>"C:\Program Files (x86)\AstroGrep\AstroGrep.exe" /spath="%USERPROFILE%\AppData\Local\Temp\OnboardLogs" /stypes="*4014*201611021*" /stext=" 18:.+((SYSTEM_STATE.+slice.+state.+changed )|(ment ac)|(system.+state.+changed )|(\[timeout)|(PRM\|1\|D)|(kpr)|(kdp)|(\|lc)|(penalty))" /e /r /s</v>
      </c>
      <c r="U9" s="9" t="str">
        <f t="shared" si="2"/>
        <v>4014</v>
      </c>
      <c r="V9" s="36">
        <f t="shared" si="3"/>
        <v>42676.77715277778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arrival; accelerated while still in crossing","project_id":79,"tracker_id":40,"status_id":1,"priority_id":2,"assigned_to_id":23,"start_date":"2016-11-02","description":"","custom_fields":[{"id":1,"name":"Subdivision","value":"EC"},{"id":4,"name":"Milepost","value":"3.083"},{"id":17,"name":"Train ID","value":"171-02"},{"id":16,"name":"Locomotive ID","value":"4014"},{"id":130,"name":"Impact","value":""},{"id":150,"name":"Time of Event (Mountain Time)","value":"12:39:06"},{"id":151,"name":"Denver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"%USERPROFILE%\AppData\Local\Temp\OnboardLogs"\RTDC4014\*4014*201611021* | grep -SE "((Enforcement Ac)|(PRM))" -</v>
      </c>
    </row>
    <row r="10" spans="1:29" s="1" customFormat="1" x14ac:dyDescent="0.25">
      <c r="A10" s="36">
        <v>42676.203703703701</v>
      </c>
      <c r="B10" s="31" t="s">
        <v>287</v>
      </c>
      <c r="C10" s="31" t="s">
        <v>398</v>
      </c>
      <c r="D10" s="31" t="s">
        <v>49</v>
      </c>
      <c r="E10" s="31" t="s">
        <v>154</v>
      </c>
      <c r="F10" s="47">
        <v>210</v>
      </c>
      <c r="G10" s="47">
        <v>264</v>
      </c>
      <c r="H10" s="47">
        <v>30817</v>
      </c>
      <c r="I10" s="47">
        <v>31158</v>
      </c>
      <c r="J10" s="31" t="s">
        <v>153</v>
      </c>
      <c r="K10" s="47">
        <v>30830</v>
      </c>
      <c r="L10" s="157" t="s">
        <v>50</v>
      </c>
      <c r="M10" s="158">
        <f t="shared" si="0"/>
        <v>-173.18400000000003</v>
      </c>
      <c r="N10" s="159" t="str">
        <f>VLOOKUP(C10,'Trips&amp;Operators'!$C$1:$E$99999,3,FALSE)</f>
        <v>BADERTSCHER</v>
      </c>
      <c r="O10" s="184" t="s">
        <v>216</v>
      </c>
      <c r="P10" s="160" t="s">
        <v>807</v>
      </c>
      <c r="Q10" s="31"/>
      <c r="R10" s="100" t="str">
        <f>VLOOKUP(C10,'Train Runs'!$A$13:$AE$10009,31,0)</f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S10" s="103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https://search-rtdc-monitor-bjffxe2xuh6vdkpspy63sjmuny.us-east-1.es.amazonaws.com/_plugin/kibana/#/discover/Steve-Slow-Train-Analysis-(2080s-and-2083s)?_g=(refreshInterval:(display:Off,section:0,value:0),time:(from:'2016-11-02 03:41:36-0600',mode:absolute,to:'2016-11-02 06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0" s="105" t="str">
        <f t="shared" si="1"/>
        <v>"C:\Program Files (x86)\AstroGrep\AstroGrep.exe" /spath="%USERPROFILE%\AppData\Local\Temp\OnboardLogs" /stypes="*4003*201611021*" /stext=" 10:.+((SYSTEM_STATE.+slice.+state.+changed )|(ment ac)|(system.+state.+changed )|(\[timeout)|(PRM\|1\|D)|(kpr)|(kdp)|(\|lc)|(penalty))" /e /r /s</v>
      </c>
      <c r="U10" s="9" t="str">
        <f t="shared" si="2"/>
        <v>4003</v>
      </c>
      <c r="V10" s="36">
        <f t="shared" si="3"/>
        <v>42676.453703703701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arrival; accelerated into crossing","project_id":79,"tracker_id":40,"status_id":1,"priority_id":2,"assigned_to_id":23,"start_date":"2016-11-02","description":"","custom_fields":[{"id":1,"name":"Subdivision","value":"EC"},{"id":4,"name":"Milepost","value":"3.083"},{"id":17,"name":"Train ID","value":"109-02"},{"id":16,"name":"Locomotive ID","value":"4003"},{"id":130,"name":"Impact","value":""},{"id":150,"name":"Time of Event (Mountain Time)","value":"04:53:20"},{"id":151,"name":"Denver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"%USERPROFILE%\AppData\Local\Temp\OnboardLogs"\RTDC4003\*4003*201611021* | grep -SE "((Enforcement Ac)|(PRM))" -</v>
      </c>
    </row>
    <row r="11" spans="1:29" s="1" customFormat="1" x14ac:dyDescent="0.25">
      <c r="A11" s="36">
        <v>42676.884166666663</v>
      </c>
      <c r="B11" s="31" t="s">
        <v>284</v>
      </c>
      <c r="C11" s="31" t="s">
        <v>430</v>
      </c>
      <c r="D11" s="31" t="s">
        <v>49</v>
      </c>
      <c r="E11" s="31" t="s">
        <v>154</v>
      </c>
      <c r="F11" s="47">
        <v>360</v>
      </c>
      <c r="G11" s="47">
        <v>413</v>
      </c>
      <c r="H11" s="47">
        <v>32637</v>
      </c>
      <c r="I11" s="47">
        <v>33411</v>
      </c>
      <c r="J11" s="31" t="s">
        <v>153</v>
      </c>
      <c r="K11" s="47">
        <v>33137</v>
      </c>
      <c r="L11" s="157" t="s">
        <v>50</v>
      </c>
      <c r="M11" s="158">
        <f t="shared" si="0"/>
        <v>-144.672</v>
      </c>
      <c r="N11" s="159" t="str">
        <f>VLOOKUP(C11,'Trips&amp;Operators'!$C$1:$E$99999,3,FALSE)</f>
        <v>STAMBAUGH</v>
      </c>
      <c r="O11" s="184" t="s">
        <v>216</v>
      </c>
      <c r="P11" s="160" t="s">
        <v>807</v>
      </c>
      <c r="Q11" s="31"/>
      <c r="R11" s="100" t="str">
        <f>VLOOKUP(C11,'Train Runs'!$A$13:$AE$10009,31,0)</f>
        <v>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 &amp; aws s3 cp s3://rtdc.mdm.uploadarchive.raw/RTDC4046/ "%USERPROFILE%\AppData\Local\Temp\OnboardLogs"\RTDC4046\2016-11-03 --exclude "*" --recursive --include "*20161103*" &amp; "%USERPROFILE%\Documents\GitHub\mrs-test-scripts\Headless Mode &amp; Sideloading\WalkAndUnGZ.bat" "%USERPROFILE%\AppData\Local\Temp\OnboardLogs"\RTDC4046\2016-11-03</v>
      </c>
      <c r="S11" s="103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https://search-rtdc-monitor-bjffxe2xuh6vdkpspy63sjmuny.us-east-1.es.amazonaws.com/_plugin/kibana/#/discover/Steve-Slow-Train-Analysis-(2080s-and-2083s)?_g=(refreshInterval:(display:Off,section:0,value:0),time:(from:'2016-11-02 19:56:31-0600',mode:absolute,to:'2016-11-02 22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1" s="105" t="str">
        <f t="shared" si="1"/>
        <v>"C:\Program Files (x86)\AstroGrep\AstroGrep.exe" /spath="%USERPROFILE%\AppData\Local\Temp\OnboardLogs" /stypes="*4046*201611030*" /stext=" 03:.+((SYSTEM_STATE.+slice.+state.+changed )|(ment ac)|(system.+state.+changed )|(\[timeout)|(PRM\|1\|D)|(kpr)|(kdp)|(\|lc)|(penalty))" /e /r /s</v>
      </c>
      <c r="U11" s="9" t="str">
        <f t="shared" si="2"/>
        <v>4046</v>
      </c>
      <c r="V11" s="36">
        <f t="shared" si="3"/>
        <v>42677.134166666663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arrival; accelerated into crossing","project_id":79,"tracker_id":40,"status_id":1,"priority_id":2,"assigned_to_id":23,"start_date":"2016-11-02","description":"","custom_fields":[{"id":1,"name":"Subdivision","value":"EC"},{"id":4,"name":"Milepost","value":"3.3137"},{"id":17,"name":"Train ID","value":"229-02"},{"id":16,"name":"Locomotive ID","value":"4046"},{"id":130,"name":"Impact","value":""},{"id":150,"name":"Time of Event (Mountain Time)","value":"21:13:12"},{"id":151,"name":"Denver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"%USERPROFILE%\AppData\Local\Temp\OnboardLogs"\RTDC4046\*4046*201611030* | grep -SE "((Enforcement Ac)|(PRM))" -</v>
      </c>
    </row>
    <row r="12" spans="1:29" s="1" customFormat="1" x14ac:dyDescent="0.25">
      <c r="A12" s="36">
        <v>42676.768240740741</v>
      </c>
      <c r="B12" s="31" t="s">
        <v>302</v>
      </c>
      <c r="C12" s="31" t="s">
        <v>427</v>
      </c>
      <c r="D12" s="31" t="s">
        <v>98</v>
      </c>
      <c r="E12" s="31" t="s">
        <v>154</v>
      </c>
      <c r="F12" s="47">
        <v>250</v>
      </c>
      <c r="G12" s="47">
        <v>300</v>
      </c>
      <c r="H12" s="47">
        <v>33139</v>
      </c>
      <c r="I12" s="47">
        <v>32458</v>
      </c>
      <c r="J12" s="31" t="s">
        <v>153</v>
      </c>
      <c r="K12" s="47">
        <v>33257</v>
      </c>
      <c r="L12" s="157" t="s">
        <v>51</v>
      </c>
      <c r="M12" s="158">
        <f t="shared" si="0"/>
        <v>-421.87200000000001</v>
      </c>
      <c r="N12" s="159" t="str">
        <f>VLOOKUP(C12,'Trips&amp;Operators'!$C$1:$E$99999,3,FALSE)</f>
        <v>ADANE</v>
      </c>
      <c r="O12" s="184" t="s">
        <v>216</v>
      </c>
      <c r="P12" s="160" t="s">
        <v>806</v>
      </c>
      <c r="Q12" s="31"/>
      <c r="R12" s="100" t="str">
        <f>VLOOKUP(C12,'Train Runs'!$A$13:$AE$10009,31,0)</f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S12" s="103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https://search-rtdc-monitor-bjffxe2xuh6vdkpspy63sjmuny.us-east-1.es.amazonaws.com/_plugin/kibana/#/discover/Steve-Slow-Train-Analysis-(2080s-and-2083s)?_g=(refreshInterval:(display:Off,section:0,value:0),time:(from:'2016-11-02 16:53:18-0600',mode:absolute,to:'2016-11-02 19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2" s="105" t="str">
        <f t="shared" si="1"/>
        <v>"C:\Program Files (x86)\AstroGrep\AstroGrep.exe" /spath="%USERPROFILE%\AppData\Local\Temp\OnboardLogs" /stypes="*4004*201611030*" /stext=" 00:.+((SYSTEM_STATE.+slice.+state.+changed )|(ment ac)|(system.+state.+changed )|(\[timeout)|(PRM\|1\|D)|(kpr)|(kdp)|(\|lc)|(penalty))" /e /r /s</v>
      </c>
      <c r="U12" s="9" t="str">
        <f t="shared" si="2"/>
        <v>4004</v>
      </c>
      <c r="V12" s="36">
        <f t="shared" si="3"/>
        <v>42677.018240740741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arrival; accelerated while still in crossing","project_id":79,"tracker_id":40,"status_id":1,"priority_id":2,"assigned_to_id":23,"start_date":"2016-11-02","description":"","custom_fields":[{"id":1,"name":"Subdivision","value":"EC"},{"id":4,"name":"Milepost","value":"3.3257"},{"id":17,"name":"Train ID","value":"208-02"},{"id":16,"name":"Locomotive ID","value":"4004"},{"id":130,"name":"Impact","value":""},{"id":150,"name":"Time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"%USERPROFILE%\AppData\Local\Temp\OnboardLogs"\RTDC4004\*4004*201611030* | grep -SE "((Enforcement Ac)|(PRM))" -</v>
      </c>
    </row>
    <row r="13" spans="1:29" s="1" customFormat="1" x14ac:dyDescent="0.25">
      <c r="A13" s="36">
        <v>42676.546875</v>
      </c>
      <c r="B13" s="31" t="s">
        <v>302</v>
      </c>
      <c r="C13" s="31" t="s">
        <v>413</v>
      </c>
      <c r="D13" s="31" t="s">
        <v>49</v>
      </c>
      <c r="E13" s="31" t="s">
        <v>154</v>
      </c>
      <c r="F13" s="47">
        <v>500</v>
      </c>
      <c r="G13" s="47">
        <v>673</v>
      </c>
      <c r="H13" s="47">
        <v>44802</v>
      </c>
      <c r="I13" s="47">
        <v>42267</v>
      </c>
      <c r="J13" s="31" t="s">
        <v>153</v>
      </c>
      <c r="K13" s="47">
        <v>42961</v>
      </c>
      <c r="L13" s="157" t="s">
        <v>51</v>
      </c>
      <c r="M13" s="158">
        <f t="shared" si="0"/>
        <v>-366.43200000000002</v>
      </c>
      <c r="N13" s="159" t="str">
        <f>VLOOKUP(C13,'Trips&amp;Operators'!$C$1:$E$99999,3,FALSE)</f>
        <v>ADANE</v>
      </c>
      <c r="O13" s="184" t="s">
        <v>216</v>
      </c>
      <c r="P13" s="160" t="s">
        <v>808</v>
      </c>
      <c r="Q13" s="31"/>
      <c r="R13" s="100" t="str">
        <f>VLOOKUP(C13,'Train Runs'!$A$13:$AE$10009,31,0)</f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S13" s="103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https://search-rtdc-monitor-bjffxe2xuh6vdkpspy63sjmuny.us-east-1.es.amazonaws.com/_plugin/kibana/#/discover/Steve-Slow-Train-Analysis-(2080s-and-2083s)?_g=(refreshInterval:(display:Off,section:0,value:0),time:(from:'2016-11-02 11:38:28-0600',mode:absolute,to:'2016-11-02 14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3" s="105" t="str">
        <f t="shared" si="1"/>
        <v>"C:\Program Files (x86)\AstroGrep\AstroGrep.exe" /spath="%USERPROFILE%\AppData\Local\Temp\OnboardLogs" /stypes="*4004*201611021*" /stext=" 19:.+((SYSTEM_STATE.+slice.+state.+changed )|(ment ac)|(system.+state.+changed )|(\[timeout)|(PRM\|1\|D)|(kpr)|(kdp)|(\|lc)|(penalty))" /e /r /s</v>
      </c>
      <c r="U13" s="9" t="str">
        <f t="shared" si="2"/>
        <v>4004</v>
      </c>
      <c r="V13" s="36">
        <f t="shared" si="3"/>
        <v>42676.796875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arrival; accelerated and stayed over prompt suggested speed","project_id":79,"tracker_id":40,"status_id":1,"priority_id":2,"assigned_to_id":23,"start_date":"2016-11-02","description":"","custom_fields":[{"id":1,"name":"Subdivision","value":"EC"},{"id":4,"name":"Milepost","value":"4.2961"},{"id":17,"name":"Train ID","value":"166-02"},{"id":16,"name":"Locomotive ID","value":"4004"},{"id":130,"name":"Impact","value":""},{"id":150,"name":"Time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"%USERPROFILE%\AppData\Local\Temp\OnboardLogs"\RTDC4004\*4004*201611021* | grep -SE "((Enforcement Ac)|(PRM))" -</v>
      </c>
    </row>
    <row r="14" spans="1:29" s="1" customFormat="1" x14ac:dyDescent="0.25">
      <c r="A14" s="36">
        <v>42676.389953703707</v>
      </c>
      <c r="B14" s="31" t="s">
        <v>325</v>
      </c>
      <c r="C14" s="31" t="s">
        <v>408</v>
      </c>
      <c r="D14" s="31" t="s">
        <v>49</v>
      </c>
      <c r="E14" s="31" t="s">
        <v>154</v>
      </c>
      <c r="F14" s="47">
        <v>500</v>
      </c>
      <c r="G14" s="47">
        <v>563</v>
      </c>
      <c r="H14" s="47">
        <v>55292</v>
      </c>
      <c r="I14" s="47">
        <v>53134</v>
      </c>
      <c r="J14" s="31" t="s">
        <v>153</v>
      </c>
      <c r="K14" s="47">
        <v>53277</v>
      </c>
      <c r="L14" s="157" t="s">
        <v>51</v>
      </c>
      <c r="M14" s="158">
        <f t="shared" si="0"/>
        <v>-75.504000000000005</v>
      </c>
      <c r="N14" s="159" t="str">
        <f>VLOOKUP(C14,'Trips&amp;Operators'!$C$1:$E$99999,3,FALSE)</f>
        <v>RICHARDSON</v>
      </c>
      <c r="O14" s="184" t="s">
        <v>216</v>
      </c>
      <c r="P14" s="160" t="s">
        <v>807</v>
      </c>
      <c r="Q14" s="31"/>
      <c r="R14" s="100" t="str">
        <f>VLOOKUP(C14,'Train Runs'!$A$13:$AE$10009,31,0)</f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S14" s="103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https://search-rtdc-monitor-bjffxe2xuh6vdkpspy63sjmuny.us-east-1.es.amazonaws.com/_plugin/kibana/#/discover/Steve-Slow-Train-Analysis-(2080s-and-2083s)?_g=(refreshInterval:(display:Off,section:0,value:0),time:(from:'2016-11-02 07:50:16-0600',mode:absolute,to:'2016-11-02 10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4" s="105" t="str">
        <f t="shared" si="1"/>
        <v>"C:\Program Files (x86)\AstroGrep\AstroGrep.exe" /spath="%USERPROFILE%\AppData\Local\Temp\OnboardLogs" /stypes="*4008*201611021*" /stext=" 15:.+((SYSTEM_STATE.+slice.+state.+changed )|(ment ac)|(system.+state.+changed )|(\[timeout)|(PRM\|1\|D)|(kpr)|(kdp)|(\|lc)|(penalty))" /e /r /s</v>
      </c>
      <c r="U14" s="9" t="str">
        <f t="shared" si="2"/>
        <v>4008</v>
      </c>
      <c r="V14" s="36">
        <f t="shared" si="3"/>
        <v>42676.639953703707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{"issue":{"subject":"Early arrival; accelerated into crossing","project_id":79,"tracker_id":40,"status_id":1,"priority_id":2,"assigned_to_id":23,"start_date":"2016-11-02","description":"","custom_fields":[{"id":1,"name":"Subdivision","value":"EC"},{"id":4,"name":"Milepost","value":"5.3277"},{"id":17,"name":"Train ID","value":"136-02"},{"id":16,"name":"Locomotive ID","value":"4008"},{"id":130,"name":"Impact","value":""},{"id":150,"name":"Time of Event (Mountain Time)","value":"09:21:32"},{"id":151,"name":"Denver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"%USERPROFILE%\AppData\Local\Temp\OnboardLogs"\RTDC4008\*4008*201611021* | grep -SE "((Enforcement Ac)|(PRM))" -</v>
      </c>
    </row>
    <row r="15" spans="1:29" s="1" customFormat="1" x14ac:dyDescent="0.25">
      <c r="A15" s="36">
        <v>42676.409074074072</v>
      </c>
      <c r="B15" s="31" t="s">
        <v>193</v>
      </c>
      <c r="C15" s="31" t="s">
        <v>409</v>
      </c>
      <c r="D15" s="31" t="s">
        <v>49</v>
      </c>
      <c r="E15" s="31" t="s">
        <v>217</v>
      </c>
      <c r="F15" s="47">
        <v>400</v>
      </c>
      <c r="G15" s="47">
        <v>469</v>
      </c>
      <c r="H15" s="47">
        <v>17116</v>
      </c>
      <c r="I15" s="47">
        <v>17893</v>
      </c>
      <c r="J15" s="31" t="s">
        <v>218</v>
      </c>
      <c r="K15" s="47">
        <v>17867</v>
      </c>
      <c r="L15" s="157" t="s">
        <v>50</v>
      </c>
      <c r="M15" s="158">
        <f t="shared" si="0"/>
        <v>-13.728</v>
      </c>
      <c r="N15" s="159" t="str">
        <f>VLOOKUP(C15,'Trips&amp;Operators'!$C$1:$E$99999,3,FALSE)</f>
        <v>RICHARDSON</v>
      </c>
      <c r="O15" s="184" t="s">
        <v>216</v>
      </c>
      <c r="P15" s="160"/>
      <c r="Q15" s="31"/>
      <c r="R15" s="100" t="str">
        <f>VLOOKUP(C15,'Train Runs'!$A$13:$AE$10009,31,0)</f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S15" s="103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https://search-rtdc-monitor-bjffxe2xuh6vdkpspy63sjmuny.us-east-1.es.amazonaws.com/_plugin/kibana/#/discover/Steve-Slow-Train-Analysis-(2080s-and-2083s)?_g=(refreshInterval:(display:Off,section:0,value:0),time:(from:'2016-11-02 08:40:40-0600',mode:absolute,to:'2016-11-02 11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5" s="105" t="str">
        <f t="shared" si="1"/>
        <v>"C:\Program Files (x86)\AstroGrep\AstroGrep.exe" /spath="%USERPROFILE%\AppData\Local\Temp\OnboardLogs" /stypes="*4007*201611021*" /stext=" 15:.+((SYSTEM_STATE.+slice.+state.+changed )|(ment ac)|(system.+state.+changed )|(\[timeout)|(PRM\|1\|D)|(kpr)|(kdp)|(\|lc)|(penalty))" /e /r /s</v>
      </c>
      <c r="U15" s="9" t="str">
        <f t="shared" si="2"/>
        <v>4007</v>
      </c>
      <c r="V15" s="36">
        <f t="shared" si="3"/>
        <v>42676.659074074072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{"issue":{"subject":"","project_id":79,"tracker_id":40,"status_id":1,"priority_id":2,"assigned_to_id":23,"start_date":"2016-11-02","description":"","custom_fields":[{"id":1,"name":"Subdivision","value":"EC"},{"id":4,"name":"Milepost","value":"1.7867"},{"id":17,"name":"Train ID","value":"149-02"},{"id":16,"name":"Locomotive ID","value":"4007"},{"id":130,"name":"Impact","value":""},{"id":150,"name":"Time of Event (Mountain Time)","value":"09:49:04"},{"id":151,"name":"Denver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"%USERPROFILE%\AppData\Local\Temp\OnboardLogs"\RTDC4007\*4007*201611021* | grep -SE "((Enforcement Ac)|(PRM))" -</v>
      </c>
    </row>
    <row r="16" spans="1:29" s="1" customFormat="1" x14ac:dyDescent="0.25">
      <c r="A16" s="36">
        <v>42676.278831018521</v>
      </c>
      <c r="B16" s="31" t="s">
        <v>402</v>
      </c>
      <c r="C16" s="31" t="s">
        <v>403</v>
      </c>
      <c r="D16" s="31" t="s">
        <v>49</v>
      </c>
      <c r="E16" s="31" t="s">
        <v>217</v>
      </c>
      <c r="F16" s="47">
        <v>400</v>
      </c>
      <c r="G16" s="47">
        <v>462</v>
      </c>
      <c r="H16" s="47">
        <v>120846</v>
      </c>
      <c r="I16" s="47">
        <v>119534</v>
      </c>
      <c r="J16" s="31" t="s">
        <v>218</v>
      </c>
      <c r="K16" s="47">
        <v>119716</v>
      </c>
      <c r="L16" s="157" t="s">
        <v>51</v>
      </c>
      <c r="M16" s="158">
        <f t="shared" si="0"/>
        <v>-96.096000000000004</v>
      </c>
      <c r="N16" s="159" t="str">
        <f>VLOOKUP(C16,'Trips&amp;Operators'!$C$1:$E$99999,3,FALSE)</f>
        <v>PERKINS</v>
      </c>
      <c r="O16" s="184" t="s">
        <v>216</v>
      </c>
      <c r="P16" s="160"/>
      <c r="Q16" s="31"/>
      <c r="R16" s="100" t="str">
        <f>VLOOKUP(C16,'Train Runs'!$A$13:$AE$10009,31,0)</f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S16" s="103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https://search-rtdc-monitor-bjffxe2xuh6vdkpspy63sjmuny.us-east-1.es.amazonaws.com/_plugin/kibana/#/discover/Steve-Slow-Train-Analysis-(2080s-and-2083s)?_g=(refreshInterval:(display:Off,section:0,value:0),time:(from:'2016-11-02 05:13:07-0600',mode:absolute,to:'2016-11-02 08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/stypes="*4017*201611021*" /stext=" 12:.+((SYSTEM_STATE.+slice.+state.+changed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42676.528831018521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{"issue":{"subject":"","project_id":79,"tracker_id":40,"status_id":1,"priority_id":2,"assigned_to_id":23,"start_date":"2016-11-02","description":"","custom_fields":[{"id":1,"name":"Subdivision","value":"EC"},{"id":4,"name":"Milepost","value":"11.9716"},{"id":17,"name":"Train ID","value":"116-02"},{"id":16,"name":"Locomotive ID","value":"4017"},{"id":130,"name":"Impact","value":""},{"id":150,"name":"Time of Event (Mountain Time)","value":"06:41:31"},{"id":151,"name":"Denver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"%USERPROFILE%\AppData\Local\Temp\OnboardLogs"\RTDC4017\*4017*201611021* | grep -SE "((Enforcement Ac)|(PRM))" -</v>
      </c>
    </row>
    <row r="17" spans="1:30" s="1" customFormat="1" x14ac:dyDescent="0.25">
      <c r="A17" s="36">
        <v>42676.67931712963</v>
      </c>
      <c r="B17" s="31" t="s">
        <v>302</v>
      </c>
      <c r="C17" s="31" t="s">
        <v>422</v>
      </c>
      <c r="D17" s="31" t="s">
        <v>98</v>
      </c>
      <c r="E17" s="31" t="s">
        <v>217</v>
      </c>
      <c r="F17" s="47">
        <v>600</v>
      </c>
      <c r="G17" s="47">
        <v>655</v>
      </c>
      <c r="H17" s="47">
        <v>184207</v>
      </c>
      <c r="I17" s="47">
        <v>181069</v>
      </c>
      <c r="J17" s="31" t="s">
        <v>218</v>
      </c>
      <c r="K17" s="47">
        <v>190834</v>
      </c>
      <c r="L17" s="157" t="s">
        <v>51</v>
      </c>
      <c r="M17" s="158">
        <f t="shared" si="0"/>
        <v>-5155.92</v>
      </c>
      <c r="N17" s="159" t="str">
        <f>VLOOKUP(C17,'Trips&amp;Operators'!$C$1:$E$99999,3,FALSE)</f>
        <v>ADANE</v>
      </c>
      <c r="O17" s="184" t="s">
        <v>216</v>
      </c>
      <c r="P17" s="160"/>
      <c r="Q17" s="31"/>
      <c r="R17" s="100" t="str">
        <f>VLOOKUP(C17,'Train Runs'!$A$13:$AE$10009,31,0)</f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S17" s="103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https://search-rtdc-monitor-bjffxe2xuh6vdkpspy63sjmuny.us-east-1.es.amazonaws.com/_plugin/kibana/#/discover/Steve-Slow-Train-Analysis-(2080s-and-2083s)?_g=(refreshInterval:(display:Off,section:0,value:0),time:(from:'2016-11-02 15:09:17-0600',mode:absolute,to:'2016-11-02 17:48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7" s="105" t="str">
        <f t="shared" si="1"/>
        <v>"C:\Program Files (x86)\AstroGrep\AstroGrep.exe" /spath="%USERPROFILE%\AppData\Local\Temp\OnboardLogs" /stypes="*4004*201611022*" /stext=" 22:.+((SYSTEM_STATE.+slice.+state.+changed )|(ment ac)|(system.+state.+changed )|(\[timeout)|(PRM\|1\|D)|(kpr)|(kdp)|(\|lc)|(penalty))" /e /r /s</v>
      </c>
      <c r="U17" s="9" t="str">
        <f t="shared" si="2"/>
        <v>4004</v>
      </c>
      <c r="V17" s="36">
        <f t="shared" si="3"/>
        <v>42676.92931712963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{"issue":{"subject":"","project_id":79,"tracker_id":40,"status_id":1,"priority_id":2,"assigned_to_id":23,"start_date":"2016-11-02","description":"","custom_fields":[{"id":1,"name":"Subdivision","value":"EC"},{"id":4,"name":"Milepost","value":"19.0834"},{"id":17,"name":"Train ID","value":"194-02"},{"id":16,"name":"Locomotive ID","value":"4004"},{"id":130,"name":"Impact","value":""},{"id":150,"name":"Time of Event (Mountain Time)","value":"16:18:13"},{"id":151,"name":"Denver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"%USERPROFILE%\AppData\Local\Temp\OnboardLogs"\RTDC4004\*4004*201611022* | grep -SE "((Enforcement Ac)|(PRM))" -</v>
      </c>
    </row>
    <row r="18" spans="1:30" s="1" customFormat="1" x14ac:dyDescent="0.25">
      <c r="A18" s="36">
        <v>42677.061736111114</v>
      </c>
      <c r="B18" s="31" t="s">
        <v>325</v>
      </c>
      <c r="C18" s="31" t="s">
        <v>433</v>
      </c>
      <c r="D18" s="31" t="s">
        <v>98</v>
      </c>
      <c r="E18" s="31" t="s">
        <v>217</v>
      </c>
      <c r="F18" s="47">
        <v>550</v>
      </c>
      <c r="G18" s="47">
        <v>606</v>
      </c>
      <c r="H18" s="47">
        <v>222150</v>
      </c>
      <c r="I18" s="47">
        <v>219818</v>
      </c>
      <c r="J18" s="31" t="s">
        <v>218</v>
      </c>
      <c r="K18" s="47">
        <v>224581</v>
      </c>
      <c r="L18" s="157" t="s">
        <v>51</v>
      </c>
      <c r="M18" s="158">
        <f t="shared" si="0"/>
        <v>-2514.864</v>
      </c>
      <c r="N18" s="159" t="str">
        <f>VLOOKUP(C18,'Trips&amp;Operators'!$C$1:$E$99999,3,FALSE)</f>
        <v>CRAYTON</v>
      </c>
      <c r="O18" s="184" t="s">
        <v>216</v>
      </c>
      <c r="P18" s="160"/>
      <c r="Q18" s="31"/>
      <c r="R18" s="100" t="str">
        <f>VLOOKUP(C18,'Train Runs'!$A$13:$AE$10009,31,0)</f>
        <v>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 &amp; 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</v>
      </c>
      <c r="S18" s="103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https://search-rtdc-monitor-bjffxe2xuh6vdkpspy63sjmuny.us-east-1.es.amazonaws.com/_plugin/kibana/#/discover/Steve-Slow-Train-Analysis-(2080s-and-2083s)?_g=(refreshInterval:(display:Off,section:0,value:0),time:(from:'2016-11-03 00:18:44-0600',mode:absolute,to:'2016-11-03 03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5" t="str">
        <f t="shared" si="1"/>
        <v>"C:\Program Files (x86)\AstroGrep\AstroGrep.exe" /spath="%USERPROFILE%\AppData\Local\Temp\OnboardLogs" /stypes="*4008*201611030*" /stext=" 07:.+((SYSTEM_STATE.+slice.+state.+changed )|(ment ac)|(system.+state.+changed )|(\[timeout)|(PRM\|1\|D)|(kpr)|(kdp)|(\|lc)|(penalty))" /e /r /s</v>
      </c>
      <c r="U18" s="9" t="str">
        <f t="shared" si="2"/>
        <v>4008</v>
      </c>
      <c r="V18" s="36">
        <f t="shared" si="3"/>
        <v>42677.311736111114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{"issue":{"subject":"","project_id":79,"tracker_id":40,"status_id":1,"priority_id":2,"assigned_to_id":23,"start_date":"2016-11-03","description":"","custom_fields":[{"id":1,"name":"Subdivision","value":"EC"},{"id":4,"name":"Milepost","value":"22.4581"},{"id":17,"name":"Train ID","value":"244-02"},{"id":16,"name":"Locomotive ID","value":"4008"},{"id":130,"name":"Impact","value":""},{"id":150,"name":"Time of Event (Mountain Time)","value":"01:28:54"},{"id":151,"name":"Denver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"%USERPROFILE%\AppData\Local\Temp\OnboardLogs"\RTDC4008\*4008*201611030* | grep -SE "((Enforcement Ac)|(PRM))" -</v>
      </c>
    </row>
    <row r="19" spans="1:30" s="1" customFormat="1" x14ac:dyDescent="0.25">
      <c r="A19" s="36">
        <v>42676.371215277781</v>
      </c>
      <c r="B19" s="31" t="s">
        <v>287</v>
      </c>
      <c r="C19" s="31" t="s">
        <v>407</v>
      </c>
      <c r="D19" s="31" t="s">
        <v>49</v>
      </c>
      <c r="E19" s="31" t="s">
        <v>217</v>
      </c>
      <c r="F19" s="47">
        <v>150</v>
      </c>
      <c r="G19" s="47">
        <v>225</v>
      </c>
      <c r="H19" s="47">
        <v>228147</v>
      </c>
      <c r="I19" s="47">
        <v>228526</v>
      </c>
      <c r="J19" s="31" t="s">
        <v>218</v>
      </c>
      <c r="K19" s="47">
        <v>228668</v>
      </c>
      <c r="L19" s="157" t="s">
        <v>50</v>
      </c>
      <c r="M19" s="158">
        <f t="shared" si="0"/>
        <v>74.975999999999999</v>
      </c>
      <c r="N19" s="159" t="str">
        <f>VLOOKUP(C19,'Trips&amp;Operators'!$C$1:$E$99999,3,FALSE)</f>
        <v>BADERTSCHER</v>
      </c>
      <c r="O19" s="184" t="s">
        <v>216</v>
      </c>
      <c r="P19" s="160"/>
      <c r="Q19" s="31"/>
      <c r="R19" s="100" t="str">
        <f>VLOOKUP(C19,'Train Runs'!$A$13:$AE$10009,31,0)</f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S19" s="103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https://search-rtdc-monitor-bjffxe2xuh6vdkpspy63sjmuny.us-east-1.es.amazonaws.com/_plugin/kibana/#/discover/Steve-Slow-Train-Analysis-(2080s-and-2083s)?_g=(refreshInterval:(display:Off,section:0,value:0),time:(from:'2016-11-02 07:08:15-0600',mode:absolute,to:'2016-11-02 09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9" s="105" t="str">
        <f t="shared" si="1"/>
        <v>"C:\Program Files (x86)\AstroGrep\AstroGrep.exe" /spath="%USERPROFILE%\AppData\Local\Temp\OnboardLogs" /stypes="*4003*201611021*" /stext=" 14:.+((SYSTEM_STATE.+slice.+state.+changed )|(ment ac)|(system.+state.+changed )|(\[timeout)|(PRM\|1\|D)|(kpr)|(kdp)|(\|lc)|(penalty))" /e /r /s</v>
      </c>
      <c r="U19" s="9" t="str">
        <f t="shared" si="2"/>
        <v>4003</v>
      </c>
      <c r="V19" s="36">
        <f t="shared" si="3"/>
        <v>42676.621215277781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{"issue":{"subject":"","project_id":79,"tracker_id":40,"status_id":1,"priority_id":2,"assigned_to_id":23,"start_date":"2016-11-02","description":"","custom_fields":[{"id":1,"name":"Subdivision","value":"EC"},{"id":4,"name":"Milepost","value":"22.8668"},{"id":17,"name":"Train ID","value":"137-02"},{"id":16,"name":"Locomotive ID","value":"4003"},{"id":130,"name":"Impact","value":""},{"id":150,"name":"Time of Event (Mountain Time)","value":"08:54:33"},{"id":151,"name":"Denver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"%USERPROFILE%\AppData\Local\Temp\OnboardLogs"\RTDC4003\*4003*201611021* | grep -SE "((Enforcement Ac)|(PRM))" -</v>
      </c>
    </row>
    <row r="20" spans="1:30" x14ac:dyDescent="0.25">
      <c r="A20" s="36">
        <v>42676.300798611112</v>
      </c>
      <c r="B20" s="31" t="s">
        <v>325</v>
      </c>
      <c r="C20" s="31" t="s">
        <v>404</v>
      </c>
      <c r="D20" s="31" t="s">
        <v>49</v>
      </c>
      <c r="E20" s="31" t="s">
        <v>217</v>
      </c>
      <c r="F20" s="47">
        <v>150</v>
      </c>
      <c r="G20" s="47">
        <v>207</v>
      </c>
      <c r="H20" s="47">
        <v>229348</v>
      </c>
      <c r="I20" s="47">
        <v>228949</v>
      </c>
      <c r="J20" s="31" t="s">
        <v>218</v>
      </c>
      <c r="K20" s="47">
        <v>229055</v>
      </c>
      <c r="L20" s="157" t="s">
        <v>51</v>
      </c>
      <c r="M20" s="158">
        <f t="shared" si="0"/>
        <v>-55.968000000000004</v>
      </c>
      <c r="N20" s="159" t="str">
        <f>VLOOKUP(C20,'Trips&amp;Operators'!$C$1:$E$99999,3,FALSE)</f>
        <v>RICHARDSON</v>
      </c>
      <c r="O20" s="184" t="s">
        <v>216</v>
      </c>
      <c r="P20" s="160"/>
      <c r="Q20" s="31"/>
      <c r="R20" s="100" t="str">
        <f>VLOOKUP(C20,'Train Runs'!$A$13:$AE$10009,31,0)</f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S20" s="103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https://search-rtdc-monitor-bjffxe2xuh6vdkpspy63sjmuny.us-east-1.es.amazonaws.com/_plugin/kibana/#/discover/Steve-Slow-Train-Analysis-(2080s-and-2083s)?_g=(refreshInterval:(display:Off,section:0,value:0),time:(from:'2016-11-02 06:02:06-0600',mode:absolute,to:'2016-11-02 08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5" t="str">
        <f t="shared" si="1"/>
        <v>"C:\Program Files (x86)\AstroGrep\AstroGrep.exe" /spath="%USERPROFILE%\AppData\Local\Temp\OnboardLogs" /stypes="*4008*201611021*" /stext=" 13:.+((SYSTEM_STATE.+slice.+state.+changed )|(ment ac)|(system.+state.+changed )|(\[timeout)|(PRM\|1\|D)|(kpr)|(kdp)|(\|lc)|(penalty))" /e /r /s</v>
      </c>
      <c r="U20" s="9" t="str">
        <f t="shared" si="2"/>
        <v>4008</v>
      </c>
      <c r="V20" s="36">
        <f t="shared" si="3"/>
        <v>42676.550798611112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{"issue":{"subject":"","project_id":79,"tracker_id":40,"status_id":1,"priority_id":2,"assigned_to_id":23,"start_date":"2016-11-02","description":"","custom_fields":[{"id":1,"name":"Subdivision","value":"EC"},{"id":4,"name":"Milepost","value":"22.9055"},{"id":17,"name":"Train ID","value":"122-02"},{"id":16,"name":"Locomotive ID","value":"4008"},{"id":130,"name":"Impact","value":""},{"id":150,"name":"Time of Event (Mountain Time)","value":"07:13:09"},{"id":151,"name":"Denver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"%USERPROFILE%\AppData\Local\Temp\OnboardLogs"\RTDC4008\*4008*201611021* | grep -SE "((Enforcement Ac)|(PRM))" -</v>
      </c>
      <c r="AD20" s="1"/>
    </row>
    <row r="21" spans="1:30" s="1" customFormat="1" x14ac:dyDescent="0.25">
      <c r="A21" s="36">
        <v>42676.587361111109</v>
      </c>
      <c r="B21" s="31" t="s">
        <v>287</v>
      </c>
      <c r="C21" s="31" t="s">
        <v>416</v>
      </c>
      <c r="D21" s="31" t="s">
        <v>49</v>
      </c>
      <c r="E21" s="31" t="s">
        <v>217</v>
      </c>
      <c r="F21" s="47">
        <v>150</v>
      </c>
      <c r="G21" s="47">
        <v>282</v>
      </c>
      <c r="H21" s="47">
        <v>229467</v>
      </c>
      <c r="I21" s="47">
        <v>229893</v>
      </c>
      <c r="J21" s="31" t="s">
        <v>218</v>
      </c>
      <c r="K21" s="47">
        <v>230436</v>
      </c>
      <c r="L21" s="157" t="s">
        <v>50</v>
      </c>
      <c r="M21" s="158">
        <f t="shared" si="0"/>
        <v>286.70400000000001</v>
      </c>
      <c r="N21" s="159" t="str">
        <f>VLOOKUP(C21,'Trips&amp;Operators'!$C$1:$E$99999,3,FALSE)</f>
        <v>ADANE</v>
      </c>
      <c r="O21" s="184" t="s">
        <v>216</v>
      </c>
      <c r="P21" s="160"/>
      <c r="Q21" s="31"/>
      <c r="R21" s="100" t="str">
        <f>VLOOKUP(C21,'Train Runs'!$A$13:$AE$10009,31,0)</f>
        <v>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 &amp; 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</v>
      </c>
      <c r="S21" s="103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https://search-rtdc-monitor-bjffxe2xuh6vdkpspy63sjmuny.us-east-1.es.amazonaws.com/_plugin/kibana/#/discover/Steve-Slow-Train-Analysis-(2080s-and-2083s)?_g=(refreshInterval:(display:Off,section:0,value:0),time:(from:'2016-11-02 12:26:59-0600',mode:absolute,to:'2016-11-02 15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1" s="105" t="str">
        <f t="shared" si="1"/>
        <v>"C:\Program Files (x86)\AstroGrep\AstroGrep.exe" /spath="%USERPROFILE%\AppData\Local\Temp\OnboardLogs" /stypes="*4003*201611022*" /stext=" 20:.+((SYSTEM_STATE.+slice.+state.+changed )|(ment ac)|(system.+state.+changed )|(\[timeout)|(PRM\|1\|D)|(kpr)|(kdp)|(\|lc)|(penalty))" /e /r /s</v>
      </c>
      <c r="U21" s="9" t="str">
        <f t="shared" si="2"/>
        <v>4003</v>
      </c>
      <c r="V21" s="36">
        <f t="shared" si="3"/>
        <v>42676.837361111109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{"issue":{"subject":"","project_id":79,"tracker_id":40,"status_id":1,"priority_id":2,"assigned_to_id":23,"start_date":"2016-11-02","description":"","custom_fields":[{"id":1,"name":"Subdivision","value":"EC"},{"id":4,"name":"Milepost","value":"23.0436"},{"id":17,"name":"Train ID","value":"179-02"},{"id":16,"name":"Locomotive ID","value":"4003"},{"id":130,"name":"Impact","value":""},{"id":150,"name":"Time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"%USERPROFILE%\AppData\Local\Temp\OnboardLogs"\RTDC4003\*4003*201611022* | grep -SE "((Enforcement Ac)|(PRM))" -</v>
      </c>
    </row>
    <row r="22" spans="1:30" x14ac:dyDescent="0.25">
      <c r="A22" s="36">
        <v>42676.940740740742</v>
      </c>
      <c r="B22" s="31" t="s">
        <v>251</v>
      </c>
      <c r="C22" s="31" t="s">
        <v>432</v>
      </c>
      <c r="D22" s="31" t="s">
        <v>49</v>
      </c>
      <c r="E22" s="31" t="s">
        <v>217</v>
      </c>
      <c r="F22" s="47">
        <v>150</v>
      </c>
      <c r="G22" s="47">
        <v>228</v>
      </c>
      <c r="H22" s="47">
        <v>229527</v>
      </c>
      <c r="I22" s="47">
        <v>229860</v>
      </c>
      <c r="J22" s="31" t="s">
        <v>218</v>
      </c>
      <c r="K22" s="47">
        <v>230436</v>
      </c>
      <c r="L22" s="157" t="s">
        <v>50</v>
      </c>
      <c r="M22" s="158">
        <f t="shared" si="0"/>
        <v>304.12799999999999</v>
      </c>
      <c r="N22" s="159" t="str">
        <f>VLOOKUP(C22,'Trips&amp;Operators'!$C$1:$E$99999,3,FALSE)</f>
        <v>LEVIN</v>
      </c>
      <c r="O22" s="184" t="s">
        <v>216</v>
      </c>
      <c r="P22" s="160"/>
      <c r="Q22" s="31"/>
      <c r="R22" s="100" t="str">
        <f>VLOOKUP(C22,'Train Runs'!$A$13:$AE$10009,31,0)</f>
        <v>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 &amp; aws s3 cp s3://rtdc.mdm.uploadarchive.raw/RTDC4038/ "%USERPROFILE%\AppData\Local\Temp\OnboardLogs"\RTDC4038\2016-11-03 --exclude "*" --recursive --include "*20161103*" &amp; "%USERPROFILE%\Documents\GitHub\mrs-test-scripts\Headless Mode &amp; Sideloading\WalkAndUnGZ.bat" "%USERPROFILE%\AppData\Local\Temp\OnboardLogs"\RTDC4038\2016-11-03</v>
      </c>
      <c r="S22" s="103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https://search-rtdc-monitor-bjffxe2xuh6vdkpspy63sjmuny.us-east-1.es.amazonaws.com/_plugin/kibana/#/discover/Steve-Slow-Train-Analysis-(2080s-and-2083s)?_g=(refreshInterval:(display:Off,section:0,value:0),time:(from:'2016-11-02 20:55:07-0600',mode:absolute,to:'2016-11-02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2" s="105" t="str">
        <f t="shared" si="1"/>
        <v>"C:\Program Files (x86)\AstroGrep\AstroGrep.exe" /spath="%USERPROFILE%\AppData\Local\Temp\OnboardLogs" /stypes="*4038*201611030*" /stext=" 04:.+((SYSTEM_STATE.+slice.+state.+changed )|(ment ac)|(system.+state.+changed )|(\[timeout)|(PRM\|1\|D)|(kpr)|(kdp)|(\|lc)|(penalty))" /e /r /s</v>
      </c>
      <c r="U22" s="9" t="str">
        <f t="shared" si="2"/>
        <v>4038</v>
      </c>
      <c r="V22" s="36">
        <f t="shared" si="3"/>
        <v>42677.190740740742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{"issue":{"subject":"","project_id":79,"tracker_id":40,"status_id":1,"priority_id":2,"assigned_to_id":23,"start_date":"2016-11-02","description":"","custom_fields":[{"id":1,"name":"Subdivision","value":"EC"},{"id":4,"name":"Milepost","value":"23.0436"},{"id":17,"name":"Train ID","value":"233-02"},{"id":16,"name":"Locomotive ID","value":"4038"},{"id":130,"name":"Impact","value":""},{"id":150,"name":"Time of Event (Mountain Time)","value":"22:34:40"},{"id":151,"name":"Denver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"%USERPROFILE%\AppData\Local\Temp\OnboardLogs"\RTDC4038\*4038*201611030* | grep -SE "((Enforcement Ac)|(PRM))" -</v>
      </c>
      <c r="AD22" s="1"/>
    </row>
    <row r="23" spans="1:30" x14ac:dyDescent="0.25">
      <c r="A23" s="36">
        <v>42676.601990740739</v>
      </c>
      <c r="B23" s="31" t="s">
        <v>302</v>
      </c>
      <c r="C23" s="31" t="s">
        <v>417</v>
      </c>
      <c r="D23" s="31" t="s">
        <v>98</v>
      </c>
      <c r="E23" s="31" t="s">
        <v>217</v>
      </c>
      <c r="F23" s="47">
        <v>150</v>
      </c>
      <c r="G23" s="47">
        <v>211</v>
      </c>
      <c r="H23" s="47">
        <v>232301</v>
      </c>
      <c r="I23" s="47">
        <v>231843</v>
      </c>
      <c r="J23" s="31" t="s">
        <v>218</v>
      </c>
      <c r="K23" s="47">
        <v>233492</v>
      </c>
      <c r="L23" s="157" t="s">
        <v>51</v>
      </c>
      <c r="M23" s="158">
        <f t="shared" si="0"/>
        <v>-870.67200000000003</v>
      </c>
      <c r="N23" s="159" t="str">
        <f>VLOOKUP(C23,'Trips&amp;Operators'!$C$1:$E$99999,3,FALSE)</f>
        <v>ADANE</v>
      </c>
      <c r="O23" s="184" t="s">
        <v>216</v>
      </c>
      <c r="P23" s="160"/>
      <c r="Q23" s="31"/>
      <c r="R23" s="100" t="str">
        <f>VLOOKUP(C23,'Train Runs'!$A$13:$AE$10009,31,0)</f>
        <v>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 &amp; 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</v>
      </c>
      <c r="S23" s="103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13:22:37-0600',mode:absolute,to:'2016-11-02 16:12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3" s="105" t="str">
        <f t="shared" si="1"/>
        <v>"C:\Program Files (x86)\AstroGrep\AstroGrep.exe" /spath="%USERPROFILE%\AppData\Local\Temp\OnboardLogs" /stypes="*4004*201611022*" /stext=" 20:.+((SYSTEM_STATE.+slice.+state.+changed )|(ment ac)|(system.+state.+changed )|(\[timeout)|(PRM\|1\|D)|(kpr)|(kdp)|(\|lc)|(penalty))" /e /r /s</v>
      </c>
      <c r="U23" s="9" t="str">
        <f t="shared" si="2"/>
        <v>4004</v>
      </c>
      <c r="V23" s="36">
        <f t="shared" si="3"/>
        <v>42676.851990740739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{"issue":{"subject":"","project_id":79,"tracker_id":40,"status_id":1,"priority_id":2,"assigned_to_id":23,"start_date":"2016-11-02","description":"","custom_fields":[{"id":1,"name":"Subdivision","value":"EC"},{"id":4,"name":"Milepost","value":"23.3492"},{"id":17,"name":"Train ID","value":"180-02"},{"id":16,"name":"Locomotive ID","value":"4004"},{"id":130,"name":"Impact","value":""},{"id":150,"name":"Time of Event (Mountain Time)","value":"14:26:52"},{"id":151,"name":"Denver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"%USERPROFILE%\AppData\Local\Temp\OnboardLogs"\RTDC4004\*4004*201611022* | grep -SE "((Enforcement Ac)|(PRM))" -</v>
      </c>
      <c r="AD23" s="1"/>
    </row>
    <row r="24" spans="1:30" x14ac:dyDescent="0.25">
      <c r="A24" s="36">
        <v>42676.704386574071</v>
      </c>
      <c r="B24" s="31" t="s">
        <v>193</v>
      </c>
      <c r="C24" s="31" t="s">
        <v>424</v>
      </c>
      <c r="D24" s="31" t="s">
        <v>49</v>
      </c>
      <c r="E24" s="31" t="s">
        <v>219</v>
      </c>
      <c r="F24" s="47">
        <v>0</v>
      </c>
      <c r="G24" s="47">
        <v>294</v>
      </c>
      <c r="H24" s="47">
        <v>35446</v>
      </c>
      <c r="I24" s="47">
        <v>36320</v>
      </c>
      <c r="J24" s="31" t="s">
        <v>220</v>
      </c>
      <c r="K24" s="47">
        <v>36645</v>
      </c>
      <c r="L24" s="157" t="s">
        <v>50</v>
      </c>
      <c r="M24" s="158">
        <f t="shared" si="0"/>
        <v>171.6</v>
      </c>
      <c r="N24" s="159" t="str">
        <f>VLOOKUP(C24,'Trips&amp;Operators'!$C$1:$E$99999,3,FALSE)</f>
        <v>HELVIE</v>
      </c>
      <c r="O24" s="184" t="s">
        <v>298</v>
      </c>
      <c r="P24" s="160" t="s">
        <v>395</v>
      </c>
      <c r="Q24" s="31"/>
      <c r="R24" s="100" t="str">
        <f>VLOOKUP(C24,'Train Runs'!$A$13:$AE$10009,31,0)</f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S24" s="103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https://search-rtdc-monitor-bjffxe2xuh6vdkpspy63sjmuny.us-east-1.es.amazonaws.com/_plugin/kibana/#/discover/Steve-Slow-Train-Analysis-(2080s-and-2083s)?_g=(refreshInterval:(display:Off,section:0,value:0),time:(from:'2016-11-02 15:40:35-0600',mode:absolute,to:'2016-11-02 18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4" s="105" t="str">
        <f t="shared" si="1"/>
        <v>"C:\Program Files (x86)\AstroGrep\AstroGrep.exe" /spath="%USERPROFILE%\AppData\Local\Temp\OnboardLogs" /stypes="*4007*201611022*" /stext=" 22:.+((SYSTEM_STATE.+slice.+state.+changed )|(ment ac)|(system.+state.+changed )|(\[timeout)|(PRM\|1\|D)|(kpr)|(kdp)|(\|lc)|(penalty))" /e /r /s</v>
      </c>
      <c r="U24" s="9" t="str">
        <f t="shared" si="2"/>
        <v>4007</v>
      </c>
      <c r="V24" s="36">
        <f t="shared" si="3"/>
        <v>42676.954386574071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{"issue":{"subject":"Wi-MAX outage","project_id":79,"tracker_id":40,"status_id":1,"priority_id":2,"assigned_to_id":23,"start_date":"2016-11-02","description":"http://stevetu21.github.io/eaglep3/load_kml.html?kml=http://rtdc.gmaps-snips.s3.amazonaws.com/e1a5f438-0cb5-497e-bcf1-5dcd9f7070ba.kml","custom_fields":[{"id":1,"name":"Subdivision","value":"EC"},{"id":4,"name":"Milepost","value":"3.6645"},{"id":17,"name":"Train ID","value":"205-02"},{"id":16,"name":"Locomotive ID","value":"4007"},{"id":130,"name":"Impact","value":"Enforcement"},{"id":150,"name":"Time of Event (Mountain Time)","value":"16:54:19"},{"id":151,"name":"Denver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5" t="s">
        <v>804</v>
      </c>
      <c r="AA24" s="53" t="s">
        <v>125</v>
      </c>
      <c r="AB24" s="53" t="s">
        <v>138</v>
      </c>
      <c r="AC24" s="141" t="str">
        <f t="shared" si="7"/>
        <v>grep -hSE -A100 "Enforcement Action" "%USERPROFILE%\AppData\Local\Temp\OnboardLogs"\RTDC4007\*4007*201611022* | grep -SE "((Enforcement Ac)|(PRM))" -</v>
      </c>
      <c r="AD24" s="1"/>
    </row>
    <row r="25" spans="1:30" ht="15" customHeight="1" x14ac:dyDescent="0.25">
      <c r="A25" s="36">
        <v>42676.610937500001</v>
      </c>
      <c r="B25" s="31" t="s">
        <v>418</v>
      </c>
      <c r="C25" s="31" t="s">
        <v>419</v>
      </c>
      <c r="D25" s="31" t="s">
        <v>98</v>
      </c>
      <c r="E25" s="31" t="s">
        <v>219</v>
      </c>
      <c r="F25" s="47">
        <v>0</v>
      </c>
      <c r="G25" s="47">
        <v>4</v>
      </c>
      <c r="H25" s="47">
        <v>105644</v>
      </c>
      <c r="I25" s="47">
        <v>105708</v>
      </c>
      <c r="J25" s="31" t="s">
        <v>220</v>
      </c>
      <c r="K25" s="47">
        <v>103445</v>
      </c>
      <c r="L25" s="157" t="s">
        <v>50</v>
      </c>
      <c r="M25" s="158">
        <f t="shared" si="0"/>
        <v>-1194.864</v>
      </c>
      <c r="N25" s="159" t="str">
        <f>VLOOKUP(C25,'Trips&amp;Operators'!$C$1:$E$99999,3,FALSE)</f>
        <v>HILLS</v>
      </c>
      <c r="O25" s="184" t="s">
        <v>298</v>
      </c>
      <c r="P25" s="160" t="s">
        <v>803</v>
      </c>
      <c r="Q25" s="31"/>
      <c r="R25" s="100" t="str">
        <f>VLOOKUP(C25,'Train Runs'!$A$13:$AE$10009,31,0)</f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S25" s="103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13:42:53-0600',mode:absolute,to:'2016-11-02 16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5" s="105" t="str">
        <f t="shared" si="1"/>
        <v>"C:\Program Files (x86)\AstroGrep\AstroGrep.exe" /spath="%USERPROFILE%\AppData\Local\Temp\OnboardLogs" /stypes="*4018*201611022*" /stext=" 20:.+((SYSTEM_STATE.+slice.+state.+changed )|(ment ac)|(system.+state.+changed )|(\[timeout)|(PRM\|1\|D)|(kpr)|(kdp)|(\|lc)|(penalty))" /e /r /s</v>
      </c>
      <c r="U25" s="9" t="str">
        <f t="shared" si="2"/>
        <v>4018</v>
      </c>
      <c r="V25" s="36">
        <f t="shared" si="3"/>
        <v>42676.860937500001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{"issue":{"subject":"Wi-MAX outage (same incident)","project_id":79,"tracker_id":40,"status_id":1,"priority_id":2,"assigned_to_id":23,"start_date":"2016-11-02","description":"","custom_fields":[{"id":1,"name":"Subdivision","value":"EC"},{"id":4,"name":"Milepost","value":"10.3445"},{"id":17,"name":"Train ID","value":"185-02"},{"id":16,"name":"Locomotive ID","value":"4018"},{"id":130,"name":"Impact","value":""},{"id":150,"name":"Time of Event (Mountain Time)","value":"14:39:45"},{"id":151,"name":"Denver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"%USERPROFILE%\AppData\Local\Temp\OnboardLogs"\RTDC4018\*4018*201611022* | grep -SE "((Enforcement Ac)|(PRM))" -</v>
      </c>
      <c r="AD25" s="1"/>
    </row>
    <row r="26" spans="1:30" x14ac:dyDescent="0.25">
      <c r="A26" s="36">
        <v>42676.611307870371</v>
      </c>
      <c r="B26" s="31" t="s">
        <v>418</v>
      </c>
      <c r="C26" s="31" t="s">
        <v>419</v>
      </c>
      <c r="D26" s="31" t="s">
        <v>98</v>
      </c>
      <c r="E26" s="31" t="s">
        <v>219</v>
      </c>
      <c r="F26" s="47">
        <v>0</v>
      </c>
      <c r="G26" s="47">
        <v>9</v>
      </c>
      <c r="H26" s="47">
        <v>105709</v>
      </c>
      <c r="I26" s="47">
        <v>105778</v>
      </c>
      <c r="J26" s="31" t="s">
        <v>220</v>
      </c>
      <c r="K26" s="47">
        <v>103445</v>
      </c>
      <c r="L26" s="157" t="s">
        <v>50</v>
      </c>
      <c r="M26" s="158">
        <f t="shared" si="0"/>
        <v>-1231.8240000000001</v>
      </c>
      <c r="N26" s="159" t="str">
        <f>VLOOKUP(C26,'Trips&amp;Operators'!$C$1:$E$99999,3,FALSE)</f>
        <v>HILLS</v>
      </c>
      <c r="O26" s="184" t="s">
        <v>298</v>
      </c>
      <c r="P26" s="160" t="s">
        <v>803</v>
      </c>
      <c r="Q26" s="31"/>
      <c r="R26" s="100" t="str">
        <f>VLOOKUP(C26,'Train Runs'!$A$13:$AE$10009,31,0)</f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S26" s="103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13:42:53-0600',mode:absolute,to:'2016-11-02 16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6" s="105" t="str">
        <f t="shared" si="1"/>
        <v>"C:\Program Files (x86)\AstroGrep\AstroGrep.exe" /spath="%USERPROFILE%\AppData\Local\Temp\OnboardLogs" /stypes="*4018*201611022*" /stext=" 20:.+((SYSTEM_STATE.+slice.+state.+changed )|(ment ac)|(system.+state.+changed )|(\[timeout)|(PRM\|1\|D)|(kpr)|(kdp)|(\|lc)|(penalty))" /e /r /s</v>
      </c>
      <c r="U26" s="9" t="str">
        <f t="shared" si="2"/>
        <v>4018</v>
      </c>
      <c r="V26" s="36">
        <f t="shared" si="3"/>
        <v>42676.861307870371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{"issue":{"subject":"Wi-MAX outage (same incident)","project_id":79,"tracker_id":40,"status_id":1,"priority_id":2,"assigned_to_id":23,"start_date":"2016-11-02","description":"","custom_fields":[{"id":1,"name":"Subdivision","value":"EC"},{"id":4,"name":"Milepost","value":"10.3445"},{"id":17,"name":"Train ID","value":"185-02"},{"id":16,"name":"Locomotive ID","value":"4018"},{"id":130,"name":"Impact","value":""},{"id":150,"name":"Time of Event (Mountain Time)","value":"14:40:17"},{"id":151,"name":"Denver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"%USERPROFILE%\AppData\Local\Temp\OnboardLogs"\RTDC4018\*4018*201611022* | grep -SE "((Enforcement Ac)|(PRM))" -</v>
      </c>
      <c r="AD26" s="1"/>
    </row>
    <row r="27" spans="1:30" x14ac:dyDescent="0.25">
      <c r="A27" s="36">
        <v>42676.614155092589</v>
      </c>
      <c r="B27" s="31" t="s">
        <v>418</v>
      </c>
      <c r="C27" s="31" t="s">
        <v>419</v>
      </c>
      <c r="D27" s="31" t="s">
        <v>98</v>
      </c>
      <c r="E27" s="31" t="s">
        <v>219</v>
      </c>
      <c r="F27" s="47">
        <v>200</v>
      </c>
      <c r="G27" s="47">
        <v>256</v>
      </c>
      <c r="H27" s="47">
        <v>112364</v>
      </c>
      <c r="I27" s="47">
        <v>112825</v>
      </c>
      <c r="J27" s="31" t="s">
        <v>220</v>
      </c>
      <c r="K27" s="47">
        <v>110020</v>
      </c>
      <c r="L27" s="157" t="s">
        <v>50</v>
      </c>
      <c r="M27" s="158">
        <f t="shared" si="0"/>
        <v>-1481.04</v>
      </c>
      <c r="N27" s="159" t="str">
        <f>VLOOKUP(C27,'Trips&amp;Operators'!$C$1:$E$99999,3,FALSE)</f>
        <v>HILLS</v>
      </c>
      <c r="O27" s="184" t="s">
        <v>216</v>
      </c>
      <c r="P27" s="160" t="s">
        <v>397</v>
      </c>
      <c r="Q27" s="31"/>
      <c r="R27" s="100" t="str">
        <f>VLOOKUP(C27,'Train Runs'!$A$13:$AE$10009,31,0)</f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S27" s="103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13:42:53-0600',mode:absolute,to:'2016-11-02 16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7" s="105" t="str">
        <f t="shared" si="1"/>
        <v>"C:\Program Files (x86)\AstroGrep\AstroGrep.exe" /spath="%USERPROFILE%\AppData\Local\Temp\OnboardLogs" /stypes="*4018*201611022*" /stext=" 20:.+((SYSTEM_STATE.+slice.+state.+changed )|(ment ac)|(system.+state.+changed )|(\[timeout)|(PRM\|1\|D)|(kpr)|(kdp)|(\|lc)|(penalty))" /e /r /s</v>
      </c>
      <c r="U27" s="9" t="str">
        <f t="shared" si="2"/>
        <v>4018</v>
      </c>
      <c r="V27" s="36">
        <f t="shared" si="3"/>
        <v>42676.864155092589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Overspeed","project_id":79,"tracker_id":40,"status_id":1,"priority_id":2,"assigned_to_id":23,"start_date":"2016-11-02","description":"","custom_fields":[{"id":1,"name":"Subdivision","value":"EC"},{"id":4,"name":"Milepost","value":"11.002"},{"id":17,"name":"Train ID","value":"185-02"},{"id":16,"name":"Locomotive ID","value":"4018"},{"id":130,"name":"Impact","value":""},{"id":150,"name":"Time of Event (Mountain Time)","value":"14:44:23"},{"id":151,"name":"Denver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"%USERPROFILE%\AppData\Local\Temp\OnboardLogs"\RTDC4018\*4018*201611022* | grep -SE "((Enforcement Ac)|(PRM))" -</v>
      </c>
      <c r="AD27" s="1"/>
    </row>
    <row r="28" spans="1:30" x14ac:dyDescent="0.25">
      <c r="A28" s="36">
        <v>42676.62599537037</v>
      </c>
      <c r="B28" s="31" t="s">
        <v>420</v>
      </c>
      <c r="C28" s="31" t="s">
        <v>421</v>
      </c>
      <c r="D28" s="31" t="s">
        <v>49</v>
      </c>
      <c r="E28" s="31" t="s">
        <v>219</v>
      </c>
      <c r="F28" s="47">
        <v>0</v>
      </c>
      <c r="G28" s="47">
        <v>386</v>
      </c>
      <c r="H28" s="47">
        <v>193829</v>
      </c>
      <c r="I28" s="47">
        <v>192893</v>
      </c>
      <c r="J28" s="31" t="s">
        <v>220</v>
      </c>
      <c r="K28" s="47">
        <v>191723</v>
      </c>
      <c r="L28" s="157" t="s">
        <v>51</v>
      </c>
      <c r="M28" s="158">
        <f t="shared" si="0"/>
        <v>617.76</v>
      </c>
      <c r="N28" s="159" t="str">
        <f>VLOOKUP(C28,'Trips&amp;Operators'!$C$1:$E$99999,3,FALSE)</f>
        <v>ROMERO</v>
      </c>
      <c r="O28" s="184" t="s">
        <v>216</v>
      </c>
      <c r="P28" s="160" t="s">
        <v>396</v>
      </c>
      <c r="Q28" s="31"/>
      <c r="R28" s="100" t="str">
        <f>VLOOKUP(C28,'Train Runs'!$A$13:$AE$10009,31,0)</f>
        <v>aws s3 cp s3://rtdc.mdm.uploadarchive.raw/RTDC4054/ "%USERPROFILE%\AppData\Local\Temp\OnboardLogs"\RTDC4054\2016-11-02 --exclude "*" --recursive --include "*20161102*" &amp; "%USERPROFILE%\Documents\GitHub\mrs-test-scripts\Headless Mode &amp; Sideloading\WalkAndUnGZ.bat" "%USERPROFILE%\AppData\Local\Temp\OnboardLogs"\RTDC4054\2016-11-02 &amp; 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</v>
      </c>
      <c r="S28" s="103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13:39:29-0600',mode:absolute,to:'2016-11-02 16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8" s="105" t="str">
        <f t="shared" si="1"/>
        <v>"C:\Program Files (x86)\AstroGrep\AstroGrep.exe" /spath="%USERPROFILE%\AppData\Local\Temp\OnboardLogs" /stypes="*4054*201611022*" /stext=" 21:.+((SYSTEM_STATE.+slice.+state.+changed )|(ment ac)|(system.+state.+changed )|(\[timeout)|(PRM\|1\|D)|(kpr)|(kdp)|(\|lc)|(penalty))" /e /r /s</v>
      </c>
      <c r="U28" s="9" t="str">
        <f t="shared" si="2"/>
        <v>4054</v>
      </c>
      <c r="V28" s="36">
        <f t="shared" si="3"/>
        <v>42676.87599537037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{"issue":{"subject":"Pena 4S STOP, cleared afterward","project_id":79,"tracker_id":40,"status_id":1,"priority_id":2,"assigned_to_id":23,"start_date":"2016-11-02","description":"","custom_fields":[{"id":1,"name":"Subdivision","value":"EC"},{"id":4,"name":"Milepost","value":"19.1723"},{"id":17,"name":"Train ID","value":"184-02"},{"id":16,"name":"Locomotive ID","value":"4054"},{"id":130,"name":"Impact","value":""},{"id":150,"name":"Time of Event (Mountain Time)","value":"15:01:26"},{"id":151,"name":"Denver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"%USERPROFILE%\AppData\Local\Temp\OnboardLogs"\RTDC4054\*4054*201611022* | grep -SE "((Enforcement Ac)|(PRM))" -</v>
      </c>
      <c r="AD28" s="1"/>
    </row>
    <row r="29" spans="1:30" x14ac:dyDescent="0.25">
      <c r="A29" s="36">
        <v>42676.610543981478</v>
      </c>
      <c r="B29" s="31" t="s">
        <v>418</v>
      </c>
      <c r="C29" s="31" t="s">
        <v>419</v>
      </c>
      <c r="D29" s="31" t="s">
        <v>49</v>
      </c>
      <c r="E29" s="31" t="s">
        <v>326</v>
      </c>
      <c r="F29" s="47">
        <v>0</v>
      </c>
      <c r="G29" s="47">
        <v>784</v>
      </c>
      <c r="H29" s="47">
        <v>101836</v>
      </c>
      <c r="I29" s="47">
        <v>105640</v>
      </c>
      <c r="J29" s="31" t="s">
        <v>327</v>
      </c>
      <c r="K29" s="47">
        <v>103445</v>
      </c>
      <c r="L29" s="157" t="s">
        <v>50</v>
      </c>
      <c r="M29" s="158">
        <f t="shared" si="0"/>
        <v>-1158.96</v>
      </c>
      <c r="N29" s="159" t="str">
        <f>VLOOKUP(C29,'Trips&amp;Operators'!$C$1:$E$99999,3,FALSE)</f>
        <v>HILLS</v>
      </c>
      <c r="O29" s="184" t="s">
        <v>298</v>
      </c>
      <c r="P29" s="160" t="s">
        <v>803</v>
      </c>
      <c r="Q29" s="31"/>
      <c r="R29" s="100" t="str">
        <f>VLOOKUP(C29,'Train Runs'!$A$13:$AE$10009,31,0)</f>
        <v>aws s3 cp s3://rtdc.mdm.uploadarchive.raw/RTDC4018/ "%USERPROFILE%\AppData\Local\Temp\OnboardLogs"\RTDC4018\2016-11-02 --exclude "*" --recursive --include "*20161102*" &amp; "%USERPROFILE%\Documents\GitHub\mrs-test-scripts\Headless Mode &amp; Sideloading\WalkAndUnGZ.bat" "%USERPROFILE%\AppData\Local\Temp\OnboardLogs"\RTDC4018\2016-11-02 &amp; aws s3 cp s3://rtdc.mdm.uploadarchive.raw/RTDC4018/ "%USERPROFILE%\AppData\Local\Temp\OnboardLogs"\RTDC4018\2016-11-03 --exclude "*" --recursive --include "*20161103*" &amp; "%USERPROFILE%\Documents\GitHub\mrs-test-scripts\Headless Mode &amp; Sideloading\WalkAndUnGZ.bat" "%USERPROFILE%\AppData\Local\Temp\OnboardLogs"\RTDC4018\2016-11-03</v>
      </c>
      <c r="S29" s="103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https://search-rtdc-monitor-bjffxe2xuh6vdkpspy63sjmuny.us-east-1.es.amazonaws.com/_plugin/kibana/#/discover/Steve-Slow-Train-Analysis-(2080s-and-2083s)?_g=(refreshInterval:(display:Off,section:0,value:0),time:(from:'2016-11-02 13:42:53-0600',mode:absolute,to:'2016-11-02 16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9" s="105" t="str">
        <f t="shared" si="1"/>
        <v>"C:\Program Files (x86)\AstroGrep\AstroGrep.exe" /spath="%USERPROFILE%\AppData\Local\Temp\OnboardLogs" /stypes="*4018*201611022*" /stext=" 20:.+((SYSTEM_STATE.+slice.+state.+changed )|(ment ac)|(system.+state.+changed )|(\[timeout)|(PRM\|1\|D)|(kpr)|(kdp)|(\|lc)|(penalty))" /e /r /s</v>
      </c>
      <c r="U29" s="9" t="str">
        <f t="shared" si="2"/>
        <v>4018</v>
      </c>
      <c r="V29" s="36">
        <f t="shared" si="3"/>
        <v>42676.860543981478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{"issue":{"subject":"Wi-MAX outage (same incident)","project_id":79,"tracker_id":40,"status_id":1,"priority_id":2,"assigned_to_id":23,"start_date":"2016-11-02","description":"http://stevetu21.github.io/eaglep3/load_kml.html?kml=http://rtdc.gmaps-snips.s3.amazonaws.com/95aa29f8-f4f1-45a3-ba9e-0023ff5d6654.kml","custom_fields":[{"id":1,"name":"Subdivision","value":"EC"},{"id":4,"name":"Milepost","value":"10.3445"},{"id":17,"name":"Train ID","value":"185-02"},{"id":16,"name":"Locomotive ID","value":"4018"},{"id":130,"name":"Impact","value":"Enforcement"},{"id":150,"name":"Time of Event (Mountain Time)","value":"14:39:11"},{"id":151,"name":"Denver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s="185" t="s">
        <v>797</v>
      </c>
      <c r="AA29" s="53" t="s">
        <v>125</v>
      </c>
      <c r="AB29" s="53" t="s">
        <v>138</v>
      </c>
      <c r="AC29" s="141" t="str">
        <f t="shared" si="7"/>
        <v>grep -hSE -A100 "Enforcement Action" "%USERPROFILE%\AppData\Local\Temp\OnboardLogs"\RTDC4018\*4018*201611022* | grep -SE "((Enforcement Ac)|(PRM))" -</v>
      </c>
      <c r="AD29" s="1"/>
    </row>
    <row r="30" spans="1:30" x14ac:dyDescent="0.25">
      <c r="A30" s="36">
        <v>42676.294062499997</v>
      </c>
      <c r="B30" s="31" t="s">
        <v>402</v>
      </c>
      <c r="C30" s="31" t="s">
        <v>403</v>
      </c>
      <c r="D30" s="31" t="s">
        <v>49</v>
      </c>
      <c r="E30" s="31" t="s">
        <v>221</v>
      </c>
      <c r="F30" s="47">
        <v>0</v>
      </c>
      <c r="G30" s="47">
        <v>109</v>
      </c>
      <c r="H30" s="47">
        <v>451</v>
      </c>
      <c r="I30" s="47">
        <v>313</v>
      </c>
      <c r="J30" s="31" t="s">
        <v>222</v>
      </c>
      <c r="K30" s="47">
        <v>1</v>
      </c>
      <c r="L30" s="157" t="s">
        <v>51</v>
      </c>
      <c r="M30" s="158">
        <f t="shared" si="0"/>
        <v>164.73599999999999</v>
      </c>
      <c r="N30" s="159" t="str">
        <f>VLOOKUP(C30,'Trips&amp;Operators'!$C$1:$E$99999,3,FALSE)</f>
        <v>PERKINS</v>
      </c>
      <c r="O30" s="184" t="s">
        <v>216</v>
      </c>
      <c r="P30" s="160"/>
      <c r="Q30" s="31"/>
      <c r="R30" s="100" t="str">
        <f>VLOOKUP(C30,'Train Runs'!$A$13:$AE$10009,31,0)</f>
        <v>aws s3 cp s3://rtdc.mdm.uploadarchive.raw/RTDC4017/ "%USERPROFILE%\AppData\Local\Temp\OnboardLogs"\RTDC4017\2016-11-02 --exclude "*" --recursive --include "*20161102*" &amp; "%USERPROFILE%\Documents\GitHub\mrs-test-scripts\Headless Mode &amp; Sideloading\WalkAndUnGZ.bat" "%USERPROFILE%\AppData\Local\Temp\OnboardLogs"\RTDC4017\2016-11-02 &amp; aws s3 cp s3://rtdc.mdm.uploadarchive.raw/RTDC4017/ "%USERPROFILE%\AppData\Local\Temp\OnboardLogs"\RTDC4017\2016-11-03 --exclude "*" --recursive --include "*20161103*" &amp; "%USERPROFILE%\Documents\GitHub\mrs-test-scripts\Headless Mode &amp; Sideloading\WalkAndUnGZ.bat" "%USERPROFILE%\AppData\Local\Temp\OnboardLogs"\RTDC4017\2016-11-03</v>
      </c>
      <c r="S30" s="103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https://search-rtdc-monitor-bjffxe2xuh6vdkpspy63sjmuny.us-east-1.es.amazonaws.com/_plugin/kibana/#/discover/Steve-Slow-Train-Analysis-(2080s-and-2083s)?_g=(refreshInterval:(display:Off,section:0,value:0),time:(from:'2016-11-02 05:13:07-0600',mode:absolute,to:'2016-11-02 08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0" s="105" t="str">
        <f t="shared" si="1"/>
        <v>"C:\Program Files (x86)\AstroGrep\AstroGrep.exe" /spath="%USERPROFILE%\AppData\Local\Temp\OnboardLogs" /stypes="*4017*201611021*" /stext=" 13:.+((SYSTEM_STATE.+slice.+state.+changed )|(ment ac)|(system.+state.+changed )|(\[timeout)|(PRM\|1\|D)|(kpr)|(kdp)|(\|lc)|(penalty))" /e /r /s</v>
      </c>
      <c r="U30" s="9" t="str">
        <f t="shared" si="2"/>
        <v>4017</v>
      </c>
      <c r="V30" s="36">
        <f t="shared" si="3"/>
        <v>42676.544062499997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{"issue":{"subject":"","project_id":79,"tracker_id":40,"status_id":1,"priority_id":2,"assigned_to_id":23,"start_date":"2016-11-02","description":"","custom_fields":[{"id":1,"name":"Subdivision","value":"EC"},{"id":4,"name":"Milepost","value":"0.0001"},{"id":17,"name":"Train ID","value":"116-02"},{"id":16,"name":"Locomotive ID","value":"4017"},{"id":130,"name":"Impact","value":""},{"id":150,"name":"Time of Event (Mountain Time)","value":"07:03:27"},{"id":151,"name":"Denver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"%USERPROFILE%\AppData\Local\Temp\OnboardLogs"\RTDC4017\*4017*201611021* | grep -SE "((Enforcement Ac)|(PRM))" -</v>
      </c>
      <c r="AD30" s="1"/>
    </row>
    <row r="31" spans="1:30" ht="15" customHeight="1" x14ac:dyDescent="0.25">
      <c r="A31" s="36">
        <v>42676.399351851855</v>
      </c>
      <c r="B31" s="31" t="s">
        <v>325</v>
      </c>
      <c r="C31" s="31" t="s">
        <v>408</v>
      </c>
      <c r="D31" s="31" t="s">
        <v>49</v>
      </c>
      <c r="E31" s="31" t="s">
        <v>221</v>
      </c>
      <c r="F31" s="47">
        <v>0</v>
      </c>
      <c r="G31" s="47">
        <v>110</v>
      </c>
      <c r="H31" s="47">
        <v>435</v>
      </c>
      <c r="I31" s="47">
        <v>285</v>
      </c>
      <c r="J31" s="31" t="s">
        <v>222</v>
      </c>
      <c r="K31" s="47">
        <v>1</v>
      </c>
      <c r="L31" s="157" t="s">
        <v>51</v>
      </c>
      <c r="M31" s="158">
        <f t="shared" si="0"/>
        <v>149.952</v>
      </c>
      <c r="N31" s="159" t="str">
        <f>VLOOKUP(C31,'Trips&amp;Operators'!$C$1:$E$99999,3,FALSE)</f>
        <v>RICHARDSON</v>
      </c>
      <c r="O31" s="184" t="s">
        <v>216</v>
      </c>
      <c r="P31" s="160"/>
      <c r="Q31" s="31"/>
      <c r="R31" s="100" t="str">
        <f>VLOOKUP(C31,'Train Runs'!$A$13:$AE$10009,31,0)</f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S31" s="103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https://search-rtdc-monitor-bjffxe2xuh6vdkpspy63sjmuny.us-east-1.es.amazonaws.com/_plugin/kibana/#/discover/Steve-Slow-Train-Analysis-(2080s-and-2083s)?_g=(refreshInterval:(display:Off,section:0,value:0),time:(from:'2016-11-02 07:50:16-0600',mode:absolute,to:'2016-11-02 10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1" s="105" t="str">
        <f t="shared" si="1"/>
        <v>"C:\Program Files (x86)\AstroGrep\AstroGrep.exe" /spath="%USERPROFILE%\AppData\Local\Temp\OnboardLogs" /stypes="*4008*201611021*" /stext=" 15:.+((SYSTEM_STATE.+slice.+state.+changed )|(ment ac)|(system.+state.+changed )|(\[timeout)|(PRM\|1\|D)|(kpr)|(kdp)|(\|lc)|(penalty))" /e /r /s</v>
      </c>
      <c r="U31" s="9" t="str">
        <f t="shared" si="2"/>
        <v>4008</v>
      </c>
      <c r="V31" s="36">
        <f t="shared" si="3"/>
        <v>42676.649351851855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{"issue":{"subject":"","project_id":79,"tracker_id":40,"status_id":1,"priority_id":2,"assigned_to_id":23,"start_date":"2016-11-02","description":"","custom_fields":[{"id":1,"name":"Subdivision","value":"EC"},{"id":4,"name":"Milepost","value":"0.0001"},{"id":17,"name":"Train ID","value":"136-02"},{"id":16,"name":"Locomotive ID","value":"4008"},{"id":130,"name":"Impact","value":""},{"id":150,"name":"Time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"%USERPROFILE%\AppData\Local\Temp\OnboardLogs"\RTDC4008\*4008*201611021* | grep -SE "((Enforcement Ac)|(PRM))" -</v>
      </c>
      <c r="AD31" s="1"/>
    </row>
    <row r="32" spans="1:30" x14ac:dyDescent="0.25">
      <c r="A32" s="36">
        <v>42676.512685185182</v>
      </c>
      <c r="B32" s="31" t="s">
        <v>256</v>
      </c>
      <c r="C32" s="31" t="s">
        <v>411</v>
      </c>
      <c r="D32" s="31" t="s">
        <v>49</v>
      </c>
      <c r="E32" s="31" t="s">
        <v>221</v>
      </c>
      <c r="F32" s="47">
        <v>0</v>
      </c>
      <c r="G32" s="47">
        <v>75</v>
      </c>
      <c r="H32" s="47">
        <v>251</v>
      </c>
      <c r="I32" s="47">
        <v>163</v>
      </c>
      <c r="J32" s="31" t="s">
        <v>222</v>
      </c>
      <c r="K32" s="47">
        <v>1</v>
      </c>
      <c r="L32" s="157" t="s">
        <v>51</v>
      </c>
      <c r="M32" s="158">
        <f t="shared" si="0"/>
        <v>85.536000000000001</v>
      </c>
      <c r="N32" s="159" t="str">
        <f>VLOOKUP(C32,'Trips&amp;Operators'!$C$1:$E$99999,3,FALSE)</f>
        <v>PERKINS</v>
      </c>
      <c r="O32" s="184" t="s">
        <v>216</v>
      </c>
      <c r="P32" s="160"/>
      <c r="Q32" s="31"/>
      <c r="R32" s="100" t="str">
        <f>VLOOKUP(C32,'Train Runs'!$A$13:$AE$10009,31,0)</f>
        <v>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 &amp; 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</v>
      </c>
      <c r="S32" s="103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https://search-rtdc-monitor-bjffxe2xuh6vdkpspy63sjmuny.us-east-1.es.amazonaws.com/_plugin/kibana/#/discover/Steve-Slow-Train-Analysis-(2080s-and-2083s)?_g=(refreshInterval:(display:Off,section:0,value:0),time:(from:'2016-11-02 10:32:44-0600',mode:absolute,to:'2016-11-02 13:18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2" s="105" t="str">
        <f t="shared" si="1"/>
        <v>"C:\Program Files (x86)\AstroGrep\AstroGrep.exe" /spath="%USERPROFILE%\AppData\Local\Temp\OnboardLogs" /stypes="*4013*201611021*" /stext=" 18:.+((SYSTEM_STATE.+slice.+state.+changed )|(ment ac)|(system.+state.+changed )|(\[timeout)|(PRM\|1\|D)|(kpr)|(kdp)|(\|lc)|(penalty))" /e /r /s</v>
      </c>
      <c r="U32" s="9" t="str">
        <f t="shared" si="2"/>
        <v>4013</v>
      </c>
      <c r="V32" s="36">
        <f t="shared" si="3"/>
        <v>42676.762685185182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{"issue":{"subject":"","project_id":79,"tracker_id":40,"status_id":1,"priority_id":2,"assigned_to_id":23,"start_date":"2016-11-02","description":"","custom_fields":[{"id":1,"name":"Subdivision","value":"EC"},{"id":4,"name":"Milepost","value":"0.0001"},{"id":17,"name":"Train ID","value":"158-02"},{"id":16,"name":"Locomotive ID","value":"4013"},{"id":130,"name":"Impact","value":""},{"id":150,"name":"Time of Event (Mountain Time)","value":"12:18:16"},{"id":151,"name":"Denver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"%USERPROFILE%\AppData\Local\Temp\OnboardLogs"\RTDC4013\*4013*201611021* | grep -SE "((Enforcement Ac)|(PRM))" -</v>
      </c>
      <c r="AD32" s="1"/>
    </row>
    <row r="33" spans="1:30" ht="15" customHeight="1" x14ac:dyDescent="0.25">
      <c r="A33" s="36">
        <v>42676.825219907405</v>
      </c>
      <c r="B33" s="31" t="s">
        <v>234</v>
      </c>
      <c r="C33" s="31" t="s">
        <v>428</v>
      </c>
      <c r="D33" s="31" t="s">
        <v>49</v>
      </c>
      <c r="E33" s="31" t="s">
        <v>221</v>
      </c>
      <c r="F33" s="47">
        <v>0</v>
      </c>
      <c r="G33" s="47">
        <v>49</v>
      </c>
      <c r="H33" s="47">
        <v>178</v>
      </c>
      <c r="I33" s="47">
        <v>138</v>
      </c>
      <c r="J33" s="31" t="s">
        <v>222</v>
      </c>
      <c r="K33" s="47">
        <v>1</v>
      </c>
      <c r="L33" s="157" t="s">
        <v>51</v>
      </c>
      <c r="M33" s="158">
        <f t="shared" si="0"/>
        <v>72.335999999999999</v>
      </c>
      <c r="N33" s="159" t="str">
        <f>VLOOKUP(C33,'Trips&amp;Operators'!$C$1:$E$99999,3,FALSE)</f>
        <v>LEVIN</v>
      </c>
      <c r="O33" s="184" t="s">
        <v>216</v>
      </c>
      <c r="P33" s="160"/>
      <c r="Q33" s="31"/>
      <c r="R33" s="100" t="str">
        <f>VLOOKUP(C33,'Train Runs'!$A$13:$AE$10009,31,0)</f>
        <v>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 &amp; aws s3 cp s3://rtdc.mdm.uploadarchive.raw/RTDC4037/ "%USERPROFILE%\AppData\Local\Temp\OnboardLogs"\RTDC4037\2016-11-03 --exclude "*" --recursive --include "*20161103*" &amp; "%USERPROFILE%\Documents\GitHub\mrs-test-scripts\Headless Mode &amp; Sideloading\WalkAndUnGZ.bat" "%USERPROFILE%\AppData\Local\Temp\OnboardLogs"\RTDC4037\2016-11-03</v>
      </c>
      <c r="S33" s="103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https://search-rtdc-monitor-bjffxe2xuh6vdkpspy63sjmuny.us-east-1.es.amazonaws.com/_plugin/kibana/#/discover/Steve-Slow-Train-Analysis-(2080s-and-2083s)?_g=(refreshInterval:(display:Off,section:0,value:0),time:(from:'2016-11-02 18:03:59-0600',mode:absolute,to:'2016-11-02 20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3" s="105" t="str">
        <f t="shared" si="1"/>
        <v>"C:\Program Files (x86)\AstroGrep\AstroGrep.exe" /spath="%USERPROFILE%\AppData\Local\Temp\OnboardLogs" /stypes="*4037*201611030*" /stext=" 01:.+((SYSTEM_STATE.+slice.+state.+changed )|(ment ac)|(system.+state.+changed )|(\[timeout)|(PRM\|1\|D)|(kpr)|(kdp)|(\|lc)|(penalty))" /e /r /s</v>
      </c>
      <c r="U33" s="9" t="str">
        <f t="shared" si="2"/>
        <v>4037</v>
      </c>
      <c r="V33" s="36">
        <f t="shared" si="3"/>
        <v>42677.075219907405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{"issue":{"subject":"","project_id":79,"tracker_id":40,"status_id":1,"priority_id":2,"assigned_to_id":23,"start_date":"2016-11-02","description":"","custom_fields":[{"id":1,"name":"Subdivision","value":"EC"},{"id":4,"name":"Milepost","value":"0.0001"},{"id":17,"name":"Train ID","value":"218-02"},{"id":16,"name":"Locomotive ID","value":"4037"},{"id":130,"name":"Impact","value":""},{"id":150,"name":"Time of Event (Mountain Time)","value":"19:48:19"},{"id":151,"name":"Denver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"%USERPROFILE%\AppData\Local\Temp\OnboardLogs"\RTDC4037\*4037*201611030* | grep -SE "((Enforcement Ac)|(PRM))" -</v>
      </c>
      <c r="AD33" s="1"/>
    </row>
    <row r="34" spans="1:30" x14ac:dyDescent="0.25">
      <c r="A34" s="36">
        <v>42676.836331018516</v>
      </c>
      <c r="B34" s="31" t="s">
        <v>325</v>
      </c>
      <c r="C34" s="31" t="s">
        <v>429</v>
      </c>
      <c r="D34" s="31" t="s">
        <v>49</v>
      </c>
      <c r="E34" s="31" t="s">
        <v>221</v>
      </c>
      <c r="F34" s="47">
        <v>0</v>
      </c>
      <c r="G34" s="47">
        <v>47</v>
      </c>
      <c r="H34" s="47">
        <v>152</v>
      </c>
      <c r="I34" s="47">
        <v>110</v>
      </c>
      <c r="J34" s="31" t="s">
        <v>222</v>
      </c>
      <c r="K34" s="47">
        <v>1</v>
      </c>
      <c r="L34" s="157" t="s">
        <v>51</v>
      </c>
      <c r="M34" s="158">
        <f t="shared" si="0"/>
        <v>57.552</v>
      </c>
      <c r="N34" s="159" t="str">
        <f>VLOOKUP(C34,'Trips&amp;Operators'!$C$1:$E$99999,3,FALSE)</f>
        <v>CRAYTON</v>
      </c>
      <c r="O34" s="184" t="s">
        <v>216</v>
      </c>
      <c r="P34" s="160"/>
      <c r="Q34" s="31"/>
      <c r="R34" s="100" t="str">
        <f>VLOOKUP(C34,'Train Runs'!$A$13:$AE$10009,31,0)</f>
        <v>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 &amp; aws s3 cp s3://rtdc.mdm.uploadarchive.raw/RTDC4008/ "%USERPROFILE%\AppData\Local\Temp\OnboardLogs"\RTDC4008\2016-11-03 --exclude "*" --recursive --include "*20161103*" &amp; "%USERPROFILE%\Documents\GitHub\mrs-test-scripts\Headless Mode &amp; Sideloading\WalkAndUnGZ.bat" "%USERPROFILE%\AppData\Local\Temp\OnboardLogs"\RTDC4008\2016-11-03</v>
      </c>
      <c r="S34" s="103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https://search-rtdc-monitor-bjffxe2xuh6vdkpspy63sjmuny.us-east-1.es.amazonaws.com/_plugin/kibana/#/discover/Steve-Slow-Train-Analysis-(2080s-and-2083s)?_g=(refreshInterval:(display:Off,section:0,value:0),time:(from:'2016-11-02 18:08:30-0600',mode:absolute,to:'2016-11-02 21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4" s="105" t="str">
        <f t="shared" si="1"/>
        <v>"C:\Program Files (x86)\AstroGrep\AstroGrep.exe" /spath="%USERPROFILE%\AppData\Local\Temp\OnboardLogs" /stypes="*4008*201611030*" /stext=" 02:.+((SYSTEM_STATE.+slice.+state.+changed )|(ment ac)|(system.+state.+changed )|(\[timeout)|(PRM\|1\|D)|(kpr)|(kdp)|(\|lc)|(penalty))" /e /r /s</v>
      </c>
      <c r="U34" s="9" t="str">
        <f t="shared" si="2"/>
        <v>4008</v>
      </c>
      <c r="V34" s="36">
        <f t="shared" si="3"/>
        <v>42677.086331018516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{"issue":{"subject":"","project_id":79,"tracker_id":40,"status_id":1,"priority_id":2,"assigned_to_id":23,"start_date":"2016-11-02","description":"","custom_fields":[{"id":1,"name":"Subdivision","value":"EC"},{"id":4,"name":"Milepost","value":"0.0001"},{"id":17,"name":"Train ID","value":"220-02"},{"id":16,"name":"Locomotive ID","value":"4008"},{"id":130,"name":"Impact","value":""},{"id":150,"name":"Time of Event (Mountain Time)","value":"20:04:19"},{"id":151,"name":"Denver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"%USERPROFILE%\AppData\Local\Temp\OnboardLogs"\RTDC4008\*4008*201611030* | grep -SE "((Enforcement Ac)|(PRM))" -</v>
      </c>
      <c r="AD34" s="1"/>
    </row>
    <row r="35" spans="1:30" x14ac:dyDescent="0.25">
      <c r="A35" s="36">
        <v>42676.431793981479</v>
      </c>
      <c r="B35" s="31" t="s">
        <v>193</v>
      </c>
      <c r="C35" s="31" t="s">
        <v>409</v>
      </c>
      <c r="D35" s="31" t="s">
        <v>49</v>
      </c>
      <c r="E35" s="31" t="s">
        <v>221</v>
      </c>
      <c r="F35" s="47">
        <v>0</v>
      </c>
      <c r="G35" s="47">
        <v>55</v>
      </c>
      <c r="H35" s="47">
        <v>233309</v>
      </c>
      <c r="I35" s="47">
        <v>233343</v>
      </c>
      <c r="J35" s="31" t="s">
        <v>222</v>
      </c>
      <c r="K35" s="47">
        <v>233491</v>
      </c>
      <c r="L35" s="157" t="s">
        <v>50</v>
      </c>
      <c r="M35" s="158">
        <f t="shared" si="0"/>
        <v>78.144000000000005</v>
      </c>
      <c r="N35" s="159" t="str">
        <f>VLOOKUP(C35,'Trips&amp;Operators'!$C$1:$E$99999,3,FALSE)</f>
        <v>RICHARDSON</v>
      </c>
      <c r="O35" s="184" t="s">
        <v>216</v>
      </c>
      <c r="P35" s="160"/>
      <c r="Q35" s="31"/>
      <c r="R35" s="100" t="str">
        <f>VLOOKUP(C35,'Train Runs'!$A$13:$AE$10009,31,0)</f>
        <v>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 &amp; aws s3 cp s3://rtdc.mdm.uploadarchive.raw/RTDC4007/ "%USERPROFILE%\AppData\Local\Temp\OnboardLogs"\RTDC4007\2016-11-03 --exclude "*" --recursive --include "*20161103*" &amp; "%USERPROFILE%\Documents\GitHub\mrs-test-scripts\Headless Mode &amp; Sideloading\WalkAndUnGZ.bat" "%USERPROFILE%\AppData\Local\Temp\OnboardLogs"\RTDC4007\2016-11-03</v>
      </c>
      <c r="S35" s="103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https://search-rtdc-monitor-bjffxe2xuh6vdkpspy63sjmuny.us-east-1.es.amazonaws.com/_plugin/kibana/#/discover/Steve-Slow-Train-Analysis-(2080s-and-2083s)?_g=(refreshInterval:(display:Off,section:0,value:0),time:(from:'2016-11-02 08:40:40-0600',mode:absolute,to:'2016-11-02 11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5" s="105" t="str">
        <f t="shared" si="1"/>
        <v>"C:\Program Files (x86)\AstroGrep\AstroGrep.exe" /spath="%USERPROFILE%\AppData\Local\Temp\OnboardLogs" /stypes="*4007*201611021*" /stext=" 16:.+((SYSTEM_STATE.+slice.+state.+changed )|(ment ac)|(system.+state.+changed )|(\[timeout)|(PRM\|1\|D)|(kpr)|(kdp)|(\|lc)|(penalty))" /e /r /s</v>
      </c>
      <c r="U35" s="9" t="str">
        <f t="shared" si="2"/>
        <v>4007</v>
      </c>
      <c r="V35" s="36">
        <f t="shared" si="3"/>
        <v>42676.681793981479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{"issue":{"subject":"","project_id":79,"tracker_id":40,"status_id":1,"priority_id":2,"assigned_to_id":23,"start_date":"2016-11-02","description":"","custom_fields":[{"id":1,"name":"Subdivision","value":"EC"},{"id":4,"name":"Milepost","value":"23.3491"},{"id":17,"name":"Train ID","value":"149-02"},{"id":16,"name":"Locomotive ID","value":"4007"},{"id":130,"name":"Impact","value":""},{"id":150,"name":"Time of Event (Mountain Time)","value":"10:21:47"},{"id":151,"name":"Denver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"%USERPROFILE%\AppData\Local\Temp\OnboardLogs"\RTDC4007\*4007*201611021* | grep -SE "((Enforcement Ac)|(PRM))" -</v>
      </c>
      <c r="AD35" s="1"/>
    </row>
    <row r="36" spans="1:30" x14ac:dyDescent="0.25">
      <c r="A36" s="36">
        <v>42676.720057870371</v>
      </c>
      <c r="B36" s="31" t="s">
        <v>297</v>
      </c>
      <c r="C36" s="31" t="s">
        <v>425</v>
      </c>
      <c r="D36" s="31" t="s">
        <v>98</v>
      </c>
      <c r="E36" s="31" t="s">
        <v>217</v>
      </c>
      <c r="F36" s="47">
        <v>400</v>
      </c>
      <c r="G36" s="47">
        <v>455</v>
      </c>
      <c r="H36" s="47">
        <v>38487</v>
      </c>
      <c r="I36" s="47">
        <v>37176</v>
      </c>
      <c r="J36" s="31" t="s">
        <v>218</v>
      </c>
      <c r="K36" s="47">
        <v>40977</v>
      </c>
      <c r="L36" s="157" t="s">
        <v>51</v>
      </c>
      <c r="M36" s="158">
        <f t="shared" si="0"/>
        <v>-2006.9280000000001</v>
      </c>
      <c r="N36" s="159" t="str">
        <f>VLOOKUP(C36,'Trips&amp;Operators'!$C$1:$E$99999,3,FALSE)</f>
        <v>JOHNSON</v>
      </c>
      <c r="O36" s="184" t="s">
        <v>216</v>
      </c>
      <c r="P36" s="160"/>
      <c r="Q36" s="31"/>
      <c r="R36" s="100" t="str">
        <f>VLOOKUP(C36,'Train Runs'!$A$13:$AE$10009,31,0)</f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S36" s="103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https://search-rtdc-monitor-bjffxe2xuh6vdkpspy63sjmuny.us-east-1.es.amazonaws.com/_plugin/kibana/#/discover/Steve-Slow-Train-Analysis-(2080s-and-2083s)?_g=(refreshInterval:(display:Off,section:0,value:0),time:(from:'2016-11-02 16:08:31-0600',mode:absolute,to:'2016-11-02 18:27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6" s="105" t="str">
        <f t="shared" si="1"/>
        <v>"C:\Program Files (x86)\AstroGrep\AstroGrep.exe" /spath="%USERPROFILE%\AppData\Local\Temp\OnboardLogs" /stypes="*4032*201611022*" /stext=" 23:.+((SYSTEM_STATE.+slice.+state.+changed )|(ment ac)|(system.+state.+changed )|(\[timeout)|(PRM\|1\|D)|(kpr)|(kdp)|(\|lc)|(penalty))" /e /r /s</v>
      </c>
      <c r="U36" s="9" t="str">
        <f t="shared" si="2"/>
        <v>4032</v>
      </c>
      <c r="V36" s="36">
        <f t="shared" si="3"/>
        <v>42676.970057870371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{"issue":{"subject":"","project_id":79,"tracker_id":40,"status_id":1,"priority_id":2,"assigned_to_id":23,"start_date":"2016-11-02","description":"","custom_fields":[{"id":1,"name":"Subdivision","value":"NW"},{"id":4,"name":"Milepost","value":"4.0977"},{"id":17,"name":"Train ID","value":"832-02"},{"id":16,"name":"Locomotive ID","value":"4032"},{"id":130,"name":"Impact","value":""},{"id":150,"name":"Time of Event (Mountain Time)","value":"17:16:53"},{"id":151,"name":"Denver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"%USERPROFILE%\AppData\Local\Temp\OnboardLogs"\RTDC4032\*4032*201611022* | grep -SE "((Enforcement Ac)|(PRM))" -</v>
      </c>
      <c r="AD36" s="1"/>
    </row>
    <row r="37" spans="1:30" x14ac:dyDescent="0.25">
      <c r="A37" s="36">
        <v>42676.218958333331</v>
      </c>
      <c r="B37" s="31" t="s">
        <v>297</v>
      </c>
      <c r="C37" s="31" t="s">
        <v>401</v>
      </c>
      <c r="D37" s="31" t="s">
        <v>49</v>
      </c>
      <c r="E37" s="31" t="s">
        <v>217</v>
      </c>
      <c r="F37" s="47">
        <v>400</v>
      </c>
      <c r="G37" s="47">
        <v>466</v>
      </c>
      <c r="H37" s="47">
        <v>51932</v>
      </c>
      <c r="I37" s="47">
        <v>50698</v>
      </c>
      <c r="J37" s="31" t="s">
        <v>218</v>
      </c>
      <c r="K37" s="47">
        <v>49775</v>
      </c>
      <c r="L37" s="157" t="s">
        <v>51</v>
      </c>
      <c r="M37" s="158">
        <f t="shared" si="0"/>
        <v>487.34399999999999</v>
      </c>
      <c r="N37" s="159" t="str">
        <f>VLOOKUP(C37,'Trips&amp;Operators'!$C$1:$E$99999,3,FALSE)</f>
        <v>STARKS</v>
      </c>
      <c r="O37" s="184" t="s">
        <v>216</v>
      </c>
      <c r="P37" s="160"/>
      <c r="Q37" s="31"/>
      <c r="R37" s="100" t="str">
        <f>VLOOKUP(C37,'Train Runs'!$A$13:$AE$10009,31,0)</f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S37" s="103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https://search-rtdc-monitor-bjffxe2xuh6vdkpspy63sjmuny.us-east-1.es.amazonaws.com/_plugin/kibana/#/discover/Steve-Slow-Train-Analysis-(2080s-and-2083s)?_g=(refreshInterval:(display:Off,section:0,value:0),time:(from:'2016-11-02 04:06:38-0600',mode:absolute,to:'2016-11-02 06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7" s="105" t="str">
        <f t="shared" si="1"/>
        <v>"C:\Program Files (x86)\AstroGrep\AstroGrep.exe" /spath="%USERPROFILE%\AppData\Local\Temp\OnboardLogs" /stypes="*4032*201611021*" /stext=" 11:.+((SYSTEM_STATE.+slice.+state.+changed )|(ment ac)|(system.+state.+changed )|(\[timeout)|(PRM\|1\|D)|(kpr)|(kdp)|(\|lc)|(penalty))" /e /r /s</v>
      </c>
      <c r="U37" s="9" t="str">
        <f t="shared" si="2"/>
        <v>4032</v>
      </c>
      <c r="V37" s="36">
        <f t="shared" si="3"/>
        <v>42676.468958333331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{"issue":{"subject":"","project_id":79,"tracker_id":40,"status_id":1,"priority_id":2,"assigned_to_id":23,"start_date":"2016-11-02","description":"","custom_fields":[{"id":1,"name":"Subdivision","value":"NW"},{"id":4,"name":"Milepost","value":"4.9775"},{"id":17,"name":"Train ID","value":"800-02"},{"id":16,"name":"Locomotive ID","value":"4032"},{"id":130,"name":"Impact","value":""},{"id":150,"name":"Time of Event (Mountain Time)","value":"05:15:18"},{"id":151,"name":"Denver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"%USERPROFILE%\AppData\Local\Temp\OnboardLogs"\RTDC4032\*4032*201611021* | grep -SE "((Enforcement Ac)|(PRM))" -</v>
      </c>
      <c r="AD37" s="1"/>
    </row>
    <row r="38" spans="1:30" x14ac:dyDescent="0.25">
      <c r="A38" s="36">
        <v>42676.351307870369</v>
      </c>
      <c r="B38" s="31" t="s">
        <v>297</v>
      </c>
      <c r="C38" s="31" t="s">
        <v>406</v>
      </c>
      <c r="D38" s="31" t="s">
        <v>49</v>
      </c>
      <c r="E38" s="31" t="s">
        <v>221</v>
      </c>
      <c r="F38" s="47">
        <v>0</v>
      </c>
      <c r="G38" s="47">
        <v>70</v>
      </c>
      <c r="H38" s="47">
        <v>818</v>
      </c>
      <c r="I38" s="47">
        <v>743</v>
      </c>
      <c r="J38" s="31" t="s">
        <v>222</v>
      </c>
      <c r="K38" s="47">
        <v>575</v>
      </c>
      <c r="L38" s="157" t="s">
        <v>51</v>
      </c>
      <c r="M38" s="158">
        <f t="shared" si="0"/>
        <v>88.703999999999994</v>
      </c>
      <c r="N38" s="159" t="str">
        <f>VLOOKUP(C38,'Trips&amp;Operators'!$C$1:$E$99999,3,FALSE)</f>
        <v>STARKS</v>
      </c>
      <c r="O38" s="184" t="s">
        <v>216</v>
      </c>
      <c r="P38" s="160"/>
      <c r="Q38" s="31"/>
      <c r="R38" s="100" t="str">
        <f>VLOOKUP(C38,'Train Runs'!$A$13:$AE$10009,31,0)</f>
        <v>aws s3 cp s3://rtdc.mdm.uploadarchive.raw/RTDC4032/ "%USERPROFILE%\AppData\Local\Temp\OnboardLogs"\RTDC4032\2016-11-02 --exclude "*" --recursive --include "*20161102*" &amp; "%USERPROFILE%\Documents\GitHub\mrs-test-scripts\Headless Mode &amp; Sideloading\WalkAndUnGZ.bat" "%USERPROFILE%\AppData\Local\Temp\OnboardLogs"\RTDC4032\2016-11-02 &amp; 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</v>
      </c>
      <c r="S38" s="103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https://search-rtdc-monitor-bjffxe2xuh6vdkpspy63sjmuny.us-east-1.es.amazonaws.com/_plugin/kibana/#/discover/Steve-Slow-Train-Analysis-(2080s-and-2083s)?_g=(refreshInterval:(display:Off,section:0,value:0),time:(from:'2016-11-02 07:09:00-0600',mode:absolute,to:'2016-11-02 09:43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5" t="str">
        <f t="shared" si="1"/>
        <v>"C:\Program Files (x86)\AstroGrep\AstroGrep.exe" /spath="%USERPROFILE%\AppData\Local\Temp\OnboardLogs" /stypes="*4032*201611021*" /stext=" 14:.+((SYSTEM_STATE.+slice.+state.+changed )|(ment ac)|(system.+state.+changed )|(\[timeout)|(PRM\|1\|D)|(kpr)|(kdp)|(\|lc)|(penalty))" /e /r /s</v>
      </c>
      <c r="U38" s="9" t="str">
        <f t="shared" si="2"/>
        <v>4032</v>
      </c>
      <c r="V38" s="36">
        <f t="shared" si="3"/>
        <v>42676.601307870369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{"issue":{"subject":"","project_id":79,"tracker_id":40,"status_id":1,"priority_id":2,"assigned_to_id":23,"start_date":"2016-11-02","description":"","custom_fields":[{"id":1,"name":"Subdivision","value":"NW"},{"id":4,"name":"Milepost","value":"0.0575"},{"id":17,"name":"Train ID","value":"810-02"},{"id":16,"name":"Locomotive ID","value":"4032"},{"id":130,"name":"Impact","value":""},{"id":150,"name":"Time of Event (Mountain Time)","value":"08:25:53"},{"id":151,"name":"Denver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"%USERPROFILE%\AppData\Local\Temp\OnboardLogs"\RTDC4032\*4032*201611021* | grep -SE "((Enforcement Ac)|(PRM))" -</v>
      </c>
      <c r="AD38" s="1"/>
    </row>
    <row r="39" spans="1:30" x14ac:dyDescent="0.25">
      <c r="A39" s="36">
        <v>42676.567071759258</v>
      </c>
      <c r="B39" s="31" t="s">
        <v>414</v>
      </c>
      <c r="C39" s="31" t="s">
        <v>415</v>
      </c>
      <c r="D39" s="31" t="s">
        <v>49</v>
      </c>
      <c r="E39" s="31" t="s">
        <v>221</v>
      </c>
      <c r="F39" s="47">
        <v>0</v>
      </c>
      <c r="G39" s="47">
        <v>26</v>
      </c>
      <c r="H39" s="47">
        <v>58975</v>
      </c>
      <c r="I39" s="47">
        <v>58993</v>
      </c>
      <c r="J39" s="31" t="s">
        <v>222</v>
      </c>
      <c r="K39" s="47">
        <v>59048</v>
      </c>
      <c r="L39" s="157" t="s">
        <v>50</v>
      </c>
      <c r="M39" s="158">
        <f t="shared" si="0"/>
        <v>29.04</v>
      </c>
      <c r="N39" s="159" t="str">
        <f>VLOOKUP(C39,'Trips&amp;Operators'!$C$1:$E$99999,3,FALSE)</f>
        <v>LOPES</v>
      </c>
      <c r="O39" s="184" t="s">
        <v>216</v>
      </c>
      <c r="P39" s="160"/>
      <c r="Q39" s="31"/>
      <c r="R39" s="100" t="str">
        <f>VLOOKUP(C39,'Train Runs'!$A$13:$AE$10009,31,0)</f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S39" s="103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https://search-rtdc-monitor-bjffxe2xuh6vdkpspy63sjmuny.us-east-1.es.amazonaws.com/_plugin/kibana/#/discover/Steve-Slow-Train-Analysis-(2080s-and-2083s)?_g=(refreshInterval:(display:Off,section:0,value:0),time:(from:'2016-11-02 12:11:54-0600',mode:absolute,to:'2016-11-02 14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9" s="105" t="str">
        <f t="shared" si="1"/>
        <v>"C:\Program Files (x86)\AstroGrep\AstroGrep.exe" /spath="%USERPROFILE%\AppData\Local\Temp\OnboardLogs" /stypes="*4025*201611021*" /stext=" 19:.+((SYSTEM_STATE.+slice.+state.+changed )|(ment ac)|(system.+state.+changed )|(\[timeout)|(PRM\|1\|D)|(kpr)|(kdp)|(\|lc)|(penalty))" /e /r /s</v>
      </c>
      <c r="U39" s="9" t="str">
        <f t="shared" si="2"/>
        <v>4025</v>
      </c>
      <c r="V39" s="36">
        <f t="shared" si="3"/>
        <v>42676.817071759258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{"issue":{"subject":"","project_id":79,"tracker_id":40,"status_id":1,"priority_id":2,"assigned_to_id":23,"start_date":"2016-11-02","description":"","custom_fields":[{"id":1,"name":"Subdivision","value":"NW"},{"id":4,"name":"Milepost","value":"5.9048"},{"id":17,"name":"Train ID","value":"821-02"},{"id":16,"name":"Locomotive ID","value":"4025"},{"id":130,"name":"Impact","value":""},{"id":150,"name":"Time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"%USERPROFILE%\AppData\Local\Temp\OnboardLogs"\RTDC4025\*4025*201611021* | grep -SE "((Enforcement Ac)|(PRM))" -</v>
      </c>
      <c r="AD39" s="1"/>
    </row>
    <row r="40" spans="1:30" x14ac:dyDescent="0.25">
      <c r="A40" s="36">
        <v>42676.690891203703</v>
      </c>
      <c r="B40" s="31" t="s">
        <v>414</v>
      </c>
      <c r="C40" s="31" t="s">
        <v>423</v>
      </c>
      <c r="D40" s="31" t="s">
        <v>49</v>
      </c>
      <c r="E40" s="31" t="s">
        <v>221</v>
      </c>
      <c r="F40" s="47">
        <v>0</v>
      </c>
      <c r="G40" s="47">
        <v>44</v>
      </c>
      <c r="H40" s="47">
        <v>58937</v>
      </c>
      <c r="I40" s="47">
        <v>58969</v>
      </c>
      <c r="J40" s="31" t="s">
        <v>222</v>
      </c>
      <c r="K40" s="47">
        <v>59048</v>
      </c>
      <c r="L40" s="157" t="s">
        <v>50</v>
      </c>
      <c r="M40" s="158">
        <f t="shared" si="0"/>
        <v>41.712000000000003</v>
      </c>
      <c r="N40" s="159" t="str">
        <f>VLOOKUP(C40,'Trips&amp;Operators'!$C$1:$E$99999,3,FALSE)</f>
        <v>LOPES</v>
      </c>
      <c r="O40" s="184" t="s">
        <v>216</v>
      </c>
      <c r="P40" s="160"/>
      <c r="Q40" s="31"/>
      <c r="R40" s="100" t="str">
        <f>VLOOKUP(C40,'Train Runs'!$A$13:$AE$10009,31,0)</f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S40" s="103" t="str">
        <f>VLOOKUP(C40,'Train Runs'!$A$13:$AE$10009,22,0)</f>
        <v>https://search-rtdc-monitor-bjffxe2xuh6vdkpspy63sjmuny.us-east-1.es.amazonaws.com/_plugin/kibana/#/discover/Steve-Slow-Train-Analysis-(2080s-and-2083s)?_g=(refreshInterval:(display:Off,section:0,value:0),time:(from:'2016-11-02 15:15:44-0600',mode:absolute,to:'2016-11-02 17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0" s="105" t="str">
        <f t="shared" si="1"/>
        <v>"C:\Program Files (x86)\AstroGrep\AstroGrep.exe" /spath="%USERPROFILE%\AppData\Local\Temp\OnboardLogs" /stypes="*4025*201611022*" /stext=" 22:.+((SYSTEM_STATE.+slice.+state.+changed )|(ment ac)|(system.+state.+changed )|(\[timeout)|(PRM\|1\|D)|(kpr)|(kdp)|(\|lc)|(penalty))" /e /r /s</v>
      </c>
      <c r="U40" s="9" t="str">
        <f t="shared" si="2"/>
        <v>4025</v>
      </c>
      <c r="V40" s="36">
        <f t="shared" si="3"/>
        <v>42676.940891203703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{"issue":{"subject":"","project_id":79,"tracker_id":40,"status_id":1,"priority_id":2,"assigned_to_id":23,"start_date":"2016-11-02","description":"","custom_fields":[{"id":1,"name":"Subdivision","value":"NW"},{"id":4,"name":"Milepost","value":"5.9048"},{"id":17,"name":"Train ID","value":"829-02"},{"id":16,"name":"Locomotive ID","value":"4025"},{"id":130,"name":"Impact","value":""},{"id":150,"name":"Time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"%USERPROFILE%\AppData\Local\Temp\OnboardLogs"\RTDC4025\*4025*201611022* | grep -SE "((Enforcement Ac)|(PRM))" -</v>
      </c>
      <c r="AD40" s="1"/>
    </row>
    <row r="41" spans="1:30" x14ac:dyDescent="0.25">
      <c r="A41" s="36">
        <v>42676.901631944442</v>
      </c>
      <c r="B41" s="31" t="s">
        <v>414</v>
      </c>
      <c r="C41" s="31" t="s">
        <v>431</v>
      </c>
      <c r="D41" s="31" t="s">
        <v>49</v>
      </c>
      <c r="E41" s="31" t="s">
        <v>221</v>
      </c>
      <c r="F41" s="47">
        <v>0</v>
      </c>
      <c r="G41" s="47">
        <v>24</v>
      </c>
      <c r="H41" s="47">
        <v>58993</v>
      </c>
      <c r="I41" s="47">
        <v>59003</v>
      </c>
      <c r="J41" s="31" t="s">
        <v>222</v>
      </c>
      <c r="K41" s="47">
        <v>59048</v>
      </c>
      <c r="L41" s="157" t="s">
        <v>50</v>
      </c>
      <c r="M41" s="158">
        <f t="shared" si="0"/>
        <v>23.76</v>
      </c>
      <c r="N41" s="159" t="str">
        <f>VLOOKUP(C41,'Trips&amp;Operators'!$C$1:$E$99999,3,FALSE)</f>
        <v>JOHNSON</v>
      </c>
      <c r="O41" s="184" t="s">
        <v>216</v>
      </c>
      <c r="P41" s="160"/>
      <c r="Q41" s="31"/>
      <c r="R41" s="100" t="str">
        <f>VLOOKUP(C41,'Train Runs'!$A$13:$AE$10009,31,0)</f>
        <v>aws s3 cp s3://rtdc.mdm.uploadarchive.raw/RTDC4025/ "%USERPROFILE%\AppData\Local\Temp\OnboardLogs"\RTDC4025\2016-11-02 --exclude "*" --recursive --include "*20161102*" &amp; "%USERPROFILE%\Documents\GitHub\mrs-test-scripts\Headless Mode &amp; Sideloading\WalkAndUnGZ.bat" "%USERPROFILE%\AppData\Local\Temp\OnboardLogs"\RTDC4025\2016-11-02 &amp; 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</v>
      </c>
      <c r="S41" s="103" t="str">
        <f>VLOOKUP(C41,'Train Runs'!$A$13:$AE$10009,22,0)</f>
        <v>https://search-rtdc-monitor-bjffxe2xuh6vdkpspy63sjmuny.us-east-1.es.amazonaws.com/_plugin/kibana/#/discover/Steve-Slow-Train-Analysis-(2080s-and-2083s)?_g=(refreshInterval:(display:Off,section:0,value:0),time:(from:'2016-11-02 20:06:45-0600',mode:absolute,to:'2016-11-02 22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1" s="105" t="str">
        <f t="shared" si="1"/>
        <v>"C:\Program Files (x86)\AstroGrep\AstroGrep.exe" /spath="%USERPROFILE%\AppData\Local\Temp\OnboardLogs" /stypes="*4025*201611030*" /stext=" 03:.+((SYSTEM_STATE.+slice.+state.+changed )|(ment ac)|(system.+state.+changed )|(\[timeout)|(PRM\|1\|D)|(kpr)|(kdp)|(\|lc)|(penalty))" /e /r /s</v>
      </c>
      <c r="U41" s="9" t="str">
        <f t="shared" si="2"/>
        <v>4025</v>
      </c>
      <c r="V41" s="36">
        <f t="shared" si="3"/>
        <v>42677.151631944442</v>
      </c>
      <c r="W41" s="50" t="str">
        <f t="shared" si="4"/>
        <v>NW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{"issue":{"subject":"","project_id":79,"tracker_id":40,"status_id":1,"priority_id":2,"assigned_to_id":23,"start_date":"2016-11-02","description":"","custom_fields":[{"id":1,"name":"Subdivision","value":"NW"},{"id":4,"name":"Milepost","value":"5.9048"},{"id":17,"name":"Train ID","value":"845-02"},{"id":16,"name":"Locomotive ID","value":"4025"},{"id":130,"name":"Impact","value":""},{"id":150,"name":"Time of Event (Mountain Time)","value":"21:38:21"},{"id":151,"name":"Denver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"%USERPROFILE%\AppData\Local\Temp\OnboardLogs"\RTDC4025\*4025*201611030* | grep -SE "((Enforcement Ac)|(PRM))" -</v>
      </c>
      <c r="AD41" s="1"/>
    </row>
    <row r="42" spans="1:30" x14ac:dyDescent="0.25">
      <c r="A42" s="36">
        <v>42676.207037037035</v>
      </c>
      <c r="B42" s="31" t="s">
        <v>399</v>
      </c>
      <c r="C42" s="31" t="s">
        <v>400</v>
      </c>
      <c r="D42" s="31" t="s">
        <v>49</v>
      </c>
      <c r="E42" s="31" t="s">
        <v>219</v>
      </c>
      <c r="F42" s="47">
        <v>0</v>
      </c>
      <c r="G42" s="47">
        <v>92</v>
      </c>
      <c r="H42" s="47">
        <v>32898</v>
      </c>
      <c r="I42" s="47">
        <v>33011</v>
      </c>
      <c r="J42" s="31" t="s">
        <v>220</v>
      </c>
      <c r="K42" s="47">
        <v>33252</v>
      </c>
      <c r="L42" s="157" t="s">
        <v>50</v>
      </c>
      <c r="M42" s="158">
        <f t="shared" si="0"/>
        <v>127.248</v>
      </c>
      <c r="N42" s="159" t="str">
        <f>VLOOKUP(C42,'Trips&amp;Operators'!$C$1:$E$99999,3,FALSE)</f>
        <v>STARKS</v>
      </c>
      <c r="O42" s="184" t="s">
        <v>216</v>
      </c>
      <c r="P42" s="160"/>
      <c r="Q42" s="31"/>
      <c r="R42" s="100" t="str">
        <f>VLOOKUP(C42,'Train Runs'!$A$13:$AE$10009,31,0)</f>
        <v>aws s3 cp s3://rtdc.mdm.uploadarchive.raw/RTDC4031/ "%USERPROFILE%\AppData\Local\Temp\OnboardLogs"\RTDC4031\2016-11-02 --exclude "*" --recursive --include "*20161102*" &amp; "%USERPROFILE%\Documents\GitHub\mrs-test-scripts\Headless Mode &amp; Sideloading\WalkAndUnGZ.bat" "%USERPROFILE%\AppData\Local\Temp\OnboardLogs"\RTDC4031\2016-11-02 &amp; 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</v>
      </c>
      <c r="S42" s="103" t="str">
        <f>VLOOKUP(C42,'Train Runs'!$A$13:$AE$10009,22,0)</f>
        <v>https://search-rtdc-monitor-bjffxe2xuh6vdkpspy63sjmuny.us-east-1.es.amazonaws.com/_plugin/kibana/#/discover/Steve-Slow-Train-Analysis-(2080s-and-2083s)?_g=(refreshInterval:(display:Off,section:0,value:0),time:(from:'2016-11-02 03:49:38-0600',mode:absolute,to:'2016-11-02 05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2" s="105" t="str">
        <f t="shared" si="1"/>
        <v>"C:\Program Files (x86)\AstroGrep\AstroGrep.exe" /spath="%USERPROFILE%\AppData\Local\Temp\OnboardLogs" /stypes="*4031*201611021*" /stext=" 10:.+((SYSTEM_STATE.+slice.+state.+changed )|(ment ac)|(system.+state.+changed )|(\[timeout)|(PRM\|1\|D)|(kpr)|(kdp)|(\|lc)|(penalty))" /e /r /s</v>
      </c>
      <c r="U42" s="9" t="str">
        <f t="shared" si="2"/>
        <v>4031</v>
      </c>
      <c r="V42" s="36">
        <f t="shared" si="3"/>
        <v>42676.457037037035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{"issue":{"subject":"","project_id":79,"tracker_id":40,"status_id":1,"priority_id":2,"assigned_to_id":23,"start_date":"2016-11-02","description":"","custom_fields":[{"id":1,"name":"Subdivision","value":"Other"},{"id":4,"name":"Milepost","value":"3.3252"},{"id":17,"name":"Train ID","value":"901-02"},{"id":16,"name":"Locomotive ID","value":"4031"},{"id":130,"name":"Impact","value":""},{"id":150,"name":"Time of Event (Mountain Time)","value":"04:58:08"},{"id":151,"name":"Denver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"%USERPROFILE%\AppData\Local\Temp\OnboardLogs"\RTDC4031\*4031*201611021* | grep -SE "((Enforcement Ac)|(PRM))" -</v>
      </c>
      <c r="AD42" s="1"/>
    </row>
    <row r="43" spans="1:30" x14ac:dyDescent="0.25">
      <c r="A43" s="36">
        <v>42676.463541666664</v>
      </c>
      <c r="B43" s="31" t="s">
        <v>240</v>
      </c>
      <c r="C43" s="31" t="s">
        <v>410</v>
      </c>
      <c r="D43" s="31" t="s">
        <v>49</v>
      </c>
      <c r="E43" s="31" t="s">
        <v>221</v>
      </c>
      <c r="F43" s="47">
        <v>0</v>
      </c>
      <c r="G43" s="47">
        <v>119</v>
      </c>
      <c r="H43" s="47">
        <v>1361</v>
      </c>
      <c r="I43" s="47">
        <v>1227</v>
      </c>
      <c r="J43" s="31" t="s">
        <v>222</v>
      </c>
      <c r="K43" s="47">
        <v>826</v>
      </c>
      <c r="L43" s="157" t="s">
        <v>51</v>
      </c>
      <c r="M43" s="158">
        <f t="shared" si="0"/>
        <v>211.72800000000001</v>
      </c>
      <c r="N43" s="159" t="str">
        <f>VLOOKUP(C43,'Trips&amp;Operators'!$C$1:$E$99999,3,FALSE)</f>
        <v>HELVIE</v>
      </c>
      <c r="O43" s="184" t="s">
        <v>216</v>
      </c>
      <c r="P43" s="160"/>
      <c r="Q43" s="31"/>
      <c r="R43" s="100" t="str">
        <f>VLOOKUP(C43,'Train Runs'!$A$13:$AE$10009,31,0)</f>
        <v>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 &amp; 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</v>
      </c>
      <c r="S43" s="103" t="str">
        <f>VLOOKUP(C43,'Train Runs'!$A$13:$AE$10009,22,0)</f>
        <v>https://search-rtdc-monitor-bjffxe2xuh6vdkpspy63sjmuny.us-east-1.es.amazonaws.com/_plugin/kibana/#/discover/Steve-Slow-Train-Analysis-(2080s-and-2083s)?_g=(refreshInterval:(display:Off,section:0,value:0),time:(from:'2016-11-02 09:59:13-0600',mode:absolute,to:'2016-11-02 12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3" s="105" t="str">
        <f t="shared" si="1"/>
        <v>"C:\Program Files (x86)\AstroGrep\AstroGrep.exe" /spath="%USERPROFILE%\AppData\Local\Temp\OnboardLogs" /stypes="*4021*201611021*" /stext=" 17:.+((SYSTEM_STATE.+slice.+state.+changed )|(ment ac)|(system.+state.+changed )|(\[timeout)|(PRM\|1\|D)|(kpr)|(kdp)|(\|lc)|(penalty))" /e /r /s</v>
      </c>
      <c r="U43" s="9" t="str">
        <f t="shared" si="2"/>
        <v>4021</v>
      </c>
      <c r="V43" s="36">
        <f t="shared" si="3"/>
        <v>42676.713541666664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{"issue":{"subject":"","project_id":79,"tracker_id":40,"status_id":1,"priority_id":2,"assigned_to_id":23,"start_date":"2016-11-02","description":"","custom_fields":[{"id":1,"name":"Subdivision","value":"Other"},{"id":4,"name":"Milepost","value":"0.0826"},{"id":17,"name":"Train ID","value":"52-02"},{"id":16,"name":"Locomotive ID","value":"4021"},{"id":130,"name":"Impact","value":""},{"id":150,"name":"Time of Event (Mountain Time)","value":"11:07:30"},{"id":151,"name":"Denver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"%USERPROFILE%\AppData\Local\Temp\OnboardLogs"\RTDC4021\*4021*201611021* | grep -SE "((Enforcement Ac)|(PRM))" -</v>
      </c>
      <c r="AD43" s="1"/>
    </row>
    <row r="44" spans="1:30" x14ac:dyDescent="0.25">
      <c r="A44" s="36">
        <v>42676.46402777778</v>
      </c>
      <c r="B44" s="31" t="s">
        <v>240</v>
      </c>
      <c r="C44" s="31" t="s">
        <v>410</v>
      </c>
      <c r="D44" s="31" t="s">
        <v>49</v>
      </c>
      <c r="E44" s="31" t="s">
        <v>221</v>
      </c>
      <c r="F44" s="47">
        <v>0</v>
      </c>
      <c r="G44" s="47">
        <v>54</v>
      </c>
      <c r="H44" s="47">
        <v>1073</v>
      </c>
      <c r="I44" s="47">
        <v>1023</v>
      </c>
      <c r="J44" s="31" t="s">
        <v>222</v>
      </c>
      <c r="K44" s="47">
        <v>826</v>
      </c>
      <c r="L44" s="157" t="s">
        <v>51</v>
      </c>
      <c r="M44" s="158">
        <f t="shared" si="0"/>
        <v>104.01600000000001</v>
      </c>
      <c r="N44" s="159" t="str">
        <f>VLOOKUP(C44,'Trips&amp;Operators'!$C$1:$E$99999,3,FALSE)</f>
        <v>HELVIE</v>
      </c>
      <c r="O44" s="184" t="s">
        <v>216</v>
      </c>
      <c r="P44" s="160"/>
      <c r="Q44" s="31"/>
      <c r="R44" s="100" t="str">
        <f>VLOOKUP(C44,'Train Runs'!$A$13:$AE$10009,31,0)</f>
        <v>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 &amp; 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</v>
      </c>
      <c r="S44" s="103" t="str">
        <f>VLOOKUP(C44,'Train Runs'!$A$13:$AE$10009,22,0)</f>
        <v>https://search-rtdc-monitor-bjffxe2xuh6vdkpspy63sjmuny.us-east-1.es.amazonaws.com/_plugin/kibana/#/discover/Steve-Slow-Train-Analysis-(2080s-and-2083s)?_g=(refreshInterval:(display:Off,section:0,value:0),time:(from:'2016-11-02 09:59:13-0600',mode:absolute,to:'2016-11-02 12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4" s="105" t="str">
        <f t="shared" si="1"/>
        <v>"C:\Program Files (x86)\AstroGrep\AstroGrep.exe" /spath="%USERPROFILE%\AppData\Local\Temp\OnboardLogs" /stypes="*4021*201611021*" /stext=" 17:.+((SYSTEM_STATE.+slice.+state.+changed )|(ment ac)|(system.+state.+changed )|(\[timeout)|(PRM\|1\|D)|(kpr)|(kdp)|(\|lc)|(penalty))" /e /r /s</v>
      </c>
      <c r="U44" s="9" t="str">
        <f t="shared" si="2"/>
        <v>4021</v>
      </c>
      <c r="V44" s="36">
        <f t="shared" si="3"/>
        <v>42676.71402777778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{"issue":{"subject":"","project_id":79,"tracker_id":40,"status_id":1,"priority_id":2,"assigned_to_id":23,"start_date":"2016-11-02","description":"","custom_fields":[{"id":1,"name":"Subdivision","value":"Other"},{"id":4,"name":"Milepost","value":"0.0826"},{"id":17,"name":"Train ID","value":"52-02"},{"id":16,"name":"Locomotive ID","value":"4021"},{"id":130,"name":"Impact","value":""},{"id":150,"name":"Time of Event (Mountain Time)","value":"11:08:12"},{"id":151,"name":"Denver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"%USERPROFILE%\AppData\Local\Temp\OnboardLogs"\RTDC4021\*4021*201611021* | grep -SE "((Enforcement Ac)|(PRM))" -</v>
      </c>
      <c r="AD44" s="1"/>
    </row>
    <row r="45" spans="1:30" x14ac:dyDescent="0.25">
      <c r="A45" s="36">
        <v>42676.761273148149</v>
      </c>
      <c r="B45" s="31" t="s">
        <v>283</v>
      </c>
      <c r="C45" s="31" t="s">
        <v>426</v>
      </c>
      <c r="D45" s="31" t="s">
        <v>98</v>
      </c>
      <c r="E45" s="31" t="s">
        <v>221</v>
      </c>
      <c r="F45" s="47">
        <v>0</v>
      </c>
      <c r="G45" s="47">
        <v>5</v>
      </c>
      <c r="H45" s="47">
        <v>826</v>
      </c>
      <c r="I45" s="47">
        <v>0</v>
      </c>
      <c r="J45" s="31" t="s">
        <v>222</v>
      </c>
      <c r="K45" s="47">
        <v>826</v>
      </c>
      <c r="L45" s="157" t="s">
        <v>51</v>
      </c>
      <c r="M45" s="158">
        <f t="shared" si="0"/>
        <v>-436.12799999999999</v>
      </c>
      <c r="N45" s="159" t="str">
        <f>VLOOKUP(C45,'Trips&amp;Operators'!$C$1:$E$99999,3,FALSE)</f>
        <v>DELGADO</v>
      </c>
      <c r="O45" s="184" t="s">
        <v>216</v>
      </c>
      <c r="P45" s="160"/>
      <c r="Q45" s="31"/>
      <c r="R45" s="100" t="str">
        <f>VLOOKUP(C45,'Train Runs'!$A$13:$AE$10009,31,0)</f>
        <v>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 &amp; aws s3 cp s3://rtdc.mdm.uploadarchive.raw/RTDC4045/ "%USERPROFILE%\AppData\Local\Temp\OnboardLogs"\RTDC4045\2016-11-03 --exclude "*" --recursive --include "*20161103*" &amp; "%USERPROFILE%\Documents\GitHub\mrs-test-scripts\Headless Mode &amp; Sideloading\WalkAndUnGZ.bat" "%USERPROFILE%\AppData\Local\Temp\OnboardLogs"\RTDC4045\2016-11-03</v>
      </c>
      <c r="S45" s="103" t="str">
        <f>VLOOKUP(C45,'Train Runs'!$A$13:$AE$10009,22,0)</f>
        <v>https://search-rtdc-monitor-bjffxe2xuh6vdkpspy63sjmuny.us-east-1.es.amazonaws.com/_plugin/kibana/#/discover/Steve-Slow-Train-Analysis-(2080s-and-2083s)?_g=(refreshInterval:(display:Off,section:0,value:0),time:(from:'2016-11-02 17:02:27-0600',mode:absolute,to:'2016-11-02 19:16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5" s="105" t="str">
        <f t="shared" si="1"/>
        <v>"C:\Program Files (x86)\AstroGrep\AstroGrep.exe" /spath="%USERPROFILE%\AppData\Local\Temp\OnboardLogs" /stypes="*4045*201611030*" /stext=" 00:.+((SYSTEM_STATE.+slice.+state.+changed )|(ment ac)|(system.+state.+changed )|(\[timeout)|(PRM\|1\|D)|(kpr)|(kdp)|(\|lc)|(penalty))" /e /r /s</v>
      </c>
      <c r="U45" s="9" t="str">
        <f t="shared" si="2"/>
        <v>4045</v>
      </c>
      <c r="V45" s="36">
        <f t="shared" si="3"/>
        <v>42677.011273148149</v>
      </c>
      <c r="W45" s="50" t="str">
        <f t="shared" si="4"/>
        <v>Other</v>
      </c>
      <c r="X45" s="50" t="str">
        <f t="shared" si="5"/>
        <v>OMIT</v>
      </c>
      <c r="Y45" s="122" t="str">
        <f t="shared" si="6"/>
        <v>echo {"issue":{"subject":"","project_id":79,"tracker_id":40,"status_id":1,"priority_id":2,"assigned_to_id":23,"start_date":"2016-11-02","description":"","custom_fields":[{"id":1,"name":"Subdivision","value":"Other"},{"id":4,"name":"Milepost","value":"0.0826"},{"id":17,"name":"Train ID","value":"56-02"},{"id":16,"name":"Locomotive ID","value":"4045"},{"id":130,"name":"Impact","value":""},{"id":150,"name":"Time of Event (Mountain Time)","value":"18:16:14"},{"id":151,"name":"Denver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"%USERPROFILE%\AppData\Local\Temp\OnboardLogs"\RTDC4045\*4045*201611030* | grep -SE "((Enforcement Ac)|(PRM))" -</v>
      </c>
      <c r="AD45" s="1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15" priority="36" operator="equal">
      <formula>"Y"</formula>
    </cfRule>
  </conditionalFormatting>
  <conditionalFormatting sqref="O2:O3">
    <cfRule type="cellIs" dxfId="14" priority="27" operator="equal">
      <formula>"Y"</formula>
    </cfRule>
  </conditionalFormatting>
  <conditionalFormatting sqref="O7:O45">
    <cfRule type="cellIs" dxfId="13" priority="21" operator="equal">
      <formula>"Y"</formula>
    </cfRule>
  </conditionalFormatting>
  <conditionalFormatting sqref="A7:P45">
    <cfRule type="expression" dxfId="12" priority="20">
      <formula>$O7="Y"</formula>
    </cfRule>
  </conditionalFormatting>
  <hyperlinks>
    <hyperlink ref="Z29" r:id="rId1"/>
    <hyperlink ref="Z24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7" t="str">
        <f>"Trips that did not appear in PTC Data "&amp;TEXT(Variables!$A$2,"YYYY-mm-dd")</f>
        <v>Trips that did not appear in PTC Data 2016-11-02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-02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3" s="31" t="e">
        <f>VLOOKUP(B3,'Train Runs'!$A$13:$A$100006,1,FALSE)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-02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4" s="31" t="e">
        <f>VLOOKUP(B4,'Train Runs'!$A$13:$A$100006,1,FALSE)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-02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5" s="31" t="e">
        <f>VLOOKUP(B5,'Train Runs'!$A$13:$A$100006,1,FALSE)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-02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6" s="31" t="e">
        <f>VLOOKUP(B6,'Train Runs'!$A$13:$A$100006,1,FALSE)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-02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7" s="31" t="e">
        <f>VLOOKUP(B7,'Train Runs'!$A$13:$A$100006,1,FALSE)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-02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8" s="31" t="e">
        <f>VLOOKUP(B8,'Train Runs'!$A$13:$A$100006,1,FALSE)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-02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9" s="31" t="e">
        <f>VLOOKUP(B9,'Train Runs'!$A$13:$A$100006,1,FALSE)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-02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0" s="31" t="e">
        <f>VLOOKUP(B10,'Train Runs'!$A$13:$A$100006,1,FALSE)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-02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1" s="31" t="e">
        <f>VLOOKUP(B11,'Train Runs'!$A$13:$A$100006,1,FALSE)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-02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2" s="31" t="e">
        <f>VLOOKUP(B12,'Train Runs'!$A$13:$A$100006,1,FALSE)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-02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3" s="31" t="e">
        <f>VLOOKUP(B13,'Train Runs'!$A$13:$A$100006,1,FALSE)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42676.035960648151</v>
      </c>
      <c r="B2" s="21" t="s">
        <v>324</v>
      </c>
      <c r="C2" s="21" t="s">
        <v>347</v>
      </c>
      <c r="D2" s="21">
        <v>2480000</v>
      </c>
      <c r="E2" s="21" t="s">
        <v>307</v>
      </c>
      <c r="F2" s="21" t="str">
        <f t="shared" ref="F2:F65" si="0">B2</f>
        <v>rtdc.l.rtdc.4041:itc</v>
      </c>
      <c r="G2" s="8">
        <f t="shared" ref="G2:G65" si="1">A2</f>
        <v>42676.035960648151</v>
      </c>
    </row>
    <row r="3" spans="1:7" x14ac:dyDescent="0.25">
      <c r="A3" s="8">
        <v>42676.053287037037</v>
      </c>
      <c r="B3" s="21" t="s">
        <v>227</v>
      </c>
      <c r="C3" s="21" t="s">
        <v>328</v>
      </c>
      <c r="D3" s="21">
        <v>2250000</v>
      </c>
      <c r="E3" s="21" t="s">
        <v>286</v>
      </c>
      <c r="F3" s="21" t="str">
        <f t="shared" si="0"/>
        <v>rtdc.l.rtdc.4029:itc</v>
      </c>
      <c r="G3" s="8">
        <f t="shared" si="1"/>
        <v>42676.053287037037</v>
      </c>
    </row>
    <row r="4" spans="1:7" x14ac:dyDescent="0.25">
      <c r="A4" s="8">
        <v>42676.058553240742</v>
      </c>
      <c r="B4" s="21" t="s">
        <v>296</v>
      </c>
      <c r="C4" s="21" t="s">
        <v>348</v>
      </c>
      <c r="D4" s="21">
        <v>1800000</v>
      </c>
      <c r="E4" s="21" t="s">
        <v>274</v>
      </c>
      <c r="F4" s="21" t="str">
        <f t="shared" si="0"/>
        <v>rtdc.l.rtdc.4039:itc</v>
      </c>
      <c r="G4" s="8">
        <f t="shared" si="1"/>
        <v>42676.058553240742</v>
      </c>
    </row>
    <row r="5" spans="1:7" x14ac:dyDescent="0.25">
      <c r="A5" s="8">
        <v>42676.065972222219</v>
      </c>
      <c r="B5" s="21" t="s">
        <v>329</v>
      </c>
      <c r="C5" s="21" t="s">
        <v>349</v>
      </c>
      <c r="D5" s="21">
        <v>2480000</v>
      </c>
      <c r="E5" s="21" t="s">
        <v>307</v>
      </c>
      <c r="F5" s="21" t="str">
        <f t="shared" si="0"/>
        <v>rtdc.l.rtdc.4042:itc</v>
      </c>
      <c r="G5" s="8">
        <f t="shared" si="1"/>
        <v>42676.065972222219</v>
      </c>
    </row>
    <row r="6" spans="1:7" x14ac:dyDescent="0.25">
      <c r="A6" s="8">
        <v>42676.092233796298</v>
      </c>
      <c r="B6" s="21" t="s">
        <v>250</v>
      </c>
      <c r="C6" s="21" t="s">
        <v>350</v>
      </c>
      <c r="D6" s="21">
        <v>1800000</v>
      </c>
      <c r="E6" s="21" t="s">
        <v>274</v>
      </c>
      <c r="F6" s="21" t="str">
        <f t="shared" si="0"/>
        <v>rtdc.l.rtdc.4040:itc</v>
      </c>
      <c r="G6" s="8">
        <f t="shared" si="1"/>
        <v>42676.092233796298</v>
      </c>
    </row>
    <row r="7" spans="1:7" x14ac:dyDescent="0.25">
      <c r="A7" s="8">
        <v>42676.124456018515</v>
      </c>
      <c r="B7" s="21" t="s">
        <v>420</v>
      </c>
      <c r="C7" s="21" t="s">
        <v>434</v>
      </c>
      <c r="D7" s="21">
        <v>2010000</v>
      </c>
      <c r="E7" s="21" t="s">
        <v>435</v>
      </c>
      <c r="F7" s="21" t="str">
        <f t="shared" si="0"/>
        <v>rtdc.l.rtdc.4054:itc</v>
      </c>
      <c r="G7" s="8">
        <f t="shared" si="1"/>
        <v>42676.124456018515</v>
      </c>
    </row>
    <row r="8" spans="1:7" x14ac:dyDescent="0.25">
      <c r="A8" s="8">
        <v>42676.140543981484</v>
      </c>
      <c r="B8" s="21" t="s">
        <v>190</v>
      </c>
      <c r="C8" s="21" t="s">
        <v>436</v>
      </c>
      <c r="D8" s="21">
        <v>2010000</v>
      </c>
      <c r="E8" s="21" t="s">
        <v>435</v>
      </c>
      <c r="F8" s="21" t="str">
        <f t="shared" si="0"/>
        <v>rtdc.l.rtdc.4009:itc</v>
      </c>
      <c r="G8" s="8">
        <f t="shared" si="1"/>
        <v>42676.140543981484</v>
      </c>
    </row>
    <row r="9" spans="1:7" ht="15.75" thickBot="1" x14ac:dyDescent="0.3">
      <c r="A9" s="25">
        <v>42676.141435185185</v>
      </c>
      <c r="B9" s="21" t="s">
        <v>190</v>
      </c>
      <c r="C9" s="21" t="s">
        <v>436</v>
      </c>
      <c r="D9" s="21">
        <v>2010000</v>
      </c>
      <c r="E9" s="21" t="s">
        <v>435</v>
      </c>
      <c r="F9" s="21" t="str">
        <f t="shared" si="0"/>
        <v>rtdc.l.rtdc.4009:itc</v>
      </c>
      <c r="G9" s="8">
        <f t="shared" si="1"/>
        <v>42676.141435185185</v>
      </c>
    </row>
    <row r="10" spans="1:7" x14ac:dyDescent="0.25">
      <c r="A10" s="8">
        <v>42676.144409722219</v>
      </c>
      <c r="B10" s="21" t="s">
        <v>242</v>
      </c>
      <c r="C10" s="21" t="s">
        <v>437</v>
      </c>
      <c r="D10" s="21">
        <v>2530000</v>
      </c>
      <c r="E10" s="21" t="s">
        <v>300</v>
      </c>
      <c r="F10" s="21" t="str">
        <f t="shared" si="0"/>
        <v>rtdc.l.rtdc.4001:itc</v>
      </c>
      <c r="G10" s="8">
        <f t="shared" si="1"/>
        <v>42676.144409722219</v>
      </c>
    </row>
    <row r="11" spans="1:7" x14ac:dyDescent="0.25">
      <c r="A11" s="8">
        <v>42676.145740740743</v>
      </c>
      <c r="B11" s="21" t="s">
        <v>242</v>
      </c>
      <c r="C11" s="21" t="s">
        <v>437</v>
      </c>
      <c r="D11" s="21">
        <v>2530000</v>
      </c>
      <c r="E11" s="21" t="s">
        <v>300</v>
      </c>
      <c r="F11" s="21" t="str">
        <f t="shared" si="0"/>
        <v>rtdc.l.rtdc.4001:itc</v>
      </c>
      <c r="G11" s="8">
        <f t="shared" si="1"/>
        <v>42676.145740740743</v>
      </c>
    </row>
    <row r="12" spans="1:7" x14ac:dyDescent="0.25">
      <c r="A12" s="8">
        <v>42676.15552083333</v>
      </c>
      <c r="B12" s="21" t="s">
        <v>418</v>
      </c>
      <c r="C12" s="21" t="s">
        <v>438</v>
      </c>
      <c r="D12" s="21">
        <v>2530000</v>
      </c>
      <c r="E12" s="21" t="s">
        <v>300</v>
      </c>
      <c r="F12" s="21" t="str">
        <f t="shared" si="0"/>
        <v>rtdc.l.rtdc.4018:itc</v>
      </c>
      <c r="G12" s="8">
        <f t="shared" si="1"/>
        <v>42676.15552083333</v>
      </c>
    </row>
    <row r="13" spans="1:7" x14ac:dyDescent="0.25">
      <c r="A13" s="8">
        <v>42676.156064814815</v>
      </c>
      <c r="B13" s="21" t="s">
        <v>418</v>
      </c>
      <c r="C13" s="21" t="s">
        <v>439</v>
      </c>
      <c r="D13" s="21">
        <v>2530000</v>
      </c>
      <c r="E13" s="21" t="s">
        <v>300</v>
      </c>
      <c r="F13" s="21" t="str">
        <f t="shared" si="0"/>
        <v>rtdc.l.rtdc.4018:itc</v>
      </c>
      <c r="G13" s="8">
        <f t="shared" si="1"/>
        <v>42676.156064814815</v>
      </c>
    </row>
    <row r="14" spans="1:7" x14ac:dyDescent="0.25">
      <c r="A14" s="8">
        <v>42676.158645833333</v>
      </c>
      <c r="B14" s="21" t="s">
        <v>256</v>
      </c>
      <c r="C14" s="21" t="s">
        <v>440</v>
      </c>
      <c r="D14" s="21">
        <v>1360000</v>
      </c>
      <c r="E14" s="21" t="s">
        <v>441</v>
      </c>
      <c r="F14" s="21" t="str">
        <f t="shared" si="0"/>
        <v>rtdc.l.rtdc.4013:itc</v>
      </c>
      <c r="G14" s="8">
        <f t="shared" si="1"/>
        <v>42676.158645833333</v>
      </c>
    </row>
    <row r="15" spans="1:7" x14ac:dyDescent="0.25">
      <c r="A15" s="8">
        <v>42676.168495370373</v>
      </c>
      <c r="B15" s="21" t="s">
        <v>251</v>
      </c>
      <c r="C15" s="21" t="s">
        <v>442</v>
      </c>
      <c r="D15" s="21">
        <v>1360000</v>
      </c>
      <c r="E15" s="21" t="s">
        <v>441</v>
      </c>
      <c r="F15" s="21" t="str">
        <f t="shared" si="0"/>
        <v>rtdc.l.rtdc.4038:itc</v>
      </c>
      <c r="G15" s="8">
        <f t="shared" si="1"/>
        <v>42676.168495370373</v>
      </c>
    </row>
    <row r="16" spans="1:7" x14ac:dyDescent="0.25">
      <c r="A16" s="8">
        <v>42676.173483796294</v>
      </c>
      <c r="B16" s="21" t="s">
        <v>420</v>
      </c>
      <c r="C16" s="21" t="s">
        <v>443</v>
      </c>
      <c r="D16" s="21">
        <v>2010000</v>
      </c>
      <c r="E16" s="21" t="s">
        <v>435</v>
      </c>
      <c r="F16" s="21" t="str">
        <f t="shared" si="0"/>
        <v>rtdc.l.rtdc.4054:itc</v>
      </c>
      <c r="G16" s="8">
        <f t="shared" si="1"/>
        <v>42676.173483796294</v>
      </c>
    </row>
    <row r="17" spans="1:7" x14ac:dyDescent="0.25">
      <c r="A17" s="8">
        <v>42676.177303240744</v>
      </c>
      <c r="B17" s="21" t="s">
        <v>325</v>
      </c>
      <c r="C17" s="21" t="s">
        <v>444</v>
      </c>
      <c r="D17" s="21">
        <v>2380000</v>
      </c>
      <c r="E17" s="21" t="s">
        <v>330</v>
      </c>
      <c r="F17" s="21" t="str">
        <f t="shared" si="0"/>
        <v>rtdc.l.rtdc.4008:itc</v>
      </c>
      <c r="G17" s="8">
        <f t="shared" si="1"/>
        <v>42676.177303240744</v>
      </c>
    </row>
    <row r="18" spans="1:7" x14ac:dyDescent="0.25">
      <c r="A18" s="8">
        <v>42676.18509259259</v>
      </c>
      <c r="B18" s="21" t="s">
        <v>302</v>
      </c>
      <c r="C18" s="21" t="s">
        <v>445</v>
      </c>
      <c r="D18" s="21">
        <v>2550000</v>
      </c>
      <c r="E18" s="21" t="s">
        <v>301</v>
      </c>
      <c r="F18" s="21" t="str">
        <f t="shared" si="0"/>
        <v>rtdc.l.rtdc.4004:itc</v>
      </c>
      <c r="G18" s="8">
        <f t="shared" si="1"/>
        <v>42676.18509259259</v>
      </c>
    </row>
    <row r="19" spans="1:7" x14ac:dyDescent="0.25">
      <c r="A19" s="8">
        <v>42676.188958333332</v>
      </c>
      <c r="B19" s="21" t="s">
        <v>193</v>
      </c>
      <c r="C19" s="21" t="s">
        <v>446</v>
      </c>
      <c r="D19" s="21">
        <v>2380000</v>
      </c>
      <c r="E19" s="21" t="s">
        <v>330</v>
      </c>
      <c r="F19" s="21" t="str">
        <f t="shared" si="0"/>
        <v>rtdc.l.rtdc.4007:itc</v>
      </c>
      <c r="G19" s="8">
        <f t="shared" si="1"/>
        <v>42676.188958333332</v>
      </c>
    </row>
    <row r="20" spans="1:7" x14ac:dyDescent="0.25">
      <c r="A20" s="8">
        <v>42676.190011574072</v>
      </c>
      <c r="B20" s="21" t="s">
        <v>242</v>
      </c>
      <c r="C20" s="21" t="s">
        <v>438</v>
      </c>
      <c r="D20" s="21">
        <v>2530000</v>
      </c>
      <c r="E20" s="21" t="s">
        <v>300</v>
      </c>
      <c r="F20" s="21" t="str">
        <f t="shared" si="0"/>
        <v>rtdc.l.rtdc.4001:itc</v>
      </c>
      <c r="G20" s="8">
        <f t="shared" si="1"/>
        <v>42676.190011574072</v>
      </c>
    </row>
    <row r="21" spans="1:7" x14ac:dyDescent="0.25">
      <c r="A21" s="8">
        <v>42676.196111111109</v>
      </c>
      <c r="B21" s="21" t="s">
        <v>287</v>
      </c>
      <c r="C21" s="21" t="s">
        <v>398</v>
      </c>
      <c r="D21" s="21">
        <v>2550000</v>
      </c>
      <c r="E21" s="21" t="s">
        <v>301</v>
      </c>
      <c r="F21" s="21" t="str">
        <f t="shared" si="0"/>
        <v>rtdc.l.rtdc.4003:itc</v>
      </c>
      <c r="G21" s="8">
        <f t="shared" si="1"/>
        <v>42676.196111111109</v>
      </c>
    </row>
    <row r="22" spans="1:7" x14ac:dyDescent="0.25">
      <c r="A22" s="27">
        <v>42676.201747685183</v>
      </c>
      <c r="B22" s="21" t="s">
        <v>399</v>
      </c>
      <c r="C22" s="21" t="s">
        <v>400</v>
      </c>
      <c r="D22" s="21">
        <v>1110000</v>
      </c>
      <c r="E22" s="21" t="s">
        <v>285</v>
      </c>
      <c r="F22" s="21" t="str">
        <f t="shared" si="0"/>
        <v>rtdc.l.rtdc.4031:itc</v>
      </c>
      <c r="G22" s="8">
        <f t="shared" si="1"/>
        <v>42676.201747685183</v>
      </c>
    </row>
    <row r="23" spans="1:7" x14ac:dyDescent="0.25">
      <c r="A23" s="8">
        <v>42676.203310185185</v>
      </c>
      <c r="B23" s="21" t="s">
        <v>399</v>
      </c>
      <c r="C23" s="21" t="s">
        <v>400</v>
      </c>
      <c r="D23" s="21">
        <v>1110000</v>
      </c>
      <c r="E23" s="21" t="s">
        <v>285</v>
      </c>
      <c r="F23" s="21" t="str">
        <f t="shared" si="0"/>
        <v>rtdc.l.rtdc.4031:itc</v>
      </c>
      <c r="G23" s="8">
        <f t="shared" si="1"/>
        <v>42676.203310185185</v>
      </c>
    </row>
    <row r="24" spans="1:7" x14ac:dyDescent="0.25">
      <c r="A24" s="8">
        <v>42676.203935185185</v>
      </c>
      <c r="B24" s="21" t="s">
        <v>256</v>
      </c>
      <c r="C24" s="21" t="s">
        <v>447</v>
      </c>
      <c r="D24" s="21">
        <v>1360000</v>
      </c>
      <c r="E24" s="21" t="s">
        <v>441</v>
      </c>
      <c r="F24" s="21" t="str">
        <f t="shared" si="0"/>
        <v>rtdc.l.rtdc.4013:itc</v>
      </c>
      <c r="G24" s="8">
        <f t="shared" si="1"/>
        <v>42676.203935185185</v>
      </c>
    </row>
    <row r="25" spans="1:7" x14ac:dyDescent="0.25">
      <c r="A25" s="8">
        <v>42676.205636574072</v>
      </c>
      <c r="B25" s="21" t="s">
        <v>190</v>
      </c>
      <c r="C25" s="21" t="s">
        <v>448</v>
      </c>
      <c r="D25" s="21">
        <v>900000</v>
      </c>
      <c r="E25" s="21" t="s">
        <v>449</v>
      </c>
      <c r="F25" s="21" t="str">
        <f t="shared" si="0"/>
        <v>rtdc.l.rtdc.4009:itc</v>
      </c>
      <c r="G25" s="8">
        <f t="shared" si="1"/>
        <v>42676.205636574072</v>
      </c>
    </row>
    <row r="26" spans="1:7" x14ac:dyDescent="0.25">
      <c r="A26" s="8">
        <v>42676.20815972222</v>
      </c>
      <c r="B26" s="21" t="s">
        <v>450</v>
      </c>
      <c r="C26" s="21" t="s">
        <v>451</v>
      </c>
      <c r="D26" s="21">
        <v>2010000</v>
      </c>
      <c r="E26" s="21" t="s">
        <v>435</v>
      </c>
      <c r="F26" s="21" t="str">
        <f t="shared" si="0"/>
        <v>rtdc.l.rtdc.4053:itc</v>
      </c>
      <c r="G26" s="8">
        <f t="shared" si="1"/>
        <v>42676.20815972222</v>
      </c>
    </row>
    <row r="27" spans="1:7" x14ac:dyDescent="0.25">
      <c r="A27" s="8">
        <v>42676.213391203702</v>
      </c>
      <c r="B27" s="21" t="s">
        <v>297</v>
      </c>
      <c r="C27" s="21" t="s">
        <v>401</v>
      </c>
      <c r="D27" s="21">
        <v>1110000</v>
      </c>
      <c r="E27" s="21" t="s">
        <v>285</v>
      </c>
      <c r="F27" s="21" t="str">
        <f t="shared" si="0"/>
        <v>rtdc.l.rtdc.4032:itc</v>
      </c>
      <c r="G27" s="8">
        <f t="shared" si="1"/>
        <v>42676.213391203702</v>
      </c>
    </row>
    <row r="28" spans="1:7" x14ac:dyDescent="0.25">
      <c r="A28" s="8">
        <v>42676.215416666666</v>
      </c>
      <c r="B28" s="21" t="s">
        <v>450</v>
      </c>
      <c r="C28" s="21" t="s">
        <v>451</v>
      </c>
      <c r="D28" s="21">
        <v>2010000</v>
      </c>
      <c r="E28" s="21" t="s">
        <v>435</v>
      </c>
      <c r="F28" s="21" t="str">
        <f t="shared" si="0"/>
        <v>rtdc.l.rtdc.4053:itc</v>
      </c>
      <c r="G28" s="8">
        <f t="shared" si="1"/>
        <v>42676.215416666666</v>
      </c>
    </row>
    <row r="29" spans="1:7" x14ac:dyDescent="0.25">
      <c r="A29" s="8">
        <v>42676.216481481482</v>
      </c>
      <c r="B29" s="21" t="s">
        <v>450</v>
      </c>
      <c r="C29" s="21" t="s">
        <v>451</v>
      </c>
      <c r="D29" s="21">
        <v>2010000</v>
      </c>
      <c r="E29" s="21" t="s">
        <v>435</v>
      </c>
      <c r="F29" s="21" t="str">
        <f t="shared" si="0"/>
        <v>rtdc.l.rtdc.4053:itc</v>
      </c>
      <c r="G29" s="8">
        <f t="shared" si="1"/>
        <v>42676.216481481482</v>
      </c>
    </row>
    <row r="30" spans="1:7" x14ac:dyDescent="0.25">
      <c r="A30" s="8">
        <v>42676.221979166665</v>
      </c>
      <c r="B30" s="21" t="s">
        <v>325</v>
      </c>
      <c r="C30" s="21" t="s">
        <v>452</v>
      </c>
      <c r="D30" s="21">
        <v>2380000</v>
      </c>
      <c r="E30" s="21" t="s">
        <v>330</v>
      </c>
      <c r="F30" s="21" t="str">
        <f t="shared" si="0"/>
        <v>rtdc.l.rtdc.4008:itc</v>
      </c>
      <c r="G30" s="8">
        <f t="shared" si="1"/>
        <v>42676.221979166665</v>
      </c>
    </row>
    <row r="31" spans="1:7" x14ac:dyDescent="0.25">
      <c r="A31" s="8">
        <v>42676.226782407408</v>
      </c>
      <c r="B31" s="21" t="s">
        <v>418</v>
      </c>
      <c r="C31" s="21" t="s">
        <v>453</v>
      </c>
      <c r="D31" s="21">
        <v>2620000</v>
      </c>
      <c r="E31" s="21" t="s">
        <v>454</v>
      </c>
      <c r="F31" s="21" t="str">
        <f t="shared" si="0"/>
        <v>rtdc.l.rtdc.4018:itc</v>
      </c>
      <c r="G31" s="8">
        <f t="shared" si="1"/>
        <v>42676.226782407408</v>
      </c>
    </row>
    <row r="32" spans="1:7" x14ac:dyDescent="0.25">
      <c r="A32" s="8">
        <v>42676.230590277781</v>
      </c>
      <c r="B32" s="21" t="s">
        <v>302</v>
      </c>
      <c r="C32" s="21" t="s">
        <v>455</v>
      </c>
      <c r="D32" s="21">
        <v>2550000</v>
      </c>
      <c r="E32" s="21" t="s">
        <v>301</v>
      </c>
      <c r="F32" s="21" t="str">
        <f t="shared" si="0"/>
        <v>rtdc.l.rtdc.4004:itc</v>
      </c>
      <c r="G32" s="8">
        <f t="shared" si="1"/>
        <v>42676.230590277781</v>
      </c>
    </row>
    <row r="33" spans="1:7" x14ac:dyDescent="0.25">
      <c r="A33" s="8">
        <v>42676.233854166669</v>
      </c>
      <c r="B33" s="21" t="s">
        <v>241</v>
      </c>
      <c r="C33" s="21" t="s">
        <v>456</v>
      </c>
      <c r="D33" s="21">
        <v>2530000</v>
      </c>
      <c r="E33" s="21" t="s">
        <v>300</v>
      </c>
      <c r="F33" s="21" t="str">
        <f t="shared" si="0"/>
        <v>rtdc.l.rtdc.4002:itc</v>
      </c>
      <c r="G33" s="8">
        <f t="shared" si="1"/>
        <v>42676.233854166669</v>
      </c>
    </row>
    <row r="34" spans="1:7" x14ac:dyDescent="0.25">
      <c r="A34" s="8">
        <v>42676.235011574077</v>
      </c>
      <c r="B34" s="21" t="s">
        <v>241</v>
      </c>
      <c r="C34" s="21" t="s">
        <v>456</v>
      </c>
      <c r="D34" s="21">
        <v>2530000</v>
      </c>
      <c r="E34" s="21" t="s">
        <v>300</v>
      </c>
      <c r="F34" s="21" t="str">
        <f t="shared" si="0"/>
        <v>rtdc.l.rtdc.4002:itc</v>
      </c>
      <c r="G34" s="8">
        <f t="shared" si="1"/>
        <v>42676.235011574077</v>
      </c>
    </row>
    <row r="35" spans="1:7" x14ac:dyDescent="0.25">
      <c r="A35" s="8">
        <v>42676.242604166669</v>
      </c>
      <c r="B35" s="21" t="s">
        <v>399</v>
      </c>
      <c r="C35" s="21" t="s">
        <v>457</v>
      </c>
      <c r="D35" s="21">
        <v>1110000</v>
      </c>
      <c r="E35" s="21" t="s">
        <v>285</v>
      </c>
      <c r="F35" s="21" t="str">
        <f t="shared" si="0"/>
        <v>rtdc.l.rtdc.4031:itc</v>
      </c>
      <c r="G35" s="8">
        <f t="shared" si="1"/>
        <v>42676.242604166669</v>
      </c>
    </row>
    <row r="36" spans="1:7" x14ac:dyDescent="0.25">
      <c r="A36" s="8">
        <v>42676.24527777778</v>
      </c>
      <c r="B36" s="21" t="s">
        <v>251</v>
      </c>
      <c r="C36" s="21" t="s">
        <v>458</v>
      </c>
      <c r="D36" s="21">
        <v>1360000</v>
      </c>
      <c r="E36" s="21" t="s">
        <v>441</v>
      </c>
      <c r="F36" s="21" t="str">
        <f t="shared" si="0"/>
        <v>rtdc.l.rtdc.4038:itc</v>
      </c>
      <c r="G36" s="8">
        <f t="shared" si="1"/>
        <v>42676.24527777778</v>
      </c>
    </row>
    <row r="37" spans="1:7" x14ac:dyDescent="0.25">
      <c r="A37" s="8">
        <v>42676.246388888889</v>
      </c>
      <c r="B37" s="21" t="s">
        <v>189</v>
      </c>
      <c r="C37" s="21" t="s">
        <v>459</v>
      </c>
      <c r="D37" s="21">
        <v>900000</v>
      </c>
      <c r="E37" s="21" t="s">
        <v>449</v>
      </c>
      <c r="F37" s="21" t="str">
        <f t="shared" si="0"/>
        <v>rtdc.l.rtdc.4010:itc</v>
      </c>
      <c r="G37" s="8">
        <f t="shared" si="1"/>
        <v>42676.246388888889</v>
      </c>
    </row>
    <row r="38" spans="1:7" x14ac:dyDescent="0.25">
      <c r="A38" s="8">
        <v>42676.250659722224</v>
      </c>
      <c r="B38" s="21" t="s">
        <v>420</v>
      </c>
      <c r="C38" s="21" t="s">
        <v>460</v>
      </c>
      <c r="D38" s="21">
        <v>2010000</v>
      </c>
      <c r="E38" s="21" t="s">
        <v>435</v>
      </c>
      <c r="F38" s="21" t="str">
        <f t="shared" si="0"/>
        <v>rtdc.l.rtdc.4054:itc</v>
      </c>
      <c r="G38" s="8">
        <f t="shared" si="1"/>
        <v>42676.250659722224</v>
      </c>
    </row>
    <row r="39" spans="1:7" x14ac:dyDescent="0.25">
      <c r="A39" s="8">
        <v>42676.250902777778</v>
      </c>
      <c r="B39" s="21" t="s">
        <v>461</v>
      </c>
      <c r="C39" s="21" t="s">
        <v>462</v>
      </c>
      <c r="D39" s="21">
        <v>2600000</v>
      </c>
      <c r="E39" s="21" t="s">
        <v>463</v>
      </c>
      <c r="F39" s="21" t="str">
        <f t="shared" si="0"/>
        <v>rtdc.l.rtdc.4026:itc</v>
      </c>
      <c r="G39" s="8">
        <f t="shared" si="1"/>
        <v>42676.250902777778</v>
      </c>
    </row>
    <row r="40" spans="1:7" x14ac:dyDescent="0.25">
      <c r="A40" s="8">
        <v>42676.254965277774</v>
      </c>
      <c r="B40" s="26" t="s">
        <v>297</v>
      </c>
      <c r="C40" s="21" t="s">
        <v>464</v>
      </c>
      <c r="D40" s="21">
        <v>1110000</v>
      </c>
      <c r="E40" s="21" t="s">
        <v>285</v>
      </c>
      <c r="F40" s="21" t="str">
        <f t="shared" si="0"/>
        <v>rtdc.l.rtdc.4032:itc</v>
      </c>
      <c r="G40" s="8">
        <f t="shared" si="1"/>
        <v>42676.254965277774</v>
      </c>
    </row>
    <row r="41" spans="1:7" x14ac:dyDescent="0.25">
      <c r="A41" s="8">
        <v>42676.256701388891</v>
      </c>
      <c r="B41" s="21" t="s">
        <v>193</v>
      </c>
      <c r="C41" s="21" t="s">
        <v>465</v>
      </c>
      <c r="D41" s="21">
        <v>2380000</v>
      </c>
      <c r="E41" s="21" t="s">
        <v>330</v>
      </c>
      <c r="F41" s="21" t="str">
        <f t="shared" si="0"/>
        <v>rtdc.l.rtdc.4007:itc</v>
      </c>
      <c r="G41" s="8">
        <f t="shared" si="1"/>
        <v>42676.256701388891</v>
      </c>
    </row>
    <row r="42" spans="1:7" x14ac:dyDescent="0.25">
      <c r="A42" s="8">
        <v>42676.259560185186</v>
      </c>
      <c r="B42" s="21" t="s">
        <v>402</v>
      </c>
      <c r="C42" s="21" t="s">
        <v>403</v>
      </c>
      <c r="D42" s="21">
        <v>2620000</v>
      </c>
      <c r="E42" s="21" t="s">
        <v>454</v>
      </c>
      <c r="F42" s="21" t="str">
        <f t="shared" si="0"/>
        <v>rtdc.l.rtdc.4017:itc</v>
      </c>
      <c r="G42" s="8">
        <f t="shared" si="1"/>
        <v>42676.259560185186</v>
      </c>
    </row>
    <row r="43" spans="1:7" x14ac:dyDescent="0.25">
      <c r="A43" s="8">
        <v>42676.261296296296</v>
      </c>
      <c r="B43" s="21" t="s">
        <v>414</v>
      </c>
      <c r="C43" s="21" t="s">
        <v>466</v>
      </c>
      <c r="D43" s="21">
        <v>2600000</v>
      </c>
      <c r="E43" s="21" t="s">
        <v>463</v>
      </c>
      <c r="F43" s="21" t="str">
        <f t="shared" si="0"/>
        <v>rtdc.l.rtdc.4025:itc</v>
      </c>
      <c r="G43" s="8">
        <f t="shared" si="1"/>
        <v>42676.261296296296</v>
      </c>
    </row>
    <row r="44" spans="1:7" x14ac:dyDescent="0.25">
      <c r="A44" s="8">
        <v>42676.265335648146</v>
      </c>
      <c r="B44" s="21" t="s">
        <v>287</v>
      </c>
      <c r="C44" s="21" t="s">
        <v>467</v>
      </c>
      <c r="D44" s="21">
        <v>2550000</v>
      </c>
      <c r="E44" s="21" t="s">
        <v>301</v>
      </c>
      <c r="F44" s="21" t="str">
        <f t="shared" si="0"/>
        <v>rtdc.l.rtdc.4003:itc</v>
      </c>
      <c r="G44" s="8">
        <f t="shared" si="1"/>
        <v>42676.265335648146</v>
      </c>
    </row>
    <row r="45" spans="1:7" x14ac:dyDescent="0.25">
      <c r="A45" s="8">
        <v>42676.267141203702</v>
      </c>
      <c r="B45" s="21" t="s">
        <v>242</v>
      </c>
      <c r="C45" s="21" t="s">
        <v>468</v>
      </c>
      <c r="D45" s="21">
        <v>2530000</v>
      </c>
      <c r="E45" s="21" t="s">
        <v>300</v>
      </c>
      <c r="F45" s="21" t="str">
        <f t="shared" si="0"/>
        <v>rtdc.l.rtdc.4001:itc</v>
      </c>
      <c r="G45" s="8">
        <f t="shared" si="1"/>
        <v>42676.267141203702</v>
      </c>
    </row>
    <row r="46" spans="1:7" x14ac:dyDescent="0.25">
      <c r="A46" s="8">
        <v>42676.276423611111</v>
      </c>
      <c r="B46" s="21" t="s">
        <v>461</v>
      </c>
      <c r="C46" s="21" t="s">
        <v>469</v>
      </c>
      <c r="D46" s="21">
        <v>2600000</v>
      </c>
      <c r="E46" s="21" t="s">
        <v>463</v>
      </c>
      <c r="F46" s="21" t="str">
        <f t="shared" si="0"/>
        <v>rtdc.l.rtdc.4026:itc</v>
      </c>
      <c r="G46" s="8">
        <f t="shared" si="1"/>
        <v>42676.276423611111</v>
      </c>
    </row>
    <row r="47" spans="1:7" x14ac:dyDescent="0.25">
      <c r="A47" s="8">
        <v>42676.278067129628</v>
      </c>
      <c r="B47" s="21" t="s">
        <v>190</v>
      </c>
      <c r="C47" s="21" t="s">
        <v>470</v>
      </c>
      <c r="D47" s="21">
        <v>900000</v>
      </c>
      <c r="E47" s="21" t="s">
        <v>449</v>
      </c>
      <c r="F47" s="21" t="str">
        <f t="shared" si="0"/>
        <v>rtdc.l.rtdc.4009:itc</v>
      </c>
      <c r="G47" s="8">
        <f t="shared" si="1"/>
        <v>42676.278067129628</v>
      </c>
    </row>
    <row r="48" spans="1:7" x14ac:dyDescent="0.25">
      <c r="A48" s="8">
        <v>42676.278148148151</v>
      </c>
      <c r="B48" s="21" t="s">
        <v>234</v>
      </c>
      <c r="C48" s="21" t="s">
        <v>405</v>
      </c>
      <c r="D48" s="21">
        <v>1360000</v>
      </c>
      <c r="E48" s="21" t="s">
        <v>441</v>
      </c>
      <c r="F48" s="21" t="str">
        <f t="shared" si="0"/>
        <v>rtdc.l.rtdc.4037:itc</v>
      </c>
      <c r="G48" s="8">
        <f t="shared" si="1"/>
        <v>42676.278148148151</v>
      </c>
    </row>
    <row r="49" spans="1:7" x14ac:dyDescent="0.25">
      <c r="A49" s="8">
        <v>42676.281840277778</v>
      </c>
      <c r="B49" s="21" t="s">
        <v>399</v>
      </c>
      <c r="C49" s="21" t="s">
        <v>471</v>
      </c>
      <c r="D49" s="21">
        <v>1110000</v>
      </c>
      <c r="E49" s="21" t="s">
        <v>285</v>
      </c>
      <c r="F49" s="21" t="str">
        <f t="shared" si="0"/>
        <v>rtdc.l.rtdc.4031:itc</v>
      </c>
      <c r="G49" s="8">
        <f t="shared" si="1"/>
        <v>42676.281840277778</v>
      </c>
    </row>
    <row r="50" spans="1:7" x14ac:dyDescent="0.25">
      <c r="A50" s="8">
        <v>42676.286666666667</v>
      </c>
      <c r="B50" s="21" t="s">
        <v>450</v>
      </c>
      <c r="C50" s="21" t="s">
        <v>472</v>
      </c>
      <c r="D50" s="21">
        <v>2010000</v>
      </c>
      <c r="E50" s="21" t="s">
        <v>435</v>
      </c>
      <c r="F50" s="21" t="str">
        <f t="shared" si="0"/>
        <v>rtdc.l.rtdc.4053:itc</v>
      </c>
      <c r="G50" s="8">
        <f t="shared" si="1"/>
        <v>42676.286666666667</v>
      </c>
    </row>
    <row r="51" spans="1:7" x14ac:dyDescent="0.25">
      <c r="A51" s="8">
        <v>42676.293564814812</v>
      </c>
      <c r="B51" s="21" t="s">
        <v>325</v>
      </c>
      <c r="C51" s="21" t="s">
        <v>404</v>
      </c>
      <c r="D51" s="21">
        <v>2380000</v>
      </c>
      <c r="E51" s="21" t="s">
        <v>330</v>
      </c>
      <c r="F51" s="21" t="str">
        <f t="shared" si="0"/>
        <v>rtdc.l.rtdc.4008:itc</v>
      </c>
      <c r="G51" s="8">
        <f t="shared" si="1"/>
        <v>42676.293564814812</v>
      </c>
    </row>
    <row r="52" spans="1:7" x14ac:dyDescent="0.25">
      <c r="A52" s="8">
        <v>42676.296342592592</v>
      </c>
      <c r="B52" s="21" t="s">
        <v>297</v>
      </c>
      <c r="C52" s="21" t="s">
        <v>473</v>
      </c>
      <c r="D52" s="21">
        <v>1110000</v>
      </c>
      <c r="E52" s="21" t="s">
        <v>285</v>
      </c>
      <c r="F52" s="21" t="str">
        <f t="shared" si="0"/>
        <v>rtdc.l.rtdc.4032:itc</v>
      </c>
      <c r="G52" s="8">
        <f t="shared" si="1"/>
        <v>42676.296342592592</v>
      </c>
    </row>
    <row r="53" spans="1:7" x14ac:dyDescent="0.25">
      <c r="A53" s="8">
        <v>42676.297037037039</v>
      </c>
      <c r="B53" s="21" t="s">
        <v>418</v>
      </c>
      <c r="C53" s="21" t="s">
        <v>474</v>
      </c>
      <c r="D53" s="21">
        <v>2620000</v>
      </c>
      <c r="E53" s="21" t="s">
        <v>454</v>
      </c>
      <c r="F53" s="21" t="str">
        <f t="shared" si="0"/>
        <v>rtdc.l.rtdc.4018:itc</v>
      </c>
      <c r="G53" s="8">
        <f t="shared" si="1"/>
        <v>42676.297037037039</v>
      </c>
    </row>
    <row r="54" spans="1:7" x14ac:dyDescent="0.25">
      <c r="A54" s="8">
        <v>42676.302511574075</v>
      </c>
      <c r="B54" s="21" t="s">
        <v>302</v>
      </c>
      <c r="C54" s="21" t="s">
        <v>475</v>
      </c>
      <c r="D54" s="21">
        <v>2550000</v>
      </c>
      <c r="E54" s="21" t="s">
        <v>301</v>
      </c>
      <c r="F54" s="21" t="str">
        <f t="shared" si="0"/>
        <v>rtdc.l.rtdc.4004:itc</v>
      </c>
      <c r="G54" s="8">
        <f t="shared" si="1"/>
        <v>42676.302511574075</v>
      </c>
    </row>
    <row r="55" spans="1:7" x14ac:dyDescent="0.25">
      <c r="A55" s="8">
        <v>42676.304988425924</v>
      </c>
      <c r="B55" s="21" t="s">
        <v>414</v>
      </c>
      <c r="C55" s="21" t="s">
        <v>476</v>
      </c>
      <c r="D55" s="21">
        <v>2600000</v>
      </c>
      <c r="E55" s="21" t="s">
        <v>463</v>
      </c>
      <c r="F55" s="21" t="str">
        <f t="shared" si="0"/>
        <v>rtdc.l.rtdc.4025:itc</v>
      </c>
      <c r="G55" s="8">
        <f t="shared" si="1"/>
        <v>42676.304988425924</v>
      </c>
    </row>
    <row r="56" spans="1:7" x14ac:dyDescent="0.25">
      <c r="A56" s="8">
        <v>42676.307372685187</v>
      </c>
      <c r="B56" s="21" t="s">
        <v>241</v>
      </c>
      <c r="C56" s="21" t="s">
        <v>477</v>
      </c>
      <c r="D56" s="21">
        <v>2530000</v>
      </c>
      <c r="E56" s="21" t="s">
        <v>300</v>
      </c>
      <c r="F56" s="21" t="str">
        <f t="shared" si="0"/>
        <v>rtdc.l.rtdc.4002:itc</v>
      </c>
      <c r="G56" s="8">
        <f t="shared" si="1"/>
        <v>42676.307372685187</v>
      </c>
    </row>
    <row r="57" spans="1:7" x14ac:dyDescent="0.25">
      <c r="A57" s="8">
        <v>42676.317835648151</v>
      </c>
      <c r="B57" s="21" t="s">
        <v>461</v>
      </c>
      <c r="C57" s="21" t="s">
        <v>478</v>
      </c>
      <c r="D57" s="21">
        <v>2600000</v>
      </c>
      <c r="E57" s="21" t="s">
        <v>463</v>
      </c>
      <c r="F57" s="21" t="str">
        <f t="shared" si="0"/>
        <v>rtdc.l.rtdc.4026:itc</v>
      </c>
      <c r="G57" s="8">
        <f t="shared" si="1"/>
        <v>42676.317835648151</v>
      </c>
    </row>
    <row r="58" spans="1:7" x14ac:dyDescent="0.25">
      <c r="A58" s="8">
        <v>42676.319513888891</v>
      </c>
      <c r="B58" s="21" t="s">
        <v>251</v>
      </c>
      <c r="C58" s="21" t="s">
        <v>479</v>
      </c>
      <c r="D58" s="21">
        <v>1360000</v>
      </c>
      <c r="E58" s="21" t="s">
        <v>441</v>
      </c>
      <c r="F58" s="21" t="str">
        <f t="shared" si="0"/>
        <v>rtdc.l.rtdc.4038:itc</v>
      </c>
      <c r="G58" s="8">
        <f t="shared" si="1"/>
        <v>42676.319513888891</v>
      </c>
    </row>
    <row r="59" spans="1:7" x14ac:dyDescent="0.25">
      <c r="A59" s="8">
        <v>42676.320173611108</v>
      </c>
      <c r="B59" s="21" t="s">
        <v>189</v>
      </c>
      <c r="C59" s="21" t="s">
        <v>480</v>
      </c>
      <c r="D59" s="21">
        <v>900000</v>
      </c>
      <c r="E59" s="21" t="s">
        <v>449</v>
      </c>
      <c r="F59" s="21" t="str">
        <f t="shared" si="0"/>
        <v>rtdc.l.rtdc.4010:itc</v>
      </c>
      <c r="G59" s="8">
        <f t="shared" si="1"/>
        <v>42676.320173611108</v>
      </c>
    </row>
    <row r="60" spans="1:7" x14ac:dyDescent="0.25">
      <c r="A60" s="8">
        <v>42676.323055555556</v>
      </c>
      <c r="B60" s="21" t="s">
        <v>420</v>
      </c>
      <c r="C60" s="21" t="s">
        <v>481</v>
      </c>
      <c r="D60" s="21">
        <v>2010000</v>
      </c>
      <c r="E60" s="21" t="s">
        <v>435</v>
      </c>
      <c r="F60" s="21" t="str">
        <f t="shared" si="0"/>
        <v>rtdc.l.rtdc.4054:itc</v>
      </c>
      <c r="G60" s="8">
        <f t="shared" si="1"/>
        <v>42676.323055555556</v>
      </c>
    </row>
    <row r="61" spans="1:7" x14ac:dyDescent="0.25">
      <c r="A61" s="8">
        <v>42676.325902777775</v>
      </c>
      <c r="B61" s="21" t="s">
        <v>399</v>
      </c>
      <c r="C61" s="21" t="s">
        <v>482</v>
      </c>
      <c r="D61" s="21">
        <v>1110000</v>
      </c>
      <c r="E61" s="21" t="s">
        <v>285</v>
      </c>
      <c r="F61" s="21" t="str">
        <f t="shared" si="0"/>
        <v>rtdc.l.rtdc.4031:itc</v>
      </c>
      <c r="G61" s="8">
        <f t="shared" si="1"/>
        <v>42676.325902777775</v>
      </c>
    </row>
    <row r="62" spans="1:7" x14ac:dyDescent="0.25">
      <c r="A62" s="8">
        <v>42676.330196759256</v>
      </c>
      <c r="B62" s="21" t="s">
        <v>193</v>
      </c>
      <c r="C62" s="21" t="s">
        <v>483</v>
      </c>
      <c r="D62" s="21">
        <v>2380000</v>
      </c>
      <c r="E62" s="21" t="s">
        <v>330</v>
      </c>
      <c r="F62" s="21" t="str">
        <f t="shared" si="0"/>
        <v>rtdc.l.rtdc.4007:itc</v>
      </c>
      <c r="G62" s="8">
        <f t="shared" si="1"/>
        <v>42676.330196759256</v>
      </c>
    </row>
    <row r="63" spans="1:7" x14ac:dyDescent="0.25">
      <c r="A63" s="8">
        <v>42676.334178240744</v>
      </c>
      <c r="B63" s="21" t="s">
        <v>402</v>
      </c>
      <c r="C63" s="21" t="s">
        <v>484</v>
      </c>
      <c r="D63" s="21">
        <v>2620000</v>
      </c>
      <c r="E63" s="21" t="s">
        <v>454</v>
      </c>
      <c r="F63" s="21" t="str">
        <f t="shared" si="0"/>
        <v>rtdc.l.rtdc.4017:itc</v>
      </c>
      <c r="G63" s="8">
        <f t="shared" si="1"/>
        <v>42676.334178240744</v>
      </c>
    </row>
    <row r="64" spans="1:7" x14ac:dyDescent="0.25">
      <c r="A64" s="27">
        <v>42676.339155092595</v>
      </c>
      <c r="B64" s="21" t="s">
        <v>297</v>
      </c>
      <c r="C64" s="21" t="s">
        <v>482</v>
      </c>
      <c r="D64" s="21">
        <v>1110000</v>
      </c>
      <c r="E64" s="21" t="s">
        <v>285</v>
      </c>
      <c r="F64" s="21" t="str">
        <f t="shared" si="0"/>
        <v>rtdc.l.rtdc.4032:itc</v>
      </c>
      <c r="G64" s="8">
        <f t="shared" si="1"/>
        <v>42676.339155092595</v>
      </c>
    </row>
    <row r="65" spans="1:7" x14ac:dyDescent="0.25">
      <c r="A65" s="8">
        <v>42676.339513888888</v>
      </c>
      <c r="B65" s="21" t="s">
        <v>287</v>
      </c>
      <c r="C65" s="21" t="s">
        <v>407</v>
      </c>
      <c r="D65" s="21">
        <v>2550000</v>
      </c>
      <c r="E65" s="21" t="s">
        <v>301</v>
      </c>
      <c r="F65" s="21" t="str">
        <f t="shared" si="0"/>
        <v>rtdc.l.rtdc.4003:itc</v>
      </c>
      <c r="G65" s="8">
        <f t="shared" si="1"/>
        <v>42676.339513888888</v>
      </c>
    </row>
    <row r="66" spans="1:7" x14ac:dyDescent="0.25">
      <c r="A66" s="8">
        <v>42676.340081018519</v>
      </c>
      <c r="B66" s="21" t="s">
        <v>242</v>
      </c>
      <c r="C66" s="21" t="s">
        <v>485</v>
      </c>
      <c r="D66" s="21">
        <v>2530000</v>
      </c>
      <c r="E66" s="21" t="s">
        <v>300</v>
      </c>
      <c r="F66" s="21" t="str">
        <f t="shared" ref="F66:F129" si="2">B66</f>
        <v>rtdc.l.rtdc.4001:itc</v>
      </c>
      <c r="G66" s="8">
        <f t="shared" ref="G66:G129" si="3">A66</f>
        <v>42676.340081018519</v>
      </c>
    </row>
    <row r="67" spans="1:7" x14ac:dyDescent="0.25">
      <c r="A67" s="8">
        <v>42676.340162037035</v>
      </c>
      <c r="B67" s="21" t="s">
        <v>297</v>
      </c>
      <c r="C67" s="21" t="s">
        <v>406</v>
      </c>
      <c r="D67" s="21">
        <v>1110000</v>
      </c>
      <c r="E67" s="21" t="s">
        <v>285</v>
      </c>
      <c r="F67" s="21" t="str">
        <f t="shared" si="2"/>
        <v>rtdc.l.rtdc.4032:itc</v>
      </c>
      <c r="G67" s="8">
        <f t="shared" si="3"/>
        <v>42676.340162037035</v>
      </c>
    </row>
    <row r="68" spans="1:7" x14ac:dyDescent="0.25">
      <c r="A68" s="8">
        <v>42676.346006944441</v>
      </c>
      <c r="B68" s="21" t="s">
        <v>414</v>
      </c>
      <c r="C68" s="21" t="s">
        <v>486</v>
      </c>
      <c r="D68" s="21">
        <v>2600000</v>
      </c>
      <c r="E68" s="21" t="s">
        <v>463</v>
      </c>
      <c r="F68" s="21" t="str">
        <f t="shared" si="2"/>
        <v>rtdc.l.rtdc.4025:itc</v>
      </c>
      <c r="G68" s="8">
        <f t="shared" si="3"/>
        <v>42676.346006944441</v>
      </c>
    </row>
    <row r="69" spans="1:7" x14ac:dyDescent="0.25">
      <c r="A69" s="8">
        <v>42676.347453703704</v>
      </c>
      <c r="B69" s="21" t="s">
        <v>251</v>
      </c>
      <c r="C69" s="21" t="s">
        <v>479</v>
      </c>
      <c r="D69" s="21">
        <v>1360000</v>
      </c>
      <c r="E69" s="21" t="s">
        <v>441</v>
      </c>
      <c r="F69" s="21" t="str">
        <f t="shared" si="2"/>
        <v>rtdc.l.rtdc.4038:itc</v>
      </c>
      <c r="G69" s="8">
        <f t="shared" si="3"/>
        <v>42676.347453703704</v>
      </c>
    </row>
    <row r="70" spans="1:7" x14ac:dyDescent="0.25">
      <c r="A70" s="8">
        <v>42676.353113425925</v>
      </c>
      <c r="B70" s="21" t="s">
        <v>190</v>
      </c>
      <c r="C70" s="21" t="s">
        <v>487</v>
      </c>
      <c r="D70" s="21">
        <v>900000</v>
      </c>
      <c r="E70" s="21" t="s">
        <v>449</v>
      </c>
      <c r="F70" s="21" t="str">
        <f t="shared" si="2"/>
        <v>rtdc.l.rtdc.4009:itc</v>
      </c>
      <c r="G70" s="8">
        <f t="shared" si="3"/>
        <v>42676.353113425925</v>
      </c>
    </row>
    <row r="71" spans="1:7" x14ac:dyDescent="0.25">
      <c r="A71" s="8">
        <v>42676.354479166665</v>
      </c>
      <c r="B71" s="21" t="s">
        <v>399</v>
      </c>
      <c r="C71" s="21" t="s">
        <v>406</v>
      </c>
      <c r="D71" s="21">
        <v>1110000</v>
      </c>
      <c r="E71" s="21" t="s">
        <v>285</v>
      </c>
      <c r="F71" s="21" t="str">
        <f t="shared" si="2"/>
        <v>rtdc.l.rtdc.4031:itc</v>
      </c>
      <c r="G71" s="8">
        <f t="shared" si="3"/>
        <v>42676.354479166665</v>
      </c>
    </row>
    <row r="72" spans="1:7" x14ac:dyDescent="0.25">
      <c r="A72" s="8">
        <v>42676.355937499997</v>
      </c>
      <c r="B72" s="21" t="s">
        <v>399</v>
      </c>
      <c r="C72" s="21" t="s">
        <v>406</v>
      </c>
      <c r="D72" s="21">
        <v>1110000</v>
      </c>
      <c r="E72" s="21" t="s">
        <v>285</v>
      </c>
      <c r="F72" s="21" t="str">
        <f t="shared" si="2"/>
        <v>rtdc.l.rtdc.4031:itc</v>
      </c>
      <c r="G72" s="8">
        <f t="shared" si="3"/>
        <v>42676.355937499997</v>
      </c>
    </row>
    <row r="73" spans="1:7" x14ac:dyDescent="0.25">
      <c r="A73" s="8">
        <v>42676.35659722222</v>
      </c>
      <c r="B73" s="21" t="s">
        <v>399</v>
      </c>
      <c r="C73" s="21" t="s">
        <v>488</v>
      </c>
      <c r="D73" s="21">
        <v>1110000</v>
      </c>
      <c r="E73" s="21" t="s">
        <v>285</v>
      </c>
      <c r="F73" s="21" t="str">
        <f t="shared" si="2"/>
        <v>rtdc.l.rtdc.4031:itc</v>
      </c>
      <c r="G73" s="8">
        <f t="shared" si="3"/>
        <v>42676.35659722222</v>
      </c>
    </row>
    <row r="74" spans="1:7" x14ac:dyDescent="0.25">
      <c r="A74" s="8">
        <v>42676.359594907408</v>
      </c>
      <c r="B74" s="21" t="s">
        <v>450</v>
      </c>
      <c r="C74" s="21" t="s">
        <v>489</v>
      </c>
      <c r="D74" s="21">
        <v>2010000</v>
      </c>
      <c r="E74" s="21" t="s">
        <v>435</v>
      </c>
      <c r="F74" s="21" t="str">
        <f t="shared" si="2"/>
        <v>rtdc.l.rtdc.4053:itc</v>
      </c>
      <c r="G74" s="8">
        <f t="shared" si="3"/>
        <v>42676.359594907408</v>
      </c>
    </row>
    <row r="75" spans="1:7" x14ac:dyDescent="0.25">
      <c r="A75" s="8">
        <v>42676.360509259262</v>
      </c>
      <c r="B75" s="21" t="s">
        <v>461</v>
      </c>
      <c r="C75" s="21" t="s">
        <v>490</v>
      </c>
      <c r="D75" s="21">
        <v>2600000</v>
      </c>
      <c r="E75" s="21" t="s">
        <v>463</v>
      </c>
      <c r="F75" s="21" t="str">
        <f t="shared" si="2"/>
        <v>rtdc.l.rtdc.4026:itc</v>
      </c>
      <c r="G75" s="8">
        <f t="shared" si="3"/>
        <v>42676.360509259262</v>
      </c>
    </row>
    <row r="76" spans="1:7" x14ac:dyDescent="0.25">
      <c r="A76" s="8">
        <v>42676.361828703702</v>
      </c>
      <c r="B76" s="21" t="s">
        <v>234</v>
      </c>
      <c r="C76" s="21" t="s">
        <v>491</v>
      </c>
      <c r="D76" s="21">
        <v>1360000</v>
      </c>
      <c r="E76" s="21" t="s">
        <v>441</v>
      </c>
      <c r="F76" s="21" t="str">
        <f t="shared" si="2"/>
        <v>rtdc.l.rtdc.4037:itc</v>
      </c>
      <c r="G76" s="8">
        <f t="shared" si="3"/>
        <v>42676.361828703702</v>
      </c>
    </row>
    <row r="77" spans="1:7" x14ac:dyDescent="0.25">
      <c r="A77" s="8">
        <v>42676.368680555555</v>
      </c>
      <c r="B77" s="21" t="s">
        <v>325</v>
      </c>
      <c r="C77" s="21" t="s">
        <v>408</v>
      </c>
      <c r="D77" s="21">
        <v>2380000</v>
      </c>
      <c r="E77" s="21" t="s">
        <v>330</v>
      </c>
      <c r="F77" s="21" t="str">
        <f t="shared" si="2"/>
        <v>rtdc.l.rtdc.4008:itc</v>
      </c>
      <c r="G77" s="8">
        <f t="shared" si="3"/>
        <v>42676.368680555555</v>
      </c>
    </row>
    <row r="78" spans="1:7" x14ac:dyDescent="0.25">
      <c r="A78" s="8">
        <v>42676.372418981482</v>
      </c>
      <c r="B78" s="21" t="s">
        <v>257</v>
      </c>
      <c r="C78" s="21" t="s">
        <v>492</v>
      </c>
      <c r="D78" s="21">
        <v>1240000</v>
      </c>
      <c r="E78" s="21" t="s">
        <v>493</v>
      </c>
      <c r="F78" s="21" t="str">
        <f t="shared" si="2"/>
        <v>rtdc.l.rtdc.4014:itc</v>
      </c>
      <c r="G78" s="8">
        <f t="shared" si="3"/>
        <v>42676.372418981482</v>
      </c>
    </row>
    <row r="79" spans="1:7" x14ac:dyDescent="0.25">
      <c r="A79" s="8">
        <v>42676.378668981481</v>
      </c>
      <c r="B79" s="21" t="s">
        <v>302</v>
      </c>
      <c r="C79" s="21" t="s">
        <v>494</v>
      </c>
      <c r="D79" s="21">
        <v>2550000</v>
      </c>
      <c r="E79" s="21" t="s">
        <v>301</v>
      </c>
      <c r="F79" s="21" t="str">
        <f t="shared" si="2"/>
        <v>rtdc.l.rtdc.4004:itc</v>
      </c>
      <c r="G79" s="8">
        <f t="shared" si="3"/>
        <v>42676.378668981481</v>
      </c>
    </row>
    <row r="80" spans="1:7" x14ac:dyDescent="0.25">
      <c r="A80" s="8">
        <v>42676.387488425928</v>
      </c>
      <c r="B80" s="21" t="s">
        <v>414</v>
      </c>
      <c r="C80" s="21" t="s">
        <v>495</v>
      </c>
      <c r="D80" s="21">
        <v>2600000</v>
      </c>
      <c r="E80" s="21" t="s">
        <v>463</v>
      </c>
      <c r="F80" s="21" t="str">
        <f t="shared" si="2"/>
        <v>rtdc.l.rtdc.4025:itc</v>
      </c>
      <c r="G80" s="8">
        <f t="shared" si="3"/>
        <v>42676.387488425928</v>
      </c>
    </row>
    <row r="81" spans="1:7" x14ac:dyDescent="0.25">
      <c r="A81" s="8">
        <v>42676.387719907405</v>
      </c>
      <c r="B81" s="21" t="s">
        <v>241</v>
      </c>
      <c r="C81" s="21" t="s">
        <v>496</v>
      </c>
      <c r="D81" s="21">
        <v>2530000</v>
      </c>
      <c r="E81" s="21" t="s">
        <v>300</v>
      </c>
      <c r="F81" s="21" t="str">
        <f t="shared" si="2"/>
        <v>rtdc.l.rtdc.4002:itc</v>
      </c>
      <c r="G81" s="8">
        <f t="shared" si="3"/>
        <v>42676.387719907405</v>
      </c>
    </row>
    <row r="82" spans="1:7" x14ac:dyDescent="0.25">
      <c r="A82" s="8">
        <v>42676.391909722224</v>
      </c>
      <c r="B82" s="21" t="s">
        <v>189</v>
      </c>
      <c r="C82" s="21" t="s">
        <v>497</v>
      </c>
      <c r="D82" s="21">
        <v>900000</v>
      </c>
      <c r="E82" s="21" t="s">
        <v>449</v>
      </c>
      <c r="F82" s="21" t="str">
        <f t="shared" si="2"/>
        <v>rtdc.l.rtdc.4010:itc</v>
      </c>
      <c r="G82" s="8">
        <f t="shared" si="3"/>
        <v>42676.391909722224</v>
      </c>
    </row>
    <row r="83" spans="1:7" x14ac:dyDescent="0.25">
      <c r="A83" s="8">
        <v>42676.393113425926</v>
      </c>
      <c r="B83" s="21" t="s">
        <v>251</v>
      </c>
      <c r="C83" s="21" t="s">
        <v>498</v>
      </c>
      <c r="D83" s="21">
        <v>1360000</v>
      </c>
      <c r="E83" s="21" t="s">
        <v>441</v>
      </c>
      <c r="F83" s="21" t="str">
        <f t="shared" si="2"/>
        <v>rtdc.l.rtdc.4038:itc</v>
      </c>
      <c r="G83" s="8">
        <f t="shared" si="3"/>
        <v>42676.393113425926</v>
      </c>
    </row>
    <row r="84" spans="1:7" x14ac:dyDescent="0.25">
      <c r="A84" s="8">
        <v>42676.395787037036</v>
      </c>
      <c r="B84" s="21" t="s">
        <v>420</v>
      </c>
      <c r="C84" s="21" t="s">
        <v>499</v>
      </c>
      <c r="D84" s="21">
        <v>2010000</v>
      </c>
      <c r="E84" s="21" t="s">
        <v>435</v>
      </c>
      <c r="F84" s="21" t="str">
        <f t="shared" si="2"/>
        <v>rtdc.l.rtdc.4054:itc</v>
      </c>
      <c r="G84" s="8">
        <f t="shared" si="3"/>
        <v>42676.395787037036</v>
      </c>
    </row>
    <row r="85" spans="1:7" x14ac:dyDescent="0.25">
      <c r="A85" s="8">
        <v>42676.401493055557</v>
      </c>
      <c r="B85" s="21" t="s">
        <v>461</v>
      </c>
      <c r="C85" s="21" t="s">
        <v>500</v>
      </c>
      <c r="D85" s="21">
        <v>2600000</v>
      </c>
      <c r="E85" s="21" t="s">
        <v>463</v>
      </c>
      <c r="F85" s="21" t="str">
        <f t="shared" si="2"/>
        <v>rtdc.l.rtdc.4026:itc</v>
      </c>
      <c r="G85" s="8">
        <f t="shared" si="3"/>
        <v>42676.401493055557</v>
      </c>
    </row>
    <row r="86" spans="1:7" x14ac:dyDescent="0.25">
      <c r="A86" s="8">
        <v>42676.402083333334</v>
      </c>
      <c r="B86" s="21" t="s">
        <v>256</v>
      </c>
      <c r="C86" s="21" t="s">
        <v>501</v>
      </c>
      <c r="D86" s="21">
        <v>1240000</v>
      </c>
      <c r="E86" s="21" t="s">
        <v>493</v>
      </c>
      <c r="F86" s="21" t="str">
        <f t="shared" si="2"/>
        <v>rtdc.l.rtdc.4013:itc</v>
      </c>
      <c r="G86" s="8">
        <f t="shared" si="3"/>
        <v>42676.402083333334</v>
      </c>
    </row>
    <row r="87" spans="1:7" x14ac:dyDescent="0.25">
      <c r="A87" s="8">
        <v>42676.403773148151</v>
      </c>
      <c r="B87" s="21" t="s">
        <v>193</v>
      </c>
      <c r="C87" s="21" t="s">
        <v>409</v>
      </c>
      <c r="D87" s="21">
        <v>2380000</v>
      </c>
      <c r="E87" s="21" t="s">
        <v>330</v>
      </c>
      <c r="F87" s="21" t="str">
        <f t="shared" si="2"/>
        <v>rtdc.l.rtdc.4007:itc</v>
      </c>
      <c r="G87" s="8">
        <f t="shared" si="3"/>
        <v>42676.403773148151</v>
      </c>
    </row>
    <row r="88" spans="1:7" x14ac:dyDescent="0.25">
      <c r="A88" s="8">
        <v>42676.411087962966</v>
      </c>
      <c r="B88" s="21" t="s">
        <v>287</v>
      </c>
      <c r="C88" s="21" t="s">
        <v>502</v>
      </c>
      <c r="D88" s="21">
        <v>2550000</v>
      </c>
      <c r="E88" s="21" t="s">
        <v>301</v>
      </c>
      <c r="F88" s="21" t="str">
        <f t="shared" si="2"/>
        <v>rtdc.l.rtdc.4003:itc</v>
      </c>
      <c r="G88" s="8">
        <f t="shared" si="3"/>
        <v>42676.411087962966</v>
      </c>
    </row>
    <row r="89" spans="1:7" x14ac:dyDescent="0.25">
      <c r="A89" s="8">
        <v>42676.415810185186</v>
      </c>
      <c r="B89" s="21" t="s">
        <v>242</v>
      </c>
      <c r="C89" s="21" t="s">
        <v>503</v>
      </c>
      <c r="D89" s="21">
        <v>2530000</v>
      </c>
      <c r="E89" s="21" t="s">
        <v>300</v>
      </c>
      <c r="F89" s="21" t="str">
        <f t="shared" si="2"/>
        <v>rtdc.l.rtdc.4001:itc</v>
      </c>
      <c r="G89" s="8">
        <f t="shared" si="3"/>
        <v>42676.415810185186</v>
      </c>
    </row>
    <row r="90" spans="1:7" x14ac:dyDescent="0.25">
      <c r="A90" s="8">
        <v>42676.421643518515</v>
      </c>
      <c r="B90" s="21" t="s">
        <v>237</v>
      </c>
      <c r="C90" s="21" t="s">
        <v>504</v>
      </c>
      <c r="D90" s="21">
        <v>0</v>
      </c>
      <c r="E90" s="21" t="s">
        <v>505</v>
      </c>
      <c r="F90" s="21" t="str">
        <f t="shared" si="2"/>
        <v>rtdc.l.rtdc.4011:itc</v>
      </c>
      <c r="G90" s="8">
        <f t="shared" si="3"/>
        <v>42676.421643518515</v>
      </c>
    </row>
    <row r="91" spans="1:7" x14ac:dyDescent="0.25">
      <c r="A91" s="8">
        <v>42676.422488425924</v>
      </c>
      <c r="B91" s="21" t="s">
        <v>234</v>
      </c>
      <c r="C91" s="21" t="s">
        <v>506</v>
      </c>
      <c r="D91" s="21">
        <v>1360000</v>
      </c>
      <c r="E91" s="21" t="s">
        <v>441</v>
      </c>
      <c r="F91" s="21" t="str">
        <f t="shared" si="2"/>
        <v>rtdc.l.rtdc.4037:itc</v>
      </c>
      <c r="G91" s="8">
        <f t="shared" si="3"/>
        <v>42676.422488425924</v>
      </c>
    </row>
    <row r="92" spans="1:7" x14ac:dyDescent="0.25">
      <c r="A92" s="8">
        <v>42676.426145833335</v>
      </c>
      <c r="B92" s="21" t="s">
        <v>190</v>
      </c>
      <c r="C92" s="21" t="s">
        <v>507</v>
      </c>
      <c r="D92" s="21">
        <v>900000</v>
      </c>
      <c r="E92" s="21" t="s">
        <v>449</v>
      </c>
      <c r="F92" s="21" t="str">
        <f t="shared" si="2"/>
        <v>rtdc.l.rtdc.4009:itc</v>
      </c>
      <c r="G92" s="8">
        <f t="shared" si="3"/>
        <v>42676.426145833335</v>
      </c>
    </row>
    <row r="93" spans="1:7" x14ac:dyDescent="0.25">
      <c r="A93" s="8">
        <v>42676.429016203707</v>
      </c>
      <c r="B93" s="21" t="s">
        <v>414</v>
      </c>
      <c r="C93" s="21" t="s">
        <v>508</v>
      </c>
      <c r="D93" s="21">
        <v>2600000</v>
      </c>
      <c r="E93" s="21" t="s">
        <v>463</v>
      </c>
      <c r="F93" s="21" t="str">
        <f t="shared" si="2"/>
        <v>rtdc.l.rtdc.4025:itc</v>
      </c>
      <c r="G93" s="8">
        <f t="shared" si="3"/>
        <v>42676.429016203707</v>
      </c>
    </row>
    <row r="94" spans="1:7" x14ac:dyDescent="0.25">
      <c r="A94" s="8">
        <v>42676.434120370373</v>
      </c>
      <c r="B94" s="21" t="s">
        <v>450</v>
      </c>
      <c r="C94" s="21" t="s">
        <v>509</v>
      </c>
      <c r="D94" s="21">
        <v>1110000</v>
      </c>
      <c r="E94" s="21" t="s">
        <v>285</v>
      </c>
      <c r="F94" s="21" t="str">
        <f t="shared" si="2"/>
        <v>rtdc.l.rtdc.4053:itc</v>
      </c>
      <c r="G94" s="8">
        <f t="shared" si="3"/>
        <v>42676.434120370373</v>
      </c>
    </row>
    <row r="95" spans="1:7" x14ac:dyDescent="0.25">
      <c r="A95" s="8">
        <v>42676.434918981482</v>
      </c>
      <c r="B95" s="21" t="s">
        <v>228</v>
      </c>
      <c r="C95" s="21" t="s">
        <v>510</v>
      </c>
      <c r="D95" s="21">
        <v>2420000</v>
      </c>
      <c r="E95" s="21" t="s">
        <v>303</v>
      </c>
      <c r="F95" s="21" t="str">
        <f t="shared" si="2"/>
        <v>rtdc.l.rtdc.4030:itc</v>
      </c>
      <c r="G95" s="8">
        <f t="shared" si="3"/>
        <v>42676.434918981482</v>
      </c>
    </row>
    <row r="96" spans="1:7" x14ac:dyDescent="0.25">
      <c r="A96" s="8">
        <v>42676.436412037037</v>
      </c>
      <c r="B96" s="21" t="s">
        <v>228</v>
      </c>
      <c r="C96" s="21" t="s">
        <v>510</v>
      </c>
      <c r="D96" s="21">
        <v>2420000</v>
      </c>
      <c r="E96" s="21" t="s">
        <v>303</v>
      </c>
      <c r="F96" s="21" t="str">
        <f t="shared" si="2"/>
        <v>rtdc.l.rtdc.4030:itc</v>
      </c>
      <c r="G96" s="8">
        <f t="shared" si="3"/>
        <v>42676.436412037037</v>
      </c>
    </row>
    <row r="97" spans="1:7" x14ac:dyDescent="0.25">
      <c r="A97" s="8">
        <v>42676.438206018516</v>
      </c>
      <c r="B97" s="21" t="s">
        <v>325</v>
      </c>
      <c r="C97" s="21" t="s">
        <v>511</v>
      </c>
      <c r="D97" s="21">
        <v>2380000</v>
      </c>
      <c r="E97" s="21" t="s">
        <v>330</v>
      </c>
      <c r="F97" s="21" t="str">
        <f t="shared" si="2"/>
        <v>rtdc.l.rtdc.4008:itc</v>
      </c>
      <c r="G97" s="8">
        <f t="shared" si="3"/>
        <v>42676.438206018516</v>
      </c>
    </row>
    <row r="98" spans="1:7" x14ac:dyDescent="0.25">
      <c r="A98" s="8">
        <v>42676.443090277775</v>
      </c>
      <c r="B98" s="21" t="s">
        <v>257</v>
      </c>
      <c r="C98" s="21" t="s">
        <v>512</v>
      </c>
      <c r="D98" s="21">
        <v>2620000</v>
      </c>
      <c r="E98" s="21" t="s">
        <v>454</v>
      </c>
      <c r="F98" s="21" t="str">
        <f t="shared" si="2"/>
        <v>rtdc.l.rtdc.4014:itc</v>
      </c>
      <c r="G98" s="8">
        <f t="shared" si="3"/>
        <v>42676.443090277775</v>
      </c>
    </row>
    <row r="99" spans="1:7" x14ac:dyDescent="0.25">
      <c r="A99" s="8">
        <v>42676.443124999998</v>
      </c>
      <c r="B99" s="21" t="s">
        <v>461</v>
      </c>
      <c r="C99" s="21" t="s">
        <v>513</v>
      </c>
      <c r="D99" s="21">
        <v>2600000</v>
      </c>
      <c r="E99" s="21" t="s">
        <v>463</v>
      </c>
      <c r="F99" s="21" t="str">
        <f t="shared" si="2"/>
        <v>rtdc.l.rtdc.4026:itc</v>
      </c>
      <c r="G99" s="8">
        <f t="shared" si="3"/>
        <v>42676.443124999998</v>
      </c>
    </row>
    <row r="100" spans="1:7" x14ac:dyDescent="0.25">
      <c r="A100" s="8">
        <v>42676.448171296295</v>
      </c>
      <c r="B100" s="21" t="s">
        <v>302</v>
      </c>
      <c r="C100" s="21" t="s">
        <v>514</v>
      </c>
      <c r="D100" s="21">
        <v>2550000</v>
      </c>
      <c r="E100" s="21" t="s">
        <v>301</v>
      </c>
      <c r="F100" s="21" t="str">
        <f t="shared" si="2"/>
        <v>rtdc.l.rtdc.4004:itc</v>
      </c>
      <c r="G100" s="8">
        <f t="shared" si="3"/>
        <v>42676.448171296295</v>
      </c>
    </row>
    <row r="101" spans="1:7" x14ac:dyDescent="0.25">
      <c r="A101" s="8">
        <v>42676.453553240739</v>
      </c>
      <c r="B101" s="21" t="s">
        <v>241</v>
      </c>
      <c r="C101" s="21" t="s">
        <v>515</v>
      </c>
      <c r="D101" s="21">
        <v>2630000</v>
      </c>
      <c r="E101" s="21" t="s">
        <v>516</v>
      </c>
      <c r="F101" s="21" t="str">
        <f t="shared" si="2"/>
        <v>rtdc.l.rtdc.4002:itc</v>
      </c>
      <c r="G101" s="8">
        <f t="shared" si="3"/>
        <v>42676.453553240739</v>
      </c>
    </row>
    <row r="102" spans="1:7" x14ac:dyDescent="0.25">
      <c r="A102" s="8">
        <v>42676.454236111109</v>
      </c>
      <c r="B102" s="21" t="s">
        <v>257</v>
      </c>
      <c r="C102" s="21" t="s">
        <v>512</v>
      </c>
      <c r="D102" s="21">
        <v>2620000</v>
      </c>
      <c r="E102" s="21" t="s">
        <v>454</v>
      </c>
      <c r="F102" s="21" t="str">
        <f t="shared" si="2"/>
        <v>rtdc.l.rtdc.4014:itc</v>
      </c>
      <c r="G102" s="8">
        <f t="shared" si="3"/>
        <v>42676.454236111109</v>
      </c>
    </row>
    <row r="103" spans="1:7" x14ac:dyDescent="0.25">
      <c r="A103" s="8">
        <v>42676.458391203705</v>
      </c>
      <c r="B103" s="21" t="s">
        <v>240</v>
      </c>
      <c r="C103" s="21" t="s">
        <v>410</v>
      </c>
      <c r="D103" s="21">
        <v>1540000</v>
      </c>
      <c r="E103" s="21" t="s">
        <v>304</v>
      </c>
      <c r="F103" s="21" t="str">
        <f t="shared" si="2"/>
        <v>rtdc.l.rtdc.4021:itc</v>
      </c>
      <c r="G103" s="8">
        <f t="shared" si="3"/>
        <v>42676.458391203705</v>
      </c>
    </row>
    <row r="104" spans="1:7" x14ac:dyDescent="0.25">
      <c r="A104" s="8">
        <v>42676.464189814818</v>
      </c>
      <c r="B104" s="21" t="s">
        <v>251</v>
      </c>
      <c r="C104" s="21" t="s">
        <v>517</v>
      </c>
      <c r="D104" s="21">
        <v>2420000</v>
      </c>
      <c r="E104" s="21" t="s">
        <v>303</v>
      </c>
      <c r="F104" s="21" t="str">
        <f t="shared" si="2"/>
        <v>rtdc.l.rtdc.4038:itc</v>
      </c>
      <c r="G104" s="8">
        <f t="shared" si="3"/>
        <v>42676.464189814818</v>
      </c>
    </row>
    <row r="105" spans="1:7" x14ac:dyDescent="0.25">
      <c r="A105" s="8">
        <v>42676.46471064815</v>
      </c>
      <c r="B105" s="21" t="s">
        <v>189</v>
      </c>
      <c r="C105" s="21" t="s">
        <v>518</v>
      </c>
      <c r="D105" s="21">
        <v>900000</v>
      </c>
      <c r="E105" s="21" t="s">
        <v>449</v>
      </c>
      <c r="F105" s="21" t="str">
        <f t="shared" si="2"/>
        <v>rtdc.l.rtdc.4010:itc</v>
      </c>
      <c r="G105" s="8">
        <f t="shared" si="3"/>
        <v>42676.46471064815</v>
      </c>
    </row>
    <row r="106" spans="1:7" x14ac:dyDescent="0.25">
      <c r="A106" s="8">
        <v>42676.466423611113</v>
      </c>
      <c r="B106" s="21" t="s">
        <v>227</v>
      </c>
      <c r="C106" s="21" t="s">
        <v>519</v>
      </c>
      <c r="D106" s="21">
        <v>1340000</v>
      </c>
      <c r="E106" s="21" t="s">
        <v>520</v>
      </c>
      <c r="F106" s="21" t="str">
        <f t="shared" si="2"/>
        <v>rtdc.l.rtdc.4029:itc</v>
      </c>
      <c r="G106" s="8">
        <f t="shared" si="3"/>
        <v>42676.466423611113</v>
      </c>
    </row>
    <row r="107" spans="1:7" x14ac:dyDescent="0.25">
      <c r="A107" s="8">
        <v>42676.468090277776</v>
      </c>
      <c r="B107" s="21" t="s">
        <v>414</v>
      </c>
      <c r="C107" s="21" t="s">
        <v>521</v>
      </c>
      <c r="D107" s="21">
        <v>2600000</v>
      </c>
      <c r="E107" s="21" t="s">
        <v>463</v>
      </c>
      <c r="F107" s="21" t="str">
        <f t="shared" si="2"/>
        <v>rtdc.l.rtdc.4025:itc</v>
      </c>
      <c r="G107" s="8">
        <f t="shared" si="3"/>
        <v>42676.468090277776</v>
      </c>
    </row>
    <row r="108" spans="1:7" x14ac:dyDescent="0.25">
      <c r="A108" s="8">
        <v>42676.474872685183</v>
      </c>
      <c r="B108" s="21" t="s">
        <v>193</v>
      </c>
      <c r="C108" s="21" t="s">
        <v>522</v>
      </c>
      <c r="D108" s="21">
        <v>1540000</v>
      </c>
      <c r="E108" s="21" t="s">
        <v>304</v>
      </c>
      <c r="F108" s="21" t="str">
        <f t="shared" si="2"/>
        <v>rtdc.l.rtdc.4007:itc</v>
      </c>
      <c r="G108" s="8">
        <f t="shared" si="3"/>
        <v>42676.474872685183</v>
      </c>
    </row>
    <row r="109" spans="1:7" x14ac:dyDescent="0.25">
      <c r="A109" s="8">
        <v>42676.475439814814</v>
      </c>
      <c r="B109" s="21" t="s">
        <v>420</v>
      </c>
      <c r="C109" s="21" t="s">
        <v>523</v>
      </c>
      <c r="D109" s="21">
        <v>890000</v>
      </c>
      <c r="E109" s="21" t="s">
        <v>524</v>
      </c>
      <c r="F109" s="21" t="str">
        <f t="shared" si="2"/>
        <v>rtdc.l.rtdc.4054:itc</v>
      </c>
      <c r="G109" s="8">
        <f t="shared" si="3"/>
        <v>42676.475439814814</v>
      </c>
    </row>
    <row r="110" spans="1:7" x14ac:dyDescent="0.25">
      <c r="A110" s="8">
        <v>42676.481770833336</v>
      </c>
      <c r="B110" s="21" t="s">
        <v>256</v>
      </c>
      <c r="C110" s="21" t="s">
        <v>411</v>
      </c>
      <c r="D110" s="21">
        <v>2620000</v>
      </c>
      <c r="E110" s="21" t="s">
        <v>454</v>
      </c>
      <c r="F110" s="21" t="str">
        <f t="shared" si="2"/>
        <v>rtdc.l.rtdc.4013:itc</v>
      </c>
      <c r="G110" s="8">
        <f t="shared" si="3"/>
        <v>42676.481770833336</v>
      </c>
    </row>
    <row r="111" spans="1:7" x14ac:dyDescent="0.25">
      <c r="A111" s="8">
        <v>42676.484548611108</v>
      </c>
      <c r="B111" s="21" t="s">
        <v>461</v>
      </c>
      <c r="C111" s="21" t="s">
        <v>525</v>
      </c>
      <c r="D111" s="21">
        <v>2600000</v>
      </c>
      <c r="E111" s="21" t="s">
        <v>463</v>
      </c>
      <c r="F111" s="21" t="str">
        <f t="shared" si="2"/>
        <v>rtdc.l.rtdc.4026:itc</v>
      </c>
      <c r="G111" s="8">
        <f t="shared" si="3"/>
        <v>42676.484548611108</v>
      </c>
    </row>
    <row r="112" spans="1:7" x14ac:dyDescent="0.25">
      <c r="A112" s="8">
        <v>42676.489583333336</v>
      </c>
      <c r="B112" s="21" t="s">
        <v>287</v>
      </c>
      <c r="C112" s="21" t="s">
        <v>526</v>
      </c>
      <c r="D112" s="21">
        <v>1820000</v>
      </c>
      <c r="E112" s="21" t="s">
        <v>527</v>
      </c>
      <c r="F112" s="21" t="str">
        <f t="shared" si="2"/>
        <v>rtdc.l.rtdc.4003:itc</v>
      </c>
      <c r="G112" s="8">
        <f t="shared" si="3"/>
        <v>42676.489583333336</v>
      </c>
    </row>
    <row r="113" spans="1:7" x14ac:dyDescent="0.25">
      <c r="A113" s="8">
        <v>42676.491261574076</v>
      </c>
      <c r="B113" s="21" t="s">
        <v>258</v>
      </c>
      <c r="C113" s="21" t="s">
        <v>528</v>
      </c>
      <c r="D113" s="21">
        <v>2380000</v>
      </c>
      <c r="E113" s="21" t="s">
        <v>330</v>
      </c>
      <c r="F113" s="21" t="str">
        <f t="shared" si="2"/>
        <v>rtdc.l.rtdc.4022:itc</v>
      </c>
      <c r="G113" s="8">
        <f t="shared" si="3"/>
        <v>42676.491261574076</v>
      </c>
    </row>
    <row r="114" spans="1:7" x14ac:dyDescent="0.25">
      <c r="A114" s="8">
        <v>42676.491388888891</v>
      </c>
      <c r="B114" s="21" t="s">
        <v>242</v>
      </c>
      <c r="C114" s="21" t="s">
        <v>529</v>
      </c>
      <c r="D114" s="21">
        <v>2630000</v>
      </c>
      <c r="E114" s="21" t="s">
        <v>516</v>
      </c>
      <c r="F114" s="21" t="str">
        <f t="shared" si="2"/>
        <v>rtdc.l.rtdc.4001:itc</v>
      </c>
      <c r="G114" s="8">
        <f t="shared" si="3"/>
        <v>42676.491388888891</v>
      </c>
    </row>
    <row r="115" spans="1:7" x14ac:dyDescent="0.25">
      <c r="A115" s="8">
        <v>42676.498761574076</v>
      </c>
      <c r="B115" s="21" t="s">
        <v>190</v>
      </c>
      <c r="C115" s="21" t="s">
        <v>530</v>
      </c>
      <c r="D115" s="21">
        <v>2480000</v>
      </c>
      <c r="E115" s="21" t="s">
        <v>307</v>
      </c>
      <c r="F115" s="21" t="str">
        <f t="shared" si="2"/>
        <v>rtdc.l.rtdc.4009:itc</v>
      </c>
      <c r="G115" s="8">
        <f t="shared" si="3"/>
        <v>42676.498761574076</v>
      </c>
    </row>
    <row r="116" spans="1:7" x14ac:dyDescent="0.25">
      <c r="A116" s="8">
        <v>42676.501319444447</v>
      </c>
      <c r="B116" s="21" t="s">
        <v>234</v>
      </c>
      <c r="C116" s="21" t="s">
        <v>531</v>
      </c>
      <c r="D116" s="21">
        <v>2420000</v>
      </c>
      <c r="E116" s="21" t="s">
        <v>303</v>
      </c>
      <c r="F116" s="21" t="str">
        <f t="shared" si="2"/>
        <v>rtdc.l.rtdc.4037:itc</v>
      </c>
      <c r="G116" s="8">
        <f t="shared" si="3"/>
        <v>42676.501319444447</v>
      </c>
    </row>
    <row r="117" spans="1:7" x14ac:dyDescent="0.25">
      <c r="A117" s="8">
        <v>42676.508125</v>
      </c>
      <c r="B117" s="21" t="s">
        <v>450</v>
      </c>
      <c r="C117" s="21" t="s">
        <v>532</v>
      </c>
      <c r="D117" s="21">
        <v>2470000</v>
      </c>
      <c r="E117" s="21" t="s">
        <v>306</v>
      </c>
      <c r="F117" s="21" t="str">
        <f t="shared" si="2"/>
        <v>rtdc.l.rtdc.4053:itc</v>
      </c>
      <c r="G117" s="8">
        <f t="shared" si="3"/>
        <v>42676.508125</v>
      </c>
    </row>
    <row r="118" spans="1:7" x14ac:dyDescent="0.25">
      <c r="A118" s="8">
        <v>42676.51253472222</v>
      </c>
      <c r="B118" s="21" t="s">
        <v>414</v>
      </c>
      <c r="C118" s="21" t="s">
        <v>533</v>
      </c>
      <c r="D118" s="21">
        <v>2600000</v>
      </c>
      <c r="E118" s="21" t="s">
        <v>463</v>
      </c>
      <c r="F118" s="21" t="str">
        <f t="shared" si="2"/>
        <v>rtdc.l.rtdc.4025:itc</v>
      </c>
      <c r="G118" s="8">
        <f t="shared" si="3"/>
        <v>42676.51253472222</v>
      </c>
    </row>
    <row r="119" spans="1:7" x14ac:dyDescent="0.25">
      <c r="A119" s="8">
        <v>42676.5155787037</v>
      </c>
      <c r="B119" s="21" t="s">
        <v>325</v>
      </c>
      <c r="C119" s="21" t="s">
        <v>534</v>
      </c>
      <c r="D119" s="21">
        <v>1540000</v>
      </c>
      <c r="E119" s="21" t="s">
        <v>304</v>
      </c>
      <c r="F119" s="21" t="str">
        <f t="shared" si="2"/>
        <v>rtdc.l.rtdc.4008:itc</v>
      </c>
      <c r="G119" s="8">
        <f t="shared" si="3"/>
        <v>42676.5155787037</v>
      </c>
    </row>
    <row r="120" spans="1:7" x14ac:dyDescent="0.25">
      <c r="A120" s="8">
        <v>42676.518518518518</v>
      </c>
      <c r="B120" s="21" t="s">
        <v>257</v>
      </c>
      <c r="C120" s="21" t="s">
        <v>412</v>
      </c>
      <c r="D120" s="21">
        <v>2560000</v>
      </c>
      <c r="E120" s="21" t="s">
        <v>299</v>
      </c>
      <c r="F120" s="21" t="str">
        <f t="shared" si="2"/>
        <v>rtdc.l.rtdc.4014:itc</v>
      </c>
      <c r="G120" s="8">
        <f t="shared" si="3"/>
        <v>42676.518518518518</v>
      </c>
    </row>
    <row r="121" spans="1:7" x14ac:dyDescent="0.25">
      <c r="A121" s="8">
        <v>42676.525173611109</v>
      </c>
      <c r="B121" s="21" t="s">
        <v>241</v>
      </c>
      <c r="C121" s="21" t="s">
        <v>535</v>
      </c>
      <c r="D121" s="21">
        <v>2630000</v>
      </c>
      <c r="E121" s="21" t="s">
        <v>516</v>
      </c>
      <c r="F121" s="21" t="str">
        <f t="shared" si="2"/>
        <v>rtdc.l.rtdc.4002:itc</v>
      </c>
      <c r="G121" s="8">
        <f t="shared" si="3"/>
        <v>42676.525173611109</v>
      </c>
    </row>
    <row r="122" spans="1:7" x14ac:dyDescent="0.25">
      <c r="A122" s="8">
        <v>42676.526678240742</v>
      </c>
      <c r="B122" s="26" t="s">
        <v>461</v>
      </c>
      <c r="C122" s="21" t="s">
        <v>536</v>
      </c>
      <c r="D122" s="21">
        <v>2600000</v>
      </c>
      <c r="E122" s="21" t="s">
        <v>463</v>
      </c>
      <c r="F122" s="21" t="str">
        <f t="shared" si="2"/>
        <v>rtdc.l.rtdc.4026:itc</v>
      </c>
      <c r="G122" s="8">
        <f t="shared" si="3"/>
        <v>42676.526678240742</v>
      </c>
    </row>
    <row r="123" spans="1:7" x14ac:dyDescent="0.25">
      <c r="A123" s="8">
        <v>42676.527372685188</v>
      </c>
      <c r="B123" s="21" t="s">
        <v>302</v>
      </c>
      <c r="C123" s="21" t="s">
        <v>413</v>
      </c>
      <c r="D123" s="21">
        <v>1820000</v>
      </c>
      <c r="E123" s="21" t="s">
        <v>527</v>
      </c>
      <c r="F123" s="21" t="str">
        <f t="shared" si="2"/>
        <v>rtdc.l.rtdc.4004:itc</v>
      </c>
      <c r="G123" s="8">
        <f t="shared" si="3"/>
        <v>42676.527372685188</v>
      </c>
    </row>
    <row r="124" spans="1:7" x14ac:dyDescent="0.25">
      <c r="A124" s="8">
        <v>42676.534467592595</v>
      </c>
      <c r="B124" s="21" t="s">
        <v>189</v>
      </c>
      <c r="C124" s="21" t="s">
        <v>537</v>
      </c>
      <c r="D124" s="21">
        <v>2480000</v>
      </c>
      <c r="E124" s="21" t="s">
        <v>307</v>
      </c>
      <c r="F124" s="21" t="str">
        <f t="shared" si="2"/>
        <v>rtdc.l.rtdc.4010:itc</v>
      </c>
      <c r="G124" s="8">
        <f t="shared" si="3"/>
        <v>42676.534467592595</v>
      </c>
    </row>
    <row r="125" spans="1:7" x14ac:dyDescent="0.25">
      <c r="A125" s="8">
        <v>42676.535081018519</v>
      </c>
      <c r="B125" s="21" t="s">
        <v>251</v>
      </c>
      <c r="C125" s="21" t="s">
        <v>538</v>
      </c>
      <c r="D125" s="21">
        <v>2420000</v>
      </c>
      <c r="E125" s="21" t="s">
        <v>303</v>
      </c>
      <c r="F125" s="21" t="str">
        <f t="shared" si="2"/>
        <v>rtdc.l.rtdc.4038:itc</v>
      </c>
      <c r="G125" s="8">
        <f t="shared" si="3"/>
        <v>42676.535081018519</v>
      </c>
    </row>
    <row r="126" spans="1:7" x14ac:dyDescent="0.25">
      <c r="A126" s="8">
        <v>42676.538541666669</v>
      </c>
      <c r="B126" s="21" t="s">
        <v>420</v>
      </c>
      <c r="C126" s="21" t="s">
        <v>539</v>
      </c>
      <c r="D126" s="21">
        <v>2470000</v>
      </c>
      <c r="E126" s="21" t="s">
        <v>306</v>
      </c>
      <c r="F126" s="21" t="str">
        <f t="shared" si="2"/>
        <v>rtdc.l.rtdc.4054:itc</v>
      </c>
      <c r="G126" s="8">
        <f t="shared" si="3"/>
        <v>42676.538541666669</v>
      </c>
    </row>
    <row r="127" spans="1:7" x14ac:dyDescent="0.25">
      <c r="A127" s="8">
        <v>42676.55023148148</v>
      </c>
      <c r="B127" s="21" t="s">
        <v>193</v>
      </c>
      <c r="C127" s="21" t="s">
        <v>540</v>
      </c>
      <c r="D127" s="21">
        <v>1540000</v>
      </c>
      <c r="E127" s="21" t="s">
        <v>304</v>
      </c>
      <c r="F127" s="21" t="str">
        <f t="shared" si="2"/>
        <v>rtdc.l.rtdc.4007:itc</v>
      </c>
      <c r="G127" s="8">
        <f t="shared" si="3"/>
        <v>42676.55023148148</v>
      </c>
    </row>
    <row r="128" spans="1:7" x14ac:dyDescent="0.25">
      <c r="A128" s="8">
        <v>42676.55190972222</v>
      </c>
      <c r="B128" s="21" t="s">
        <v>414</v>
      </c>
      <c r="C128" s="21" t="s">
        <v>415</v>
      </c>
      <c r="D128" s="21">
        <v>2440000</v>
      </c>
      <c r="E128" s="21" t="s">
        <v>331</v>
      </c>
      <c r="F128" s="21" t="str">
        <f t="shared" si="2"/>
        <v>rtdc.l.rtdc.4025:itc</v>
      </c>
      <c r="G128" s="8">
        <f t="shared" si="3"/>
        <v>42676.55190972222</v>
      </c>
    </row>
    <row r="129" spans="1:7" x14ac:dyDescent="0.25">
      <c r="A129" s="8">
        <v>42676.55841435185</v>
      </c>
      <c r="B129" s="21" t="s">
        <v>256</v>
      </c>
      <c r="C129" s="21" t="s">
        <v>541</v>
      </c>
      <c r="D129" s="21">
        <v>2560000</v>
      </c>
      <c r="E129" s="21" t="s">
        <v>299</v>
      </c>
      <c r="F129" s="21" t="str">
        <f t="shared" si="2"/>
        <v>rtdc.l.rtdc.4013:itc</v>
      </c>
      <c r="G129" s="8">
        <f t="shared" si="3"/>
        <v>42676.55841435185</v>
      </c>
    </row>
    <row r="130" spans="1:7" x14ac:dyDescent="0.25">
      <c r="A130" s="8">
        <v>42676.560833333337</v>
      </c>
      <c r="B130" s="21" t="s">
        <v>287</v>
      </c>
      <c r="C130" s="21" t="s">
        <v>416</v>
      </c>
      <c r="D130" s="21">
        <v>1820000</v>
      </c>
      <c r="E130" s="21" t="s">
        <v>527</v>
      </c>
      <c r="F130" s="21" t="str">
        <f t="shared" ref="F130:F193" si="4">B130</f>
        <v>rtdc.l.rtdc.4003:itc</v>
      </c>
      <c r="G130" s="8">
        <f t="shared" ref="G130:G193" si="5">A130</f>
        <v>42676.560833333337</v>
      </c>
    </row>
    <row r="131" spans="1:7" x14ac:dyDescent="0.25">
      <c r="A131" s="8">
        <v>42676.562951388885</v>
      </c>
      <c r="B131" s="21" t="s">
        <v>242</v>
      </c>
      <c r="C131" s="21" t="s">
        <v>542</v>
      </c>
      <c r="D131" s="21">
        <v>2630000</v>
      </c>
      <c r="E131" s="21" t="s">
        <v>516</v>
      </c>
      <c r="F131" s="21" t="str">
        <f t="shared" si="4"/>
        <v>rtdc.l.rtdc.4001:itc</v>
      </c>
      <c r="G131" s="8">
        <f t="shared" si="5"/>
        <v>42676.562951388885</v>
      </c>
    </row>
    <row r="132" spans="1:7" x14ac:dyDescent="0.25">
      <c r="A132" s="8">
        <v>42676.568831018521</v>
      </c>
      <c r="B132" s="21" t="s">
        <v>461</v>
      </c>
      <c r="C132" s="21" t="s">
        <v>543</v>
      </c>
      <c r="D132" s="21">
        <v>2440000</v>
      </c>
      <c r="E132" s="21" t="s">
        <v>331</v>
      </c>
      <c r="F132" s="21" t="str">
        <f t="shared" si="4"/>
        <v>rtdc.l.rtdc.4026:itc</v>
      </c>
      <c r="G132" s="8">
        <f t="shared" si="5"/>
        <v>42676.568831018521</v>
      </c>
    </row>
    <row r="133" spans="1:7" x14ac:dyDescent="0.25">
      <c r="A133" s="8">
        <v>42676.571493055555</v>
      </c>
      <c r="B133" s="21" t="s">
        <v>190</v>
      </c>
      <c r="C133" s="21" t="s">
        <v>544</v>
      </c>
      <c r="D133" s="21">
        <v>2480000</v>
      </c>
      <c r="E133" s="21" t="s">
        <v>307</v>
      </c>
      <c r="F133" s="21" t="str">
        <f t="shared" si="4"/>
        <v>rtdc.l.rtdc.4009:itc</v>
      </c>
      <c r="G133" s="8">
        <f t="shared" si="5"/>
        <v>42676.571493055555</v>
      </c>
    </row>
    <row r="134" spans="1:7" x14ac:dyDescent="0.25">
      <c r="A134" s="8">
        <v>42676.576724537037</v>
      </c>
      <c r="B134" s="21" t="s">
        <v>234</v>
      </c>
      <c r="C134" s="21" t="s">
        <v>545</v>
      </c>
      <c r="D134" s="21">
        <v>2420000</v>
      </c>
      <c r="E134" s="21" t="s">
        <v>303</v>
      </c>
      <c r="F134" s="21" t="str">
        <f t="shared" si="4"/>
        <v>rtdc.l.rtdc.4037:itc</v>
      </c>
      <c r="G134" s="8">
        <f t="shared" si="5"/>
        <v>42676.576724537037</v>
      </c>
    </row>
    <row r="135" spans="1:7" x14ac:dyDescent="0.25">
      <c r="A135" s="8">
        <v>42676.578136574077</v>
      </c>
      <c r="B135" s="21" t="s">
        <v>450</v>
      </c>
      <c r="C135" s="21" t="s">
        <v>546</v>
      </c>
      <c r="D135" s="21">
        <v>2470000</v>
      </c>
      <c r="E135" s="21" t="s">
        <v>306</v>
      </c>
      <c r="F135" s="21" t="str">
        <f t="shared" si="4"/>
        <v>rtdc.l.rtdc.4053:itc</v>
      </c>
      <c r="G135" s="8">
        <f t="shared" si="5"/>
        <v>42676.578136574077</v>
      </c>
    </row>
    <row r="136" spans="1:7" x14ac:dyDescent="0.25">
      <c r="A136" s="8">
        <v>42676.586481481485</v>
      </c>
      <c r="B136" s="21" t="s">
        <v>325</v>
      </c>
      <c r="C136" s="21" t="s">
        <v>547</v>
      </c>
      <c r="D136" s="21">
        <v>890000</v>
      </c>
      <c r="E136" s="21" t="s">
        <v>524</v>
      </c>
      <c r="F136" s="21" t="str">
        <f t="shared" si="4"/>
        <v>rtdc.l.rtdc.4008:itc</v>
      </c>
      <c r="G136" s="8">
        <f t="shared" si="5"/>
        <v>42676.586481481485</v>
      </c>
    </row>
    <row r="137" spans="1:7" x14ac:dyDescent="0.25">
      <c r="A137" s="8">
        <v>42676.593275462961</v>
      </c>
      <c r="B137" s="21" t="s">
        <v>414</v>
      </c>
      <c r="C137" s="21" t="s">
        <v>548</v>
      </c>
      <c r="D137" s="21">
        <v>2440000</v>
      </c>
      <c r="E137" s="21" t="s">
        <v>331</v>
      </c>
      <c r="F137" s="21" t="str">
        <f t="shared" si="4"/>
        <v>rtdc.l.rtdc.4025:itc</v>
      </c>
      <c r="G137" s="8">
        <f t="shared" si="5"/>
        <v>42676.593275462961</v>
      </c>
    </row>
    <row r="138" spans="1:7" x14ac:dyDescent="0.25">
      <c r="A138" s="8">
        <v>42676.594317129631</v>
      </c>
      <c r="B138" s="21" t="s">
        <v>418</v>
      </c>
      <c r="C138" s="21" t="s">
        <v>419</v>
      </c>
      <c r="D138" s="21">
        <v>2220000</v>
      </c>
      <c r="E138" s="21" t="s">
        <v>549</v>
      </c>
      <c r="F138" s="21" t="str">
        <f t="shared" si="4"/>
        <v>rtdc.l.rtdc.4018:itc</v>
      </c>
      <c r="G138" s="8">
        <f t="shared" si="5"/>
        <v>42676.594317129631</v>
      </c>
    </row>
    <row r="139" spans="1:7" x14ac:dyDescent="0.25">
      <c r="A139" s="8">
        <v>42676.598576388889</v>
      </c>
      <c r="B139" s="21" t="s">
        <v>257</v>
      </c>
      <c r="C139" s="21" t="s">
        <v>541</v>
      </c>
      <c r="D139" s="21">
        <v>2560000</v>
      </c>
      <c r="E139" s="21" t="s">
        <v>299</v>
      </c>
      <c r="F139" s="21" t="str">
        <f t="shared" si="4"/>
        <v>rtdc.l.rtdc.4014:itc</v>
      </c>
      <c r="G139" s="8">
        <f t="shared" si="5"/>
        <v>42676.598576388889</v>
      </c>
    </row>
    <row r="140" spans="1:7" x14ac:dyDescent="0.25">
      <c r="A140" s="8">
        <v>42676.599374999998</v>
      </c>
      <c r="B140" s="21" t="s">
        <v>302</v>
      </c>
      <c r="C140" s="21" t="s">
        <v>417</v>
      </c>
      <c r="D140" s="21">
        <v>1820000</v>
      </c>
      <c r="E140" s="21" t="s">
        <v>527</v>
      </c>
      <c r="F140" s="21" t="str">
        <f t="shared" si="4"/>
        <v>rtdc.l.rtdc.4004:itc</v>
      </c>
      <c r="G140" s="8">
        <f t="shared" si="5"/>
        <v>42676.599374999998</v>
      </c>
    </row>
    <row r="141" spans="1:7" x14ac:dyDescent="0.25">
      <c r="A141" s="8">
        <v>42676.599606481483</v>
      </c>
      <c r="B141" s="21" t="s">
        <v>241</v>
      </c>
      <c r="C141" s="21" t="s">
        <v>550</v>
      </c>
      <c r="D141" s="21">
        <v>2630000</v>
      </c>
      <c r="E141" s="21" t="s">
        <v>516</v>
      </c>
      <c r="F141" s="21" t="str">
        <f t="shared" si="4"/>
        <v>rtdc.l.rtdc.4002:itc</v>
      </c>
      <c r="G141" s="8">
        <f t="shared" si="5"/>
        <v>42676.599606481483</v>
      </c>
    </row>
    <row r="142" spans="1:7" x14ac:dyDescent="0.25">
      <c r="A142" s="8">
        <v>42676.599745370368</v>
      </c>
      <c r="B142" s="21" t="s">
        <v>257</v>
      </c>
      <c r="C142" s="21" t="s">
        <v>551</v>
      </c>
      <c r="D142" s="21">
        <v>1740000</v>
      </c>
      <c r="E142" s="21" t="s">
        <v>552</v>
      </c>
      <c r="F142" s="21" t="str">
        <f t="shared" si="4"/>
        <v>rtdc.l.rtdc.4014:itc</v>
      </c>
      <c r="G142" s="8">
        <f t="shared" si="5"/>
        <v>42676.599745370368</v>
      </c>
    </row>
    <row r="143" spans="1:7" x14ac:dyDescent="0.25">
      <c r="A143" s="8">
        <v>42676.607048611113</v>
      </c>
      <c r="B143" s="21" t="s">
        <v>189</v>
      </c>
      <c r="C143" s="21" t="s">
        <v>553</v>
      </c>
      <c r="D143" s="21">
        <v>2480000</v>
      </c>
      <c r="E143" s="21" t="s">
        <v>307</v>
      </c>
      <c r="F143" s="21" t="str">
        <f t="shared" si="4"/>
        <v>rtdc.l.rtdc.4010:itc</v>
      </c>
      <c r="G143" s="8">
        <f t="shared" si="5"/>
        <v>42676.607048611113</v>
      </c>
    </row>
    <row r="144" spans="1:7" x14ac:dyDescent="0.25">
      <c r="A144" s="8">
        <v>42676.609699074077</v>
      </c>
      <c r="B144" s="21" t="s">
        <v>251</v>
      </c>
      <c r="C144" s="21" t="s">
        <v>554</v>
      </c>
      <c r="D144" s="21">
        <v>2420000</v>
      </c>
      <c r="E144" s="21" t="s">
        <v>303</v>
      </c>
      <c r="F144" s="21" t="str">
        <f t="shared" si="4"/>
        <v>rtdc.l.rtdc.4038:itc</v>
      </c>
      <c r="G144" s="8">
        <f t="shared" si="5"/>
        <v>42676.609699074077</v>
      </c>
    </row>
    <row r="145" spans="1:7" x14ac:dyDescent="0.25">
      <c r="A145" s="8">
        <v>42676.609768518516</v>
      </c>
      <c r="B145" s="21" t="s">
        <v>256</v>
      </c>
      <c r="C145" s="21" t="s">
        <v>551</v>
      </c>
      <c r="D145" s="21">
        <v>1740000</v>
      </c>
      <c r="E145" s="21" t="s">
        <v>552</v>
      </c>
      <c r="F145" s="21" t="str">
        <f t="shared" si="4"/>
        <v>rtdc.l.rtdc.4013:itc</v>
      </c>
      <c r="G145" s="8">
        <f t="shared" si="5"/>
        <v>42676.609768518516</v>
      </c>
    </row>
    <row r="146" spans="1:7" x14ac:dyDescent="0.25">
      <c r="A146" s="8">
        <v>42676.609976851854</v>
      </c>
      <c r="B146" s="21" t="s">
        <v>461</v>
      </c>
      <c r="C146" s="21" t="s">
        <v>555</v>
      </c>
      <c r="D146" s="21">
        <v>2440000</v>
      </c>
      <c r="E146" s="21" t="s">
        <v>331</v>
      </c>
      <c r="F146" s="21" t="str">
        <f t="shared" si="4"/>
        <v>rtdc.l.rtdc.4026:itc</v>
      </c>
      <c r="G146" s="8">
        <f t="shared" si="5"/>
        <v>42676.609976851854</v>
      </c>
    </row>
    <row r="147" spans="1:7" x14ac:dyDescent="0.25">
      <c r="A147" s="8">
        <v>42676.611087962963</v>
      </c>
      <c r="B147" s="21" t="s">
        <v>420</v>
      </c>
      <c r="C147" s="21" t="s">
        <v>421</v>
      </c>
      <c r="D147" s="21">
        <v>2470000</v>
      </c>
      <c r="E147" s="21" t="s">
        <v>306</v>
      </c>
      <c r="F147" s="21" t="str">
        <f t="shared" si="4"/>
        <v>rtdc.l.rtdc.4054:itc</v>
      </c>
      <c r="G147" s="8">
        <f t="shared" si="5"/>
        <v>42676.611087962963</v>
      </c>
    </row>
    <row r="148" spans="1:7" x14ac:dyDescent="0.25">
      <c r="A148" s="8">
        <v>42676.613449074073</v>
      </c>
      <c r="B148" s="21" t="s">
        <v>418</v>
      </c>
      <c r="C148" s="21" t="s">
        <v>419</v>
      </c>
      <c r="D148" s="21">
        <v>2220000</v>
      </c>
      <c r="E148" s="21" t="s">
        <v>549</v>
      </c>
      <c r="F148" s="21" t="str">
        <f t="shared" si="4"/>
        <v>rtdc.l.rtdc.4018:itc</v>
      </c>
      <c r="G148" s="8">
        <f t="shared" si="5"/>
        <v>42676.613449074073</v>
      </c>
    </row>
    <row r="149" spans="1:7" x14ac:dyDescent="0.25">
      <c r="A149" s="8">
        <v>42676.621469907404</v>
      </c>
      <c r="B149" s="21" t="s">
        <v>193</v>
      </c>
      <c r="C149" s="21" t="s">
        <v>556</v>
      </c>
      <c r="D149" s="21">
        <v>890000</v>
      </c>
      <c r="E149" s="21" t="s">
        <v>524</v>
      </c>
      <c r="F149" s="21" t="str">
        <f t="shared" si="4"/>
        <v>rtdc.l.rtdc.4007:itc</v>
      </c>
      <c r="G149" s="8">
        <f t="shared" si="5"/>
        <v>42676.621469907404</v>
      </c>
    </row>
    <row r="150" spans="1:7" x14ac:dyDescent="0.25">
      <c r="A150" s="8">
        <v>42676.622245370374</v>
      </c>
      <c r="B150" s="21" t="s">
        <v>193</v>
      </c>
      <c r="C150" s="21" t="s">
        <v>557</v>
      </c>
      <c r="D150" s="21">
        <v>890000</v>
      </c>
      <c r="E150" s="21" t="s">
        <v>524</v>
      </c>
      <c r="F150" s="21" t="str">
        <f t="shared" si="4"/>
        <v>rtdc.l.rtdc.4007:itc</v>
      </c>
      <c r="G150" s="8">
        <f t="shared" si="5"/>
        <v>42676.622245370374</v>
      </c>
    </row>
    <row r="151" spans="1:7" x14ac:dyDescent="0.25">
      <c r="A151" s="8">
        <v>42676.625</v>
      </c>
      <c r="B151" s="21" t="s">
        <v>414</v>
      </c>
      <c r="C151" s="21" t="s">
        <v>558</v>
      </c>
      <c r="D151" s="21">
        <v>2440000</v>
      </c>
      <c r="E151" s="21" t="s">
        <v>331</v>
      </c>
      <c r="F151" s="21" t="str">
        <f t="shared" si="4"/>
        <v>rtdc.l.rtdc.4025:itc</v>
      </c>
      <c r="G151" s="8">
        <f t="shared" si="5"/>
        <v>42676.625</v>
      </c>
    </row>
    <row r="152" spans="1:7" x14ac:dyDescent="0.25">
      <c r="A152" s="8">
        <v>42676.630972222221</v>
      </c>
      <c r="B152" s="21" t="s">
        <v>402</v>
      </c>
      <c r="C152" s="21" t="s">
        <v>559</v>
      </c>
      <c r="D152" s="21">
        <v>2220000</v>
      </c>
      <c r="E152" s="21" t="s">
        <v>549</v>
      </c>
      <c r="F152" s="21" t="str">
        <f t="shared" si="4"/>
        <v>rtdc.l.rtdc.4017:itc</v>
      </c>
      <c r="G152" s="8">
        <f t="shared" si="5"/>
        <v>42676.630972222221</v>
      </c>
    </row>
    <row r="153" spans="1:7" x14ac:dyDescent="0.25">
      <c r="A153" s="8">
        <v>42676.636354166665</v>
      </c>
      <c r="B153" s="21" t="s">
        <v>287</v>
      </c>
      <c r="C153" s="21" t="s">
        <v>560</v>
      </c>
      <c r="D153" s="21">
        <v>1820000</v>
      </c>
      <c r="E153" s="21" t="s">
        <v>527</v>
      </c>
      <c r="F153" s="21" t="str">
        <f t="shared" si="4"/>
        <v>rtdc.l.rtdc.4003:itc</v>
      </c>
      <c r="G153" s="8">
        <f t="shared" si="5"/>
        <v>42676.636354166665</v>
      </c>
    </row>
    <row r="154" spans="1:7" x14ac:dyDescent="0.25">
      <c r="A154" s="8">
        <v>42676.637812499997</v>
      </c>
      <c r="B154" s="21" t="s">
        <v>242</v>
      </c>
      <c r="C154" s="21" t="s">
        <v>561</v>
      </c>
      <c r="D154" s="21">
        <v>2630000</v>
      </c>
      <c r="E154" s="21" t="s">
        <v>516</v>
      </c>
      <c r="F154" s="21" t="str">
        <f t="shared" si="4"/>
        <v>rtdc.l.rtdc.4001:itc</v>
      </c>
      <c r="G154" s="8">
        <f t="shared" si="5"/>
        <v>42676.637812499997</v>
      </c>
    </row>
    <row r="155" spans="1:7" x14ac:dyDescent="0.25">
      <c r="A155" s="8">
        <v>42676.639768518522</v>
      </c>
      <c r="B155" s="21" t="s">
        <v>297</v>
      </c>
      <c r="C155" s="21" t="s">
        <v>562</v>
      </c>
      <c r="D155" s="21">
        <v>2430000</v>
      </c>
      <c r="E155" s="21" t="s">
        <v>305</v>
      </c>
      <c r="F155" s="21" t="str">
        <f t="shared" si="4"/>
        <v>rtdc.l.rtdc.4032:itc</v>
      </c>
      <c r="G155" s="8">
        <f t="shared" si="5"/>
        <v>42676.639768518522</v>
      </c>
    </row>
    <row r="156" spans="1:7" x14ac:dyDescent="0.25">
      <c r="A156" s="8">
        <v>42676.643136574072</v>
      </c>
      <c r="B156" s="21" t="s">
        <v>190</v>
      </c>
      <c r="C156" s="21" t="s">
        <v>563</v>
      </c>
      <c r="D156" s="21">
        <v>2480000</v>
      </c>
      <c r="E156" s="21" t="s">
        <v>307</v>
      </c>
      <c r="F156" s="21" t="str">
        <f t="shared" si="4"/>
        <v>rtdc.l.rtdc.4009:itc</v>
      </c>
      <c r="G156" s="8">
        <f t="shared" si="5"/>
        <v>42676.643136574072</v>
      </c>
    </row>
    <row r="157" spans="1:7" x14ac:dyDescent="0.25">
      <c r="A157" s="8">
        <v>42676.649328703701</v>
      </c>
      <c r="B157" s="21" t="s">
        <v>234</v>
      </c>
      <c r="C157" s="21" t="s">
        <v>564</v>
      </c>
      <c r="D157" s="21">
        <v>2420000</v>
      </c>
      <c r="E157" s="21" t="s">
        <v>303</v>
      </c>
      <c r="F157" s="21" t="str">
        <f t="shared" si="4"/>
        <v>rtdc.l.rtdc.4037:itc</v>
      </c>
      <c r="G157" s="8">
        <f t="shared" si="5"/>
        <v>42676.649328703701</v>
      </c>
    </row>
    <row r="158" spans="1:7" x14ac:dyDescent="0.25">
      <c r="A158" s="8">
        <v>42676.652349537035</v>
      </c>
      <c r="B158" s="21" t="s">
        <v>450</v>
      </c>
      <c r="C158" s="21" t="s">
        <v>565</v>
      </c>
      <c r="D158" s="21">
        <v>2470000</v>
      </c>
      <c r="E158" s="21" t="s">
        <v>306</v>
      </c>
      <c r="F158" s="21" t="str">
        <f t="shared" si="4"/>
        <v>rtdc.l.rtdc.4053:itc</v>
      </c>
      <c r="G158" s="8">
        <f t="shared" si="5"/>
        <v>42676.652349537035</v>
      </c>
    </row>
    <row r="159" spans="1:7" x14ac:dyDescent="0.25">
      <c r="A159" s="8">
        <v>42676.654317129629</v>
      </c>
      <c r="B159" s="21" t="s">
        <v>461</v>
      </c>
      <c r="C159" s="21" t="s">
        <v>566</v>
      </c>
      <c r="D159" s="21">
        <v>2440000</v>
      </c>
      <c r="E159" s="21" t="s">
        <v>331</v>
      </c>
      <c r="F159" s="21" t="str">
        <f t="shared" si="4"/>
        <v>rtdc.l.rtdc.4026:itc</v>
      </c>
      <c r="G159" s="8">
        <f t="shared" si="5"/>
        <v>42676.654317129629</v>
      </c>
    </row>
    <row r="160" spans="1:7" x14ac:dyDescent="0.25">
      <c r="A160" s="8">
        <v>42676.656643518516</v>
      </c>
      <c r="B160" s="21" t="s">
        <v>399</v>
      </c>
      <c r="C160" s="21" t="s">
        <v>567</v>
      </c>
      <c r="D160" s="21">
        <v>2430000</v>
      </c>
      <c r="E160" s="21" t="s">
        <v>305</v>
      </c>
      <c r="F160" s="21" t="str">
        <f t="shared" si="4"/>
        <v>rtdc.l.rtdc.4031:itc</v>
      </c>
      <c r="G160" s="8">
        <f t="shared" si="5"/>
        <v>42676.656643518516</v>
      </c>
    </row>
    <row r="161" spans="1:7" x14ac:dyDescent="0.25">
      <c r="A161" s="8">
        <v>42676.660208333335</v>
      </c>
      <c r="B161" s="21" t="s">
        <v>325</v>
      </c>
      <c r="C161" s="21" t="s">
        <v>556</v>
      </c>
      <c r="D161" s="21">
        <v>890000</v>
      </c>
      <c r="E161" s="21" t="s">
        <v>524</v>
      </c>
      <c r="F161" s="21" t="str">
        <f t="shared" si="4"/>
        <v>rtdc.l.rtdc.4008:itc</v>
      </c>
      <c r="G161" s="8">
        <f t="shared" si="5"/>
        <v>42676.660208333335</v>
      </c>
    </row>
    <row r="162" spans="1:7" x14ac:dyDescent="0.25">
      <c r="A162" s="8">
        <v>42676.66138888889</v>
      </c>
      <c r="B162" s="21" t="s">
        <v>418</v>
      </c>
      <c r="C162" s="21" t="s">
        <v>568</v>
      </c>
      <c r="D162" s="21">
        <v>2560000</v>
      </c>
      <c r="E162" s="21" t="s">
        <v>299</v>
      </c>
      <c r="F162" s="21" t="str">
        <f t="shared" si="4"/>
        <v>rtdc.l.rtdc.4018:itc</v>
      </c>
      <c r="G162" s="8">
        <f t="shared" si="5"/>
        <v>42676.66138888889</v>
      </c>
    </row>
    <row r="163" spans="1:7" x14ac:dyDescent="0.25">
      <c r="A163" s="8">
        <v>42676.671354166669</v>
      </c>
      <c r="B163" s="21" t="s">
        <v>241</v>
      </c>
      <c r="C163" s="21" t="s">
        <v>569</v>
      </c>
      <c r="D163" s="21">
        <v>2630000</v>
      </c>
      <c r="E163" s="21" t="s">
        <v>516</v>
      </c>
      <c r="F163" s="21" t="str">
        <f t="shared" si="4"/>
        <v>rtdc.l.rtdc.4002:itc</v>
      </c>
      <c r="G163" s="8">
        <f t="shared" si="5"/>
        <v>42676.671354166669</v>
      </c>
    </row>
    <row r="164" spans="1:7" x14ac:dyDescent="0.25">
      <c r="A164" s="8">
        <v>42676.673518518517</v>
      </c>
      <c r="B164" s="21" t="s">
        <v>302</v>
      </c>
      <c r="C164" s="21" t="s">
        <v>422</v>
      </c>
      <c r="D164" s="21">
        <v>1820000</v>
      </c>
      <c r="E164" s="21" t="s">
        <v>527</v>
      </c>
      <c r="F164" s="21" t="str">
        <f t="shared" si="4"/>
        <v>rtdc.l.rtdc.4004:itc</v>
      </c>
      <c r="G164" s="8">
        <f t="shared" si="5"/>
        <v>42676.673518518517</v>
      </c>
    </row>
    <row r="165" spans="1:7" x14ac:dyDescent="0.25">
      <c r="A165" s="8">
        <v>42676.674074074072</v>
      </c>
      <c r="B165" s="21" t="s">
        <v>297</v>
      </c>
      <c r="C165" s="21" t="s">
        <v>570</v>
      </c>
      <c r="D165" s="21">
        <v>2430000</v>
      </c>
      <c r="E165" s="21" t="s">
        <v>305</v>
      </c>
      <c r="F165" s="21" t="str">
        <f t="shared" si="4"/>
        <v>rtdc.l.rtdc.4032:itc</v>
      </c>
      <c r="G165" s="8">
        <f t="shared" si="5"/>
        <v>42676.674074074072</v>
      </c>
    </row>
    <row r="166" spans="1:7" x14ac:dyDescent="0.25">
      <c r="A166" s="8">
        <v>42676.678356481483</v>
      </c>
      <c r="B166" s="21" t="s">
        <v>414</v>
      </c>
      <c r="C166" s="21" t="s">
        <v>423</v>
      </c>
      <c r="D166" s="21">
        <v>2440000</v>
      </c>
      <c r="E166" s="21" t="s">
        <v>331</v>
      </c>
      <c r="F166" s="21" t="str">
        <f t="shared" si="4"/>
        <v>rtdc.l.rtdc.4025:itc</v>
      </c>
      <c r="G166" s="8">
        <f t="shared" si="5"/>
        <v>42676.678356481483</v>
      </c>
    </row>
    <row r="167" spans="1:7" x14ac:dyDescent="0.25">
      <c r="A167" s="8">
        <v>42676.679745370369</v>
      </c>
      <c r="B167" s="21" t="s">
        <v>189</v>
      </c>
      <c r="C167" s="21" t="s">
        <v>571</v>
      </c>
      <c r="D167" s="21">
        <v>2480000</v>
      </c>
      <c r="E167" s="21" t="s">
        <v>307</v>
      </c>
      <c r="F167" s="21" t="str">
        <f t="shared" si="4"/>
        <v>rtdc.l.rtdc.4010:itc</v>
      </c>
      <c r="G167" s="8">
        <f t="shared" si="5"/>
        <v>42676.679745370369</v>
      </c>
    </row>
    <row r="168" spans="1:7" x14ac:dyDescent="0.25">
      <c r="A168" s="8">
        <v>42676.682638888888</v>
      </c>
      <c r="B168" s="21" t="s">
        <v>420</v>
      </c>
      <c r="C168" s="21" t="s">
        <v>572</v>
      </c>
      <c r="D168" s="21">
        <v>2470000</v>
      </c>
      <c r="E168" s="21" t="s">
        <v>306</v>
      </c>
      <c r="F168" s="21" t="str">
        <f t="shared" si="4"/>
        <v>rtdc.l.rtdc.4054:itc</v>
      </c>
      <c r="G168" s="8">
        <f t="shared" si="5"/>
        <v>42676.682638888888</v>
      </c>
    </row>
    <row r="169" spans="1:7" x14ac:dyDescent="0.25">
      <c r="A169" s="8">
        <v>42676.684525462966</v>
      </c>
      <c r="B169" s="21" t="s">
        <v>251</v>
      </c>
      <c r="C169" s="21" t="s">
        <v>573</v>
      </c>
      <c r="D169" s="21">
        <v>2420000</v>
      </c>
      <c r="E169" s="21" t="s">
        <v>303</v>
      </c>
      <c r="F169" s="21" t="str">
        <f t="shared" si="4"/>
        <v>rtdc.l.rtdc.4038:itc</v>
      </c>
      <c r="G169" s="8">
        <f t="shared" si="5"/>
        <v>42676.684525462966</v>
      </c>
    </row>
    <row r="170" spans="1:7" x14ac:dyDescent="0.25">
      <c r="A170" s="8">
        <v>42676.693344907406</v>
      </c>
      <c r="B170" s="21" t="s">
        <v>461</v>
      </c>
      <c r="C170" s="21" t="s">
        <v>574</v>
      </c>
      <c r="D170" s="21">
        <v>2440000</v>
      </c>
      <c r="E170" s="21" t="s">
        <v>331</v>
      </c>
      <c r="F170" s="21" t="str">
        <f t="shared" si="4"/>
        <v>rtdc.l.rtdc.4026:itc</v>
      </c>
      <c r="G170" s="8">
        <f t="shared" si="5"/>
        <v>42676.693344907406</v>
      </c>
    </row>
    <row r="171" spans="1:7" x14ac:dyDescent="0.25">
      <c r="A171" s="8">
        <v>42676.695439814815</v>
      </c>
      <c r="B171" s="21" t="s">
        <v>193</v>
      </c>
      <c r="C171" s="21" t="s">
        <v>424</v>
      </c>
      <c r="D171" s="21">
        <v>1540000</v>
      </c>
      <c r="E171" s="21" t="s">
        <v>304</v>
      </c>
      <c r="F171" s="21" t="str">
        <f t="shared" si="4"/>
        <v>rtdc.l.rtdc.4007:itc</v>
      </c>
      <c r="G171" s="8">
        <f t="shared" si="5"/>
        <v>42676.695439814815</v>
      </c>
    </row>
    <row r="172" spans="1:7" x14ac:dyDescent="0.25">
      <c r="A172" s="8">
        <v>42676.697453703702</v>
      </c>
      <c r="B172" s="21" t="s">
        <v>399</v>
      </c>
      <c r="C172" s="21" t="s">
        <v>575</v>
      </c>
      <c r="D172" s="21">
        <v>2430000</v>
      </c>
      <c r="E172" s="21" t="s">
        <v>305</v>
      </c>
      <c r="F172" s="21" t="str">
        <f t="shared" si="4"/>
        <v>rtdc.l.rtdc.4031:itc</v>
      </c>
      <c r="G172" s="8">
        <f t="shared" si="5"/>
        <v>42676.697453703702</v>
      </c>
    </row>
    <row r="173" spans="1:7" x14ac:dyDescent="0.25">
      <c r="A173" s="8">
        <v>42676.702499999999</v>
      </c>
      <c r="B173" s="21" t="s">
        <v>402</v>
      </c>
      <c r="C173" s="21" t="s">
        <v>576</v>
      </c>
      <c r="D173" s="21">
        <v>2560000</v>
      </c>
      <c r="E173" s="21" t="s">
        <v>299</v>
      </c>
      <c r="F173" s="21" t="str">
        <f t="shared" si="4"/>
        <v>rtdc.l.rtdc.4017:itc</v>
      </c>
      <c r="G173" s="8">
        <f t="shared" si="5"/>
        <v>42676.702499999999</v>
      </c>
    </row>
    <row r="174" spans="1:7" x14ac:dyDescent="0.25">
      <c r="A174" s="8">
        <v>42676.704618055555</v>
      </c>
      <c r="B174" s="21" t="s">
        <v>287</v>
      </c>
      <c r="C174" s="21" t="s">
        <v>577</v>
      </c>
      <c r="D174" s="21">
        <v>1820000</v>
      </c>
      <c r="E174" s="21" t="s">
        <v>527</v>
      </c>
      <c r="F174" s="21" t="str">
        <f t="shared" si="4"/>
        <v>rtdc.l.rtdc.4003:itc</v>
      </c>
      <c r="G174" s="8">
        <f t="shared" si="5"/>
        <v>42676.704618055555</v>
      </c>
    </row>
    <row r="175" spans="1:7" x14ac:dyDescent="0.25">
      <c r="A175" s="8">
        <v>42676.707094907404</v>
      </c>
      <c r="B175" s="21" t="s">
        <v>242</v>
      </c>
      <c r="C175" s="21" t="s">
        <v>578</v>
      </c>
      <c r="D175" s="21">
        <v>2630000</v>
      </c>
      <c r="E175" s="21" t="s">
        <v>516</v>
      </c>
      <c r="F175" s="21" t="str">
        <f t="shared" si="4"/>
        <v>rtdc.l.rtdc.4001:itc</v>
      </c>
      <c r="G175" s="8">
        <f t="shared" si="5"/>
        <v>42676.707094907404</v>
      </c>
    </row>
    <row r="176" spans="1:7" x14ac:dyDescent="0.25">
      <c r="A176" s="8">
        <v>42676.713113425925</v>
      </c>
      <c r="B176" s="21" t="s">
        <v>414</v>
      </c>
      <c r="C176" s="21" t="s">
        <v>579</v>
      </c>
      <c r="D176" s="21">
        <v>2440000</v>
      </c>
      <c r="E176" s="21" t="s">
        <v>331</v>
      </c>
      <c r="F176" s="21" t="str">
        <f t="shared" si="4"/>
        <v>rtdc.l.rtdc.4025:itc</v>
      </c>
      <c r="G176" s="8">
        <f t="shared" si="5"/>
        <v>42676.713113425925</v>
      </c>
    </row>
    <row r="177" spans="1:7" x14ac:dyDescent="0.25">
      <c r="A177" s="8">
        <v>42676.714629629627</v>
      </c>
      <c r="B177" s="21" t="s">
        <v>297</v>
      </c>
      <c r="C177" s="21" t="s">
        <v>425</v>
      </c>
      <c r="D177" s="21">
        <v>2430000</v>
      </c>
      <c r="E177" s="21" t="s">
        <v>305</v>
      </c>
      <c r="F177" s="21" t="str">
        <f t="shared" si="4"/>
        <v>rtdc.l.rtdc.4032:itc</v>
      </c>
      <c r="G177" s="8">
        <f t="shared" si="5"/>
        <v>42676.714629629627</v>
      </c>
    </row>
    <row r="178" spans="1:7" x14ac:dyDescent="0.25">
      <c r="A178" s="8">
        <v>42676.715717592589</v>
      </c>
      <c r="B178" s="21" t="s">
        <v>190</v>
      </c>
      <c r="C178" s="21" t="s">
        <v>580</v>
      </c>
      <c r="D178" s="21">
        <v>2000000</v>
      </c>
      <c r="E178" s="21" t="s">
        <v>332</v>
      </c>
      <c r="F178" s="21" t="str">
        <f t="shared" si="4"/>
        <v>rtdc.l.rtdc.4009:itc</v>
      </c>
      <c r="G178" s="8">
        <f t="shared" si="5"/>
        <v>42676.715717592589</v>
      </c>
    </row>
    <row r="179" spans="1:7" x14ac:dyDescent="0.25">
      <c r="A179" s="8">
        <v>42676.720381944448</v>
      </c>
      <c r="B179" s="21" t="s">
        <v>234</v>
      </c>
      <c r="C179" s="21" t="s">
        <v>581</v>
      </c>
      <c r="D179" s="21">
        <v>2420000</v>
      </c>
      <c r="E179" s="21" t="s">
        <v>303</v>
      </c>
      <c r="F179" s="21" t="str">
        <f t="shared" si="4"/>
        <v>rtdc.l.rtdc.4037:itc</v>
      </c>
      <c r="G179" s="8">
        <f t="shared" si="5"/>
        <v>42676.720381944448</v>
      </c>
    </row>
    <row r="180" spans="1:7" x14ac:dyDescent="0.25">
      <c r="A180" s="8">
        <v>42676.725682870368</v>
      </c>
      <c r="B180" s="21" t="s">
        <v>450</v>
      </c>
      <c r="C180" s="21" t="s">
        <v>582</v>
      </c>
      <c r="D180" s="21">
        <v>1140000</v>
      </c>
      <c r="E180" s="21" t="s">
        <v>233</v>
      </c>
      <c r="F180" s="21" t="str">
        <f t="shared" si="4"/>
        <v>rtdc.l.rtdc.4053:itc</v>
      </c>
      <c r="G180" s="8">
        <f t="shared" si="5"/>
        <v>42676.725682870368</v>
      </c>
    </row>
    <row r="181" spans="1:7" x14ac:dyDescent="0.25">
      <c r="A181" s="8">
        <v>42676.733807870369</v>
      </c>
      <c r="B181" s="21" t="s">
        <v>325</v>
      </c>
      <c r="C181" s="21" t="s">
        <v>583</v>
      </c>
      <c r="D181" s="21">
        <v>1540000</v>
      </c>
      <c r="E181" s="21" t="s">
        <v>304</v>
      </c>
      <c r="F181" s="21" t="str">
        <f t="shared" si="4"/>
        <v>rtdc.l.rtdc.4008:itc</v>
      </c>
      <c r="G181" s="8">
        <f t="shared" si="5"/>
        <v>42676.733807870369</v>
      </c>
    </row>
    <row r="182" spans="1:7" x14ac:dyDescent="0.25">
      <c r="A182" s="8">
        <v>42676.735810185186</v>
      </c>
      <c r="B182" s="21" t="s">
        <v>461</v>
      </c>
      <c r="C182" s="21" t="s">
        <v>584</v>
      </c>
      <c r="D182" s="21">
        <v>2440000</v>
      </c>
      <c r="E182" s="21" t="s">
        <v>331</v>
      </c>
      <c r="F182" s="21" t="str">
        <f t="shared" si="4"/>
        <v>rtdc.l.rtdc.4026:itc</v>
      </c>
      <c r="G182" s="8">
        <f t="shared" si="5"/>
        <v>42676.735810185186</v>
      </c>
    </row>
    <row r="183" spans="1:7" x14ac:dyDescent="0.25">
      <c r="A183" s="8">
        <v>42676.736585648148</v>
      </c>
      <c r="B183" s="21" t="s">
        <v>399</v>
      </c>
      <c r="C183" s="21" t="s">
        <v>585</v>
      </c>
      <c r="D183" s="21">
        <v>2430000</v>
      </c>
      <c r="E183" s="21" t="s">
        <v>305</v>
      </c>
      <c r="F183" s="21" t="str">
        <f t="shared" si="4"/>
        <v>rtdc.l.rtdc.4031:itc</v>
      </c>
      <c r="G183" s="8">
        <f t="shared" si="5"/>
        <v>42676.736585648148</v>
      </c>
    </row>
    <row r="184" spans="1:7" x14ac:dyDescent="0.25">
      <c r="A184" s="8">
        <v>42676.737708333334</v>
      </c>
      <c r="B184" s="21" t="s">
        <v>418</v>
      </c>
      <c r="C184" s="21" t="s">
        <v>586</v>
      </c>
      <c r="D184" s="21">
        <v>2610000</v>
      </c>
      <c r="E184" s="21" t="s">
        <v>587</v>
      </c>
      <c r="F184" s="21" t="str">
        <f t="shared" si="4"/>
        <v>rtdc.l.rtdc.4018:itc</v>
      </c>
      <c r="G184" s="8">
        <f t="shared" si="5"/>
        <v>42676.737708333334</v>
      </c>
    </row>
    <row r="185" spans="1:7" x14ac:dyDescent="0.25">
      <c r="A185" s="8">
        <v>42676.745717592596</v>
      </c>
      <c r="B185" s="21" t="s">
        <v>302</v>
      </c>
      <c r="C185" s="21" t="s">
        <v>427</v>
      </c>
      <c r="D185" s="21">
        <v>1820000</v>
      </c>
      <c r="E185" s="21" t="s">
        <v>527</v>
      </c>
      <c r="F185" s="21" t="str">
        <f t="shared" si="4"/>
        <v>rtdc.l.rtdc.4004:itc</v>
      </c>
      <c r="G185" s="8">
        <f t="shared" si="5"/>
        <v>42676.745717592596</v>
      </c>
    </row>
    <row r="186" spans="1:7" x14ac:dyDescent="0.25">
      <c r="A186" s="8">
        <v>42676.746180555558</v>
      </c>
      <c r="B186" s="21" t="s">
        <v>189</v>
      </c>
      <c r="C186" s="21" t="s">
        <v>588</v>
      </c>
      <c r="D186" s="21">
        <v>2000000</v>
      </c>
      <c r="E186" s="21" t="s">
        <v>332</v>
      </c>
      <c r="F186" s="21" t="str">
        <f t="shared" si="4"/>
        <v>rtdc.l.rtdc.4010:itc</v>
      </c>
      <c r="G186" s="8">
        <f t="shared" si="5"/>
        <v>42676.746180555558</v>
      </c>
    </row>
    <row r="187" spans="1:7" x14ac:dyDescent="0.25">
      <c r="A187" s="8">
        <v>42676.747164351851</v>
      </c>
      <c r="B187" s="21" t="s">
        <v>241</v>
      </c>
      <c r="C187" s="21" t="s">
        <v>589</v>
      </c>
      <c r="D187" s="21">
        <v>2560000</v>
      </c>
      <c r="E187" s="21" t="s">
        <v>299</v>
      </c>
      <c r="F187" s="21" t="str">
        <f t="shared" si="4"/>
        <v>rtdc.l.rtdc.4002:itc</v>
      </c>
      <c r="G187" s="8">
        <f t="shared" si="5"/>
        <v>42676.747164351851</v>
      </c>
    </row>
    <row r="188" spans="1:7" x14ac:dyDescent="0.25">
      <c r="A188" s="8">
        <v>42676.748101851852</v>
      </c>
      <c r="B188" s="21" t="s">
        <v>240</v>
      </c>
      <c r="C188" s="21" t="s">
        <v>590</v>
      </c>
      <c r="D188" s="21">
        <v>2250000</v>
      </c>
      <c r="E188" s="21" t="s">
        <v>286</v>
      </c>
      <c r="F188" s="21" t="str">
        <f t="shared" si="4"/>
        <v>rtdc.l.rtdc.4021:itc</v>
      </c>
      <c r="G188" s="8">
        <f t="shared" si="5"/>
        <v>42676.748101851852</v>
      </c>
    </row>
    <row r="189" spans="1:7" x14ac:dyDescent="0.25">
      <c r="A189" s="8">
        <v>42676.749837962961</v>
      </c>
      <c r="B189" s="21" t="s">
        <v>414</v>
      </c>
      <c r="C189" s="21" t="s">
        <v>591</v>
      </c>
      <c r="D189" s="21">
        <v>2440000</v>
      </c>
      <c r="E189" s="21" t="s">
        <v>331</v>
      </c>
      <c r="F189" s="21" t="str">
        <f t="shared" si="4"/>
        <v>rtdc.l.rtdc.4025:itc</v>
      </c>
      <c r="G189" s="8">
        <f t="shared" si="5"/>
        <v>42676.749837962961</v>
      </c>
    </row>
    <row r="190" spans="1:7" x14ac:dyDescent="0.25">
      <c r="A190" s="8">
        <v>42676.752152777779</v>
      </c>
      <c r="B190" s="21" t="s">
        <v>283</v>
      </c>
      <c r="C190" s="21" t="s">
        <v>426</v>
      </c>
      <c r="D190" s="21">
        <v>2370000</v>
      </c>
      <c r="E190" s="21" t="s">
        <v>229</v>
      </c>
      <c r="F190" s="21" t="str">
        <f t="shared" si="4"/>
        <v>rtdc.l.rtdc.4045:itc</v>
      </c>
      <c r="G190" s="8">
        <f t="shared" si="5"/>
        <v>42676.752152777779</v>
      </c>
    </row>
    <row r="191" spans="1:7" x14ac:dyDescent="0.25">
      <c r="A191" s="8">
        <v>42676.752349537041</v>
      </c>
      <c r="B191" s="21" t="s">
        <v>189</v>
      </c>
      <c r="C191" s="21" t="s">
        <v>588</v>
      </c>
      <c r="D191" s="21">
        <v>2000000</v>
      </c>
      <c r="E191" s="21" t="s">
        <v>332</v>
      </c>
      <c r="F191" s="21" t="str">
        <f t="shared" si="4"/>
        <v>rtdc.l.rtdc.4010:itc</v>
      </c>
      <c r="G191" s="8">
        <f t="shared" si="5"/>
        <v>42676.752349537041</v>
      </c>
    </row>
    <row r="192" spans="1:7" x14ac:dyDescent="0.25">
      <c r="A192" s="8">
        <v>42676.756273148145</v>
      </c>
      <c r="B192" s="21" t="s">
        <v>297</v>
      </c>
      <c r="C192" s="21" t="s">
        <v>592</v>
      </c>
      <c r="D192" s="21">
        <v>2430000</v>
      </c>
      <c r="E192" s="21" t="s">
        <v>305</v>
      </c>
      <c r="F192" s="21" t="str">
        <f t="shared" si="4"/>
        <v>rtdc.l.rtdc.4032:itc</v>
      </c>
      <c r="G192" s="8">
        <f t="shared" si="5"/>
        <v>42676.756273148145</v>
      </c>
    </row>
    <row r="193" spans="1:7" x14ac:dyDescent="0.25">
      <c r="A193" s="8">
        <v>42676.757118055553</v>
      </c>
      <c r="B193" s="21" t="s">
        <v>251</v>
      </c>
      <c r="C193" s="21" t="s">
        <v>593</v>
      </c>
      <c r="D193" s="21">
        <v>1300000</v>
      </c>
      <c r="E193" s="21" t="s">
        <v>113</v>
      </c>
      <c r="F193" s="21" t="str">
        <f t="shared" si="4"/>
        <v>rtdc.l.rtdc.4038:itc</v>
      </c>
      <c r="G193" s="8">
        <f t="shared" si="5"/>
        <v>42676.757118055553</v>
      </c>
    </row>
    <row r="194" spans="1:7" x14ac:dyDescent="0.25">
      <c r="A194" s="8">
        <v>42676.760185185187</v>
      </c>
      <c r="B194" s="21" t="s">
        <v>420</v>
      </c>
      <c r="C194" s="21" t="s">
        <v>594</v>
      </c>
      <c r="D194" s="21">
        <v>1140000</v>
      </c>
      <c r="E194" s="21" t="s">
        <v>233</v>
      </c>
      <c r="F194" s="21" t="str">
        <f t="shared" ref="F194:F235" si="6">B194</f>
        <v>rtdc.l.rtdc.4054:itc</v>
      </c>
      <c r="G194" s="8">
        <f t="shared" ref="G194:G235" si="7">A194</f>
        <v>42676.760185185187</v>
      </c>
    </row>
    <row r="195" spans="1:7" x14ac:dyDescent="0.25">
      <c r="A195" s="8">
        <v>42676.764652777776</v>
      </c>
      <c r="B195" s="21" t="s">
        <v>193</v>
      </c>
      <c r="C195" s="21" t="s">
        <v>595</v>
      </c>
      <c r="D195" s="21">
        <v>2250000</v>
      </c>
      <c r="E195" s="21" t="s">
        <v>286</v>
      </c>
      <c r="F195" s="21" t="str">
        <f t="shared" si="6"/>
        <v>rtdc.l.rtdc.4007:itc</v>
      </c>
      <c r="G195" s="8">
        <f t="shared" si="7"/>
        <v>42676.764652777776</v>
      </c>
    </row>
    <row r="196" spans="1:7" x14ac:dyDescent="0.25">
      <c r="A196" s="8">
        <v>42676.767025462963</v>
      </c>
      <c r="B196" s="21" t="s">
        <v>258</v>
      </c>
      <c r="C196" s="21" t="s">
        <v>596</v>
      </c>
      <c r="D196" s="21">
        <v>1540000</v>
      </c>
      <c r="E196" s="21" t="s">
        <v>304</v>
      </c>
      <c r="F196" s="21" t="str">
        <f t="shared" si="6"/>
        <v>rtdc.l.rtdc.4022:itc</v>
      </c>
      <c r="G196" s="8">
        <f t="shared" si="7"/>
        <v>42676.767025462963</v>
      </c>
    </row>
    <row r="197" spans="1:7" x14ac:dyDescent="0.25">
      <c r="A197" s="8">
        <v>42676.76834490741</v>
      </c>
      <c r="B197" s="21" t="s">
        <v>257</v>
      </c>
      <c r="C197" s="21" t="s">
        <v>597</v>
      </c>
      <c r="D197" s="21">
        <v>2220000</v>
      </c>
      <c r="E197" s="21" t="s">
        <v>549</v>
      </c>
      <c r="F197" s="21" t="str">
        <f t="shared" si="6"/>
        <v>rtdc.l.rtdc.4014:itc</v>
      </c>
      <c r="G197" s="8">
        <f t="shared" si="7"/>
        <v>42676.76834490741</v>
      </c>
    </row>
    <row r="198" spans="1:7" x14ac:dyDescent="0.25">
      <c r="A198" s="8">
        <v>42676.776134259257</v>
      </c>
      <c r="B198" s="21" t="s">
        <v>402</v>
      </c>
      <c r="C198" s="21" t="s">
        <v>598</v>
      </c>
      <c r="D198" s="21">
        <v>2610000</v>
      </c>
      <c r="E198" s="21" t="s">
        <v>587</v>
      </c>
      <c r="F198" s="21" t="str">
        <f t="shared" si="6"/>
        <v>rtdc.l.rtdc.4017:itc</v>
      </c>
      <c r="G198" s="8">
        <f t="shared" si="7"/>
        <v>42676.776134259257</v>
      </c>
    </row>
    <row r="199" spans="1:7" x14ac:dyDescent="0.25">
      <c r="A199" s="8">
        <v>42676.776631944442</v>
      </c>
      <c r="B199" s="21" t="s">
        <v>461</v>
      </c>
      <c r="C199" s="21" t="s">
        <v>599</v>
      </c>
      <c r="D199" s="21">
        <v>2440000</v>
      </c>
      <c r="E199" s="21" t="s">
        <v>331</v>
      </c>
      <c r="F199" s="21" t="str">
        <f t="shared" si="6"/>
        <v>rtdc.l.rtdc.4026:itc</v>
      </c>
      <c r="G199" s="8">
        <f t="shared" si="7"/>
        <v>42676.776631944442</v>
      </c>
    </row>
    <row r="200" spans="1:7" x14ac:dyDescent="0.25">
      <c r="A200" s="8">
        <v>42676.777280092596</v>
      </c>
      <c r="B200" s="21" t="s">
        <v>287</v>
      </c>
      <c r="C200" s="21" t="s">
        <v>600</v>
      </c>
      <c r="D200" s="21">
        <v>1820000</v>
      </c>
      <c r="E200" s="21" t="s">
        <v>527</v>
      </c>
      <c r="F200" s="21" t="str">
        <f t="shared" si="6"/>
        <v>rtdc.l.rtdc.4003:itc</v>
      </c>
      <c r="G200" s="8">
        <f t="shared" si="7"/>
        <v>42676.777280092596</v>
      </c>
    </row>
    <row r="201" spans="1:7" x14ac:dyDescent="0.25">
      <c r="A201" s="8">
        <v>42676.78292824074</v>
      </c>
      <c r="B201" s="21" t="s">
        <v>399</v>
      </c>
      <c r="C201" s="21" t="s">
        <v>601</v>
      </c>
      <c r="D201" s="21">
        <v>2430000</v>
      </c>
      <c r="E201" s="21" t="s">
        <v>305</v>
      </c>
      <c r="F201" s="21" t="str">
        <f t="shared" si="6"/>
        <v>rtdc.l.rtdc.4031:itc</v>
      </c>
      <c r="G201" s="8">
        <f t="shared" si="7"/>
        <v>42676.78292824074</v>
      </c>
    </row>
    <row r="202" spans="1:7" x14ac:dyDescent="0.25">
      <c r="A202" s="27">
        <v>42676.785034722219</v>
      </c>
      <c r="B202" s="21" t="s">
        <v>242</v>
      </c>
      <c r="C202" s="21" t="s">
        <v>602</v>
      </c>
      <c r="D202" s="21">
        <v>2560000</v>
      </c>
      <c r="E202" s="21" t="s">
        <v>299</v>
      </c>
      <c r="F202" s="21" t="str">
        <f t="shared" si="6"/>
        <v>rtdc.l.rtdc.4001:itc</v>
      </c>
      <c r="G202" s="8">
        <f t="shared" si="7"/>
        <v>42676.785034722219</v>
      </c>
    </row>
    <row r="203" spans="1:7" x14ac:dyDescent="0.25">
      <c r="A203" s="8">
        <v>42676.785995370374</v>
      </c>
      <c r="B203" s="21" t="s">
        <v>190</v>
      </c>
      <c r="C203" s="21" t="s">
        <v>603</v>
      </c>
      <c r="D203" s="21">
        <v>2000000</v>
      </c>
      <c r="E203" s="21" t="s">
        <v>332</v>
      </c>
      <c r="F203" s="21" t="str">
        <f t="shared" si="6"/>
        <v>rtdc.l.rtdc.4009:itc</v>
      </c>
      <c r="G203" s="8">
        <f t="shared" si="7"/>
        <v>42676.785995370374</v>
      </c>
    </row>
    <row r="204" spans="1:7" x14ac:dyDescent="0.25">
      <c r="A204" s="8">
        <v>42676.794976851852</v>
      </c>
      <c r="B204" s="21" t="s">
        <v>234</v>
      </c>
      <c r="C204" s="21" t="s">
        <v>428</v>
      </c>
      <c r="D204" s="21">
        <v>1300000</v>
      </c>
      <c r="E204" s="21" t="s">
        <v>113</v>
      </c>
      <c r="F204" s="21" t="str">
        <f t="shared" si="6"/>
        <v>rtdc.l.rtdc.4037:itc</v>
      </c>
      <c r="G204" s="8">
        <f t="shared" si="7"/>
        <v>42676.794976851852</v>
      </c>
    </row>
    <row r="205" spans="1:7" x14ac:dyDescent="0.25">
      <c r="A205" s="8">
        <v>42676.796979166669</v>
      </c>
      <c r="B205" s="21" t="s">
        <v>414</v>
      </c>
      <c r="C205" s="21" t="s">
        <v>604</v>
      </c>
      <c r="D205" s="21">
        <v>2440000</v>
      </c>
      <c r="E205" s="21" t="s">
        <v>331</v>
      </c>
      <c r="F205" s="21" t="str">
        <f t="shared" si="6"/>
        <v>rtdc.l.rtdc.4025:itc</v>
      </c>
      <c r="G205" s="8">
        <f t="shared" si="7"/>
        <v>42676.796979166669</v>
      </c>
    </row>
    <row r="206" spans="1:7" x14ac:dyDescent="0.25">
      <c r="A206" s="8">
        <v>42676.797407407408</v>
      </c>
      <c r="B206" s="21" t="s">
        <v>297</v>
      </c>
      <c r="C206" s="21" t="s">
        <v>605</v>
      </c>
      <c r="D206" s="21">
        <v>2430000</v>
      </c>
      <c r="E206" s="21" t="s">
        <v>305</v>
      </c>
      <c r="F206" s="21" t="str">
        <f t="shared" si="6"/>
        <v>rtdc.l.rtdc.4032:itc</v>
      </c>
      <c r="G206" s="8">
        <f t="shared" si="7"/>
        <v>42676.797407407408</v>
      </c>
    </row>
    <row r="207" spans="1:7" x14ac:dyDescent="0.25">
      <c r="A207" s="8">
        <v>42676.798344907409</v>
      </c>
      <c r="B207" s="21" t="s">
        <v>325</v>
      </c>
      <c r="C207" s="21" t="s">
        <v>429</v>
      </c>
      <c r="D207" s="21">
        <v>2250000</v>
      </c>
      <c r="E207" s="21" t="s">
        <v>286</v>
      </c>
      <c r="F207" s="21" t="str">
        <f t="shared" si="6"/>
        <v>rtdc.l.rtdc.4008:itc</v>
      </c>
      <c r="G207" s="8">
        <f t="shared" si="7"/>
        <v>42676.798344907409</v>
      </c>
    </row>
    <row r="208" spans="1:7" x14ac:dyDescent="0.25">
      <c r="A208" s="8">
        <v>42676.801157407404</v>
      </c>
      <c r="B208" s="21" t="s">
        <v>450</v>
      </c>
      <c r="C208" s="21" t="s">
        <v>606</v>
      </c>
      <c r="D208" s="21">
        <v>1140000</v>
      </c>
      <c r="E208" s="21" t="s">
        <v>233</v>
      </c>
      <c r="F208" s="21" t="str">
        <f t="shared" si="6"/>
        <v>rtdc.l.rtdc.4053:itc</v>
      </c>
      <c r="G208" s="8">
        <f t="shared" si="7"/>
        <v>42676.801157407404</v>
      </c>
    </row>
    <row r="209" spans="1:7" x14ac:dyDescent="0.25">
      <c r="A209" s="8">
        <v>42676.808425925927</v>
      </c>
      <c r="B209" s="21" t="s">
        <v>418</v>
      </c>
      <c r="C209" s="21" t="s">
        <v>607</v>
      </c>
      <c r="D209" s="21">
        <v>2610000</v>
      </c>
      <c r="E209" s="21" t="s">
        <v>587</v>
      </c>
      <c r="F209" s="21" t="str">
        <f t="shared" si="6"/>
        <v>rtdc.l.rtdc.4018:itc</v>
      </c>
      <c r="G209" s="8">
        <f t="shared" si="7"/>
        <v>42676.808425925927</v>
      </c>
    </row>
    <row r="210" spans="1:7" x14ac:dyDescent="0.25">
      <c r="A210" s="8">
        <v>42676.817499999997</v>
      </c>
      <c r="B210" s="21" t="s">
        <v>241</v>
      </c>
      <c r="C210" s="21" t="s">
        <v>608</v>
      </c>
      <c r="D210" s="21">
        <v>2560000</v>
      </c>
      <c r="E210" s="21" t="s">
        <v>299</v>
      </c>
      <c r="F210" s="21" t="str">
        <f t="shared" si="6"/>
        <v>rtdc.l.rtdc.4002:itc</v>
      </c>
      <c r="G210" s="8">
        <f t="shared" si="7"/>
        <v>42676.817499999997</v>
      </c>
    </row>
    <row r="211" spans="1:7" x14ac:dyDescent="0.25">
      <c r="A211" s="8">
        <v>42676.818009259259</v>
      </c>
      <c r="B211" s="21" t="s">
        <v>461</v>
      </c>
      <c r="C211" s="21" t="s">
        <v>609</v>
      </c>
      <c r="D211" s="21">
        <v>2440000</v>
      </c>
      <c r="E211" s="21" t="s">
        <v>331</v>
      </c>
      <c r="F211" s="21" t="str">
        <f t="shared" si="6"/>
        <v>rtdc.l.rtdc.4026:itc</v>
      </c>
      <c r="G211" s="8">
        <f t="shared" si="7"/>
        <v>42676.818009259259</v>
      </c>
    </row>
    <row r="212" spans="1:7" x14ac:dyDescent="0.25">
      <c r="A212" s="8">
        <v>42676.824270833335</v>
      </c>
      <c r="B212" s="21" t="s">
        <v>189</v>
      </c>
      <c r="C212" s="21" t="s">
        <v>610</v>
      </c>
      <c r="D212" s="21">
        <v>2000000</v>
      </c>
      <c r="E212" s="21" t="s">
        <v>332</v>
      </c>
      <c r="F212" s="21" t="str">
        <f t="shared" si="6"/>
        <v>rtdc.l.rtdc.4010:itc</v>
      </c>
      <c r="G212" s="8">
        <f t="shared" si="7"/>
        <v>42676.824270833335</v>
      </c>
    </row>
    <row r="213" spans="1:7" x14ac:dyDescent="0.25">
      <c r="A213" s="8">
        <v>42676.827222222222</v>
      </c>
      <c r="B213" s="21" t="s">
        <v>251</v>
      </c>
      <c r="C213" s="21" t="s">
        <v>611</v>
      </c>
      <c r="D213" s="21">
        <v>1300000</v>
      </c>
      <c r="E213" s="21" t="s">
        <v>113</v>
      </c>
      <c r="F213" s="21" t="str">
        <f t="shared" si="6"/>
        <v>rtdc.l.rtdc.4038:itc</v>
      </c>
      <c r="G213" s="8">
        <f t="shared" si="7"/>
        <v>42676.827222222222</v>
      </c>
    </row>
    <row r="214" spans="1:7" x14ac:dyDescent="0.25">
      <c r="A214" s="8">
        <v>42676.844664351855</v>
      </c>
      <c r="B214" s="21" t="s">
        <v>414</v>
      </c>
      <c r="C214" s="21" t="s">
        <v>612</v>
      </c>
      <c r="D214" s="21">
        <v>2440000</v>
      </c>
      <c r="E214" s="21" t="s">
        <v>331</v>
      </c>
      <c r="F214" s="21" t="str">
        <f t="shared" si="6"/>
        <v>rtdc.l.rtdc.4025:itc</v>
      </c>
      <c r="G214" s="8">
        <f t="shared" si="7"/>
        <v>42676.844664351855</v>
      </c>
    </row>
    <row r="215" spans="1:7" x14ac:dyDescent="0.25">
      <c r="A215" s="8">
        <v>42676.847418981481</v>
      </c>
      <c r="B215" s="21" t="s">
        <v>193</v>
      </c>
      <c r="C215" s="21" t="s">
        <v>613</v>
      </c>
      <c r="D215" s="21">
        <v>2250000</v>
      </c>
      <c r="E215" s="21" t="s">
        <v>286</v>
      </c>
      <c r="F215" s="21" t="str">
        <f t="shared" si="6"/>
        <v>rtdc.l.rtdc.4007:itc</v>
      </c>
      <c r="G215" s="8">
        <f t="shared" si="7"/>
        <v>42676.847418981481</v>
      </c>
    </row>
    <row r="216" spans="1:7" x14ac:dyDescent="0.25">
      <c r="A216" s="8">
        <v>42676.847534722219</v>
      </c>
      <c r="B216" s="21" t="s">
        <v>402</v>
      </c>
      <c r="C216" s="21" t="s">
        <v>614</v>
      </c>
      <c r="D216" s="21">
        <v>2610000</v>
      </c>
      <c r="E216" s="21" t="s">
        <v>587</v>
      </c>
      <c r="F216" s="21" t="str">
        <f t="shared" si="6"/>
        <v>rtdc.l.rtdc.4017:itc</v>
      </c>
      <c r="G216" s="8">
        <f t="shared" si="7"/>
        <v>42676.847534722219</v>
      </c>
    </row>
    <row r="217" spans="1:7" x14ac:dyDescent="0.25">
      <c r="A217" s="8">
        <v>42676.860462962963</v>
      </c>
      <c r="B217" s="21" t="s">
        <v>461</v>
      </c>
      <c r="C217" s="21" t="s">
        <v>615</v>
      </c>
      <c r="D217" s="21">
        <v>2440000</v>
      </c>
      <c r="E217" s="21" t="s">
        <v>331</v>
      </c>
      <c r="F217" s="21" t="str">
        <f t="shared" si="6"/>
        <v>rtdc.l.rtdc.4026:itc</v>
      </c>
      <c r="G217" s="8">
        <f t="shared" si="7"/>
        <v>42676.860462962963</v>
      </c>
    </row>
    <row r="218" spans="1:7" x14ac:dyDescent="0.25">
      <c r="A218" s="8">
        <v>42676.867581018516</v>
      </c>
      <c r="B218" s="21" t="s">
        <v>234</v>
      </c>
      <c r="C218" s="21" t="s">
        <v>616</v>
      </c>
      <c r="D218" s="21">
        <v>1300000</v>
      </c>
      <c r="E218" s="21" t="s">
        <v>113</v>
      </c>
      <c r="F218" s="21" t="str">
        <f t="shared" si="6"/>
        <v>rtdc.l.rtdc.4037:itc</v>
      </c>
      <c r="G218" s="8">
        <f t="shared" si="7"/>
        <v>42676.867581018516</v>
      </c>
    </row>
    <row r="219" spans="1:7" x14ac:dyDescent="0.25">
      <c r="A219" s="8">
        <v>42676.873113425929</v>
      </c>
      <c r="B219" s="21" t="s">
        <v>284</v>
      </c>
      <c r="C219" s="21" t="s">
        <v>430</v>
      </c>
      <c r="D219" s="21">
        <v>2000000</v>
      </c>
      <c r="E219" s="21" t="s">
        <v>332</v>
      </c>
      <c r="F219" s="21" t="str">
        <f t="shared" si="6"/>
        <v>rtdc.l.rtdc.4046:itc</v>
      </c>
      <c r="G219" s="8">
        <f t="shared" si="7"/>
        <v>42676.873113425929</v>
      </c>
    </row>
    <row r="220" spans="1:7" x14ac:dyDescent="0.25">
      <c r="A220" s="8">
        <v>42676.880416666667</v>
      </c>
      <c r="B220" s="21" t="s">
        <v>414</v>
      </c>
      <c r="C220" s="21" t="s">
        <v>431</v>
      </c>
      <c r="D220" s="21">
        <v>2430000</v>
      </c>
      <c r="E220" s="21" t="s">
        <v>305</v>
      </c>
      <c r="F220" s="21" t="str">
        <f t="shared" si="6"/>
        <v>rtdc.l.rtdc.4025:itc</v>
      </c>
      <c r="G220" s="8">
        <f t="shared" si="7"/>
        <v>42676.880416666667</v>
      </c>
    </row>
    <row r="221" spans="1:7" x14ac:dyDescent="0.25">
      <c r="A221" s="8">
        <v>42676.883460648147</v>
      </c>
      <c r="B221" s="21" t="s">
        <v>325</v>
      </c>
      <c r="C221" s="21" t="s">
        <v>617</v>
      </c>
      <c r="D221" s="21">
        <v>2250000</v>
      </c>
      <c r="E221" s="21" t="s">
        <v>286</v>
      </c>
      <c r="F221" s="21" t="str">
        <f t="shared" si="6"/>
        <v>rtdc.l.rtdc.4008:itc</v>
      </c>
      <c r="G221" s="8">
        <f t="shared" si="7"/>
        <v>42676.883460648147</v>
      </c>
    </row>
    <row r="222" spans="1:7" x14ac:dyDescent="0.25">
      <c r="A222" s="8">
        <v>42676.893483796295</v>
      </c>
      <c r="B222" s="21" t="s">
        <v>418</v>
      </c>
      <c r="C222" s="21" t="s">
        <v>618</v>
      </c>
      <c r="D222" s="21">
        <v>2610000</v>
      </c>
      <c r="E222" s="21" t="s">
        <v>587</v>
      </c>
      <c r="F222" s="21" t="str">
        <f t="shared" si="6"/>
        <v>rtdc.l.rtdc.4018:itc</v>
      </c>
      <c r="G222" s="8">
        <f t="shared" si="7"/>
        <v>42676.893483796295</v>
      </c>
    </row>
    <row r="223" spans="1:7" x14ac:dyDescent="0.25">
      <c r="A223" s="8">
        <v>42676.904131944444</v>
      </c>
      <c r="B223" s="21" t="s">
        <v>461</v>
      </c>
      <c r="C223" s="21" t="s">
        <v>619</v>
      </c>
      <c r="D223" s="21">
        <v>2430000</v>
      </c>
      <c r="E223" s="21" t="s">
        <v>305</v>
      </c>
      <c r="F223" s="21" t="str">
        <f t="shared" si="6"/>
        <v>rtdc.l.rtdc.4026:itc</v>
      </c>
      <c r="G223" s="8">
        <f t="shared" si="7"/>
        <v>42676.904131944444</v>
      </c>
    </row>
    <row r="224" spans="1:7" x14ac:dyDescent="0.25">
      <c r="A224" s="8">
        <v>42676.910011574073</v>
      </c>
      <c r="B224" t="s">
        <v>283</v>
      </c>
      <c r="C224" t="s">
        <v>620</v>
      </c>
      <c r="D224">
        <v>2000000</v>
      </c>
      <c r="E224" t="s">
        <v>332</v>
      </c>
      <c r="F224" s="21" t="str">
        <f t="shared" si="6"/>
        <v>rtdc.l.rtdc.4045:itc</v>
      </c>
      <c r="G224" s="8">
        <f t="shared" si="7"/>
        <v>42676.910011574073</v>
      </c>
    </row>
    <row r="225" spans="1:7" x14ac:dyDescent="0.25">
      <c r="A225" s="8">
        <v>42676.913645833331</v>
      </c>
      <c r="B225" t="s">
        <v>251</v>
      </c>
      <c r="C225" t="s">
        <v>432</v>
      </c>
      <c r="D225">
        <v>1300000</v>
      </c>
      <c r="E225" t="s">
        <v>113</v>
      </c>
      <c r="F225" s="21" t="str">
        <f t="shared" si="6"/>
        <v>rtdc.l.rtdc.4038:itc</v>
      </c>
      <c r="G225" s="8">
        <f t="shared" si="7"/>
        <v>42676.913645833331</v>
      </c>
    </row>
    <row r="226" spans="1:7" x14ac:dyDescent="0.25">
      <c r="A226" s="8">
        <v>42676.926423611112</v>
      </c>
      <c r="B226" t="s">
        <v>402</v>
      </c>
      <c r="C226" t="s">
        <v>621</v>
      </c>
      <c r="D226">
        <v>2610000</v>
      </c>
      <c r="E226" t="s">
        <v>587</v>
      </c>
      <c r="F226" s="21" t="str">
        <f t="shared" si="6"/>
        <v>rtdc.l.rtdc.4017:itc</v>
      </c>
      <c r="G226" s="8">
        <f t="shared" si="7"/>
        <v>42676.926423611112</v>
      </c>
    </row>
    <row r="227" spans="1:7" x14ac:dyDescent="0.25">
      <c r="A227" s="8">
        <v>42676.926770833335</v>
      </c>
      <c r="B227" t="s">
        <v>414</v>
      </c>
      <c r="C227" t="s">
        <v>622</v>
      </c>
      <c r="D227">
        <v>2430000</v>
      </c>
      <c r="E227" t="s">
        <v>305</v>
      </c>
      <c r="F227" s="21" t="str">
        <f t="shared" si="6"/>
        <v>rtdc.l.rtdc.4025:itc</v>
      </c>
      <c r="G227" s="8">
        <f t="shared" si="7"/>
        <v>42676.926770833335</v>
      </c>
    </row>
    <row r="228" spans="1:7" x14ac:dyDescent="0.25">
      <c r="A228" s="8">
        <v>42676.93</v>
      </c>
      <c r="B228" t="s">
        <v>193</v>
      </c>
      <c r="C228" t="s">
        <v>623</v>
      </c>
      <c r="D228">
        <v>2250000</v>
      </c>
      <c r="E228" t="s">
        <v>286</v>
      </c>
      <c r="F228" s="21" t="str">
        <f t="shared" si="6"/>
        <v>rtdc.l.rtdc.4007:itc</v>
      </c>
      <c r="G228" s="8">
        <f t="shared" si="7"/>
        <v>42676.93</v>
      </c>
    </row>
    <row r="229" spans="1:7" x14ac:dyDescent="0.25">
      <c r="A229" s="8">
        <v>42676.94390046296</v>
      </c>
      <c r="B229" t="s">
        <v>461</v>
      </c>
      <c r="C229" t="s">
        <v>624</v>
      </c>
      <c r="D229">
        <v>2430000</v>
      </c>
      <c r="E229" t="s">
        <v>305</v>
      </c>
      <c r="F229" s="21" t="str">
        <f t="shared" si="6"/>
        <v>rtdc.l.rtdc.4026:itc</v>
      </c>
      <c r="G229" s="8">
        <f t="shared" si="7"/>
        <v>42676.94390046296</v>
      </c>
    </row>
    <row r="230" spans="1:7" x14ac:dyDescent="0.25">
      <c r="A230" s="8">
        <v>42676.95244212963</v>
      </c>
      <c r="B230" t="s">
        <v>234</v>
      </c>
      <c r="C230" t="s">
        <v>625</v>
      </c>
      <c r="D230">
        <v>1300000</v>
      </c>
      <c r="E230" t="s">
        <v>113</v>
      </c>
      <c r="F230" s="21" t="str">
        <f t="shared" si="6"/>
        <v>rtdc.l.rtdc.4037:itc</v>
      </c>
      <c r="G230" s="8">
        <f t="shared" si="7"/>
        <v>42676.95244212963</v>
      </c>
    </row>
    <row r="231" spans="1:7" x14ac:dyDescent="0.25">
      <c r="A231" s="8">
        <v>42676.953043981484</v>
      </c>
      <c r="B231" t="s">
        <v>284</v>
      </c>
      <c r="C231" t="s">
        <v>626</v>
      </c>
      <c r="D231">
        <v>2000000</v>
      </c>
      <c r="E231" t="s">
        <v>332</v>
      </c>
      <c r="F231" s="21" t="str">
        <f t="shared" si="6"/>
        <v>rtdc.l.rtdc.4046:itc</v>
      </c>
      <c r="G231" s="8">
        <f t="shared" si="7"/>
        <v>42676.953043981484</v>
      </c>
    </row>
    <row r="232" spans="1:7" x14ac:dyDescent="0.25">
      <c r="A232" s="8">
        <v>42676.964259259257</v>
      </c>
      <c r="B232" t="s">
        <v>418</v>
      </c>
      <c r="C232" t="s">
        <v>627</v>
      </c>
      <c r="D232">
        <v>2610000</v>
      </c>
      <c r="E232" t="s">
        <v>587</v>
      </c>
      <c r="F232" s="21" t="str">
        <f t="shared" si="6"/>
        <v>rtdc.l.rtdc.4018:itc</v>
      </c>
      <c r="G232" s="8">
        <f t="shared" si="7"/>
        <v>42676.964259259257</v>
      </c>
    </row>
    <row r="233" spans="1:7" x14ac:dyDescent="0.25">
      <c r="A233" s="8">
        <v>42676.969386574077</v>
      </c>
      <c r="B233" t="s">
        <v>325</v>
      </c>
      <c r="C233" t="s">
        <v>628</v>
      </c>
      <c r="D233">
        <v>2250000</v>
      </c>
      <c r="E233" t="s">
        <v>286</v>
      </c>
      <c r="F233" s="21" t="str">
        <f t="shared" si="6"/>
        <v>rtdc.l.rtdc.4008:itc</v>
      </c>
      <c r="G233" s="8">
        <f t="shared" si="7"/>
        <v>42676.969386574077</v>
      </c>
    </row>
    <row r="234" spans="1:7" x14ac:dyDescent="0.25">
      <c r="A234" s="8">
        <v>42676.993252314816</v>
      </c>
      <c r="B234" t="s">
        <v>283</v>
      </c>
      <c r="C234" t="s">
        <v>629</v>
      </c>
      <c r="D234">
        <v>2000000</v>
      </c>
      <c r="E234" t="s">
        <v>332</v>
      </c>
      <c r="F234" s="21" t="str">
        <f t="shared" si="6"/>
        <v>rtdc.l.rtdc.4045:itc</v>
      </c>
      <c r="G234" s="8">
        <f t="shared" si="7"/>
        <v>42676.993252314816</v>
      </c>
    </row>
    <row r="235" spans="1:7" x14ac:dyDescent="0.25">
      <c r="A235" s="8">
        <v>42676.998506944445</v>
      </c>
      <c r="B235" t="s">
        <v>251</v>
      </c>
      <c r="C235" t="s">
        <v>630</v>
      </c>
      <c r="D235">
        <v>1300000</v>
      </c>
      <c r="E235" t="s">
        <v>113</v>
      </c>
      <c r="F235" s="21" t="str">
        <f t="shared" si="6"/>
        <v>rtdc.l.rtdc.4038:itc</v>
      </c>
      <c r="G235" s="8">
        <f t="shared" si="7"/>
        <v>42676.998506944445</v>
      </c>
    </row>
    <row r="236" spans="1:7" x14ac:dyDescent="0.25">
      <c r="A236" s="8">
        <v>42677.007326388892</v>
      </c>
      <c r="B236" t="s">
        <v>402</v>
      </c>
      <c r="C236" t="s">
        <v>631</v>
      </c>
      <c r="D236">
        <v>2610000</v>
      </c>
      <c r="E236" t="s">
        <v>587</v>
      </c>
      <c r="F236" s="21" t="str">
        <f t="shared" ref="F236:F265" si="8">B236</f>
        <v>rtdc.l.rtdc.4017:itc</v>
      </c>
      <c r="G236" s="8">
        <f t="shared" ref="G236:G265" si="9">A236</f>
        <v>42677.007326388892</v>
      </c>
    </row>
    <row r="237" spans="1:7" x14ac:dyDescent="0.25">
      <c r="A237" s="8">
        <v>42677.013749999998</v>
      </c>
      <c r="B237" t="s">
        <v>193</v>
      </c>
      <c r="C237" t="s">
        <v>632</v>
      </c>
      <c r="D237">
        <v>2250000</v>
      </c>
      <c r="E237" t="s">
        <v>286</v>
      </c>
      <c r="F237" s="21" t="str">
        <f t="shared" si="8"/>
        <v>rtdc.l.rtdc.4007:itc</v>
      </c>
      <c r="G237" s="8">
        <f t="shared" si="9"/>
        <v>42677.013749999998</v>
      </c>
    </row>
    <row r="238" spans="1:7" x14ac:dyDescent="0.25">
      <c r="A238" s="8">
        <v>42677.031666666669</v>
      </c>
      <c r="B238" t="s">
        <v>190</v>
      </c>
      <c r="C238" t="s">
        <v>633</v>
      </c>
      <c r="D238">
        <v>2000000</v>
      </c>
      <c r="E238" t="s">
        <v>332</v>
      </c>
      <c r="F238" s="21" t="str">
        <f t="shared" si="8"/>
        <v>rtdc.l.rtdc.4009:itc</v>
      </c>
      <c r="G238" s="8">
        <f t="shared" si="9"/>
        <v>42677.031666666669</v>
      </c>
    </row>
    <row r="239" spans="1:7" x14ac:dyDescent="0.25">
      <c r="A239" s="8">
        <v>42677.036238425928</v>
      </c>
      <c r="B239" t="s">
        <v>234</v>
      </c>
      <c r="C239" t="s">
        <v>634</v>
      </c>
      <c r="D239">
        <v>1300000</v>
      </c>
      <c r="E239" t="s">
        <v>113</v>
      </c>
      <c r="F239" s="21" t="str">
        <f t="shared" si="8"/>
        <v>rtdc.l.rtdc.4037:itc</v>
      </c>
      <c r="G239" s="8">
        <f t="shared" si="9"/>
        <v>42677.036238425928</v>
      </c>
    </row>
    <row r="240" spans="1:7" x14ac:dyDescent="0.25">
      <c r="A240" s="8">
        <v>42677.046249999999</v>
      </c>
      <c r="B240" t="s">
        <v>418</v>
      </c>
      <c r="C240" t="s">
        <v>635</v>
      </c>
      <c r="D240">
        <v>2610000</v>
      </c>
      <c r="E240" t="s">
        <v>587</v>
      </c>
      <c r="F240" s="21" t="str">
        <f t="shared" si="8"/>
        <v>rtdc.l.rtdc.4018:itc</v>
      </c>
      <c r="G240" s="8">
        <f t="shared" si="9"/>
        <v>42677.046249999999</v>
      </c>
    </row>
    <row r="241" spans="1:7" x14ac:dyDescent="0.25">
      <c r="A241" s="8">
        <v>42677.05505787037</v>
      </c>
      <c r="B241" t="s">
        <v>325</v>
      </c>
      <c r="C241" t="s">
        <v>433</v>
      </c>
      <c r="D241">
        <v>2250000</v>
      </c>
      <c r="E241" t="s">
        <v>286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251</v>
      </c>
      <c r="C242" t="s">
        <v>636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193</v>
      </c>
      <c r="C243" t="s">
        <v>637</v>
      </c>
      <c r="D243">
        <v>2250000</v>
      </c>
      <c r="E243" t="s">
        <v>286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240</v>
      </c>
      <c r="C244" t="s">
        <v>334</v>
      </c>
      <c r="D244">
        <v>2430000</v>
      </c>
      <c r="E244" t="s">
        <v>305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287</v>
      </c>
      <c r="C245" t="s">
        <v>333</v>
      </c>
      <c r="D245">
        <v>2000000</v>
      </c>
      <c r="E245" t="s">
        <v>332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228</v>
      </c>
      <c r="C246" t="s">
        <v>335</v>
      </c>
      <c r="D246">
        <v>2250000</v>
      </c>
      <c r="E246" t="s">
        <v>286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250</v>
      </c>
      <c r="C247" t="s">
        <v>336</v>
      </c>
      <c r="D247">
        <v>1800000</v>
      </c>
      <c r="E247" t="s">
        <v>274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302</v>
      </c>
      <c r="C248" t="s">
        <v>337</v>
      </c>
      <c r="D248">
        <v>2000000</v>
      </c>
      <c r="E248" t="s">
        <v>332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324</v>
      </c>
      <c r="C249" t="s">
        <v>338</v>
      </c>
      <c r="D249">
        <v>2480000</v>
      </c>
      <c r="E249" t="s">
        <v>307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258</v>
      </c>
      <c r="C250" t="s">
        <v>339</v>
      </c>
      <c r="D250">
        <v>2430000</v>
      </c>
      <c r="E250" t="s">
        <v>305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227</v>
      </c>
      <c r="C251" t="s">
        <v>340</v>
      </c>
      <c r="D251">
        <v>2250000</v>
      </c>
      <c r="E251" t="s">
        <v>286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296</v>
      </c>
      <c r="C252" t="s">
        <v>341</v>
      </c>
      <c r="D252">
        <v>1800000</v>
      </c>
      <c r="E252" t="s">
        <v>274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329</v>
      </c>
      <c r="C253" t="s">
        <v>342</v>
      </c>
      <c r="D253">
        <v>2480000</v>
      </c>
      <c r="E253" t="s">
        <v>307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240</v>
      </c>
      <c r="C254" t="s">
        <v>343</v>
      </c>
      <c r="D254">
        <v>2430000</v>
      </c>
      <c r="E254" t="s">
        <v>305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228</v>
      </c>
      <c r="C255" t="s">
        <v>344</v>
      </c>
      <c r="D255">
        <v>2250000</v>
      </c>
      <c r="E255" t="s">
        <v>286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250</v>
      </c>
      <c r="C256" t="s">
        <v>345</v>
      </c>
      <c r="D256">
        <v>1800000</v>
      </c>
      <c r="E256" t="s">
        <v>274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258</v>
      </c>
      <c r="C257" t="s">
        <v>346</v>
      </c>
      <c r="D257">
        <v>2430000</v>
      </c>
      <c r="E257" t="s">
        <v>305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324</v>
      </c>
      <c r="C258" t="s">
        <v>347</v>
      </c>
      <c r="D258">
        <v>2480000</v>
      </c>
      <c r="E258" t="s">
        <v>307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227</v>
      </c>
      <c r="C259" t="s">
        <v>328</v>
      </c>
      <c r="D259">
        <v>2250000</v>
      </c>
      <c r="E259" t="s">
        <v>286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296</v>
      </c>
      <c r="C260" t="s">
        <v>348</v>
      </c>
      <c r="D260">
        <v>1800000</v>
      </c>
      <c r="E260" t="s">
        <v>274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329</v>
      </c>
      <c r="C261" t="s">
        <v>349</v>
      </c>
      <c r="D261">
        <v>2480000</v>
      </c>
      <c r="E261" t="s">
        <v>307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250</v>
      </c>
      <c r="C262" t="s">
        <v>350</v>
      </c>
      <c r="D262">
        <v>1800000</v>
      </c>
      <c r="E262" t="s">
        <v>274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50.44</v>
      </c>
      <c r="B2" s="169">
        <v>0.09</v>
      </c>
      <c r="C2" s="169">
        <v>31.83</v>
      </c>
      <c r="D2" s="8">
        <v>42676</v>
      </c>
      <c r="E2" s="169">
        <v>0.49</v>
      </c>
      <c r="F2" s="169" t="s">
        <v>288</v>
      </c>
      <c r="G2" s="169">
        <v>256.26</v>
      </c>
      <c r="H2" s="169">
        <v>0</v>
      </c>
      <c r="I2" s="169">
        <v>0</v>
      </c>
      <c r="J2" s="169">
        <v>1015.18</v>
      </c>
      <c r="K2" s="169" t="s">
        <v>289</v>
      </c>
      <c r="L2" s="169">
        <v>50.44</v>
      </c>
      <c r="M2" s="169">
        <v>1478066400</v>
      </c>
      <c r="N2" s="169">
        <v>5.28</v>
      </c>
      <c r="O2" s="169">
        <v>356</v>
      </c>
      <c r="P2" s="169">
        <v>4.17</v>
      </c>
      <c r="Q2"/>
    </row>
    <row r="3" spans="1:17" x14ac:dyDescent="0.25">
      <c r="A3" s="169">
        <v>48.78</v>
      </c>
      <c r="B3" s="169">
        <v>0.19</v>
      </c>
      <c r="C3" s="169">
        <v>32.32</v>
      </c>
      <c r="D3" s="8">
        <v>42676.041666666664</v>
      </c>
      <c r="E3" s="169">
        <v>0.52</v>
      </c>
      <c r="F3" s="169" t="s">
        <v>288</v>
      </c>
      <c r="G3" s="169">
        <v>258.05</v>
      </c>
      <c r="H3" s="169">
        <v>0</v>
      </c>
      <c r="I3" s="169">
        <v>0</v>
      </c>
      <c r="J3" s="169">
        <v>1016.05</v>
      </c>
      <c r="K3" s="169" t="s">
        <v>289</v>
      </c>
      <c r="L3" s="169">
        <v>49.21</v>
      </c>
      <c r="M3" s="169">
        <v>1478070000</v>
      </c>
      <c r="N3" s="169">
        <v>5.69</v>
      </c>
      <c r="O3" s="169">
        <v>0</v>
      </c>
      <c r="P3" s="169">
        <v>3.01</v>
      </c>
      <c r="Q3"/>
    </row>
    <row r="4" spans="1:17" x14ac:dyDescent="0.25">
      <c r="A4" s="169">
        <v>46.87</v>
      </c>
      <c r="B4" s="169">
        <v>0.27</v>
      </c>
      <c r="C4" s="169">
        <v>32.47</v>
      </c>
      <c r="D4" s="8">
        <v>42676.083333333336</v>
      </c>
      <c r="E4" s="169">
        <v>0.56999999999999995</v>
      </c>
      <c r="F4" s="169" t="s">
        <v>259</v>
      </c>
      <c r="G4" s="169">
        <v>259.83</v>
      </c>
      <c r="H4" s="169">
        <v>0</v>
      </c>
      <c r="I4" s="169">
        <v>0</v>
      </c>
      <c r="J4" s="169">
        <v>1016.94</v>
      </c>
      <c r="K4" s="169" t="s">
        <v>260</v>
      </c>
      <c r="L4" s="169">
        <v>46.87</v>
      </c>
      <c r="M4" s="169">
        <v>1478073600</v>
      </c>
      <c r="N4" s="169">
        <v>5.48</v>
      </c>
      <c r="O4" s="169">
        <v>4</v>
      </c>
      <c r="P4" s="169">
        <v>2.94</v>
      </c>
      <c r="Q4"/>
    </row>
    <row r="5" spans="1:17" x14ac:dyDescent="0.25">
      <c r="A5" s="169">
        <v>45.26</v>
      </c>
      <c r="B5" s="169">
        <v>0.34</v>
      </c>
      <c r="C5" s="169">
        <v>32.630000000000003</v>
      </c>
      <c r="D5" s="8">
        <v>42676.125</v>
      </c>
      <c r="E5" s="169">
        <v>0.61</v>
      </c>
      <c r="F5" s="169" t="s">
        <v>259</v>
      </c>
      <c r="G5" s="169">
        <v>261.61</v>
      </c>
      <c r="H5" s="169">
        <v>0</v>
      </c>
      <c r="I5" s="169">
        <v>0</v>
      </c>
      <c r="J5" s="169">
        <v>1017.82</v>
      </c>
      <c r="K5" s="169" t="s">
        <v>260</v>
      </c>
      <c r="L5" s="169">
        <v>45.26</v>
      </c>
      <c r="M5" s="169">
        <v>1478077200</v>
      </c>
      <c r="N5" s="169">
        <v>4.6100000000000003</v>
      </c>
      <c r="O5" s="169">
        <v>346</v>
      </c>
      <c r="P5" s="169">
        <v>2.39</v>
      </c>
      <c r="Q5"/>
    </row>
    <row r="6" spans="1:17" x14ac:dyDescent="0.25">
      <c r="A6" s="169">
        <v>42.69</v>
      </c>
      <c r="B6" s="169">
        <v>0.45</v>
      </c>
      <c r="C6" s="169">
        <v>32.979999999999997</v>
      </c>
      <c r="D6" s="8">
        <v>42676.166666666664</v>
      </c>
      <c r="E6" s="169">
        <v>0.65</v>
      </c>
      <c r="F6" s="169" t="s">
        <v>259</v>
      </c>
      <c r="G6" s="169">
        <v>261.77</v>
      </c>
      <c r="H6" s="169">
        <v>0</v>
      </c>
      <c r="I6" s="169">
        <v>0</v>
      </c>
      <c r="J6" s="169">
        <v>1018.94</v>
      </c>
      <c r="K6" s="169" t="s">
        <v>260</v>
      </c>
      <c r="L6" s="169">
        <v>44.09</v>
      </c>
      <c r="M6" s="169">
        <v>1478080800</v>
      </c>
      <c r="N6" s="169">
        <v>4.1399999999999997</v>
      </c>
      <c r="O6" s="169">
        <v>341</v>
      </c>
      <c r="P6" s="169">
        <v>3.29</v>
      </c>
      <c r="Q6"/>
    </row>
    <row r="7" spans="1:17" x14ac:dyDescent="0.25">
      <c r="A7" s="169">
        <v>43.97</v>
      </c>
      <c r="B7" s="169">
        <v>0.57999999999999996</v>
      </c>
      <c r="C7" s="169">
        <v>33.44</v>
      </c>
      <c r="D7" s="8">
        <v>42676.208333333336</v>
      </c>
      <c r="E7" s="169">
        <v>0.66</v>
      </c>
      <c r="F7" s="169" t="s">
        <v>259</v>
      </c>
      <c r="G7" s="169">
        <v>261.27</v>
      </c>
      <c r="H7" s="169">
        <v>0</v>
      </c>
      <c r="I7" s="169">
        <v>0</v>
      </c>
      <c r="J7" s="169">
        <v>1020.21</v>
      </c>
      <c r="K7" s="169" t="s">
        <v>260</v>
      </c>
      <c r="L7" s="169">
        <v>43.97</v>
      </c>
      <c r="M7" s="169">
        <v>1478084400</v>
      </c>
      <c r="N7" s="169">
        <v>4.6100000000000003</v>
      </c>
      <c r="O7" s="169">
        <v>319</v>
      </c>
      <c r="P7" s="169">
        <v>2.88</v>
      </c>
      <c r="Q7"/>
    </row>
    <row r="8" spans="1:17" x14ac:dyDescent="0.25">
      <c r="A8" s="169">
        <v>43.73</v>
      </c>
      <c r="B8" s="169">
        <v>0.61</v>
      </c>
      <c r="C8" s="169">
        <v>33.81</v>
      </c>
      <c r="D8" s="8">
        <v>42676.25</v>
      </c>
      <c r="E8" s="169">
        <v>0.68</v>
      </c>
      <c r="F8" s="169" t="s">
        <v>259</v>
      </c>
      <c r="G8" s="169">
        <v>261.01</v>
      </c>
      <c r="H8" s="169">
        <v>0</v>
      </c>
      <c r="I8" s="169">
        <v>0</v>
      </c>
      <c r="J8" s="169">
        <v>1021.31</v>
      </c>
      <c r="K8" s="169" t="s">
        <v>262</v>
      </c>
      <c r="L8" s="169">
        <v>43.73</v>
      </c>
      <c r="M8" s="169">
        <v>1478088000</v>
      </c>
      <c r="N8" s="169">
        <v>4.74</v>
      </c>
      <c r="O8" s="169">
        <v>325</v>
      </c>
      <c r="P8" s="169">
        <v>2.2999999999999998</v>
      </c>
      <c r="Q8"/>
    </row>
    <row r="9" spans="1:17" x14ac:dyDescent="0.25">
      <c r="A9" s="169">
        <v>44.53</v>
      </c>
      <c r="B9" s="169">
        <v>0.51</v>
      </c>
      <c r="C9" s="169">
        <v>34.619999999999997</v>
      </c>
      <c r="D9" s="8">
        <v>42676.291666666664</v>
      </c>
      <c r="E9" s="169">
        <v>0.68</v>
      </c>
      <c r="F9" s="169" t="s">
        <v>259</v>
      </c>
      <c r="G9" s="169">
        <v>261.12</v>
      </c>
      <c r="H9" s="169">
        <v>0</v>
      </c>
      <c r="I9" s="169">
        <v>0</v>
      </c>
      <c r="J9" s="169">
        <v>1022.03</v>
      </c>
      <c r="K9" s="169" t="s">
        <v>260</v>
      </c>
      <c r="L9" s="169">
        <v>44.53</v>
      </c>
      <c r="M9" s="169">
        <v>1478091600</v>
      </c>
      <c r="N9" s="169">
        <v>3.57</v>
      </c>
      <c r="O9" s="169">
        <v>320</v>
      </c>
      <c r="P9" s="169">
        <v>2.0099999999999998</v>
      </c>
      <c r="Q9"/>
    </row>
    <row r="10" spans="1:17" x14ac:dyDescent="0.25">
      <c r="A10" s="169">
        <v>45.54</v>
      </c>
      <c r="B10" s="169">
        <v>0.31</v>
      </c>
      <c r="C10" s="169">
        <v>35.78</v>
      </c>
      <c r="D10" s="8">
        <v>42676.333333333336</v>
      </c>
      <c r="E10" s="169">
        <v>0.68</v>
      </c>
      <c r="F10" s="169" t="s">
        <v>261</v>
      </c>
      <c r="G10" s="169">
        <v>261.48</v>
      </c>
      <c r="H10" s="169">
        <v>0</v>
      </c>
      <c r="I10" s="169">
        <v>0</v>
      </c>
      <c r="J10" s="169">
        <v>1022.54</v>
      </c>
      <c r="K10" s="169" t="s">
        <v>260</v>
      </c>
      <c r="L10" s="169">
        <v>45.54</v>
      </c>
      <c r="M10" s="169">
        <v>1478095200</v>
      </c>
      <c r="N10" s="169">
        <v>10</v>
      </c>
      <c r="O10" s="169">
        <v>314</v>
      </c>
      <c r="P10" s="169">
        <v>2.52</v>
      </c>
      <c r="Q10"/>
    </row>
    <row r="11" spans="1:17" x14ac:dyDescent="0.25">
      <c r="A11" s="169">
        <v>47.69</v>
      </c>
      <c r="B11" s="169">
        <v>0.16</v>
      </c>
      <c r="C11" s="169">
        <v>37.770000000000003</v>
      </c>
      <c r="D11" s="8">
        <v>42676.375</v>
      </c>
      <c r="E11" s="169">
        <v>0.68</v>
      </c>
      <c r="F11" s="169" t="s">
        <v>638</v>
      </c>
      <c r="G11" s="169">
        <v>262.56</v>
      </c>
      <c r="H11" s="169">
        <v>0</v>
      </c>
      <c r="I11" s="169">
        <v>0</v>
      </c>
      <c r="J11" s="169">
        <v>1022.91</v>
      </c>
      <c r="K11" s="169" t="s">
        <v>289</v>
      </c>
      <c r="L11" s="169">
        <v>47.69</v>
      </c>
      <c r="M11" s="169">
        <v>1478098800</v>
      </c>
      <c r="N11" s="169">
        <v>2.9</v>
      </c>
      <c r="O11" s="169">
        <v>262</v>
      </c>
      <c r="P11" s="169">
        <v>0.85</v>
      </c>
      <c r="Q11"/>
    </row>
    <row r="12" spans="1:17" x14ac:dyDescent="0.25">
      <c r="A12" s="169">
        <v>50.46</v>
      </c>
      <c r="B12" s="169">
        <v>0.13</v>
      </c>
      <c r="C12" s="169">
        <v>39.53</v>
      </c>
      <c r="D12" s="8">
        <v>42676.416666666664</v>
      </c>
      <c r="E12" s="169">
        <v>0.66</v>
      </c>
      <c r="F12" s="169" t="s">
        <v>638</v>
      </c>
      <c r="G12" s="169">
        <v>265.02999999999997</v>
      </c>
      <c r="H12" s="169">
        <v>0</v>
      </c>
      <c r="I12" s="169">
        <v>0</v>
      </c>
      <c r="J12" s="169">
        <v>1023.14</v>
      </c>
      <c r="K12" s="169" t="s">
        <v>289</v>
      </c>
      <c r="L12" s="169">
        <v>50.46</v>
      </c>
      <c r="M12" s="169">
        <v>1478102400</v>
      </c>
      <c r="N12" s="169">
        <v>2.82</v>
      </c>
      <c r="O12" s="169">
        <v>69</v>
      </c>
      <c r="P12" s="169">
        <v>1.05</v>
      </c>
      <c r="Q12"/>
    </row>
    <row r="13" spans="1:17" x14ac:dyDescent="0.25">
      <c r="A13" s="169">
        <v>52.75</v>
      </c>
      <c r="B13" s="169">
        <v>0.16</v>
      </c>
      <c r="C13" s="169">
        <v>40.619999999999997</v>
      </c>
      <c r="D13" s="8">
        <v>42676.458333333336</v>
      </c>
      <c r="E13" s="169">
        <v>0.63</v>
      </c>
      <c r="F13" s="169" t="s">
        <v>638</v>
      </c>
      <c r="G13" s="169">
        <v>268.23</v>
      </c>
      <c r="H13" s="169">
        <v>0</v>
      </c>
      <c r="I13" s="169">
        <v>0</v>
      </c>
      <c r="J13" s="169">
        <v>1023.25</v>
      </c>
      <c r="K13" s="169" t="s">
        <v>289</v>
      </c>
      <c r="L13" s="169">
        <v>52.75</v>
      </c>
      <c r="M13" s="169">
        <v>1478106000</v>
      </c>
      <c r="N13" s="169">
        <v>2.81</v>
      </c>
      <c r="O13" s="169">
        <v>43</v>
      </c>
      <c r="P13" s="169">
        <v>1.98</v>
      </c>
      <c r="Q13"/>
    </row>
    <row r="14" spans="1:17" x14ac:dyDescent="0.25">
      <c r="A14" s="169">
        <v>55.91</v>
      </c>
      <c r="B14" s="169">
        <v>0.16</v>
      </c>
      <c r="C14" s="169">
        <v>37</v>
      </c>
      <c r="D14" s="8">
        <v>42676.5</v>
      </c>
      <c r="E14" s="169">
        <v>0.49</v>
      </c>
      <c r="F14" s="169" t="s">
        <v>638</v>
      </c>
      <c r="G14" s="169">
        <v>270.64999999999998</v>
      </c>
      <c r="H14" s="169">
        <v>0</v>
      </c>
      <c r="I14" s="169">
        <v>0</v>
      </c>
      <c r="J14" s="169">
        <v>1023.34</v>
      </c>
      <c r="K14" s="169" t="s">
        <v>289</v>
      </c>
      <c r="L14" s="169">
        <v>55.91</v>
      </c>
      <c r="M14" s="169">
        <v>1478109600</v>
      </c>
      <c r="N14" s="169">
        <v>2.81</v>
      </c>
      <c r="O14" s="169">
        <v>27</v>
      </c>
      <c r="P14" s="169">
        <v>1.75</v>
      </c>
      <c r="Q14"/>
    </row>
    <row r="15" spans="1:17" x14ac:dyDescent="0.25">
      <c r="A15" s="169">
        <v>59.39</v>
      </c>
      <c r="B15" s="169">
        <v>0.13</v>
      </c>
      <c r="C15" s="169">
        <v>36.630000000000003</v>
      </c>
      <c r="D15" s="8">
        <v>42676.541666666664</v>
      </c>
      <c r="E15" s="169">
        <v>0.43</v>
      </c>
      <c r="F15" s="169" t="s">
        <v>638</v>
      </c>
      <c r="G15" s="169">
        <v>271.49</v>
      </c>
      <c r="H15" s="169">
        <v>0</v>
      </c>
      <c r="I15" s="169">
        <v>0</v>
      </c>
      <c r="J15" s="169">
        <v>1023.37</v>
      </c>
      <c r="K15" s="169" t="s">
        <v>289</v>
      </c>
      <c r="L15" s="169">
        <v>59.39</v>
      </c>
      <c r="M15" s="169">
        <v>1478113200</v>
      </c>
      <c r="N15" s="169">
        <v>2.82</v>
      </c>
      <c r="O15" s="169">
        <v>32</v>
      </c>
      <c r="P15" s="169">
        <v>3.05</v>
      </c>
      <c r="Q15"/>
    </row>
    <row r="16" spans="1:17" x14ac:dyDescent="0.25">
      <c r="A16" s="169">
        <v>59.01</v>
      </c>
      <c r="B16" s="169">
        <v>0.1</v>
      </c>
      <c r="C16" s="169">
        <v>34.770000000000003</v>
      </c>
      <c r="D16" s="8">
        <v>42676.583333333336</v>
      </c>
      <c r="E16" s="169">
        <v>0.4</v>
      </c>
      <c r="F16" s="169" t="s">
        <v>638</v>
      </c>
      <c r="G16" s="169">
        <v>271.55</v>
      </c>
      <c r="H16" s="169">
        <v>0</v>
      </c>
      <c r="I16" s="169">
        <v>0</v>
      </c>
      <c r="J16" s="169">
        <v>1023.31</v>
      </c>
      <c r="K16" s="169" t="s">
        <v>289</v>
      </c>
      <c r="L16" s="169">
        <v>59.01</v>
      </c>
      <c r="M16" s="169">
        <v>1478116800</v>
      </c>
      <c r="N16" s="169">
        <v>2.82</v>
      </c>
      <c r="O16" s="169">
        <v>26</v>
      </c>
      <c r="P16" s="169">
        <v>4.0999999999999996</v>
      </c>
      <c r="Q16"/>
    </row>
    <row r="17" spans="1:17" x14ac:dyDescent="0.25">
      <c r="A17" s="169">
        <v>61.72</v>
      </c>
      <c r="B17" s="169">
        <v>0.06</v>
      </c>
      <c r="C17" s="169">
        <v>36.19</v>
      </c>
      <c r="D17" s="8">
        <v>42676.625</v>
      </c>
      <c r="E17" s="169">
        <v>0.39</v>
      </c>
      <c r="F17" s="169" t="s">
        <v>638</v>
      </c>
      <c r="G17" s="169">
        <v>271.74</v>
      </c>
      <c r="H17" s="169">
        <v>0</v>
      </c>
      <c r="I17" s="169">
        <v>0</v>
      </c>
      <c r="J17" s="169">
        <v>1023.33</v>
      </c>
      <c r="K17" s="169" t="s">
        <v>289</v>
      </c>
      <c r="L17" s="169">
        <v>61.72</v>
      </c>
      <c r="M17" s="169">
        <v>1478120400</v>
      </c>
      <c r="N17" s="169">
        <v>2.83</v>
      </c>
      <c r="O17" s="169">
        <v>28</v>
      </c>
      <c r="P17" s="169">
        <v>3.16</v>
      </c>
      <c r="Q17"/>
    </row>
    <row r="18" spans="1:17" x14ac:dyDescent="0.25">
      <c r="A18" s="169">
        <v>61.72</v>
      </c>
      <c r="B18" s="169">
        <v>0.06</v>
      </c>
      <c r="C18" s="169">
        <v>35.700000000000003</v>
      </c>
      <c r="D18" s="8">
        <v>42676.666666666664</v>
      </c>
      <c r="E18" s="169">
        <v>0.38</v>
      </c>
      <c r="F18" s="169" t="s">
        <v>638</v>
      </c>
      <c r="G18" s="169">
        <v>272.43</v>
      </c>
      <c r="H18" s="169">
        <v>0</v>
      </c>
      <c r="I18" s="169">
        <v>0</v>
      </c>
      <c r="J18" s="169">
        <v>1023.47</v>
      </c>
      <c r="K18" s="169" t="s">
        <v>289</v>
      </c>
      <c r="L18" s="169">
        <v>61.72</v>
      </c>
      <c r="M18" s="169">
        <v>1478124000</v>
      </c>
      <c r="N18" s="169">
        <v>2.86</v>
      </c>
      <c r="O18" s="169">
        <v>45</v>
      </c>
      <c r="P18" s="169">
        <v>3.33</v>
      </c>
      <c r="Q18"/>
    </row>
    <row r="19" spans="1:17" x14ac:dyDescent="0.25">
      <c r="A19" s="169">
        <v>59.65</v>
      </c>
      <c r="B19" s="169">
        <v>7.0000000000000007E-2</v>
      </c>
      <c r="C19" s="169">
        <v>34.53</v>
      </c>
      <c r="D19" s="8">
        <v>42676.708333333336</v>
      </c>
      <c r="E19" s="169">
        <v>0.39</v>
      </c>
      <c r="F19" s="169" t="s">
        <v>638</v>
      </c>
      <c r="G19" s="169">
        <v>273.25</v>
      </c>
      <c r="H19" s="169">
        <v>0</v>
      </c>
      <c r="I19" s="169">
        <v>0</v>
      </c>
      <c r="J19" s="169">
        <v>1023.58</v>
      </c>
      <c r="K19" s="169" t="s">
        <v>289</v>
      </c>
      <c r="L19" s="169">
        <v>59.65</v>
      </c>
      <c r="M19" s="169">
        <v>1478127600</v>
      </c>
      <c r="N19" s="169">
        <v>5.0199999999999996</v>
      </c>
      <c r="O19" s="169">
        <v>56</v>
      </c>
      <c r="P19" s="169">
        <v>3.64</v>
      </c>
      <c r="Q19"/>
    </row>
    <row r="20" spans="1:17" x14ac:dyDescent="0.25">
      <c r="A20" s="169">
        <v>57.32</v>
      </c>
      <c r="B20" s="169">
        <v>0.06</v>
      </c>
      <c r="C20" s="169">
        <v>33.630000000000003</v>
      </c>
      <c r="D20" s="8">
        <v>42676.75</v>
      </c>
      <c r="E20" s="169">
        <v>0.41</v>
      </c>
      <c r="F20" s="169" t="s">
        <v>288</v>
      </c>
      <c r="G20" s="169">
        <v>274</v>
      </c>
      <c r="H20" s="169">
        <v>0</v>
      </c>
      <c r="I20" s="169">
        <v>0</v>
      </c>
      <c r="J20" s="169">
        <v>1023.93</v>
      </c>
      <c r="K20" s="169" t="s">
        <v>289</v>
      </c>
      <c r="L20" s="169">
        <v>57.32</v>
      </c>
      <c r="M20" s="169">
        <v>1478131200</v>
      </c>
      <c r="N20" s="169">
        <v>5.42</v>
      </c>
      <c r="O20" s="169">
        <v>52</v>
      </c>
      <c r="P20" s="169">
        <v>2.57</v>
      </c>
      <c r="Q20"/>
    </row>
    <row r="21" spans="1:17" x14ac:dyDescent="0.25">
      <c r="A21" s="169">
        <v>52.7</v>
      </c>
      <c r="B21" s="169">
        <v>7.0000000000000007E-2</v>
      </c>
      <c r="C21" s="169">
        <v>32.39</v>
      </c>
      <c r="D21" s="8">
        <v>42676.791666666664</v>
      </c>
      <c r="E21" s="169">
        <v>0.46</v>
      </c>
      <c r="F21" s="169" t="s">
        <v>288</v>
      </c>
      <c r="G21" s="169">
        <v>274.69</v>
      </c>
      <c r="H21" s="169">
        <v>0</v>
      </c>
      <c r="I21" s="169">
        <v>0</v>
      </c>
      <c r="J21" s="169">
        <v>1024.8</v>
      </c>
      <c r="K21" s="169" t="s">
        <v>289</v>
      </c>
      <c r="L21" s="169">
        <v>52.7</v>
      </c>
      <c r="M21" s="169">
        <v>1478134800</v>
      </c>
      <c r="N21" s="169">
        <v>10</v>
      </c>
      <c r="O21" s="169">
        <v>62</v>
      </c>
      <c r="P21" s="169">
        <v>2</v>
      </c>
      <c r="Q21"/>
    </row>
    <row r="22" spans="1:17" x14ac:dyDescent="0.25">
      <c r="A22" s="169">
        <v>50.61</v>
      </c>
      <c r="B22" s="169">
        <v>0.04</v>
      </c>
      <c r="C22" s="169">
        <v>33.619999999999997</v>
      </c>
      <c r="D22" s="8">
        <v>42676.833333333336</v>
      </c>
      <c r="E22" s="169">
        <v>0.52</v>
      </c>
      <c r="F22" s="169" t="s">
        <v>288</v>
      </c>
      <c r="G22" s="169">
        <v>275.32</v>
      </c>
      <c r="H22" s="169">
        <v>0</v>
      </c>
      <c r="I22" s="169">
        <v>0</v>
      </c>
      <c r="J22" s="169">
        <v>1026.1099999999999</v>
      </c>
      <c r="K22" s="169" t="s">
        <v>289</v>
      </c>
      <c r="L22" s="169">
        <v>50.61</v>
      </c>
      <c r="M22" s="169">
        <v>1478138400</v>
      </c>
      <c r="N22" s="169">
        <v>6.77</v>
      </c>
      <c r="O22" s="169">
        <v>112</v>
      </c>
      <c r="P22" s="169">
        <v>1.26</v>
      </c>
      <c r="Q22"/>
    </row>
    <row r="23" spans="1:17" x14ac:dyDescent="0.25">
      <c r="A23" s="169">
        <v>48.89</v>
      </c>
      <c r="B23" s="169">
        <v>0.03</v>
      </c>
      <c r="C23" s="169">
        <v>33.549999999999997</v>
      </c>
      <c r="D23" s="8">
        <v>42676.875</v>
      </c>
      <c r="E23" s="169">
        <v>0.55000000000000004</v>
      </c>
      <c r="F23" s="169" t="s">
        <v>288</v>
      </c>
      <c r="G23" s="169">
        <v>275.57</v>
      </c>
      <c r="H23" s="169">
        <v>0</v>
      </c>
      <c r="I23" s="169">
        <v>0</v>
      </c>
      <c r="J23" s="169">
        <v>1027.1300000000001</v>
      </c>
      <c r="K23" s="169" t="s">
        <v>289</v>
      </c>
      <c r="L23" s="169">
        <v>48.89</v>
      </c>
      <c r="M23" s="169">
        <v>1478142000</v>
      </c>
      <c r="N23" s="169">
        <v>8.5500000000000007</v>
      </c>
      <c r="O23" s="169">
        <v>177</v>
      </c>
      <c r="P23" s="169">
        <v>1.8</v>
      </c>
      <c r="Q23"/>
    </row>
    <row r="24" spans="1:17" x14ac:dyDescent="0.25">
      <c r="A24" s="169">
        <v>47.03</v>
      </c>
      <c r="B24" s="169">
        <v>0.04</v>
      </c>
      <c r="C24" s="169">
        <v>33.229999999999997</v>
      </c>
      <c r="D24" s="8">
        <v>42676.916666666664</v>
      </c>
      <c r="E24" s="169">
        <v>0.57999999999999996</v>
      </c>
      <c r="F24" s="169" t="s">
        <v>288</v>
      </c>
      <c r="G24" s="169">
        <v>275.31</v>
      </c>
      <c r="H24" s="169">
        <v>0</v>
      </c>
      <c r="I24" s="169">
        <v>0</v>
      </c>
      <c r="J24" s="169">
        <v>1027.47</v>
      </c>
      <c r="K24" s="169" t="s">
        <v>289</v>
      </c>
      <c r="L24" s="169">
        <v>47.03</v>
      </c>
      <c r="M24" s="169">
        <v>1478145600</v>
      </c>
      <c r="N24" s="169">
        <v>8.35</v>
      </c>
      <c r="O24" s="169">
        <v>198</v>
      </c>
      <c r="P24" s="169">
        <v>2.91</v>
      </c>
      <c r="Q24"/>
    </row>
    <row r="25" spans="1:17" x14ac:dyDescent="0.25">
      <c r="A25" s="169">
        <v>44.27</v>
      </c>
      <c r="B25" s="169">
        <v>0.1</v>
      </c>
      <c r="C25" s="169">
        <v>33.020000000000003</v>
      </c>
      <c r="D25" s="8">
        <v>42676.958333333336</v>
      </c>
      <c r="E25" s="169">
        <v>0.62</v>
      </c>
      <c r="F25" s="169" t="s">
        <v>288</v>
      </c>
      <c r="G25" s="169">
        <v>274.69</v>
      </c>
      <c r="H25" s="169">
        <v>0</v>
      </c>
      <c r="I25" s="169">
        <v>0</v>
      </c>
      <c r="J25" s="169">
        <v>1027.43</v>
      </c>
      <c r="K25" s="169" t="s">
        <v>289</v>
      </c>
      <c r="L25" s="169">
        <v>45.33</v>
      </c>
      <c r="M25" s="169">
        <v>1478149200</v>
      </c>
      <c r="N25" s="169">
        <v>8.67</v>
      </c>
      <c r="O25" s="169">
        <v>202</v>
      </c>
      <c r="P25" s="169">
        <v>3.12</v>
      </c>
      <c r="Q25"/>
    </row>
    <row r="26" spans="1:17" x14ac:dyDescent="0.25">
      <c r="A26" s="169">
        <v>44.55</v>
      </c>
      <c r="B26" s="169">
        <v>0.04</v>
      </c>
      <c r="C26" s="169">
        <v>33</v>
      </c>
      <c r="D26" s="8">
        <v>42677</v>
      </c>
      <c r="E26" s="169">
        <v>0.64</v>
      </c>
      <c r="F26" s="169" t="s">
        <v>288</v>
      </c>
      <c r="G26" s="169">
        <v>273.87</v>
      </c>
      <c r="H26" s="169">
        <v>0</v>
      </c>
      <c r="I26" s="169">
        <v>0</v>
      </c>
      <c r="J26" s="169">
        <v>1027.56</v>
      </c>
      <c r="K26" s="169" t="s">
        <v>289</v>
      </c>
      <c r="L26" s="169">
        <v>44.55</v>
      </c>
      <c r="M26" s="169">
        <v>1478152800</v>
      </c>
      <c r="N26" s="169">
        <v>6.83</v>
      </c>
      <c r="O26" s="169">
        <v>204</v>
      </c>
      <c r="P26" s="169">
        <v>2.97</v>
      </c>
      <c r="Q26"/>
    </row>
    <row r="27" spans="1:17" x14ac:dyDescent="0.25">
      <c r="A27" s="169">
        <v>42.75</v>
      </c>
      <c r="B27" s="169">
        <v>0.05</v>
      </c>
      <c r="C27" s="169">
        <v>31.84</v>
      </c>
      <c r="D27" s="8">
        <v>42677.041666666664</v>
      </c>
      <c r="E27" s="169">
        <v>0.65</v>
      </c>
      <c r="F27" s="169" t="s">
        <v>288</v>
      </c>
      <c r="G27" s="169">
        <v>272.72000000000003</v>
      </c>
      <c r="H27" s="169">
        <v>0</v>
      </c>
      <c r="I27" s="169">
        <v>0</v>
      </c>
      <c r="J27" s="169">
        <v>1028.32</v>
      </c>
      <c r="K27" s="169" t="s">
        <v>289</v>
      </c>
      <c r="L27" s="169">
        <v>42.75</v>
      </c>
      <c r="M27" s="169">
        <v>1478156400</v>
      </c>
      <c r="N27" s="169">
        <v>9.9700000000000006</v>
      </c>
      <c r="O27" s="169">
        <v>198</v>
      </c>
      <c r="P27" s="169">
        <v>2.94</v>
      </c>
      <c r="Q27"/>
    </row>
    <row r="28" spans="1:17" x14ac:dyDescent="0.25">
      <c r="A28" s="169">
        <v>41.62</v>
      </c>
      <c r="B28" s="169">
        <v>0</v>
      </c>
      <c r="C28" s="169">
        <v>31.76</v>
      </c>
      <c r="D28" s="8">
        <v>42677.083333333336</v>
      </c>
      <c r="E28" s="169">
        <v>0.68</v>
      </c>
      <c r="F28" s="169" t="s">
        <v>288</v>
      </c>
      <c r="G28" s="169">
        <v>271.57</v>
      </c>
      <c r="H28" s="169">
        <v>0</v>
      </c>
      <c r="I28" s="169">
        <v>0</v>
      </c>
      <c r="J28" s="169">
        <v>1029.01</v>
      </c>
      <c r="K28" s="169" t="s">
        <v>289</v>
      </c>
      <c r="L28" s="169">
        <v>41.62</v>
      </c>
      <c r="M28" s="169">
        <v>1478160000</v>
      </c>
      <c r="N28" s="169">
        <v>6.93</v>
      </c>
      <c r="O28" s="169">
        <v>164</v>
      </c>
      <c r="P28" s="169">
        <v>1.97</v>
      </c>
      <c r="Q28"/>
    </row>
    <row r="29" spans="1:17" x14ac:dyDescent="0.25">
      <c r="A29" s="169">
        <v>39.83</v>
      </c>
      <c r="B29" s="169">
        <v>0</v>
      </c>
      <c r="C29" s="169">
        <v>30.6</v>
      </c>
      <c r="D29" s="8">
        <v>42677.125</v>
      </c>
      <c r="E29" s="169">
        <v>0.69</v>
      </c>
      <c r="F29" s="169" t="s">
        <v>288</v>
      </c>
      <c r="G29" s="169">
        <v>270.42</v>
      </c>
      <c r="H29" s="169">
        <v>0</v>
      </c>
      <c r="I29" s="169">
        <v>0</v>
      </c>
      <c r="J29" s="169">
        <v>1029.5999999999999</v>
      </c>
      <c r="K29" s="169" t="s">
        <v>289</v>
      </c>
      <c r="L29" s="169">
        <v>39.83</v>
      </c>
      <c r="M29" s="169">
        <v>1478163600</v>
      </c>
      <c r="N29" s="169">
        <v>4.88</v>
      </c>
      <c r="O29" s="169">
        <v>249</v>
      </c>
      <c r="P29" s="169">
        <v>2.52</v>
      </c>
      <c r="Q29"/>
    </row>
    <row r="31" spans="1:17" x14ac:dyDescent="0.25">
      <c r="A31" s="136" t="s">
        <v>223</v>
      </c>
    </row>
    <row r="33" spans="1:1" x14ac:dyDescent="0.25">
      <c r="A33" s="136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42676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225</v>
      </c>
      <c r="J17" s="33"/>
      <c r="K17" s="34"/>
      <c r="L17" s="34"/>
    </row>
    <row r="18" spans="3:13" x14ac:dyDescent="0.25">
      <c r="C18" t="s">
        <v>776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777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778</v>
      </c>
      <c r="J20" t="s">
        <v>87</v>
      </c>
      <c r="M20" s="68" t="s">
        <v>186</v>
      </c>
    </row>
    <row r="21" spans="3:13" x14ac:dyDescent="0.25">
      <c r="C21" t="s">
        <v>779</v>
      </c>
      <c r="J21" s="21" t="s">
        <v>90</v>
      </c>
      <c r="K21" s="21" t="s">
        <v>91</v>
      </c>
      <c r="M21" s="68" t="s">
        <v>188</v>
      </c>
    </row>
    <row r="22" spans="3:13" x14ac:dyDescent="0.25">
      <c r="C22" t="s">
        <v>780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781</v>
      </c>
      <c r="J23" s="29" t="s">
        <v>95</v>
      </c>
      <c r="K23" s="21"/>
      <c r="M23" s="69">
        <v>-6</v>
      </c>
    </row>
    <row r="24" spans="3:13" x14ac:dyDescent="0.25">
      <c r="C24" t="s">
        <v>782</v>
      </c>
      <c r="J24" s="21" t="s">
        <v>108</v>
      </c>
      <c r="K24" s="21"/>
      <c r="M24" s="68" t="s">
        <v>110</v>
      </c>
    </row>
    <row r="25" spans="3:13" x14ac:dyDescent="0.25">
      <c r="C25" t="s">
        <v>783</v>
      </c>
      <c r="J25" t="s">
        <v>151</v>
      </c>
      <c r="M25" s="68" t="b">
        <v>1</v>
      </c>
    </row>
    <row r="26" spans="3:13" x14ac:dyDescent="0.25">
      <c r="C26" t="s">
        <v>784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C:\Users\stu\Documents\GitHub\eaglep3-reporting\EC\2016-11-02-refined-times.txt</v>
      </c>
    </row>
    <row r="27" spans="3:13" x14ac:dyDescent="0.25">
      <c r="C27" t="s">
        <v>785</v>
      </c>
      <c r="J27" t="s">
        <v>199</v>
      </c>
      <c r="M27" s="68" t="str">
        <f>"C:\Users\stu\Documents\GitHub\eaglep3-reporting\EC\"&amp;TEXT(A2,"YYYY-MM-DD")&amp;"-Enforcements.txt"</f>
        <v>C:\Users\stu\Documents\GitHub\eaglep3-reporting\EC\2016-11-02-Enforcements.txt</v>
      </c>
    </row>
    <row r="28" spans="3:13" x14ac:dyDescent="0.25">
      <c r="C28" t="s">
        <v>786</v>
      </c>
      <c r="J28" t="s">
        <v>200</v>
      </c>
      <c r="M28" s="106" t="str">
        <f>"C:\Users\stu\Documents\GitHub\eaglep3-reporting\EC\"&amp;TEXT(A2,"YYYY-MM-DD")&amp;"-Runs-Refined.txt"</f>
        <v>C:\Users\stu\Documents\GitHub\eaglep3-reporting\EC\2016-11-02-Runs-Refined.txt</v>
      </c>
    </row>
    <row r="29" spans="3:13" x14ac:dyDescent="0.25">
      <c r="C29" t="s">
        <v>787</v>
      </c>
      <c r="J29" t="s">
        <v>201</v>
      </c>
      <c r="M29" s="106" t="str">
        <f>"C:\Users\stu\Documents\GitHub\eaglep3-reporting\EC\"&amp;TEXT(A2,"YYYY-MM-DD")&amp;"-Trips.txt"</f>
        <v>C:\Users\stu\Documents\GitHub\eaglep3-reporting\EC\2016-11-02-Trips.txt</v>
      </c>
    </row>
    <row r="30" spans="3:13" x14ac:dyDescent="0.25">
      <c r="C30" t="s">
        <v>788</v>
      </c>
      <c r="J30" t="s">
        <v>202</v>
      </c>
      <c r="M30" s="106" t="str">
        <f>"C:\Users\stu\Documents\GitHub\eaglep3-reporting\EC\"&amp;TEXT(A2,"YYYY-MM-DD")&amp;"-Weather.txt"</f>
        <v>C:\Users\stu\Documents\GitHub\eaglep3-reporting\EC\2016-11-02-Weather.txt</v>
      </c>
    </row>
    <row r="31" spans="3:13" x14ac:dyDescent="0.25">
      <c r="C31" t="s">
        <v>789</v>
      </c>
    </row>
    <row r="32" spans="3:13" x14ac:dyDescent="0.25">
      <c r="C32" t="s">
        <v>790</v>
      </c>
    </row>
    <row r="33" spans="3:3" x14ac:dyDescent="0.25">
      <c r="C33" t="s">
        <v>791</v>
      </c>
    </row>
    <row r="34" spans="3:3" x14ac:dyDescent="0.25">
      <c r="C34" t="s">
        <v>792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323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2016-11-03T16:08:46Z</dcterms:modified>
</cp:coreProperties>
</file>