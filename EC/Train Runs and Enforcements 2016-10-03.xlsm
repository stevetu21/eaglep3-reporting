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minimized="1"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Enforcements!$A$6:$AC$53</definedName>
    <definedName name="_xlnm._FilterDatabase" localSheetId="2" hidden="1">'Missing Trips'!$B$2:$I$2</definedName>
    <definedName name="_xlnm._FilterDatabase" localSheetId="0" hidden="1">'Train Runs'!$A$12:$AG$243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1" i="1" l="1"/>
  <c r="L191" i="1"/>
  <c r="M191" i="1"/>
  <c r="V191" i="1"/>
  <c r="Y191" i="1"/>
  <c r="Z191" i="1"/>
  <c r="AA191" i="1" s="1"/>
  <c r="AB191" i="1"/>
  <c r="AC191" i="1"/>
  <c r="AD191" i="1"/>
  <c r="T191" i="1" s="1"/>
  <c r="AE191" i="1"/>
  <c r="AF191" i="1"/>
  <c r="AH191" i="1"/>
  <c r="K140" i="1"/>
  <c r="L140" i="1"/>
  <c r="M140" i="1"/>
  <c r="V140" i="1"/>
  <c r="Y140" i="1"/>
  <c r="Z140" i="1"/>
  <c r="AA140" i="1" s="1"/>
  <c r="AB140" i="1"/>
  <c r="AC140" i="1"/>
  <c r="AD140" i="1"/>
  <c r="T140" i="1" s="1"/>
  <c r="AE140" i="1"/>
  <c r="AF140" i="1"/>
  <c r="AH140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AH130" i="1"/>
  <c r="K117" i="1"/>
  <c r="L117" i="1"/>
  <c r="M117" i="1"/>
  <c r="V117" i="1"/>
  <c r="Z117" i="1"/>
  <c r="AA117" i="1" s="1"/>
  <c r="AB117" i="1"/>
  <c r="AC117" i="1"/>
  <c r="AD117" i="1"/>
  <c r="T117" i="1" s="1"/>
  <c r="AE117" i="1"/>
  <c r="AF117" i="1"/>
  <c r="AH117" i="1"/>
  <c r="K54" i="1"/>
  <c r="L54" i="1"/>
  <c r="M54" i="1"/>
  <c r="V54" i="1"/>
  <c r="Y54" i="1"/>
  <c r="Z54" i="1"/>
  <c r="AB54" i="1"/>
  <c r="AC54" i="1"/>
  <c r="AD54" i="1"/>
  <c r="T54" i="1" s="1"/>
  <c r="AE54" i="1"/>
  <c r="AF54" i="1"/>
  <c r="AH54" i="1"/>
  <c r="K41" i="1"/>
  <c r="L41" i="1"/>
  <c r="M41" i="1"/>
  <c r="P41" i="1" s="1"/>
  <c r="V41" i="1"/>
  <c r="Y41" i="1"/>
  <c r="AA41" i="1" s="1"/>
  <c r="AB41" i="1"/>
  <c r="AC41" i="1"/>
  <c r="AD41" i="1"/>
  <c r="X41" i="1" s="1"/>
  <c r="AE41" i="1"/>
  <c r="AF41" i="1"/>
  <c r="AH41" i="1"/>
  <c r="K18" i="1"/>
  <c r="L18" i="1"/>
  <c r="M18" i="1"/>
  <c r="V18" i="1"/>
  <c r="Y18" i="1"/>
  <c r="Z18" i="1"/>
  <c r="AB18" i="1"/>
  <c r="AC18" i="1"/>
  <c r="AD18" i="1"/>
  <c r="T18" i="1" s="1"/>
  <c r="AE18" i="1"/>
  <c r="AF18" i="1"/>
  <c r="AH18" i="1"/>
  <c r="B14" i="6"/>
  <c r="F14" i="6" s="1"/>
  <c r="A4" i="6"/>
  <c r="A5" i="6" s="1"/>
  <c r="V14" i="1"/>
  <c r="S16" i="3" s="1"/>
  <c r="V15" i="1"/>
  <c r="S31" i="3" s="1"/>
  <c r="V16" i="1"/>
  <c r="V17" i="1"/>
  <c r="V19" i="1"/>
  <c r="V20" i="1"/>
  <c r="V21" i="1"/>
  <c r="V22" i="1"/>
  <c r="V23" i="1"/>
  <c r="S20" i="3" s="1"/>
  <c r="V24" i="1"/>
  <c r="V25" i="1"/>
  <c r="V26" i="1"/>
  <c r="V27" i="1"/>
  <c r="V28" i="1"/>
  <c r="V29" i="1"/>
  <c r="V30" i="1"/>
  <c r="V31" i="1"/>
  <c r="V32" i="1"/>
  <c r="V33" i="1"/>
  <c r="V34" i="1"/>
  <c r="S21" i="3" s="1"/>
  <c r="V35" i="1"/>
  <c r="V36" i="1"/>
  <c r="V37" i="1"/>
  <c r="V38" i="1"/>
  <c r="V39" i="1"/>
  <c r="S22" i="3" s="1"/>
  <c r="V40" i="1"/>
  <c r="V42" i="1"/>
  <c r="S23" i="3" s="1"/>
  <c r="V43" i="1"/>
  <c r="V44" i="1"/>
  <c r="V45" i="1"/>
  <c r="V46" i="1"/>
  <c r="V47" i="1"/>
  <c r="S15" i="3" s="1"/>
  <c r="V48" i="1"/>
  <c r="V49" i="1"/>
  <c r="V50" i="1"/>
  <c r="V51" i="1"/>
  <c r="V52" i="1"/>
  <c r="V53" i="1"/>
  <c r="V55" i="1"/>
  <c r="S24" i="3" s="1"/>
  <c r="V56" i="1"/>
  <c r="V57" i="1"/>
  <c r="V58" i="1"/>
  <c r="V59" i="1"/>
  <c r="V60" i="1"/>
  <c r="S19" i="3" s="1"/>
  <c r="V61" i="1"/>
  <c r="V62" i="1"/>
  <c r="V63" i="1"/>
  <c r="V64" i="1"/>
  <c r="V65" i="1"/>
  <c r="V66" i="1"/>
  <c r="V67" i="1"/>
  <c r="S10" i="3" s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S32" i="3" s="1"/>
  <c r="V91" i="1"/>
  <c r="V92" i="1"/>
  <c r="V93" i="1"/>
  <c r="V94" i="1"/>
  <c r="S7" i="3" s="1"/>
  <c r="V95" i="1"/>
  <c r="V96" i="1"/>
  <c r="V97" i="1"/>
  <c r="S29" i="3" s="1"/>
  <c r="V98" i="1"/>
  <c r="V99" i="1"/>
  <c r="V100" i="1"/>
  <c r="V101" i="1"/>
  <c r="V102" i="1"/>
  <c r="V103" i="1"/>
  <c r="V104" i="1"/>
  <c r="V105" i="1"/>
  <c r="S12" i="3" s="1"/>
  <c r="V106" i="1"/>
  <c r="S33" i="3" s="1"/>
  <c r="V107" i="1"/>
  <c r="V108" i="1"/>
  <c r="V109" i="1"/>
  <c r="S30" i="3" s="1"/>
  <c r="V110" i="1"/>
  <c r="S11" i="3" s="1"/>
  <c r="V111" i="1"/>
  <c r="S13" i="3" s="1"/>
  <c r="V112" i="1"/>
  <c r="V113" i="1"/>
  <c r="V114" i="1"/>
  <c r="V115" i="1"/>
  <c r="S25" i="3" s="1"/>
  <c r="V116" i="1"/>
  <c r="V118" i="1"/>
  <c r="V119" i="1"/>
  <c r="V120" i="1"/>
  <c r="V121" i="1"/>
  <c r="V122" i="1"/>
  <c r="V123" i="1"/>
  <c r="V124" i="1"/>
  <c r="V125" i="1"/>
  <c r="S14" i="3" s="1"/>
  <c r="V126" i="1"/>
  <c r="V127" i="1"/>
  <c r="V128" i="1"/>
  <c r="V129" i="1"/>
  <c r="V131" i="1"/>
  <c r="V132" i="1"/>
  <c r="V133" i="1"/>
  <c r="V134" i="1"/>
  <c r="V135" i="1"/>
  <c r="V136" i="1"/>
  <c r="V137" i="1"/>
  <c r="V138" i="1"/>
  <c r="V139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S42" i="3" s="1"/>
  <c r="V163" i="1"/>
  <c r="S37" i="3" s="1"/>
  <c r="V164" i="1"/>
  <c r="V165" i="1"/>
  <c r="S38" i="3" s="1"/>
  <c r="V166" i="1"/>
  <c r="S44" i="3" s="1"/>
  <c r="V167" i="1"/>
  <c r="V168" i="1"/>
  <c r="V169" i="1"/>
  <c r="V170" i="1"/>
  <c r="S45" i="3" s="1"/>
  <c r="V171" i="1"/>
  <c r="S40" i="3" s="1"/>
  <c r="V172" i="1"/>
  <c r="S46" i="3" s="1"/>
  <c r="V173" i="1"/>
  <c r="V174" i="1"/>
  <c r="V175" i="1"/>
  <c r="V176" i="1"/>
  <c r="V177" i="1"/>
  <c r="V178" i="1"/>
  <c r="V179" i="1"/>
  <c r="V180" i="1"/>
  <c r="V181" i="1"/>
  <c r="V182" i="1"/>
  <c r="V183" i="1"/>
  <c r="V184" i="1"/>
  <c r="S48" i="3" s="1"/>
  <c r="V185" i="1"/>
  <c r="S41" i="3" s="1"/>
  <c r="V186" i="1"/>
  <c r="V187" i="1"/>
  <c r="V188" i="1"/>
  <c r="V189" i="1"/>
  <c r="V190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S52" i="3" s="1"/>
  <c r="V204" i="1"/>
  <c r="V205" i="1"/>
  <c r="V206" i="1"/>
  <c r="V207" i="1"/>
  <c r="V208" i="1"/>
  <c r="S53" i="3" s="1"/>
  <c r="V13" i="1"/>
  <c r="U16" i="3"/>
  <c r="T16" i="3" s="1"/>
  <c r="V16" i="3"/>
  <c r="W16" i="3"/>
  <c r="X16" i="3"/>
  <c r="U8" i="3"/>
  <c r="T8" i="3" s="1"/>
  <c r="V8" i="3"/>
  <c r="W8" i="3"/>
  <c r="X8" i="3"/>
  <c r="AC8" i="3"/>
  <c r="U20" i="3"/>
  <c r="T20" i="3" s="1"/>
  <c r="V20" i="3"/>
  <c r="W20" i="3"/>
  <c r="X20" i="3"/>
  <c r="U42" i="3"/>
  <c r="T42" i="3" s="1"/>
  <c r="V42" i="3"/>
  <c r="W42" i="3"/>
  <c r="X42" i="3"/>
  <c r="AC42" i="3"/>
  <c r="U37" i="3"/>
  <c r="T37" i="3" s="1"/>
  <c r="V37" i="3"/>
  <c r="W37" i="3"/>
  <c r="X37" i="3"/>
  <c r="AC37" i="3"/>
  <c r="U38" i="3"/>
  <c r="T38" i="3" s="1"/>
  <c r="V38" i="3"/>
  <c r="W38" i="3"/>
  <c r="X38" i="3"/>
  <c r="U43" i="3"/>
  <c r="T43" i="3" s="1"/>
  <c r="V43" i="3"/>
  <c r="W43" i="3"/>
  <c r="X43" i="3"/>
  <c r="U44" i="3"/>
  <c r="T44" i="3" s="1"/>
  <c r="V44" i="3"/>
  <c r="W44" i="3"/>
  <c r="X44" i="3"/>
  <c r="AC44" i="3"/>
  <c r="U27" i="3"/>
  <c r="T27" i="3" s="1"/>
  <c r="V27" i="3"/>
  <c r="W27" i="3"/>
  <c r="X27" i="3"/>
  <c r="AC27" i="3"/>
  <c r="U39" i="3"/>
  <c r="T39" i="3" s="1"/>
  <c r="V39" i="3"/>
  <c r="W39" i="3"/>
  <c r="X39" i="3"/>
  <c r="U15" i="3"/>
  <c r="T15" i="3" s="1"/>
  <c r="V15" i="3"/>
  <c r="W15" i="3"/>
  <c r="X15" i="3"/>
  <c r="U21" i="3"/>
  <c r="T21" i="3" s="1"/>
  <c r="V21" i="3"/>
  <c r="W21" i="3"/>
  <c r="X21" i="3"/>
  <c r="AC21" i="3"/>
  <c r="U18" i="3"/>
  <c r="T18" i="3" s="1"/>
  <c r="V18" i="3"/>
  <c r="W18" i="3"/>
  <c r="X18" i="3"/>
  <c r="AC18" i="3"/>
  <c r="U45" i="3"/>
  <c r="T45" i="3" s="1"/>
  <c r="V45" i="3"/>
  <c r="W45" i="3"/>
  <c r="X45" i="3"/>
  <c r="U23" i="3"/>
  <c r="T23" i="3" s="1"/>
  <c r="V23" i="3"/>
  <c r="W23" i="3"/>
  <c r="X23" i="3"/>
  <c r="U40" i="3"/>
  <c r="T40" i="3" s="1"/>
  <c r="V40" i="3"/>
  <c r="W40" i="3"/>
  <c r="X40" i="3"/>
  <c r="U22" i="3"/>
  <c r="T22" i="3" s="1"/>
  <c r="V22" i="3"/>
  <c r="W22" i="3"/>
  <c r="X22" i="3"/>
  <c r="AC22" i="3"/>
  <c r="U46" i="3"/>
  <c r="T46" i="3" s="1"/>
  <c r="V46" i="3"/>
  <c r="W46" i="3"/>
  <c r="X46" i="3"/>
  <c r="AC46" i="3"/>
  <c r="U47" i="3"/>
  <c r="T47" i="3" s="1"/>
  <c r="V47" i="3"/>
  <c r="W47" i="3"/>
  <c r="X47" i="3"/>
  <c r="U9" i="3"/>
  <c r="T9" i="3" s="1"/>
  <c r="V9" i="3"/>
  <c r="W9" i="3"/>
  <c r="X9" i="3"/>
  <c r="AC9" i="3"/>
  <c r="U28" i="3"/>
  <c r="T28" i="3" s="1"/>
  <c r="V28" i="3"/>
  <c r="W28" i="3"/>
  <c r="X28" i="3"/>
  <c r="U26" i="3"/>
  <c r="T26" i="3" s="1"/>
  <c r="V26" i="3"/>
  <c r="W26" i="3"/>
  <c r="X26" i="3"/>
  <c r="U19" i="3"/>
  <c r="T19" i="3" s="1"/>
  <c r="V19" i="3"/>
  <c r="W19" i="3"/>
  <c r="X19" i="3"/>
  <c r="U24" i="3"/>
  <c r="T24" i="3" s="1"/>
  <c r="V24" i="3"/>
  <c r="W24" i="3"/>
  <c r="X24" i="3"/>
  <c r="AC24" i="3"/>
  <c r="U52" i="3"/>
  <c r="T52" i="3" s="1"/>
  <c r="V52" i="3"/>
  <c r="W52" i="3"/>
  <c r="X52" i="3"/>
  <c r="AC52" i="3"/>
  <c r="U10" i="3"/>
  <c r="T10" i="3" s="1"/>
  <c r="V10" i="3"/>
  <c r="W10" i="3"/>
  <c r="X10" i="3"/>
  <c r="AC10" i="3"/>
  <c r="U7" i="3"/>
  <c r="T7" i="3" s="1"/>
  <c r="V7" i="3"/>
  <c r="W7" i="3"/>
  <c r="X7" i="3"/>
  <c r="U17" i="3"/>
  <c r="T17" i="3" s="1"/>
  <c r="V17" i="3"/>
  <c r="W17" i="3"/>
  <c r="X17" i="3"/>
  <c r="AC17" i="3"/>
  <c r="U32" i="3"/>
  <c r="T32" i="3" s="1"/>
  <c r="V32" i="3"/>
  <c r="W32" i="3"/>
  <c r="X32" i="3"/>
  <c r="AC32" i="3"/>
  <c r="U29" i="3"/>
  <c r="T29" i="3" s="1"/>
  <c r="V29" i="3"/>
  <c r="W29" i="3"/>
  <c r="X29" i="3"/>
  <c r="U33" i="3"/>
  <c r="AC33" i="3" s="1"/>
  <c r="V33" i="3"/>
  <c r="W33" i="3"/>
  <c r="X33" i="3"/>
  <c r="U12" i="3"/>
  <c r="T12" i="3" s="1"/>
  <c r="V12" i="3"/>
  <c r="W12" i="3"/>
  <c r="X12" i="3"/>
  <c r="AC12" i="3"/>
  <c r="U11" i="3"/>
  <c r="T11" i="3" s="1"/>
  <c r="V11" i="3"/>
  <c r="W11" i="3"/>
  <c r="X11" i="3"/>
  <c r="AC11" i="3"/>
  <c r="U13" i="3"/>
  <c r="T13" i="3" s="1"/>
  <c r="V13" i="3"/>
  <c r="W13" i="3"/>
  <c r="X13" i="3"/>
  <c r="AC13" i="3"/>
  <c r="U30" i="3"/>
  <c r="AC30" i="3" s="1"/>
  <c r="V30" i="3"/>
  <c r="W30" i="3"/>
  <c r="X30" i="3"/>
  <c r="U25" i="3"/>
  <c r="T25" i="3" s="1"/>
  <c r="V25" i="3"/>
  <c r="W25" i="3"/>
  <c r="X25" i="3"/>
  <c r="AC25" i="3"/>
  <c r="U35" i="3"/>
  <c r="T35" i="3" s="1"/>
  <c r="V35" i="3"/>
  <c r="W35" i="3"/>
  <c r="X35" i="3"/>
  <c r="AC35" i="3"/>
  <c r="U36" i="3"/>
  <c r="T36" i="3" s="1"/>
  <c r="V36" i="3"/>
  <c r="W36" i="3"/>
  <c r="X36" i="3"/>
  <c r="U50" i="3"/>
  <c r="AC50" i="3" s="1"/>
  <c r="V50" i="3"/>
  <c r="W50" i="3"/>
  <c r="X50" i="3"/>
  <c r="U51" i="3"/>
  <c r="T51" i="3" s="1"/>
  <c r="V51" i="3"/>
  <c r="W51" i="3"/>
  <c r="X51" i="3"/>
  <c r="AC51" i="3"/>
  <c r="U48" i="3"/>
  <c r="T48" i="3" s="1"/>
  <c r="V48" i="3"/>
  <c r="W48" i="3"/>
  <c r="X48" i="3"/>
  <c r="AC48" i="3"/>
  <c r="U14" i="3"/>
  <c r="T14" i="3" s="1"/>
  <c r="V14" i="3"/>
  <c r="W14" i="3"/>
  <c r="X14" i="3"/>
  <c r="AC14" i="3"/>
  <c r="U41" i="3"/>
  <c r="AC41" i="3" s="1"/>
  <c r="V41" i="3"/>
  <c r="W41" i="3"/>
  <c r="X41" i="3"/>
  <c r="R49" i="3"/>
  <c r="S49" i="3"/>
  <c r="U49" i="3"/>
  <c r="T49" i="3" s="1"/>
  <c r="V49" i="3"/>
  <c r="W49" i="3"/>
  <c r="X49" i="3"/>
  <c r="AC49" i="3"/>
  <c r="U34" i="3"/>
  <c r="T34" i="3" s="1"/>
  <c r="V34" i="3"/>
  <c r="W34" i="3"/>
  <c r="X34" i="3"/>
  <c r="U53" i="3"/>
  <c r="T53" i="3" s="1"/>
  <c r="V53" i="3"/>
  <c r="W53" i="3"/>
  <c r="X53" i="3"/>
  <c r="M16" i="3"/>
  <c r="N16" i="3"/>
  <c r="M8" i="3"/>
  <c r="N8" i="3"/>
  <c r="M20" i="3"/>
  <c r="N20" i="3"/>
  <c r="M42" i="3"/>
  <c r="N42" i="3"/>
  <c r="M37" i="3"/>
  <c r="N37" i="3"/>
  <c r="M38" i="3"/>
  <c r="N38" i="3"/>
  <c r="M43" i="3"/>
  <c r="N43" i="3"/>
  <c r="M44" i="3"/>
  <c r="N44" i="3"/>
  <c r="M27" i="3"/>
  <c r="N27" i="3"/>
  <c r="M39" i="3"/>
  <c r="N39" i="3"/>
  <c r="M15" i="3"/>
  <c r="N15" i="3"/>
  <c r="M21" i="3"/>
  <c r="N21" i="3"/>
  <c r="M18" i="3"/>
  <c r="N18" i="3"/>
  <c r="M45" i="3"/>
  <c r="N45" i="3"/>
  <c r="M23" i="3"/>
  <c r="N23" i="3"/>
  <c r="M40" i="3"/>
  <c r="N40" i="3"/>
  <c r="M22" i="3"/>
  <c r="N22" i="3"/>
  <c r="M46" i="3"/>
  <c r="N46" i="3"/>
  <c r="M47" i="3"/>
  <c r="N47" i="3"/>
  <c r="M9" i="3"/>
  <c r="N9" i="3"/>
  <c r="M28" i="3"/>
  <c r="N28" i="3"/>
  <c r="M26" i="3"/>
  <c r="N26" i="3"/>
  <c r="M19" i="3"/>
  <c r="N19" i="3"/>
  <c r="M24" i="3"/>
  <c r="N24" i="3"/>
  <c r="M52" i="3"/>
  <c r="N52" i="3"/>
  <c r="M10" i="3"/>
  <c r="N10" i="3"/>
  <c r="M7" i="3"/>
  <c r="N7" i="3"/>
  <c r="M17" i="3"/>
  <c r="N17" i="3"/>
  <c r="M32" i="3"/>
  <c r="N32" i="3"/>
  <c r="M29" i="3"/>
  <c r="N29" i="3"/>
  <c r="M33" i="3"/>
  <c r="N33" i="3"/>
  <c r="M12" i="3"/>
  <c r="N12" i="3"/>
  <c r="M11" i="3"/>
  <c r="N11" i="3"/>
  <c r="M13" i="3"/>
  <c r="N13" i="3"/>
  <c r="M30" i="3"/>
  <c r="N30" i="3"/>
  <c r="M25" i="3"/>
  <c r="N25" i="3"/>
  <c r="M35" i="3"/>
  <c r="N35" i="3"/>
  <c r="M36" i="3"/>
  <c r="N36" i="3"/>
  <c r="M50" i="3"/>
  <c r="N50" i="3"/>
  <c r="M51" i="3"/>
  <c r="N51" i="3"/>
  <c r="M48" i="3"/>
  <c r="N48" i="3"/>
  <c r="M14" i="3"/>
  <c r="N14" i="3"/>
  <c r="M41" i="3"/>
  <c r="N41" i="3"/>
  <c r="M49" i="3"/>
  <c r="N49" i="3"/>
  <c r="M34" i="3"/>
  <c r="N34" i="3"/>
  <c r="M53" i="3"/>
  <c r="N53" i="3"/>
  <c r="U31" i="3"/>
  <c r="T31" i="3" s="1"/>
  <c r="V31" i="3"/>
  <c r="W31" i="3"/>
  <c r="X31" i="3"/>
  <c r="K14" i="1"/>
  <c r="L14" i="1"/>
  <c r="M14" i="1"/>
  <c r="N14" i="1" s="1"/>
  <c r="Y14" i="1"/>
  <c r="Z14" i="1"/>
  <c r="AB14" i="1"/>
  <c r="AC14" i="1"/>
  <c r="AD14" i="1"/>
  <c r="AE14" i="1"/>
  <c r="R16" i="3" s="1"/>
  <c r="AF14" i="1"/>
  <c r="K15" i="1"/>
  <c r="L15" i="1"/>
  <c r="M15" i="1"/>
  <c r="N15" i="1" s="1"/>
  <c r="Y15" i="1"/>
  <c r="Z15" i="1"/>
  <c r="AB15" i="1"/>
  <c r="AC15" i="1"/>
  <c r="AD15" i="1"/>
  <c r="T15" i="1" s="1"/>
  <c r="AE15" i="1"/>
  <c r="R31" i="3" s="1"/>
  <c r="AF15" i="1"/>
  <c r="K16" i="1"/>
  <c r="L16" i="1"/>
  <c r="M16" i="1"/>
  <c r="N16" i="1" s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Y17" i="1"/>
  <c r="Z17" i="1"/>
  <c r="AB17" i="1"/>
  <c r="AC17" i="1"/>
  <c r="AD17" i="1"/>
  <c r="T17" i="1" s="1"/>
  <c r="AE17" i="1"/>
  <c r="AF17" i="1"/>
  <c r="K19" i="1"/>
  <c r="L19" i="1"/>
  <c r="M19" i="1"/>
  <c r="N19" i="1" s="1"/>
  <c r="Y19" i="1"/>
  <c r="Z19" i="1"/>
  <c r="AB19" i="1"/>
  <c r="AC19" i="1"/>
  <c r="AD19" i="1"/>
  <c r="AE19" i="1"/>
  <c r="AF19" i="1"/>
  <c r="K20" i="1"/>
  <c r="L20" i="1"/>
  <c r="M20" i="1"/>
  <c r="N20" i="1" s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Y21" i="1"/>
  <c r="Z21" i="1"/>
  <c r="AB21" i="1"/>
  <c r="AC21" i="1"/>
  <c r="AD21" i="1"/>
  <c r="AE21" i="1"/>
  <c r="AF21" i="1"/>
  <c r="K22" i="1"/>
  <c r="L22" i="1"/>
  <c r="M22" i="1"/>
  <c r="N22" i="1" s="1"/>
  <c r="Y22" i="1"/>
  <c r="Z22" i="1"/>
  <c r="AB22" i="1"/>
  <c r="AC22" i="1"/>
  <c r="AD22" i="1"/>
  <c r="AE22" i="1"/>
  <c r="AF22" i="1"/>
  <c r="K23" i="1"/>
  <c r="L23" i="1"/>
  <c r="M23" i="1"/>
  <c r="N23" i="1" s="1"/>
  <c r="S8" i="3"/>
  <c r="Y23" i="1"/>
  <c r="Z23" i="1"/>
  <c r="AB23" i="1"/>
  <c r="AC23" i="1"/>
  <c r="AD23" i="1"/>
  <c r="AE23" i="1"/>
  <c r="R20" i="3" s="1"/>
  <c r="AF23" i="1"/>
  <c r="K24" i="1"/>
  <c r="L24" i="1"/>
  <c r="M24" i="1"/>
  <c r="N24" i="1" s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Y27" i="1"/>
  <c r="Z27" i="1"/>
  <c r="AB27" i="1"/>
  <c r="AC27" i="1"/>
  <c r="AD27" i="1"/>
  <c r="AE27" i="1"/>
  <c r="AF27" i="1"/>
  <c r="K28" i="1"/>
  <c r="L28" i="1"/>
  <c r="M28" i="1"/>
  <c r="N28" i="1" s="1"/>
  <c r="Y28" i="1"/>
  <c r="Z28" i="1"/>
  <c r="AB28" i="1"/>
  <c r="AC28" i="1"/>
  <c r="AD28" i="1"/>
  <c r="AE28" i="1"/>
  <c r="AF28" i="1"/>
  <c r="K29" i="1"/>
  <c r="L29" i="1"/>
  <c r="M29" i="1"/>
  <c r="N29" i="1" s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S27" i="3"/>
  <c r="Y30" i="1"/>
  <c r="Z30" i="1"/>
  <c r="AB30" i="1"/>
  <c r="AC30" i="1"/>
  <c r="AD30" i="1"/>
  <c r="AE30" i="1"/>
  <c r="R27" i="3" s="1"/>
  <c r="AF30" i="1"/>
  <c r="K31" i="1"/>
  <c r="L31" i="1"/>
  <c r="M31" i="1"/>
  <c r="N31" i="1" s="1"/>
  <c r="Y31" i="1"/>
  <c r="Z31" i="1"/>
  <c r="AB31" i="1"/>
  <c r="AC31" i="1"/>
  <c r="AD31" i="1"/>
  <c r="AE31" i="1"/>
  <c r="AF31" i="1"/>
  <c r="K32" i="1"/>
  <c r="L32" i="1"/>
  <c r="M32" i="1"/>
  <c r="N32" i="1" s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Y34" i="1"/>
  <c r="Z34" i="1"/>
  <c r="AB34" i="1"/>
  <c r="AC34" i="1"/>
  <c r="AD34" i="1"/>
  <c r="AE34" i="1"/>
  <c r="R21" i="3" s="1"/>
  <c r="AF34" i="1"/>
  <c r="K35" i="1"/>
  <c r="L35" i="1"/>
  <c r="M35" i="1"/>
  <c r="N35" i="1" s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Y37" i="1"/>
  <c r="Z37" i="1"/>
  <c r="AB37" i="1"/>
  <c r="AC37" i="1"/>
  <c r="AD37" i="1"/>
  <c r="AE37" i="1"/>
  <c r="AF37" i="1"/>
  <c r="K38" i="1"/>
  <c r="L38" i="1"/>
  <c r="M38" i="1"/>
  <c r="N38" i="1" s="1"/>
  <c r="Y38" i="1"/>
  <c r="Z38" i="1"/>
  <c r="AB38" i="1"/>
  <c r="AC38" i="1"/>
  <c r="AD38" i="1"/>
  <c r="AG38" i="1" s="1"/>
  <c r="AE38" i="1"/>
  <c r="AF38" i="1"/>
  <c r="K39" i="1"/>
  <c r="L39" i="1"/>
  <c r="M39" i="1"/>
  <c r="Y39" i="1"/>
  <c r="Z39" i="1"/>
  <c r="AB39" i="1"/>
  <c r="AC39" i="1"/>
  <c r="AD39" i="1"/>
  <c r="AE39" i="1"/>
  <c r="R22" i="3" s="1"/>
  <c r="AF39" i="1"/>
  <c r="K40" i="1"/>
  <c r="L40" i="1"/>
  <c r="M40" i="1"/>
  <c r="Y40" i="1"/>
  <c r="Z40" i="1"/>
  <c r="AB40" i="1"/>
  <c r="AC40" i="1"/>
  <c r="AD40" i="1"/>
  <c r="AG40" i="1" s="1"/>
  <c r="AE40" i="1"/>
  <c r="AF40" i="1"/>
  <c r="K42" i="1"/>
  <c r="L42" i="1"/>
  <c r="M42" i="1"/>
  <c r="N42" i="1" s="1"/>
  <c r="Y42" i="1"/>
  <c r="Z42" i="1"/>
  <c r="AB42" i="1"/>
  <c r="AC42" i="1"/>
  <c r="AD42" i="1"/>
  <c r="AG42" i="1" s="1"/>
  <c r="AE42" i="1"/>
  <c r="R18" i="3" s="1"/>
  <c r="AF42" i="1"/>
  <c r="K43" i="1"/>
  <c r="L43" i="1"/>
  <c r="M43" i="1"/>
  <c r="N43" i="1" s="1"/>
  <c r="Y43" i="1"/>
  <c r="Z43" i="1"/>
  <c r="AB43" i="1"/>
  <c r="AC43" i="1"/>
  <c r="AD43" i="1"/>
  <c r="AE43" i="1"/>
  <c r="AF43" i="1"/>
  <c r="K44" i="1"/>
  <c r="L44" i="1"/>
  <c r="M44" i="1"/>
  <c r="N44" i="1" s="1"/>
  <c r="S9" i="3"/>
  <c r="Y44" i="1"/>
  <c r="Z44" i="1"/>
  <c r="AB44" i="1"/>
  <c r="AC44" i="1"/>
  <c r="AD44" i="1"/>
  <c r="AE44" i="1"/>
  <c r="R9" i="3" s="1"/>
  <c r="AF44" i="1"/>
  <c r="K45" i="1"/>
  <c r="L45" i="1"/>
  <c r="M45" i="1"/>
  <c r="N45" i="1" s="1"/>
  <c r="Y45" i="1"/>
  <c r="Z45" i="1"/>
  <c r="AB45" i="1"/>
  <c r="AC45" i="1"/>
  <c r="AD45" i="1"/>
  <c r="AE45" i="1"/>
  <c r="AF45" i="1"/>
  <c r="K46" i="1"/>
  <c r="L46" i="1"/>
  <c r="M46" i="1"/>
  <c r="N46" i="1" s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Y47" i="1"/>
  <c r="Z47" i="1"/>
  <c r="AB47" i="1"/>
  <c r="AC47" i="1"/>
  <c r="AD47" i="1"/>
  <c r="AE47" i="1"/>
  <c r="R15" i="3" s="1"/>
  <c r="AF47" i="1"/>
  <c r="K48" i="1"/>
  <c r="L48" i="1"/>
  <c r="M48" i="1"/>
  <c r="N48" i="1" s="1"/>
  <c r="Y48" i="1"/>
  <c r="Z48" i="1"/>
  <c r="AB48" i="1"/>
  <c r="AC48" i="1"/>
  <c r="AD48" i="1"/>
  <c r="T48" i="1" s="1"/>
  <c r="AE48" i="1"/>
  <c r="AF48" i="1"/>
  <c r="K49" i="1"/>
  <c r="L49" i="1"/>
  <c r="M49" i="1"/>
  <c r="Y49" i="1"/>
  <c r="Z49" i="1"/>
  <c r="AB49" i="1"/>
  <c r="AC49" i="1"/>
  <c r="AD49" i="1"/>
  <c r="T49" i="1" s="1"/>
  <c r="AE49" i="1"/>
  <c r="AF49" i="1"/>
  <c r="K50" i="1"/>
  <c r="L50" i="1"/>
  <c r="M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Y53" i="1"/>
  <c r="Z53" i="1"/>
  <c r="AB53" i="1"/>
  <c r="AC53" i="1"/>
  <c r="AD53" i="1"/>
  <c r="T53" i="1" s="1"/>
  <c r="AE53" i="1"/>
  <c r="AF53" i="1"/>
  <c r="K55" i="1"/>
  <c r="L55" i="1"/>
  <c r="M55" i="1"/>
  <c r="P56" i="1" s="1"/>
  <c r="Y55" i="1"/>
  <c r="Z55" i="1"/>
  <c r="AB55" i="1"/>
  <c r="AC55" i="1"/>
  <c r="AD55" i="1"/>
  <c r="X55" i="1" s="1"/>
  <c r="AE55" i="1"/>
  <c r="R24" i="3" s="1"/>
  <c r="AF55" i="1"/>
  <c r="K56" i="1"/>
  <c r="L56" i="1"/>
  <c r="M56" i="1"/>
  <c r="Y56" i="1"/>
  <c r="Z56" i="1"/>
  <c r="AB56" i="1"/>
  <c r="AC56" i="1"/>
  <c r="AD56" i="1"/>
  <c r="T56" i="1" s="1"/>
  <c r="AE56" i="1"/>
  <c r="AF56" i="1"/>
  <c r="K57" i="1"/>
  <c r="L57" i="1"/>
  <c r="M57" i="1"/>
  <c r="P58" i="1" s="1"/>
  <c r="Y57" i="1"/>
  <c r="Z57" i="1"/>
  <c r="AB57" i="1"/>
  <c r="AC57" i="1"/>
  <c r="AD57" i="1"/>
  <c r="X58" i="1" s="1"/>
  <c r="AE57" i="1"/>
  <c r="AF57" i="1"/>
  <c r="K58" i="1"/>
  <c r="L58" i="1"/>
  <c r="M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Y59" i="1"/>
  <c r="Z59" i="1"/>
  <c r="AB59" i="1"/>
  <c r="AC59" i="1"/>
  <c r="AD59" i="1"/>
  <c r="AE59" i="1"/>
  <c r="AF59" i="1"/>
  <c r="K60" i="1"/>
  <c r="L60" i="1"/>
  <c r="M60" i="1"/>
  <c r="N60" i="1" s="1"/>
  <c r="Y60" i="1"/>
  <c r="Z60" i="1"/>
  <c r="AB60" i="1"/>
  <c r="AC60" i="1"/>
  <c r="AD60" i="1"/>
  <c r="AE60" i="1"/>
  <c r="R19" i="3" s="1"/>
  <c r="AF60" i="1"/>
  <c r="K61" i="1"/>
  <c r="L61" i="1"/>
  <c r="M61" i="1"/>
  <c r="N61" i="1" s="1"/>
  <c r="Y61" i="1"/>
  <c r="Z61" i="1"/>
  <c r="AB61" i="1"/>
  <c r="AC61" i="1"/>
  <c r="AD61" i="1"/>
  <c r="AE61" i="1"/>
  <c r="AF61" i="1"/>
  <c r="K62" i="1"/>
  <c r="L62" i="1"/>
  <c r="M62" i="1"/>
  <c r="N62" i="1" s="1"/>
  <c r="Y62" i="1"/>
  <c r="Z62" i="1"/>
  <c r="AB62" i="1"/>
  <c r="AC62" i="1"/>
  <c r="AD62" i="1"/>
  <c r="AG62" i="1" s="1"/>
  <c r="AE62" i="1"/>
  <c r="AF62" i="1"/>
  <c r="K63" i="1"/>
  <c r="L63" i="1"/>
  <c r="M63" i="1"/>
  <c r="P63" i="1" s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Y64" i="1"/>
  <c r="Z64" i="1"/>
  <c r="AB64" i="1"/>
  <c r="AC64" i="1"/>
  <c r="AD64" i="1"/>
  <c r="AE64" i="1"/>
  <c r="AF64" i="1"/>
  <c r="K65" i="1"/>
  <c r="L65" i="1"/>
  <c r="M65" i="1"/>
  <c r="N65" i="1" s="1"/>
  <c r="Y65" i="1"/>
  <c r="Z65" i="1"/>
  <c r="AB65" i="1"/>
  <c r="AC65" i="1"/>
  <c r="AD65" i="1"/>
  <c r="X66" i="1" s="1"/>
  <c r="AE65" i="1"/>
  <c r="AF65" i="1"/>
  <c r="K66" i="1"/>
  <c r="L66" i="1"/>
  <c r="M66" i="1"/>
  <c r="N66" i="1" s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Y67" i="1"/>
  <c r="Z67" i="1"/>
  <c r="AB67" i="1"/>
  <c r="AC67" i="1"/>
  <c r="AD67" i="1"/>
  <c r="AG67" i="1" s="1"/>
  <c r="AE67" i="1"/>
  <c r="R10" i="3" s="1"/>
  <c r="AF67" i="1"/>
  <c r="K68" i="1"/>
  <c r="L68" i="1"/>
  <c r="M68" i="1"/>
  <c r="N68" i="1" s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Y71" i="1"/>
  <c r="Z71" i="1"/>
  <c r="AB71" i="1"/>
  <c r="AC71" i="1"/>
  <c r="AD71" i="1"/>
  <c r="AE71" i="1"/>
  <c r="AF71" i="1"/>
  <c r="K72" i="1"/>
  <c r="L72" i="1"/>
  <c r="M72" i="1"/>
  <c r="N72" i="1" s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Y77" i="1"/>
  <c r="Z77" i="1"/>
  <c r="AB77" i="1"/>
  <c r="AC77" i="1"/>
  <c r="AD77" i="1"/>
  <c r="AE77" i="1"/>
  <c r="AF77" i="1"/>
  <c r="K78" i="1"/>
  <c r="L78" i="1"/>
  <c r="M78" i="1"/>
  <c r="N78" i="1" s="1"/>
  <c r="Y78" i="1"/>
  <c r="Z78" i="1"/>
  <c r="AB78" i="1"/>
  <c r="AC78" i="1"/>
  <c r="AD78" i="1"/>
  <c r="AE78" i="1"/>
  <c r="AF78" i="1"/>
  <c r="K79" i="1"/>
  <c r="L79" i="1"/>
  <c r="M79" i="1"/>
  <c r="N79" i="1" s="1"/>
  <c r="Y79" i="1"/>
  <c r="Z79" i="1"/>
  <c r="AB79" i="1"/>
  <c r="AC79" i="1"/>
  <c r="AD79" i="1"/>
  <c r="AE79" i="1"/>
  <c r="AF79" i="1"/>
  <c r="K80" i="1"/>
  <c r="L80" i="1"/>
  <c r="M80" i="1"/>
  <c r="N80" i="1" s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Y81" i="1"/>
  <c r="Z81" i="1"/>
  <c r="AB81" i="1"/>
  <c r="AC81" i="1"/>
  <c r="AD81" i="1"/>
  <c r="AE81" i="1"/>
  <c r="AF81" i="1"/>
  <c r="K82" i="1"/>
  <c r="L82" i="1"/>
  <c r="M82" i="1"/>
  <c r="N82" i="1" s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Y83" i="1"/>
  <c r="Z83" i="1"/>
  <c r="AB83" i="1"/>
  <c r="AC83" i="1"/>
  <c r="AD83" i="1"/>
  <c r="AE83" i="1"/>
  <c r="AF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Y85" i="1"/>
  <c r="Z85" i="1"/>
  <c r="AB85" i="1"/>
  <c r="AC85" i="1"/>
  <c r="AD85" i="1"/>
  <c r="AE85" i="1"/>
  <c r="AF85" i="1"/>
  <c r="K86" i="1"/>
  <c r="L86" i="1"/>
  <c r="M86" i="1"/>
  <c r="N86" i="1" s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Y87" i="1"/>
  <c r="Z87" i="1"/>
  <c r="AB87" i="1"/>
  <c r="AC87" i="1"/>
  <c r="AD87" i="1"/>
  <c r="AE87" i="1"/>
  <c r="AF87" i="1"/>
  <c r="K88" i="1"/>
  <c r="L88" i="1"/>
  <c r="M88" i="1"/>
  <c r="N88" i="1" s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Y89" i="1"/>
  <c r="Z89" i="1"/>
  <c r="AB89" i="1"/>
  <c r="AC89" i="1"/>
  <c r="AD89" i="1"/>
  <c r="AE89" i="1"/>
  <c r="AF89" i="1"/>
  <c r="K90" i="1"/>
  <c r="L90" i="1"/>
  <c r="M90" i="1"/>
  <c r="N90" i="1" s="1"/>
  <c r="Y90" i="1"/>
  <c r="Z90" i="1"/>
  <c r="AB90" i="1"/>
  <c r="AC90" i="1"/>
  <c r="AD90" i="1"/>
  <c r="T90" i="1" s="1"/>
  <c r="AE90" i="1"/>
  <c r="R32" i="3" s="1"/>
  <c r="AF90" i="1"/>
  <c r="K91" i="1"/>
  <c r="L91" i="1"/>
  <c r="M91" i="1"/>
  <c r="N91" i="1" s="1"/>
  <c r="Y91" i="1"/>
  <c r="Z91" i="1"/>
  <c r="AB91" i="1"/>
  <c r="AC91" i="1"/>
  <c r="AD91" i="1"/>
  <c r="AE91" i="1"/>
  <c r="AF91" i="1"/>
  <c r="K92" i="1"/>
  <c r="L92" i="1"/>
  <c r="M92" i="1"/>
  <c r="N92" i="1" s="1"/>
  <c r="Y92" i="1"/>
  <c r="Z92" i="1"/>
  <c r="AB92" i="1"/>
  <c r="AC92" i="1"/>
  <c r="AD92" i="1"/>
  <c r="AE92" i="1"/>
  <c r="AF92" i="1"/>
  <c r="K93" i="1"/>
  <c r="L93" i="1"/>
  <c r="M93" i="1"/>
  <c r="N93" i="1" s="1"/>
  <c r="Y93" i="1"/>
  <c r="Z93" i="1"/>
  <c r="AB93" i="1"/>
  <c r="AC93" i="1"/>
  <c r="AD93" i="1"/>
  <c r="AE93" i="1"/>
  <c r="AF93" i="1"/>
  <c r="K94" i="1"/>
  <c r="L94" i="1"/>
  <c r="M94" i="1"/>
  <c r="N94" i="1" s="1"/>
  <c r="Y94" i="1"/>
  <c r="Z94" i="1"/>
  <c r="AB94" i="1"/>
  <c r="AC94" i="1"/>
  <c r="AD94" i="1"/>
  <c r="AE94" i="1"/>
  <c r="R7" i="3" s="1"/>
  <c r="AF94" i="1"/>
  <c r="K95" i="1"/>
  <c r="L95" i="1"/>
  <c r="M95" i="1"/>
  <c r="N95" i="1" s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Y96" i="1"/>
  <c r="Z96" i="1"/>
  <c r="AB96" i="1"/>
  <c r="AC96" i="1"/>
  <c r="AD96" i="1"/>
  <c r="AE96" i="1"/>
  <c r="AF96" i="1"/>
  <c r="K97" i="1"/>
  <c r="L97" i="1"/>
  <c r="M97" i="1"/>
  <c r="N97" i="1" s="1"/>
  <c r="Y97" i="1"/>
  <c r="Z97" i="1"/>
  <c r="AB97" i="1"/>
  <c r="AC97" i="1"/>
  <c r="AD97" i="1"/>
  <c r="AE97" i="1"/>
  <c r="R29" i="3" s="1"/>
  <c r="AF97" i="1"/>
  <c r="K98" i="1"/>
  <c r="L98" i="1"/>
  <c r="M98" i="1"/>
  <c r="N98" i="1" s="1"/>
  <c r="Y98" i="1"/>
  <c r="Z98" i="1"/>
  <c r="AB98" i="1"/>
  <c r="AC98" i="1"/>
  <c r="AD98" i="1"/>
  <c r="AE98" i="1"/>
  <c r="AF98" i="1"/>
  <c r="K99" i="1"/>
  <c r="L99" i="1"/>
  <c r="M99" i="1"/>
  <c r="N99" i="1" s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Y103" i="1"/>
  <c r="Z103" i="1"/>
  <c r="AB103" i="1"/>
  <c r="AC103" i="1"/>
  <c r="AD103" i="1"/>
  <c r="AE103" i="1"/>
  <c r="AF103" i="1"/>
  <c r="K104" i="1"/>
  <c r="L104" i="1"/>
  <c r="M104" i="1"/>
  <c r="N104" i="1" s="1"/>
  <c r="Y104" i="1"/>
  <c r="Z104" i="1"/>
  <c r="AB104" i="1"/>
  <c r="AC104" i="1"/>
  <c r="AD104" i="1"/>
  <c r="AE104" i="1"/>
  <c r="AF104" i="1"/>
  <c r="K105" i="1"/>
  <c r="L105" i="1"/>
  <c r="M105" i="1"/>
  <c r="N105" i="1" s="1"/>
  <c r="Y105" i="1"/>
  <c r="Z105" i="1"/>
  <c r="AB105" i="1"/>
  <c r="AC105" i="1"/>
  <c r="AD105" i="1"/>
  <c r="AE105" i="1"/>
  <c r="R12" i="3" s="1"/>
  <c r="AF105" i="1"/>
  <c r="K106" i="1"/>
  <c r="L106" i="1"/>
  <c r="M106" i="1"/>
  <c r="N106" i="1" s="1"/>
  <c r="Y106" i="1"/>
  <c r="Z106" i="1"/>
  <c r="AB106" i="1"/>
  <c r="AC106" i="1"/>
  <c r="AD106" i="1"/>
  <c r="AG106" i="1" s="1"/>
  <c r="AE106" i="1"/>
  <c r="R33" i="3" s="1"/>
  <c r="AF106" i="1"/>
  <c r="K107" i="1"/>
  <c r="L107" i="1"/>
  <c r="M107" i="1"/>
  <c r="N107" i="1" s="1"/>
  <c r="Y107" i="1"/>
  <c r="Z107" i="1"/>
  <c r="AB107" i="1"/>
  <c r="AC107" i="1"/>
  <c r="AD107" i="1"/>
  <c r="AE107" i="1"/>
  <c r="AF107" i="1"/>
  <c r="K108" i="1"/>
  <c r="L108" i="1"/>
  <c r="M108" i="1"/>
  <c r="N108" i="1" s="1"/>
  <c r="Y108" i="1"/>
  <c r="Z108" i="1"/>
  <c r="AB108" i="1"/>
  <c r="AC108" i="1"/>
  <c r="AD108" i="1"/>
  <c r="AG108" i="1" s="1"/>
  <c r="AE108" i="1"/>
  <c r="AF108" i="1"/>
  <c r="K109" i="1"/>
  <c r="L109" i="1"/>
  <c r="M109" i="1"/>
  <c r="P109" i="1" s="1"/>
  <c r="Y109" i="1"/>
  <c r="Z109" i="1"/>
  <c r="AB109" i="1"/>
  <c r="AC109" i="1"/>
  <c r="AD109" i="1"/>
  <c r="AG109" i="1" s="1"/>
  <c r="AE109" i="1"/>
  <c r="R30" i="3" s="1"/>
  <c r="AF109" i="1"/>
  <c r="K110" i="1"/>
  <c r="L110" i="1"/>
  <c r="M110" i="1"/>
  <c r="N110" i="1" s="1"/>
  <c r="Y110" i="1"/>
  <c r="Z110" i="1"/>
  <c r="AB110" i="1"/>
  <c r="AC110" i="1"/>
  <c r="AD110" i="1"/>
  <c r="T110" i="1" s="1"/>
  <c r="AE110" i="1"/>
  <c r="R11" i="3" s="1"/>
  <c r="AF110" i="1"/>
  <c r="K111" i="1"/>
  <c r="L111" i="1"/>
  <c r="M111" i="1"/>
  <c r="N111" i="1" s="1"/>
  <c r="Y111" i="1"/>
  <c r="Z111" i="1"/>
  <c r="AB111" i="1"/>
  <c r="AC111" i="1"/>
  <c r="AD111" i="1"/>
  <c r="AG111" i="1" s="1"/>
  <c r="AE111" i="1"/>
  <c r="R13" i="3" s="1"/>
  <c r="AF111" i="1"/>
  <c r="K112" i="1"/>
  <c r="L112" i="1"/>
  <c r="M112" i="1"/>
  <c r="N112" i="1" s="1"/>
  <c r="Y112" i="1"/>
  <c r="Z112" i="1"/>
  <c r="AB112" i="1"/>
  <c r="AC112" i="1"/>
  <c r="AD112" i="1"/>
  <c r="AE112" i="1"/>
  <c r="AF112" i="1"/>
  <c r="K113" i="1"/>
  <c r="L113" i="1"/>
  <c r="M113" i="1"/>
  <c r="N113" i="1" s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Y115" i="1"/>
  <c r="Z115" i="1"/>
  <c r="AB115" i="1"/>
  <c r="AC115" i="1"/>
  <c r="AD115" i="1"/>
  <c r="AE115" i="1"/>
  <c r="R25" i="3" s="1"/>
  <c r="AF115" i="1"/>
  <c r="K116" i="1"/>
  <c r="L116" i="1"/>
  <c r="M116" i="1"/>
  <c r="N116" i="1" s="1"/>
  <c r="Y116" i="1"/>
  <c r="Z116" i="1"/>
  <c r="AB116" i="1"/>
  <c r="AC116" i="1"/>
  <c r="AD116" i="1"/>
  <c r="AG116" i="1" s="1"/>
  <c r="AE116" i="1"/>
  <c r="AF116" i="1"/>
  <c r="K118" i="1"/>
  <c r="L118" i="1"/>
  <c r="M118" i="1"/>
  <c r="N118" i="1" s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Y120" i="1"/>
  <c r="Z120" i="1"/>
  <c r="AB120" i="1"/>
  <c r="AC120" i="1"/>
  <c r="AD120" i="1"/>
  <c r="AE120" i="1"/>
  <c r="AF120" i="1"/>
  <c r="K121" i="1"/>
  <c r="L121" i="1"/>
  <c r="M121" i="1"/>
  <c r="N121" i="1" s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Y125" i="1"/>
  <c r="Z125" i="1"/>
  <c r="AB125" i="1"/>
  <c r="AC125" i="1"/>
  <c r="AD125" i="1"/>
  <c r="AE125" i="1"/>
  <c r="R14" i="3" s="1"/>
  <c r="AF125" i="1"/>
  <c r="K126" i="1"/>
  <c r="L126" i="1"/>
  <c r="M126" i="1"/>
  <c r="N126" i="1" s="1"/>
  <c r="Y126" i="1"/>
  <c r="Z126" i="1"/>
  <c r="AB126" i="1"/>
  <c r="AC126" i="1"/>
  <c r="AD126" i="1"/>
  <c r="AE126" i="1"/>
  <c r="AF126" i="1"/>
  <c r="K127" i="1"/>
  <c r="L127" i="1"/>
  <c r="M127" i="1"/>
  <c r="N127" i="1" s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Y129" i="1"/>
  <c r="Z129" i="1"/>
  <c r="AB129" i="1"/>
  <c r="AC129" i="1"/>
  <c r="AD129" i="1"/>
  <c r="AE129" i="1"/>
  <c r="AF129" i="1"/>
  <c r="K131" i="1"/>
  <c r="L131" i="1"/>
  <c r="M131" i="1"/>
  <c r="N131" i="1" s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Y133" i="1"/>
  <c r="Z133" i="1"/>
  <c r="AB133" i="1"/>
  <c r="AC133" i="1"/>
  <c r="AD133" i="1"/>
  <c r="AE133" i="1"/>
  <c r="AF133" i="1"/>
  <c r="K134" i="1"/>
  <c r="L134" i="1"/>
  <c r="M134" i="1"/>
  <c r="N134" i="1" s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Y136" i="1"/>
  <c r="Z136" i="1"/>
  <c r="AB136" i="1"/>
  <c r="AC136" i="1"/>
  <c r="AD136" i="1"/>
  <c r="AE136" i="1"/>
  <c r="AF136" i="1"/>
  <c r="K137" i="1"/>
  <c r="L137" i="1"/>
  <c r="M137" i="1"/>
  <c r="N137" i="1" s="1"/>
  <c r="Y137" i="1"/>
  <c r="Z137" i="1"/>
  <c r="AB137" i="1"/>
  <c r="AC137" i="1"/>
  <c r="AD137" i="1"/>
  <c r="T137" i="1" s="1"/>
  <c r="AE137" i="1"/>
  <c r="AF137" i="1"/>
  <c r="K138" i="1"/>
  <c r="L138" i="1"/>
  <c r="M138" i="1"/>
  <c r="P138" i="1" s="1"/>
  <c r="Y138" i="1"/>
  <c r="Z138" i="1"/>
  <c r="AB138" i="1"/>
  <c r="AC138" i="1"/>
  <c r="AD138" i="1"/>
  <c r="AE138" i="1"/>
  <c r="AF138" i="1"/>
  <c r="K139" i="1"/>
  <c r="L139" i="1"/>
  <c r="M139" i="1"/>
  <c r="N139" i="1" s="1"/>
  <c r="Y139" i="1"/>
  <c r="Z139" i="1"/>
  <c r="AB139" i="1"/>
  <c r="AC139" i="1"/>
  <c r="AD139" i="1"/>
  <c r="AG139" i="1" s="1"/>
  <c r="AE139" i="1"/>
  <c r="AF139" i="1"/>
  <c r="K141" i="1"/>
  <c r="L141" i="1"/>
  <c r="M141" i="1"/>
  <c r="N141" i="1" s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Y142" i="1"/>
  <c r="Z142" i="1"/>
  <c r="AB142" i="1"/>
  <c r="AC142" i="1"/>
  <c r="AD142" i="1"/>
  <c r="X142" i="1" s="1"/>
  <c r="AE142" i="1"/>
  <c r="AF142" i="1"/>
  <c r="K143" i="1"/>
  <c r="L143" i="1"/>
  <c r="M143" i="1"/>
  <c r="N143" i="1" s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Y144" i="1"/>
  <c r="Z144" i="1"/>
  <c r="AB144" i="1"/>
  <c r="AC144" i="1"/>
  <c r="AD144" i="1"/>
  <c r="AE144" i="1"/>
  <c r="AF144" i="1"/>
  <c r="K145" i="1"/>
  <c r="L145" i="1"/>
  <c r="M145" i="1"/>
  <c r="N145" i="1" s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Y146" i="1"/>
  <c r="Z146" i="1"/>
  <c r="AB146" i="1"/>
  <c r="AC146" i="1"/>
  <c r="AD146" i="1"/>
  <c r="AE146" i="1"/>
  <c r="AF146" i="1"/>
  <c r="K147" i="1"/>
  <c r="L147" i="1"/>
  <c r="M147" i="1"/>
  <c r="N147" i="1" s="1"/>
  <c r="Y147" i="1"/>
  <c r="Z147" i="1"/>
  <c r="AB147" i="1"/>
  <c r="AC147" i="1"/>
  <c r="AD147" i="1"/>
  <c r="AE147" i="1"/>
  <c r="AF147" i="1"/>
  <c r="K148" i="1"/>
  <c r="L148" i="1"/>
  <c r="M148" i="1"/>
  <c r="N148" i="1" s="1"/>
  <c r="Y148" i="1"/>
  <c r="Z148" i="1"/>
  <c r="AB148" i="1"/>
  <c r="AC148" i="1"/>
  <c r="AD148" i="1"/>
  <c r="AE148" i="1"/>
  <c r="AF148" i="1"/>
  <c r="K149" i="1"/>
  <c r="L149" i="1"/>
  <c r="M149" i="1"/>
  <c r="N149" i="1" s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Y153" i="1"/>
  <c r="Z153" i="1"/>
  <c r="AB153" i="1"/>
  <c r="AC153" i="1"/>
  <c r="AD153" i="1"/>
  <c r="AE153" i="1"/>
  <c r="AF153" i="1"/>
  <c r="K154" i="1"/>
  <c r="L154" i="1"/>
  <c r="M154" i="1"/>
  <c r="N154" i="1" s="1"/>
  <c r="Y154" i="1"/>
  <c r="Z154" i="1"/>
  <c r="AB154" i="1"/>
  <c r="AC154" i="1"/>
  <c r="AD154" i="1"/>
  <c r="AE154" i="1"/>
  <c r="AF154" i="1"/>
  <c r="K155" i="1"/>
  <c r="L155" i="1"/>
  <c r="M155" i="1"/>
  <c r="N155" i="1" s="1"/>
  <c r="Y155" i="1"/>
  <c r="Z155" i="1"/>
  <c r="AB155" i="1"/>
  <c r="AC155" i="1"/>
  <c r="AD155" i="1"/>
  <c r="AE155" i="1"/>
  <c r="AF155" i="1"/>
  <c r="K156" i="1"/>
  <c r="L156" i="1"/>
  <c r="M156" i="1"/>
  <c r="N156" i="1" s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Y157" i="1"/>
  <c r="Z157" i="1"/>
  <c r="AB157" i="1"/>
  <c r="AC157" i="1"/>
  <c r="AD157" i="1"/>
  <c r="AE157" i="1"/>
  <c r="AF157" i="1"/>
  <c r="K158" i="1"/>
  <c r="L158" i="1"/>
  <c r="M158" i="1"/>
  <c r="N158" i="1" s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Y160" i="1"/>
  <c r="Z160" i="1"/>
  <c r="AB160" i="1"/>
  <c r="AC160" i="1"/>
  <c r="AD160" i="1"/>
  <c r="AE160" i="1"/>
  <c r="AF160" i="1"/>
  <c r="K161" i="1"/>
  <c r="L161" i="1"/>
  <c r="M161" i="1"/>
  <c r="N161" i="1" s="1"/>
  <c r="Y161" i="1"/>
  <c r="Z161" i="1"/>
  <c r="AB161" i="1"/>
  <c r="AC161" i="1"/>
  <c r="AD161" i="1"/>
  <c r="AE161" i="1"/>
  <c r="AF161" i="1"/>
  <c r="K196" i="1"/>
  <c r="L196" i="1"/>
  <c r="M196" i="1"/>
  <c r="N196" i="1" s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Y197" i="1"/>
  <c r="Z197" i="1"/>
  <c r="AB197" i="1"/>
  <c r="AC197" i="1"/>
  <c r="AD197" i="1"/>
  <c r="AE197" i="1"/>
  <c r="AF197" i="1"/>
  <c r="K198" i="1"/>
  <c r="L198" i="1"/>
  <c r="M198" i="1"/>
  <c r="N198" i="1" s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Y200" i="1"/>
  <c r="Z200" i="1"/>
  <c r="AB200" i="1"/>
  <c r="AC200" i="1"/>
  <c r="AD200" i="1"/>
  <c r="AE200" i="1"/>
  <c r="AF200" i="1"/>
  <c r="K201" i="1"/>
  <c r="L201" i="1"/>
  <c r="M201" i="1"/>
  <c r="N201" i="1" s="1"/>
  <c r="Y201" i="1"/>
  <c r="Z201" i="1"/>
  <c r="AB201" i="1"/>
  <c r="AC201" i="1"/>
  <c r="AD201" i="1"/>
  <c r="T201" i="1" s="1"/>
  <c r="AE201" i="1"/>
  <c r="AF201" i="1"/>
  <c r="K203" i="1"/>
  <c r="L203" i="1"/>
  <c r="M203" i="1"/>
  <c r="N203" i="1" s="1"/>
  <c r="Y203" i="1"/>
  <c r="Z203" i="1"/>
  <c r="AB203" i="1"/>
  <c r="AC203" i="1"/>
  <c r="AD203" i="1"/>
  <c r="AG203" i="1" s="1"/>
  <c r="AE203" i="1"/>
  <c r="R52" i="3" s="1"/>
  <c r="AF203" i="1"/>
  <c r="K204" i="1"/>
  <c r="L204" i="1"/>
  <c r="M204" i="1"/>
  <c r="N204" i="1" s="1"/>
  <c r="Y204" i="1"/>
  <c r="Z204" i="1"/>
  <c r="AB204" i="1"/>
  <c r="AC204" i="1"/>
  <c r="AD204" i="1"/>
  <c r="AE204" i="1"/>
  <c r="AF204" i="1"/>
  <c r="K205" i="1"/>
  <c r="L205" i="1"/>
  <c r="M205" i="1"/>
  <c r="N205" i="1" s="1"/>
  <c r="Y205" i="1"/>
  <c r="Z205" i="1"/>
  <c r="AB205" i="1"/>
  <c r="AC205" i="1"/>
  <c r="AD205" i="1"/>
  <c r="AE205" i="1"/>
  <c r="AF205" i="1"/>
  <c r="K206" i="1"/>
  <c r="L206" i="1"/>
  <c r="M206" i="1"/>
  <c r="N206" i="1" s="1"/>
  <c r="S51" i="3"/>
  <c r="Y206" i="1"/>
  <c r="Z206" i="1"/>
  <c r="AB206" i="1"/>
  <c r="AC206" i="1"/>
  <c r="AD206" i="1"/>
  <c r="AE206" i="1"/>
  <c r="R51" i="3" s="1"/>
  <c r="AF206" i="1"/>
  <c r="K207" i="1"/>
  <c r="L207" i="1"/>
  <c r="M207" i="1"/>
  <c r="N207" i="1" s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Y208" i="1"/>
  <c r="Z208" i="1"/>
  <c r="AB208" i="1"/>
  <c r="AC208" i="1"/>
  <c r="AD208" i="1"/>
  <c r="AG208" i="1" s="1"/>
  <c r="AE208" i="1"/>
  <c r="R53" i="3" s="1"/>
  <c r="AF208" i="1"/>
  <c r="K162" i="1"/>
  <c r="L162" i="1"/>
  <c r="M162" i="1"/>
  <c r="N162" i="1" s="1"/>
  <c r="Y162" i="1"/>
  <c r="Z162" i="1"/>
  <c r="AB162" i="1"/>
  <c r="AC162" i="1"/>
  <c r="AD162" i="1"/>
  <c r="AG162" i="1" s="1"/>
  <c r="AE162" i="1"/>
  <c r="R42" i="3" s="1"/>
  <c r="AF162" i="1"/>
  <c r="K163" i="1"/>
  <c r="L163" i="1"/>
  <c r="M163" i="1"/>
  <c r="N163" i="1" s="1"/>
  <c r="Y163" i="1"/>
  <c r="Z163" i="1"/>
  <c r="AB163" i="1"/>
  <c r="AC163" i="1"/>
  <c r="AD163" i="1"/>
  <c r="AE163" i="1"/>
  <c r="R37" i="3" s="1"/>
  <c r="AF163" i="1"/>
  <c r="K164" i="1"/>
  <c r="L164" i="1"/>
  <c r="M164" i="1"/>
  <c r="N164" i="1" s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Y165" i="1"/>
  <c r="Z165" i="1"/>
  <c r="AB165" i="1"/>
  <c r="AC165" i="1"/>
  <c r="AD165" i="1"/>
  <c r="AG165" i="1" s="1"/>
  <c r="AE165" i="1"/>
  <c r="R38" i="3" s="1"/>
  <c r="AF165" i="1"/>
  <c r="K166" i="1"/>
  <c r="L166" i="1"/>
  <c r="M166" i="1"/>
  <c r="N166" i="1" s="1"/>
  <c r="Y166" i="1"/>
  <c r="Z166" i="1"/>
  <c r="AB166" i="1"/>
  <c r="AC166" i="1"/>
  <c r="AD166" i="1"/>
  <c r="AG166" i="1" s="1"/>
  <c r="AE166" i="1"/>
  <c r="R43" i="3" s="1"/>
  <c r="AF166" i="1"/>
  <c r="K167" i="1"/>
  <c r="L167" i="1"/>
  <c r="M167" i="1"/>
  <c r="N167" i="1" s="1"/>
  <c r="S39" i="3"/>
  <c r="Y167" i="1"/>
  <c r="Z167" i="1"/>
  <c r="AB167" i="1"/>
  <c r="AC167" i="1"/>
  <c r="AD167" i="1"/>
  <c r="AE167" i="1"/>
  <c r="R39" i="3" s="1"/>
  <c r="AF167" i="1"/>
  <c r="K168" i="1"/>
  <c r="L168" i="1"/>
  <c r="M168" i="1"/>
  <c r="N168" i="1" s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Y170" i="1"/>
  <c r="Z170" i="1"/>
  <c r="AB170" i="1"/>
  <c r="AC170" i="1"/>
  <c r="AD170" i="1"/>
  <c r="AE170" i="1"/>
  <c r="R45" i="3" s="1"/>
  <c r="AF170" i="1"/>
  <c r="K171" i="1"/>
  <c r="L171" i="1"/>
  <c r="M171" i="1"/>
  <c r="N171" i="1" s="1"/>
  <c r="Y171" i="1"/>
  <c r="Z171" i="1"/>
  <c r="AB171" i="1"/>
  <c r="AC171" i="1"/>
  <c r="AD171" i="1"/>
  <c r="T171" i="1" s="1"/>
  <c r="AE171" i="1"/>
  <c r="R40" i="3" s="1"/>
  <c r="AF171" i="1"/>
  <c r="K172" i="1"/>
  <c r="L172" i="1"/>
  <c r="M172" i="1"/>
  <c r="N172" i="1" s="1"/>
  <c r="Y172" i="1"/>
  <c r="Z172" i="1"/>
  <c r="AB172" i="1"/>
  <c r="AC172" i="1"/>
  <c r="AD172" i="1"/>
  <c r="T172" i="1" s="1"/>
  <c r="AE172" i="1"/>
  <c r="R47" i="3" s="1"/>
  <c r="AF172" i="1"/>
  <c r="K173" i="1"/>
  <c r="L173" i="1"/>
  <c r="M173" i="1"/>
  <c r="N173" i="1" s="1"/>
  <c r="Y173" i="1"/>
  <c r="Z173" i="1"/>
  <c r="AB173" i="1"/>
  <c r="AC173" i="1"/>
  <c r="AD173" i="1"/>
  <c r="AE173" i="1"/>
  <c r="AF173" i="1"/>
  <c r="K174" i="1"/>
  <c r="L174" i="1"/>
  <c r="M174" i="1"/>
  <c r="N174" i="1" s="1"/>
  <c r="Y174" i="1"/>
  <c r="Z174" i="1"/>
  <c r="AB174" i="1"/>
  <c r="AC174" i="1"/>
  <c r="AD174" i="1"/>
  <c r="AE174" i="1"/>
  <c r="AF174" i="1"/>
  <c r="K175" i="1"/>
  <c r="L175" i="1"/>
  <c r="M175" i="1"/>
  <c r="N175" i="1" s="1"/>
  <c r="Y175" i="1"/>
  <c r="Z175" i="1"/>
  <c r="AB175" i="1"/>
  <c r="AC175" i="1"/>
  <c r="AD175" i="1"/>
  <c r="AE175" i="1"/>
  <c r="AF175" i="1"/>
  <c r="K176" i="1"/>
  <c r="L176" i="1"/>
  <c r="M176" i="1"/>
  <c r="N176" i="1" s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Y179" i="1"/>
  <c r="Z179" i="1"/>
  <c r="AB179" i="1"/>
  <c r="AC179" i="1"/>
  <c r="AD179" i="1"/>
  <c r="AE179" i="1"/>
  <c r="AF179" i="1"/>
  <c r="K180" i="1"/>
  <c r="L180" i="1"/>
  <c r="M180" i="1"/>
  <c r="N180" i="1" s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S36" i="3"/>
  <c r="Y181" i="1"/>
  <c r="Z181" i="1"/>
  <c r="AB181" i="1"/>
  <c r="AC181" i="1"/>
  <c r="AD181" i="1"/>
  <c r="AG181" i="1" s="1"/>
  <c r="AE181" i="1"/>
  <c r="R35" i="3" s="1"/>
  <c r="AF181" i="1"/>
  <c r="K182" i="1"/>
  <c r="L182" i="1"/>
  <c r="M182" i="1"/>
  <c r="N182" i="1" s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Y183" i="1"/>
  <c r="Z183" i="1"/>
  <c r="AB183" i="1"/>
  <c r="AC183" i="1"/>
  <c r="AD183" i="1"/>
  <c r="AE183" i="1"/>
  <c r="AF183" i="1"/>
  <c r="K184" i="1"/>
  <c r="L184" i="1"/>
  <c r="M184" i="1"/>
  <c r="N184" i="1" s="1"/>
  <c r="Y184" i="1"/>
  <c r="Z184" i="1"/>
  <c r="AB184" i="1"/>
  <c r="AC184" i="1"/>
  <c r="AD184" i="1"/>
  <c r="AE184" i="1"/>
  <c r="R48" i="3" s="1"/>
  <c r="AF184" i="1"/>
  <c r="K185" i="1"/>
  <c r="L185" i="1"/>
  <c r="M185" i="1"/>
  <c r="N185" i="1" s="1"/>
  <c r="Y185" i="1"/>
  <c r="Z185" i="1"/>
  <c r="AB185" i="1"/>
  <c r="AC185" i="1"/>
  <c r="AD185" i="1"/>
  <c r="AG185" i="1" s="1"/>
  <c r="AE185" i="1"/>
  <c r="R41" i="3" s="1"/>
  <c r="AF185" i="1"/>
  <c r="K186" i="1"/>
  <c r="L186" i="1"/>
  <c r="M186" i="1"/>
  <c r="N186" i="1" s="1"/>
  <c r="Y186" i="1"/>
  <c r="Z186" i="1"/>
  <c r="AB186" i="1"/>
  <c r="AC186" i="1"/>
  <c r="AD186" i="1"/>
  <c r="T186" i="1" s="1"/>
  <c r="AE186" i="1"/>
  <c r="AF186" i="1"/>
  <c r="K187" i="1"/>
  <c r="L187" i="1"/>
  <c r="M187" i="1"/>
  <c r="P187" i="1" s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Y190" i="1"/>
  <c r="Z190" i="1"/>
  <c r="AB190" i="1"/>
  <c r="AC190" i="1"/>
  <c r="AD190" i="1"/>
  <c r="T190" i="1" s="1"/>
  <c r="AE190" i="1"/>
  <c r="AF190" i="1"/>
  <c r="K192" i="1"/>
  <c r="L192" i="1"/>
  <c r="M192" i="1"/>
  <c r="P192" i="1" s="1"/>
  <c r="S34" i="3"/>
  <c r="Y192" i="1"/>
  <c r="Z192" i="1"/>
  <c r="AB192" i="1"/>
  <c r="AC192" i="1"/>
  <c r="AD192" i="1"/>
  <c r="T192" i="1" s="1"/>
  <c r="AE192" i="1"/>
  <c r="R34" i="3" s="1"/>
  <c r="AF192" i="1"/>
  <c r="K193" i="1"/>
  <c r="L193" i="1"/>
  <c r="M193" i="1"/>
  <c r="N193" i="1" s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Y195" i="1"/>
  <c r="Z195" i="1"/>
  <c r="AB195" i="1"/>
  <c r="AC195" i="1"/>
  <c r="AD195" i="1"/>
  <c r="T195" i="1" s="1"/>
  <c r="AE195" i="1"/>
  <c r="AF195" i="1"/>
  <c r="K202" i="1"/>
  <c r="L202" i="1"/>
  <c r="M202" i="1"/>
  <c r="N202" i="1" s="1"/>
  <c r="Y202" i="1"/>
  <c r="Z202" i="1"/>
  <c r="AB202" i="1"/>
  <c r="AC202" i="1"/>
  <c r="AD202" i="1"/>
  <c r="T202" i="1" s="1"/>
  <c r="AE202" i="1"/>
  <c r="AF202" i="1"/>
  <c r="AC34" i="3" l="1"/>
  <c r="AI109" i="1"/>
  <c r="AG54" i="1"/>
  <c r="W54" i="1" s="1"/>
  <c r="AA162" i="1"/>
  <c r="W162" i="1" s="1"/>
  <c r="X112" i="1"/>
  <c r="X64" i="1"/>
  <c r="P40" i="1"/>
  <c r="AA27" i="1"/>
  <c r="X54" i="1"/>
  <c r="X140" i="1"/>
  <c r="X110" i="1"/>
  <c r="X19" i="1"/>
  <c r="X118" i="1"/>
  <c r="X141" i="1"/>
  <c r="X65" i="1"/>
  <c r="X113" i="1"/>
  <c r="X109" i="1"/>
  <c r="AG18" i="1"/>
  <c r="X42" i="1"/>
  <c r="X57" i="1"/>
  <c r="X132" i="1"/>
  <c r="X18" i="1"/>
  <c r="X108" i="1"/>
  <c r="AA54" i="1"/>
  <c r="X56" i="1"/>
  <c r="X131" i="1"/>
  <c r="X193" i="1"/>
  <c r="X63" i="1"/>
  <c r="X111" i="1"/>
  <c r="AA18" i="1"/>
  <c r="W18" i="1" s="1"/>
  <c r="X20" i="1"/>
  <c r="AA130" i="1"/>
  <c r="X192" i="1"/>
  <c r="AG191" i="1"/>
  <c r="X191" i="1"/>
  <c r="AG140" i="1"/>
  <c r="AG130" i="1"/>
  <c r="X130" i="1"/>
  <c r="Y46" i="3"/>
  <c r="Y29" i="3"/>
  <c r="AG117" i="1"/>
  <c r="X117" i="1"/>
  <c r="AC28" i="3"/>
  <c r="AC40" i="3"/>
  <c r="H14" i="6"/>
  <c r="U54" i="1"/>
  <c r="S54" i="1" s="1"/>
  <c r="Y47" i="3"/>
  <c r="G14" i="6"/>
  <c r="T41" i="1"/>
  <c r="AG41" i="1"/>
  <c r="W41" i="1" s="1"/>
  <c r="Y43" i="3"/>
  <c r="Y38" i="3"/>
  <c r="Y25" i="3"/>
  <c r="A6" i="6"/>
  <c r="B5" i="6"/>
  <c r="F5" i="6" s="1"/>
  <c r="I14" i="6"/>
  <c r="U18" i="1"/>
  <c r="S18" i="1" s="1"/>
  <c r="AI18" i="1"/>
  <c r="AC39" i="3"/>
  <c r="Y19" i="3"/>
  <c r="Y26" i="3"/>
  <c r="P50" i="1"/>
  <c r="Y36" i="3"/>
  <c r="Y17" i="3"/>
  <c r="Y7" i="3"/>
  <c r="Y45" i="3"/>
  <c r="AA84" i="1"/>
  <c r="R28" i="3"/>
  <c r="R23" i="3"/>
  <c r="AA114" i="1"/>
  <c r="W114" i="1" s="1"/>
  <c r="X91" i="1"/>
  <c r="X120" i="1"/>
  <c r="X80" i="1"/>
  <c r="X59" i="1"/>
  <c r="AG35" i="1"/>
  <c r="U35" i="1" s="1"/>
  <c r="S35" i="1" s="1"/>
  <c r="S26" i="3"/>
  <c r="Y33" i="3"/>
  <c r="Y10" i="3"/>
  <c r="Y42" i="3"/>
  <c r="Y53" i="3"/>
  <c r="Y41" i="3"/>
  <c r="Y50" i="3"/>
  <c r="Y28" i="3"/>
  <c r="Y8" i="3"/>
  <c r="Y32" i="3"/>
  <c r="Y23" i="3"/>
  <c r="Y21" i="3"/>
  <c r="Y37" i="3"/>
  <c r="AA176" i="1"/>
  <c r="W176" i="1" s="1"/>
  <c r="AA149" i="1"/>
  <c r="AA145" i="1"/>
  <c r="AA129" i="1"/>
  <c r="AA119" i="1"/>
  <c r="AA62" i="1"/>
  <c r="W62" i="1" s="1"/>
  <c r="AA57" i="1"/>
  <c r="S17" i="3"/>
  <c r="R46" i="3"/>
  <c r="AI189" i="1"/>
  <c r="AI185" i="1"/>
  <c r="AA185" i="1"/>
  <c r="W185" i="1" s="1"/>
  <c r="AI169" i="1"/>
  <c r="X92" i="1"/>
  <c r="S50" i="3"/>
  <c r="AI181" i="1"/>
  <c r="AI165" i="1"/>
  <c r="AG131" i="1"/>
  <c r="AI131" i="1" s="1"/>
  <c r="X96" i="1"/>
  <c r="R26" i="3"/>
  <c r="S47" i="3"/>
  <c r="AA161" i="1"/>
  <c r="AG159" i="1"/>
  <c r="U159" i="1" s="1"/>
  <c r="S159" i="1" s="1"/>
  <c r="X159" i="1"/>
  <c r="X138" i="1"/>
  <c r="AI134" i="1"/>
  <c r="AI124" i="1"/>
  <c r="AI102" i="1"/>
  <c r="AI75" i="1"/>
  <c r="AA67" i="1"/>
  <c r="W67" i="1" s="1"/>
  <c r="AG58" i="1"/>
  <c r="U58" i="1" s="1"/>
  <c r="R36" i="3"/>
  <c r="R44" i="3"/>
  <c r="AA205" i="1"/>
  <c r="X152" i="1"/>
  <c r="AI108" i="1"/>
  <c r="AA108" i="1"/>
  <c r="W108" i="1" s="1"/>
  <c r="AA22" i="1"/>
  <c r="AG20" i="1"/>
  <c r="AI20" i="1" s="1"/>
  <c r="R50" i="3"/>
  <c r="R17" i="3"/>
  <c r="S18" i="3"/>
  <c r="R8" i="3"/>
  <c r="AI194" i="1"/>
  <c r="AA193" i="1"/>
  <c r="X184" i="1"/>
  <c r="AA184" i="1"/>
  <c r="T203" i="1"/>
  <c r="U203" i="1" s="1"/>
  <c r="S203" i="1" s="1"/>
  <c r="AA199" i="1"/>
  <c r="W199" i="1" s="1"/>
  <c r="AA160" i="1"/>
  <c r="AA132" i="1"/>
  <c r="W132" i="1" s="1"/>
  <c r="AA104" i="1"/>
  <c r="AA101" i="1"/>
  <c r="AA74" i="1"/>
  <c r="AI68" i="1"/>
  <c r="AA63" i="1"/>
  <c r="AG49" i="1"/>
  <c r="AI49" i="1" s="1"/>
  <c r="AA45" i="1"/>
  <c r="S35" i="3"/>
  <c r="S43" i="3"/>
  <c r="AI116" i="1"/>
  <c r="AA116" i="1"/>
  <c r="W116" i="1" s="1"/>
  <c r="AG53" i="1"/>
  <c r="U53" i="1" s="1"/>
  <c r="S53" i="1" s="1"/>
  <c r="T108" i="1"/>
  <c r="U108" i="1" s="1"/>
  <c r="S108" i="1" s="1"/>
  <c r="AA26" i="1"/>
  <c r="S28" i="3"/>
  <c r="Y13" i="3"/>
  <c r="Y49" i="3"/>
  <c r="Y35" i="3"/>
  <c r="Y34" i="3"/>
  <c r="Y14" i="3"/>
  <c r="Y30" i="3"/>
  <c r="Y9" i="3"/>
  <c r="Y18" i="3"/>
  <c r="Y39" i="3"/>
  <c r="Y20" i="3"/>
  <c r="Y15" i="3"/>
  <c r="AC16" i="3"/>
  <c r="Y51" i="3"/>
  <c r="Y12" i="3"/>
  <c r="Y24" i="3"/>
  <c r="Y40" i="3"/>
  <c r="Y44" i="3"/>
  <c r="AC53" i="3"/>
  <c r="Y48" i="3"/>
  <c r="AC36" i="3"/>
  <c r="Y11" i="3"/>
  <c r="AC29" i="3"/>
  <c r="Y52" i="3"/>
  <c r="AC26" i="3"/>
  <c r="Y22" i="3"/>
  <c r="AC45" i="3"/>
  <c r="Y27" i="3"/>
  <c r="AC38" i="3"/>
  <c r="Y16" i="3"/>
  <c r="T41" i="3"/>
  <c r="T50" i="3"/>
  <c r="T30" i="3"/>
  <c r="T33" i="3"/>
  <c r="AC7" i="3"/>
  <c r="AC19" i="3"/>
  <c r="AC47" i="3"/>
  <c r="AC23" i="3"/>
  <c r="AC15" i="3"/>
  <c r="AC43" i="3"/>
  <c r="AC20" i="3"/>
  <c r="AA177" i="1"/>
  <c r="W177" i="1" s="1"/>
  <c r="AG207" i="1"/>
  <c r="U207" i="1" s="1"/>
  <c r="S207" i="1" s="1"/>
  <c r="X199" i="1"/>
  <c r="X198" i="1"/>
  <c r="AA156" i="1"/>
  <c r="AA146" i="1"/>
  <c r="T143" i="1"/>
  <c r="U143" i="1" s="1"/>
  <c r="S143" i="1" s="1"/>
  <c r="AI139" i="1"/>
  <c r="AA125" i="1"/>
  <c r="AA124" i="1"/>
  <c r="W124" i="1" s="1"/>
  <c r="AA123" i="1"/>
  <c r="AA112" i="1"/>
  <c r="AA102" i="1"/>
  <c r="W102" i="1" s="1"/>
  <c r="AG84" i="1"/>
  <c r="AI84" i="1" s="1"/>
  <c r="AI51" i="1"/>
  <c r="AI46" i="1"/>
  <c r="T29" i="1"/>
  <c r="U29" i="1" s="1"/>
  <c r="S29" i="1" s="1"/>
  <c r="AG17" i="1"/>
  <c r="U17" i="1" s="1"/>
  <c r="S17" i="1" s="1"/>
  <c r="AA159" i="1"/>
  <c r="AA157" i="1"/>
  <c r="AA152" i="1"/>
  <c r="W152" i="1" s="1"/>
  <c r="AA133" i="1"/>
  <c r="T111" i="1"/>
  <c r="U111" i="1" s="1"/>
  <c r="S111" i="1" s="1"/>
  <c r="AA96" i="1"/>
  <c r="AA92" i="1"/>
  <c r="AI88" i="1"/>
  <c r="AA76" i="1"/>
  <c r="W76" i="1" s="1"/>
  <c r="AA70" i="1"/>
  <c r="AG63" i="1"/>
  <c r="U63" i="1" s="1"/>
  <c r="S63" i="1" s="1"/>
  <c r="AA60" i="1"/>
  <c r="T50" i="1"/>
  <c r="AA47" i="1"/>
  <c r="AA42" i="1"/>
  <c r="W42" i="1" s="1"/>
  <c r="T40" i="1"/>
  <c r="U40" i="1" s="1"/>
  <c r="AA29" i="1"/>
  <c r="W29" i="1" s="1"/>
  <c r="AA180" i="1"/>
  <c r="W180" i="1" s="1"/>
  <c r="AA158" i="1"/>
  <c r="W158" i="1" s="1"/>
  <c r="AA153" i="1"/>
  <c r="AA148" i="1"/>
  <c r="AA144" i="1"/>
  <c r="AA122" i="1"/>
  <c r="AA93" i="1"/>
  <c r="AA71" i="1"/>
  <c r="AA56" i="1"/>
  <c r="AI50" i="1"/>
  <c r="AA30" i="1"/>
  <c r="Y31" i="3"/>
  <c r="AC31" i="3"/>
  <c r="T183" i="1"/>
  <c r="AG183" i="1"/>
  <c r="T22" i="1"/>
  <c r="AG22" i="1"/>
  <c r="AG21" i="1"/>
  <c r="AI21" i="1" s="1"/>
  <c r="T21" i="1"/>
  <c r="X21" i="1"/>
  <c r="AG144" i="1"/>
  <c r="W144" i="1" s="1"/>
  <c r="X144" i="1"/>
  <c r="T87" i="1"/>
  <c r="X87" i="1"/>
  <c r="AG87" i="1"/>
  <c r="AI87" i="1" s="1"/>
  <c r="T83" i="1"/>
  <c r="AG83" i="1"/>
  <c r="X60" i="1"/>
  <c r="AG60" i="1"/>
  <c r="AI60" i="1" s="1"/>
  <c r="T34" i="1"/>
  <c r="X35" i="1"/>
  <c r="AG34" i="1"/>
  <c r="AI34" i="1" s="1"/>
  <c r="AG204" i="1"/>
  <c r="T204" i="1"/>
  <c r="T104" i="1"/>
  <c r="AG104" i="1"/>
  <c r="W104" i="1" s="1"/>
  <c r="AG192" i="1"/>
  <c r="U192" i="1" s="1"/>
  <c r="S192" i="1" s="1"/>
  <c r="X204" i="1"/>
  <c r="AA194" i="1"/>
  <c r="W194" i="1" s="1"/>
  <c r="AG188" i="1"/>
  <c r="AI188" i="1" s="1"/>
  <c r="T180" i="1"/>
  <c r="T175" i="1"/>
  <c r="X175" i="1"/>
  <c r="AG175" i="1"/>
  <c r="AA174" i="1"/>
  <c r="AA173" i="1"/>
  <c r="AG171" i="1"/>
  <c r="U171" i="1" s="1"/>
  <c r="S171" i="1" s="1"/>
  <c r="X169" i="1"/>
  <c r="X168" i="1"/>
  <c r="AG168" i="1"/>
  <c r="U168" i="1" s="1"/>
  <c r="S168" i="1" s="1"/>
  <c r="AG151" i="1"/>
  <c r="AI151" i="1" s="1"/>
  <c r="T78" i="1"/>
  <c r="AG78" i="1"/>
  <c r="T55" i="1"/>
  <c r="AG55" i="1"/>
  <c r="AI55" i="1" s="1"/>
  <c r="T44" i="1"/>
  <c r="AG44" i="1"/>
  <c r="AI44" i="1" s="1"/>
  <c r="X44" i="1"/>
  <c r="T30" i="1"/>
  <c r="AG30" i="1"/>
  <c r="AA192" i="1"/>
  <c r="W192" i="1" s="1"/>
  <c r="AA190" i="1"/>
  <c r="AA183" i="1"/>
  <c r="W183" i="1" s="1"/>
  <c r="AG173" i="1"/>
  <c r="AI173" i="1" s="1"/>
  <c r="T173" i="1"/>
  <c r="AA165" i="1"/>
  <c r="W165" i="1" s="1"/>
  <c r="AA164" i="1"/>
  <c r="W164" i="1" s="1"/>
  <c r="T206" i="1"/>
  <c r="U206" i="1" s="1"/>
  <c r="S206" i="1" s="1"/>
  <c r="X206" i="1"/>
  <c r="AG206" i="1"/>
  <c r="AI206" i="1" s="1"/>
  <c r="X160" i="1"/>
  <c r="AG160" i="1"/>
  <c r="W160" i="1" s="1"/>
  <c r="T126" i="1"/>
  <c r="X126" i="1"/>
  <c r="AG126" i="1"/>
  <c r="T65" i="1"/>
  <c r="AG65" i="1"/>
  <c r="AI65" i="1" s="1"/>
  <c r="T28" i="1"/>
  <c r="AG28" i="1"/>
  <c r="AA111" i="1"/>
  <c r="W111" i="1" s="1"/>
  <c r="AA109" i="1"/>
  <c r="W109" i="1" s="1"/>
  <c r="X104" i="1"/>
  <c r="AA98" i="1"/>
  <c r="AA97" i="1"/>
  <c r="T91" i="1"/>
  <c r="AA75" i="1"/>
  <c r="W75" i="1" s="1"/>
  <c r="AA40" i="1"/>
  <c r="W40" i="1" s="1"/>
  <c r="AA32" i="1"/>
  <c r="W32" i="1" s="1"/>
  <c r="AA17" i="1"/>
  <c r="AA68" i="1"/>
  <c r="W68" i="1" s="1"/>
  <c r="AG48" i="1"/>
  <c r="U48" i="1" s="1"/>
  <c r="S48" i="1" s="1"/>
  <c r="AI42" i="1"/>
  <c r="X29" i="1"/>
  <c r="AA24" i="1"/>
  <c r="AA14" i="1"/>
  <c r="AA189" i="1"/>
  <c r="W189" i="1" s="1"/>
  <c r="AA181" i="1"/>
  <c r="W181" i="1" s="1"/>
  <c r="AA172" i="1"/>
  <c r="AA171" i="1"/>
  <c r="AA170" i="1"/>
  <c r="AA169" i="1"/>
  <c r="W169" i="1" s="1"/>
  <c r="AA167" i="1"/>
  <c r="AA208" i="1"/>
  <c r="W208" i="1" s="1"/>
  <c r="AA204" i="1"/>
  <c r="AA198" i="1"/>
  <c r="W198" i="1" s="1"/>
  <c r="X197" i="1"/>
  <c r="AA142" i="1"/>
  <c r="AA141" i="1"/>
  <c r="AA139" i="1"/>
  <c r="W139" i="1" s="1"/>
  <c r="AA136" i="1"/>
  <c r="AA134" i="1"/>
  <c r="W134" i="1" s="1"/>
  <c r="AA127" i="1"/>
  <c r="AA126" i="1"/>
  <c r="AG123" i="1"/>
  <c r="AI123" i="1" s="1"/>
  <c r="X123" i="1"/>
  <c r="AA120" i="1"/>
  <c r="AA115" i="1"/>
  <c r="T100" i="1"/>
  <c r="U100" i="1" s="1"/>
  <c r="S100" i="1" s="1"/>
  <c r="AG91" i="1"/>
  <c r="AI91" i="1" s="1"/>
  <c r="X88" i="1"/>
  <c r="AA88" i="1"/>
  <c r="W88" i="1" s="1"/>
  <c r="AG86" i="1"/>
  <c r="AI86" i="1" s="1"/>
  <c r="X84" i="1"/>
  <c r="AA83" i="1"/>
  <c r="AA80" i="1"/>
  <c r="W80" i="1" s="1"/>
  <c r="X79" i="1"/>
  <c r="AA78" i="1"/>
  <c r="X75" i="1"/>
  <c r="AA72" i="1"/>
  <c r="W72" i="1" s="1"/>
  <c r="AG69" i="1"/>
  <c r="AI69" i="1" s="1"/>
  <c r="X69" i="1"/>
  <c r="AA66" i="1"/>
  <c r="AA64" i="1"/>
  <c r="AA55" i="1"/>
  <c r="AA51" i="1"/>
  <c r="W51" i="1" s="1"/>
  <c r="X45" i="1"/>
  <c r="AA37" i="1"/>
  <c r="AA36" i="1"/>
  <c r="W36" i="1" s="1"/>
  <c r="AA34" i="1"/>
  <c r="AA21" i="1"/>
  <c r="AA19" i="1"/>
  <c r="AI176" i="1"/>
  <c r="AI164" i="1"/>
  <c r="AA202" i="1"/>
  <c r="AA195" i="1"/>
  <c r="X194" i="1"/>
  <c r="AG193" i="1"/>
  <c r="AA188" i="1"/>
  <c r="AG187" i="1"/>
  <c r="U187" i="1" s="1"/>
  <c r="S187" i="1" s="1"/>
  <c r="T185" i="1"/>
  <c r="U185" i="1" s="1"/>
  <c r="S185" i="1" s="1"/>
  <c r="T184" i="1"/>
  <c r="AA182" i="1"/>
  <c r="W182" i="1" s="1"/>
  <c r="AA178" i="1"/>
  <c r="W178" i="1" s="1"/>
  <c r="T176" i="1"/>
  <c r="U176" i="1" s="1"/>
  <c r="S176" i="1" s="1"/>
  <c r="AG172" i="1"/>
  <c r="U172" i="1" s="1"/>
  <c r="S172" i="1" s="1"/>
  <c r="X172" i="1"/>
  <c r="AA168" i="1"/>
  <c r="T164" i="1"/>
  <c r="U164" i="1" s="1"/>
  <c r="S164" i="1" s="1"/>
  <c r="AA207" i="1"/>
  <c r="AA201" i="1"/>
  <c r="AA200" i="1"/>
  <c r="T198" i="1"/>
  <c r="U198" i="1" s="1"/>
  <c r="S198" i="1" s="1"/>
  <c r="AG156" i="1"/>
  <c r="AI156" i="1" s="1"/>
  <c r="X156" i="1"/>
  <c r="AI36" i="1"/>
  <c r="X189" i="1"/>
  <c r="X188" i="1"/>
  <c r="X181" i="1"/>
  <c r="AI177" i="1"/>
  <c r="AG155" i="1"/>
  <c r="AI155" i="1" s="1"/>
  <c r="T155" i="1"/>
  <c r="AG148" i="1"/>
  <c r="AI148" i="1" s="1"/>
  <c r="X148" i="1"/>
  <c r="AI114" i="1"/>
  <c r="U180" i="1"/>
  <c r="S180" i="1" s="1"/>
  <c r="AG202" i="1"/>
  <c r="AI202" i="1" s="1"/>
  <c r="T194" i="1"/>
  <c r="U194" i="1" s="1"/>
  <c r="S194" i="1" s="1"/>
  <c r="AA187" i="1"/>
  <c r="AA186" i="1"/>
  <c r="X185" i="1"/>
  <c r="AG184" i="1"/>
  <c r="AI184" i="1" s="1"/>
  <c r="X180" i="1"/>
  <c r="X167" i="1"/>
  <c r="AA166" i="1"/>
  <c r="W166" i="1" s="1"/>
  <c r="AA203" i="1"/>
  <c r="W203" i="1" s="1"/>
  <c r="AG201" i="1"/>
  <c r="U201" i="1" s="1"/>
  <c r="S201" i="1" s="1"/>
  <c r="T199" i="1"/>
  <c r="U199" i="1" s="1"/>
  <c r="S199" i="1" s="1"/>
  <c r="AI152" i="1"/>
  <c r="AG147" i="1"/>
  <c r="T147" i="1"/>
  <c r="AI132" i="1"/>
  <c r="W74" i="1"/>
  <c r="T189" i="1"/>
  <c r="U189" i="1" s="1"/>
  <c r="S189" i="1" s="1"/>
  <c r="T169" i="1"/>
  <c r="U169" i="1" s="1"/>
  <c r="S169" i="1" s="1"/>
  <c r="X164" i="1"/>
  <c r="X203" i="1"/>
  <c r="T148" i="1"/>
  <c r="AI74" i="1"/>
  <c r="T152" i="1"/>
  <c r="U152" i="1" s="1"/>
  <c r="S152" i="1" s="1"/>
  <c r="T144" i="1"/>
  <c r="X139" i="1"/>
  <c r="AG119" i="1"/>
  <c r="T114" i="1"/>
  <c r="U114" i="1" s="1"/>
  <c r="S114" i="1" s="1"/>
  <c r="AG110" i="1"/>
  <c r="U110" i="1" s="1"/>
  <c r="S110" i="1" s="1"/>
  <c r="AG99" i="1"/>
  <c r="X99" i="1"/>
  <c r="T96" i="1"/>
  <c r="AA89" i="1"/>
  <c r="T88" i="1"/>
  <c r="U88" i="1" s="1"/>
  <c r="S88" i="1" s="1"/>
  <c r="AA82" i="1"/>
  <c r="AA81" i="1"/>
  <c r="T80" i="1"/>
  <c r="U80" i="1" s="1"/>
  <c r="S80" i="1" s="1"/>
  <c r="AA79" i="1"/>
  <c r="T79" i="1"/>
  <c r="AA77" i="1"/>
  <c r="AG70" i="1"/>
  <c r="W70" i="1" s="1"/>
  <c r="AI67" i="1"/>
  <c r="AG66" i="1"/>
  <c r="U66" i="1" s="1"/>
  <c r="S66" i="1" s="1"/>
  <c r="AA61" i="1"/>
  <c r="T60" i="1"/>
  <c r="T59" i="1"/>
  <c r="AG56" i="1"/>
  <c r="AA46" i="1"/>
  <c r="W46" i="1" s="1"/>
  <c r="T46" i="1"/>
  <c r="U46" i="1" s="1"/>
  <c r="S46" i="1" s="1"/>
  <c r="T45" i="1"/>
  <c r="AA38" i="1"/>
  <c r="W38" i="1" s="1"/>
  <c r="T36" i="1"/>
  <c r="U36" i="1" s="1"/>
  <c r="S36" i="1" s="1"/>
  <c r="AA33" i="1"/>
  <c r="W33" i="1" s="1"/>
  <c r="T33" i="1"/>
  <c r="U33" i="1" s="1"/>
  <c r="S33" i="1" s="1"/>
  <c r="T32" i="1"/>
  <c r="U32" i="1" s="1"/>
  <c r="S32" i="1" s="1"/>
  <c r="AA28" i="1"/>
  <c r="W28" i="1" s="1"/>
  <c r="X25" i="1"/>
  <c r="AG24" i="1"/>
  <c r="U24" i="1" s="1"/>
  <c r="S24" i="1" s="1"/>
  <c r="AA23" i="1"/>
  <c r="AA16" i="1"/>
  <c r="W16" i="1" s="1"/>
  <c r="T16" i="1"/>
  <c r="U16" i="1" s="1"/>
  <c r="S16" i="1" s="1"/>
  <c r="AA15" i="1"/>
  <c r="T160" i="1"/>
  <c r="AA155" i="1"/>
  <c r="AA147" i="1"/>
  <c r="AA138" i="1"/>
  <c r="T132" i="1"/>
  <c r="U132" i="1" s="1"/>
  <c r="S132" i="1" s="1"/>
  <c r="X128" i="1"/>
  <c r="AG127" i="1"/>
  <c r="X127" i="1"/>
  <c r="X124" i="1"/>
  <c r="AA121" i="1"/>
  <c r="W121" i="1" s="1"/>
  <c r="X119" i="1"/>
  <c r="AG113" i="1"/>
  <c r="AI113" i="1" s="1"/>
  <c r="T109" i="1"/>
  <c r="U109" i="1" s="1"/>
  <c r="S109" i="1" s="1"/>
  <c r="AA100" i="1"/>
  <c r="W100" i="1" s="1"/>
  <c r="AG96" i="1"/>
  <c r="T92" i="1"/>
  <c r="T74" i="1"/>
  <c r="U74" i="1" s="1"/>
  <c r="S74" i="1" s="1"/>
  <c r="T139" i="1"/>
  <c r="U139" i="1" s="1"/>
  <c r="S139" i="1" s="1"/>
  <c r="T138" i="1"/>
  <c r="AA105" i="1"/>
  <c r="T103" i="1"/>
  <c r="AG95" i="1"/>
  <c r="U95" i="1" s="1"/>
  <c r="S95" i="1" s="1"/>
  <c r="AG92" i="1"/>
  <c r="AG90" i="1"/>
  <c r="AI90" i="1" s="1"/>
  <c r="AA85" i="1"/>
  <c r="AG82" i="1"/>
  <c r="U82" i="1" s="1"/>
  <c r="S82" i="1" s="1"/>
  <c r="AG79" i="1"/>
  <c r="T67" i="1"/>
  <c r="U67" i="1" s="1"/>
  <c r="S67" i="1" s="1"/>
  <c r="AG59" i="1"/>
  <c r="AI59" i="1" s="1"/>
  <c r="AA53" i="1"/>
  <c r="AG52" i="1"/>
  <c r="U52" i="1" s="1"/>
  <c r="S52" i="1" s="1"/>
  <c r="X52" i="1"/>
  <c r="AA50" i="1"/>
  <c r="W50" i="1" s="1"/>
  <c r="AA49" i="1"/>
  <c r="X46" i="1"/>
  <c r="AG45" i="1"/>
  <c r="AG43" i="1"/>
  <c r="AI43" i="1" s="1"/>
  <c r="X33" i="1"/>
  <c r="AA31" i="1"/>
  <c r="AG26" i="1"/>
  <c r="AA25" i="1"/>
  <c r="W25" i="1" s="1"/>
  <c r="T25" i="1"/>
  <c r="U25" i="1" s="1"/>
  <c r="S25" i="1" s="1"/>
  <c r="AA20" i="1"/>
  <c r="X16" i="1"/>
  <c r="AG15" i="1"/>
  <c r="U15" i="1" s="1"/>
  <c r="S15" i="1" s="1"/>
  <c r="AA197" i="1"/>
  <c r="AA154" i="1"/>
  <c r="AG138" i="1"/>
  <c r="AI138" i="1" s="1"/>
  <c r="AG137" i="1"/>
  <c r="AI137" i="1" s="1"/>
  <c r="X137" i="1"/>
  <c r="AG135" i="1"/>
  <c r="U135" i="1" s="1"/>
  <c r="S135" i="1" s="1"/>
  <c r="X135" i="1"/>
  <c r="AA128" i="1"/>
  <c r="W128" i="1" s="1"/>
  <c r="T128" i="1"/>
  <c r="T124" i="1"/>
  <c r="U124" i="1" s="1"/>
  <c r="S124" i="1" s="1"/>
  <c r="AI111" i="1"/>
  <c r="AA110" i="1"/>
  <c r="AA87" i="1"/>
  <c r="X83" i="1"/>
  <c r="AI80" i="1"/>
  <c r="T75" i="1"/>
  <c r="U75" i="1" s="1"/>
  <c r="S75" i="1" s="1"/>
  <c r="AI40" i="1"/>
  <c r="AI198" i="1"/>
  <c r="AI150" i="1"/>
  <c r="T163" i="1"/>
  <c r="T200" i="1"/>
  <c r="X200" i="1"/>
  <c r="X107" i="1"/>
  <c r="AG107" i="1"/>
  <c r="T107" i="1"/>
  <c r="X187" i="1"/>
  <c r="AG186" i="1"/>
  <c r="X173" i="1"/>
  <c r="AG163" i="1"/>
  <c r="X163" i="1"/>
  <c r="T208" i="1"/>
  <c r="U208" i="1" s="1"/>
  <c r="S208" i="1" s="1"/>
  <c r="T205" i="1"/>
  <c r="X205" i="1"/>
  <c r="AG200" i="1"/>
  <c r="AI200" i="1" s="1"/>
  <c r="T197" i="1"/>
  <c r="T157" i="1"/>
  <c r="X157" i="1"/>
  <c r="AG157" i="1"/>
  <c r="T154" i="1"/>
  <c r="X154" i="1"/>
  <c r="X151" i="1"/>
  <c r="T142" i="1"/>
  <c r="AG142" i="1"/>
  <c r="X143" i="1"/>
  <c r="T179" i="1"/>
  <c r="T170" i="1"/>
  <c r="X170" i="1"/>
  <c r="T153" i="1"/>
  <c r="X153" i="1"/>
  <c r="AG153" i="1"/>
  <c r="T150" i="1"/>
  <c r="U150" i="1" s="1"/>
  <c r="S150" i="1" s="1"/>
  <c r="X150" i="1"/>
  <c r="AI143" i="1"/>
  <c r="X202" i="1"/>
  <c r="AG195" i="1"/>
  <c r="AG190" i="1"/>
  <c r="AI190" i="1" s="1"/>
  <c r="X183" i="1"/>
  <c r="AG179" i="1"/>
  <c r="X179" i="1"/>
  <c r="T177" i="1"/>
  <c r="U177" i="1" s="1"/>
  <c r="S177" i="1" s="1"/>
  <c r="T174" i="1"/>
  <c r="X174" i="1"/>
  <c r="AG170" i="1"/>
  <c r="AI180" i="1"/>
  <c r="T167" i="1"/>
  <c r="AI208" i="1"/>
  <c r="X195" i="1"/>
  <c r="X190" i="1"/>
  <c r="X186" i="1"/>
  <c r="AI196" i="1"/>
  <c r="T181" i="1"/>
  <c r="U181" i="1" s="1"/>
  <c r="S181" i="1" s="1"/>
  <c r="T178" i="1"/>
  <c r="U178" i="1" s="1"/>
  <c r="S178" i="1" s="1"/>
  <c r="X178" i="1"/>
  <c r="X177" i="1"/>
  <c r="X176" i="1"/>
  <c r="AA175" i="1"/>
  <c r="AG174" i="1"/>
  <c r="AG167" i="1"/>
  <c r="AI167" i="1" s="1"/>
  <c r="AI178" i="1"/>
  <c r="T165" i="1"/>
  <c r="U165" i="1" s="1"/>
  <c r="S165" i="1" s="1"/>
  <c r="T162" i="1"/>
  <c r="U162" i="1" s="1"/>
  <c r="S162" i="1" s="1"/>
  <c r="X162" i="1"/>
  <c r="X208" i="1"/>
  <c r="X207" i="1"/>
  <c r="AA206" i="1"/>
  <c r="AG205" i="1"/>
  <c r="AG197" i="1"/>
  <c r="AI162" i="1"/>
  <c r="AA196" i="1"/>
  <c r="W196" i="1" s="1"/>
  <c r="T161" i="1"/>
  <c r="X161" i="1"/>
  <c r="AG161" i="1"/>
  <c r="T158" i="1"/>
  <c r="U158" i="1" s="1"/>
  <c r="S158" i="1" s="1"/>
  <c r="X158" i="1"/>
  <c r="X155" i="1"/>
  <c r="AG154" i="1"/>
  <c r="AA143" i="1"/>
  <c r="W143" i="1" s="1"/>
  <c r="AG118" i="1"/>
  <c r="AI106" i="1"/>
  <c r="T182" i="1"/>
  <c r="U182" i="1" s="1"/>
  <c r="S182" i="1" s="1"/>
  <c r="X182" i="1"/>
  <c r="AA179" i="1"/>
  <c r="AI183" i="1"/>
  <c r="X171" i="1"/>
  <c r="T166" i="1"/>
  <c r="U166" i="1" s="1"/>
  <c r="S166" i="1" s="1"/>
  <c r="X166" i="1"/>
  <c r="X165" i="1"/>
  <c r="AA163" i="1"/>
  <c r="X201" i="1"/>
  <c r="T196" i="1"/>
  <c r="U196" i="1" s="1"/>
  <c r="S196" i="1" s="1"/>
  <c r="X196" i="1"/>
  <c r="AI158" i="1"/>
  <c r="AA151" i="1"/>
  <c r="AA150" i="1"/>
  <c r="W150" i="1" s="1"/>
  <c r="T146" i="1"/>
  <c r="X146" i="1"/>
  <c r="AG146" i="1"/>
  <c r="X147" i="1"/>
  <c r="T136" i="1"/>
  <c r="X136" i="1"/>
  <c r="AI126" i="1"/>
  <c r="T125" i="1"/>
  <c r="X125" i="1"/>
  <c r="AI99" i="1"/>
  <c r="U99" i="1"/>
  <c r="S99" i="1" s="1"/>
  <c r="T97" i="1"/>
  <c r="X97" i="1"/>
  <c r="AG97" i="1"/>
  <c r="T61" i="1"/>
  <c r="X61" i="1"/>
  <c r="AG61" i="1"/>
  <c r="AG149" i="1"/>
  <c r="AG145" i="1"/>
  <c r="AG141" i="1"/>
  <c r="AA137" i="1"/>
  <c r="AG136" i="1"/>
  <c r="AA135" i="1"/>
  <c r="AG133" i="1"/>
  <c r="X133" i="1"/>
  <c r="T133" i="1"/>
  <c r="T129" i="1"/>
  <c r="X129" i="1"/>
  <c r="AG129" i="1"/>
  <c r="AG125" i="1"/>
  <c r="T121" i="1"/>
  <c r="U121" i="1" s="1"/>
  <c r="S121" i="1" s="1"/>
  <c r="X121" i="1"/>
  <c r="T112" i="1"/>
  <c r="AG112" i="1"/>
  <c r="AA106" i="1"/>
  <c r="W106" i="1" s="1"/>
  <c r="AG103" i="1"/>
  <c r="X103" i="1"/>
  <c r="AG101" i="1"/>
  <c r="X101" i="1"/>
  <c r="AI100" i="1"/>
  <c r="X149" i="1"/>
  <c r="X145" i="1"/>
  <c r="AI128" i="1"/>
  <c r="U128" i="1"/>
  <c r="S128" i="1" s="1"/>
  <c r="W126" i="1"/>
  <c r="X122" i="1"/>
  <c r="AG122" i="1"/>
  <c r="AI121" i="1"/>
  <c r="AG120" i="1"/>
  <c r="T120" i="1"/>
  <c r="AA118" i="1"/>
  <c r="AG115" i="1"/>
  <c r="X115" i="1"/>
  <c r="T115" i="1"/>
  <c r="AA107" i="1"/>
  <c r="AG105" i="1"/>
  <c r="X105" i="1"/>
  <c r="T105" i="1"/>
  <c r="T98" i="1"/>
  <c r="X98" i="1"/>
  <c r="AG98" i="1"/>
  <c r="W98" i="1" s="1"/>
  <c r="T94" i="1"/>
  <c r="X94" i="1"/>
  <c r="AG94" i="1"/>
  <c r="X95" i="1"/>
  <c r="T89" i="1"/>
  <c r="X89" i="1"/>
  <c r="AG89" i="1"/>
  <c r="T85" i="1"/>
  <c r="X85" i="1"/>
  <c r="AG85" i="1"/>
  <c r="T64" i="1"/>
  <c r="AG64" i="1"/>
  <c r="W64" i="1" s="1"/>
  <c r="T134" i="1"/>
  <c r="U134" i="1" s="1"/>
  <c r="S134" i="1" s="1"/>
  <c r="X134" i="1"/>
  <c r="AA131" i="1"/>
  <c r="W131" i="1" s="1"/>
  <c r="T116" i="1"/>
  <c r="U116" i="1" s="1"/>
  <c r="S116" i="1" s="1"/>
  <c r="X116" i="1"/>
  <c r="X114" i="1"/>
  <c r="AA113" i="1"/>
  <c r="T102" i="1"/>
  <c r="U102" i="1" s="1"/>
  <c r="S102" i="1" s="1"/>
  <c r="X102" i="1"/>
  <c r="X100" i="1"/>
  <c r="AA99" i="1"/>
  <c r="W99" i="1" s="1"/>
  <c r="AA91" i="1"/>
  <c r="AA90" i="1"/>
  <c r="T81" i="1"/>
  <c r="X81" i="1"/>
  <c r="AG81" i="1"/>
  <c r="AI76" i="1"/>
  <c r="X74" i="1"/>
  <c r="X73" i="1"/>
  <c r="AG73" i="1"/>
  <c r="X40" i="1"/>
  <c r="X39" i="1"/>
  <c r="AG39" i="1"/>
  <c r="T39" i="1"/>
  <c r="T106" i="1"/>
  <c r="U106" i="1" s="1"/>
  <c r="S106" i="1" s="1"/>
  <c r="X106" i="1"/>
  <c r="AA103" i="1"/>
  <c r="AA95" i="1"/>
  <c r="AA94" i="1"/>
  <c r="T93" i="1"/>
  <c r="X93" i="1"/>
  <c r="AG93" i="1"/>
  <c r="AA86" i="1"/>
  <c r="AI78" i="1"/>
  <c r="X77" i="1"/>
  <c r="T77" i="1"/>
  <c r="AG77" i="1"/>
  <c r="W77" i="1" s="1"/>
  <c r="AG71" i="1"/>
  <c r="X71" i="1"/>
  <c r="T71" i="1"/>
  <c r="AA44" i="1"/>
  <c r="X90" i="1"/>
  <c r="X86" i="1"/>
  <c r="AI83" i="1"/>
  <c r="X82" i="1"/>
  <c r="X78" i="1"/>
  <c r="AI72" i="1"/>
  <c r="T68" i="1"/>
  <c r="U68" i="1" s="1"/>
  <c r="S68" i="1" s="1"/>
  <c r="X68" i="1"/>
  <c r="X67" i="1"/>
  <c r="AA65" i="1"/>
  <c r="T62" i="1"/>
  <c r="U62" i="1" s="1"/>
  <c r="S62" i="1" s="1"/>
  <c r="X62" i="1"/>
  <c r="AI58" i="1"/>
  <c r="T57" i="1"/>
  <c r="AG57" i="1"/>
  <c r="T72" i="1"/>
  <c r="U72" i="1" s="1"/>
  <c r="S72" i="1" s="1"/>
  <c r="X72" i="1"/>
  <c r="X70" i="1"/>
  <c r="AA69" i="1"/>
  <c r="AI62" i="1"/>
  <c r="AA43" i="1"/>
  <c r="AG37" i="1"/>
  <c r="X37" i="1"/>
  <c r="T37" i="1"/>
  <c r="T76" i="1"/>
  <c r="U76" i="1" s="1"/>
  <c r="S76" i="1" s="1"/>
  <c r="X76" i="1"/>
  <c r="AA73" i="1"/>
  <c r="AA59" i="1"/>
  <c r="AA58" i="1"/>
  <c r="T47" i="1"/>
  <c r="X47" i="1"/>
  <c r="X48" i="1"/>
  <c r="AG47" i="1"/>
  <c r="X53" i="1"/>
  <c r="T51" i="1"/>
  <c r="U51" i="1" s="1"/>
  <c r="S51" i="1" s="1"/>
  <c r="X51" i="1"/>
  <c r="X50" i="1"/>
  <c r="X49" i="1"/>
  <c r="AA48" i="1"/>
  <c r="AI38" i="1"/>
  <c r="AI33" i="1"/>
  <c r="AI29" i="1"/>
  <c r="AI25" i="1"/>
  <c r="AI16" i="1"/>
  <c r="AA52" i="1"/>
  <c r="T42" i="1"/>
  <c r="U42" i="1" s="1"/>
  <c r="S42" i="1" s="1"/>
  <c r="T38" i="1"/>
  <c r="U38" i="1" s="1"/>
  <c r="S38" i="1" s="1"/>
  <c r="X38" i="1"/>
  <c r="X36" i="1"/>
  <c r="AA35" i="1"/>
  <c r="AI32" i="1"/>
  <c r="AI28" i="1"/>
  <c r="T14" i="1"/>
  <c r="AG14" i="1"/>
  <c r="U50" i="1"/>
  <c r="T43" i="1"/>
  <c r="X43" i="1"/>
  <c r="AA39" i="1"/>
  <c r="T31" i="1"/>
  <c r="X31" i="1"/>
  <c r="AG31" i="1"/>
  <c r="X32" i="1"/>
  <c r="T27" i="1"/>
  <c r="X27" i="1"/>
  <c r="AG27" i="1"/>
  <c r="W27" i="1" s="1"/>
  <c r="X28" i="1"/>
  <c r="T23" i="1"/>
  <c r="X23" i="1"/>
  <c r="AG23" i="1"/>
  <c r="X24" i="1"/>
  <c r="T19" i="1"/>
  <c r="AG19" i="1"/>
  <c r="X15" i="1"/>
  <c r="X34" i="1"/>
  <c r="X30" i="1"/>
  <c r="X26" i="1"/>
  <c r="X22" i="1"/>
  <c r="X17" i="1"/>
  <c r="AI54" i="1" l="1"/>
  <c r="W85" i="1"/>
  <c r="U147" i="1"/>
  <c r="S147" i="1" s="1"/>
  <c r="AI41" i="1"/>
  <c r="U83" i="1"/>
  <c r="S83" i="1" s="1"/>
  <c r="U183" i="1"/>
  <c r="S183" i="1" s="1"/>
  <c r="AI191" i="1"/>
  <c r="U191" i="1"/>
  <c r="S191" i="1" s="1"/>
  <c r="W191" i="1"/>
  <c r="AI140" i="1"/>
  <c r="U140" i="1"/>
  <c r="S140" i="1" s="1"/>
  <c r="W140" i="1"/>
  <c r="AI130" i="1"/>
  <c r="U130" i="1"/>
  <c r="S130" i="1" s="1"/>
  <c r="W130" i="1"/>
  <c r="AI117" i="1"/>
  <c r="U117" i="1"/>
  <c r="S117" i="1" s="1"/>
  <c r="W117" i="1"/>
  <c r="U41" i="1"/>
  <c r="S41" i="1" s="1"/>
  <c r="G5" i="6"/>
  <c r="I5" i="6"/>
  <c r="H5" i="6"/>
  <c r="A7" i="6"/>
  <c r="B6" i="6"/>
  <c r="W115" i="1"/>
  <c r="W20" i="1"/>
  <c r="U20" i="1"/>
  <c r="S20" i="1" s="1"/>
  <c r="W58" i="1"/>
  <c r="AI53" i="1"/>
  <c r="AI52" i="1"/>
  <c r="W90" i="1"/>
  <c r="AI135" i="1"/>
  <c r="AI159" i="1"/>
  <c r="W205" i="1"/>
  <c r="W53" i="1"/>
  <c r="W78" i="1"/>
  <c r="W63" i="1"/>
  <c r="W206" i="1"/>
  <c r="W119" i="1"/>
  <c r="W55" i="1"/>
  <c r="W52" i="1"/>
  <c r="AI63" i="1"/>
  <c r="W122" i="1"/>
  <c r="W197" i="1"/>
  <c r="W157" i="1"/>
  <c r="AI171" i="1"/>
  <c r="U45" i="1"/>
  <c r="S45" i="1" s="1"/>
  <c r="W21" i="1"/>
  <c r="U126" i="1"/>
  <c r="S126" i="1" s="1"/>
  <c r="U175" i="1"/>
  <c r="S175" i="1" s="1"/>
  <c r="U204" i="1"/>
  <c r="S204" i="1" s="1"/>
  <c r="W22" i="1"/>
  <c r="W159" i="1"/>
  <c r="W35" i="1"/>
  <c r="AI35" i="1"/>
  <c r="W135" i="1"/>
  <c r="AI104" i="1"/>
  <c r="W69" i="1"/>
  <c r="W120" i="1"/>
  <c r="U91" i="1"/>
  <c r="S91" i="1" s="1"/>
  <c r="U90" i="1"/>
  <c r="S90" i="1" s="1"/>
  <c r="W170" i="1"/>
  <c r="AI187" i="1"/>
  <c r="U84" i="1"/>
  <c r="S84" i="1" s="1"/>
  <c r="W207" i="1"/>
  <c r="W127" i="1"/>
  <c r="W105" i="1"/>
  <c r="U131" i="1"/>
  <c r="S131" i="1" s="1"/>
  <c r="U44" i="1"/>
  <c r="S44" i="1" s="1"/>
  <c r="W71" i="1"/>
  <c r="U65" i="1"/>
  <c r="S65" i="1" s="1"/>
  <c r="U87" i="1"/>
  <c r="S87" i="1" s="1"/>
  <c r="W113" i="1"/>
  <c r="U34" i="1"/>
  <c r="S34" i="1" s="1"/>
  <c r="W95" i="1"/>
  <c r="AI95" i="1"/>
  <c r="W101" i="1"/>
  <c r="AI204" i="1"/>
  <c r="W66" i="1"/>
  <c r="U79" i="1"/>
  <c r="S79" i="1" s="1"/>
  <c r="U148" i="1"/>
  <c r="S148" i="1" s="1"/>
  <c r="W187" i="1"/>
  <c r="W65" i="1"/>
  <c r="AI24" i="1"/>
  <c r="AI45" i="1"/>
  <c r="W91" i="1"/>
  <c r="W179" i="1"/>
  <c r="U49" i="1"/>
  <c r="S50" i="1" s="1"/>
  <c r="AI66" i="1"/>
  <c r="W175" i="1"/>
  <c r="U123" i="1"/>
  <c r="S123" i="1" s="1"/>
  <c r="W147" i="1"/>
  <c r="U144" i="1"/>
  <c r="S144" i="1" s="1"/>
  <c r="W156" i="1"/>
  <c r="AI147" i="1"/>
  <c r="AI22" i="1"/>
  <c r="W87" i="1"/>
  <c r="U60" i="1"/>
  <c r="S60" i="1" s="1"/>
  <c r="AI160" i="1"/>
  <c r="AI144" i="1"/>
  <c r="W17" i="1"/>
  <c r="U21" i="1"/>
  <c r="S21" i="1" s="1"/>
  <c r="W19" i="1"/>
  <c r="W59" i="1"/>
  <c r="AI110" i="1"/>
  <c r="W97" i="1"/>
  <c r="AI127" i="1"/>
  <c r="W49" i="1"/>
  <c r="U160" i="1"/>
  <c r="S160" i="1" s="1"/>
  <c r="U188" i="1"/>
  <c r="S188" i="1" s="1"/>
  <c r="W188" i="1"/>
  <c r="W171" i="1"/>
  <c r="AI17" i="1"/>
  <c r="W14" i="1"/>
  <c r="W73" i="1"/>
  <c r="U69" i="1"/>
  <c r="S69" i="1" s="1"/>
  <c r="U127" i="1"/>
  <c r="S127" i="1" s="1"/>
  <c r="W172" i="1"/>
  <c r="W195" i="1"/>
  <c r="AI201" i="1"/>
  <c r="W24" i="1"/>
  <c r="W155" i="1"/>
  <c r="W60" i="1"/>
  <c r="W110" i="1"/>
  <c r="W61" i="1"/>
  <c r="W154" i="1"/>
  <c r="U202" i="1"/>
  <c r="S202" i="1" s="1"/>
  <c r="W204" i="1"/>
  <c r="W84" i="1"/>
  <c r="U59" i="1"/>
  <c r="S59" i="1" s="1"/>
  <c r="W48" i="1"/>
  <c r="AI79" i="1"/>
  <c r="W44" i="1"/>
  <c r="W89" i="1"/>
  <c r="W137" i="1"/>
  <c r="AI172" i="1"/>
  <c r="U173" i="1"/>
  <c r="S173" i="1" s="1"/>
  <c r="AI195" i="1"/>
  <c r="U155" i="1"/>
  <c r="S155" i="1" s="1"/>
  <c r="U30" i="1"/>
  <c r="S30" i="1" s="1"/>
  <c r="AI30" i="1"/>
  <c r="W173" i="1"/>
  <c r="AI48" i="1"/>
  <c r="W86" i="1"/>
  <c r="AI82" i="1"/>
  <c r="U151" i="1"/>
  <c r="S151" i="1" s="1"/>
  <c r="W163" i="1"/>
  <c r="U137" i="1"/>
  <c r="S137" i="1" s="1"/>
  <c r="U113" i="1"/>
  <c r="S113" i="1" s="1"/>
  <c r="U184" i="1"/>
  <c r="S184" i="1" s="1"/>
  <c r="W148" i="1"/>
  <c r="W168" i="1"/>
  <c r="W83" i="1"/>
  <c r="U55" i="1"/>
  <c r="U78" i="1"/>
  <c r="S78" i="1" s="1"/>
  <c r="U104" i="1"/>
  <c r="S104" i="1" s="1"/>
  <c r="U43" i="1"/>
  <c r="S43" i="1" s="1"/>
  <c r="W43" i="1"/>
  <c r="AI15" i="1"/>
  <c r="W81" i="1"/>
  <c r="U86" i="1"/>
  <c r="S86" i="1" s="1"/>
  <c r="W107" i="1"/>
  <c r="W151" i="1"/>
  <c r="AI168" i="1"/>
  <c r="U156" i="1"/>
  <c r="S156" i="1" s="1"/>
  <c r="W142" i="1"/>
  <c r="W79" i="1"/>
  <c r="W34" i="1"/>
  <c r="W123" i="1"/>
  <c r="U28" i="1"/>
  <c r="S28" i="1" s="1"/>
  <c r="W30" i="1"/>
  <c r="U22" i="1"/>
  <c r="S22" i="1" s="1"/>
  <c r="U92" i="1"/>
  <c r="S92" i="1" s="1"/>
  <c r="AI92" i="1"/>
  <c r="W92" i="1"/>
  <c r="W202" i="1"/>
  <c r="U138" i="1"/>
  <c r="S138" i="1" s="1"/>
  <c r="U26" i="1"/>
  <c r="S26" i="1" s="1"/>
  <c r="AI26" i="1"/>
  <c r="W45" i="1"/>
  <c r="W138" i="1"/>
  <c r="W15" i="1"/>
  <c r="U56" i="1"/>
  <c r="AI56" i="1"/>
  <c r="W82" i="1"/>
  <c r="U119" i="1"/>
  <c r="S119" i="1" s="1"/>
  <c r="AI119" i="1"/>
  <c r="W56" i="1"/>
  <c r="W184" i="1"/>
  <c r="U193" i="1"/>
  <c r="S193" i="1" s="1"/>
  <c r="AI193" i="1"/>
  <c r="W193" i="1"/>
  <c r="W174" i="1"/>
  <c r="AI174" i="1"/>
  <c r="W26" i="1"/>
  <c r="AI205" i="1"/>
  <c r="AI197" i="1"/>
  <c r="U96" i="1"/>
  <c r="S96" i="1" s="1"/>
  <c r="AI96" i="1"/>
  <c r="U70" i="1"/>
  <c r="S70" i="1" s="1"/>
  <c r="AI70" i="1"/>
  <c r="W96" i="1"/>
  <c r="W201" i="1"/>
  <c r="AI57" i="1"/>
  <c r="U57" i="1"/>
  <c r="S58" i="1" s="1"/>
  <c r="AI47" i="1"/>
  <c r="U47" i="1"/>
  <c r="S47" i="1" s="1"/>
  <c r="W47" i="1"/>
  <c r="U71" i="1"/>
  <c r="S71" i="1" s="1"/>
  <c r="AI71" i="1"/>
  <c r="W94" i="1"/>
  <c r="U105" i="1"/>
  <c r="S105" i="1" s="1"/>
  <c r="AI105" i="1"/>
  <c r="U101" i="1"/>
  <c r="S101" i="1" s="1"/>
  <c r="AI101" i="1"/>
  <c r="U129" i="1"/>
  <c r="S129" i="1" s="1"/>
  <c r="AI129" i="1"/>
  <c r="W129" i="1"/>
  <c r="U145" i="1"/>
  <c r="S145" i="1" s="1"/>
  <c r="AI145" i="1"/>
  <c r="U97" i="1"/>
  <c r="S97" i="1" s="1"/>
  <c r="AI97" i="1"/>
  <c r="AI179" i="1"/>
  <c r="U167" i="1"/>
  <c r="S167" i="1" s="1"/>
  <c r="AI182" i="1"/>
  <c r="U170" i="1"/>
  <c r="S170" i="1" s="1"/>
  <c r="AI203" i="1"/>
  <c r="U190" i="1"/>
  <c r="S190" i="1" s="1"/>
  <c r="AI207" i="1"/>
  <c r="U195" i="1"/>
  <c r="S195" i="1" s="1"/>
  <c r="W167" i="1"/>
  <c r="AI107" i="1"/>
  <c r="U107" i="1"/>
  <c r="S107" i="1" s="1"/>
  <c r="W190" i="1"/>
  <c r="AI19" i="1"/>
  <c r="U19" i="1"/>
  <c r="S19" i="1" s="1"/>
  <c r="AI31" i="1"/>
  <c r="U31" i="1"/>
  <c r="S31" i="1" s="1"/>
  <c r="U37" i="1"/>
  <c r="S37" i="1" s="1"/>
  <c r="AI37" i="1"/>
  <c r="W37" i="1"/>
  <c r="W39" i="1"/>
  <c r="W31" i="1"/>
  <c r="W57" i="1"/>
  <c r="AI77" i="1"/>
  <c r="U77" i="1"/>
  <c r="S77" i="1" s="1"/>
  <c r="U93" i="1"/>
  <c r="S93" i="1" s="1"/>
  <c r="AI93" i="1"/>
  <c r="AI81" i="1"/>
  <c r="U81" i="1"/>
  <c r="S81" i="1" s="1"/>
  <c r="AI64" i="1"/>
  <c r="U64" i="1"/>
  <c r="S64" i="1" s="1"/>
  <c r="U98" i="1"/>
  <c r="S98" i="1" s="1"/>
  <c r="AI98" i="1"/>
  <c r="W118" i="1"/>
  <c r="AI122" i="1"/>
  <c r="U122" i="1"/>
  <c r="S122" i="1" s="1"/>
  <c r="AI112" i="1"/>
  <c r="U112" i="1"/>
  <c r="S112" i="1" s="1"/>
  <c r="U136" i="1"/>
  <c r="S136" i="1" s="1"/>
  <c r="AI136" i="1"/>
  <c r="U149" i="1"/>
  <c r="S149" i="1" s="1"/>
  <c r="AI149" i="1"/>
  <c r="W149" i="1"/>
  <c r="AI146" i="1"/>
  <c r="U146" i="1"/>
  <c r="S146" i="1" s="1"/>
  <c r="U161" i="1"/>
  <c r="S161" i="1" s="1"/>
  <c r="AI161" i="1"/>
  <c r="W161" i="1"/>
  <c r="U205" i="1"/>
  <c r="S205" i="1" s="1"/>
  <c r="AI170" i="1"/>
  <c r="AI142" i="1"/>
  <c r="U142" i="1"/>
  <c r="S142" i="1" s="1"/>
  <c r="U157" i="1"/>
  <c r="S157" i="1" s="1"/>
  <c r="AI157" i="1"/>
  <c r="AI166" i="1"/>
  <c r="U200" i="1"/>
  <c r="S200" i="1" s="1"/>
  <c r="W145" i="1"/>
  <c r="AI23" i="1"/>
  <c r="U23" i="1"/>
  <c r="S23" i="1" s="1"/>
  <c r="AI27" i="1"/>
  <c r="U27" i="1"/>
  <c r="S27" i="1" s="1"/>
  <c r="AI39" i="1"/>
  <c r="U39" i="1"/>
  <c r="S40" i="1" s="1"/>
  <c r="AI89" i="1"/>
  <c r="U89" i="1"/>
  <c r="S89" i="1" s="1"/>
  <c r="AI94" i="1"/>
  <c r="U94" i="1"/>
  <c r="S94" i="1" s="1"/>
  <c r="AI103" i="1"/>
  <c r="U103" i="1"/>
  <c r="S103" i="1" s="1"/>
  <c r="U133" i="1"/>
  <c r="S133" i="1" s="1"/>
  <c r="AI133" i="1"/>
  <c r="W133" i="1"/>
  <c r="U61" i="1"/>
  <c r="S61" i="1" s="1"/>
  <c r="AI61" i="1"/>
  <c r="AI118" i="1"/>
  <c r="U118" i="1"/>
  <c r="S118" i="1" s="1"/>
  <c r="AI163" i="1"/>
  <c r="U197" i="1"/>
  <c r="S197" i="1" s="1"/>
  <c r="AI14" i="1"/>
  <c r="U14" i="1"/>
  <c r="S14" i="1" s="1"/>
  <c r="W23" i="1"/>
  <c r="W103" i="1"/>
  <c r="AI73" i="1"/>
  <c r="U73" i="1"/>
  <c r="S73" i="1" s="1"/>
  <c r="AI85" i="1"/>
  <c r="U85" i="1"/>
  <c r="S85" i="1" s="1"/>
  <c r="U115" i="1"/>
  <c r="S115" i="1" s="1"/>
  <c r="AI115" i="1"/>
  <c r="U120" i="1"/>
  <c r="S120" i="1" s="1"/>
  <c r="AI120" i="1"/>
  <c r="W93" i="1"/>
  <c r="U125" i="1"/>
  <c r="S125" i="1" s="1"/>
  <c r="AI125" i="1"/>
  <c r="U141" i="1"/>
  <c r="S141" i="1" s="1"/>
  <c r="AI141" i="1"/>
  <c r="W141" i="1"/>
  <c r="W112" i="1"/>
  <c r="W125" i="1"/>
  <c r="W136" i="1"/>
  <c r="W146" i="1"/>
  <c r="AI154" i="1"/>
  <c r="U154" i="1"/>
  <c r="S154" i="1" s="1"/>
  <c r="U174" i="1"/>
  <c r="S174" i="1" s="1"/>
  <c r="AI186" i="1"/>
  <c r="AI192" i="1"/>
  <c r="U179" i="1"/>
  <c r="S179" i="1" s="1"/>
  <c r="U153" i="1"/>
  <c r="S153" i="1" s="1"/>
  <c r="AI153" i="1"/>
  <c r="AI175" i="1"/>
  <c r="U163" i="1"/>
  <c r="S163" i="1" s="1"/>
  <c r="AI199" i="1"/>
  <c r="U186" i="1"/>
  <c r="S186" i="1" s="1"/>
  <c r="W186" i="1"/>
  <c r="W153" i="1"/>
  <c r="W200" i="1"/>
  <c r="M31" i="3"/>
  <c r="N31" i="3"/>
  <c r="A8" i="6" l="1"/>
  <c r="B7" i="6"/>
  <c r="H6" i="6"/>
  <c r="I6" i="6"/>
  <c r="F6" i="6"/>
  <c r="G6" i="6"/>
  <c r="S56" i="1"/>
  <c r="AE13" i="1"/>
  <c r="G7" i="6" l="1"/>
  <c r="H7" i="6"/>
  <c r="I7" i="6"/>
  <c r="F7" i="6"/>
  <c r="A9" i="6"/>
  <c r="B8" i="6"/>
  <c r="B15" i="6"/>
  <c r="B3" i="6"/>
  <c r="G3" i="6" s="1"/>
  <c r="B4" i="6"/>
  <c r="F4" i="6" s="1"/>
  <c r="F8" i="6" l="1"/>
  <c r="H8" i="6"/>
  <c r="I8" i="6"/>
  <c r="G8" i="6"/>
  <c r="A10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A11" i="6"/>
  <c r="B10" i="6"/>
  <c r="B17" i="6"/>
  <c r="H16" i="6"/>
  <c r="I16" i="6"/>
  <c r="F16" i="6"/>
  <c r="G16" i="6"/>
  <c r="AF13" i="1"/>
  <c r="H10" i="6" l="1"/>
  <c r="I10" i="6"/>
  <c r="F10" i="6"/>
  <c r="G10" i="6"/>
  <c r="A12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A13" i="6"/>
  <c r="B13" i="6" s="1"/>
  <c r="B12" i="6"/>
  <c r="B19" i="6"/>
  <c r="H18" i="6"/>
  <c r="I18" i="6"/>
  <c r="F18" i="6"/>
  <c r="G18" i="6"/>
  <c r="T13" i="1"/>
  <c r="X13" i="1"/>
  <c r="AA13" i="1"/>
  <c r="AG13" i="1"/>
  <c r="M26" i="5"/>
  <c r="F12" i="6" l="1"/>
  <c r="I12" i="6"/>
  <c r="G12" i="6"/>
  <c r="H12" i="6"/>
  <c r="F13" i="6"/>
  <c r="I13" i="6"/>
  <c r="H13" i="6"/>
  <c r="G13" i="6"/>
  <c r="F19" i="6"/>
  <c r="G19" i="6"/>
  <c r="H19" i="6"/>
  <c r="I19" i="6"/>
  <c r="B20" i="6"/>
  <c r="AH16" i="1"/>
  <c r="AH29" i="1"/>
  <c r="AH30" i="1"/>
  <c r="AH31" i="1"/>
  <c r="AH32" i="1"/>
  <c r="AH42" i="1"/>
  <c r="AH43" i="1"/>
  <c r="AH44" i="1"/>
  <c r="AH45" i="1"/>
  <c r="AH53" i="1"/>
  <c r="AH55" i="1"/>
  <c r="AH56" i="1"/>
  <c r="AH57" i="1"/>
  <c r="AH67" i="1"/>
  <c r="AH68" i="1"/>
  <c r="AH76" i="1"/>
  <c r="AH77" i="1"/>
  <c r="AH78" i="1"/>
  <c r="AH79" i="1"/>
  <c r="AH97" i="1"/>
  <c r="AH98" i="1"/>
  <c r="AH99" i="1"/>
  <c r="AH100" i="1"/>
  <c r="AH108" i="1"/>
  <c r="AH114" i="1"/>
  <c r="AH120" i="1"/>
  <c r="AH128" i="1"/>
  <c r="AH131" i="1"/>
  <c r="AH132" i="1"/>
  <c r="AH133" i="1"/>
  <c r="AH134" i="1"/>
  <c r="AH135" i="1"/>
  <c r="AH136" i="1"/>
  <c r="AH137" i="1"/>
  <c r="AH138" i="1"/>
  <c r="AH139" i="1"/>
  <c r="AH141" i="1"/>
  <c r="AH142" i="1"/>
  <c r="AH158" i="1"/>
  <c r="AH162" i="1"/>
  <c r="AH163" i="1"/>
  <c r="AH168" i="1"/>
  <c r="AH169" i="1"/>
  <c r="AH170" i="1"/>
  <c r="AH174" i="1"/>
  <c r="AH175" i="1"/>
  <c r="AH177" i="1"/>
  <c r="AH189" i="1"/>
  <c r="AH208" i="1"/>
  <c r="AH73" i="1"/>
  <c r="AH101" i="1"/>
  <c r="AH105" i="1"/>
  <c r="AH110" i="1"/>
  <c r="AH124" i="1"/>
  <c r="AH160" i="1"/>
  <c r="AH172" i="1"/>
  <c r="AH182" i="1"/>
  <c r="AH195" i="1"/>
  <c r="AH17" i="1"/>
  <c r="AH19" i="1"/>
  <c r="AH33" i="1"/>
  <c r="AH34" i="1"/>
  <c r="AH38" i="1"/>
  <c r="AH39" i="1"/>
  <c r="AH46" i="1"/>
  <c r="AH47" i="1"/>
  <c r="AH48" i="1"/>
  <c r="AH58" i="1"/>
  <c r="AH59" i="1"/>
  <c r="AH60" i="1"/>
  <c r="AH61" i="1"/>
  <c r="AH62" i="1"/>
  <c r="AH69" i="1"/>
  <c r="AH70" i="1"/>
  <c r="AH71" i="1"/>
  <c r="AH80" i="1"/>
  <c r="AH81" i="1"/>
  <c r="AH82" i="1"/>
  <c r="AH83" i="1"/>
  <c r="AH85" i="1"/>
  <c r="AH86" i="1"/>
  <c r="AH87" i="1"/>
  <c r="AH115" i="1"/>
  <c r="AH116" i="1"/>
  <c r="AH121" i="1"/>
  <c r="AH122" i="1"/>
  <c r="AH123" i="1"/>
  <c r="AH129" i="1"/>
  <c r="AH143" i="1"/>
  <c r="AH144" i="1"/>
  <c r="AH145" i="1"/>
  <c r="AH146" i="1"/>
  <c r="AH147" i="1"/>
  <c r="AH148" i="1"/>
  <c r="AH149" i="1"/>
  <c r="AH150" i="1"/>
  <c r="AH151" i="1"/>
  <c r="AH164" i="1"/>
  <c r="AH171" i="1"/>
  <c r="AH178" i="1"/>
  <c r="AH179" i="1"/>
  <c r="AH190" i="1"/>
  <c r="AH192" i="1"/>
  <c r="AH193" i="1"/>
  <c r="AH20" i="1"/>
  <c r="AH21" i="1"/>
  <c r="AH22" i="1"/>
  <c r="AH40" i="1"/>
  <c r="AH74" i="1"/>
  <c r="AH102" i="1"/>
  <c r="AH109" i="1"/>
  <c r="AH159" i="1"/>
  <c r="AH167" i="1"/>
  <c r="AH181" i="1"/>
  <c r="AH194" i="1"/>
  <c r="AH14" i="1"/>
  <c r="AH15" i="1"/>
  <c r="AH23" i="1"/>
  <c r="AH24" i="1"/>
  <c r="AH25" i="1"/>
  <c r="AH26" i="1"/>
  <c r="AH27" i="1"/>
  <c r="AH28" i="1"/>
  <c r="AH35" i="1"/>
  <c r="AH36" i="1"/>
  <c r="AH37" i="1"/>
  <c r="AH50" i="1"/>
  <c r="AH51" i="1"/>
  <c r="AH52" i="1"/>
  <c r="AH63" i="1"/>
  <c r="AH64" i="1"/>
  <c r="AH65" i="1"/>
  <c r="AH66" i="1"/>
  <c r="AH84" i="1"/>
  <c r="AH89" i="1"/>
  <c r="AH90" i="1"/>
  <c r="AH91" i="1"/>
  <c r="AH92" i="1"/>
  <c r="AH93" i="1"/>
  <c r="AH94" i="1"/>
  <c r="AH95" i="1"/>
  <c r="AH96" i="1"/>
  <c r="AH106" i="1"/>
  <c r="AH107" i="1"/>
  <c r="AH111" i="1"/>
  <c r="AH112" i="1"/>
  <c r="AH113" i="1"/>
  <c r="AH119" i="1"/>
  <c r="AH125" i="1"/>
  <c r="AH126" i="1"/>
  <c r="AH127" i="1"/>
  <c r="AH154" i="1"/>
  <c r="AH155" i="1"/>
  <c r="AH156" i="1"/>
  <c r="AH157" i="1"/>
  <c r="AH161" i="1"/>
  <c r="AH185" i="1"/>
  <c r="AH186" i="1"/>
  <c r="AH198" i="1"/>
  <c r="AH199" i="1"/>
  <c r="AH200" i="1"/>
  <c r="AH201" i="1"/>
  <c r="AH202" i="1"/>
  <c r="AH203" i="1"/>
  <c r="AH204" i="1"/>
  <c r="AH205" i="1"/>
  <c r="AH176" i="1"/>
  <c r="AH187" i="1"/>
  <c r="AH188" i="1"/>
  <c r="AH206" i="1"/>
  <c r="AH207" i="1"/>
  <c r="AH49" i="1"/>
  <c r="AH72" i="1"/>
  <c r="AH75" i="1"/>
  <c r="AH88" i="1"/>
  <c r="AH103" i="1"/>
  <c r="AH104" i="1"/>
  <c r="AH118" i="1"/>
  <c r="AH152" i="1"/>
  <c r="AH153" i="1"/>
  <c r="AH165" i="1"/>
  <c r="AH166" i="1"/>
  <c r="AH173" i="1"/>
  <c r="AH180" i="1"/>
  <c r="AH183" i="1"/>
  <c r="AH184" i="1"/>
  <c r="AH196" i="1"/>
  <c r="AH197" i="1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<sst xmlns="http://schemas.openxmlformats.org/spreadsheetml/2006/main" count="2218" uniqueCount="770">
  <si>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</si>
  <si>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</si>
  <si>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</si>
  <si>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</si>
  <si>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</si>
  <si>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</si>
  <si>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</si>
  <si>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</si>
  <si>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</si>
  <si>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</si>
  <si>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</si>
  <si>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</si>
  <si>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</si>
  <si>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</si>
  <si>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</si>
  <si>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</si>
  <si>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</si>
  <si>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</si>
  <si>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</si>
  <si>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</si>
  <si>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</si>
  <si>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</si>
  <si>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</si>
  <si>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</si>
  <si>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</si>
  <si>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</si>
  <si>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</si>
  <si>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</si>
  <si>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</si>
  <si>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</si>
  <si>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</si>
  <si>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</si>
  <si>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</si>
  <si>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</si>
  <si>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</si>
  <si>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</si>
  <si>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</si>
  <si>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</si>
  <si>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</si>
  <si>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</si>
  <si>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</si>
  <si>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</si>
  <si>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</si>
  <si>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</si>
  <si>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</si>
  <si>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</si>
  <si>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</si>
  <si>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</si>
  <si>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</si>
  <si>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</si>
  <si>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</si>
  <si>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</si>
  <si>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</si>
  <si>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</si>
  <si>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</si>
  <si>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</si>
  <si>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</si>
  <si>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</si>
  <si>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</si>
  <si>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</si>
  <si>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</si>
  <si>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</si>
  <si>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</si>
  <si>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</si>
  <si>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</si>
  <si>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</si>
  <si>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</si>
  <si>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</si>
  <si>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</si>
  <si>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</si>
  <si>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</si>
  <si>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</si>
  <si>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</si>
  <si>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</si>
  <si>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</si>
  <si>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</si>
  <si>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</si>
  <si>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</si>
  <si>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</si>
  <si>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</si>
  <si>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</si>
  <si>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</si>
  <si>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</si>
  <si>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</si>
  <si>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</si>
  <si>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</si>
  <si>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</si>
  <si>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</si>
  <si>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</si>
  <si>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</si>
  <si>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</si>
  <si>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</si>
  <si>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</si>
  <si>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</si>
  <si>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</si>
  <si>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</si>
  <si>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</si>
  <si>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</si>
  <si>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</si>
  <si>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</si>
  <si>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</si>
  <si>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</si>
  <si>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</si>
  <si>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</si>
  <si>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</si>
  <si>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</si>
  <si>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</si>
  <si>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</si>
  <si>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</si>
  <si>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</si>
  <si>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</si>
  <si>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</si>
  <si>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</si>
  <si>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</si>
  <si>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</si>
  <si>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</si>
  <si>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</si>
  <si>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</si>
  <si>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</si>
  <si>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</si>
  <si>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</si>
  <si>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</si>
  <si>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</si>
  <si>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</si>
  <si>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</si>
  <si>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</si>
  <si>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</si>
  <si>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</si>
  <si>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</si>
  <si>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</si>
  <si>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</si>
  <si>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</si>
  <si>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</si>
  <si>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</si>
  <si>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</si>
  <si>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</si>
  <si>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</si>
  <si>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</si>
  <si>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</si>
  <si>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</si>
  <si>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</si>
  <si>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</si>
  <si>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</si>
  <si>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</si>
  <si>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</si>
  <si>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</si>
  <si>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</si>
  <si>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</si>
  <si>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</si>
  <si>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</si>
  <si>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</si>
  <si>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</si>
  <si>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</si>
  <si>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</si>
  <si>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</si>
  <si>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</si>
  <si>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</si>
  <si>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</si>
  <si>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</si>
  <si>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</si>
  <si>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</si>
  <si>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</si>
  <si>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</si>
  <si>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</si>
  <si>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</si>
  <si>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</si>
  <si>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</si>
  <si>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</si>
  <si>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</si>
  <si>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</si>
  <si>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</si>
  <si>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</si>
  <si>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</si>
  <si>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</si>
  <si>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</si>
  <si>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</si>
  <si>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</si>
  <si>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rtdc.l.rtdc.4046:itc</t>
  </si>
  <si>
    <t>240-07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</si>
  <si>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</si>
  <si>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</si>
  <si>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</si>
  <si>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</si>
  <si>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</si>
  <si>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</si>
  <si>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</si>
  <si>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</si>
  <si>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</si>
  <si>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</si>
  <si>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</si>
  <si>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</si>
  <si>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</si>
  <si>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</si>
  <si>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</si>
  <si>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</si>
  <si>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</si>
  <si>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</si>
  <si>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</si>
  <si>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</si>
  <si>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</si>
  <si>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</si>
  <si>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</si>
  <si>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</si>
  <si>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</si>
  <si>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</si>
  <si>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</si>
  <si>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</si>
  <si>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</si>
  <si>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</si>
  <si>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</si>
  <si>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</si>
  <si>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</si>
  <si>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</si>
  <si>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</si>
  <si>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</si>
  <si>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</si>
  <si>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</si>
  <si>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</si>
  <si>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</si>
  <si>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rtdc.l.rtdc.4012:itc</t>
  </si>
  <si>
    <t>204:233314</t>
  </si>
  <si>
    <t>CLI Grep</t>
  </si>
  <si>
    <t>204:145</t>
  </si>
  <si>
    <t>204:233000</t>
  </si>
  <si>
    <t>204:141</t>
  </si>
  <si>
    <t>204:233312</t>
  </si>
  <si>
    <t>rtdc.l.rtdc.4014:itc</t>
  </si>
  <si>
    <t>204:233300</t>
  </si>
  <si>
    <t>Time (US/Mountain)</t>
  </si>
  <si>
    <t>Source</t>
  </si>
  <si>
    <t>Employee Identifier</t>
  </si>
  <si>
    <t>Employee Last Name</t>
  </si>
  <si>
    <t>204:464</t>
  </si>
  <si>
    <t>rtdc.l.rtdc.4029:itc</t>
  </si>
  <si>
    <t>204:143</t>
  </si>
  <si>
    <t>204:232977</t>
  </si>
  <si>
    <t>clear-night</t>
  </si>
  <si>
    <t>Clear</t>
  </si>
  <si>
    <t>rtdc.l.rtdc.4017:itc</t>
  </si>
  <si>
    <t>rtdc.l.rtdc.4018:itc</t>
  </si>
  <si>
    <t>204:473</t>
  </si>
  <si>
    <t>204:233305</t>
  </si>
  <si>
    <t>Reactive Warning (1)</t>
  </si>
  <si>
    <t>204:444</t>
  </si>
  <si>
    <t>LEVERE</t>
  </si>
  <si>
    <t>204:233293</t>
  </si>
  <si>
    <t>204:233307</t>
  </si>
  <si>
    <t>204:232983</t>
  </si>
  <si>
    <t>rtdc.l.rtdc.4045:itc</t>
  </si>
  <si>
    <t>rtdc.l.rtdc.4013:itc</t>
  </si>
  <si>
    <t>rtdc.l.rtdc.4005:itc</t>
  </si>
  <si>
    <t>rtdc.l.rtdc.4006:itc</t>
  </si>
  <si>
    <t>204:233288</t>
  </si>
  <si>
    <t>204:232988</t>
  </si>
  <si>
    <t>204:232991</t>
  </si>
  <si>
    <t>204:233309</t>
  </si>
  <si>
    <t>204:440</t>
  </si>
  <si>
    <t>:.+((SYSTEM_STATE.+slice.+state.+changed )|(ment ac)|(system.+state.+changed )|(\[timeout)|(PRM\|1\|D)|(kpr)|(kdp)|(\|lc)|(penalty))</t>
  </si>
  <si>
    <t>partly-cloudy-day</t>
  </si>
  <si>
    <t>Partly Cloudy</t>
  </si>
  <si>
    <t>rtdc.l.rtdc.4039:itc</t>
  </si>
  <si>
    <t>STURGEON</t>
  </si>
  <si>
    <t>204:232984</t>
  </si>
  <si>
    <t>204:139</t>
  </si>
  <si>
    <t>204:232978</t>
  </si>
  <si>
    <t>204:232986</t>
  </si>
  <si>
    <t>204:161</t>
  </si>
  <si>
    <t>204:232990</t>
  </si>
  <si>
    <t>204:477</t>
  </si>
  <si>
    <t>s3://rtdc.mdm.uploadarchive.raw</t>
  </si>
  <si>
    <t>Y</t>
  </si>
  <si>
    <t>MALAVE</t>
  </si>
  <si>
    <t>YORK</t>
  </si>
  <si>
    <t>rtdc.l.rtdc.4011:itc</t>
  </si>
  <si>
    <t>NEWELL</t>
  </si>
  <si>
    <t>SHOOK</t>
  </si>
  <si>
    <t>SMITH</t>
  </si>
  <si>
    <t>309-29</t>
  </si>
  <si>
    <t>242-29</t>
  </si>
  <si>
    <t>311-29</t>
  </si>
  <si>
    <t>244-29</t>
  </si>
  <si>
    <t>313-29</t>
  </si>
  <si>
    <t>partly-cloudy-night</t>
  </si>
  <si>
    <t>204:449</t>
  </si>
  <si>
    <t>204:232980</t>
  </si>
  <si>
    <t>204:233284</t>
  </si>
  <si>
    <t>204:232996</t>
  </si>
  <si>
    <t>204:165</t>
  </si>
  <si>
    <t>204:232987</t>
  </si>
  <si>
    <t>204:136</t>
  </si>
  <si>
    <t>204:232969</t>
  </si>
  <si>
    <t>204:233004</t>
  </si>
  <si>
    <t>204:233332</t>
  </si>
  <si>
    <t>204:233306</t>
  </si>
  <si>
    <t>226-30</t>
  </si>
  <si>
    <t>228-30</t>
  </si>
  <si>
    <t>230-30</t>
  </si>
  <si>
    <t>231-30</t>
  </si>
  <si>
    <t>204:233274</t>
  </si>
  <si>
    <t>232-30</t>
  </si>
  <si>
    <t>233-30</t>
  </si>
  <si>
    <t>234-30</t>
  </si>
  <si>
    <t>204:232961</t>
  </si>
  <si>
    <t>235-30</t>
  </si>
  <si>
    <t>236-30</t>
  </si>
  <si>
    <t>237-30</t>
  </si>
  <si>
    <t>238-30</t>
  </si>
  <si>
    <t>239-30</t>
  </si>
  <si>
    <t>240-30</t>
  </si>
  <si>
    <t>241-30</t>
  </si>
  <si>
    <t>242-30</t>
  </si>
  <si>
    <t>243-30</t>
  </si>
  <si>
    <t>244-30</t>
  </si>
  <si>
    <t>245-30</t>
  </si>
  <si>
    <t>246-30</t>
  </si>
  <si>
    <t>309-30</t>
  </si>
  <si>
    <t>311-30</t>
  </si>
  <si>
    <t>313-30</t>
  </si>
  <si>
    <t>315-30</t>
  </si>
  <si>
    <t>300:58617</t>
  </si>
  <si>
    <t>844-30</t>
  </si>
  <si>
    <t>845-30</t>
  </si>
  <si>
    <t>847-30</t>
  </si>
  <si>
    <t>908-30</t>
  </si>
  <si>
    <t>rtdc.l.rtdc.4010:itc</t>
  </si>
  <si>
    <t>rtdc.l.rtdc.4015:itc</t>
  </si>
  <si>
    <t>rtdc.l.rtdc.4016:itc</t>
  </si>
  <si>
    <t>rtdc.l.rtdc.4054:itc</t>
  </si>
  <si>
    <t>rtdc.l.rtdc.4032:itc</t>
  </si>
  <si>
    <t>rtdc.l.rtdc.4031:itc</t>
  </si>
  <si>
    <t>rtdc.l.rtdc.4053:itc</t>
  </si>
  <si>
    <t>STEWART</t>
  </si>
  <si>
    <t>CLARK</t>
  </si>
  <si>
    <t>rtdc.l.rtdc.4009:itc</t>
  </si>
  <si>
    <t>CHANDLER</t>
  </si>
  <si>
    <t>precipType</t>
  </si>
  <si>
    <t>rain</t>
  </si>
  <si>
    <t>204:233308</t>
  </si>
  <si>
    <t>204:233302</t>
  </si>
  <si>
    <t>204:232971</t>
  </si>
  <si>
    <t>204:172</t>
  </si>
  <si>
    <t>204:467</t>
  </si>
  <si>
    <t>204:233289</t>
  </si>
  <si>
    <t>204:233006</t>
  </si>
  <si>
    <t>204:475</t>
  </si>
  <si>
    <t>204:232972</t>
  </si>
  <si>
    <t>204:447</t>
  </si>
  <si>
    <t>204:163</t>
  </si>
  <si>
    <t>204:233326</t>
  </si>
  <si>
    <t>300:58967</t>
  </si>
  <si>
    <t>204:233321</t>
  </si>
  <si>
    <t>204:233287</t>
  </si>
  <si>
    <t>204:232976</t>
  </si>
  <si>
    <t>204:233272</t>
  </si>
  <si>
    <t>rtdc.l.rtdc.4003:itc</t>
  </si>
  <si>
    <t>rtdc.l.rtdc.4004:itc</t>
  </si>
  <si>
    <t>rtdc.l.rtdc.4030:itc</t>
  </si>
  <si>
    <t>ACKERMAN</t>
  </si>
  <si>
    <t>KILLION</t>
  </si>
  <si>
    <t>BARTLETT</t>
  </si>
  <si>
    <t>clear-day</t>
  </si>
  <si>
    <t>204:232998</t>
  </si>
  <si>
    <t>204:486</t>
  </si>
  <si>
    <t>204:232952</t>
  </si>
  <si>
    <t>204:233297</t>
  </si>
  <si>
    <t>204:232965</t>
  </si>
  <si>
    <t>204:233304</t>
  </si>
  <si>
    <t>204:232960</t>
  </si>
  <si>
    <t>204:232973</t>
  </si>
  <si>
    <t>204:232994</t>
  </si>
  <si>
    <t>204:469</t>
  </si>
  <si>
    <t>204:233310</t>
  </si>
  <si>
    <t>204:233318</t>
  </si>
  <si>
    <t>204:233007</t>
  </si>
  <si>
    <t>204:232964</t>
  </si>
  <si>
    <t>204:233278</t>
  </si>
  <si>
    <t>204:1032</t>
  </si>
  <si>
    <t>300:58653</t>
  </si>
  <si>
    <t>300:58651</t>
  </si>
  <si>
    <t>300:58946</t>
  </si>
  <si>
    <t>300:58643</t>
  </si>
  <si>
    <t>204:1020</t>
  </si>
  <si>
    <t>300:58638</t>
  </si>
  <si>
    <t>204:232955</t>
  </si>
  <si>
    <t>204:233285</t>
  </si>
  <si>
    <t>204:233021</t>
  </si>
  <si>
    <t>204:232975</t>
  </si>
  <si>
    <t>204:233301</t>
  </si>
  <si>
    <t>242-02</t>
  </si>
  <si>
    <t>204:167</t>
  </si>
  <si>
    <t>244-02</t>
  </si>
  <si>
    <t>300:22828</t>
  </si>
  <si>
    <t>311-02</t>
  </si>
  <si>
    <t>313-02</t>
  </si>
  <si>
    <t>315-02</t>
  </si>
  <si>
    <t>204:437</t>
  </si>
  <si>
    <t>300:23297</t>
  </si>
  <si>
    <t>TEMPORARY SPEED RESTRICTION</t>
  </si>
  <si>
    <t>DAVIS</t>
  </si>
  <si>
    <t>STARKS</t>
  </si>
  <si>
    <t>YOUNG</t>
  </si>
  <si>
    <t>Onboard in-route failure</t>
  </si>
  <si>
    <t>101-03</t>
  </si>
  <si>
    <t>204:763</t>
  </si>
  <si>
    <t>204:233276</t>
  </si>
  <si>
    <t>102-03</t>
  </si>
  <si>
    <t>204:232658</t>
  </si>
  <si>
    <t>103-03</t>
  </si>
  <si>
    <t>204:662</t>
  </si>
  <si>
    <t>204:233360</t>
  </si>
  <si>
    <t>104-03</t>
  </si>
  <si>
    <t>204:232700</t>
  </si>
  <si>
    <t>105-03</t>
  </si>
  <si>
    <t>204:788</t>
  </si>
  <si>
    <t>107-03</t>
  </si>
  <si>
    <t>108-03</t>
  </si>
  <si>
    <t>109-03</t>
  </si>
  <si>
    <t>110-03</t>
  </si>
  <si>
    <t>111-03</t>
  </si>
  <si>
    <t>204:777</t>
  </si>
  <si>
    <t>112-03</t>
  </si>
  <si>
    <t>113-03</t>
  </si>
  <si>
    <t>204:438</t>
  </si>
  <si>
    <t>204:233295</t>
  </si>
  <si>
    <t>114-03</t>
  </si>
  <si>
    <t>115-03</t>
  </si>
  <si>
    <t>116-03</t>
  </si>
  <si>
    <t>204:232951</t>
  </si>
  <si>
    <t>204:170</t>
  </si>
  <si>
    <t>117-03</t>
  </si>
  <si>
    <t>118-03</t>
  </si>
  <si>
    <t>119-03</t>
  </si>
  <si>
    <t>120-03</t>
  </si>
  <si>
    <t>121-03</t>
  </si>
  <si>
    <t>204:424</t>
  </si>
  <si>
    <t>122-03</t>
  </si>
  <si>
    <t>123-03</t>
  </si>
  <si>
    <t>204:233281</t>
  </si>
  <si>
    <t>124-03</t>
  </si>
  <si>
    <t>204:232970</t>
  </si>
  <si>
    <t>204:176</t>
  </si>
  <si>
    <t>125-03</t>
  </si>
  <si>
    <t>126-03</t>
  </si>
  <si>
    <t>204:18774</t>
  </si>
  <si>
    <t>204:232957</t>
  </si>
  <si>
    <t>204:60502</t>
  </si>
  <si>
    <t>128-03</t>
  </si>
  <si>
    <t>129-03</t>
  </si>
  <si>
    <t>130-03</t>
  </si>
  <si>
    <t>131-03</t>
  </si>
  <si>
    <t>132-03</t>
  </si>
  <si>
    <t>204:232966</t>
  </si>
  <si>
    <t>133-03</t>
  </si>
  <si>
    <t>134-03</t>
  </si>
  <si>
    <t>135-03</t>
  </si>
  <si>
    <t>204:57667</t>
  </si>
  <si>
    <t>204:64698</t>
  </si>
  <si>
    <t>204:233299</t>
  </si>
  <si>
    <t>136-03</t>
  </si>
  <si>
    <t>137-03</t>
  </si>
  <si>
    <t>138-03</t>
  </si>
  <si>
    <t>204:232985</t>
  </si>
  <si>
    <t>140-03</t>
  </si>
  <si>
    <t>204:60496</t>
  </si>
  <si>
    <t>204:36797</t>
  </si>
  <si>
    <t>141-03</t>
  </si>
  <si>
    <t>204:19126</t>
  </si>
  <si>
    <t>204:482</t>
  </si>
  <si>
    <t>204:1065</t>
  </si>
  <si>
    <t>142-03</t>
  </si>
  <si>
    <t>204:232989</t>
  </si>
  <si>
    <t>143-03</t>
  </si>
  <si>
    <t>204:233268</t>
  </si>
  <si>
    <t>144-03</t>
  </si>
  <si>
    <t>145-03</t>
  </si>
  <si>
    <t>146-03</t>
  </si>
  <si>
    <t>204:153977</t>
  </si>
  <si>
    <t>147-03</t>
  </si>
  <si>
    <t>204:233316</t>
  </si>
  <si>
    <t>148-03</t>
  </si>
  <si>
    <t>149-03</t>
  </si>
  <si>
    <t>204:233323</t>
  </si>
  <si>
    <t>150-03</t>
  </si>
  <si>
    <t>151-03</t>
  </si>
  <si>
    <t>152-03</t>
  </si>
  <si>
    <t>153-03</t>
  </si>
  <si>
    <t>204:446</t>
  </si>
  <si>
    <t>154-03</t>
  </si>
  <si>
    <t>155-03</t>
  </si>
  <si>
    <t>156-03</t>
  </si>
  <si>
    <t>157-03</t>
  </si>
  <si>
    <t>158-03</t>
  </si>
  <si>
    <t>159-03</t>
  </si>
  <si>
    <t>160-03</t>
  </si>
  <si>
    <t>161-03</t>
  </si>
  <si>
    <t>204:233319</t>
  </si>
  <si>
    <t>162-03</t>
  </si>
  <si>
    <t>163-03</t>
  </si>
  <si>
    <t>204:442</t>
  </si>
  <si>
    <t>164-03</t>
  </si>
  <si>
    <t>204:132</t>
  </si>
  <si>
    <t>165-03</t>
  </si>
  <si>
    <t>166-03</t>
  </si>
  <si>
    <t>204:232953</t>
  </si>
  <si>
    <t>167-03</t>
  </si>
  <si>
    <t>168-03</t>
  </si>
  <si>
    <t>169-03</t>
  </si>
  <si>
    <t>170-03</t>
  </si>
  <si>
    <t>171-03</t>
  </si>
  <si>
    <t>172-03</t>
  </si>
  <si>
    <t>204:233036</t>
  </si>
  <si>
    <t>173-03</t>
  </si>
  <si>
    <t>204:233125</t>
  </si>
  <si>
    <t>174-03</t>
  </si>
  <si>
    <t>204:232817</t>
  </si>
  <si>
    <t>175-03</t>
  </si>
  <si>
    <t>176-03</t>
  </si>
  <si>
    <t>177-03</t>
  </si>
  <si>
    <t>178-03</t>
  </si>
  <si>
    <t>179-03</t>
  </si>
  <si>
    <t>180-03</t>
  </si>
  <si>
    <t>204:169</t>
  </si>
  <si>
    <t>181-03</t>
  </si>
  <si>
    <t>204:480</t>
  </si>
  <si>
    <t>182-03</t>
  </si>
  <si>
    <t>183-03</t>
  </si>
  <si>
    <t>204:233282</t>
  </si>
  <si>
    <t>184-03</t>
  </si>
  <si>
    <t>185-03</t>
  </si>
  <si>
    <t>204:233380</t>
  </si>
  <si>
    <t>186-03</t>
  </si>
  <si>
    <t>204:233040</t>
  </si>
  <si>
    <t>187-03</t>
  </si>
  <si>
    <t>188-03</t>
  </si>
  <si>
    <t>189-03</t>
  </si>
  <si>
    <t>190-03</t>
  </si>
  <si>
    <t>191-03</t>
  </si>
  <si>
    <t>192-03</t>
  </si>
  <si>
    <t>204:127848</t>
  </si>
  <si>
    <t>204:191</t>
  </si>
  <si>
    <t>193-03</t>
  </si>
  <si>
    <t>204:233259</t>
  </si>
  <si>
    <t>194-03</t>
  </si>
  <si>
    <t>195-03</t>
  </si>
  <si>
    <t>196-03</t>
  </si>
  <si>
    <t>197-03</t>
  </si>
  <si>
    <t>198-03</t>
  </si>
  <si>
    <t>199-03</t>
  </si>
  <si>
    <t>204:498</t>
  </si>
  <si>
    <t>204:233364</t>
  </si>
  <si>
    <t>201-03</t>
  </si>
  <si>
    <t>202-03</t>
  </si>
  <si>
    <t>203-03</t>
  </si>
  <si>
    <t>204:233349</t>
  </si>
  <si>
    <t>204-03</t>
  </si>
  <si>
    <t>205-03</t>
  </si>
  <si>
    <t>204:489</t>
  </si>
  <si>
    <t>206-03</t>
  </si>
  <si>
    <t>207-03</t>
  </si>
  <si>
    <t>208-03</t>
  </si>
  <si>
    <t>204:232942</t>
  </si>
  <si>
    <t>204:192</t>
  </si>
  <si>
    <t>209-03</t>
  </si>
  <si>
    <t>210-03</t>
  </si>
  <si>
    <t>211-03</t>
  </si>
  <si>
    <t>212-03</t>
  </si>
  <si>
    <t>204:947</t>
  </si>
  <si>
    <t>214-03</t>
  </si>
  <si>
    <t>204:232982</t>
  </si>
  <si>
    <t>215-03</t>
  </si>
  <si>
    <t>204:233347</t>
  </si>
  <si>
    <t>216-03</t>
  </si>
  <si>
    <t>204:233019</t>
  </si>
  <si>
    <t>217-03</t>
  </si>
  <si>
    <t>218-03</t>
  </si>
  <si>
    <t>219-03</t>
  </si>
  <si>
    <t>220-03</t>
  </si>
  <si>
    <t>221-03</t>
  </si>
  <si>
    <t>222-03</t>
  </si>
  <si>
    <t>224-03</t>
  </si>
  <si>
    <t>225-03</t>
  </si>
  <si>
    <t>226-03</t>
  </si>
  <si>
    <t>227-03</t>
  </si>
  <si>
    <t>228-03</t>
  </si>
  <si>
    <t>229-03</t>
  </si>
  <si>
    <t>230-03</t>
  </si>
  <si>
    <t>204:232979</t>
  </si>
  <si>
    <t>231-03</t>
  </si>
  <si>
    <t>232-03</t>
  </si>
  <si>
    <t>233-03</t>
  </si>
  <si>
    <t>234-03</t>
  </si>
  <si>
    <t>204:232948</t>
  </si>
  <si>
    <t>235-03</t>
  </si>
  <si>
    <t>236-03</t>
  </si>
  <si>
    <t>237-03</t>
  </si>
  <si>
    <t>238-03</t>
  </si>
  <si>
    <t>204:232967</t>
  </si>
  <si>
    <t>239-03</t>
  </si>
  <si>
    <t>240-03</t>
  </si>
  <si>
    <t>241-03</t>
  </si>
  <si>
    <t>242-03</t>
  </si>
  <si>
    <t>243-03</t>
  </si>
  <si>
    <t>244-03</t>
  </si>
  <si>
    <t>303-03</t>
  </si>
  <si>
    <t>300:23306</t>
  </si>
  <si>
    <t>309-03</t>
  </si>
  <si>
    <t>311-03</t>
  </si>
  <si>
    <t>300:23301</t>
  </si>
  <si>
    <t>313-03</t>
  </si>
  <si>
    <t>204:502</t>
  </si>
  <si>
    <t>300:22250</t>
  </si>
  <si>
    <t>315-03</t>
  </si>
  <si>
    <t>50-03</t>
  </si>
  <si>
    <t>300:24404</t>
  </si>
  <si>
    <t>300:24021</t>
  </si>
  <si>
    <t>52-03</t>
  </si>
  <si>
    <t>300:24290</t>
  </si>
  <si>
    <t>300:23635</t>
  </si>
  <si>
    <t>54-03</t>
  </si>
  <si>
    <t>204:645</t>
  </si>
  <si>
    <t>300:24243</t>
  </si>
  <si>
    <t>56-03</t>
  </si>
  <si>
    <t>300:23078</t>
  </si>
  <si>
    <t>300:18423</t>
  </si>
  <si>
    <t>61-03</t>
  </si>
  <si>
    <t>300:30175</t>
  </si>
  <si>
    <t>300:58973</t>
  </si>
  <si>
    <t>71-03</t>
  </si>
  <si>
    <t>204:1153</t>
  </si>
  <si>
    <t>300:24246</t>
  </si>
  <si>
    <t>801-03</t>
  </si>
  <si>
    <t>204:881</t>
  </si>
  <si>
    <t>300:58075</t>
  </si>
  <si>
    <t>802-03</t>
  </si>
  <si>
    <t>300:58704</t>
  </si>
  <si>
    <t>204:664</t>
  </si>
  <si>
    <t>803-03</t>
  </si>
  <si>
    <t>300:58978</t>
  </si>
  <si>
    <t>804-03</t>
  </si>
  <si>
    <t>300:58666</t>
  </si>
  <si>
    <t>204:705</t>
  </si>
  <si>
    <t>805-03</t>
  </si>
  <si>
    <t>204:939</t>
  </si>
  <si>
    <t>300:59012</t>
  </si>
  <si>
    <t>806-03</t>
  </si>
  <si>
    <t>300:58694</t>
  </si>
  <si>
    <t>204:621</t>
  </si>
  <si>
    <t>807-03</t>
  </si>
  <si>
    <t>808-03</t>
  </si>
  <si>
    <t>300:58630</t>
  </si>
  <si>
    <t>204:638</t>
  </si>
  <si>
    <t>809-03</t>
  </si>
  <si>
    <t>204:908</t>
  </si>
  <si>
    <t>300:59010</t>
  </si>
  <si>
    <t>810-03</t>
  </si>
  <si>
    <t>300:58707</t>
  </si>
  <si>
    <t>204:649</t>
  </si>
  <si>
    <t>811-03</t>
  </si>
  <si>
    <t>204:927</t>
  </si>
  <si>
    <t>300:58980</t>
  </si>
  <si>
    <t>812-03</t>
  </si>
  <si>
    <t>300:58658</t>
  </si>
  <si>
    <t>204:666</t>
  </si>
  <si>
    <t>813-03</t>
  </si>
  <si>
    <t>204:948</t>
  </si>
  <si>
    <t>300:58926</t>
  </si>
  <si>
    <t>814-03</t>
  </si>
  <si>
    <t>300:58596</t>
  </si>
  <si>
    <t>204:703</t>
  </si>
  <si>
    <t>815-03</t>
  </si>
  <si>
    <t>204:993</t>
  </si>
  <si>
    <t>300:58943</t>
  </si>
  <si>
    <t>816-03</t>
  </si>
  <si>
    <t>204:691</t>
  </si>
  <si>
    <t>817-03</t>
  </si>
  <si>
    <t>204:978</t>
  </si>
  <si>
    <t>300:58961</t>
  </si>
  <si>
    <t>818-03</t>
  </si>
  <si>
    <t>300:57335</t>
  </si>
  <si>
    <t>830-03</t>
  </si>
  <si>
    <t>204:113</t>
  </si>
  <si>
    <t>832-03</t>
  </si>
  <si>
    <t>204:129</t>
  </si>
  <si>
    <t>833-03</t>
  </si>
  <si>
    <t>204:397</t>
  </si>
  <si>
    <t>834-03</t>
  </si>
  <si>
    <t>300:58655</t>
  </si>
  <si>
    <t>204:343</t>
  </si>
  <si>
    <t>835-03</t>
  </si>
  <si>
    <t>204:432</t>
  </si>
  <si>
    <t>836-03</t>
  </si>
  <si>
    <t>204:663</t>
  </si>
  <si>
    <t>837-03</t>
  </si>
  <si>
    <t>204:652</t>
  </si>
  <si>
    <t>300:58969</t>
  </si>
  <si>
    <t>838-03</t>
  </si>
  <si>
    <t>300:14187</t>
  </si>
  <si>
    <t>839-03</t>
  </si>
  <si>
    <t>204:941</t>
  </si>
  <si>
    <t>300:58971</t>
  </si>
  <si>
    <t>840-03</t>
  </si>
  <si>
    <t>204:764</t>
  </si>
  <si>
    <t>841-03</t>
  </si>
  <si>
    <t>204:1049</t>
  </si>
  <si>
    <t>843-03</t>
  </si>
  <si>
    <t>204:2844</t>
  </si>
  <si>
    <t>844-03</t>
  </si>
  <si>
    <t>300:58628</t>
  </si>
  <si>
    <t>204:684</t>
  </si>
  <si>
    <t>845-03</t>
  </si>
  <si>
    <t>204:1009</t>
  </si>
  <si>
    <t>847-03</t>
  </si>
  <si>
    <t>204:976</t>
  </si>
  <si>
    <t>300:58941</t>
  </si>
  <si>
    <t>908-03</t>
  </si>
  <si>
    <t>300:58619</t>
  </si>
  <si>
    <t>300:21481</t>
  </si>
  <si>
    <t>rtdc.l.rtdc.4040:itc</t>
  </si>
  <si>
    <t>rtdc.l.rtdc.4001:itc</t>
  </si>
  <si>
    <t>rtdc.l.rtdc.4002:itc</t>
  </si>
  <si>
    <t>906-03</t>
  </si>
  <si>
    <t>BRANNON</t>
  </si>
  <si>
    <t>SPECTOR</t>
  </si>
  <si>
    <t>800-03</t>
  </si>
  <si>
    <t>GRASTON</t>
  </si>
  <si>
    <t>ROCHA</t>
  </si>
  <si>
    <t>127-03</t>
  </si>
  <si>
    <t>SNYDER</t>
  </si>
  <si>
    <t>rtdc.l.rtdc.4021:itc</t>
  </si>
  <si>
    <t>rtdc.l.rtdc.4022:itc</t>
  </si>
  <si>
    <t>BONDS</t>
  </si>
  <si>
    <t>HELVIE</t>
  </si>
  <si>
    <t>200-03</t>
  </si>
  <si>
    <t>MAHAN</t>
  </si>
  <si>
    <t>PUGH</t>
  </si>
  <si>
    <t>307-03</t>
  </si>
  <si>
    <t>HAUSER</t>
  </si>
  <si>
    <t>Mostly Cloudy</t>
  </si>
  <si>
    <t>Summary for DUS 2016-10-03: Partly cloudy starting in the morning, continuing until night.</t>
  </si>
  <si>
    <t>Improper execution of bulletin (NB Quebec Form C)</t>
  </si>
  <si>
    <t>DUS 4N STOP because 22N was also STOP</t>
  </si>
  <si>
    <t>Multiple CPU faults at 10:09:06</t>
  </si>
  <si>
    <t>Both Onboard and BOS had identical CRCs for the two bulletins in effect, but the BOS was improperly calculating the CRC and thus keeping things in a permanent mismatched state. Manually issuing the bulletin at 16:14:51 seems to have fixed the issue.</t>
  </si>
  <si>
    <t>BOS CRC improperly calculated for Form C's</t>
  </si>
  <si>
    <t>Multiple CPU faults @ 19:26:20</t>
  </si>
  <si>
    <t>Annulled due to OCS Power Outage @ BNSF Fuel Yard</t>
  </si>
  <si>
    <t>At 19:04:04.252, received clear controls from dispatch, however 6S was not clearing. Was there any vital logic not being obeyed here, or was there an issue with the wayside?</t>
  </si>
  <si>
    <t>38th &amp; 41st 6S unresponsive to Clear controls</t>
  </si>
  <si>
    <t>PSS for DUS 16N did not work due to invalid Site Name. It should be SiteName=DU0031WCPM1 DeviceID=Signal 16N</t>
  </si>
  <si>
    <t>Delayed due to traffic</t>
  </si>
  <si>
    <t>106-03</t>
  </si>
  <si>
    <t>Did not init</t>
  </si>
  <si>
    <t>Primary slice change left system in disengaged during entire trip. SYS :2016/10/03 12:55:02.903:SYSTEM_STATE:slice state changed [SECONDARY]-&gt;[PRIMARY]</t>
  </si>
  <si>
    <t>139-03</t>
  </si>
  <si>
    <t xml:space="preserve">Triplex failure at 2016-10-03 16:56:16.000 </t>
  </si>
  <si>
    <t>213-03</t>
  </si>
  <si>
    <t>223-03</t>
  </si>
  <si>
    <t>842-03</t>
  </si>
  <si>
    <t>This trip was chosen twice, perhaps chosen in lieu of 139-03?</t>
  </si>
  <si>
    <t>Early Arrival</t>
  </si>
  <si>
    <t>Form C</t>
  </si>
  <si>
    <t>40th 4S STOP, cleared afterward</t>
  </si>
  <si>
    <t>Pena 4S STOP, cleared afterward</t>
  </si>
  <si>
    <t>DUS 22S STOP, cleared afterward</t>
  </si>
  <si>
    <t>Overspeed</t>
  </si>
  <si>
    <t>NW0333RH 34-2T 2S was RESTRICTING</t>
  </si>
  <si>
    <t>No clear controls sent to DUS 16N from TMDS</t>
  </si>
  <si>
    <t>No clear controls sent to 16N when trip 843-03 tried to get going. Do TMDS logs give us any insight as to why no attempts to clear the signal were ever made?</t>
  </si>
  <si>
    <t>No clear controls sent to DUS 16N, then Invalid Site Name in PSS</t>
  </si>
  <si>
    <t>OCS Power Outage @ BNSF Fuel 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</si>
</sst>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3"/>
  <sheetViews>
    <sheetView tabSelected="1" topLeftCell="A166" workbookViewId="0">
      <selection activeCell="V192" sqref="V192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4257812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42646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42646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145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34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COUNTIFS($N$13:$N$9386,"&gt;0",$AG$13:$AG$9386,I1)</f>
        <v>132</v>
      </c>
      <c r="K5" s="46"/>
      <c r="L5" s="46"/>
      <c r="M5" s="47">
        <f>AVERAGEIFS($N$13:$N$9386,$AG$13:$AG$9386,I1)</f>
        <v>41.126893939270467</v>
      </c>
      <c r="N5" s="45">
        <f t="array" ref="N5">MIN(IF($AG$13:$AG$9386=I1,IF(ISNUMBER($N$13:$N$9386),IF($N$13:$N$9386&gt;0,$N$13:$N$9386))))</f>
        <v>34.583333329064772</v>
      </c>
      <c r="O5" s="3">
        <f t="array" ref="O5">MAX(IF($AG$13:$AG$9386=I1,IF(ISNUMBER($N$13:$N$9386),IF($N$13:$N$9386&gt;0,$N$13:$N$9386))))</f>
        <v>54.600000001955777</v>
      </c>
      <c r="P5" s="2"/>
      <c r="R5" s="83" t="s">
        <v>17</v>
      </c>
      <c r="S5" s="57">
        <f>COUNTIFS($N$13:$N$9386,"&gt;0",$AG$13:$AG$9386,R1)</f>
        <v>31</v>
      </c>
      <c r="T5" s="46"/>
      <c r="U5" s="156"/>
      <c r="V5" s="47">
        <f>AVERAGEIFS($N$13:$N$9386,$AG$13:$AG$9386,R1)</f>
        <v>16.919354838769763</v>
      </c>
      <c r="W5" s="45">
        <f t="array" ref="W5">MIN(IF($AG$13:$AG$9386=R1,IF(ISNUMBER($N$13:$N$9386),IF($N$13:$N$9386&gt;0,$N$13:$N$9386))))</f>
        <v>0.98333333269692957</v>
      </c>
      <c r="X5" s="161">
        <f t="array" ref="X5">MAX(IF($AG$13:$AG$9386=R1,IF(ISNUMBER($N$13:$N$9386),IF($N$13:$N$9386&gt;0,$N$13:$N$9386))))</f>
        <v>38.399999997345731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COUNT($O$13:$O$160)</f>
        <v>0</v>
      </c>
      <c r="K6" s="46"/>
      <c r="L6" s="46"/>
      <c r="M6" s="47">
        <f>IFERROR(AVERAGE($O$13:$O$160),0)</f>
        <v>0</v>
      </c>
      <c r="N6" s="45">
        <f>MIN($O$13:$O$160)</f>
        <v>0</v>
      </c>
      <c r="O6" s="3">
        <f>MAX($O$13:$O$160)</f>
        <v>0</v>
      </c>
      <c r="P6" s="2"/>
      <c r="R6" s="84" t="s">
        <v>43</v>
      </c>
      <c r="S6" s="57">
        <f>COUNT($O$13:$O$160)</f>
        <v>0</v>
      </c>
      <c r="T6" s="46"/>
      <c r="U6" s="156"/>
      <c r="V6" s="47">
        <f>IFERROR(AVERAGE($O$13:$O$160),0)</f>
        <v>0</v>
      </c>
      <c r="W6" s="45">
        <f>MIN($O$13:$O$160)</f>
        <v>0</v>
      </c>
      <c r="X6" s="161">
        <f>MAX($O$13:$O$160)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COUNTIFS($P$13:$P$9386,"&gt;0",$AG$13:$AG$9386,I1)</f>
        <v>13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COUNTIFS($P$13:$P$9386,"&gt;0",$AG$13:$AG$9386,R1)</f>
        <v>3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132</v>
      </c>
      <c r="K8" s="46"/>
      <c r="L8" s="46"/>
      <c r="M8" s="47">
        <f>M5</f>
        <v>41.126893939270467</v>
      </c>
      <c r="N8" s="45">
        <f>N5</f>
        <v>34.583333329064772</v>
      </c>
      <c r="O8" s="3">
        <f>O5</f>
        <v>54.600000001955777</v>
      </c>
      <c r="P8" s="2"/>
      <c r="R8" s="83" t="s">
        <v>16</v>
      </c>
      <c r="S8" s="57">
        <f>S5</f>
        <v>31</v>
      </c>
      <c r="T8" s="46"/>
      <c r="U8" s="156"/>
      <c r="V8" s="47">
        <f>V5</f>
        <v>16.919354838769763</v>
      </c>
      <c r="W8" s="45">
        <f>W5</f>
        <v>0.98333333269692957</v>
      </c>
      <c r="X8" s="161">
        <f>X5</f>
        <v>38.399999997345731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0.91034482758620694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0.91176470588235292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2">
        <f>AVERAGE(S13:S109)</f>
        <v>0.95340501792114685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158</v>
      </c>
      <c r="AJ12" s="53" t="s">
        <v>159</v>
      </c>
      <c r="AK12" s="53" t="s">
        <v>132</v>
      </c>
      <c r="AL12" s="53" t="s">
        <v>160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402</v>
      </c>
      <c r="B13" s="7">
        <v>4040</v>
      </c>
      <c r="C13" s="24" t="s">
        <v>106</v>
      </c>
      <c r="D13" s="24" t="s">
        <v>403</v>
      </c>
      <c r="E13" s="15">
        <v>42646.131018518521</v>
      </c>
      <c r="F13" s="15">
        <v>42646.136608796296</v>
      </c>
      <c r="G13" s="7">
        <v>1</v>
      </c>
      <c r="H13" s="15" t="s">
        <v>404</v>
      </c>
      <c r="I13" s="15">
        <v>42646.162118055552</v>
      </c>
      <c r="J13" s="7">
        <v>0</v>
      </c>
      <c r="K13" s="117" t="str">
        <f t="shared" ref="K13:K44" si="0">IF(ISEVEN(B13),(B13-1)&amp;"/"&amp;B13,B13&amp;"/"&amp;(B13+1))</f>
        <v>4039/4040</v>
      </c>
      <c r="L13" s="24" t="str">
        <f>VLOOKUP(A13,'Trips&amp;Operators'!$C$1:$E$10000,3,FALSE)</f>
        <v>KILLION</v>
      </c>
      <c r="M13" s="6">
        <f t="shared" ref="M13:M44" si="1">I13-F13</f>
        <v>2.5509259256068617E-2</v>
      </c>
      <c r="N13" s="7">
        <f>24*60*SUM($M13:$M13)</f>
        <v>36.733333328738809</v>
      </c>
      <c r="O13" s="7"/>
      <c r="P13" s="7"/>
      <c r="Q13" s="25"/>
      <c r="R13" s="25"/>
      <c r="S13" s="37">
        <f t="shared" ref="S13:S38" si="2">SUM(U13:U13)/IF(AG13="EC",12,1)</f>
        <v>1</v>
      </c>
      <c r="T13" s="52" t="str">
        <f t="shared" ref="T13:T44" si="3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https://search-rtdc-monitor-bjffxe2xuh6vdkpspy63sjmuny.us-east-1.es.amazonaws.com/_plugin/kibana/#/discover/Steve-Slow-Train-Analysis-(2080s-and-2083s)?_g=(refreshInterval:(display:Off,section:0,value:0),time:(from:'2016-10-03 02:08:40-0600',mode:absolute,to:'2016-10-03 04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" s="54" t="str">
        <f t="shared" ref="W13:W44" si="4">IF(AA13&lt;IF(AG13="EC",23,5.65),"Y","N")</f>
        <v>N</v>
      </c>
      <c r="X13" s="164" t="e">
        <f t="shared" ref="X13:X18" si="5">VALUE(LEFT(AD13,4))-VALUE(LEFT(AD12,4))</f>
        <v>#VALUE!</v>
      </c>
      <c r="Y13" s="69">
        <f t="shared" ref="Y13:Y44" si="6">RIGHT(D13,LEN(D13)-4)/10000</f>
        <v>7.6300000000000007E-2</v>
      </c>
      <c r="Z13" s="69">
        <f t="shared" ref="Z13:Z40" si="7">RIGHT(H13,LEN(H13)-4)/10000</f>
        <v>23.3276</v>
      </c>
      <c r="AA13" s="69">
        <f t="shared" ref="AA13:AA44" si="8">ABS(Z13-Y13)</f>
        <v>23.251300000000001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44" si="9">IF(LEN(A13)=6,"0"&amp;A13,A13)</f>
        <v>0101-03</v>
      </c>
      <c r="AE13" s="95" t="str">
        <f t="shared" ref="AE13:AE44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13" s="92" t="str">
        <f t="shared" ref="AF13:AF44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/stypes="app*4040*20161003*" /stext=" 09:.+((SYSTEM_STATE.+slice.+state.+changed )|(ment ac)|(system.+state.+changed )|(\[timeout)|(PRM\|1\|D)|(kpr)|(kdp)|(\|lc)|(penalty))" /e /r /s</v>
      </c>
      <c r="AG13" s="1" t="str">
        <f t="shared" ref="AG13:AG44" si="12">IFERROR(IF(VALUE(LEFT(AD13,2))&lt;=2,"EC",IF(OR(VALUE(LEFT(AD13,2))=8,VALUE(LEFT(AD13,2))=18),"NW","Other")),"Other")</f>
        <v>EC</v>
      </c>
      <c r="AH13" s="9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4040 --swversion DE.1.0.7.0 --startMP 204:763 --initTime 2016-10-03T03:08:40 --startdatetime 2016-10-03T03:16:43 --delay 1 --endMP 204:233276 --enddatetime 2016-10-03T03:53:27 --enforcementcount 0 &gt;&gt;C:\Users\stu\Documents\GitHub\eaglep3-reporting\EC\2016-10-03-refined-times.txt</v>
      </c>
      <c r="AI13" s="130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{"issue":{"subject":"","project_id":79,"tracker_id":40,"status_id":1,"priority_id":2,"assigned_to_id":23,"start_date":"2016-10-03","description":"","custom_fields":[{"id":1,"name":"Subdivision","value":"EC"},{"id":4,"name":"Milepost","value":"23.3276"},{"id":17,"name":"Train ID","value":"101-03"},{"id":16,"name":"Locomotive ID","value":"4040"},{"id":130,"name":"Impact","value":""},{"id":150,"name":"Time of Event (Mountain Time)","value":"03:53:27"},{"id":151,"name":"Denver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405</v>
      </c>
      <c r="B14" s="7">
        <v>4017</v>
      </c>
      <c r="C14" s="24" t="s">
        <v>106</v>
      </c>
      <c r="D14" s="24" t="s">
        <v>406</v>
      </c>
      <c r="E14" s="15">
        <v>42646.169652777775</v>
      </c>
      <c r="F14" s="15">
        <v>42646.174513888887</v>
      </c>
      <c r="G14" s="7">
        <v>6</v>
      </c>
      <c r="H14" s="15" t="s">
        <v>289</v>
      </c>
      <c r="I14" s="15">
        <v>42646.202708333331</v>
      </c>
      <c r="J14" s="7">
        <v>0</v>
      </c>
      <c r="K14" s="117" t="str">
        <f t="shared" si="0"/>
        <v>4017/4018</v>
      </c>
      <c r="L14" s="24" t="str">
        <f>VLOOKUP(A14,'Trips&amp;Operators'!$C$1:$E$10000,3,FALSE)</f>
        <v>KILLION</v>
      </c>
      <c r="M14" s="6">
        <f t="shared" si="1"/>
        <v>2.8194444443215616E-2</v>
      </c>
      <c r="N14" s="7">
        <f>24*60*SUM($M14:$M14)</f>
        <v>40.599999998230487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ref="V14:V78" si="15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https://search-rtdc-monitor-bjffxe2xuh6vdkpspy63sjmuny.us-east-1.es.amazonaws.com/_plugin/kibana/#/discover/Steve-Slow-Train-Analysis-(2080s-and-2083s)?_g=(refreshInterval:(display:Off,section:0,value:0),time:(from:'2016-10-03 03:04:18-0600',mode:absolute,to:'2016-10-03 05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" s="54" t="str">
        <f t="shared" si="4"/>
        <v>N</v>
      </c>
      <c r="X14" s="164">
        <f t="shared" si="5"/>
        <v>1</v>
      </c>
      <c r="Y14" s="69">
        <f t="shared" si="6"/>
        <v>23.265799999999999</v>
      </c>
      <c r="Z14" s="69">
        <f t="shared" si="7"/>
        <v>1.3599999999999999E-2</v>
      </c>
      <c r="AA14" s="69">
        <f t="shared" si="8"/>
        <v>23.252199999999998</v>
      </c>
      <c r="AB14" s="66" t="str">
        <f>VLOOKUP(A14,Enforcements!$C$7:$K$21,8,0)</f>
        <v>Speed (6)</v>
      </c>
      <c r="AC14" s="62" t="str">
        <f>VLOOKUP(A14,Enforcements!$C$7:$E$21,3,0)</f>
        <v>PERMANENT SPEED RESTRICTION</v>
      </c>
      <c r="AD14" s="63" t="str">
        <f t="shared" si="9"/>
        <v>0102-03</v>
      </c>
      <c r="AE14" s="95" t="str">
        <f t="shared" si="10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14" s="92" t="str">
        <f t="shared" si="11"/>
        <v>"C:\Program Files (x86)\AstroGrep\AstroGrep.exe" /spath="%USERPROFILE%\AppData\Local\Temp\OnboardLogs" /stypes="app*4017*20161003*" /stext=" 10:.+((SYSTEM_STATE.+slice.+state.+changed )|(ment ac)|(system.+state.+changed )|(\[timeout)|(PRM\|1\|D)|(kpr)|(kdp)|(\|lc)|(penalty))" /e /r /s</v>
      </c>
      <c r="AG14" s="1" t="str">
        <f t="shared" si="12"/>
        <v>EC</v>
      </c>
      <c r="AH14" s="96" t="str">
        <f t="shared" ref="AH14:AH78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4017 --swversion DE.1.0.7.0 --startMP 204:232658 --initTime 2016-10-03T04:04:18 --startdatetime 2016-10-03T04:11:18 --delay 6 --endMP 204:136 --enddatetime 2016-10-03T04:51:54 --enforcementcount 0 &gt;&gt;C:\Users\stu\Documents\GitHub\eaglep3-reporting\EC\2016-10-03-refined-times.txt</v>
      </c>
      <c r="AI14" s="130" t="str">
        <f t="shared" ref="AI14:AI78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{"issue":{"subject":"","project_id":79,"tracker_id":40,"status_id":1,"priority_id":2,"assigned_to_id":23,"start_date":"2016-10-03","description":"","custom_fields":[{"id":1,"name":"Subdivision","value":"EC"},{"id":4,"name":"Milepost","value":"0.0136"},{"id":17,"name":"Train ID","value":"102-03"},{"id":16,"name":"Locomotive ID","value":"4017"},{"id":130,"name":"Impact","value":""},{"id":150,"name":"Time of Event (Mountain Time)","value":"04:51:54"},{"id":151,"name":"Denver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407</v>
      </c>
      <c r="B15" s="7">
        <v>4029</v>
      </c>
      <c r="C15" s="24" t="s">
        <v>106</v>
      </c>
      <c r="D15" s="24" t="s">
        <v>408</v>
      </c>
      <c r="E15" s="15">
        <v>42646.15179398148</v>
      </c>
      <c r="F15" s="15">
        <v>42646.156469907408</v>
      </c>
      <c r="G15" s="7">
        <v>1</v>
      </c>
      <c r="H15" s="15" t="s">
        <v>409</v>
      </c>
      <c r="I15" s="15">
        <v>42646.18178240741</v>
      </c>
      <c r="J15" s="7">
        <v>0</v>
      </c>
      <c r="K15" s="117" t="str">
        <f t="shared" si="0"/>
        <v>4029/4030</v>
      </c>
      <c r="L15" s="24" t="str">
        <f>VLOOKUP(A15,'Trips&amp;Operators'!$C$1:$E$10000,3,FALSE)</f>
        <v>ACKERMAN</v>
      </c>
      <c r="M15" s="6">
        <f t="shared" si="1"/>
        <v>2.531250000174623E-2</v>
      </c>
      <c r="N15" s="7">
        <f>24*60*SUM($M15:$M15)</f>
        <v>36.450000002514571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02:38:35-0600',mode:absolute,to:'2016-10-03 05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" s="54" t="str">
        <f t="shared" si="4"/>
        <v>N</v>
      </c>
      <c r="X15" s="164">
        <f t="shared" si="5"/>
        <v>1</v>
      </c>
      <c r="Y15" s="69">
        <f t="shared" si="6"/>
        <v>6.6199999999999995E-2</v>
      </c>
      <c r="Z15" s="69">
        <f t="shared" si="7"/>
        <v>23.335999999999999</v>
      </c>
      <c r="AA15" s="69">
        <f t="shared" si="8"/>
        <v>23.2698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9"/>
        <v>0103-03</v>
      </c>
      <c r="AE15" s="95" t="str">
        <f t="shared" si="10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15" s="92" t="str">
        <f t="shared" si="11"/>
        <v>"C:\Program Files (x86)\AstroGrep\AstroGrep.exe" /spath="%USERPROFILE%\AppData\Local\Temp\OnboardLogs" /stypes="app*4029*20161003*" /stext=" 10:.+((SYSTEM_STATE.+slice.+state.+changed )|(ment ac)|(system.+state.+changed )|(\[timeout)|(PRM\|1\|D)|(kpr)|(kdp)|(\|lc)|(penalty))" /e /r /s</v>
      </c>
      <c r="AG15" s="1" t="str">
        <f t="shared" si="12"/>
        <v>EC</v>
      </c>
      <c r="AH15" s="96" t="str">
        <f t="shared" si="16"/>
        <v>"%USERPROFILE%\Documents\GitHub\eaglep3\Utilities\RefineRTDCRunTimes.py" --tripid 103-03 --locoid 4029 --swversion DE.1.0.7.0 --startMP 204:662 --initTime 2016-10-03T03:38:35 --startdatetime 2016-10-03T03:45:19 --delay 1 --endMP 204:233360 --enddatetime 2016-10-03T04:21:46 --enforcementcount 0 &gt;&gt;C:\Users\stu\Documents\GitHub\eaglep3-reporting\EC\2016-10-03-refined-times.txt</v>
      </c>
      <c r="AI15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{"issue":{"subject":"","project_id":79,"tracker_id":40,"status_id":1,"priority_id":2,"assigned_to_id":23,"start_date":"2016-10-03","description":"","custom_fields":[{"id":1,"name":"Subdivision","value":"EC"},{"id":4,"name":"Milepost","value":"23.336"},{"id":17,"name":"Train ID","value":"103-03"},{"id":16,"name":"Locomotive ID","value":"4029"},{"id":130,"name":"Impact","value":""},{"id":150,"name":"Time of Event (Mountain Time)","value":"04:21:46"},{"id":151,"name":"Denver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410</v>
      </c>
      <c r="B16" s="7">
        <v>4026</v>
      </c>
      <c r="C16" s="24" t="s">
        <v>106</v>
      </c>
      <c r="D16" s="24" t="s">
        <v>411</v>
      </c>
      <c r="E16" s="15">
        <v>42646.190428240741</v>
      </c>
      <c r="F16" s="15">
        <v>42646.1953587963</v>
      </c>
      <c r="G16" s="7">
        <v>1</v>
      </c>
      <c r="H16" s="15" t="s">
        <v>127</v>
      </c>
      <c r="I16" s="15">
        <v>42646.223692129628</v>
      </c>
      <c r="J16" s="7">
        <v>0</v>
      </c>
      <c r="K16" s="117" t="str">
        <f t="shared" si="0"/>
        <v>4025/4026</v>
      </c>
      <c r="L16" s="24" t="str">
        <f>VLOOKUP(A16,'Trips&amp;Operators'!$C$1:$E$10000,3,FALSE)</f>
        <v>ACKERMAN</v>
      </c>
      <c r="M16" s="6">
        <f t="shared" si="1"/>
        <v>2.8333333328191657E-2</v>
      </c>
      <c r="N16" s="7">
        <f>24*60*SUM($M16:$M16)</f>
        <v>40.799999992595986</v>
      </c>
      <c r="O16" s="7"/>
      <c r="P16" s="7"/>
      <c r="Q16" s="25"/>
      <c r="R16" s="25"/>
      <c r="S16" s="37">
        <f t="shared" si="2"/>
        <v>1</v>
      </c>
      <c r="T16" s="52" t="str">
        <f t="shared" si="3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03:34:13-0600',mode:absolute,to:'2016-10-03 06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54" t="str">
        <f t="shared" si="4"/>
        <v>N</v>
      </c>
      <c r="X16" s="164">
        <f t="shared" si="5"/>
        <v>1</v>
      </c>
      <c r="Y16" s="69">
        <f t="shared" si="6"/>
        <v>23.27</v>
      </c>
      <c r="Z16" s="69">
        <f t="shared" si="7"/>
        <v>1.54E-2</v>
      </c>
      <c r="AA16" s="69">
        <f t="shared" si="8"/>
        <v>23.2546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9"/>
        <v>0104-03</v>
      </c>
      <c r="AE16" s="95" t="str">
        <f t="shared" si="10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16" s="92" t="str">
        <f t="shared" si="11"/>
        <v>"C:\Program Files (x86)\AstroGrep\AstroGrep.exe" /spath="%USERPROFILE%\AppData\Local\Temp\OnboardLogs" /stypes="app*4026*20161003*" /stext=" 11:.+((SYSTEM_STATE.+slice.+state.+changed )|(ment ac)|(system.+state.+changed )|(\[timeout)|(PRM\|1\|D)|(kpr)|(kdp)|(\|lc)|(penalty))" /e /r /s</v>
      </c>
      <c r="AG16" s="1" t="str">
        <f t="shared" si="12"/>
        <v>EC</v>
      </c>
      <c r="AH16" s="96" t="str">
        <f t="shared" si="16"/>
        <v>"%USERPROFILE%\Documents\GitHub\eaglep3\Utilities\RefineRTDCRunTimes.py" --tripid 104-03 --locoid 4026 --swversion DE.1.0.7.0 --startMP 204:232700 --initTime 2016-10-03T04:34:13 --startdatetime 2016-10-03T04:41:19 --delay 1 --endMP 204:154 --enddatetime 2016-10-03T05:22:07 --enforcementcount 0 &gt;&gt;C:\Users\stu\Documents\GitHub\eaglep3-reporting\EC\2016-10-03-refined-times.txt</v>
      </c>
      <c r="AI16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{"issue":{"subject":"","project_id":79,"tracker_id":40,"status_id":1,"priority_id":2,"assigned_to_id":23,"start_date":"2016-10-03","description":"","custom_fields":[{"id":1,"name":"Subdivision","value":"EC"},{"id":4,"name":"Milepost","value":"0.0154"},{"id":17,"name":"Train ID","value":"104-03"},{"id":16,"name":"Locomotive ID","value":"4026"},{"id":130,"name":"Impact","value":""},{"id":150,"name":"Time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412</v>
      </c>
      <c r="B17" s="7">
        <v>4009</v>
      </c>
      <c r="C17" s="24" t="s">
        <v>106</v>
      </c>
      <c r="D17" s="24" t="s">
        <v>413</v>
      </c>
      <c r="E17" s="15">
        <v>42646.171180555553</v>
      </c>
      <c r="F17" s="15">
        <v>42646.177314814813</v>
      </c>
      <c r="G17" s="7">
        <v>1</v>
      </c>
      <c r="H17" s="15" t="s">
        <v>241</v>
      </c>
      <c r="I17" s="15">
        <v>42646.203194444446</v>
      </c>
      <c r="J17" s="7">
        <v>0</v>
      </c>
      <c r="K17" s="117" t="str">
        <f t="shared" si="0"/>
        <v>4009/4010</v>
      </c>
      <c r="L17" s="24" t="str">
        <f>VLOOKUP(A17,'Trips&amp;Operators'!$C$1:$E$10000,3,FALSE)</f>
        <v>BRANNON</v>
      </c>
      <c r="M17" s="6">
        <f t="shared" si="1"/>
        <v>2.587962963298196E-2</v>
      </c>
      <c r="N17" s="7">
        <f>24*60*SUM($M17:$M17)</f>
        <v>37.266666671494022</v>
      </c>
      <c r="O17" s="7"/>
      <c r="P17" s="7"/>
      <c r="Q17" s="25"/>
      <c r="R17" s="25"/>
      <c r="S17" s="37">
        <f t="shared" si="2"/>
        <v>1</v>
      </c>
      <c r="T17" s="52" t="str">
        <f t="shared" si="3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03:06:30-0600',mode:absolute,to:'2016-10-03 05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" s="54" t="str">
        <f t="shared" si="4"/>
        <v>N</v>
      </c>
      <c r="X17" s="164">
        <f t="shared" si="5"/>
        <v>1</v>
      </c>
      <c r="Y17" s="69">
        <f t="shared" si="6"/>
        <v>7.8799999999999995E-2</v>
      </c>
      <c r="Z17" s="69">
        <f t="shared" si="7"/>
        <v>23.330500000000001</v>
      </c>
      <c r="AA17" s="69">
        <f t="shared" si="8"/>
        <v>23.2517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9"/>
        <v>0105-03</v>
      </c>
      <c r="AE17" s="95" t="str">
        <f t="shared" si="10"/>
        <v>aws s3 cp s3://rtdc.mdm.uploadarchive.raw/RTDC4009/ "%USERPROFILE%\AppData\Local\Temp\OnboardLogs"\RTDC4009\2016-10-03 --exclude "*" --recursive --include "*20161003*" &amp; "%USERPROFILE%\Documents\GitHub\mrs-test-scripts\Headless Mode &amp; Sideloading\WalkAndUnGZ.bat" "%USERPROFILE%\AppData\Local\Temp\OnboardLogs"\RTDC4009\2016-10-03 &amp; 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</v>
      </c>
      <c r="AF17" s="92" t="str">
        <f t="shared" si="11"/>
        <v>"C:\Program Files (x86)\AstroGrep\AstroGrep.exe" /spath="%USERPROFILE%\AppData\Local\Temp\OnboardLogs" /stypes="app*4009*20161003*" /stext=" 10:.+((SYSTEM_STATE.+slice.+state.+changed )|(ment ac)|(system.+state.+changed )|(\[timeout)|(PRM\|1\|D)|(kpr)|(kdp)|(\|lc)|(penalty))" /e /r /s</v>
      </c>
      <c r="AG17" s="1" t="str">
        <f t="shared" si="12"/>
        <v>EC</v>
      </c>
      <c r="AH17" s="96" t="str">
        <f t="shared" si="16"/>
        <v>"%USERPROFILE%\Documents\GitHub\eaglep3\Utilities\RefineRTDCRunTimes.py" --tripid 105-03 --locoid 4009 --swversion DE.1.0.7.0 --startMP 204:788 --initTime 2016-10-03T04:06:30 --startdatetime 2016-10-03T04:15:20 --delay 1 --endMP 204:233305 --enddatetime 2016-10-03T04:52:36 --enforcementcount 0 &gt;&gt;C:\Users\stu\Documents\GitHub\eaglep3-reporting\EC\2016-10-03-refined-times.txt</v>
      </c>
      <c r="AI17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{"issue":{"subject":"","project_id":79,"tracker_id":40,"status_id":1,"priority_id":2,"assigned_to_id":23,"start_date":"2016-10-03","description":"","custom_fields":[{"id":1,"name":"Subdivision","value":"EC"},{"id":4,"name":"Milepost","value":"23.3305"},{"id":17,"name":"Train ID","value":"105-03"},{"id":16,"name":"Locomotive ID","value":"4009"},{"id":130,"name":"Impact","value":""},{"id":150,"name":"Time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750</v>
      </c>
      <c r="B18" s="7"/>
      <c r="C18" s="24" t="s">
        <v>106</v>
      </c>
      <c r="D18" s="24" t="s">
        <v>413</v>
      </c>
      <c r="E18" s="15">
        <v>42646.171180555553</v>
      </c>
      <c r="F18" s="15"/>
      <c r="G18" s="7">
        <v>1</v>
      </c>
      <c r="H18" s="15" t="s">
        <v>241</v>
      </c>
      <c r="I18" s="15"/>
      <c r="J18" s="7">
        <v>0</v>
      </c>
      <c r="K18" s="117" t="str">
        <f t="shared" si="0"/>
        <v>-1/</v>
      </c>
      <c r="L18" s="24" t="e">
        <f>VLOOKUP(A18,'Trips&amp;Operators'!$C$1:$E$10000,3,FALSE)</f>
        <v>#N/A</v>
      </c>
      <c r="M18" s="6">
        <f t="shared" si="1"/>
        <v>0</v>
      </c>
      <c r="N18" s="7"/>
      <c r="O18" s="7"/>
      <c r="P18" s="7">
        <v>1</v>
      </c>
      <c r="Q18" s="25"/>
      <c r="R18" s="25" t="s">
        <v>751</v>
      </c>
      <c r="S18" s="37">
        <f t="shared" si="2"/>
        <v>0</v>
      </c>
      <c r="T18" s="52" t="str">
        <f t="shared" si="3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02" t="str">
        <f t="shared" ref="V18" si="18"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https://search-rtdc-monitor-bjffxe2xuh6vdkpspy63sjmuny.us-east-1.es.amazonaws.com/_plugin/kibana/#/discover/Steve-Slow-Train-Analysis-(2080s-and-2083s)?_g=(refreshInterval:(display:Off,section:0,value:0),time:(from:'2016-10-03 03:06:30-0600',mode:absolute,to:'1900-01-00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8" s="54" t="str">
        <f t="shared" si="4"/>
        <v>N</v>
      </c>
      <c r="X18" s="164">
        <f t="shared" si="5"/>
        <v>1</v>
      </c>
      <c r="Y18" s="69">
        <f t="shared" si="6"/>
        <v>7.8799999999999995E-2</v>
      </c>
      <c r="Z18" s="69">
        <f t="shared" si="7"/>
        <v>23.330500000000001</v>
      </c>
      <c r="AA18" s="69">
        <f t="shared" si="8"/>
        <v>23.2517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9"/>
        <v>0106-03</v>
      </c>
      <c r="AE18" s="95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8" s="92" t="str">
        <f t="shared" si="1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8" s="1" t="str">
        <f t="shared" si="12"/>
        <v>EC</v>
      </c>
      <c r="AH18" s="96" t="str">
        <f t="shared" ref="AH18" si="19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106-03 --locoid  --swversion DE.1.0.7.0 --startMP 204:788 --initTime 2016-10-03T04:06:30 --startdatetime 1900-01-00T00:00:00 --delay 1 --endMP 204:233305 --enddatetime 1900-01-00T00:00:00 --enforcementcount 0 &gt;&gt;C:\Users\stu\Documents\GitHub\eaglep3-reporting\EC\2016-10-03-refined-times.txt</v>
      </c>
      <c r="AI18" s="130" t="str">
        <f t="shared" ref="AI18" si="20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init","project_id":79,"tracker_id":40,"status_id":1,"priority_id":2,"assigned_to_id":23,"start_date":"1900-01-00","description":"","custom_fields":[{"id":1,"name":"Subdivision","value":"EC"},{"id":4,"name":"Milepost","value":"23.3305"},{"id":17,"name":"Train ID","value":"106-03"},{"id":16,"name":"Locomotive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414</v>
      </c>
      <c r="B19" s="7">
        <v>4002</v>
      </c>
      <c r="C19" s="24" t="s">
        <v>106</v>
      </c>
      <c r="D19" s="24" t="s">
        <v>208</v>
      </c>
      <c r="E19" s="15">
        <v>42646.183981481481</v>
      </c>
      <c r="F19" s="15">
        <v>42646.187719907408</v>
      </c>
      <c r="G19" s="7">
        <v>1</v>
      </c>
      <c r="H19" s="15" t="s">
        <v>371</v>
      </c>
      <c r="I19" s="15">
        <v>42646.213414351849</v>
      </c>
      <c r="J19" s="7">
        <v>0</v>
      </c>
      <c r="K19" s="117" t="str">
        <f t="shared" si="0"/>
        <v>4001/4002</v>
      </c>
      <c r="L19" s="24" t="str">
        <f>VLOOKUP(A19,'Trips&amp;Operators'!$C$1:$E$10000,3,FALSE)</f>
        <v>SPECTOR</v>
      </c>
      <c r="M19" s="6">
        <f t="shared" si="1"/>
        <v>2.569444444088731E-2</v>
      </c>
      <c r="N19" s="7">
        <f t="shared" ref="N19:N38" si="21">24*60*SUM($M19:$M19)</f>
        <v>36.999999994877726</v>
      </c>
      <c r="O19" s="7"/>
      <c r="P19" s="7"/>
      <c r="Q19" s="25"/>
      <c r="R19" s="25"/>
      <c r="S19" s="37">
        <f t="shared" si="2"/>
        <v>1</v>
      </c>
      <c r="T19" s="52" t="str">
        <f t="shared" si="3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03:24:56-0600',mode:absolute,to:'2016-10-03 06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" s="54" t="str">
        <f t="shared" si="4"/>
        <v>N</v>
      </c>
      <c r="X19" s="164">
        <f t="shared" ref="X19:X20" si="22">VALUE(LEFT(AD19,4))-VALUE(LEFT(AD18,4))</f>
        <v>1</v>
      </c>
      <c r="Y19" s="69">
        <f t="shared" si="6"/>
        <v>4.5699999999999998E-2</v>
      </c>
      <c r="Z19" s="69">
        <f t="shared" si="7"/>
        <v>23.331</v>
      </c>
      <c r="AA19" s="69">
        <f t="shared" si="8"/>
        <v>23.285299999999999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9"/>
        <v>0107-03</v>
      </c>
      <c r="AE19" s="95" t="str">
        <f t="shared" si="10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19" s="92" t="str">
        <f t="shared" si="11"/>
        <v>"C:\Program Files (x86)\AstroGrep\AstroGrep.exe" /spath="%USERPROFILE%\AppData\Local\Temp\OnboardLogs" /stypes="app*4002*20161003*" /stext=" 11:.+((SYSTEM_STATE.+slice.+state.+changed )|(ment ac)|(system.+state.+changed )|(\[timeout)|(PRM\|1\|D)|(kpr)|(kdp)|(\|lc)|(penalty))" /e /r /s</v>
      </c>
      <c r="AG19" s="1" t="str">
        <f t="shared" si="12"/>
        <v>EC</v>
      </c>
      <c r="AH19" s="96" t="str">
        <f t="shared" si="16"/>
        <v>"%USERPROFILE%\Documents\GitHub\eaglep3\Utilities\RefineRTDCRunTimes.py" --tripid 107-03 --locoid 4002 --swversion DE.1.0.7.0 --startMP 204:457 --initTime 2016-10-03T04:24:56 --startdatetime 2016-10-03T04:30:19 --delay 1 --endMP 204:233310 --enddatetime 2016-10-03T05:07:19 --enforcementcount 0 &gt;&gt;C:\Users\stu\Documents\GitHub\eaglep3-reporting\EC\2016-10-03-refined-times.txt</v>
      </c>
      <c r="AI19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{"issue":{"subject":"","project_id":79,"tracker_id":40,"status_id":1,"priority_id":2,"assigned_to_id":23,"start_date":"2016-10-03","description":"","custom_fields":[{"id":1,"name":"Subdivision","value":"EC"},{"id":4,"name":"Milepost","value":"23.331"},{"id":17,"name":"Train ID","value":"107-03"},{"id":16,"name":"Locomotive ID","value":"4002"},{"id":130,"name":"Impact","value":""},{"id":150,"name":"Time of Event (Mountain Time)","value":"05:07:19"},{"id":151,"name":"Denver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415</v>
      </c>
      <c r="B20" s="7">
        <v>4001</v>
      </c>
      <c r="C20" s="24" t="s">
        <v>106</v>
      </c>
      <c r="D20" s="24" t="s">
        <v>291</v>
      </c>
      <c r="E20" s="15">
        <v>42646.221064814818</v>
      </c>
      <c r="F20" s="15">
        <v>42646.226585648146</v>
      </c>
      <c r="G20" s="7">
        <v>1</v>
      </c>
      <c r="H20" s="15" t="s">
        <v>214</v>
      </c>
      <c r="I20" s="15">
        <v>42646.25509259259</v>
      </c>
      <c r="J20" s="7">
        <v>0</v>
      </c>
      <c r="K20" s="117" t="str">
        <f t="shared" si="0"/>
        <v>4001/4002</v>
      </c>
      <c r="L20" s="24" t="str">
        <f>VLOOKUP(A20,'Trips&amp;Operators'!$C$1:$E$10000,3,FALSE)</f>
        <v>SPECTOR</v>
      </c>
      <c r="M20" s="6">
        <f t="shared" si="1"/>
        <v>2.8506944443506654E-2</v>
      </c>
      <c r="N20" s="7">
        <f t="shared" si="21"/>
        <v>41.049999998649582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04:18:20-0600',mode:absolute,to:'2016-10-03 07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" s="54" t="str">
        <f t="shared" si="4"/>
        <v>N</v>
      </c>
      <c r="X20" s="164">
        <f t="shared" si="22"/>
        <v>1</v>
      </c>
      <c r="Y20" s="69">
        <f t="shared" si="6"/>
        <v>23.3004</v>
      </c>
      <c r="Z20" s="69">
        <f t="shared" si="7"/>
        <v>1.38E-2</v>
      </c>
      <c r="AA20" s="69">
        <f t="shared" si="8"/>
        <v>23.2866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9"/>
        <v>0108-03</v>
      </c>
      <c r="AE20" s="95" t="str">
        <f t="shared" si="10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20" s="92" t="str">
        <f t="shared" si="11"/>
        <v>"C:\Program Files (x86)\AstroGrep\AstroGrep.exe" /spath="%USERPROFILE%\AppData\Local\Temp\OnboardLogs" /stypes="app*4001*20161003*" /stext=" 12:.+((SYSTEM_STATE.+slice.+state.+changed )|(ment ac)|(system.+state.+changed )|(\[timeout)|(PRM\|1\|D)|(kpr)|(kdp)|(\|lc)|(penalty))" /e /r /s</v>
      </c>
      <c r="AG20" s="1" t="str">
        <f t="shared" si="12"/>
        <v>EC</v>
      </c>
      <c r="AH20" s="96" t="str">
        <f t="shared" si="16"/>
        <v>"%USERPROFILE%\Documents\GitHub\eaglep3\Utilities\RefineRTDCRunTimes.py" --tripid 108-03 --locoid 4001 --swversion DE.1.0.7.0 --startMP 204:233004 --initTime 2016-10-03T05:18:20 --startdatetime 2016-10-03T05:26:17 --delay 1 --endMP 204:138 --enddatetime 2016-10-03T06:07:20 --enforcementcount 0 &gt;&gt;C:\Users\stu\Documents\GitHub\eaglep3-reporting\EC\2016-10-03-refined-times.txt</v>
      </c>
      <c r="AI20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{"issue":{"subject":"","project_id":79,"tracker_id":40,"status_id":1,"priority_id":2,"assigned_to_id":23,"start_date":"2016-10-03","description":"","custom_fields":[{"id":1,"name":"Subdivision","value":"EC"},{"id":4,"name":"Milepost","value":"0.0138"},{"id":17,"name":"Train ID","value":"108-03"},{"id":16,"name":"Locomotive ID","value":"4001"},{"id":130,"name":"Impact","value":""},{"id":150,"name":"Time of Event (Mountain Time)","value":"06:07:20"},{"id":151,"name":"Denver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416</v>
      </c>
      <c r="B21" s="7">
        <v>4003</v>
      </c>
      <c r="C21" s="24" t="s">
        <v>106</v>
      </c>
      <c r="D21" s="24" t="s">
        <v>209</v>
      </c>
      <c r="E21" s="15">
        <v>42646.189618055556</v>
      </c>
      <c r="F21" s="15">
        <v>42646.198101851849</v>
      </c>
      <c r="G21" s="7">
        <v>1</v>
      </c>
      <c r="H21" s="15" t="s">
        <v>285</v>
      </c>
      <c r="I21" s="15">
        <v>42646.224560185183</v>
      </c>
      <c r="J21" s="7">
        <v>0</v>
      </c>
      <c r="K21" s="117" t="str">
        <f t="shared" si="0"/>
        <v>4003/4004</v>
      </c>
      <c r="L21" s="24" t="str">
        <f>VLOOKUP(A21,'Trips&amp;Operators'!$C$1:$E$10000,3,FALSE)</f>
        <v>YORK</v>
      </c>
      <c r="M21" s="6">
        <f t="shared" si="1"/>
        <v>2.6458333333721384E-2</v>
      </c>
      <c r="N21" s="7">
        <f t="shared" si="21"/>
        <v>38.100000000558794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03:33:03-0600',mode:absolute,to:'2016-10-03 06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" s="54" t="str">
        <f t="shared" si="4"/>
        <v>N</v>
      </c>
      <c r="X21" s="164">
        <f t="shared" ref="X21:X53" si="23">VALUE(LEFT(AD21,4))-VALUE(LEFT(AD20,4))</f>
        <v>1</v>
      </c>
      <c r="Y21" s="69">
        <f t="shared" si="6"/>
        <v>4.6600000000000003E-2</v>
      </c>
      <c r="Z21" s="69">
        <f t="shared" si="7"/>
        <v>23.328399999999998</v>
      </c>
      <c r="AA21" s="69">
        <f t="shared" si="8"/>
        <v>23.281799999999997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9"/>
        <v>0109-03</v>
      </c>
      <c r="AE21" s="95" t="str">
        <f t="shared" si="10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21" s="92" t="str">
        <f t="shared" si="11"/>
        <v>"C:\Program Files (x86)\AstroGrep\AstroGrep.exe" /spath="%USERPROFILE%\AppData\Local\Temp\OnboardLogs" /stypes="app*4003*20161003*" /stext=" 11:.+((SYSTEM_STATE.+slice.+state.+changed )|(ment ac)|(system.+state.+changed )|(\[timeout)|(PRM\|1\|D)|(kpr)|(kdp)|(\|lc)|(penalty))" /e /r /s</v>
      </c>
      <c r="AG21" s="1" t="str">
        <f t="shared" si="12"/>
        <v>EC</v>
      </c>
      <c r="AH21" s="96" t="str">
        <f t="shared" si="16"/>
        <v>"%USERPROFILE%\Documents\GitHub\eaglep3\Utilities\RefineRTDCRunTimes.py" --tripid 109-03 --locoid 4003 --swversion DE.1.0.7.0 --startMP 204:466 --initTime 2016-10-03T04:33:03 --startdatetime 2016-10-03T04:45:16 --delay 1 --endMP 204:233284 --enddatetime 2016-10-03T05:23:22 --enforcementcount 0 &gt;&gt;C:\Users\stu\Documents\GitHub\eaglep3-reporting\EC\2016-10-03-refined-times.txt</v>
      </c>
      <c r="AI21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{"issue":{"subject":"","project_id":79,"tracker_id":40,"status_id":1,"priority_id":2,"assigned_to_id":23,"start_date":"2016-10-03","description":"","custom_fields":[{"id":1,"name":"Subdivision","value":"EC"},{"id":4,"name":"Milepost","value":"23.3284"},{"id":17,"name":"Train ID","value":"109-03"},{"id":16,"name":"Locomotive ID","value":"4003"},{"id":130,"name":"Impact","value":""},{"id":150,"name":"Time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417</v>
      </c>
      <c r="B22" s="7">
        <v>4004</v>
      </c>
      <c r="C22" s="24" t="s">
        <v>106</v>
      </c>
      <c r="D22" s="24" t="s">
        <v>302</v>
      </c>
      <c r="E22" s="15">
        <v>42646.225613425922</v>
      </c>
      <c r="F22" s="15">
        <v>42646.236967592595</v>
      </c>
      <c r="G22" s="7">
        <v>1</v>
      </c>
      <c r="H22" s="15" t="s">
        <v>199</v>
      </c>
      <c r="I22" s="15">
        <v>42646.264097222222</v>
      </c>
      <c r="J22" s="7">
        <v>0</v>
      </c>
      <c r="K22" s="117" t="str">
        <f t="shared" si="0"/>
        <v>4003/4004</v>
      </c>
      <c r="L22" s="24" t="str">
        <f>VLOOKUP(A22,'Trips&amp;Operators'!$C$1:$E$10000,3,FALSE)</f>
        <v>YORK</v>
      </c>
      <c r="M22" s="6">
        <f t="shared" si="1"/>
        <v>2.7129629626870155E-2</v>
      </c>
      <c r="N22" s="7">
        <f t="shared" si="21"/>
        <v>39.066666662693024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04:24:53-0600',mode:absolute,to:'2016-10-03 07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" s="54" t="str">
        <f t="shared" si="4"/>
        <v>N</v>
      </c>
      <c r="X22" s="164">
        <f t="shared" si="23"/>
        <v>1</v>
      </c>
      <c r="Y22" s="69">
        <f t="shared" si="6"/>
        <v>23.296099999999999</v>
      </c>
      <c r="Z22" s="69">
        <f t="shared" si="7"/>
        <v>1.49E-2</v>
      </c>
      <c r="AA22" s="69">
        <f t="shared" si="8"/>
        <v>23.281199999999998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9"/>
        <v>0110-03</v>
      </c>
      <c r="AE22" s="95" t="str">
        <f t="shared" si="10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22" s="92" t="str">
        <f t="shared" si="11"/>
        <v>"C:\Program Files (x86)\AstroGrep\AstroGrep.exe" /spath="%USERPROFILE%\AppData\Local\Temp\OnboardLogs" /stypes="app*4004*20161003*" /stext=" 12:.+((SYSTEM_STATE.+slice.+state.+changed )|(ment ac)|(system.+state.+changed )|(\[timeout)|(PRM\|1\|D)|(kpr)|(kdp)|(\|lc)|(penalty))" /e /r /s</v>
      </c>
      <c r="AG22" s="1" t="str">
        <f t="shared" si="12"/>
        <v>EC</v>
      </c>
      <c r="AH22" s="96" t="str">
        <f t="shared" si="16"/>
        <v>"%USERPROFILE%\Documents\GitHub\eaglep3\Utilities\RefineRTDCRunTimes.py" --tripid 110-03 --locoid 4004 --swversion DE.1.0.7.0 --startMP 204:232961 --initTime 2016-10-03T05:24:53 --startdatetime 2016-10-03T05:41:14 --delay 1 --endMP 204:149 --enddatetime 2016-10-03T06:20:18 --enforcementcount 0 &gt;&gt;C:\Users\stu\Documents\GitHub\eaglep3-reporting\EC\2016-10-03-refined-times.txt</v>
      </c>
      <c r="AI22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{"issue":{"subject":"","project_id":79,"tracker_id":40,"status_id":1,"priority_id":2,"assigned_to_id":23,"start_date":"2016-10-03","description":"","custom_fields":[{"id":1,"name":"Subdivision","value":"EC"},{"id":4,"name":"Milepost","value":"0.0149"},{"id":17,"name":"Train ID","value":"110-03"},{"id":16,"name":"Locomotive ID","value":"4004"},{"id":130,"name":"Impact","value":""},{"id":150,"name":"Time of Event (Mountain Time)","value":"06:20:18"},{"id":151,"name":"Denver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418</v>
      </c>
      <c r="B23" s="7">
        <v>4040</v>
      </c>
      <c r="C23" s="24" t="s">
        <v>106</v>
      </c>
      <c r="D23" s="24" t="s">
        <v>419</v>
      </c>
      <c r="E23" s="15">
        <v>42646.204259259262</v>
      </c>
      <c r="F23" s="15">
        <v>42646.208703703705</v>
      </c>
      <c r="G23" s="7">
        <v>1</v>
      </c>
      <c r="H23" s="15" t="s">
        <v>338</v>
      </c>
      <c r="I23" s="15">
        <v>42646.235821759263</v>
      </c>
      <c r="J23" s="7">
        <v>0</v>
      </c>
      <c r="K23" s="117" t="str">
        <f t="shared" si="0"/>
        <v>4039/4040</v>
      </c>
      <c r="L23" s="24" t="str">
        <f>VLOOKUP(A23,'Trips&amp;Operators'!$C$1:$E$10000,3,FALSE)</f>
        <v>STARKS</v>
      </c>
      <c r="M23" s="6">
        <f t="shared" si="1"/>
        <v>2.7118055557366461E-2</v>
      </c>
      <c r="N23" s="7">
        <f t="shared" si="21"/>
        <v>39.050000002607703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03:54:08-0600',mode:absolute,to:'2016-10-03 06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4" t="str">
        <f t="shared" si="4"/>
        <v>N</v>
      </c>
      <c r="X23" s="164">
        <f t="shared" si="23"/>
        <v>1</v>
      </c>
      <c r="Y23" s="69">
        <f t="shared" si="6"/>
        <v>7.7700000000000005E-2</v>
      </c>
      <c r="Z23" s="69">
        <f t="shared" si="7"/>
        <v>23.330200000000001</v>
      </c>
      <c r="AA23" s="69">
        <f t="shared" si="8"/>
        <v>23.252500000000001</v>
      </c>
      <c r="AB23" s="66" t="str">
        <f>VLOOKUP(A23,Enforcements!$C$7:$K$21,8,0)</f>
        <v>Bulletin (2)</v>
      </c>
      <c r="AC23" s="62" t="str">
        <f>VLOOKUP(A23,Enforcements!$C$7:$E$21,3,0)</f>
        <v>GRADE CROSSING</v>
      </c>
      <c r="AD23" s="63" t="str">
        <f t="shared" si="9"/>
        <v>0111-03</v>
      </c>
      <c r="AE23" s="95" t="str">
        <f t="shared" si="10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23" s="92" t="str">
        <f t="shared" si="11"/>
        <v>"C:\Program Files (x86)\AstroGrep\AstroGrep.exe" /spath="%USERPROFILE%\AppData\Local\Temp\OnboardLogs" /stypes="app*4040*20161003*" /stext=" 11:.+((SYSTEM_STATE.+slice.+state.+changed )|(ment ac)|(system.+state.+changed )|(\[timeout)|(PRM\|1\|D)|(kpr)|(kdp)|(\|lc)|(penalty))" /e /r /s</v>
      </c>
      <c r="AG23" s="1" t="str">
        <f t="shared" si="12"/>
        <v>EC</v>
      </c>
      <c r="AH23" s="96" t="str">
        <f t="shared" si="16"/>
        <v>"%USERPROFILE%\Documents\GitHub\eaglep3\Utilities\RefineRTDCRunTimes.py" --tripid 111-03 --locoid 4040 --swversion DE.1.0.7.0 --startMP 204:777 --initTime 2016-10-03T04:54:08 --startdatetime 2016-10-03T05:00:32 --delay 1 --endMP 204:233302 --enddatetime 2016-10-03T05:39:35 --enforcementcount 0 &gt;&gt;C:\Users\stu\Documents\GitHub\eaglep3-reporting\EC\2016-10-03-refined-times.txt</v>
      </c>
      <c r="AI23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{"issue":{"subject":"","project_id":79,"tracker_id":40,"status_id":1,"priority_id":2,"assigned_to_id":23,"start_date":"2016-10-03","description":"","custom_fields":[{"id":1,"name":"Subdivision","value":"EC"},{"id":4,"name":"Milepost","value":"23.3302"},{"id":17,"name":"Train ID","value":"111-03"},{"id":16,"name":"Locomotive ID","value":"4040"},{"id":130,"name":"Impact","value":""},{"id":150,"name":"Time of Event (Mountain Time)","value":"05:39:35"},{"id":151,"name":"Denver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420</v>
      </c>
      <c r="B24" s="7">
        <v>4039</v>
      </c>
      <c r="C24" s="24" t="s">
        <v>106</v>
      </c>
      <c r="D24" s="24" t="s">
        <v>352</v>
      </c>
      <c r="E24" s="15">
        <v>42646.243460648147</v>
      </c>
      <c r="F24" s="15">
        <v>42646.247453703705</v>
      </c>
      <c r="G24" s="7">
        <v>1</v>
      </c>
      <c r="H24" s="15" t="s">
        <v>199</v>
      </c>
      <c r="I24" s="15">
        <v>42646.275150462963</v>
      </c>
      <c r="J24" s="7">
        <v>0</v>
      </c>
      <c r="K24" s="117" t="str">
        <f t="shared" si="0"/>
        <v>4039/4040</v>
      </c>
      <c r="L24" s="24" t="str">
        <f>VLOOKUP(A24,'Trips&amp;Operators'!$C$1:$E$10000,3,FALSE)</f>
        <v>STARKS</v>
      </c>
      <c r="M24" s="6">
        <f t="shared" si="1"/>
        <v>2.7696759258105885E-2</v>
      </c>
      <c r="N24" s="7">
        <f t="shared" si="21"/>
        <v>39.883333331672475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04:50:35-0600',mode:absolute,to:'2016-10-03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4" t="str">
        <f t="shared" si="4"/>
        <v>N</v>
      </c>
      <c r="X24" s="164">
        <f t="shared" si="23"/>
        <v>1</v>
      </c>
      <c r="Y24" s="69">
        <f t="shared" si="6"/>
        <v>23.297599999999999</v>
      </c>
      <c r="Z24" s="69">
        <f t="shared" si="7"/>
        <v>1.49E-2</v>
      </c>
      <c r="AA24" s="69">
        <f t="shared" si="8"/>
        <v>23.282699999999998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9"/>
        <v>0112-03</v>
      </c>
      <c r="AE24" s="95" t="str">
        <f t="shared" si="10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24" s="92" t="str">
        <f t="shared" si="11"/>
        <v>"C:\Program Files (x86)\AstroGrep\AstroGrep.exe" /spath="%USERPROFILE%\AppData\Local\Temp\OnboardLogs" /stypes="app*4039*20161003*" /stext=" 12:.+((SYSTEM_STATE.+slice.+state.+changed )|(ment ac)|(system.+state.+changed )|(\[timeout)|(PRM\|1\|D)|(kpr)|(kdp)|(\|lc)|(penalty))" /e /r /s</v>
      </c>
      <c r="AG24" s="1" t="str">
        <f t="shared" si="12"/>
        <v>EC</v>
      </c>
      <c r="AH24" s="96" t="str">
        <f t="shared" si="16"/>
        <v>"%USERPROFILE%\Documents\GitHub\eaglep3\Utilities\RefineRTDCRunTimes.py" --tripid 112-03 --locoid 4039 --swversion DE.1.0.7.0 --startMP 204:232976 --initTime 2016-10-03T05:50:35 --startdatetime 2016-10-03T05:56:20 --delay 1 --endMP 204:149 --enddatetime 2016-10-03T06:36:13 --enforcementcount 0 &gt;&gt;C:\Users\stu\Documents\GitHub\eaglep3-reporting\EC\2016-10-03-refined-times.txt</v>
      </c>
      <c r="AI24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{"issue":{"subject":"","project_id":79,"tracker_id":40,"status_id":1,"priority_id":2,"assigned_to_id":23,"start_date":"2016-10-03","description":"","custom_fields":[{"id":1,"name":"Subdivision","value":"EC"},{"id":4,"name":"Milepost","value":"0.0149"},{"id":17,"name":"Train ID","value":"112-03"},{"id":16,"name":"Locomotive ID","value":"4039"},{"id":130,"name":"Impact","value":""},{"id":150,"name":"Time of Event (Mountain Time)","value":"06:36:13"},{"id":151,"name":"Denver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421</v>
      </c>
      <c r="B25" s="7">
        <v>4018</v>
      </c>
      <c r="C25" s="24" t="s">
        <v>106</v>
      </c>
      <c r="D25" s="24" t="s">
        <v>422</v>
      </c>
      <c r="E25" s="15">
        <v>42646.213148148148</v>
      </c>
      <c r="F25" s="15">
        <v>42646.218981481485</v>
      </c>
      <c r="G25" s="7">
        <v>1</v>
      </c>
      <c r="H25" s="15" t="s">
        <v>423</v>
      </c>
      <c r="I25" s="15">
        <v>42646.246006944442</v>
      </c>
      <c r="J25" s="7">
        <v>0</v>
      </c>
      <c r="K25" s="117" t="str">
        <f t="shared" si="0"/>
        <v>4017/4018</v>
      </c>
      <c r="L25" s="24" t="str">
        <f>VLOOKUP(A25,'Trips&amp;Operators'!$C$1:$E$10000,3,FALSE)</f>
        <v>KILLION</v>
      </c>
      <c r="M25" s="6">
        <f t="shared" si="1"/>
        <v>2.7025462957681157E-2</v>
      </c>
      <c r="N25" s="7">
        <f t="shared" si="21"/>
        <v>38.916666659060866</v>
      </c>
      <c r="O25" s="7"/>
      <c r="P25" s="7"/>
      <c r="Q25" s="25"/>
      <c r="R25" s="25"/>
      <c r="S25" s="37">
        <f t="shared" si="2"/>
        <v>1</v>
      </c>
      <c r="T25" s="52" t="str">
        <f t="shared" si="3"/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04:06:56-0600',mode:absolute,to:'2016-10-03 06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5" s="54" t="str">
        <f t="shared" si="4"/>
        <v>N</v>
      </c>
      <c r="X25" s="164">
        <f t="shared" si="23"/>
        <v>1</v>
      </c>
      <c r="Y25" s="69">
        <f t="shared" si="6"/>
        <v>4.3799999999999999E-2</v>
      </c>
      <c r="Z25" s="69">
        <f t="shared" si="7"/>
        <v>23.329499999999999</v>
      </c>
      <c r="AA25" s="69">
        <f t="shared" si="8"/>
        <v>23.285699999999999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9"/>
        <v>0113-03</v>
      </c>
      <c r="AE25" s="95" t="str">
        <f t="shared" si="10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25" s="92" t="str">
        <f t="shared" si="11"/>
        <v>"C:\Program Files (x86)\AstroGrep\AstroGrep.exe" /spath="%USERPROFILE%\AppData\Local\Temp\OnboardLogs" /stypes="app*4018*20161003*" /stext=" 11:.+((SYSTEM_STATE.+slice.+state.+changed )|(ment ac)|(system.+state.+changed )|(\[timeout)|(PRM\|1\|D)|(kpr)|(kdp)|(\|lc)|(penalty))" /e /r /s</v>
      </c>
      <c r="AG25" s="1" t="str">
        <f t="shared" si="12"/>
        <v>EC</v>
      </c>
      <c r="AH25" s="96" t="str">
        <f t="shared" si="16"/>
        <v>"%USERPROFILE%\Documents\GitHub\eaglep3\Utilities\RefineRTDCRunTimes.py" --tripid 113-03 --locoid 4018 --swversion DE.1.0.7.0 --startMP 204:438 --initTime 2016-10-03T05:06:56 --startdatetime 2016-10-03T05:15:20 --delay 1 --endMP 204:233295 --enddatetime 2016-10-03T05:54:15 --enforcementcount 0 &gt;&gt;C:\Users\stu\Documents\GitHub\eaglep3-reporting\EC\2016-10-03-refined-times.txt</v>
      </c>
      <c r="AI25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{"issue":{"subject":"","project_id":79,"tracker_id":40,"status_id":1,"priority_id":2,"assigned_to_id":23,"start_date":"2016-10-03","description":"","custom_fields":[{"id":1,"name":"Subdivision","value":"EC"},{"id":4,"name":"Milepost","value":"23.3295"},{"id":17,"name":"Train ID","value":"113-03"},{"id":16,"name":"Locomotive ID","value":"4018"},{"id":130,"name":"Impact","value":""},{"id":150,"name":"Time of Event (Mountain Time)","value":"05:54:15"},{"id":151,"name":"Denver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424</v>
      </c>
      <c r="B26" s="7">
        <v>4017</v>
      </c>
      <c r="C26" s="24" t="s">
        <v>106</v>
      </c>
      <c r="D26" s="24" t="s">
        <v>290</v>
      </c>
      <c r="E26" s="15">
        <v>42646.253263888888</v>
      </c>
      <c r="F26" s="15">
        <v>42646.257905092592</v>
      </c>
      <c r="G26" s="7">
        <v>0</v>
      </c>
      <c r="H26" s="15" t="s">
        <v>199</v>
      </c>
      <c r="I26" s="15">
        <v>42646.285138888888</v>
      </c>
      <c r="J26" s="7">
        <v>0</v>
      </c>
      <c r="K26" s="117" t="str">
        <f t="shared" si="0"/>
        <v>4017/4018</v>
      </c>
      <c r="L26" s="24" t="str">
        <f>VLOOKUP(A26,'Trips&amp;Operators'!$C$1:$E$10000,3,FALSE)</f>
        <v>KILLION</v>
      </c>
      <c r="M26" s="6">
        <f t="shared" si="1"/>
        <v>2.7233796296059154E-2</v>
      </c>
      <c r="N26" s="7">
        <f t="shared" si="21"/>
        <v>39.216666666325182</v>
      </c>
      <c r="O26" s="7"/>
      <c r="P26" s="7"/>
      <c r="Q26" s="25"/>
      <c r="R26" s="25"/>
      <c r="S26" s="37">
        <f t="shared" si="2"/>
        <v>1</v>
      </c>
      <c r="T26" s="52" t="str">
        <f t="shared" si="3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05:04:42-0600',mode:absolute,to:'2016-10-03 07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6" s="54" t="str">
        <f t="shared" si="4"/>
        <v>N</v>
      </c>
      <c r="X26" s="164">
        <f t="shared" si="23"/>
        <v>1</v>
      </c>
      <c r="Y26" s="69">
        <f t="shared" si="6"/>
        <v>23.296900000000001</v>
      </c>
      <c r="Z26" s="69">
        <f t="shared" si="7"/>
        <v>1.49E-2</v>
      </c>
      <c r="AA26" s="69">
        <f t="shared" si="8"/>
        <v>23.282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9"/>
        <v>0114-03</v>
      </c>
      <c r="AE26" s="95" t="str">
        <f t="shared" si="10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26" s="92" t="str">
        <f t="shared" si="11"/>
        <v>"C:\Program Files (x86)\AstroGrep\AstroGrep.exe" /spath="%USERPROFILE%\AppData\Local\Temp\OnboardLogs" /stypes="app*4017*20161003*" /stext=" 12:.+((SYSTEM_STATE.+slice.+state.+changed )|(ment ac)|(system.+state.+changed )|(\[timeout)|(PRM\|1\|D)|(kpr)|(kdp)|(\|lc)|(penalty))" /e /r /s</v>
      </c>
      <c r="AG26" s="1" t="str">
        <f t="shared" si="12"/>
        <v>EC</v>
      </c>
      <c r="AH26" s="96" t="str">
        <f t="shared" si="16"/>
        <v>"%USERPROFILE%\Documents\GitHub\eaglep3\Utilities\RefineRTDCRunTimes.py" --tripid 114-03 --locoid 4017 --swversion DE.1.0.7.0 --startMP 204:232969 --initTime 2016-10-03T06:04:42 --startdatetime 2016-10-03T06:11:23 --delay 0 --endMP 204:149 --enddatetime 2016-10-03T06:50:36 --enforcementcount 0 &gt;&gt;C:\Users\stu\Documents\GitHub\eaglep3-reporting\EC\2016-10-03-refined-times.txt</v>
      </c>
      <c r="AI26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{"issue":{"subject":"","project_id":79,"tracker_id":40,"status_id":1,"priority_id":2,"assigned_to_id":23,"start_date":"2016-10-03","description":"","custom_fields":[{"id":1,"name":"Subdivision","value":"EC"},{"id":4,"name":"Milepost","value":"0.0149"},{"id":17,"name":"Train ID","value":"114-03"},{"id":16,"name":"Locomotive ID","value":"4017"},{"id":130,"name":"Impact","value":""},{"id":150,"name":"Time of Event (Mountain Time)","value":"06:50:36"},{"id":151,"name":"Denver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425</v>
      </c>
      <c r="B27" s="7">
        <v>4029</v>
      </c>
      <c r="C27" s="24" t="s">
        <v>106</v>
      </c>
      <c r="D27" s="24" t="s">
        <v>403</v>
      </c>
      <c r="E27" s="15">
        <v>42646.227013888885</v>
      </c>
      <c r="F27" s="15">
        <v>42646.229363425926</v>
      </c>
      <c r="G27" s="7">
        <v>1</v>
      </c>
      <c r="H27" s="15" t="s">
        <v>375</v>
      </c>
      <c r="I27" s="15">
        <v>42646.255902777775</v>
      </c>
      <c r="J27" s="7">
        <v>0</v>
      </c>
      <c r="K27" s="117" t="str">
        <f t="shared" si="0"/>
        <v>4029/4030</v>
      </c>
      <c r="L27" s="24" t="str">
        <f>VLOOKUP(A27,'Trips&amp;Operators'!$C$1:$E$10000,3,FALSE)</f>
        <v>MALAVE</v>
      </c>
      <c r="M27" s="6">
        <f t="shared" si="1"/>
        <v>2.6539351849351078E-2</v>
      </c>
      <c r="N27" s="7">
        <f t="shared" si="21"/>
        <v>38.216666663065553</v>
      </c>
      <c r="O27" s="7"/>
      <c r="P27" s="7"/>
      <c r="Q27" s="25"/>
      <c r="R27" s="25"/>
      <c r="S27" s="37">
        <f t="shared" si="2"/>
        <v>1</v>
      </c>
      <c r="T27" s="52" t="str">
        <f t="shared" si="3"/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04:26:54-0600',mode:absolute,to:'2016-10-03 07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7" s="54" t="str">
        <f t="shared" si="4"/>
        <v>N</v>
      </c>
      <c r="X27" s="164">
        <f t="shared" si="23"/>
        <v>1</v>
      </c>
      <c r="Y27" s="69">
        <f t="shared" si="6"/>
        <v>7.6300000000000007E-2</v>
      </c>
      <c r="Z27" s="69">
        <f t="shared" si="7"/>
        <v>23.3278</v>
      </c>
      <c r="AA27" s="69">
        <f t="shared" si="8"/>
        <v>23.2515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9"/>
        <v>0115-03</v>
      </c>
      <c r="AE27" s="95" t="str">
        <f t="shared" si="10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27" s="92" t="str">
        <f t="shared" si="11"/>
        <v>"C:\Program Files (x86)\AstroGrep\AstroGrep.exe" /spath="%USERPROFILE%\AppData\Local\Temp\OnboardLogs" /stypes="app*4029*20161003*" /stext=" 12:.+((SYSTEM_STATE.+slice.+state.+changed )|(ment ac)|(system.+state.+changed )|(\[timeout)|(PRM\|1\|D)|(kpr)|(kdp)|(\|lc)|(penalty))" /e /r /s</v>
      </c>
      <c r="AG27" s="1" t="str">
        <f t="shared" si="12"/>
        <v>EC</v>
      </c>
      <c r="AH27" s="96" t="str">
        <f t="shared" si="16"/>
        <v>"%USERPROFILE%\Documents\GitHub\eaglep3\Utilities\RefineRTDCRunTimes.py" --tripid 115-03 --locoid 4029 --swversion DE.1.0.7.0 --startMP 204:763 --initTime 2016-10-03T05:26:54 --startdatetime 2016-10-03T05:30:17 --delay 1 --endMP 204:233278 --enddatetime 2016-10-03T06:08:30 --enforcementcount 0 &gt;&gt;C:\Users\stu\Documents\GitHub\eaglep3-reporting\EC\2016-10-03-refined-times.txt</v>
      </c>
      <c r="AI27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{"issue":{"subject":"","project_id":79,"tracker_id":40,"status_id":1,"priority_id":2,"assigned_to_id":23,"start_date":"2016-10-03","description":"","custom_fields":[{"id":1,"name":"Subdivision","value":"EC"},{"id":4,"name":"Milepost","value":"23.3278"},{"id":17,"name":"Train ID","value":"115-03"},{"id":16,"name":"Locomotive ID","value":"4029"},{"id":130,"name":"Impact","value":""},{"id":150,"name":"Time of Event (Mountain Time)","value":"06:08:30"},{"id":151,"name":"Denver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426</v>
      </c>
      <c r="B28" s="7">
        <v>4030</v>
      </c>
      <c r="C28" s="24" t="s">
        <v>106</v>
      </c>
      <c r="D28" s="24" t="s">
        <v>427</v>
      </c>
      <c r="E28" s="15">
        <v>42646.266782407409</v>
      </c>
      <c r="F28" s="15">
        <v>42646.268287037034</v>
      </c>
      <c r="G28" s="7">
        <v>1</v>
      </c>
      <c r="H28" s="15" t="s">
        <v>428</v>
      </c>
      <c r="I28" s="15">
        <v>42646.295925925922</v>
      </c>
      <c r="J28" s="7">
        <v>0</v>
      </c>
      <c r="K28" s="117" t="str">
        <f t="shared" si="0"/>
        <v>4029/4030</v>
      </c>
      <c r="L28" s="24" t="str">
        <f>VLOOKUP(A28,'Trips&amp;Operators'!$C$1:$E$10000,3,FALSE)</f>
        <v>MALAVE</v>
      </c>
      <c r="M28" s="6">
        <f t="shared" si="1"/>
        <v>2.7638888888759539E-2</v>
      </c>
      <c r="N28" s="7">
        <f t="shared" si="21"/>
        <v>39.799999999813735</v>
      </c>
      <c r="O28" s="7"/>
      <c r="P28" s="7"/>
      <c r="Q28" s="25"/>
      <c r="R28" s="25"/>
      <c r="S28" s="37">
        <f t="shared" si="2"/>
        <v>1</v>
      </c>
      <c r="T28" s="52" t="str">
        <f t="shared" si="3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05:24:10-0600',mode:absolute,to:'2016-10-03 08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8" s="54" t="str">
        <f t="shared" si="4"/>
        <v>N</v>
      </c>
      <c r="X28" s="164">
        <f t="shared" si="23"/>
        <v>1</v>
      </c>
      <c r="Y28" s="69">
        <f t="shared" si="6"/>
        <v>23.295100000000001</v>
      </c>
      <c r="Z28" s="69">
        <f t="shared" si="7"/>
        <v>1.7000000000000001E-2</v>
      </c>
      <c r="AA28" s="69">
        <f t="shared" si="8"/>
        <v>23.278100000000002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9"/>
        <v>0116-03</v>
      </c>
      <c r="AE28" s="95" t="str">
        <f t="shared" si="10"/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AF28" s="92" t="str">
        <f t="shared" si="11"/>
        <v>"C:\Program Files (x86)\AstroGrep\AstroGrep.exe" /spath="%USERPROFILE%\AppData\Local\Temp\OnboardLogs" /stypes="app*4030*20161003*" /stext=" 13:.+((SYSTEM_STATE.+slice.+state.+changed )|(ment ac)|(system.+state.+changed )|(\[timeout)|(PRM\|1\|D)|(kpr)|(kdp)|(\|lc)|(penalty))" /e /r /s</v>
      </c>
      <c r="AG28" s="1" t="str">
        <f t="shared" si="12"/>
        <v>EC</v>
      </c>
      <c r="AH28" s="96" t="str">
        <f t="shared" si="16"/>
        <v>"%USERPROFILE%\Documents\GitHub\eaglep3\Utilities\RefineRTDCRunTimes.py" --tripid 116-03 --locoid 4030 --swversion DE.1.0.7.0 --startMP 204:232951 --initTime 2016-10-03T06:24:10 --startdatetime 2016-10-03T06:26:20 --delay 1 --endMP 204:170 --enddatetime 2016-10-03T07:06:08 --enforcementcount 0 &gt;&gt;C:\Users\stu\Documents\GitHub\eaglep3-reporting\EC\2016-10-03-refined-times.txt</v>
      </c>
      <c r="AI28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{"issue":{"subject":"","project_id":79,"tracker_id":40,"status_id":1,"priority_id":2,"assigned_to_id":23,"start_date":"2016-10-03","description":"","custom_fields":[{"id":1,"name":"Subdivision","value":"EC"},{"id":4,"name":"Milepost","value":"0.017"},{"id":17,"name":"Train ID","value":"116-03"},{"id":16,"name":"Locomotive ID","value":"4030"},{"id":130,"name":"Impact","value":""},{"id":150,"name":"Time of Event (Mountain Time)","value":"07:06:08"},{"id":151,"name":"Denver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429</v>
      </c>
      <c r="B29" s="7">
        <v>4025</v>
      </c>
      <c r="C29" s="24" t="s">
        <v>106</v>
      </c>
      <c r="D29" s="24" t="s">
        <v>215</v>
      </c>
      <c r="E29" s="15">
        <v>42646.234189814815</v>
      </c>
      <c r="F29" s="15">
        <v>42646.240046296298</v>
      </c>
      <c r="G29" s="7">
        <v>1</v>
      </c>
      <c r="H29" s="15" t="s">
        <v>241</v>
      </c>
      <c r="I29" s="15">
        <v>42646.264861111114</v>
      </c>
      <c r="J29" s="7">
        <v>0</v>
      </c>
      <c r="K29" s="117" t="str">
        <f t="shared" si="0"/>
        <v>4025/4026</v>
      </c>
      <c r="L29" s="24" t="str">
        <f>VLOOKUP(A29,'Trips&amp;Operators'!$C$1:$E$10000,3,FALSE)</f>
        <v>ACKERMAN</v>
      </c>
      <c r="M29" s="6">
        <f t="shared" si="1"/>
        <v>2.4814814816636499E-2</v>
      </c>
      <c r="N29" s="7">
        <f t="shared" si="21"/>
        <v>35.733333335956559</v>
      </c>
      <c r="O29" s="7"/>
      <c r="P29" s="7"/>
      <c r="Q29" s="25"/>
      <c r="R29" s="25"/>
      <c r="S29" s="37">
        <f t="shared" si="2"/>
        <v>1</v>
      </c>
      <c r="T29" s="52" t="str">
        <f t="shared" si="3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04:37:14-0600',mode:absolute,to:'2016-10-03 07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54" t="str">
        <f t="shared" si="4"/>
        <v>N</v>
      </c>
      <c r="X29" s="164">
        <f t="shared" si="23"/>
        <v>1</v>
      </c>
      <c r="Y29" s="69">
        <f t="shared" si="6"/>
        <v>4.6199999999999998E-2</v>
      </c>
      <c r="Z29" s="69">
        <f t="shared" si="7"/>
        <v>23.330500000000001</v>
      </c>
      <c r="AA29" s="69">
        <f t="shared" si="8"/>
        <v>23.284300000000002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9"/>
        <v>0117-03</v>
      </c>
      <c r="AE29" s="95" t="str">
        <f t="shared" si="10"/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29" s="92" t="str">
        <f t="shared" si="11"/>
        <v>"C:\Program Files (x86)\AstroGrep\AstroGrep.exe" /spath="%USERPROFILE%\AppData\Local\Temp\OnboardLogs" /stypes="app*4025*20161003*" /stext=" 12:.+((SYSTEM_STATE.+slice.+state.+changed )|(ment ac)|(system.+state.+changed )|(\[timeout)|(PRM\|1\|D)|(kpr)|(kdp)|(\|lc)|(penalty))" /e /r /s</v>
      </c>
      <c r="AG29" s="1" t="str">
        <f t="shared" si="12"/>
        <v>EC</v>
      </c>
      <c r="AH29" s="96" t="str">
        <f t="shared" si="16"/>
        <v>"%USERPROFILE%\Documents\GitHub\eaglep3\Utilities\RefineRTDCRunTimes.py" --tripid 117-03 --locoid 4025 --swversion DE.1.0.7.0 --startMP 204:462 --initTime 2016-10-03T05:37:14 --startdatetime 2016-10-03T05:45:40 --delay 1 --endMP 204:233305 --enddatetime 2016-10-03T06:21:24 --enforcementcount 0 &gt;&gt;C:\Users\stu\Documents\GitHub\eaglep3-reporting\EC\2016-10-03-refined-times.txt</v>
      </c>
      <c r="AI29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{"issue":{"subject":"","project_id":79,"tracker_id":40,"status_id":1,"priority_id":2,"assigned_to_id":23,"start_date":"2016-10-03","description":"","custom_fields":[{"id":1,"name":"Subdivision","value":"EC"},{"id":4,"name":"Milepost","value":"23.3305"},{"id":17,"name":"Train ID","value":"117-03"},{"id":16,"name":"Locomotive ID","value":"4025"},{"id":130,"name":"Impact","value":""},{"id":150,"name":"Time of Event (Mountain Time)","value":"06:21:24"},{"id":151,"name":"Denver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430</v>
      </c>
      <c r="B30" s="7">
        <v>4026</v>
      </c>
      <c r="C30" s="24" t="s">
        <v>106</v>
      </c>
      <c r="D30" s="24" t="s">
        <v>284</v>
      </c>
      <c r="E30" s="15">
        <v>42646.272627314815</v>
      </c>
      <c r="F30" s="15">
        <v>42646.278703703705</v>
      </c>
      <c r="G30" s="7">
        <v>1</v>
      </c>
      <c r="H30" s="15" t="s">
        <v>222</v>
      </c>
      <c r="I30" s="15">
        <v>42646.306030092594</v>
      </c>
      <c r="J30" s="7">
        <v>0</v>
      </c>
      <c r="K30" s="117" t="str">
        <f t="shared" si="0"/>
        <v>4025/4026</v>
      </c>
      <c r="L30" s="24" t="str">
        <f>VLOOKUP(A30,'Trips&amp;Operators'!$C$1:$E$10000,3,FALSE)</f>
        <v>ACKERMAN</v>
      </c>
      <c r="M30" s="6">
        <f t="shared" si="1"/>
        <v>2.73263888884685E-2</v>
      </c>
      <c r="N30" s="7">
        <f t="shared" si="21"/>
        <v>39.34999999939464</v>
      </c>
      <c r="O30" s="7"/>
      <c r="P30" s="7"/>
      <c r="Q30" s="25"/>
      <c r="R30" s="25"/>
      <c r="S30" s="37">
        <f t="shared" si="2"/>
        <v>1</v>
      </c>
      <c r="T30" s="52" t="str">
        <f t="shared" si="3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05:32:35-0600',mode:absolute,to:'2016-10-03 08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54" t="str">
        <f t="shared" si="4"/>
        <v>N</v>
      </c>
      <c r="X30" s="164">
        <f t="shared" si="23"/>
        <v>1</v>
      </c>
      <c r="Y30" s="69">
        <f t="shared" si="6"/>
        <v>23.297999999999998</v>
      </c>
      <c r="Z30" s="69">
        <f t="shared" si="7"/>
        <v>1.4500000000000001E-2</v>
      </c>
      <c r="AA30" s="69">
        <f t="shared" si="8"/>
        <v>23.283499999999997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9"/>
        <v>0118-03</v>
      </c>
      <c r="AE30" s="95" t="str">
        <f t="shared" si="10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30" s="92" t="str">
        <f t="shared" si="11"/>
        <v>"C:\Program Files (x86)\AstroGrep\AstroGrep.exe" /spath="%USERPROFILE%\AppData\Local\Temp\OnboardLogs" /stypes="app*4026*20161003*" /stext=" 13:.+((SYSTEM_STATE.+slice.+state.+changed )|(ment ac)|(system.+state.+changed )|(\[timeout)|(PRM\|1\|D)|(kpr)|(kdp)|(\|lc)|(penalty))" /e /r /s</v>
      </c>
      <c r="AG30" s="1" t="str">
        <f t="shared" si="12"/>
        <v>EC</v>
      </c>
      <c r="AH30" s="96" t="str">
        <f t="shared" si="16"/>
        <v>"%USERPROFILE%\Documents\GitHub\eaglep3\Utilities\RefineRTDCRunTimes.py" --tripid 118-03 --locoid 4026 --swversion DE.1.0.7.0 --startMP 204:232980 --initTime 2016-10-03T06:32:35 --startdatetime 2016-10-03T06:41:20 --delay 1 --endMP 204:145 --enddatetime 2016-10-03T07:20:41 --enforcementcount 0 &gt;&gt;C:\Users\stu\Documents\GitHub\eaglep3-reporting\EC\2016-10-03-refined-times.txt</v>
      </c>
      <c r="AI30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{"issue":{"subject":"","project_id":79,"tracker_id":40,"status_id":1,"priority_id":2,"assigned_to_id":23,"start_date":"2016-10-03","description":"","custom_fields":[{"id":1,"name":"Subdivision","value":"EC"},{"id":4,"name":"Milepost","value":"0.0145"},{"id":17,"name":"Train ID","value":"118-03"},{"id":16,"name":"Locomotive ID","value":"4026"},{"id":130,"name":"Impact","value":""},{"id":150,"name":"Time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431</v>
      </c>
      <c r="B31" s="7">
        <v>4046</v>
      </c>
      <c r="C31" s="24" t="s">
        <v>106</v>
      </c>
      <c r="D31" s="24" t="s">
        <v>370</v>
      </c>
      <c r="E31" s="15">
        <v>42646.241354166668</v>
      </c>
      <c r="F31" s="15">
        <v>42646.250277777777</v>
      </c>
      <c r="G31" s="7">
        <v>1</v>
      </c>
      <c r="H31" s="15" t="s">
        <v>293</v>
      </c>
      <c r="I31" s="15">
        <v>42646.275925925926</v>
      </c>
      <c r="J31" s="7">
        <v>0</v>
      </c>
      <c r="K31" s="117" t="str">
        <f t="shared" si="0"/>
        <v>4045/4046</v>
      </c>
      <c r="L31" s="24" t="str">
        <f>VLOOKUP(A31,'Trips&amp;Operators'!$C$1:$E$10000,3,FALSE)</f>
        <v>GRASTON</v>
      </c>
      <c r="M31" s="6">
        <f t="shared" si="1"/>
        <v>2.5648148148320615E-2</v>
      </c>
      <c r="N31" s="7">
        <f t="shared" si="21"/>
        <v>36.933333333581686</v>
      </c>
      <c r="O31" s="7"/>
      <c r="P31" s="7"/>
      <c r="Q31" s="25"/>
      <c r="R31" s="25"/>
      <c r="S31" s="37">
        <f t="shared" si="2"/>
        <v>1</v>
      </c>
      <c r="T31" s="52" t="str">
        <f t="shared" si="3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04:47:33-0600',mode:absolute,to:'2016-10-03 07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1" s="54" t="str">
        <f t="shared" si="4"/>
        <v>N</v>
      </c>
      <c r="X31" s="164">
        <f t="shared" si="23"/>
        <v>1</v>
      </c>
      <c r="Y31" s="69">
        <f t="shared" si="6"/>
        <v>4.6899999999999997E-2</v>
      </c>
      <c r="Z31" s="69">
        <f t="shared" si="7"/>
        <v>23.3306</v>
      </c>
      <c r="AA31" s="69">
        <f t="shared" si="8"/>
        <v>23.2837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9"/>
        <v>0119-03</v>
      </c>
      <c r="AE31" s="95" t="str">
        <f t="shared" si="10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31" s="92" t="str">
        <f t="shared" si="11"/>
        <v>"C:\Program Files (x86)\AstroGrep\AstroGrep.exe" /spath="%USERPROFILE%\AppData\Local\Temp\OnboardLogs" /stypes="app*4046*20161003*" /stext=" 12:.+((SYSTEM_STATE.+slice.+state.+changed )|(ment ac)|(system.+state.+changed )|(\[timeout)|(PRM\|1\|D)|(kpr)|(kdp)|(\|lc)|(penalty))" /e /r /s</v>
      </c>
      <c r="AG31" s="1" t="str">
        <f t="shared" si="12"/>
        <v>EC</v>
      </c>
      <c r="AH31" s="96" t="str">
        <f t="shared" si="16"/>
        <v>"%USERPROFILE%\Documents\GitHub\eaglep3\Utilities\RefineRTDCRunTimes.py" --tripid 119-03 --locoid 4046 --swversion DE.1.0.7.0 --startMP 204:469 --initTime 2016-10-03T05:47:33 --startdatetime 2016-10-03T06:00:24 --delay 1 --endMP 204:233306 --enddatetime 2016-10-03T06:37:20 --enforcementcount 0 &gt;&gt;C:\Users\stu\Documents\GitHub\eaglep3-reporting\EC\2016-10-03-refined-times.txt</v>
      </c>
      <c r="AI31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{"issue":{"subject":"","project_id":79,"tracker_id":40,"status_id":1,"priority_id":2,"assigned_to_id":23,"start_date":"2016-10-03","description":"","custom_fields":[{"id":1,"name":"Subdivision","value":"EC"},{"id":4,"name":"Milepost","value":"23.3306"},{"id":17,"name":"Train ID","value":"119-03"},{"id":16,"name":"Locomotive ID","value":"4046"},{"id":130,"name":"Impact","value":""},{"id":150,"name":"Time of Event (Mountain Time)","value":"06:37:20"},{"id":151,"name":"Denver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432</v>
      </c>
      <c r="B32" s="7">
        <v>4045</v>
      </c>
      <c r="C32" s="24" t="s">
        <v>106</v>
      </c>
      <c r="D32" s="24" t="s">
        <v>254</v>
      </c>
      <c r="E32" s="15">
        <v>42646.278969907406</v>
      </c>
      <c r="F32" s="15">
        <v>42646.289166666669</v>
      </c>
      <c r="G32" s="7">
        <v>1</v>
      </c>
      <c r="H32" s="15" t="s">
        <v>205</v>
      </c>
      <c r="I32" s="15">
        <v>42646.31517361111</v>
      </c>
      <c r="J32" s="7">
        <v>0</v>
      </c>
      <c r="K32" s="117" t="str">
        <f t="shared" si="0"/>
        <v>4045/4046</v>
      </c>
      <c r="L32" s="24" t="str">
        <f>VLOOKUP(A32,'Trips&amp;Operators'!$C$1:$E$10000,3,FALSE)</f>
        <v>GRASTON</v>
      </c>
      <c r="M32" s="6">
        <f t="shared" si="1"/>
        <v>2.6006944441178348E-2</v>
      </c>
      <c r="N32" s="7">
        <f t="shared" si="21"/>
        <v>37.449999995296821</v>
      </c>
      <c r="O32" s="7"/>
      <c r="P32" s="7"/>
      <c r="Q32" s="25"/>
      <c r="R32" s="25"/>
      <c r="S32" s="37">
        <f t="shared" si="2"/>
        <v>1</v>
      </c>
      <c r="T32" s="52" t="str">
        <f t="shared" si="3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05:41:43-0600',mode:absolute,to:'2016-10-03 08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2" s="54" t="str">
        <f t="shared" si="4"/>
        <v>N</v>
      </c>
      <c r="X32" s="164">
        <f t="shared" si="23"/>
        <v>1</v>
      </c>
      <c r="Y32" s="69">
        <f t="shared" si="6"/>
        <v>23.299099999999999</v>
      </c>
      <c r="Z32" s="69">
        <f t="shared" si="7"/>
        <v>1.4999999999999999E-2</v>
      </c>
      <c r="AA32" s="69">
        <f t="shared" si="8"/>
        <v>23.284099999999999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9"/>
        <v>0120-03</v>
      </c>
      <c r="AE32" s="95" t="str">
        <f t="shared" si="10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32" s="92" t="str">
        <f t="shared" si="11"/>
        <v>"C:\Program Files (x86)\AstroGrep\AstroGrep.exe" /spath="%USERPROFILE%\AppData\Local\Temp\OnboardLogs" /stypes="app*4045*20161003*" /stext=" 13:.+((SYSTEM_STATE.+slice.+state.+changed )|(ment ac)|(system.+state.+changed )|(\[timeout)|(PRM\|1\|D)|(kpr)|(kdp)|(\|lc)|(penalty))" /e /r /s</v>
      </c>
      <c r="AG32" s="1" t="str">
        <f t="shared" si="12"/>
        <v>EC</v>
      </c>
      <c r="AH32" s="96" t="str">
        <f t="shared" si="16"/>
        <v>"%USERPROFILE%\Documents\GitHub\eaglep3\Utilities\RefineRTDCRunTimes.py" --tripid 120-03 --locoid 4045 --swversion DE.1.0.7.0 --startMP 204:232991 --initTime 2016-10-03T06:41:43 --startdatetime 2016-10-03T06:56:24 --delay 1 --endMP 204:150 --enddatetime 2016-10-03T07:33:51 --enforcementcount 0 &gt;&gt;C:\Users\stu\Documents\GitHub\eaglep3-reporting\EC\2016-10-03-refined-times.txt</v>
      </c>
      <c r="AI32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{"issue":{"subject":"","project_id":79,"tracker_id":40,"status_id":1,"priority_id":2,"assigned_to_id":23,"start_date":"2016-10-03","description":"","custom_fields":[{"id":1,"name":"Subdivision","value":"EC"},{"id":4,"name":"Milepost","value":"0.015"},{"id":17,"name":"Train ID","value":"120-03"},{"id":16,"name":"Locomotive ID","value":"4045"},{"id":130,"name":"Impact","value":""},{"id":150,"name":"Time of Event (Mountain Time)","value":"07:33:51"},{"id":151,"name":"Denver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433</v>
      </c>
      <c r="B33" s="7">
        <v>4002</v>
      </c>
      <c r="C33" s="24" t="s">
        <v>106</v>
      </c>
      <c r="D33" s="24" t="s">
        <v>434</v>
      </c>
      <c r="E33" s="15">
        <v>42646.257581018515</v>
      </c>
      <c r="F33" s="15">
        <v>42646.260648148149</v>
      </c>
      <c r="G33" s="7">
        <v>1</v>
      </c>
      <c r="H33" s="15" t="s">
        <v>372</v>
      </c>
      <c r="I33" s="15">
        <v>42646.285763888889</v>
      </c>
      <c r="J33" s="7">
        <v>0</v>
      </c>
      <c r="K33" s="117" t="str">
        <f t="shared" si="0"/>
        <v>4001/4002</v>
      </c>
      <c r="L33" s="24" t="str">
        <f>VLOOKUP(A33,'Trips&amp;Operators'!$C$1:$E$10000,3,FALSE)</f>
        <v>SPECTOR</v>
      </c>
      <c r="M33" s="6">
        <f t="shared" si="1"/>
        <v>2.5115740740147885E-2</v>
      </c>
      <c r="N33" s="7">
        <f t="shared" si="21"/>
        <v>36.166666665812954</v>
      </c>
      <c r="O33" s="7"/>
      <c r="P33" s="7"/>
      <c r="Q33" s="25"/>
      <c r="R33" s="25"/>
      <c r="S33" s="37">
        <f t="shared" si="2"/>
        <v>1</v>
      </c>
      <c r="T33" s="52" t="str">
        <f t="shared" si="3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05:10:55-0600',mode:absolute,to:'2016-10-03 07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4" t="str">
        <f t="shared" si="4"/>
        <v>N</v>
      </c>
      <c r="X33" s="164">
        <f t="shared" si="23"/>
        <v>1</v>
      </c>
      <c r="Y33" s="69">
        <f t="shared" si="6"/>
        <v>4.24E-2</v>
      </c>
      <c r="Z33" s="69">
        <f t="shared" si="7"/>
        <v>23.331800000000001</v>
      </c>
      <c r="AA33" s="69">
        <f t="shared" si="8"/>
        <v>23.289400000000001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9"/>
        <v>0121-03</v>
      </c>
      <c r="AE33" s="95" t="str">
        <f t="shared" si="10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33" s="92" t="str">
        <f t="shared" si="11"/>
        <v>"C:\Program Files (x86)\AstroGrep\AstroGrep.exe" /spath="%USERPROFILE%\AppData\Local\Temp\OnboardLogs" /stypes="app*4002*20161003*" /stext=" 12:.+((SYSTEM_STATE.+slice.+state.+changed )|(ment ac)|(system.+state.+changed )|(\[timeout)|(PRM\|1\|D)|(kpr)|(kdp)|(\|lc)|(penalty))" /e /r /s</v>
      </c>
      <c r="AG33" s="1" t="str">
        <f t="shared" si="12"/>
        <v>EC</v>
      </c>
      <c r="AH33" s="96" t="str">
        <f t="shared" si="16"/>
        <v>"%USERPROFILE%\Documents\GitHub\eaglep3\Utilities\RefineRTDCRunTimes.py" --tripid 121-03 --locoid 4002 --swversion DE.1.0.7.0 --startMP 204:424 --initTime 2016-10-03T06:10:55 --startdatetime 2016-10-03T06:15:20 --delay 1 --endMP 204:233318 --enddatetime 2016-10-03T06:51:30 --enforcementcount 0 &gt;&gt;C:\Users\stu\Documents\GitHub\eaglep3-reporting\EC\2016-10-03-refined-times.txt</v>
      </c>
      <c r="AI33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{"issue":{"subject":"","project_id":79,"tracker_id":40,"status_id":1,"priority_id":2,"assigned_to_id":23,"start_date":"2016-10-03","description":"","custom_fields":[{"id":1,"name":"Subdivision","value":"EC"},{"id":4,"name":"Milepost","value":"23.3318"},{"id":17,"name":"Train ID","value":"121-03"},{"id":16,"name":"Locomotive ID","value":"4002"},{"id":130,"name":"Impact","value":""},{"id":150,"name":"Time of Event (Mountain Time)","value":"06:51:30"},{"id":151,"name":"Denver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435</v>
      </c>
      <c r="B34" s="7">
        <v>4001</v>
      </c>
      <c r="C34" s="24" t="s">
        <v>106</v>
      </c>
      <c r="D34" s="24" t="s">
        <v>253</v>
      </c>
      <c r="E34" s="15">
        <v>42646.293842592589</v>
      </c>
      <c r="F34" s="15">
        <v>42646.299502314818</v>
      </c>
      <c r="G34" s="7">
        <v>1</v>
      </c>
      <c r="H34" s="15" t="s">
        <v>347</v>
      </c>
      <c r="I34" s="15">
        <v>42646.327465277776</v>
      </c>
      <c r="J34" s="7">
        <v>0</v>
      </c>
      <c r="K34" s="117" t="str">
        <f t="shared" si="0"/>
        <v>4001/4002</v>
      </c>
      <c r="L34" s="24" t="str">
        <f>VLOOKUP(A34,'Trips&amp;Operators'!$C$1:$E$10000,3,FALSE)</f>
        <v>SPECTOR</v>
      </c>
      <c r="M34" s="6">
        <f t="shared" si="1"/>
        <v>2.7962962958554272E-2</v>
      </c>
      <c r="N34" s="7">
        <f t="shared" si="21"/>
        <v>40.266666660318151</v>
      </c>
      <c r="O34" s="7"/>
      <c r="P34" s="7"/>
      <c r="Q34" s="25"/>
      <c r="R34" s="25"/>
      <c r="S34" s="37">
        <f t="shared" si="2"/>
        <v>1</v>
      </c>
      <c r="T34" s="52" t="str">
        <f t="shared" si="3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06:03:08-0600',mode:absolute,to:'2016-10-03 08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4" t="str">
        <f t="shared" si="4"/>
        <v>N</v>
      </c>
      <c r="X34" s="164">
        <f t="shared" si="23"/>
        <v>1</v>
      </c>
      <c r="Y34" s="69">
        <f t="shared" si="6"/>
        <v>23.2988</v>
      </c>
      <c r="Z34" s="69">
        <f t="shared" si="7"/>
        <v>1.6299999999999999E-2</v>
      </c>
      <c r="AA34" s="69">
        <f t="shared" si="8"/>
        <v>23.282499999999999</v>
      </c>
      <c r="AB34" s="66" t="str">
        <f>VLOOKUP(A34,Enforcements!$C$7:$K$21,8,0)</f>
        <v>Signal based authority (5)</v>
      </c>
      <c r="AC34" s="62" t="str">
        <f>VLOOKUP(A34,Enforcements!$C$7:$E$21,3,0)</f>
        <v>SIGNAL</v>
      </c>
      <c r="AD34" s="63" t="str">
        <f t="shared" si="9"/>
        <v>0122-03</v>
      </c>
      <c r="AE34" s="95" t="str">
        <f t="shared" si="10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34" s="92" t="str">
        <f t="shared" si="11"/>
        <v>"C:\Program Files (x86)\AstroGrep\AstroGrep.exe" /spath="%USERPROFILE%\AppData\Local\Temp\OnboardLogs" /stypes="app*4001*20161003*" /stext=" 13:.+((SYSTEM_STATE.+slice.+state.+changed )|(ment ac)|(system.+state.+changed )|(\[timeout)|(PRM\|1\|D)|(kpr)|(kdp)|(\|lc)|(penalty))" /e /r /s</v>
      </c>
      <c r="AG34" s="1" t="str">
        <f t="shared" si="12"/>
        <v>EC</v>
      </c>
      <c r="AH34" s="96" t="str">
        <f t="shared" si="16"/>
        <v>"%USERPROFILE%\Documents\GitHub\eaglep3\Utilities\RefineRTDCRunTimes.py" --tripid 122-03 --locoid 4001 --swversion DE.1.0.7.0 --startMP 204:232988 --initTime 2016-10-03T07:03:08 --startdatetime 2016-10-03T07:11:17 --delay 1 --endMP 204:163 --enddatetime 2016-10-03T07:51:33 --enforcementcount 0 &gt;&gt;C:\Users\stu\Documents\GitHub\eaglep3-reporting\EC\2016-10-03-refined-times.txt</v>
      </c>
      <c r="AI34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{"issue":{"subject":"","project_id":79,"tracker_id":40,"status_id":1,"priority_id":2,"assigned_to_id":23,"start_date":"2016-10-03","description":"","custom_fields":[{"id":1,"name":"Subdivision","value":"EC"},{"id":4,"name":"Milepost","value":"0.0163"},{"id":17,"name":"Train ID","value":"122-03"},{"id":16,"name":"Locomotive ID","value":"4001"},{"id":130,"name":"Impact","value":""},{"id":150,"name":"Time of Event (Mountain Time)","value":"07:51:33"},{"id":151,"name":"Denver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436</v>
      </c>
      <c r="B35" s="7">
        <v>4003</v>
      </c>
      <c r="C35" s="24" t="s">
        <v>106</v>
      </c>
      <c r="D35" s="24" t="s">
        <v>210</v>
      </c>
      <c r="E35" s="15">
        <v>42646.265266203707</v>
      </c>
      <c r="F35" s="15">
        <v>42646.271481481483</v>
      </c>
      <c r="G35" s="7">
        <v>1</v>
      </c>
      <c r="H35" s="15" t="s">
        <v>437</v>
      </c>
      <c r="I35" s="15">
        <v>42646.295497685183</v>
      </c>
      <c r="J35" s="7">
        <v>0</v>
      </c>
      <c r="K35" s="117" t="str">
        <f t="shared" si="0"/>
        <v>4003/4004</v>
      </c>
      <c r="L35" s="24" t="str">
        <f>VLOOKUP(A35,'Trips&amp;Operators'!$C$1:$E$10000,3,FALSE)</f>
        <v>YORK</v>
      </c>
      <c r="M35" s="6">
        <f t="shared" si="1"/>
        <v>2.4016203700739425E-2</v>
      </c>
      <c r="N35" s="7">
        <f t="shared" si="21"/>
        <v>34.583333329064772</v>
      </c>
      <c r="O35" s="7"/>
      <c r="P35" s="7"/>
      <c r="Q35" s="25"/>
      <c r="R35" s="25"/>
      <c r="S35" s="37">
        <f t="shared" si="2"/>
        <v>1</v>
      </c>
      <c r="T35" s="52" t="str">
        <f t="shared" si="3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05:21:59-0600',mode:absolute,to:'2016-10-03 08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5" s="54" t="str">
        <f t="shared" si="4"/>
        <v>N</v>
      </c>
      <c r="X35" s="164">
        <f t="shared" si="23"/>
        <v>1</v>
      </c>
      <c r="Y35" s="69">
        <f t="shared" si="6"/>
        <v>4.5100000000000001E-2</v>
      </c>
      <c r="Z35" s="69">
        <f t="shared" si="7"/>
        <v>23.328099999999999</v>
      </c>
      <c r="AA35" s="69">
        <f t="shared" si="8"/>
        <v>23.282999999999998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9"/>
        <v>0123-03</v>
      </c>
      <c r="AE35" s="95" t="str">
        <f t="shared" si="10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35" s="92" t="str">
        <f t="shared" si="11"/>
        <v>"C:\Program Files (x86)\AstroGrep\AstroGrep.exe" /spath="%USERPROFILE%\AppData\Local\Temp\OnboardLogs" /stypes="app*4003*20161003*" /stext=" 13:.+((SYSTEM_STATE.+slice.+state.+changed )|(ment ac)|(system.+state.+changed )|(\[timeout)|(PRM\|1\|D)|(kpr)|(kdp)|(\|lc)|(penalty))" /e /r /s</v>
      </c>
      <c r="AG35" s="1" t="str">
        <f t="shared" si="12"/>
        <v>EC</v>
      </c>
      <c r="AH35" s="96" t="str">
        <f t="shared" si="16"/>
        <v>"%USERPROFILE%\Documents\GitHub\eaglep3\Utilities\RefineRTDCRunTimes.py" --tripid 123-03 --locoid 4003 --swversion DE.1.0.7.0 --startMP 204:451 --initTime 2016-10-03T06:21:59 --startdatetime 2016-10-03T06:30:56 --delay 1 --endMP 204:233281 --enddatetime 2016-10-03T07:05:31 --enforcementcount 0 &gt;&gt;C:\Users\stu\Documents\GitHub\eaglep3-reporting\EC\2016-10-03-refined-times.txt</v>
      </c>
      <c r="AI35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{"issue":{"subject":"","project_id":79,"tracker_id":40,"status_id":1,"priority_id":2,"assigned_to_id":23,"start_date":"2016-10-03","description":"","custom_fields":[{"id":1,"name":"Subdivision","value":"EC"},{"id":4,"name":"Milepost","value":"23.3281"},{"id":17,"name":"Train ID","value":"123-03"},{"id":16,"name":"Locomotive ID","value":"4003"},{"id":130,"name":"Impact","value":""},{"id":150,"name":"Time of Event (Mountain Time)","value":"07:05:31"},{"id":151,"name":"Denver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438</v>
      </c>
      <c r="B36" s="7">
        <v>4004</v>
      </c>
      <c r="C36" s="24" t="s">
        <v>106</v>
      </c>
      <c r="D36" s="24" t="s">
        <v>439</v>
      </c>
      <c r="E36" s="15">
        <v>42646.298379629632</v>
      </c>
      <c r="F36" s="15">
        <v>42646.310104166667</v>
      </c>
      <c r="G36" s="7">
        <v>1</v>
      </c>
      <c r="H36" s="15" t="s">
        <v>440</v>
      </c>
      <c r="I36" s="15">
        <v>42646.338587962964</v>
      </c>
      <c r="J36" s="7">
        <v>0</v>
      </c>
      <c r="K36" s="117" t="str">
        <f t="shared" si="0"/>
        <v>4003/4004</v>
      </c>
      <c r="L36" s="24" t="str">
        <f>VLOOKUP(A36,'Trips&amp;Operators'!$C$1:$E$10000,3,FALSE)</f>
        <v>YORK</v>
      </c>
      <c r="M36" s="6">
        <f t="shared" si="1"/>
        <v>2.8483796297223307E-2</v>
      </c>
      <c r="N36" s="7">
        <f t="shared" si="21"/>
        <v>41.016666668001562</v>
      </c>
      <c r="O36" s="7"/>
      <c r="P36" s="7"/>
      <c r="Q36" s="25"/>
      <c r="R36" s="25"/>
      <c r="S36" s="37">
        <f t="shared" si="2"/>
        <v>1</v>
      </c>
      <c r="T36" s="52" t="str">
        <f t="shared" si="3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06:09:40-0600',mode:absolute,to:'2016-10-03 09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6" s="54" t="str">
        <f t="shared" si="4"/>
        <v>N</v>
      </c>
      <c r="X36" s="164">
        <f t="shared" si="23"/>
        <v>1</v>
      </c>
      <c r="Y36" s="69">
        <f t="shared" si="6"/>
        <v>23.297000000000001</v>
      </c>
      <c r="Z36" s="69">
        <f t="shared" si="7"/>
        <v>1.7600000000000001E-2</v>
      </c>
      <c r="AA36" s="69">
        <f t="shared" si="8"/>
        <v>23.279399999999999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9"/>
        <v>0124-03</v>
      </c>
      <c r="AE36" s="95" t="str">
        <f t="shared" si="10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36" s="92" t="str">
        <f t="shared" si="11"/>
        <v>"C:\Program Files (x86)\AstroGrep\AstroGrep.exe" /spath="%USERPROFILE%\AppData\Local\Temp\OnboardLogs" /stypes="app*4004*20161003*" /stext=" 14:.+((SYSTEM_STATE.+slice.+state.+changed )|(ment ac)|(system.+state.+changed )|(\[timeout)|(PRM\|1\|D)|(kpr)|(kdp)|(\|lc)|(penalty))" /e /r /s</v>
      </c>
      <c r="AG36" s="1" t="str">
        <f t="shared" si="12"/>
        <v>EC</v>
      </c>
      <c r="AH36" s="96" t="str">
        <f t="shared" si="16"/>
        <v>"%USERPROFILE%\Documents\GitHub\eaglep3\Utilities\RefineRTDCRunTimes.py" --tripid 124-03 --locoid 4004 --swversion DE.1.0.7.0 --startMP 204:232970 --initTime 2016-10-03T07:09:40 --startdatetime 2016-10-03T07:26:33 --delay 1 --endMP 204:176 --enddatetime 2016-10-03T08:07:34 --enforcementcount 0 &gt;&gt;C:\Users\stu\Documents\GitHub\eaglep3-reporting\EC\2016-10-03-refined-times.txt</v>
      </c>
      <c r="AI36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{"issue":{"subject":"","project_id":79,"tracker_id":40,"status_id":1,"priority_id":2,"assigned_to_id":23,"start_date":"2016-10-03","description":"","custom_fields":[{"id":1,"name":"Subdivision","value":"EC"},{"id":4,"name":"Milepost","value":"0.0176"},{"id":17,"name":"Train ID","value":"124-03"},{"id":16,"name":"Locomotive ID","value":"4004"},{"id":130,"name":"Impact","value":""},{"id":150,"name":"Time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441</v>
      </c>
      <c r="B37" s="7">
        <v>4040</v>
      </c>
      <c r="C37" s="24" t="s">
        <v>106</v>
      </c>
      <c r="D37" s="24" t="s">
        <v>256</v>
      </c>
      <c r="E37" s="15">
        <v>42646.35769675926</v>
      </c>
      <c r="F37" s="15">
        <v>42646.359293981484</v>
      </c>
      <c r="G37" s="7">
        <v>0</v>
      </c>
      <c r="H37" s="15" t="s">
        <v>423</v>
      </c>
      <c r="I37" s="15">
        <v>42646.387418981481</v>
      </c>
      <c r="J37" s="7">
        <v>0</v>
      </c>
      <c r="K37" s="117" t="str">
        <f t="shared" si="0"/>
        <v>4039/4040</v>
      </c>
      <c r="L37" s="24" t="str">
        <f>VLOOKUP(A37,'Trips&amp;Operators'!$C$1:$E$10000,3,FALSE)</f>
        <v>STARKS</v>
      </c>
      <c r="M37" s="6">
        <f t="shared" si="1"/>
        <v>2.8124999997089617E-2</v>
      </c>
      <c r="N37" s="7">
        <f t="shared" si="21"/>
        <v>40.499999995809048</v>
      </c>
      <c r="O37" s="7"/>
      <c r="P37" s="7"/>
      <c r="Q37" s="25"/>
      <c r="R37" s="25" t="s">
        <v>758</v>
      </c>
      <c r="S37" s="37">
        <f t="shared" si="2"/>
        <v>1</v>
      </c>
      <c r="T37" s="52" t="str">
        <f t="shared" si="3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07:35:05-0600',mode:absolute,to:'2016-10-03 10:17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7" s="54" t="str">
        <f t="shared" si="4"/>
        <v>N</v>
      </c>
      <c r="X37" s="164">
        <f t="shared" si="23"/>
        <v>1</v>
      </c>
      <c r="Y37" s="69">
        <f t="shared" si="6"/>
        <v>4.3999999999999997E-2</v>
      </c>
      <c r="Z37" s="69">
        <f t="shared" si="7"/>
        <v>23.329499999999999</v>
      </c>
      <c r="AA37" s="69">
        <f t="shared" si="8"/>
        <v>23.285499999999999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9"/>
        <v>0125-03</v>
      </c>
      <c r="AE37" s="95" t="str">
        <f t="shared" si="10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37" s="92" t="str">
        <f t="shared" si="11"/>
        <v>"C:\Program Files (x86)\AstroGrep\AstroGrep.exe" /spath="%USERPROFILE%\AppData\Local\Temp\OnboardLogs" /stypes="app*4040*20161003*" /stext=" 15:.+((SYSTEM_STATE.+slice.+state.+changed )|(ment ac)|(system.+state.+changed )|(\[timeout)|(PRM\|1\|D)|(kpr)|(kdp)|(\|lc)|(penalty))" /e /r /s</v>
      </c>
      <c r="AG37" s="1" t="str">
        <f t="shared" si="12"/>
        <v>EC</v>
      </c>
      <c r="AH37" s="96" t="str">
        <f t="shared" si="16"/>
        <v>"%USERPROFILE%\Documents\GitHub\eaglep3\Utilities\RefineRTDCRunTimes.py" --tripid 125-03 --locoid 4040 --swversion DE.1.0.7.0 --startMP 204:440 --initTime 2016-10-03T08:35:05 --startdatetime 2016-10-03T08:37:23 --delay 0 --endMP 204:233295 --enddatetime 2016-10-03T09:17:53 --enforcementcount 0 &gt;&gt;C:\Users\stu\Documents\GitHub\eaglep3-reporting\EC\2016-10-03-refined-times.txt</v>
      </c>
      <c r="AI37" s="130" t="str">
        <f t="shared" si="17"/>
        <v>echo {"issue":{"subject":"This trip was chosen twice, perhaps chosen in lieu of 139-03?","project_id":79,"tracker_id":40,"status_id":1,"priority_id":2,"assigned_to_id":23,"start_date":"2016-10-03","description":"","custom_fields":[{"id":1,"name":"Subdivision","value":"EC"},{"id":4,"name":"Milepost","value":"23.3295"},{"id":17,"name":"Train ID","value":"125-03"},{"id":16,"name":"Locomotive ID","value":"4040"},{"id":130,"name":"Impact","value":""},{"id":150,"name":"Time of Event (Mountain Time)","value":"09:17:53"},{"id":151,"name":"Denver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441</v>
      </c>
      <c r="B38" s="7">
        <v>4040</v>
      </c>
      <c r="C38" s="24" t="s">
        <v>106</v>
      </c>
      <c r="D38" s="24" t="s">
        <v>215</v>
      </c>
      <c r="E38" s="15">
        <v>42646.278344907405</v>
      </c>
      <c r="F38" s="15">
        <v>42646.281793981485</v>
      </c>
      <c r="G38" s="7">
        <v>2</v>
      </c>
      <c r="H38" s="15" t="s">
        <v>353</v>
      </c>
      <c r="I38" s="15">
        <v>42646.306817129633</v>
      </c>
      <c r="J38" s="7">
        <v>0</v>
      </c>
      <c r="K38" s="117" t="str">
        <f t="shared" si="0"/>
        <v>4039/4040</v>
      </c>
      <c r="L38" s="24" t="str">
        <f>VLOOKUP(A38,'Trips&amp;Operators'!$C$1:$E$10000,3,FALSE)</f>
        <v>STARKS</v>
      </c>
      <c r="M38" s="6">
        <f t="shared" si="1"/>
        <v>2.5023148147738539E-2</v>
      </c>
      <c r="N38" s="7">
        <f t="shared" si="21"/>
        <v>36.033333332743496</v>
      </c>
      <c r="O38" s="7"/>
      <c r="P38" s="7"/>
      <c r="Q38" s="25"/>
      <c r="R38" s="25"/>
      <c r="S38" s="37">
        <f t="shared" si="2"/>
        <v>1</v>
      </c>
      <c r="T38" s="52" t="str">
        <f t="shared" si="3"/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05:40:49-0600',mode:absolute,to:'2016-10-03 08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8" s="54" t="str">
        <f t="shared" si="4"/>
        <v>N</v>
      </c>
      <c r="X38" s="164">
        <f t="shared" si="23"/>
        <v>0</v>
      </c>
      <c r="Y38" s="69">
        <f t="shared" si="6"/>
        <v>4.6199999999999998E-2</v>
      </c>
      <c r="Z38" s="69">
        <f t="shared" si="7"/>
        <v>23.327200000000001</v>
      </c>
      <c r="AA38" s="69">
        <f t="shared" si="8"/>
        <v>23.281000000000002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9"/>
        <v>0125-03</v>
      </c>
      <c r="AE38" s="95" t="str">
        <f t="shared" si="10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38" s="92" t="str">
        <f t="shared" si="11"/>
        <v>"C:\Program Files (x86)\AstroGrep\AstroGrep.exe" /spath="%USERPROFILE%\AppData\Local\Temp\OnboardLogs" /stypes="app*4040*20161003*" /stext=" 13:.+((SYSTEM_STATE.+slice.+state.+changed )|(ment ac)|(system.+state.+changed )|(\[timeout)|(PRM\|1\|D)|(kpr)|(kdp)|(\|lc)|(penalty))" /e /r /s</v>
      </c>
      <c r="AG38" s="1" t="str">
        <f t="shared" si="12"/>
        <v>EC</v>
      </c>
      <c r="AH38" s="96" t="str">
        <f t="shared" si="16"/>
        <v>"%USERPROFILE%\Documents\GitHub\eaglep3\Utilities\RefineRTDCRunTimes.py" --tripid 125-03 --locoid 4040 --swversion DE.1.0.7.0 --startMP 204:462 --initTime 2016-10-03T06:40:49 --startdatetime 2016-10-03T06:45:47 --delay 2 --endMP 204:233272 --enddatetime 2016-10-03T07:21:49 --enforcementcount 0 &gt;&gt;C:\Users\stu\Documents\GitHub\eaglep3-reporting\EC\2016-10-03-refined-times.txt</v>
      </c>
      <c r="AI38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{"issue":{"subject":"","project_id":79,"tracker_id":40,"status_id":1,"priority_id":2,"assigned_to_id":23,"start_date":"2016-10-03","description":"","custom_fields":[{"id":1,"name":"Subdivision","value":"EC"},{"id":4,"name":"Milepost","value":"23.3272"},{"id":17,"name":"Train ID","value":"125-03"},{"id":16,"name":"Locomotive ID","value":"4040"},{"id":130,"name":"Impact","value":""},{"id":150,"name":"Time of Event (Mountain Time)","value":"07:21:49"},{"id":151,"name":"Denver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442</v>
      </c>
      <c r="B39" s="7">
        <v>4039</v>
      </c>
      <c r="C39" s="24" t="s">
        <v>106</v>
      </c>
      <c r="D39" s="24" t="s">
        <v>443</v>
      </c>
      <c r="E39" s="15">
        <v>42646.351018518515</v>
      </c>
      <c r="F39" s="15">
        <v>42646.352094907408</v>
      </c>
      <c r="G39" s="7">
        <v>1</v>
      </c>
      <c r="H39" s="15" t="s">
        <v>347</v>
      </c>
      <c r="I39" s="15">
        <v>42646.356030092589</v>
      </c>
      <c r="J39" s="7">
        <v>0</v>
      </c>
      <c r="K39" s="117" t="str">
        <f t="shared" si="0"/>
        <v>4039/4040</v>
      </c>
      <c r="L39" s="24" t="str">
        <f>VLOOKUP(A39,'Trips&amp;Operators'!$C$1:$E$10000,3,FALSE)</f>
        <v>STARKS</v>
      </c>
      <c r="M39" s="6">
        <f t="shared" si="1"/>
        <v>3.9351851810351945E-3</v>
      </c>
      <c r="N39" s="7"/>
      <c r="O39" s="7"/>
      <c r="P39" s="7"/>
      <c r="Q39" s="25"/>
      <c r="R39" s="25"/>
      <c r="S39" s="37"/>
      <c r="T39" s="52" t="str">
        <f t="shared" si="3"/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07:25:28-0600',mode:absolute,to:'2016-10-03 09:32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9" s="54" t="str">
        <f t="shared" si="4"/>
        <v>Y</v>
      </c>
      <c r="X39" s="164">
        <f t="shared" si="23"/>
        <v>1</v>
      </c>
      <c r="Y39" s="69">
        <f t="shared" si="6"/>
        <v>1.8774</v>
      </c>
      <c r="Z39" s="69">
        <f t="shared" si="7"/>
        <v>1.6299999999999999E-2</v>
      </c>
      <c r="AA39" s="69">
        <f t="shared" si="8"/>
        <v>1.8611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9"/>
        <v>0126-03</v>
      </c>
      <c r="AE39" s="95" t="str">
        <f t="shared" si="10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39" s="92" t="str">
        <f t="shared" si="11"/>
        <v>"C:\Program Files (x86)\AstroGrep\AstroGrep.exe" /spath="%USERPROFILE%\AppData\Local\Temp\OnboardLogs" /stypes="app*4039*20161003*" /stext=" 14:.+((SYSTEM_STATE.+slice.+state.+changed )|(ment ac)|(system.+state.+changed )|(\[timeout)|(PRM\|1\|D)|(kpr)|(kdp)|(\|lc)|(penalty))" /e /r /s</v>
      </c>
      <c r="AG39" s="1" t="str">
        <f t="shared" si="12"/>
        <v>EC</v>
      </c>
      <c r="AH39" s="96" t="str">
        <f t="shared" si="16"/>
        <v>"%USERPROFILE%\Documents\GitHub\eaglep3\Utilities\RefineRTDCRunTimes.py" --tripid 126-03 --locoid 4039 --swversion DE.1.0.7.0 --startMP 204:18774 --initTime 2016-10-03T08:25:28 --startdatetime 2016-10-03T08:27:01 --delay 1 --endMP 204:163 --enddatetime 2016-10-03T08:32:41 --enforcementcount 0 &gt;&gt;C:\Users\stu\Documents\GitHub\eaglep3-reporting\EC\2016-10-03-refined-times.txt</v>
      </c>
      <c r="AI39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{"issue":{"subject":"","project_id":79,"tracker_id":40,"status_id":1,"priority_id":2,"assigned_to_id":23,"start_date":"2016-10-03","description":"","custom_fields":[{"id":1,"name":"Subdivision","value":"EC"},{"id":4,"name":"Milepost","value":"0.0163"},{"id":17,"name":"Train ID","value":"126-03"},{"id":16,"name":"Locomotive ID","value":"4039"},{"id":130,"name":"Impact","value":""},{"id":150,"name":"Time of Event (Mountain Time)","value":"08:32:41"},{"id":151,"name":"Denver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442</v>
      </c>
      <c r="B40" s="7">
        <v>4039</v>
      </c>
      <c r="C40" s="24" t="s">
        <v>106</v>
      </c>
      <c r="D40" s="24" t="s">
        <v>444</v>
      </c>
      <c r="E40" s="15">
        <v>42646.317199074074</v>
      </c>
      <c r="F40" s="15">
        <v>42646.320335648146</v>
      </c>
      <c r="G40" s="7">
        <v>1</v>
      </c>
      <c r="H40" s="15" t="s">
        <v>445</v>
      </c>
      <c r="I40" s="15">
        <v>42646.342962962961</v>
      </c>
      <c r="J40" s="7">
        <v>0</v>
      </c>
      <c r="K40" s="117" t="str">
        <f t="shared" si="0"/>
        <v>4039/4040</v>
      </c>
      <c r="L40" s="24" t="str">
        <f>VLOOKUP(A40,'Trips&amp;Operators'!$C$1:$E$10000,3,FALSE)</f>
        <v>STARKS</v>
      </c>
      <c r="M40" s="6">
        <f t="shared" si="1"/>
        <v>2.2627314814599231E-2</v>
      </c>
      <c r="N40" s="7"/>
      <c r="O40" s="7"/>
      <c r="P40" s="7">
        <f>24*60*SUM($M39:$M40)</f>
        <v>38.249999993713573</v>
      </c>
      <c r="Q40" s="25"/>
      <c r="R40" s="25" t="s">
        <v>739</v>
      </c>
      <c r="S40" s="37">
        <f>SUM(U39:U40)/IF(AG40="EC",12,1)</f>
        <v>0.33333333333333331</v>
      </c>
      <c r="T40" s="52" t="str">
        <f t="shared" si="3"/>
        <v>Southbound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4</v>
      </c>
      <c r="V40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06:36:46-0600',mode:absolute,to:'2016-10-03 09:13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0" s="54" t="str">
        <f t="shared" si="4"/>
        <v>Y</v>
      </c>
      <c r="X40" s="164">
        <f t="shared" si="23"/>
        <v>0</v>
      </c>
      <c r="Y40" s="69">
        <f t="shared" si="6"/>
        <v>23.2957</v>
      </c>
      <c r="Z40" s="69">
        <f t="shared" si="7"/>
        <v>6.0502000000000002</v>
      </c>
      <c r="AA40" s="69">
        <f t="shared" si="8"/>
        <v>17.2455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9"/>
        <v>0126-03</v>
      </c>
      <c r="AE40" s="95" t="str">
        <f t="shared" si="10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40" s="92" t="str">
        <f t="shared" si="11"/>
        <v>"C:\Program Files (x86)\AstroGrep\AstroGrep.exe" /spath="%USERPROFILE%\AppData\Local\Temp\OnboardLogs" /stypes="app*4039*20161003*" /stext=" 14:.+((SYSTEM_STATE.+slice.+state.+changed )|(ment ac)|(system.+state.+changed )|(\[timeout)|(PRM\|1\|D)|(kpr)|(kdp)|(\|lc)|(penalty))" /e /r /s</v>
      </c>
      <c r="AG40" s="1" t="str">
        <f t="shared" si="12"/>
        <v>EC</v>
      </c>
      <c r="AH40" s="96" t="str">
        <f t="shared" si="16"/>
        <v>"%USERPROFILE%\Documents\GitHub\eaglep3\Utilities\RefineRTDCRunTimes.py" --tripid 126-03 --locoid 4039 --swversion DE.1.0.7.0 --startMP 204:232957 --initTime 2016-10-03T07:36:46 --startdatetime 2016-10-03T07:41:17 --delay 1 --endMP 204:60502 --enddatetime 2016-10-03T08:13:52 --enforcementcount 0 &gt;&gt;C:\Users\stu\Documents\GitHub\eaglep3-reporting\EC\2016-10-03-refined-times.txt</v>
      </c>
      <c r="AI40" s="130" t="str">
        <f t="shared" si="17"/>
        <v>echo {"issue":{"subject":"Improper execution of bulletin (NB Quebec Form C)","project_id":79,"tracker_id":40,"status_id":1,"priority_id":2,"assigned_to_id":23,"start_date":"2016-10-03","description":"","custom_fields":[{"id":1,"name":"Subdivision","value":"EC"},{"id":4,"name":"Milepost","value":"6.0502"},{"id":17,"name":"Train ID","value":"126-03"},{"id":16,"name":"Locomotive ID","value":"4039"},{"id":130,"name":"Impact","value":""},{"id":150,"name":"Time of Event (Mountain Time)","value":"08:13:52"},{"id":151,"name":"Denver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726</v>
      </c>
      <c r="B41" s="7">
        <v>4018</v>
      </c>
      <c r="C41" s="24" t="s">
        <v>106</v>
      </c>
      <c r="D41" s="24" t="s">
        <v>444</v>
      </c>
      <c r="E41" s="15">
        <v>42646.317199074074</v>
      </c>
      <c r="F41" s="15">
        <v>42646.287476851852</v>
      </c>
      <c r="G41" s="7">
        <v>1</v>
      </c>
      <c r="H41" s="15" t="s">
        <v>445</v>
      </c>
      <c r="I41" s="15">
        <v>42646.288136574076</v>
      </c>
      <c r="J41" s="7">
        <v>0</v>
      </c>
      <c r="K41" s="117" t="str">
        <f t="shared" si="0"/>
        <v>4017/4018</v>
      </c>
      <c r="L41" s="24" t="str">
        <f>VLOOKUP(A41,'Trips&amp;Operators'!$C$1:$E$10000,3,FALSE)</f>
        <v>KILLION</v>
      </c>
      <c r="M41" s="6">
        <f t="shared" si="1"/>
        <v>6.5972222364507616E-4</v>
      </c>
      <c r="N41" s="7"/>
      <c r="O41" s="7"/>
      <c r="P41" s="7">
        <f>24*60*SUM($M41:$M41)</f>
        <v>0.95000000204890966</v>
      </c>
      <c r="Q41" s="25"/>
      <c r="R41" s="25" t="s">
        <v>401</v>
      </c>
      <c r="S41" s="37">
        <f t="shared" ref="S41:S48" si="24">SUM(U41:U41)/IF(AG41="EC",12,1)</f>
        <v>0</v>
      </c>
      <c r="T41" s="52" t="str">
        <f t="shared" si="3"/>
        <v>NorthBound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0</v>
      </c>
      <c r="V41" s="102" t="str">
        <f t="shared" ref="V41" si="25"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https://search-rtdc-monitor-bjffxe2xuh6vdkpspy63sjmuny.us-east-1.es.amazonaws.com/_plugin/kibana/#/discover/Steve-Slow-Train-Analysis-(2080s-and-2083s)?_g=(refreshInterval:(display:Off,section:0,value:0),time:(from:'2016-10-03 06:36:46-0600',mode:absolute,to:'2016-10-03 07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4" t="str">
        <f t="shared" si="4"/>
        <v>Y</v>
      </c>
      <c r="X41" s="164">
        <f t="shared" si="23"/>
        <v>1</v>
      </c>
      <c r="Y41" s="69">
        <f t="shared" si="6"/>
        <v>23.2957</v>
      </c>
      <c r="Z41" s="69">
        <v>23.3</v>
      </c>
      <c r="AA41" s="69">
        <f t="shared" si="8"/>
        <v>4.3000000000006366E-3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9"/>
        <v>0127-03</v>
      </c>
      <c r="AE41" s="95" t="str">
        <f t="shared" si="10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41" s="92" t="str">
        <f t="shared" si="11"/>
        <v>"C:\Program Files (x86)\AstroGrep\AstroGrep.exe" /spath="%USERPROFILE%\AppData\Local\Temp\OnboardLogs" /stypes="app*4018*20161003*" /stext=" 12:.+((SYSTEM_STATE.+slice.+state.+changed )|(ment ac)|(system.+state.+changed )|(\[timeout)|(PRM\|1\|D)|(kpr)|(kdp)|(\|lc)|(penalty))" /e /r /s</v>
      </c>
      <c r="AG41" s="1" t="str">
        <f t="shared" si="12"/>
        <v>EC</v>
      </c>
      <c r="AH41" s="96" t="str">
        <f t="shared" ref="AH41" si="26"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127-03 --locoid 4018 --swversion DE.1.0.7.0 --startMP 204:232957 --initTime 2016-10-03T07:36:46 --startdatetime 2016-10-03T06:53:58 --delay 1 --endMP 204:60502 --enddatetime 2016-10-03T06:54:55 --enforcementcount 0 &gt;&gt;C:\Users\stu\Documents\GitHub\eaglep3-reporting\EC\2016-10-03-refined-times.txt</v>
      </c>
      <c r="AI41" s="130" t="str">
        <f t="shared" ref="AI41" si="27"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failure","project_id":79,"tracker_id":40,"status_id":1,"priority_id":2,"assigned_to_id":23,"start_date":"2016-10-03","description":"Primary slice change left system in disengaged during entire trip. SYS :2016/10/03 12:55:02.903:SYSTEM_STATE:slice state changed [SECONDARY]-&gt;[PRIMARY]","custom_fields":[{"id":1,"name":"Subdivision","value":"EC"},{"id":4,"name":"Milepost","value":"23.3"},{"id":17,"name":"Train ID","value":"127-03"},{"id":16,"name":"Locomotive ID","value":"4018"},{"id":130,"name":"Impact","value":"Unexpected Cut-Out or Disengaged"},{"id":150,"name":"Time of Event (Mountain Time)","value":"06:54:55"},{"id":151,"name":"Denver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1" s="55" t="s">
        <v>752</v>
      </c>
      <c r="AK41" s="55" t="s">
        <v>141</v>
      </c>
      <c r="AL41" s="55" t="s">
        <v>216</v>
      </c>
    </row>
    <row r="42" spans="1:38" s="1" customFormat="1" x14ac:dyDescent="0.25">
      <c r="A42" s="39" t="s">
        <v>446</v>
      </c>
      <c r="B42" s="7">
        <v>4017</v>
      </c>
      <c r="C42" s="24" t="s">
        <v>106</v>
      </c>
      <c r="D42" s="24" t="s">
        <v>235</v>
      </c>
      <c r="E42" s="15">
        <v>42646.325335648151</v>
      </c>
      <c r="F42" s="15">
        <v>42646.33079861111</v>
      </c>
      <c r="G42" s="7">
        <v>1</v>
      </c>
      <c r="H42" s="15" t="s">
        <v>440</v>
      </c>
      <c r="I42" s="15">
        <v>42646.362824074073</v>
      </c>
      <c r="J42" s="7">
        <v>0</v>
      </c>
      <c r="K42" s="117" t="str">
        <f t="shared" si="0"/>
        <v>4017/4018</v>
      </c>
      <c r="L42" s="24" t="str">
        <f>VLOOKUP(A42,'Trips&amp;Operators'!$C$1:$E$10000,3,FALSE)</f>
        <v>KILLION</v>
      </c>
      <c r="M42" s="6">
        <f t="shared" si="1"/>
        <v>3.202546296233777E-2</v>
      </c>
      <c r="N42" s="7">
        <f t="shared" ref="N42:N48" si="28">24*60*SUM($M42:$M42)</f>
        <v>46.116666665766388</v>
      </c>
      <c r="O42" s="7"/>
      <c r="P42" s="7"/>
      <c r="Q42" s="25"/>
      <c r="R42" s="25"/>
      <c r="S42" s="37">
        <f t="shared" si="24"/>
        <v>1</v>
      </c>
      <c r="T42" s="52" t="str">
        <f t="shared" si="3"/>
        <v>Southbound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06:48:29-0600',mode:absolute,to:'2016-10-03 09:42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4" t="str">
        <f t="shared" si="4"/>
        <v>N</v>
      </c>
      <c r="X42" s="164">
        <f t="shared" si="23"/>
        <v>1</v>
      </c>
      <c r="Y42" s="69">
        <f t="shared" si="6"/>
        <v>23.297699999999999</v>
      </c>
      <c r="Z42" s="69">
        <f t="shared" ref="Z42:Z73" si="29">RIGHT(H42,LEN(H42)-4)/10000</f>
        <v>1.7600000000000001E-2</v>
      </c>
      <c r="AA42" s="69">
        <f t="shared" si="8"/>
        <v>23.280099999999997</v>
      </c>
      <c r="AB42" s="66" t="str">
        <f>VLOOKUP(A42,Enforcements!$C$7:$K$21,8,0)</f>
        <v>Speed (6)</v>
      </c>
      <c r="AC42" s="62" t="str">
        <f>VLOOKUP(A42,Enforcements!$C$7:$E$21,3,0)</f>
        <v>PERMANENT SPEED RESTRICTION</v>
      </c>
      <c r="AD42" s="63" t="str">
        <f t="shared" si="9"/>
        <v>0128-03</v>
      </c>
      <c r="AE42" s="95" t="str">
        <f t="shared" si="10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42" s="92" t="str">
        <f t="shared" si="11"/>
        <v>"C:\Program Files (x86)\AstroGrep\AstroGrep.exe" /spath="%USERPROFILE%\AppData\Local\Temp\OnboardLogs" /stypes="app*4017*20161003*" /stext=" 14:.+((SYSTEM_STATE.+slice.+state.+changed )|(ment ac)|(system.+state.+changed )|(\[timeout)|(PRM\|1\|D)|(kpr)|(kdp)|(\|lc)|(penalty))" /e /r /s</v>
      </c>
      <c r="AG42" s="1" t="str">
        <f t="shared" si="12"/>
        <v>EC</v>
      </c>
      <c r="AH42" s="96" t="str">
        <f t="shared" si="16"/>
        <v>"%USERPROFILE%\Documents\GitHub\eaglep3\Utilities\RefineRTDCRunTimes.py" --tripid 128-03 --locoid 4017 --swversion DE.1.0.7.0 --startMP 204:232977 --initTime 2016-10-03T07:48:29 --startdatetime 2016-10-03T07:56:21 --delay 1 --endMP 204:176 --enddatetime 2016-10-03T08:42:28 --enforcementcount 0 &gt;&gt;C:\Users\stu\Documents\GitHub\eaglep3-reporting\EC\2016-10-03-refined-times.txt</v>
      </c>
      <c r="AI42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{"issue":{"subject":"","project_id":79,"tracker_id":40,"status_id":1,"priority_id":2,"assigned_to_id":23,"start_date":"2016-10-03","description":"","custom_fields":[{"id":1,"name":"Subdivision","value":"EC"},{"id":4,"name":"Milepost","value":"0.0176"},{"id":17,"name":"Train ID","value":"128-03"},{"id":16,"name":"Locomotive ID","value":"4017"},{"id":130,"name":"Impact","value":""},{"id":150,"name":"Time of Event (Mountain Time)","value":"08:42:28"},{"id":151,"name":"Denver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447</v>
      </c>
      <c r="B43" s="7">
        <v>4029</v>
      </c>
      <c r="C43" s="24" t="s">
        <v>106</v>
      </c>
      <c r="D43" s="24" t="s">
        <v>341</v>
      </c>
      <c r="E43" s="15">
        <v>42646.30028935185</v>
      </c>
      <c r="F43" s="15">
        <v>42646.302291666667</v>
      </c>
      <c r="G43" s="7">
        <v>1</v>
      </c>
      <c r="H43" s="15" t="s">
        <v>387</v>
      </c>
      <c r="I43" s="15">
        <v>42646.327569444446</v>
      </c>
      <c r="J43" s="7">
        <v>0</v>
      </c>
      <c r="K43" s="117" t="str">
        <f t="shared" si="0"/>
        <v>4029/4030</v>
      </c>
      <c r="L43" s="24" t="str">
        <f>VLOOKUP(A43,'Trips&amp;Operators'!$C$1:$E$10000,3,FALSE)</f>
        <v>MALAVE</v>
      </c>
      <c r="M43" s="6">
        <f t="shared" si="1"/>
        <v>2.527777777868323E-2</v>
      </c>
      <c r="N43" s="7">
        <f t="shared" si="28"/>
        <v>36.400000001303852</v>
      </c>
      <c r="O43" s="7"/>
      <c r="P43" s="7"/>
      <c r="Q43" s="25"/>
      <c r="R43" s="25"/>
      <c r="S43" s="37">
        <f t="shared" si="24"/>
        <v>1</v>
      </c>
      <c r="T43" s="52" t="str">
        <f t="shared" si="3"/>
        <v>NorthBound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06:12:25-0600',mode:absolute,to:'2016-10-03 08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3" s="54" t="str">
        <f t="shared" si="4"/>
        <v>N</v>
      </c>
      <c r="X43" s="164">
        <f t="shared" si="23"/>
        <v>1</v>
      </c>
      <c r="Y43" s="69">
        <f t="shared" si="6"/>
        <v>4.6699999999999998E-2</v>
      </c>
      <c r="Z43" s="69">
        <f t="shared" si="29"/>
        <v>23.330100000000002</v>
      </c>
      <c r="AA43" s="69">
        <f t="shared" si="8"/>
        <v>23.2834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9"/>
        <v>0129-03</v>
      </c>
      <c r="AE43" s="95" t="str">
        <f t="shared" si="10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43" s="92" t="str">
        <f t="shared" si="11"/>
        <v>"C:\Program Files (x86)\AstroGrep\AstroGrep.exe" /spath="%USERPROFILE%\AppData\Local\Temp\OnboardLogs" /stypes="app*4029*20161003*" /stext=" 13:.+((SYSTEM_STATE.+slice.+state.+changed )|(ment ac)|(system.+state.+changed )|(\[timeout)|(PRM\|1\|D)|(kpr)|(kdp)|(\|lc)|(penalty))" /e /r /s</v>
      </c>
      <c r="AG43" s="1" t="str">
        <f t="shared" si="12"/>
        <v>EC</v>
      </c>
      <c r="AH43" s="96" t="str">
        <f t="shared" si="16"/>
        <v>"%USERPROFILE%\Documents\GitHub\eaglep3\Utilities\RefineRTDCRunTimes.py" --tripid 129-03 --locoid 4029 --swversion DE.1.0.7.0 --startMP 204:467 --initTime 2016-10-03T07:12:25 --startdatetime 2016-10-03T07:15:18 --delay 1 --endMP 204:233301 --enddatetime 2016-10-03T07:51:42 --enforcementcount 0 &gt;&gt;C:\Users\stu\Documents\GitHub\eaglep3-reporting\EC\2016-10-03-refined-times.txt</v>
      </c>
      <c r="AI43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{"issue":{"subject":"","project_id":79,"tracker_id":40,"status_id":1,"priority_id":2,"assigned_to_id":23,"start_date":"2016-10-03","description":"","custom_fields":[{"id":1,"name":"Subdivision","value":"EC"},{"id":4,"name":"Milepost","value":"23.3301"},{"id":17,"name":"Train ID","value":"129-03"},{"id":16,"name":"Locomotive ID","value":"4029"},{"id":130,"name":"Impact","value":""},{"id":150,"name":"Time of Event (Mountain Time)","value":"07:51:42"},{"id":151,"name":"Denver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31" customFormat="1" x14ac:dyDescent="0.25">
      <c r="A44" s="39" t="s">
        <v>448</v>
      </c>
      <c r="B44" s="7">
        <v>4030</v>
      </c>
      <c r="C44" s="24" t="s">
        <v>106</v>
      </c>
      <c r="D44" s="24" t="s">
        <v>363</v>
      </c>
      <c r="E44" s="15">
        <v>42646.339675925927</v>
      </c>
      <c r="F44" s="15">
        <v>42646.341168981482</v>
      </c>
      <c r="G44" s="7">
        <v>2</v>
      </c>
      <c r="H44" s="15" t="s">
        <v>200</v>
      </c>
      <c r="I44" s="15">
        <v>42646.371990740743</v>
      </c>
      <c r="J44" s="7">
        <v>0</v>
      </c>
      <c r="K44" s="117" t="str">
        <f t="shared" si="0"/>
        <v>4029/4030</v>
      </c>
      <c r="L44" s="24" t="str">
        <f>VLOOKUP(A44,'Trips&amp;Operators'!$C$1:$E$10000,3,FALSE)</f>
        <v>MALAVE</v>
      </c>
      <c r="M44" s="6">
        <f t="shared" si="1"/>
        <v>3.0821759261016268E-2</v>
      </c>
      <c r="N44" s="7">
        <f t="shared" si="28"/>
        <v>44.383333335863426</v>
      </c>
      <c r="O44" s="7"/>
      <c r="P44" s="7"/>
      <c r="Q44" s="25"/>
      <c r="R44" s="25"/>
      <c r="S44" s="37">
        <f t="shared" si="24"/>
        <v>1</v>
      </c>
      <c r="T44" s="52" t="str">
        <f t="shared" si="3"/>
        <v>Southbound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07:09:08-0600',mode:absolute,to:'2016-10-03 09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4" s="54" t="str">
        <f t="shared" si="4"/>
        <v>N</v>
      </c>
      <c r="X44" s="164">
        <f t="shared" si="23"/>
        <v>1</v>
      </c>
      <c r="Y44" s="69">
        <f t="shared" si="6"/>
        <v>23.295200000000001</v>
      </c>
      <c r="Z44" s="69">
        <f t="shared" si="29"/>
        <v>1.6E-2</v>
      </c>
      <c r="AA44" s="69">
        <f t="shared" si="8"/>
        <v>23.279200000000003</v>
      </c>
      <c r="AB44" s="66" t="str">
        <f>VLOOKUP(A44,Enforcements!$C$7:$K$21,8,0)</f>
        <v>Bulletin (2)</v>
      </c>
      <c r="AC44" s="62" t="str">
        <f>VLOOKUP(A44,Enforcements!$C$7:$E$21,3,0)</f>
        <v>GRADE CROSSING</v>
      </c>
      <c r="AD44" s="63" t="str">
        <f t="shared" si="9"/>
        <v>0130-03</v>
      </c>
      <c r="AE44" s="95" t="str">
        <f t="shared" si="10"/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AF44" s="92" t="str">
        <f t="shared" si="11"/>
        <v>"C:\Program Files (x86)\AstroGrep\AstroGrep.exe" /spath="%USERPROFILE%\AppData\Local\Temp\OnboardLogs" /stypes="app*4030*20161003*" /stext=" 14:.+((SYSTEM_STATE.+slice.+state.+changed )|(ment ac)|(system.+state.+changed )|(\[timeout)|(PRM\|1\|D)|(kpr)|(kdp)|(\|lc)|(penalty))" /e /r /s</v>
      </c>
      <c r="AG44" s="1" t="str">
        <f t="shared" si="12"/>
        <v>EC</v>
      </c>
      <c r="AH44" s="96" t="str">
        <f t="shared" si="16"/>
        <v>"%USERPROFILE%\Documents\GitHub\eaglep3\Utilities\RefineRTDCRunTimes.py" --tripid 130-03 --locoid 4030 --swversion DE.1.0.7.0 --startMP 204:232952 --initTime 2016-10-03T08:09:08 --startdatetime 2016-10-03T08:11:17 --delay 2 --endMP 204:160 --enddatetime 2016-10-03T08:55:40 --enforcementcount 0 &gt;&gt;C:\Users\stu\Documents\GitHub\eaglep3-reporting\EC\2016-10-03-refined-times.txt</v>
      </c>
      <c r="AI44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{"issue":{"subject":"","project_id":79,"tracker_id":40,"status_id":1,"priority_id":2,"assigned_to_id":23,"start_date":"2016-10-03","description":"","custom_fields":[{"id":1,"name":"Subdivision","value":"EC"},{"id":4,"name":"Milepost","value":"0.016"},{"id":17,"name":"Train ID","value":"130-03"},{"id":16,"name":"Locomotive ID","value":"4030"},{"id":130,"name":"Impact","value":""},{"id":150,"name":"Time of Event (Mountain Time)","value":"08:55:40"},{"id":151,"name":"Denver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449</v>
      </c>
      <c r="B45" s="7">
        <v>4025</v>
      </c>
      <c r="C45" s="24" t="s">
        <v>106</v>
      </c>
      <c r="D45" s="24" t="s">
        <v>243</v>
      </c>
      <c r="E45" s="15">
        <v>42646.307905092595</v>
      </c>
      <c r="F45" s="15">
        <v>42646.312696759262</v>
      </c>
      <c r="G45" s="7">
        <v>1</v>
      </c>
      <c r="H45" s="15" t="s">
        <v>293</v>
      </c>
      <c r="I45" s="15">
        <v>42646.337569444448</v>
      </c>
      <c r="J45" s="7">
        <v>0</v>
      </c>
      <c r="K45" s="117" t="str">
        <f t="shared" ref="K45:K76" si="30">IF(ISEVEN(B45),(B45-1)&amp;"/"&amp;B45,B45&amp;"/"&amp;(B45+1))</f>
        <v>4025/4026</v>
      </c>
      <c r="L45" s="24" t="str">
        <f>VLOOKUP(A45,'Trips&amp;Operators'!$C$1:$E$10000,3,FALSE)</f>
        <v>ACKERMAN</v>
      </c>
      <c r="M45" s="6">
        <f t="shared" ref="M45:M76" si="31">I45-F45</f>
        <v>2.4872685185982846E-2</v>
      </c>
      <c r="N45" s="7">
        <f t="shared" si="28"/>
        <v>35.816666667815298</v>
      </c>
      <c r="O45" s="7"/>
      <c r="P45" s="7"/>
      <c r="Q45" s="25"/>
      <c r="R45" s="25"/>
      <c r="S45" s="37">
        <f t="shared" si="24"/>
        <v>1</v>
      </c>
      <c r="T45" s="52" t="str">
        <f t="shared" ref="T45:T76" si="32">IF(ISEVEN(LEFT(AD45,4)),"Southbound","NorthBound")</f>
        <v>NorthBound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06:23:23-0600',mode:absolute,to:'2016-10-03 09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5" s="54" t="str">
        <f t="shared" ref="W45:W76" si="33">IF(AA45&lt;IF(AG45="EC",23,5.65),"Y","N")</f>
        <v>N</v>
      </c>
      <c r="X45" s="164">
        <f t="shared" si="23"/>
        <v>1</v>
      </c>
      <c r="Y45" s="69">
        <f t="shared" ref="Y45:Y76" si="34">RIGHT(D45,LEN(D45)-4)/10000</f>
        <v>4.4400000000000002E-2</v>
      </c>
      <c r="Z45" s="69">
        <f t="shared" si="29"/>
        <v>23.3306</v>
      </c>
      <c r="AA45" s="69">
        <f t="shared" ref="AA45:AA76" si="35">ABS(Z45-Y45)</f>
        <v>23.286200000000001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ref="AD45:AD76" si="36">IF(LEN(A45)=6,"0"&amp;A45,A45)</f>
        <v>0131-03</v>
      </c>
      <c r="AE45" s="95" t="str">
        <f t="shared" ref="AE45:AE76" si="37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45" s="92" t="str">
        <f t="shared" ref="AF45:AF76" si="38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/stypes="app*4025*20161003*" /stext=" 14:.+((SYSTEM_STATE.+slice.+state.+changed )|(ment ac)|(system.+state.+changed )|(\[timeout)|(PRM\|1\|D)|(kpr)|(kdp)|(\|lc)|(penalty))" /e /r /s</v>
      </c>
      <c r="AG45" s="1" t="str">
        <f t="shared" ref="AG45:AG76" si="39">IFERROR(IF(VALUE(LEFT(AD45,2))&lt;=2,"EC",IF(OR(VALUE(LEFT(AD45,2))=8,VALUE(LEFT(AD45,2))=18),"NW","Other")),"Other")</f>
        <v>EC</v>
      </c>
      <c r="AH45" s="96" t="str">
        <f t="shared" si="16"/>
        <v>"%USERPROFILE%\Documents\GitHub\eaglep3\Utilities\RefineRTDCRunTimes.py" --tripid 131-03 --locoid 4025 --swversion DE.1.0.7.0 --startMP 204:444 --initTime 2016-10-03T07:23:23 --startdatetime 2016-10-03T07:30:17 --delay 1 --endMP 204:233306 --enddatetime 2016-10-03T08:06:06 --enforcementcount 0 &gt;&gt;C:\Users\stu\Documents\GitHub\eaglep3-reporting\EC\2016-10-03-refined-times.txt</v>
      </c>
      <c r="AI45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{"issue":{"subject":"","project_id":79,"tracker_id":40,"status_id":1,"priority_id":2,"assigned_to_id":23,"start_date":"2016-10-03","description":"","custom_fields":[{"id":1,"name":"Subdivision","value":"EC"},{"id":4,"name":"Milepost","value":"23.3306"},{"id":17,"name":"Train ID","value":"131-03"},{"id":16,"name":"Locomotive ID","value":"4025"},{"id":130,"name":"Impact","value":""},{"id":150,"name":"Time of Event (Mountain Time)","value":"08:06:06"},{"id":151,"name":"Denver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450</v>
      </c>
      <c r="B46" s="7">
        <v>4026</v>
      </c>
      <c r="C46" s="24" t="s">
        <v>106</v>
      </c>
      <c r="D46" s="24" t="s">
        <v>451</v>
      </c>
      <c r="E46" s="15">
        <v>42646.346307870372</v>
      </c>
      <c r="F46" s="15">
        <v>42646.351840277777</v>
      </c>
      <c r="G46" s="7">
        <v>1</v>
      </c>
      <c r="H46" s="15" t="s">
        <v>214</v>
      </c>
      <c r="I46" s="15">
        <v>42646.382453703707</v>
      </c>
      <c r="J46" s="7">
        <v>0</v>
      </c>
      <c r="K46" s="117" t="str">
        <f t="shared" si="30"/>
        <v>4025/4026</v>
      </c>
      <c r="L46" s="24" t="str">
        <f>VLOOKUP(A46,'Trips&amp;Operators'!$C$1:$E$10000,3,FALSE)</f>
        <v>ACKERMAN</v>
      </c>
      <c r="M46" s="6">
        <f t="shared" si="31"/>
        <v>3.0613425929914229E-2</v>
      </c>
      <c r="N46" s="7">
        <f t="shared" si="28"/>
        <v>44.083333339076489</v>
      </c>
      <c r="O46" s="7"/>
      <c r="P46" s="7"/>
      <c r="Q46" s="25"/>
      <c r="R46" s="25"/>
      <c r="S46" s="37">
        <f t="shared" si="24"/>
        <v>1</v>
      </c>
      <c r="T46" s="52" t="str">
        <f t="shared" si="32"/>
        <v>Southbound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07:18:41-0600',mode:absolute,to:'2016-10-03 10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6" s="54" t="str">
        <f t="shared" si="33"/>
        <v>N</v>
      </c>
      <c r="X46" s="164">
        <f t="shared" si="23"/>
        <v>1</v>
      </c>
      <c r="Y46" s="69">
        <f t="shared" si="34"/>
        <v>23.296600000000002</v>
      </c>
      <c r="Z46" s="69">
        <f t="shared" si="29"/>
        <v>1.38E-2</v>
      </c>
      <c r="AA46" s="69">
        <f t="shared" si="35"/>
        <v>23.282800000000002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36"/>
        <v>0132-03</v>
      </c>
      <c r="AE46" s="95" t="str">
        <f t="shared" si="37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46" s="92" t="str">
        <f t="shared" si="38"/>
        <v>"C:\Program Files (x86)\AstroGrep\AstroGrep.exe" /spath="%USERPROFILE%\AppData\Local\Temp\OnboardLogs" /stypes="app*4026*20161003*" /stext=" 15:.+((SYSTEM_STATE.+slice.+state.+changed )|(ment ac)|(system.+state.+changed )|(\[timeout)|(PRM\|1\|D)|(kpr)|(kdp)|(\|lc)|(penalty))" /e /r /s</v>
      </c>
      <c r="AG46" s="1" t="str">
        <f t="shared" si="39"/>
        <v>EC</v>
      </c>
      <c r="AH46" s="96" t="str">
        <f t="shared" si="16"/>
        <v>"%USERPROFILE%\Documents\GitHub\eaglep3\Utilities\RefineRTDCRunTimes.py" --tripid 132-03 --locoid 4026 --swversion DE.1.0.7.0 --startMP 204:232966 --initTime 2016-10-03T08:18:41 --startdatetime 2016-10-03T08:26:39 --delay 1 --endMP 204:138 --enddatetime 2016-10-03T09:10:44 --enforcementcount 0 &gt;&gt;C:\Users\stu\Documents\GitHub\eaglep3-reporting\EC\2016-10-03-refined-times.txt</v>
      </c>
      <c r="AI46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{"issue":{"subject":"","project_id":79,"tracker_id":40,"status_id":1,"priority_id":2,"assigned_to_id":23,"start_date":"2016-10-03","description":"","custom_fields":[{"id":1,"name":"Subdivision","value":"EC"},{"id":4,"name":"Milepost","value":"0.0138"},{"id":17,"name":"Train ID","value":"132-03"},{"id":16,"name":"Locomotive ID","value":"4026"},{"id":130,"name":"Impact","value":""},{"id":150,"name":"Time of Event (Mountain Time)","value":"09:10:44"},{"id":151,"name":"Denver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452</v>
      </c>
      <c r="B47" s="7">
        <v>4046</v>
      </c>
      <c r="C47" s="24" t="s">
        <v>106</v>
      </c>
      <c r="D47" s="24" t="s">
        <v>362</v>
      </c>
      <c r="E47" s="15">
        <v>42646.317569444444</v>
      </c>
      <c r="F47" s="15">
        <v>42646.323113425926</v>
      </c>
      <c r="G47" s="7">
        <v>1</v>
      </c>
      <c r="H47" s="15" t="s">
        <v>246</v>
      </c>
      <c r="I47" s="15">
        <v>42646.350219907406</v>
      </c>
      <c r="J47" s="7">
        <v>0</v>
      </c>
      <c r="K47" s="117" t="str">
        <f t="shared" si="30"/>
        <v>4045/4046</v>
      </c>
      <c r="L47" s="24" t="str">
        <f>VLOOKUP(A47,'Trips&amp;Operators'!$C$1:$E$10000,3,FALSE)</f>
        <v>BRANNON</v>
      </c>
      <c r="M47" s="6">
        <f t="shared" si="31"/>
        <v>2.7106481480586808E-2</v>
      </c>
      <c r="N47" s="7">
        <f t="shared" si="28"/>
        <v>39.033333332045004</v>
      </c>
      <c r="O47" s="7"/>
      <c r="P47" s="7"/>
      <c r="Q47" s="25"/>
      <c r="R47" s="25"/>
      <c r="S47" s="37">
        <f t="shared" si="24"/>
        <v>1</v>
      </c>
      <c r="T47" s="52" t="str">
        <f t="shared" si="32"/>
        <v>NorthBound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06:37:18-0600',mode:absolute,to:'2016-10-03 09:24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7" s="54" t="str">
        <f t="shared" si="33"/>
        <v>N</v>
      </c>
      <c r="X47" s="164">
        <f t="shared" si="23"/>
        <v>1</v>
      </c>
      <c r="Y47" s="69">
        <f t="shared" si="34"/>
        <v>4.8599999999999997E-2</v>
      </c>
      <c r="Z47" s="69">
        <f t="shared" si="29"/>
        <v>23.3307</v>
      </c>
      <c r="AA47" s="69">
        <f t="shared" si="35"/>
        <v>23.2821</v>
      </c>
      <c r="AB47" s="66" t="str">
        <f>VLOOKUP(A47,Enforcements!$C$7:$K$21,8,0)</f>
        <v>Speed (6)</v>
      </c>
      <c r="AC47" s="62" t="str">
        <f>VLOOKUP(A47,Enforcements!$C$7:$E$21,3,0)</f>
        <v>PERMANENT SPEED RESTRICTION</v>
      </c>
      <c r="AD47" s="63" t="str">
        <f t="shared" si="36"/>
        <v>0133-03</v>
      </c>
      <c r="AE47" s="95" t="str">
        <f t="shared" si="37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47" s="92" t="str">
        <f t="shared" si="38"/>
        <v>"C:\Program Files (x86)\AstroGrep\AstroGrep.exe" /spath="%USERPROFILE%\AppData\Local\Temp\OnboardLogs" /stypes="app*4046*20161003*" /stext=" 14:.+((SYSTEM_STATE.+slice.+state.+changed )|(ment ac)|(system.+state.+changed )|(\[timeout)|(PRM\|1\|D)|(kpr)|(kdp)|(\|lc)|(penalty))" /e /r /s</v>
      </c>
      <c r="AG47" s="1" t="str">
        <f t="shared" si="39"/>
        <v>EC</v>
      </c>
      <c r="AH47" s="96" t="str">
        <f t="shared" si="16"/>
        <v>"%USERPROFILE%\Documents\GitHub\eaglep3\Utilities\RefineRTDCRunTimes.py" --tripid 133-03 --locoid 4046 --swversion DE.1.0.7.0 --startMP 204:486 --initTime 2016-10-03T07:37:18 --startdatetime 2016-10-03T07:45:17 --delay 1 --endMP 204:233307 --enddatetime 2016-10-03T08:24:19 --enforcementcount 0 &gt;&gt;C:\Users\stu\Documents\GitHub\eaglep3-reporting\EC\2016-10-03-refined-times.txt</v>
      </c>
      <c r="AI47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{"issue":{"subject":"","project_id":79,"tracker_id":40,"status_id":1,"priority_id":2,"assigned_to_id":23,"start_date":"2016-10-03","description":"","custom_fields":[{"id":1,"name":"Subdivision","value":"EC"},{"id":4,"name":"Milepost","value":"23.3307"},{"id":17,"name":"Train ID","value":"133-03"},{"id":16,"name":"Locomotive ID","value":"4046"},{"id":130,"name":"Impact","value":""},{"id":150,"name":"Time of Event (Mountain Time)","value":"08:24:19"},{"id":151,"name":"Denver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453</v>
      </c>
      <c r="B48" s="7">
        <v>4045</v>
      </c>
      <c r="C48" s="24" t="s">
        <v>106</v>
      </c>
      <c r="D48" s="24" t="s">
        <v>369</v>
      </c>
      <c r="E48" s="15">
        <v>42646.359837962962</v>
      </c>
      <c r="F48" s="15">
        <v>42646.362800925926</v>
      </c>
      <c r="G48" s="7">
        <v>1</v>
      </c>
      <c r="H48" s="15" t="s">
        <v>200</v>
      </c>
      <c r="I48" s="15">
        <v>42646.392916666664</v>
      </c>
      <c r="J48" s="7">
        <v>0</v>
      </c>
      <c r="K48" s="117" t="str">
        <f t="shared" si="30"/>
        <v>4045/4046</v>
      </c>
      <c r="L48" s="24" t="str">
        <f>VLOOKUP(A48,'Trips&amp;Operators'!$C$1:$E$10000,3,FALSE)</f>
        <v>BRANNON</v>
      </c>
      <c r="M48" s="6">
        <f t="shared" si="31"/>
        <v>3.011574073752854E-2</v>
      </c>
      <c r="N48" s="7">
        <f t="shared" si="28"/>
        <v>43.366666662041098</v>
      </c>
      <c r="O48" s="7"/>
      <c r="P48" s="7"/>
      <c r="Q48" s="25"/>
      <c r="R48" s="25"/>
      <c r="S48" s="37">
        <f t="shared" si="24"/>
        <v>1</v>
      </c>
      <c r="T48" s="52" t="str">
        <f t="shared" si="32"/>
        <v>Southbound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07:38:10-0600',mode:absolute,to:'2016-10-03 10:25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8" s="54" t="str">
        <f t="shared" si="33"/>
        <v>N</v>
      </c>
      <c r="X48" s="164">
        <f t="shared" si="23"/>
        <v>1</v>
      </c>
      <c r="Y48" s="69">
        <f t="shared" si="34"/>
        <v>23.299399999999999</v>
      </c>
      <c r="Z48" s="69">
        <f t="shared" si="29"/>
        <v>1.6E-2</v>
      </c>
      <c r="AA48" s="69">
        <f t="shared" si="35"/>
        <v>23.2834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36"/>
        <v>0134-03</v>
      </c>
      <c r="AE48" s="95" t="str">
        <f t="shared" si="37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48" s="92" t="str">
        <f t="shared" si="38"/>
        <v>"C:\Program Files (x86)\AstroGrep\AstroGrep.exe" /spath="%USERPROFILE%\AppData\Local\Temp\OnboardLogs" /stypes="app*4045*20161003*" /stext=" 15:.+((SYSTEM_STATE.+slice.+state.+changed )|(ment ac)|(system.+state.+changed )|(\[timeout)|(PRM\|1\|D)|(kpr)|(kdp)|(\|lc)|(penalty))" /e /r /s</v>
      </c>
      <c r="AG48" s="1" t="str">
        <f t="shared" si="39"/>
        <v>EC</v>
      </c>
      <c r="AH48" s="96" t="str">
        <f t="shared" si="16"/>
        <v>"%USERPROFILE%\Documents\GitHub\eaglep3\Utilities\RefineRTDCRunTimes.py" --tripid 134-03 --locoid 4045 --swversion DE.1.0.7.0 --startMP 204:232994 --initTime 2016-10-03T08:38:10 --startdatetime 2016-10-03T08:42:26 --delay 1 --endMP 204:160 --enddatetime 2016-10-03T09:25:48 --enforcementcount 0 &gt;&gt;C:\Users\stu\Documents\GitHub\eaglep3-reporting\EC\2016-10-03-refined-times.txt</v>
      </c>
      <c r="AI48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{"issue":{"subject":"","project_id":79,"tracker_id":40,"status_id":1,"priority_id":2,"assigned_to_id":23,"start_date":"2016-10-03","description":"","custom_fields":[{"id":1,"name":"Subdivision","value":"EC"},{"id":4,"name":"Milepost","value":"0.016"},{"id":17,"name":"Train ID","value":"134-03"},{"id":16,"name":"Locomotive ID","value":"4045"},{"id":130,"name":"Impact","value":""},{"id":150,"name":"Time of Event (Mountain Time)","value":"09:25:48"},{"id":151,"name":"Denver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454</v>
      </c>
      <c r="B49" s="7">
        <v>4002</v>
      </c>
      <c r="C49" s="24" t="s">
        <v>106</v>
      </c>
      <c r="D49" s="24" t="s">
        <v>204</v>
      </c>
      <c r="E49" s="15">
        <v>42646.330613425926</v>
      </c>
      <c r="F49" s="15">
        <v>42646.333981481483</v>
      </c>
      <c r="G49" s="7">
        <v>1</v>
      </c>
      <c r="H49" s="15" t="s">
        <v>455</v>
      </c>
      <c r="I49" s="15">
        <v>42646.345092592594</v>
      </c>
      <c r="J49" s="7">
        <v>0</v>
      </c>
      <c r="K49" s="117" t="str">
        <f t="shared" si="30"/>
        <v>4001/4002</v>
      </c>
      <c r="L49" s="24" t="str">
        <f>VLOOKUP(A49,'Trips&amp;Operators'!$C$1:$E$10000,3,FALSE)</f>
        <v>SPECTOR</v>
      </c>
      <c r="M49" s="6">
        <f t="shared" si="31"/>
        <v>1.1111111110949423E-2</v>
      </c>
      <c r="N49" s="7"/>
      <c r="O49" s="7"/>
      <c r="P49" s="7"/>
      <c r="Q49" s="25"/>
      <c r="R49" s="25"/>
      <c r="S49" s="37"/>
      <c r="T49" s="52" t="str">
        <f t="shared" si="32"/>
        <v>NorthBound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6</v>
      </c>
      <c r="V49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06:56:05-0600',mode:absolute,to:'2016-10-03 09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9" s="54" t="str">
        <f t="shared" si="33"/>
        <v>Y</v>
      </c>
      <c r="X49" s="164">
        <f t="shared" si="23"/>
        <v>1</v>
      </c>
      <c r="Y49" s="69">
        <f t="shared" si="34"/>
        <v>4.53E-2</v>
      </c>
      <c r="Z49" s="69">
        <f t="shared" si="29"/>
        <v>5.7667000000000002</v>
      </c>
      <c r="AA49" s="69">
        <f t="shared" si="35"/>
        <v>5.7214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36"/>
        <v>0135-03</v>
      </c>
      <c r="AE49" s="95" t="str">
        <f t="shared" si="37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49" s="92" t="str">
        <f t="shared" si="38"/>
        <v>"C:\Program Files (x86)\AstroGrep\AstroGrep.exe" /spath="%USERPROFILE%\AppData\Local\Temp\OnboardLogs" /stypes="app*4002*20161003*" /stext=" 14:.+((SYSTEM_STATE.+slice.+state.+changed )|(ment ac)|(system.+state.+changed )|(\[timeout)|(PRM\|1\|D)|(kpr)|(kdp)|(\|lc)|(penalty))" /e /r /s</v>
      </c>
      <c r="AG49" s="1" t="str">
        <f t="shared" si="39"/>
        <v>EC</v>
      </c>
      <c r="AH49" s="96" t="str">
        <f t="shared" si="16"/>
        <v>"%USERPROFILE%\Documents\GitHub\eaglep3\Utilities\RefineRTDCRunTimes.py" --tripid 135-03 --locoid 4002 --swversion DE.1.0.7.0 --startMP 204:453 --initTime 2016-10-03T07:56:05 --startdatetime 2016-10-03T08:00:56 --delay 1 --endMP 204:57667 --enddatetime 2016-10-03T08:16:56 --enforcementcount 0 &gt;&gt;C:\Users\stu\Documents\GitHub\eaglep3-reporting\EC\2016-10-03-refined-times.txt</v>
      </c>
      <c r="AI49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{"issue":{"subject":"","project_id":79,"tracker_id":40,"status_id":1,"priority_id":2,"assigned_to_id":23,"start_date":"2016-10-03","description":"","custom_fields":[{"id":1,"name":"Subdivision","value":"EC"},{"id":4,"name":"Milepost","value":"5.7667"},{"id":17,"name":"Train ID","value":"135-03"},{"id":16,"name":"Locomotive ID","value":"4002"},{"id":130,"name":"Impact","value":""},{"id":150,"name":"Time of Event (Mountain Time)","value":"08:16:56"},{"id":151,"name":"Denver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454</v>
      </c>
      <c r="B50" s="7">
        <v>4002</v>
      </c>
      <c r="C50" s="24" t="s">
        <v>106</v>
      </c>
      <c r="D50" s="24" t="s">
        <v>456</v>
      </c>
      <c r="E50" s="15">
        <v>42646.350405092591</v>
      </c>
      <c r="F50" s="15">
        <v>42646.351527777777</v>
      </c>
      <c r="G50" s="7">
        <v>1</v>
      </c>
      <c r="H50" s="15" t="s">
        <v>457</v>
      </c>
      <c r="I50" s="15">
        <v>42646.367395833331</v>
      </c>
      <c r="J50" s="7">
        <v>0</v>
      </c>
      <c r="K50" s="117" t="str">
        <f t="shared" si="30"/>
        <v>4001/4002</v>
      </c>
      <c r="L50" s="24" t="str">
        <f>VLOOKUP(A50,'Trips&amp;Operators'!$C$1:$E$10000,3,FALSE)</f>
        <v>SPECTOR</v>
      </c>
      <c r="M50" s="6">
        <f t="shared" si="31"/>
        <v>1.5868055554165039E-2</v>
      </c>
      <c r="N50" s="7"/>
      <c r="O50" s="7"/>
      <c r="P50" s="7">
        <f>24*60*SUM($M49:$M50)</f>
        <v>38.849999997764826</v>
      </c>
      <c r="Q50" s="25"/>
      <c r="R50" s="25" t="s">
        <v>739</v>
      </c>
      <c r="S50" s="37">
        <f>SUM(U49:U50)/IF(AG50="EC",12,1)</f>
        <v>0.75</v>
      </c>
      <c r="T50" s="52" t="str">
        <f t="shared" si="32"/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3</v>
      </c>
      <c r="V50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07:24:35-0600',mode:absolute,to:'2016-10-03 09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0" s="54" t="str">
        <f t="shared" si="33"/>
        <v>Y</v>
      </c>
      <c r="X50" s="164">
        <f t="shared" si="23"/>
        <v>0</v>
      </c>
      <c r="Y50" s="69">
        <f t="shared" si="34"/>
        <v>6.4698000000000002</v>
      </c>
      <c r="Z50" s="69">
        <f t="shared" si="29"/>
        <v>23.329899999999999</v>
      </c>
      <c r="AA50" s="69">
        <f t="shared" si="35"/>
        <v>16.860099999999999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36"/>
        <v>0135-03</v>
      </c>
      <c r="AE50" s="95" t="str">
        <f t="shared" si="37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50" s="92" t="str">
        <f t="shared" si="38"/>
        <v>"C:\Program Files (x86)\AstroGrep\AstroGrep.exe" /spath="%USERPROFILE%\AppData\Local\Temp\OnboardLogs" /stypes="app*4002*20161003*" /stext=" 14:.+((SYSTEM_STATE.+slice.+state.+changed )|(ment ac)|(system.+state.+changed )|(\[timeout)|(PRM\|1\|D)|(kpr)|(kdp)|(\|lc)|(penalty))" /e /r /s</v>
      </c>
      <c r="AG50" s="1" t="str">
        <f t="shared" si="39"/>
        <v>EC</v>
      </c>
      <c r="AH50" s="96" t="str">
        <f t="shared" si="16"/>
        <v>"%USERPROFILE%\Documents\GitHub\eaglep3\Utilities\RefineRTDCRunTimes.py" --tripid 135-03 --locoid 4002 --swversion DE.1.0.7.0 --startMP 204:64698 --initTime 2016-10-03T08:24:35 --startdatetime 2016-10-03T08:26:12 --delay 1 --endMP 204:233299 --enddatetime 2016-10-03T08:49:03 --enforcementcount 0 &gt;&gt;C:\Users\stu\Documents\GitHub\eaglep3-reporting\EC\2016-10-03-refined-times.txt</v>
      </c>
      <c r="AI50" s="130" t="str">
        <f t="shared" si="17"/>
        <v>echo {"issue":{"subject":"Improper execution of bulletin (NB Quebec Form C)","project_id":79,"tracker_id":40,"status_id":1,"priority_id":2,"assigned_to_id":23,"start_date":"2016-10-03","description":"","custom_fields":[{"id":1,"name":"Subdivision","value":"EC"},{"id":4,"name":"Milepost","value":"23.3299"},{"id":17,"name":"Train ID","value":"135-03"},{"id":16,"name":"Locomotive ID","value":"4002"},{"id":130,"name":"Impact","value":""},{"id":150,"name":"Time of Event (Mountain Time)","value":"08:49:03"},{"id":151,"name":"Denver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458</v>
      </c>
      <c r="B51" s="7">
        <v>4001</v>
      </c>
      <c r="C51" s="24" t="s">
        <v>106</v>
      </c>
      <c r="D51" s="24" t="s">
        <v>253</v>
      </c>
      <c r="E51" s="15">
        <v>42646.371967592589</v>
      </c>
      <c r="F51" s="15">
        <v>42646.373333333337</v>
      </c>
      <c r="G51" s="7">
        <v>1</v>
      </c>
      <c r="H51" s="15" t="s">
        <v>199</v>
      </c>
      <c r="I51" s="15">
        <v>42646.401990740742</v>
      </c>
      <c r="J51" s="7">
        <v>0</v>
      </c>
      <c r="K51" s="117" t="str">
        <f t="shared" si="30"/>
        <v>4001/4002</v>
      </c>
      <c r="L51" s="24" t="str">
        <f>VLOOKUP(A51,'Trips&amp;Operators'!$C$1:$E$10000,3,FALSE)</f>
        <v>SPECTOR</v>
      </c>
      <c r="M51" s="6">
        <f t="shared" si="31"/>
        <v>2.8657407405262347E-2</v>
      </c>
      <c r="N51" s="7">
        <f>24*60*SUM($M51:$M51)</f>
        <v>41.26666666357778</v>
      </c>
      <c r="O51" s="7"/>
      <c r="P51" s="7"/>
      <c r="Q51" s="25"/>
      <c r="R51" s="25"/>
      <c r="S51" s="37">
        <f>SUM(U51:U51)/IF(AG51="EC",12,1)</f>
        <v>1</v>
      </c>
      <c r="T51" s="52" t="str">
        <f t="shared" si="32"/>
        <v>Southbound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07:55:38-0600',mode:absolute,to:'2016-10-03 10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1" s="54" t="str">
        <f t="shared" si="33"/>
        <v>N</v>
      </c>
      <c r="X51" s="164">
        <f t="shared" si="23"/>
        <v>1</v>
      </c>
      <c r="Y51" s="69">
        <f t="shared" si="34"/>
        <v>23.2988</v>
      </c>
      <c r="Z51" s="69">
        <f t="shared" si="29"/>
        <v>1.49E-2</v>
      </c>
      <c r="AA51" s="69">
        <f t="shared" si="35"/>
        <v>23.283899999999999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36"/>
        <v>0136-03</v>
      </c>
      <c r="AE51" s="95" t="str">
        <f t="shared" si="37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51" s="92" t="str">
        <f t="shared" si="38"/>
        <v>"C:\Program Files (x86)\AstroGrep\AstroGrep.exe" /spath="%USERPROFILE%\AppData\Local\Temp\OnboardLogs" /stypes="app*4001*20161003*" /stext=" 15:.+((SYSTEM_STATE.+slice.+state.+changed )|(ment ac)|(system.+state.+changed )|(\[timeout)|(PRM\|1\|D)|(kpr)|(kdp)|(\|lc)|(penalty))" /e /r /s</v>
      </c>
      <c r="AG51" s="1" t="str">
        <f t="shared" si="39"/>
        <v>EC</v>
      </c>
      <c r="AH51" s="96" t="str">
        <f t="shared" si="16"/>
        <v>"%USERPROFILE%\Documents\GitHub\eaglep3\Utilities\RefineRTDCRunTimes.py" --tripid 136-03 --locoid 4001 --swversion DE.1.0.7.0 --startMP 204:232988 --initTime 2016-10-03T08:55:38 --startdatetime 2016-10-03T08:57:36 --delay 1 --endMP 204:149 --enddatetime 2016-10-03T09:38:52 --enforcementcount 0 &gt;&gt;C:\Users\stu\Documents\GitHub\eaglep3-reporting\EC\2016-10-03-refined-times.txt</v>
      </c>
      <c r="AI51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{"issue":{"subject":"","project_id":79,"tracker_id":40,"status_id":1,"priority_id":2,"assigned_to_id":23,"start_date":"2016-10-03","description":"","custom_fields":[{"id":1,"name":"Subdivision","value":"EC"},{"id":4,"name":"Milepost","value":"0.0149"},{"id":17,"name":"Train ID","value":"136-03"},{"id":16,"name":"Locomotive ID","value":"4001"},{"id":130,"name":"Impact","value":""},{"id":150,"name":"Time of Event (Mountain Time)","value":"09:38:52"},{"id":151,"name":"Denver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459</v>
      </c>
      <c r="B52" s="7">
        <v>4003</v>
      </c>
      <c r="C52" s="24" t="s">
        <v>106</v>
      </c>
      <c r="D52" s="24" t="s">
        <v>344</v>
      </c>
      <c r="E52" s="15">
        <v>42646.339953703704</v>
      </c>
      <c r="F52" s="15">
        <v>42646.344224537039</v>
      </c>
      <c r="G52" s="7">
        <v>2</v>
      </c>
      <c r="H52" s="15" t="s">
        <v>338</v>
      </c>
      <c r="I52" s="15">
        <v>42646.376736111109</v>
      </c>
      <c r="J52" s="7">
        <v>0</v>
      </c>
      <c r="K52" s="117" t="str">
        <f t="shared" si="30"/>
        <v>4003/4004</v>
      </c>
      <c r="L52" s="24" t="str">
        <f>VLOOKUP(A52,'Trips&amp;Operators'!$C$1:$E$10000,3,FALSE)</f>
        <v>YORK</v>
      </c>
      <c r="M52" s="6">
        <f t="shared" si="31"/>
        <v>3.2511574070667848E-2</v>
      </c>
      <c r="N52" s="7">
        <f>24*60*SUM($M52:$M52)</f>
        <v>46.816666661761701</v>
      </c>
      <c r="O52" s="7"/>
      <c r="P52" s="7"/>
      <c r="Q52" s="25"/>
      <c r="R52" s="25"/>
      <c r="S52" s="37">
        <f>SUM(U52:U52)/IF(AG52="EC",12,1)</f>
        <v>1</v>
      </c>
      <c r="T52" s="52" t="str">
        <f t="shared" si="32"/>
        <v>NorthBound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07:09:32-0600',mode:absolute,to:'2016-10-03 10:02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2" s="54" t="str">
        <f t="shared" si="33"/>
        <v>N</v>
      </c>
      <c r="X52" s="164">
        <f t="shared" si="23"/>
        <v>1</v>
      </c>
      <c r="Y52" s="69">
        <f t="shared" si="34"/>
        <v>4.7500000000000001E-2</v>
      </c>
      <c r="Z52" s="69">
        <f t="shared" si="29"/>
        <v>23.330200000000001</v>
      </c>
      <c r="AA52" s="69">
        <f t="shared" si="35"/>
        <v>23.282700000000002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36"/>
        <v>0137-03</v>
      </c>
      <c r="AE52" s="95" t="str">
        <f t="shared" si="37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52" s="92" t="str">
        <f t="shared" si="38"/>
        <v>"C:\Program Files (x86)\AstroGrep\AstroGrep.exe" /spath="%USERPROFILE%\AppData\Local\Temp\OnboardLogs" /stypes="app*4003*20161003*" /stext=" 15:.+((SYSTEM_STATE.+slice.+state.+changed )|(ment ac)|(system.+state.+changed )|(\[timeout)|(PRM\|1\|D)|(kpr)|(kdp)|(\|lc)|(penalty))" /e /r /s</v>
      </c>
      <c r="AG52" s="1" t="str">
        <f t="shared" si="39"/>
        <v>EC</v>
      </c>
      <c r="AH52" s="96" t="str">
        <f t="shared" si="16"/>
        <v>"%USERPROFILE%\Documents\GitHub\eaglep3\Utilities\RefineRTDCRunTimes.py" --tripid 137-03 --locoid 4003 --swversion DE.1.0.7.0 --startMP 204:475 --initTime 2016-10-03T08:09:32 --startdatetime 2016-10-03T08:15:41 --delay 2 --endMP 204:233302 --enddatetime 2016-10-03T09:02:30 --enforcementcount 0 &gt;&gt;C:\Users\stu\Documents\GitHub\eaglep3-reporting\EC\2016-10-03-refined-times.txt</v>
      </c>
      <c r="AI52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{"issue":{"subject":"","project_id":79,"tracker_id":40,"status_id":1,"priority_id":2,"assigned_to_id":23,"start_date":"2016-10-03","description":"","custom_fields":[{"id":1,"name":"Subdivision","value":"EC"},{"id":4,"name":"Milepost","value":"23.3302"},{"id":17,"name":"Train ID","value":"137-03"},{"id":16,"name":"Locomotive ID","value":"4003"},{"id":130,"name":"Impact","value":""},{"id":150,"name":"Time of Event (Mountain Time)","value":"09:02:30"},{"id":151,"name":"Denver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460</v>
      </c>
      <c r="B53" s="7">
        <v>4004</v>
      </c>
      <c r="C53" s="24" t="s">
        <v>106</v>
      </c>
      <c r="D53" s="24" t="s">
        <v>461</v>
      </c>
      <c r="E53" s="15">
        <v>42646.377835648149</v>
      </c>
      <c r="F53" s="15">
        <v>42646.383935185186</v>
      </c>
      <c r="G53" s="7">
        <v>0</v>
      </c>
      <c r="H53" s="15" t="s">
        <v>205</v>
      </c>
      <c r="I53" s="15">
        <v>42646.412106481483</v>
      </c>
      <c r="J53" s="7">
        <v>0</v>
      </c>
      <c r="K53" s="117" t="str">
        <f t="shared" si="30"/>
        <v>4003/4004</v>
      </c>
      <c r="L53" s="24" t="str">
        <f>VLOOKUP(A53,'Trips&amp;Operators'!$C$1:$E$10000,3,FALSE)</f>
        <v>YORK</v>
      </c>
      <c r="M53" s="6">
        <f t="shared" si="31"/>
        <v>2.8171296296932269E-2</v>
      </c>
      <c r="N53" s="7">
        <f>24*60*SUM($M53:$M53)</f>
        <v>40.566666667582467</v>
      </c>
      <c r="O53" s="7"/>
      <c r="P53" s="7"/>
      <c r="Q53" s="25"/>
      <c r="R53" s="25"/>
      <c r="S53" s="37">
        <f>SUM(U53:U53)/IF(AG53="EC",12,1)</f>
        <v>1</v>
      </c>
      <c r="T53" s="52" t="str">
        <f t="shared" si="32"/>
        <v>Southbound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08:04:05-0600',mode:absolute,to:'2016-10-03 10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3" s="54" t="str">
        <f t="shared" si="33"/>
        <v>N</v>
      </c>
      <c r="X53" s="164">
        <f t="shared" si="23"/>
        <v>1</v>
      </c>
      <c r="Y53" s="69">
        <f t="shared" si="34"/>
        <v>23.298500000000001</v>
      </c>
      <c r="Z53" s="69">
        <f t="shared" si="29"/>
        <v>1.4999999999999999E-2</v>
      </c>
      <c r="AA53" s="69">
        <f t="shared" si="35"/>
        <v>23.2835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36"/>
        <v>0138-03</v>
      </c>
      <c r="AE53" s="95" t="str">
        <f t="shared" si="37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53" s="92" t="str">
        <f t="shared" si="38"/>
        <v>"C:\Program Files (x86)\AstroGrep\AstroGrep.exe" /spath="%USERPROFILE%\AppData\Local\Temp\OnboardLogs" /stypes="app*4004*20161003*" /stext=" 15:.+((SYSTEM_STATE.+slice.+state.+changed )|(ment ac)|(system.+state.+changed )|(\[timeout)|(PRM\|1\|D)|(kpr)|(kdp)|(\|lc)|(penalty))" /e /r /s</v>
      </c>
      <c r="AG53" s="1" t="str">
        <f t="shared" si="39"/>
        <v>EC</v>
      </c>
      <c r="AH53" s="96" t="str">
        <f t="shared" si="16"/>
        <v>"%USERPROFILE%\Documents\GitHub\eaglep3\Utilities\RefineRTDCRunTimes.py" --tripid 138-03 --locoid 4004 --swversion DE.1.0.7.0 --startMP 204:232985 --initTime 2016-10-03T09:04:05 --startdatetime 2016-10-03T09:12:52 --delay 0 --endMP 204:150 --enddatetime 2016-10-03T09:53:26 --enforcementcount 0 &gt;&gt;C:\Users\stu\Documents\GitHub\eaglep3-reporting\EC\2016-10-03-refined-times.txt</v>
      </c>
      <c r="AI53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{"issue":{"subject":"","project_id":79,"tracker_id":40,"status_id":1,"priority_id":2,"assigned_to_id":23,"start_date":"2016-10-03","description":"","custom_fields":[{"id":1,"name":"Subdivision","value":"EC"},{"id":4,"name":"Milepost","value":"0.015"},{"id":17,"name":"Train ID","value":"138-03"},{"id":16,"name":"Locomotive ID","value":"4004"},{"id":130,"name":"Impact","value":""},{"id":150,"name":"Time of Event (Mountain Time)","value":"09:53:26"},{"id":151,"name":"Denver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753</v>
      </c>
      <c r="B54" s="7"/>
      <c r="C54" s="24" t="s">
        <v>106</v>
      </c>
      <c r="D54" s="24" t="s">
        <v>461</v>
      </c>
      <c r="E54" s="15">
        <v>42646.377835648149</v>
      </c>
      <c r="F54" s="15"/>
      <c r="G54" s="7">
        <v>0</v>
      </c>
      <c r="H54" s="15" t="s">
        <v>205</v>
      </c>
      <c r="I54" s="15"/>
      <c r="J54" s="7">
        <v>0</v>
      </c>
      <c r="K54" s="117" t="str">
        <f t="shared" si="30"/>
        <v>-1/</v>
      </c>
      <c r="L54" s="24" t="e">
        <f>VLOOKUP(A54,'Trips&amp;Operators'!$C$1:$E$10000,3,FALSE)</f>
        <v>#N/A</v>
      </c>
      <c r="M54" s="6">
        <f t="shared" si="31"/>
        <v>0</v>
      </c>
      <c r="N54" s="7"/>
      <c r="O54" s="7"/>
      <c r="P54" s="7">
        <v>1</v>
      </c>
      <c r="Q54" s="25"/>
      <c r="R54" s="25" t="s">
        <v>751</v>
      </c>
      <c r="S54" s="37">
        <f>SUM(U54:U54)/IF(AG54="EC",12,1)</f>
        <v>0</v>
      </c>
      <c r="T54" s="52" t="str">
        <f t="shared" si="32"/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02" t="str">
        <f t="shared" ref="V54" si="40"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https://search-rtdc-monitor-bjffxe2xuh6vdkpspy63sjmuny.us-east-1.es.amazonaws.com/_plugin/kibana/#/discover/Steve-Slow-Train-Analysis-(2080s-and-2083s)?_g=(refreshInterval:(display:Off,section:0,value:0),time:(from:'2016-10-03 08:04:05-0600',mode:absolute,to:'1900-01-00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54" s="54" t="str">
        <f t="shared" si="33"/>
        <v>N</v>
      </c>
      <c r="X54" s="164">
        <f t="shared" ref="X54:X58" si="41">VALUE(LEFT(AD54,4))-VALUE(LEFT(AD53,4))</f>
        <v>1</v>
      </c>
      <c r="Y54" s="69">
        <f t="shared" si="34"/>
        <v>23.298500000000001</v>
      </c>
      <c r="Z54" s="69">
        <f t="shared" si="29"/>
        <v>1.4999999999999999E-2</v>
      </c>
      <c r="AA54" s="69">
        <f t="shared" si="35"/>
        <v>23.2835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36"/>
        <v>0139-03</v>
      </c>
      <c r="AE54" s="95" t="str">
        <f t="shared" si="3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4" s="92" t="str">
        <f t="shared" si="38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54" s="1" t="str">
        <f t="shared" si="39"/>
        <v>EC</v>
      </c>
      <c r="AH54" s="96" t="str">
        <f t="shared" ref="AH54" si="42"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"&amp;J54&amp;IF(outputrefinedruntimes," &gt;&gt;"&amp;RefinedRTDCRunTimesOutputFile,"")</f>
        <v>"%USERPROFILE%\Documents\GitHub\eaglep3\Utilities\RefineRTDCRunTimes.py" --tripid 139-03 --locoid  --swversion DE.1.0.7.0 --startMP 204:232985 --initTime 2016-10-03T09:04:05 --startdatetime 1900-01-00T00:00:00 --delay 0 --endMP 204:150 --enddatetime 1900-01-00T00:00:00 --enforcementcount 0 &gt;&gt;C:\Users\stu\Documents\GitHub\eaglep3-reporting\EC\2016-10-03-refined-times.txt</v>
      </c>
      <c r="AI54" s="130" t="str">
        <f t="shared" ref="AI54" si="43">"echo {""issue"":{""subject"":"""&amp;R54&amp;""",""project_id"":79,""tracker_id"":40,""status_id"":"&amp;redmine_status&amp;",""priority_id"":"&amp;redmine_priority&amp;",""assigned_to_id"":"&amp;redmine_assignee&amp;",""start_date"":"""&amp;TEXT(I54,"YYYY-mm-dd")&amp;""",""description"":"""&amp;AJ54&amp;""",""custom_fields"":[{""id"":1,""name"":""Subdivision"",""value"":"""&amp;AG54&amp;"""},{""id"":4,""name"":""Milepost"",""value"":"""&amp;Z54&amp;"""},{""id"":17,""name"":""Train ID"",""value"":"""&amp;A54&amp;"""},{""id"":16,""name"":""Locomotive ID"",""value"":"""&amp;B54&amp;"""},{""id"":130,""name"":""Impact"",""value"":"""&amp;AK54&amp;"""},{""id"":150,""name"":""Time of Event (Mountain Time)"",""value"":"""&amp;TEXT(I54,"hh:mm:ss")&amp;"""},{""id"":151,""name"":""Denver Issue ID"",""value"":"""&amp;"""},{""id"":178,""name"":""Operational Impact"",""value"":"""&amp;redmine_op_impact&amp;"""},{""id"":179,""name"":""Denver Segment Assigned"",""value"":"""&amp;AL54&amp;"""}]}}"&amp;"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init","project_id":79,"tracker_id":40,"status_id":1,"priority_id":2,"assigned_to_id":23,"start_date":"1900-01-00","description":"","custom_fields":[{"id":1,"name":"Subdivision","value":"EC"},{"id":4,"name":"Milepost","value":"0.015"},{"id":17,"name":"Train ID","value":"139-03"},{"id":16,"name":"Locomotive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462</v>
      </c>
      <c r="B55" s="7">
        <v>4039</v>
      </c>
      <c r="C55" s="24" t="s">
        <v>106</v>
      </c>
      <c r="D55" s="24" t="s">
        <v>368</v>
      </c>
      <c r="E55" s="15">
        <v>42646.391435185185</v>
      </c>
      <c r="F55" s="15">
        <v>42646.393750000003</v>
      </c>
      <c r="G55" s="7">
        <v>1</v>
      </c>
      <c r="H55" s="15" t="s">
        <v>463</v>
      </c>
      <c r="I55" s="15">
        <v>42646.415370370371</v>
      </c>
      <c r="J55" s="7">
        <v>0</v>
      </c>
      <c r="K55" s="117" t="str">
        <f t="shared" si="30"/>
        <v>4039/4040</v>
      </c>
      <c r="L55" s="24" t="str">
        <f>VLOOKUP(A55,'Trips&amp;Operators'!$C$1:$E$10000,3,FALSE)</f>
        <v>STARKS</v>
      </c>
      <c r="M55" s="6">
        <f t="shared" si="31"/>
        <v>2.1620370367600117E-2</v>
      </c>
      <c r="N55" s="7"/>
      <c r="O55" s="7"/>
      <c r="P55" s="7"/>
      <c r="Q55" s="25"/>
      <c r="R55" s="25"/>
      <c r="S55" s="37"/>
      <c r="T55" s="52" t="str">
        <f t="shared" si="32"/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4</v>
      </c>
      <c r="V55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08:23:40-0600',mode:absolute,to:'2016-10-03 10:58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5" s="54" t="str">
        <f t="shared" si="33"/>
        <v>Y</v>
      </c>
      <c r="X55" s="164">
        <f t="shared" si="41"/>
        <v>1</v>
      </c>
      <c r="Y55" s="69">
        <f t="shared" si="34"/>
        <v>23.2973</v>
      </c>
      <c r="Z55" s="69">
        <f t="shared" si="29"/>
        <v>6.0495999999999999</v>
      </c>
      <c r="AA55" s="69">
        <f t="shared" si="35"/>
        <v>17.247700000000002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36"/>
        <v>0140-03</v>
      </c>
      <c r="AE55" s="95" t="str">
        <f t="shared" si="37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55" s="92" t="str">
        <f t="shared" si="38"/>
        <v>"C:\Program Files (x86)\AstroGrep\AstroGrep.exe" /spath="%USERPROFILE%\AppData\Local\Temp\OnboardLogs" /stypes="app*4039*20161003*" /stext=" 15:.+((SYSTEM_STATE.+slice.+state.+changed )|(ment ac)|(system.+state.+changed )|(\[timeout)|(PRM\|1\|D)|(kpr)|(kdp)|(\|lc)|(penalty))" /e /r /s</v>
      </c>
      <c r="AG55" s="1" t="str">
        <f t="shared" si="39"/>
        <v>EC</v>
      </c>
      <c r="AH55" s="96" t="str">
        <f t="shared" si="16"/>
        <v>"%USERPROFILE%\Documents\GitHub\eaglep3\Utilities\RefineRTDCRunTimes.py" --tripid 140-03 --locoid 4039 --swversion DE.1.0.7.0 --startMP 204:232973 --initTime 2016-10-03T09:23:40 --startdatetime 2016-10-03T09:27:00 --delay 1 --endMP 204:60496 --enddatetime 2016-10-03T09:58:08 --enforcementcount 0 &gt;&gt;C:\Users\stu\Documents\GitHub\eaglep3-reporting\EC\2016-10-03-refined-times.txt</v>
      </c>
      <c r="AI55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{"issue":{"subject":"","project_id":79,"tracker_id":40,"status_id":1,"priority_id":2,"assigned_to_id":23,"start_date":"2016-10-03","description":"","custom_fields":[{"id":1,"name":"Subdivision","value":"EC"},{"id":4,"name":"Milepost","value":"6.0496"},{"id":17,"name":"Train ID","value":"140-03"},{"id":16,"name":"Locomotive ID","value":"4039"},{"id":130,"name":"Impact","value":""},{"id":150,"name":"Time of Event (Mountain Time)","value":"09:58:08"},{"id":151,"name":"Denver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462</v>
      </c>
      <c r="B56" s="7">
        <v>4039</v>
      </c>
      <c r="C56" s="24" t="s">
        <v>106</v>
      </c>
      <c r="D56" s="24" t="s">
        <v>464</v>
      </c>
      <c r="E56" s="15">
        <v>42646.420324074075</v>
      </c>
      <c r="F56" s="15">
        <v>42646.4216087963</v>
      </c>
      <c r="G56" s="7">
        <v>1</v>
      </c>
      <c r="H56" s="15" t="s">
        <v>127</v>
      </c>
      <c r="I56" s="15">
        <v>42646.428576388891</v>
      </c>
      <c r="J56" s="7">
        <v>0</v>
      </c>
      <c r="K56" s="117" t="str">
        <f t="shared" si="30"/>
        <v>4039/4040</v>
      </c>
      <c r="L56" s="24" t="str">
        <f>VLOOKUP(A56,'Trips&amp;Operators'!$C$1:$E$10000,3,FALSE)</f>
        <v>STARKS</v>
      </c>
      <c r="M56" s="6">
        <f t="shared" si="31"/>
        <v>6.9675925915362313E-3</v>
      </c>
      <c r="N56" s="7"/>
      <c r="O56" s="7"/>
      <c r="P56" s="7">
        <f>24*60*SUM($M55:$M56)</f>
        <v>41.166666661156341</v>
      </c>
      <c r="Q56" s="25"/>
      <c r="R56" s="25" t="s">
        <v>739</v>
      </c>
      <c r="S56" s="37">
        <f>SUM(U55:U56)/IF(AG56="EC",12,1)</f>
        <v>0.58333333333333337</v>
      </c>
      <c r="T56" s="52" t="str">
        <f t="shared" si="32"/>
        <v>Southbound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09:05:16-0600',mode:absolute,to:'2016-10-03 11:17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4" t="str">
        <f t="shared" si="33"/>
        <v>Y</v>
      </c>
      <c r="X56" s="164">
        <f t="shared" si="41"/>
        <v>0</v>
      </c>
      <c r="Y56" s="69">
        <f t="shared" si="34"/>
        <v>3.6797</v>
      </c>
      <c r="Z56" s="69">
        <f t="shared" si="29"/>
        <v>1.54E-2</v>
      </c>
      <c r="AA56" s="69">
        <f t="shared" si="35"/>
        <v>3.6642999999999999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36"/>
        <v>0140-03</v>
      </c>
      <c r="AE56" s="95" t="str">
        <f t="shared" si="37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56" s="92" t="str">
        <f t="shared" si="38"/>
        <v>"C:\Program Files (x86)\AstroGrep\AstroGrep.exe" /spath="%USERPROFILE%\AppData\Local\Temp\OnboardLogs" /stypes="app*4039*20161003*" /stext=" 16:.+((SYSTEM_STATE.+slice.+state.+changed )|(ment ac)|(system.+state.+changed )|(\[timeout)|(PRM\|1\|D)|(kpr)|(kdp)|(\|lc)|(penalty))" /e /r /s</v>
      </c>
      <c r="AG56" s="1" t="str">
        <f t="shared" si="39"/>
        <v>EC</v>
      </c>
      <c r="AH56" s="96" t="str">
        <f t="shared" si="16"/>
        <v>"%USERPROFILE%\Documents\GitHub\eaglep3\Utilities\RefineRTDCRunTimes.py" --tripid 140-03 --locoid 4039 --swversion DE.1.0.7.0 --startMP 204:36797 --initTime 2016-10-03T10:05:16 --startdatetime 2016-10-03T10:07:07 --delay 1 --endMP 204:154 --enddatetime 2016-10-03T10:17:09 --enforcementcount 0 &gt;&gt;C:\Users\stu\Documents\GitHub\eaglep3-reporting\EC\2016-10-03-refined-times.txt</v>
      </c>
      <c r="AI56" s="130" t="str">
        <f t="shared" si="17"/>
        <v>echo {"issue":{"subject":"Improper execution of bulletin (NB Quebec Form C)","project_id":79,"tracker_id":40,"status_id":1,"priority_id":2,"assigned_to_id":23,"start_date":"2016-10-03","description":"","custom_fields":[{"id":1,"name":"Subdivision","value":"EC"},{"id":4,"name":"Milepost","value":"0.0154"},{"id":17,"name":"Train ID","value":"140-03"},{"id":16,"name":"Locomotive ID","value":"4039"},{"id":130,"name":"Impact","value":""},{"id":150,"name":"Time of Event (Mountain Time)","value":"10:17:09"},{"id":151,"name":"Denver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465</v>
      </c>
      <c r="B57" s="7">
        <v>4018</v>
      </c>
      <c r="C57" s="24" t="s">
        <v>106</v>
      </c>
      <c r="D57" s="24" t="s">
        <v>466</v>
      </c>
      <c r="E57" s="15">
        <v>42646.369583333333</v>
      </c>
      <c r="F57" s="15">
        <v>42646.370439814818</v>
      </c>
      <c r="G57" s="7">
        <v>1</v>
      </c>
      <c r="H57" s="15" t="s">
        <v>384</v>
      </c>
      <c r="I57" s="15">
        <v>42646.398587962962</v>
      </c>
      <c r="J57" s="7">
        <v>0</v>
      </c>
      <c r="K57" s="117" t="str">
        <f t="shared" si="30"/>
        <v>4017/4018</v>
      </c>
      <c r="L57" s="24" t="str">
        <f>VLOOKUP(A57,'Trips&amp;Operators'!$C$1:$E$10000,3,FALSE)</f>
        <v>KILLION</v>
      </c>
      <c r="M57" s="6">
        <f t="shared" si="31"/>
        <v>2.8148148143372964E-2</v>
      </c>
      <c r="N57" s="7"/>
      <c r="O57" s="7"/>
      <c r="P57" s="7"/>
      <c r="Q57" s="25"/>
      <c r="R57" s="25"/>
      <c r="S57" s="37"/>
      <c r="T57" s="52" t="str">
        <f t="shared" si="32"/>
        <v>NorthBound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07:52:12-0600',mode:absolute,to:'2016-10-03 10:33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7" s="54" t="str">
        <f t="shared" si="33"/>
        <v>Y</v>
      </c>
      <c r="X57" s="164">
        <f t="shared" si="41"/>
        <v>1</v>
      </c>
      <c r="Y57" s="69">
        <f t="shared" si="34"/>
        <v>1.9126000000000001</v>
      </c>
      <c r="Z57" s="69">
        <f t="shared" si="29"/>
        <v>23.328499999999998</v>
      </c>
      <c r="AA57" s="69">
        <f t="shared" si="35"/>
        <v>21.415899999999997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36"/>
        <v>0141-03</v>
      </c>
      <c r="AE57" s="95" t="str">
        <f t="shared" si="37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57" s="92" t="str">
        <f t="shared" si="38"/>
        <v>"C:\Program Files (x86)\AstroGrep\AstroGrep.exe" /spath="%USERPROFILE%\AppData\Local\Temp\OnboardLogs" /stypes="app*4018*20161003*" /stext=" 15:.+((SYSTEM_STATE.+slice.+state.+changed )|(ment ac)|(system.+state.+changed )|(\[timeout)|(PRM\|1\|D)|(kpr)|(kdp)|(\|lc)|(penalty))" /e /r /s</v>
      </c>
      <c r="AG57" s="1" t="str">
        <f t="shared" si="39"/>
        <v>EC</v>
      </c>
      <c r="AH57" s="96" t="str">
        <f t="shared" si="16"/>
        <v>"%USERPROFILE%\Documents\GitHub\eaglep3\Utilities\RefineRTDCRunTimes.py" --tripid 141-03 --locoid 4018 --swversion DE.1.0.7.0 --startMP 204:19126 --initTime 2016-10-03T08:52:12 --startdatetime 2016-10-03T08:53:26 --delay 1 --endMP 204:233285 --enddatetime 2016-10-03T09:33:58 --enforcementcount 0 &gt;&gt;C:\Users\stu\Documents\GitHub\eaglep3-reporting\EC\2016-10-03-refined-times.txt</v>
      </c>
      <c r="AI57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{"issue":{"subject":"","project_id":79,"tracker_id":40,"status_id":1,"priority_id":2,"assigned_to_id":23,"start_date":"2016-10-03","description":"","custom_fields":[{"id":1,"name":"Subdivision","value":"EC"},{"id":4,"name":"Milepost","value":"23.3285"},{"id":17,"name":"Train ID","value":"141-03"},{"id":16,"name":"Locomotive ID","value":"4018"},{"id":130,"name":"Impact","value":""},{"id":150,"name":"Time of Event (Mountain Time)","value":"09:33:58"},{"id":151,"name":"Denver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465</v>
      </c>
      <c r="B58" s="7">
        <v>4018</v>
      </c>
      <c r="C58" s="24" t="s">
        <v>106</v>
      </c>
      <c r="D58" s="24" t="s">
        <v>467</v>
      </c>
      <c r="E58" s="15">
        <v>42646.364166666666</v>
      </c>
      <c r="F58" s="15">
        <v>42646.365868055553</v>
      </c>
      <c r="G58" s="7">
        <v>1</v>
      </c>
      <c r="H58" s="15" t="s">
        <v>468</v>
      </c>
      <c r="I58" s="15">
        <v>42646.366168981483</v>
      </c>
      <c r="J58" s="7">
        <v>0</v>
      </c>
      <c r="K58" s="117" t="str">
        <f t="shared" si="30"/>
        <v>4017/4018</v>
      </c>
      <c r="L58" s="24" t="str">
        <f>VLOOKUP(A58,'Trips&amp;Operators'!$C$1:$E$10000,3,FALSE)</f>
        <v>KILLION</v>
      </c>
      <c r="M58" s="6">
        <f t="shared" si="31"/>
        <v>3.0092593078734353E-4</v>
      </c>
      <c r="N58" s="7"/>
      <c r="O58" s="7"/>
      <c r="P58" s="7">
        <f>24*60*SUM($M57:$M58)</f>
        <v>40.966666666790843</v>
      </c>
      <c r="Q58" s="25"/>
      <c r="R58" s="25" t="s">
        <v>740</v>
      </c>
      <c r="S58" s="37">
        <f>SUM(U57:U58)/IF(AG58="EC",12,1)</f>
        <v>1</v>
      </c>
      <c r="T58" s="52" t="str">
        <f t="shared" si="32"/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0</v>
      </c>
      <c r="V58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07:44:24-0600',mode:absolute,to:'2016-10-03 09:47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8" s="54" t="str">
        <f t="shared" si="33"/>
        <v>Y</v>
      </c>
      <c r="X58" s="164">
        <f t="shared" si="41"/>
        <v>0</v>
      </c>
      <c r="Y58" s="69">
        <f t="shared" si="34"/>
        <v>4.82E-2</v>
      </c>
      <c r="Z58" s="69">
        <f t="shared" si="29"/>
        <v>0.1065</v>
      </c>
      <c r="AA58" s="69">
        <f t="shared" si="35"/>
        <v>5.8299999999999998E-2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36"/>
        <v>0141-03</v>
      </c>
      <c r="AE58" s="95" t="str">
        <f t="shared" si="37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58" s="92" t="str">
        <f t="shared" si="38"/>
        <v>"C:\Program Files (x86)\AstroGrep\AstroGrep.exe" /spath="%USERPROFILE%\AppData\Local\Temp\OnboardLogs" /stypes="app*4018*20161003*" /stext=" 14:.+((SYSTEM_STATE.+slice.+state.+changed )|(ment ac)|(system.+state.+changed )|(\[timeout)|(PRM\|1\|D)|(kpr)|(kdp)|(\|lc)|(penalty))" /e /r /s</v>
      </c>
      <c r="AG58" s="1" t="str">
        <f t="shared" si="39"/>
        <v>EC</v>
      </c>
      <c r="AH58" s="96" t="str">
        <f t="shared" si="16"/>
        <v>"%USERPROFILE%\Documents\GitHub\eaglep3\Utilities\RefineRTDCRunTimes.py" --tripid 141-03 --locoid 4018 --swversion DE.1.0.7.0 --startMP 204:482 --initTime 2016-10-03T08:44:24 --startdatetime 2016-10-03T08:46:51 --delay 1 --endMP 204:1065 --enddatetime 2016-10-03T08:47:17 --enforcementcount 0 &gt;&gt;C:\Users\stu\Documents\GitHub\eaglep3-reporting\EC\2016-10-03-refined-times.txt</v>
      </c>
      <c r="AI58" s="130" t="str">
        <f t="shared" si="17"/>
        <v>echo {"issue":{"subject":"DUS 4N STOP because 22N was also STOP","project_id":79,"tracker_id":40,"status_id":1,"priority_id":2,"assigned_to_id":23,"start_date":"2016-10-03","description":"","custom_fields":[{"id":1,"name":"Subdivision","value":"EC"},{"id":4,"name":"Milepost","value":"0.1065"},{"id":17,"name":"Train ID","value":"141-03"},{"id":16,"name":"Locomotive ID","value":"4018"},{"id":130,"name":"Impact","value":""},{"id":150,"name":"Time of Event (Mountain Time)","value":"08:47:17"},{"id":151,"name":"Denver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469</v>
      </c>
      <c r="B59" s="7">
        <v>4017</v>
      </c>
      <c r="C59" s="24" t="s">
        <v>106</v>
      </c>
      <c r="D59" s="24" t="s">
        <v>470</v>
      </c>
      <c r="E59" s="15">
        <v>42646.402650462966</v>
      </c>
      <c r="F59" s="15">
        <v>42646.403946759259</v>
      </c>
      <c r="G59" s="7">
        <v>1</v>
      </c>
      <c r="H59" s="15" t="s">
        <v>207</v>
      </c>
      <c r="I59" s="15">
        <v>42646.434942129628</v>
      </c>
      <c r="J59" s="7">
        <v>0</v>
      </c>
      <c r="K59" s="117" t="str">
        <f t="shared" si="30"/>
        <v>4017/4018</v>
      </c>
      <c r="L59" s="24" t="str">
        <f>VLOOKUP(A59,'Trips&amp;Operators'!$C$1:$E$10000,3,FALSE)</f>
        <v>KILLION</v>
      </c>
      <c r="M59" s="6">
        <f t="shared" si="31"/>
        <v>3.0995370369055308E-2</v>
      </c>
      <c r="N59" s="7">
        <f>24*60*SUM($M59:$M59)</f>
        <v>44.633333331439644</v>
      </c>
      <c r="O59" s="7"/>
      <c r="P59" s="7"/>
      <c r="Q59" s="25"/>
      <c r="R59" s="25"/>
      <c r="S59" s="37">
        <f t="shared" ref="S59:S90" si="44">SUM(U59:U59)/IF(AG59="EC",12,1)</f>
        <v>1</v>
      </c>
      <c r="T59" s="52" t="str">
        <f t="shared" si="32"/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08:39:49-0600',mode:absolute,to:'2016-10-03 11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9" s="54" t="str">
        <f t="shared" si="33"/>
        <v>N</v>
      </c>
      <c r="X59" s="164">
        <f>VALUE(LEFT(AD59,4))-VALUE(LEFT(AD58,4))</f>
        <v>1</v>
      </c>
      <c r="Y59" s="69">
        <f t="shared" si="34"/>
        <v>23.2989</v>
      </c>
      <c r="Z59" s="69">
        <f t="shared" si="29"/>
        <v>1.52E-2</v>
      </c>
      <c r="AA59" s="69">
        <f t="shared" si="35"/>
        <v>23.2837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36"/>
        <v>0142-03</v>
      </c>
      <c r="AE59" s="95" t="str">
        <f t="shared" si="37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59" s="92" t="str">
        <f t="shared" si="38"/>
        <v>"C:\Program Files (x86)\AstroGrep\AstroGrep.exe" /spath="%USERPROFILE%\AppData\Local\Temp\OnboardLogs" /stypes="app*4017*20161003*" /stext=" 16:.+((SYSTEM_STATE.+slice.+state.+changed )|(ment ac)|(system.+state.+changed )|(\[timeout)|(PRM\|1\|D)|(kpr)|(kdp)|(\|lc)|(penalty))" /e /r /s</v>
      </c>
      <c r="AG59" s="1" t="str">
        <f t="shared" si="39"/>
        <v>EC</v>
      </c>
      <c r="AH59" s="96" t="str">
        <f t="shared" si="16"/>
        <v>"%USERPROFILE%\Documents\GitHub\eaglep3\Utilities\RefineRTDCRunTimes.py" --tripid 142-03 --locoid 4017 --swversion DE.1.0.7.0 --startMP 204:232989 --initTime 2016-10-03T09:39:49 --startdatetime 2016-10-03T09:41:41 --delay 1 --endMP 204:152 --enddatetime 2016-10-03T10:26:19 --enforcementcount 0 &gt;&gt;C:\Users\stu\Documents\GitHub\eaglep3-reporting\EC\2016-10-03-refined-times.txt</v>
      </c>
      <c r="AI59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{"issue":{"subject":"","project_id":79,"tracker_id":40,"status_id":1,"priority_id":2,"assigned_to_id":23,"start_date":"2016-10-03","description":"","custom_fields":[{"id":1,"name":"Subdivision","value":"EC"},{"id":4,"name":"Milepost","value":"0.0152"},{"id":17,"name":"Train ID","value":"142-03"},{"id":16,"name":"Locomotive ID","value":"4017"},{"id":130,"name":"Impact","value":""},{"id":150,"name":"Time of Event (Mountain Time)","value":"10:26:19"},{"id":151,"name":"Denver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471</v>
      </c>
      <c r="B60" s="7">
        <v>4029</v>
      </c>
      <c r="C60" s="24" t="s">
        <v>106</v>
      </c>
      <c r="D60" s="24" t="s">
        <v>204</v>
      </c>
      <c r="E60" s="15">
        <v>42646.375138888892</v>
      </c>
      <c r="F60" s="15">
        <v>42646.376250000001</v>
      </c>
      <c r="G60" s="7">
        <v>1</v>
      </c>
      <c r="H60" s="15" t="s">
        <v>472</v>
      </c>
      <c r="I60" s="15">
        <v>42646.40388888889</v>
      </c>
      <c r="J60" s="7">
        <v>0</v>
      </c>
      <c r="K60" s="117" t="str">
        <f t="shared" si="30"/>
        <v>4029/4030</v>
      </c>
      <c r="L60" s="24" t="str">
        <f>VLOOKUP(A60,'Trips&amp;Operators'!$C$1:$E$10000,3,FALSE)</f>
        <v>MALAVE</v>
      </c>
      <c r="M60" s="6">
        <f t="shared" si="31"/>
        <v>2.7638888888759539E-2</v>
      </c>
      <c r="N60" s="7">
        <f>24*60*SUM($M60:$M60)</f>
        <v>39.799999999813735</v>
      </c>
      <c r="O60" s="7"/>
      <c r="P60" s="7"/>
      <c r="Q60" s="25"/>
      <c r="R60" s="25"/>
      <c r="S60" s="37">
        <f t="shared" si="44"/>
        <v>1</v>
      </c>
      <c r="T60" s="52" t="str">
        <f t="shared" si="32"/>
        <v>NorthBound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08:00:12-0600',mode:absolute,to:'2016-10-03 10:41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0" s="54" t="str">
        <f t="shared" si="33"/>
        <v>N</v>
      </c>
      <c r="X60" s="164">
        <f>VALUE(LEFT(AD60,4))-VALUE(LEFT(AD59,4))</f>
        <v>1</v>
      </c>
      <c r="Y60" s="69">
        <f t="shared" si="34"/>
        <v>4.53E-2</v>
      </c>
      <c r="Z60" s="69">
        <f t="shared" si="29"/>
        <v>23.326799999999999</v>
      </c>
      <c r="AA60" s="69">
        <f t="shared" si="35"/>
        <v>23.281499999999998</v>
      </c>
      <c r="AB60" s="66" t="str">
        <f>VLOOKUP(A60,Enforcements!$C$7:$K$21,8,0)</f>
        <v>Speed (6)</v>
      </c>
      <c r="AC60" s="62" t="str">
        <f>VLOOKUP(A60,Enforcements!$C$7:$E$21,3,0)</f>
        <v>PERMANENT SPEED RESTRICTION</v>
      </c>
      <c r="AD60" s="63" t="str">
        <f t="shared" si="36"/>
        <v>0143-03</v>
      </c>
      <c r="AE60" s="95" t="str">
        <f t="shared" si="37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60" s="92" t="str">
        <f t="shared" si="38"/>
        <v>"C:\Program Files (x86)\AstroGrep\AstroGrep.exe" /spath="%USERPROFILE%\AppData\Local\Temp\OnboardLogs" /stypes="app*4029*20161003*" /stext=" 15:.+((SYSTEM_STATE.+slice.+state.+changed )|(ment ac)|(system.+state.+changed )|(\[timeout)|(PRM\|1\|D)|(kpr)|(kdp)|(\|lc)|(penalty))" /e /r /s</v>
      </c>
      <c r="AG60" s="1" t="str">
        <f t="shared" si="39"/>
        <v>EC</v>
      </c>
      <c r="AH60" s="96" t="str">
        <f t="shared" si="16"/>
        <v>"%USERPROFILE%\Documents\GitHub\eaglep3\Utilities\RefineRTDCRunTimes.py" --tripid 143-03 --locoid 4029 --swversion DE.1.0.7.0 --startMP 204:453 --initTime 2016-10-03T09:00:12 --startdatetime 2016-10-03T09:01:48 --delay 1 --endMP 204:233268 --enddatetime 2016-10-03T09:41:36 --enforcementcount 0 &gt;&gt;C:\Users\stu\Documents\GitHub\eaglep3-reporting\EC\2016-10-03-refined-times.txt</v>
      </c>
      <c r="AI60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{"issue":{"subject":"","project_id":79,"tracker_id":40,"status_id":1,"priority_id":2,"assigned_to_id":23,"start_date":"2016-10-03","description":"","custom_fields":[{"id":1,"name":"Subdivision","value":"EC"},{"id":4,"name":"Milepost","value":"23.3268"},{"id":17,"name":"Train ID","value":"143-03"},{"id":16,"name":"Locomotive ID","value":"4029"},{"id":130,"name":"Impact","value":""},{"id":150,"name":"Time of Event (Mountain Time)","value":"09:41:36"},{"id":151,"name":"Denver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473</v>
      </c>
      <c r="B61" s="7">
        <v>4030</v>
      </c>
      <c r="C61" s="24" t="s">
        <v>106</v>
      </c>
      <c r="D61" s="24" t="s">
        <v>383</v>
      </c>
      <c r="E61" s="15">
        <v>42646.412037037036</v>
      </c>
      <c r="F61" s="15">
        <v>42646.414097222223</v>
      </c>
      <c r="G61" s="7">
        <v>2</v>
      </c>
      <c r="H61" s="15" t="s">
        <v>200</v>
      </c>
      <c r="I61" s="15">
        <v>42646.442326388889</v>
      </c>
      <c r="J61" s="7">
        <v>0</v>
      </c>
      <c r="K61" s="117" t="str">
        <f t="shared" si="30"/>
        <v>4029/4030</v>
      </c>
      <c r="L61" s="24" t="str">
        <f>VLOOKUP(A61,'Trips&amp;Operators'!$C$1:$E$10000,3,FALSE)</f>
        <v>MALAVE</v>
      </c>
      <c r="M61" s="6">
        <f t="shared" si="31"/>
        <v>2.8229166666278616E-2</v>
      </c>
      <c r="N61" s="7">
        <f>24*60*SUM($M61:$M61)</f>
        <v>40.649999999441206</v>
      </c>
      <c r="O61" s="7"/>
      <c r="P61" s="7"/>
      <c r="Q61" s="25"/>
      <c r="R61" s="25"/>
      <c r="S61" s="37">
        <f t="shared" si="44"/>
        <v>1</v>
      </c>
      <c r="T61" s="52" t="str">
        <f t="shared" si="32"/>
        <v>Southbound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08:53:20-0600',mode:absolute,to:'2016-10-03 11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1" s="54" t="str">
        <f t="shared" si="33"/>
        <v>N</v>
      </c>
      <c r="X61" s="164">
        <f>VALUE(LEFT(AD61,4))-VALUE(LEFT(AD60,4))</f>
        <v>1</v>
      </c>
      <c r="Y61" s="69">
        <f t="shared" si="34"/>
        <v>23.295500000000001</v>
      </c>
      <c r="Z61" s="69">
        <f t="shared" si="29"/>
        <v>1.6E-2</v>
      </c>
      <c r="AA61" s="69">
        <f t="shared" si="35"/>
        <v>23.279500000000002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36"/>
        <v>0144-03</v>
      </c>
      <c r="AE61" s="95" t="str">
        <f t="shared" si="37"/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AF61" s="92" t="str">
        <f t="shared" si="38"/>
        <v>"C:\Program Files (x86)\AstroGrep\AstroGrep.exe" /spath="%USERPROFILE%\AppData\Local\Temp\OnboardLogs" /stypes="app*4030*20161003*" /stext=" 16:.+((SYSTEM_STATE.+slice.+state.+changed )|(ment ac)|(system.+state.+changed )|(\[timeout)|(PRM\|1\|D)|(kpr)|(kdp)|(\|lc)|(penalty))" /e /r /s</v>
      </c>
      <c r="AG61" s="1" t="str">
        <f t="shared" si="39"/>
        <v>EC</v>
      </c>
      <c r="AH61" s="96" t="str">
        <f t="shared" si="16"/>
        <v>"%USERPROFILE%\Documents\GitHub\eaglep3\Utilities\RefineRTDCRunTimes.py" --tripid 144-03 --locoid 4030 --swversion DE.1.0.7.0 --startMP 204:232955 --initTime 2016-10-03T09:53:20 --startdatetime 2016-10-03T09:56:18 --delay 2 --endMP 204:160 --enddatetime 2016-10-03T10:36:57 --enforcementcount 0 &gt;&gt;C:\Users\stu\Documents\GitHub\eaglep3-reporting\EC\2016-10-03-refined-times.txt</v>
      </c>
      <c r="AI61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{"issue":{"subject":"","project_id":79,"tracker_id":40,"status_id":1,"priority_id":2,"assigned_to_id":23,"start_date":"2016-10-03","description":"","custom_fields":[{"id":1,"name":"Subdivision","value":"EC"},{"id":4,"name":"Milepost","value":"0.016"},{"id":17,"name":"Train ID","value":"144-03"},{"id":16,"name":"Locomotive ID","value":"4030"},{"id":130,"name":"Impact","value":""},{"id":150,"name":"Time of Event (Mountain Time)","value":"10:36:57"},{"id":151,"name":"Denver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474</v>
      </c>
      <c r="B62" s="7">
        <v>4025</v>
      </c>
      <c r="C62" s="24" t="s">
        <v>106</v>
      </c>
      <c r="D62" s="24" t="s">
        <v>243</v>
      </c>
      <c r="E62" s="15">
        <v>42646.384375000001</v>
      </c>
      <c r="F62" s="15">
        <v>42646.386412037034</v>
      </c>
      <c r="G62" s="7">
        <v>1</v>
      </c>
      <c r="H62" s="15" t="s">
        <v>366</v>
      </c>
      <c r="I62" s="15">
        <v>42646.417430555557</v>
      </c>
      <c r="J62" s="7">
        <v>0</v>
      </c>
      <c r="K62" s="117" t="str">
        <f t="shared" si="30"/>
        <v>4025/4026</v>
      </c>
      <c r="L62" s="24" t="str">
        <f>VLOOKUP(A62,'Trips&amp;Operators'!$C$1:$E$10000,3,FALSE)</f>
        <v>ACKERMAN</v>
      </c>
      <c r="M62" s="6">
        <f t="shared" si="31"/>
        <v>3.1018518522614613E-2</v>
      </c>
      <c r="N62" s="7">
        <f>24*60*SUM($M62:$M62)</f>
        <v>44.666666672565043</v>
      </c>
      <c r="O62" s="7"/>
      <c r="P62" s="7"/>
      <c r="Q62" s="25"/>
      <c r="R62" s="25"/>
      <c r="S62" s="37">
        <f t="shared" si="44"/>
        <v>1</v>
      </c>
      <c r="T62" s="52" t="str">
        <f t="shared" si="32"/>
        <v>NorthBound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08:13:30-0600',mode:absolute,to:'2016-10-03 11:01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2" s="54" t="str">
        <f t="shared" si="33"/>
        <v>N</v>
      </c>
      <c r="X62" s="164">
        <f>VALUE(LEFT(AD62,4))-VALUE(LEFT(AD61,4))</f>
        <v>1</v>
      </c>
      <c r="Y62" s="69">
        <f t="shared" si="34"/>
        <v>4.4400000000000002E-2</v>
      </c>
      <c r="Z62" s="69">
        <f t="shared" si="29"/>
        <v>23.330400000000001</v>
      </c>
      <c r="AA62" s="69">
        <f t="shared" si="35"/>
        <v>23.286000000000001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36"/>
        <v>0145-03</v>
      </c>
      <c r="AE62" s="95" t="str">
        <f t="shared" si="37"/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62" s="92" t="str">
        <f t="shared" si="38"/>
        <v>"C:\Program Files (x86)\AstroGrep\AstroGrep.exe" /spath="%USERPROFILE%\AppData\Local\Temp\OnboardLogs" /stypes="app*4025*20161003*" /stext=" 16:.+((SYSTEM_STATE.+slice.+state.+changed )|(ment ac)|(system.+state.+changed )|(\[timeout)|(PRM\|1\|D)|(kpr)|(kdp)|(\|lc)|(penalty))" /e /r /s</v>
      </c>
      <c r="AG62" s="1" t="str">
        <f t="shared" si="39"/>
        <v>EC</v>
      </c>
      <c r="AH62" s="96" t="str">
        <f t="shared" si="16"/>
        <v>"%USERPROFILE%\Documents\GitHub\eaglep3\Utilities\RefineRTDCRunTimes.py" --tripid 145-03 --locoid 4025 --swversion DE.1.0.7.0 --startMP 204:444 --initTime 2016-10-03T09:13:30 --startdatetime 2016-10-03T09:16:26 --delay 1 --endMP 204:233304 --enddatetime 2016-10-03T10:01:06 --enforcementcount 0 &gt;&gt;C:\Users\stu\Documents\GitHub\eaglep3-reporting\EC\2016-10-03-refined-times.txt</v>
      </c>
      <c r="AI62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{"issue":{"subject":"","project_id":79,"tracker_id":40,"status_id":1,"priority_id":2,"assigned_to_id":23,"start_date":"2016-10-03","description":"","custom_fields":[{"id":1,"name":"Subdivision","value":"EC"},{"id":4,"name":"Milepost","value":"23.3304"},{"id":17,"name":"Train ID","value":"145-03"},{"id":16,"name":"Locomotive ID","value":"4025"},{"id":130,"name":"Impact","value":""},{"id":150,"name":"Time of Event (Mountain Time)","value":"10:01:06"},{"id":151,"name":"Denver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475</v>
      </c>
      <c r="B63" s="7">
        <v>4026</v>
      </c>
      <c r="C63" s="24" t="s">
        <v>106</v>
      </c>
      <c r="D63" s="24" t="s">
        <v>476</v>
      </c>
      <c r="E63" s="15">
        <v>42646.433333333334</v>
      </c>
      <c r="F63" s="15">
        <v>42646.435243055559</v>
      </c>
      <c r="G63" s="7">
        <v>2</v>
      </c>
      <c r="H63" s="15" t="s">
        <v>234</v>
      </c>
      <c r="I63" s="15">
        <v>42646.458194444444</v>
      </c>
      <c r="J63" s="7">
        <v>0</v>
      </c>
      <c r="K63" s="117" t="str">
        <f t="shared" si="30"/>
        <v>4025/4026</v>
      </c>
      <c r="L63" s="24" t="str">
        <f>VLOOKUP(A63,'Trips&amp;Operators'!$C$1:$E$10000,3,FALSE)</f>
        <v>ACKERMAN</v>
      </c>
      <c r="M63" s="6">
        <f t="shared" si="31"/>
        <v>2.2951388884393964E-2</v>
      </c>
      <c r="N63" s="7"/>
      <c r="O63" s="7"/>
      <c r="P63" s="7">
        <f>24*60*SUM($M63:$M63)</f>
        <v>33.049999993527308</v>
      </c>
      <c r="Q63" s="7"/>
      <c r="R63" s="25" t="s">
        <v>401</v>
      </c>
      <c r="S63" s="37">
        <f t="shared" si="44"/>
        <v>1</v>
      </c>
      <c r="T63" s="52" t="str">
        <f t="shared" si="32"/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09:24:00-0600',mode:absolute,to:'2016-10-03 11:59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3" s="54" t="str">
        <f t="shared" si="33"/>
        <v>Y</v>
      </c>
      <c r="X63" s="164">
        <f t="shared" ref="X63:X66" si="45">VALUE(LEFT(AD63,4))-VALUE(LEFT(AD62,4))</f>
        <v>1</v>
      </c>
      <c r="Y63" s="69">
        <f t="shared" si="34"/>
        <v>15.3977</v>
      </c>
      <c r="Z63" s="69">
        <f t="shared" si="29"/>
        <v>1.43E-2</v>
      </c>
      <c r="AA63" s="69">
        <f t="shared" si="35"/>
        <v>15.3834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36"/>
        <v>0146-03</v>
      </c>
      <c r="AE63" s="95" t="str">
        <f t="shared" si="37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63" s="92" t="str">
        <f t="shared" si="38"/>
        <v>"C:\Program Files (x86)\AstroGrep\AstroGrep.exe" /spath="%USERPROFILE%\AppData\Local\Temp\OnboardLogs" /stypes="app*4026*20161003*" /stext=" 16:.+((SYSTEM_STATE.+slice.+state.+changed )|(ment ac)|(system.+state.+changed )|(\[timeout)|(PRM\|1\|D)|(kpr)|(kdp)|(\|lc)|(penalty))" /e /r /s</v>
      </c>
      <c r="AG63" s="1" t="str">
        <f t="shared" si="39"/>
        <v>EC</v>
      </c>
      <c r="AH63" s="96" t="str">
        <f t="shared" si="16"/>
        <v>"%USERPROFILE%\Documents\GitHub\eaglep3\Utilities\RefineRTDCRunTimes.py" --tripid 146-03 --locoid 4026 --swversion DE.1.0.7.0 --startMP 204:153977 --initTime 2016-10-03T10:24:00 --startdatetime 2016-10-03T10:26:45 --delay 2 --endMP 204:143 --enddatetime 2016-10-03T10:59:48 --enforcementcount 0 &gt;&gt;C:\Users\stu\Documents\GitHub\eaglep3-reporting\EC\2016-10-03-refined-times.txt</v>
      </c>
      <c r="AI63" s="130" t="str">
        <f t="shared" si="17"/>
        <v>echo {"issue":{"subject":"Onboard in-route failure","project_id":79,"tracker_id":40,"status_id":1,"priority_id":2,"assigned_to_id":23,"start_date":"2016-10-03","description":"Multiple CPU faults at 10:09:06","custom_fields":[{"id":1,"name":"Subdivision","value":"EC"},{"id":4,"name":"Milepost","value":"0.0143"},{"id":17,"name":"Train ID","value":"146-03"},{"id":16,"name":"Locomotive ID","value":"4026"},{"id":130,"name":"Impact","value":"Failed State"},{"id":150,"name":"Time of Event (Mountain Time)","value":"10:59:48"},{"id":151,"name":"Denver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3" s="55" t="s">
        <v>741</v>
      </c>
      <c r="AK63" s="55" t="s">
        <v>138</v>
      </c>
      <c r="AL63" s="55" t="s">
        <v>216</v>
      </c>
    </row>
    <row r="64" spans="1:38" s="1" customFormat="1" x14ac:dyDescent="0.25">
      <c r="A64" s="39" t="s">
        <v>477</v>
      </c>
      <c r="B64" s="7">
        <v>4046</v>
      </c>
      <c r="C64" s="24" t="s">
        <v>106</v>
      </c>
      <c r="D64" s="24" t="s">
        <v>201</v>
      </c>
      <c r="E64" s="15">
        <v>42646.394328703704</v>
      </c>
      <c r="F64" s="15">
        <v>42646.396006944444</v>
      </c>
      <c r="G64" s="7">
        <v>1</v>
      </c>
      <c r="H64" s="15" t="s">
        <v>478</v>
      </c>
      <c r="I64" s="15">
        <v>42646.426712962966</v>
      </c>
      <c r="J64" s="7">
        <v>0</v>
      </c>
      <c r="K64" s="117" t="str">
        <f t="shared" si="30"/>
        <v>4045/4046</v>
      </c>
      <c r="L64" s="24" t="str">
        <f>VLOOKUP(A64,'Trips&amp;Operators'!$C$1:$E$10000,3,FALSE)</f>
        <v>BRANNON</v>
      </c>
      <c r="M64" s="6">
        <f t="shared" si="31"/>
        <v>3.0706018522323575E-2</v>
      </c>
      <c r="N64" s="7">
        <f t="shared" ref="N64:N108" si="46">24*60*SUM($M64:$M64)</f>
        <v>44.216666672145948</v>
      </c>
      <c r="O64" s="7"/>
      <c r="P64" s="7"/>
      <c r="Q64" s="25"/>
      <c r="R64" s="25"/>
      <c r="S64" s="37">
        <f t="shared" si="44"/>
        <v>1</v>
      </c>
      <c r="T64" s="52" t="str">
        <f t="shared" si="32"/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08:27:50-0600',mode:absolute,to:'2016-10-03 11:14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4" s="54" t="str">
        <f t="shared" si="33"/>
        <v>N</v>
      </c>
      <c r="X64" s="164">
        <f t="shared" si="45"/>
        <v>1</v>
      </c>
      <c r="Y64" s="69">
        <f t="shared" si="34"/>
        <v>4.7100000000000003E-2</v>
      </c>
      <c r="Z64" s="69">
        <f t="shared" si="29"/>
        <v>23.331600000000002</v>
      </c>
      <c r="AA64" s="69">
        <f t="shared" si="35"/>
        <v>23.284500000000001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36"/>
        <v>0147-03</v>
      </c>
      <c r="AE64" s="95" t="str">
        <f t="shared" si="37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64" s="92" t="str">
        <f t="shared" si="38"/>
        <v>"C:\Program Files (x86)\AstroGrep\AstroGrep.exe" /spath="%USERPROFILE%\AppData\Local\Temp\OnboardLogs" /stypes="app*4046*20161003*" /stext=" 16:.+((SYSTEM_STATE.+slice.+state.+changed )|(ment ac)|(system.+state.+changed )|(\[timeout)|(PRM\|1\|D)|(kpr)|(kdp)|(\|lc)|(penalty))" /e /r /s</v>
      </c>
      <c r="AG64" s="1" t="str">
        <f t="shared" si="39"/>
        <v>EC</v>
      </c>
      <c r="AH64" s="96" t="str">
        <f t="shared" si="16"/>
        <v>"%USERPROFILE%\Documents\GitHub\eaglep3\Utilities\RefineRTDCRunTimes.py" --tripid 147-03 --locoid 4046 --swversion DE.1.0.7.0 --startMP 204:471 --initTime 2016-10-03T09:27:50 --startdatetime 2016-10-03T09:30:15 --delay 1 --endMP 204:233316 --enddatetime 2016-10-03T10:14:28 --enforcementcount 0 &gt;&gt;C:\Users\stu\Documents\GitHub\eaglep3-reporting\EC\2016-10-03-refined-times.txt</v>
      </c>
      <c r="AI64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{"issue":{"subject":"","project_id":79,"tracker_id":40,"status_id":1,"priority_id":2,"assigned_to_id":23,"start_date":"2016-10-03","description":"","custom_fields":[{"id":1,"name":"Subdivision","value":"EC"},{"id":4,"name":"Milepost","value":"23.3316"},{"id":17,"name":"Train ID","value":"147-03"},{"id":16,"name":"Locomotive ID","value":"4046"},{"id":130,"name":"Impact","value":""},{"id":150,"name":"Time of Event (Mountain Time)","value":"10:14:28"},{"id":151,"name":"Denver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479</v>
      </c>
      <c r="B65" s="7">
        <v>4045</v>
      </c>
      <c r="C65" s="24" t="s">
        <v>106</v>
      </c>
      <c r="D65" s="24" t="s">
        <v>267</v>
      </c>
      <c r="E65" s="15">
        <v>42646.431319444448</v>
      </c>
      <c r="F65" s="15">
        <v>42646.435034722221</v>
      </c>
      <c r="G65" s="7">
        <v>1</v>
      </c>
      <c r="H65" s="15" t="s">
        <v>202</v>
      </c>
      <c r="I65" s="15">
        <v>42646.465300925927</v>
      </c>
      <c r="J65" s="7">
        <v>0</v>
      </c>
      <c r="K65" s="117" t="str">
        <f t="shared" si="30"/>
        <v>4045/4046</v>
      </c>
      <c r="L65" s="24" t="str">
        <f>VLOOKUP(A65,'Trips&amp;Operators'!$C$1:$E$10000,3,FALSE)</f>
        <v>BRANNON</v>
      </c>
      <c r="M65" s="6">
        <f t="shared" si="31"/>
        <v>3.0266203706560191E-2</v>
      </c>
      <c r="N65" s="7">
        <f t="shared" si="46"/>
        <v>43.583333337446675</v>
      </c>
      <c r="O65" s="7"/>
      <c r="P65" s="7"/>
      <c r="Q65" s="25"/>
      <c r="R65" s="25"/>
      <c r="S65" s="37">
        <f t="shared" si="44"/>
        <v>1</v>
      </c>
      <c r="T65" s="52" t="str">
        <f t="shared" si="32"/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09:21:06-0600',mode:absolute,to:'2016-10-03 12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5" s="54" t="str">
        <f t="shared" si="33"/>
        <v>N</v>
      </c>
      <c r="X65" s="164">
        <f t="shared" si="45"/>
        <v>1</v>
      </c>
      <c r="Y65" s="69">
        <f t="shared" si="34"/>
        <v>23.298999999999999</v>
      </c>
      <c r="Z65" s="69">
        <f t="shared" si="29"/>
        <v>1.5800000000000002E-2</v>
      </c>
      <c r="AA65" s="69">
        <f t="shared" si="35"/>
        <v>23.283200000000001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36"/>
        <v>0148-03</v>
      </c>
      <c r="AE65" s="95" t="str">
        <f t="shared" si="37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65" s="92" t="str">
        <f t="shared" si="38"/>
        <v>"C:\Program Files (x86)\AstroGrep\AstroGrep.exe" /spath="%USERPROFILE%\AppData\Local\Temp\OnboardLogs" /stypes="app*4045*20161003*" /stext=" 17:.+((SYSTEM_STATE.+slice.+state.+changed )|(ment ac)|(system.+state.+changed )|(\[timeout)|(PRM\|1\|D)|(kpr)|(kdp)|(\|lc)|(penalty))" /e /r /s</v>
      </c>
      <c r="AG65" s="1" t="str">
        <f t="shared" si="39"/>
        <v>EC</v>
      </c>
      <c r="AH65" s="96" t="str">
        <f t="shared" si="16"/>
        <v>"%USERPROFILE%\Documents\GitHub\eaglep3\Utilities\RefineRTDCRunTimes.py" --tripid 148-03 --locoid 4045 --swversion DE.1.0.7.0 --startMP 204:232990 --initTime 2016-10-03T10:21:06 --startdatetime 2016-10-03T10:26:27 --delay 1 --endMP 204:158 --enddatetime 2016-10-03T11:10:02 --enforcementcount 0 &gt;&gt;C:\Users\stu\Documents\GitHub\eaglep3-reporting\EC\2016-10-03-refined-times.txt</v>
      </c>
      <c r="AI65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{"issue":{"subject":"","project_id":79,"tracker_id":40,"status_id":1,"priority_id":2,"assigned_to_id":23,"start_date":"2016-10-03","description":"","custom_fields":[{"id":1,"name":"Subdivision","value":"EC"},{"id":4,"name":"Milepost","value":"0.0158"},{"id":17,"name":"Train ID","value":"148-03"},{"id":16,"name":"Locomotive ID","value":"4045"},{"id":130,"name":"Impact","value":""},{"id":150,"name":"Time of Event (Mountain Time)","value":"11:10:02"},{"id":151,"name":"Denver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480</v>
      </c>
      <c r="B66" s="7">
        <v>4002</v>
      </c>
      <c r="C66" s="24" t="s">
        <v>106</v>
      </c>
      <c r="D66" s="24" t="s">
        <v>346</v>
      </c>
      <c r="E66" s="15">
        <v>42646.404583333337</v>
      </c>
      <c r="F66" s="15">
        <v>42646.4065625</v>
      </c>
      <c r="G66" s="7">
        <v>1</v>
      </c>
      <c r="H66" s="15" t="s">
        <v>481</v>
      </c>
      <c r="I66" s="15">
        <v>42646.433194444442</v>
      </c>
      <c r="J66" s="7">
        <v>0</v>
      </c>
      <c r="K66" s="117" t="str">
        <f t="shared" si="30"/>
        <v>4001/4002</v>
      </c>
      <c r="L66" s="24" t="str">
        <f>VLOOKUP(A66,'Trips&amp;Operators'!$C$1:$E$10000,3,FALSE)</f>
        <v>SPECTOR</v>
      </c>
      <c r="M66" s="6">
        <f t="shared" si="31"/>
        <v>2.6631944441760425E-2</v>
      </c>
      <c r="N66" s="7">
        <f t="shared" si="46"/>
        <v>38.349999996135011</v>
      </c>
      <c r="O66" s="7"/>
      <c r="P66" s="7"/>
      <c r="Q66" s="25"/>
      <c r="R66" s="25"/>
      <c r="S66" s="37">
        <f t="shared" si="44"/>
        <v>1</v>
      </c>
      <c r="T66" s="52" t="str">
        <f t="shared" si="32"/>
        <v>NorthBound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08:42:36-0600',mode:absolute,to:'2016-10-03 11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6" s="54" t="str">
        <f t="shared" si="33"/>
        <v>N</v>
      </c>
      <c r="X66" s="164">
        <f t="shared" si="45"/>
        <v>1</v>
      </c>
      <c r="Y66" s="69">
        <f t="shared" si="34"/>
        <v>4.4699999999999997E-2</v>
      </c>
      <c r="Z66" s="69">
        <f t="shared" si="29"/>
        <v>23.3323</v>
      </c>
      <c r="AA66" s="69">
        <f t="shared" si="35"/>
        <v>23.287600000000001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36"/>
        <v>0149-03</v>
      </c>
      <c r="AE66" s="95" t="str">
        <f t="shared" si="37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66" s="92" t="str">
        <f t="shared" si="38"/>
        <v>"C:\Program Files (x86)\AstroGrep\AstroGrep.exe" /spath="%USERPROFILE%\AppData\Local\Temp\OnboardLogs" /stypes="app*4002*20161003*" /stext=" 16:.+((SYSTEM_STATE.+slice.+state.+changed )|(ment ac)|(system.+state.+changed )|(\[timeout)|(PRM\|1\|D)|(kpr)|(kdp)|(\|lc)|(penalty))" /e /r /s</v>
      </c>
      <c r="AG66" s="1" t="str">
        <f t="shared" si="39"/>
        <v>EC</v>
      </c>
      <c r="AH66" s="96" t="str">
        <f t="shared" si="16"/>
        <v>"%USERPROFILE%\Documents\GitHub\eaglep3\Utilities\RefineRTDCRunTimes.py" --tripid 149-03 --locoid 4002 --swversion DE.1.0.7.0 --startMP 204:447 --initTime 2016-10-03T09:42:36 --startdatetime 2016-10-03T09:45:27 --delay 1 --endMP 204:233323 --enddatetime 2016-10-03T10:23:48 --enforcementcount 0 &gt;&gt;C:\Users\stu\Documents\GitHub\eaglep3-reporting\EC\2016-10-03-refined-times.txt</v>
      </c>
      <c r="AI66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{"issue":{"subject":"","project_id":79,"tracker_id":40,"status_id":1,"priority_id":2,"assigned_to_id":23,"start_date":"2016-10-03","description":"","custom_fields":[{"id":1,"name":"Subdivision","value":"EC"},{"id":4,"name":"Milepost","value":"23.3323"},{"id":17,"name":"Train ID","value":"149-03"},{"id":16,"name":"Locomotive ID","value":"4002"},{"id":130,"name":"Impact","value":""},{"id":150,"name":"Time of Event (Mountain Time)","value":"10:23:48"},{"id":151,"name":"Denver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482</v>
      </c>
      <c r="B67" s="7">
        <v>4001</v>
      </c>
      <c r="C67" s="24" t="s">
        <v>106</v>
      </c>
      <c r="D67" s="24" t="s">
        <v>343</v>
      </c>
      <c r="E67" s="15">
        <v>42646.440046296295</v>
      </c>
      <c r="F67" s="15">
        <v>42646.445393518516</v>
      </c>
      <c r="G67" s="7">
        <v>1</v>
      </c>
      <c r="H67" s="15" t="s">
        <v>289</v>
      </c>
      <c r="I67" s="15">
        <v>42646.474988425929</v>
      </c>
      <c r="J67" s="7">
        <v>0</v>
      </c>
      <c r="K67" s="117" t="str">
        <f t="shared" si="30"/>
        <v>4001/4002</v>
      </c>
      <c r="L67" s="24" t="str">
        <f>VLOOKUP(A67,'Trips&amp;Operators'!$C$1:$E$10000,3,FALSE)</f>
        <v>SPECTOR</v>
      </c>
      <c r="M67" s="6">
        <f t="shared" si="31"/>
        <v>2.959490741341142E-2</v>
      </c>
      <c r="N67" s="7">
        <f t="shared" si="46"/>
        <v>42.616666675312445</v>
      </c>
      <c r="O67" s="7"/>
      <c r="P67" s="7"/>
      <c r="Q67" s="25"/>
      <c r="R67" s="25"/>
      <c r="S67" s="37">
        <f t="shared" si="44"/>
        <v>1</v>
      </c>
      <c r="T67" s="52" t="str">
        <f t="shared" si="32"/>
        <v>Southbound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09:33:40-0600',mode:absolute,to:'2016-10-03 12:23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7" s="54" t="str">
        <f t="shared" si="33"/>
        <v>N</v>
      </c>
      <c r="X67" s="164">
        <f t="shared" ref="X67:X107" si="47">VALUE(LEFT(AD67,4))-VALUE(LEFT(AD66,4))</f>
        <v>1</v>
      </c>
      <c r="Y67" s="69">
        <f t="shared" si="34"/>
        <v>23.300599999999999</v>
      </c>
      <c r="Z67" s="69">
        <f t="shared" si="29"/>
        <v>1.3599999999999999E-2</v>
      </c>
      <c r="AA67" s="69">
        <f t="shared" si="35"/>
        <v>23.286999999999999</v>
      </c>
      <c r="AB67" s="66" t="str">
        <f>VLOOKUP(A67,Enforcements!$C$7:$K$21,8,0)</f>
        <v>Bulletin (2)</v>
      </c>
      <c r="AC67" s="62" t="str">
        <f>VLOOKUP(A67,Enforcements!$C$7:$E$21,3,0)</f>
        <v>GRADE CROSSING</v>
      </c>
      <c r="AD67" s="63" t="str">
        <f t="shared" si="36"/>
        <v>0150-03</v>
      </c>
      <c r="AE67" s="95" t="str">
        <f t="shared" si="37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67" s="92" t="str">
        <f t="shared" si="38"/>
        <v>"C:\Program Files (x86)\AstroGrep\AstroGrep.exe" /spath="%USERPROFILE%\AppData\Local\Temp\OnboardLogs" /stypes="app*4001*20161003*" /stext=" 17:.+((SYSTEM_STATE.+slice.+state.+changed )|(ment ac)|(system.+state.+changed )|(\[timeout)|(PRM\|1\|D)|(kpr)|(kdp)|(\|lc)|(penalty))" /e /r /s</v>
      </c>
      <c r="AG67" s="1" t="str">
        <f t="shared" si="39"/>
        <v>EC</v>
      </c>
      <c r="AH67" s="96" t="str">
        <f t="shared" si="16"/>
        <v>"%USERPROFILE%\Documents\GitHub\eaglep3\Utilities\RefineRTDCRunTimes.py" --tripid 150-03 --locoid 4001 --swversion DE.1.0.7.0 --startMP 204:233006 --initTime 2016-10-03T10:33:40 --startdatetime 2016-10-03T10:41:22 --delay 1 --endMP 204:136 --enddatetime 2016-10-03T11:23:59 --enforcementcount 0 &gt;&gt;C:\Users\stu\Documents\GitHub\eaglep3-reporting\EC\2016-10-03-refined-times.txt</v>
      </c>
      <c r="AI67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{"issue":{"subject":"","project_id":79,"tracker_id":40,"status_id":1,"priority_id":2,"assigned_to_id":23,"start_date":"2016-10-03","description":"","custom_fields":[{"id":1,"name":"Subdivision","value":"EC"},{"id":4,"name":"Milepost","value":"0.0136"},{"id":17,"name":"Train ID","value":"150-03"},{"id":16,"name":"Locomotive ID","value":"4001"},{"id":130,"name":"Impact","value":""},{"id":150,"name":"Time of Event (Mountain Time)","value":"11:23:59"},{"id":151,"name":"Denver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483</v>
      </c>
      <c r="B68" s="7">
        <v>4003</v>
      </c>
      <c r="C68" s="24" t="s">
        <v>106</v>
      </c>
      <c r="D68" s="24" t="s">
        <v>268</v>
      </c>
      <c r="E68" s="15">
        <v>42646.414849537039</v>
      </c>
      <c r="F68" s="15">
        <v>42646.417731481481</v>
      </c>
      <c r="G68" s="7">
        <v>1</v>
      </c>
      <c r="H68" s="15" t="s">
        <v>285</v>
      </c>
      <c r="I68" s="15">
        <v>42646.442349537036</v>
      </c>
      <c r="J68" s="7">
        <v>0</v>
      </c>
      <c r="K68" s="117" t="str">
        <f t="shared" si="30"/>
        <v>4003/4004</v>
      </c>
      <c r="L68" s="24" t="str">
        <f>VLOOKUP(A68,'Trips&amp;Operators'!$C$1:$E$10000,3,FALSE)</f>
        <v>YORK</v>
      </c>
      <c r="M68" s="6">
        <f t="shared" si="31"/>
        <v>2.4618055555038154E-2</v>
      </c>
      <c r="N68" s="7">
        <f t="shared" si="46"/>
        <v>35.449999999254942</v>
      </c>
      <c r="O68" s="7"/>
      <c r="P68" s="7"/>
      <c r="Q68" s="25"/>
      <c r="R68" s="25"/>
      <c r="S68" s="37">
        <f t="shared" si="44"/>
        <v>1</v>
      </c>
      <c r="T68" s="52" t="str">
        <f t="shared" si="32"/>
        <v>NorthBound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08:57:23-0600',mode:absolute,to:'2016-10-03 11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8" s="54" t="str">
        <f t="shared" si="33"/>
        <v>N</v>
      </c>
      <c r="X68" s="164">
        <f t="shared" si="47"/>
        <v>1</v>
      </c>
      <c r="Y68" s="69">
        <f t="shared" si="34"/>
        <v>4.7699999999999999E-2</v>
      </c>
      <c r="Z68" s="69">
        <f t="shared" si="29"/>
        <v>23.328399999999998</v>
      </c>
      <c r="AA68" s="69">
        <f t="shared" si="35"/>
        <v>23.2807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36"/>
        <v>0151-03</v>
      </c>
      <c r="AE68" s="95" t="str">
        <f t="shared" si="37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68" s="92" t="str">
        <f t="shared" si="38"/>
        <v>"C:\Program Files (x86)\AstroGrep\AstroGrep.exe" /spath="%USERPROFILE%\AppData\Local\Temp\OnboardLogs" /stypes="app*4003*20161003*" /stext=" 16:.+((SYSTEM_STATE.+slice.+state.+changed )|(ment ac)|(system.+state.+changed )|(\[timeout)|(PRM\|1\|D)|(kpr)|(kdp)|(\|lc)|(penalty))" /e /r /s</v>
      </c>
      <c r="AG68" s="1" t="str">
        <f t="shared" si="39"/>
        <v>EC</v>
      </c>
      <c r="AH68" s="96" t="str">
        <f t="shared" si="16"/>
        <v>"%USERPROFILE%\Documents\GitHub\eaglep3\Utilities\RefineRTDCRunTimes.py" --tripid 151-03 --locoid 4003 --swversion DE.1.0.7.0 --startMP 204:477 --initTime 2016-10-03T09:57:23 --startdatetime 2016-10-03T10:01:32 --delay 1 --endMP 204:233284 --enddatetime 2016-10-03T10:36:59 --enforcementcount 0 &gt;&gt;C:\Users\stu\Documents\GitHub\eaglep3-reporting\EC\2016-10-03-refined-times.txt</v>
      </c>
      <c r="AI68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{"issue":{"subject":"","project_id":79,"tracker_id":40,"status_id":1,"priority_id":2,"assigned_to_id":23,"start_date":"2016-10-03","description":"","custom_fields":[{"id":1,"name":"Subdivision","value":"EC"},{"id":4,"name":"Milepost","value":"23.3284"},{"id":17,"name":"Train ID","value":"151-03"},{"id":16,"name":"Locomotive ID","value":"4003"},{"id":130,"name":"Impact","value":""},{"id":150,"name":"Time of Event (Mountain Time)","value":"10:36:59"},{"id":151,"name":"Denver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484</v>
      </c>
      <c r="B69" s="7">
        <v>4004</v>
      </c>
      <c r="C69" s="24" t="s">
        <v>106</v>
      </c>
      <c r="D69" s="24" t="s">
        <v>444</v>
      </c>
      <c r="E69" s="15">
        <v>42646.443645833337</v>
      </c>
      <c r="F69" s="15">
        <v>42646.45616898148</v>
      </c>
      <c r="G69" s="7">
        <v>0</v>
      </c>
      <c r="H69" s="15" t="s">
        <v>440</v>
      </c>
      <c r="I69" s="15">
        <v>42646.487187500003</v>
      </c>
      <c r="J69" s="7">
        <v>0</v>
      </c>
      <c r="K69" s="117" t="str">
        <f t="shared" si="30"/>
        <v>4003/4004</v>
      </c>
      <c r="L69" s="24" t="str">
        <f>VLOOKUP(A69,'Trips&amp;Operators'!$C$1:$E$10000,3,FALSE)</f>
        <v>YORK</v>
      </c>
      <c r="M69" s="6">
        <f t="shared" si="31"/>
        <v>3.1018518522614613E-2</v>
      </c>
      <c r="N69" s="7">
        <f t="shared" si="46"/>
        <v>44.666666672565043</v>
      </c>
      <c r="O69" s="7"/>
      <c r="P69" s="7"/>
      <c r="Q69" s="25"/>
      <c r="R69" s="25"/>
      <c r="S69" s="37">
        <f t="shared" si="44"/>
        <v>1</v>
      </c>
      <c r="T69" s="52" t="str">
        <f t="shared" si="32"/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09:38:51-0600',mode:absolute,to:'2016-10-03 12:41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9" s="54" t="str">
        <f t="shared" si="33"/>
        <v>N</v>
      </c>
      <c r="X69" s="164">
        <f t="shared" si="47"/>
        <v>1</v>
      </c>
      <c r="Y69" s="69">
        <f t="shared" si="34"/>
        <v>23.2957</v>
      </c>
      <c r="Z69" s="69">
        <f t="shared" si="29"/>
        <v>1.7600000000000001E-2</v>
      </c>
      <c r="AA69" s="69">
        <f t="shared" si="35"/>
        <v>23.278099999999998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36"/>
        <v>0152-03</v>
      </c>
      <c r="AE69" s="95" t="str">
        <f t="shared" si="37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69" s="92" t="str">
        <f t="shared" si="38"/>
        <v>"C:\Program Files (x86)\AstroGrep\AstroGrep.exe" /spath="%USERPROFILE%\AppData\Local\Temp\OnboardLogs" /stypes="app*4004*20161003*" /stext=" 17:.+((SYSTEM_STATE.+slice.+state.+changed )|(ment ac)|(system.+state.+changed )|(\[timeout)|(PRM\|1\|D)|(kpr)|(kdp)|(\|lc)|(penalty))" /e /r /s</v>
      </c>
      <c r="AG69" s="1" t="str">
        <f t="shared" si="39"/>
        <v>EC</v>
      </c>
      <c r="AH69" s="96" t="str">
        <f t="shared" si="16"/>
        <v>"%USERPROFILE%\Documents\GitHub\eaglep3\Utilities\RefineRTDCRunTimes.py" --tripid 152-03 --locoid 4004 --swversion DE.1.0.7.0 --startMP 204:232957 --initTime 2016-10-03T10:38:51 --startdatetime 2016-10-03T10:56:53 --delay 0 --endMP 204:176 --enddatetime 2016-10-03T11:41:33 --enforcementcount 0 &gt;&gt;C:\Users\stu\Documents\GitHub\eaglep3-reporting\EC\2016-10-03-refined-times.txt</v>
      </c>
      <c r="AI69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{"issue":{"subject":"","project_id":79,"tracker_id":40,"status_id":1,"priority_id":2,"assigned_to_id":23,"start_date":"2016-10-03","description":"","custom_fields":[{"id":1,"name":"Subdivision","value":"EC"},{"id":4,"name":"Milepost","value":"0.0176"},{"id":17,"name":"Train ID","value":"152-03"},{"id":16,"name":"Locomotive ID","value":"4004"},{"id":130,"name":"Impact","value":""},{"id":150,"name":"Time of Event (Mountain Time)","value":"11:41:33"},{"id":151,"name":"Denver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485</v>
      </c>
      <c r="B70" s="7">
        <v>4040</v>
      </c>
      <c r="C70" s="24" t="s">
        <v>106</v>
      </c>
      <c r="D70" s="24" t="s">
        <v>486</v>
      </c>
      <c r="E70" s="15">
        <v>42646.431770833333</v>
      </c>
      <c r="F70" s="15">
        <v>42646.433599537035</v>
      </c>
      <c r="G70" s="7">
        <v>1</v>
      </c>
      <c r="H70" s="15" t="s">
        <v>206</v>
      </c>
      <c r="I70" s="15">
        <v>42646.463229166664</v>
      </c>
      <c r="J70" s="7">
        <v>0</v>
      </c>
      <c r="K70" s="117" t="str">
        <f t="shared" si="30"/>
        <v>4039/4040</v>
      </c>
      <c r="L70" s="24" t="str">
        <f>VLOOKUP(A70,'Trips&amp;Operators'!$C$1:$E$10000,3,FALSE)</f>
        <v>SNYDER</v>
      </c>
      <c r="M70" s="6">
        <f t="shared" si="31"/>
        <v>2.9629629629198462E-2</v>
      </c>
      <c r="N70" s="7">
        <f t="shared" si="46"/>
        <v>42.666666666045785</v>
      </c>
      <c r="O70" s="7"/>
      <c r="P70" s="7"/>
      <c r="Q70" s="25"/>
      <c r="R70" s="25"/>
      <c r="S70" s="37">
        <f t="shared" si="44"/>
        <v>1</v>
      </c>
      <c r="T70" s="52" t="str">
        <f t="shared" si="32"/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09:21:45-0600',mode:absolute,to:'2016-10-03 12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0" s="54" t="str">
        <f t="shared" si="33"/>
        <v>N</v>
      </c>
      <c r="X70" s="164">
        <f t="shared" si="47"/>
        <v>1</v>
      </c>
      <c r="Y70" s="69">
        <f t="shared" si="34"/>
        <v>4.4600000000000001E-2</v>
      </c>
      <c r="Z70" s="69">
        <f t="shared" si="29"/>
        <v>23.3291</v>
      </c>
      <c r="AA70" s="69">
        <f t="shared" si="35"/>
        <v>23.284500000000001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36"/>
        <v>0153-03</v>
      </c>
      <c r="AE70" s="95" t="str">
        <f t="shared" si="37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70" s="92" t="str">
        <f t="shared" si="38"/>
        <v>"C:\Program Files (x86)\AstroGrep\AstroGrep.exe" /spath="%USERPROFILE%\AppData\Local\Temp\OnboardLogs" /stypes="app*4040*20161003*" /stext=" 17:.+((SYSTEM_STATE.+slice.+state.+changed )|(ment ac)|(system.+state.+changed )|(\[timeout)|(PRM\|1\|D)|(kpr)|(kdp)|(\|lc)|(penalty))" /e /r /s</v>
      </c>
      <c r="AG70" s="1" t="str">
        <f t="shared" si="39"/>
        <v>EC</v>
      </c>
      <c r="AH70" s="96" t="str">
        <f t="shared" si="16"/>
        <v>"%USERPROFILE%\Documents\GitHub\eaglep3\Utilities\RefineRTDCRunTimes.py" --tripid 153-03 --locoid 4040 --swversion DE.1.0.7.0 --startMP 204:446 --initTime 2016-10-03T10:21:45 --startdatetime 2016-10-03T10:24:23 --delay 1 --endMP 204:233291 --enddatetime 2016-10-03T11:07:03 --enforcementcount 0 &gt;&gt;C:\Users\stu\Documents\GitHub\eaglep3-reporting\EC\2016-10-03-refined-times.txt</v>
      </c>
      <c r="AI70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{"issue":{"subject":"","project_id":79,"tracker_id":40,"status_id":1,"priority_id":2,"assigned_to_id":23,"start_date":"2016-10-03","description":"","custom_fields":[{"id":1,"name":"Subdivision","value":"EC"},{"id":4,"name":"Milepost","value":"23.3291"},{"id":17,"name":"Train ID","value":"153-03"},{"id":16,"name":"Locomotive ID","value":"4040"},{"id":130,"name":"Impact","value":""},{"id":150,"name":"Time of Event (Mountain Time)","value":"11:07:03"},{"id":151,"name":"Denver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487</v>
      </c>
      <c r="B71" s="7">
        <v>4039</v>
      </c>
      <c r="C71" s="24" t="s">
        <v>106</v>
      </c>
      <c r="D71" s="24" t="s">
        <v>286</v>
      </c>
      <c r="E71" s="15">
        <v>42646.465358796297</v>
      </c>
      <c r="F71" s="15">
        <v>42646.467418981483</v>
      </c>
      <c r="G71" s="7">
        <v>1</v>
      </c>
      <c r="H71" s="15" t="s">
        <v>347</v>
      </c>
      <c r="I71" s="15">
        <v>42646.498831018522</v>
      </c>
      <c r="J71" s="7">
        <v>0</v>
      </c>
      <c r="K71" s="117" t="str">
        <f t="shared" si="30"/>
        <v>4039/4040</v>
      </c>
      <c r="L71" s="24" t="str">
        <f>VLOOKUP(A71,'Trips&amp;Operators'!$C$1:$E$10000,3,FALSE)</f>
        <v>SNYDER</v>
      </c>
      <c r="M71" s="6">
        <f t="shared" si="31"/>
        <v>3.1412037038535345E-2</v>
      </c>
      <c r="N71" s="7">
        <f t="shared" si="46"/>
        <v>45.233333335490897</v>
      </c>
      <c r="O71" s="7"/>
      <c r="P71" s="7"/>
      <c r="Q71" s="25"/>
      <c r="R71" s="25"/>
      <c r="S71" s="37">
        <f t="shared" si="44"/>
        <v>1</v>
      </c>
      <c r="T71" s="52" t="str">
        <f t="shared" si="32"/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10:10:07-0600',mode:absolute,to:'2016-10-03 12:58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1" s="54" t="str">
        <f t="shared" si="33"/>
        <v>N</v>
      </c>
      <c r="X71" s="164">
        <f t="shared" si="47"/>
        <v>1</v>
      </c>
      <c r="Y71" s="69">
        <f t="shared" si="34"/>
        <v>23.299600000000002</v>
      </c>
      <c r="Z71" s="69">
        <f t="shared" si="29"/>
        <v>1.6299999999999999E-2</v>
      </c>
      <c r="AA71" s="69">
        <f t="shared" si="35"/>
        <v>23.283300000000001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36"/>
        <v>0154-03</v>
      </c>
      <c r="AE71" s="95" t="str">
        <f t="shared" si="37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71" s="92" t="str">
        <f t="shared" si="38"/>
        <v>"C:\Program Files (x86)\AstroGrep\AstroGrep.exe" /spath="%USERPROFILE%\AppData\Local\Temp\OnboardLogs" /stypes="app*4039*20161003*" /stext=" 17:.+((SYSTEM_STATE.+slice.+state.+changed )|(ment ac)|(system.+state.+changed )|(\[timeout)|(PRM\|1\|D)|(kpr)|(kdp)|(\|lc)|(penalty))" /e /r /s</v>
      </c>
      <c r="AG71" s="1" t="str">
        <f t="shared" si="39"/>
        <v>EC</v>
      </c>
      <c r="AH71" s="96" t="str">
        <f t="shared" si="16"/>
        <v>"%USERPROFILE%\Documents\GitHub\eaglep3\Utilities\RefineRTDCRunTimes.py" --tripid 154-03 --locoid 4039 --swversion DE.1.0.7.0 --startMP 204:232996 --initTime 2016-10-03T11:10:07 --startdatetime 2016-10-03T11:13:05 --delay 1 --endMP 204:163 --enddatetime 2016-10-03T11:58:19 --enforcementcount 0 &gt;&gt;C:\Users\stu\Documents\GitHub\eaglep3-reporting\EC\2016-10-03-refined-times.txt</v>
      </c>
      <c r="AI71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{"issue":{"subject":"","project_id":79,"tracker_id":40,"status_id":1,"priority_id":2,"assigned_to_id":23,"start_date":"2016-10-03","description":"","custom_fields":[{"id":1,"name":"Subdivision","value":"EC"},{"id":4,"name":"Milepost","value":"0.0163"},{"id":17,"name":"Train ID","value":"154-03"},{"id":16,"name":"Locomotive ID","value":"4039"},{"id":130,"name":"Impact","value":""},{"id":150,"name":"Time of Event (Mountain Time)","value":"11:58:19"},{"id":151,"name":"Denver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488</v>
      </c>
      <c r="B72" s="7">
        <v>4018</v>
      </c>
      <c r="C72" s="24" t="s">
        <v>106</v>
      </c>
      <c r="D72" s="24" t="s">
        <v>209</v>
      </c>
      <c r="E72" s="15">
        <v>42646.437430555554</v>
      </c>
      <c r="F72" s="15">
        <v>42646.439849537041</v>
      </c>
      <c r="G72" s="7">
        <v>1</v>
      </c>
      <c r="H72" s="15" t="s">
        <v>457</v>
      </c>
      <c r="I72" s="15">
        <v>42646.469641203701</v>
      </c>
      <c r="J72" s="7">
        <v>0</v>
      </c>
      <c r="K72" s="117" t="str">
        <f t="shared" si="30"/>
        <v>4017/4018</v>
      </c>
      <c r="L72" s="24" t="str">
        <f>VLOOKUP(A72,'Trips&amp;Operators'!$C$1:$E$10000,3,FALSE)</f>
        <v>DAVIS</v>
      </c>
      <c r="M72" s="6">
        <f t="shared" si="31"/>
        <v>2.979166666045785E-2</v>
      </c>
      <c r="N72" s="7">
        <f t="shared" si="46"/>
        <v>42.899999991059303</v>
      </c>
      <c r="O72" s="7"/>
      <c r="P72" s="7"/>
      <c r="Q72" s="25"/>
      <c r="R72" s="25"/>
      <c r="S72" s="37">
        <f t="shared" si="44"/>
        <v>1</v>
      </c>
      <c r="T72" s="52" t="str">
        <f t="shared" si="32"/>
        <v>NorthBound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09:29:54-0600',mode:absolute,to:'2016-10-03 12:16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2" s="54" t="str">
        <f t="shared" si="33"/>
        <v>N</v>
      </c>
      <c r="X72" s="164">
        <f t="shared" si="47"/>
        <v>1</v>
      </c>
      <c r="Y72" s="69">
        <f t="shared" si="34"/>
        <v>4.6600000000000003E-2</v>
      </c>
      <c r="Z72" s="69">
        <f t="shared" si="29"/>
        <v>23.329899999999999</v>
      </c>
      <c r="AA72" s="69">
        <f t="shared" si="35"/>
        <v>23.283299999999997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36"/>
        <v>0155-03</v>
      </c>
      <c r="AE72" s="95" t="str">
        <f t="shared" si="37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72" s="92" t="str">
        <f t="shared" si="38"/>
        <v>"C:\Program Files (x86)\AstroGrep\AstroGrep.exe" /spath="%USERPROFILE%\AppData\Local\Temp\OnboardLogs" /stypes="app*4018*20161003*" /stext=" 17:.+((SYSTEM_STATE.+slice.+state.+changed )|(ment ac)|(system.+state.+changed )|(\[timeout)|(PRM\|1\|D)|(kpr)|(kdp)|(\|lc)|(penalty))" /e /r /s</v>
      </c>
      <c r="AG72" s="1" t="str">
        <f t="shared" si="39"/>
        <v>EC</v>
      </c>
      <c r="AH72" s="96" t="str">
        <f t="shared" si="16"/>
        <v>"%USERPROFILE%\Documents\GitHub\eaglep3\Utilities\RefineRTDCRunTimes.py" --tripid 155-03 --locoid 4018 --swversion DE.1.0.7.0 --startMP 204:466 --initTime 2016-10-03T10:29:54 --startdatetime 2016-10-03T10:33:23 --delay 1 --endMP 204:233299 --enddatetime 2016-10-03T11:16:17 --enforcementcount 0 &gt;&gt;C:\Users\stu\Documents\GitHub\eaglep3-reporting\EC\2016-10-03-refined-times.txt</v>
      </c>
      <c r="AI72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{"issue":{"subject":"","project_id":79,"tracker_id":40,"status_id":1,"priority_id":2,"assigned_to_id":23,"start_date":"2016-10-03","description":"","custom_fields":[{"id":1,"name":"Subdivision","value":"EC"},{"id":4,"name":"Milepost","value":"23.3299"},{"id":17,"name":"Train ID","value":"155-03"},{"id":16,"name":"Locomotive ID","value":"4018"},{"id":130,"name":"Impact","value":""},{"id":150,"name":"Time of Event (Mountain Time)","value":"11:16:17"},{"id":151,"name":"Denver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489</v>
      </c>
      <c r="B73" s="7">
        <v>4017</v>
      </c>
      <c r="C73" s="24" t="s">
        <v>106</v>
      </c>
      <c r="D73" s="24" t="s">
        <v>262</v>
      </c>
      <c r="E73" s="15">
        <v>42646.471388888887</v>
      </c>
      <c r="F73" s="15">
        <v>42646.476539351854</v>
      </c>
      <c r="G73" s="7">
        <v>1</v>
      </c>
      <c r="H73" s="15" t="s">
        <v>207</v>
      </c>
      <c r="I73" s="15">
        <v>42646.50540509259</v>
      </c>
      <c r="J73" s="7">
        <v>0</v>
      </c>
      <c r="K73" s="117" t="str">
        <f t="shared" si="30"/>
        <v>4017/4018</v>
      </c>
      <c r="L73" s="24" t="str">
        <f>VLOOKUP(A73,'Trips&amp;Operators'!$C$1:$E$10000,3,FALSE)</f>
        <v>DAVIS</v>
      </c>
      <c r="M73" s="6">
        <f t="shared" si="31"/>
        <v>2.8865740736364387E-2</v>
      </c>
      <c r="N73" s="7">
        <f t="shared" si="46"/>
        <v>41.566666660364717</v>
      </c>
      <c r="O73" s="7"/>
      <c r="P73" s="7"/>
      <c r="Q73" s="25"/>
      <c r="R73" s="25"/>
      <c r="S73" s="37">
        <f t="shared" si="44"/>
        <v>1</v>
      </c>
      <c r="T73" s="52" t="str">
        <f t="shared" si="32"/>
        <v>Southbound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10:18:48-0600',mode:absolute,to:'2016-10-03 13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3" s="54" t="str">
        <f t="shared" si="33"/>
        <v>N</v>
      </c>
      <c r="X73" s="164">
        <f t="shared" si="47"/>
        <v>1</v>
      </c>
      <c r="Y73" s="69">
        <f t="shared" si="34"/>
        <v>23.298400000000001</v>
      </c>
      <c r="Z73" s="69">
        <f t="shared" si="29"/>
        <v>1.52E-2</v>
      </c>
      <c r="AA73" s="69">
        <f t="shared" si="35"/>
        <v>23.283200000000001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36"/>
        <v>0156-03</v>
      </c>
      <c r="AE73" s="95" t="str">
        <f t="shared" si="37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73" s="92" t="str">
        <f t="shared" si="38"/>
        <v>"C:\Program Files (x86)\AstroGrep\AstroGrep.exe" /spath="%USERPROFILE%\AppData\Local\Temp\OnboardLogs" /stypes="app*4017*20161003*" /stext=" 18:.+((SYSTEM_STATE.+slice.+state.+changed )|(ment ac)|(system.+state.+changed )|(\[timeout)|(PRM\|1\|D)|(kpr)|(kdp)|(\|lc)|(penalty))" /e /r /s</v>
      </c>
      <c r="AG73" s="1" t="str">
        <f t="shared" si="39"/>
        <v>EC</v>
      </c>
      <c r="AH73" s="96" t="str">
        <f t="shared" si="16"/>
        <v>"%USERPROFILE%\Documents\GitHub\eaglep3\Utilities\RefineRTDCRunTimes.py" --tripid 156-03 --locoid 4017 --swversion DE.1.0.7.0 --startMP 204:232984 --initTime 2016-10-03T11:18:48 --startdatetime 2016-10-03T11:26:13 --delay 1 --endMP 204:152 --enddatetime 2016-10-03T12:07:47 --enforcementcount 0 &gt;&gt;C:\Users\stu\Documents\GitHub\eaglep3-reporting\EC\2016-10-03-refined-times.txt</v>
      </c>
      <c r="AI73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{"issue":{"subject":"","project_id":79,"tracker_id":40,"status_id":1,"priority_id":2,"assigned_to_id":23,"start_date":"2016-10-03","description":"","custom_fields":[{"id":1,"name":"Subdivision","value":"EC"},{"id":4,"name":"Milepost","value":"0.0152"},{"id":17,"name":"Train ID","value":"156-03"},{"id":16,"name":"Locomotive ID","value":"4017"},{"id":130,"name":"Impact","value":""},{"id":150,"name":"Time of Event (Mountain Time)","value":"12:07:47"},{"id":151,"name":"Denver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490</v>
      </c>
      <c r="B74" s="7">
        <v>4029</v>
      </c>
      <c r="C74" s="24" t="s">
        <v>106</v>
      </c>
      <c r="D74" s="24" t="s">
        <v>211</v>
      </c>
      <c r="E74" s="15">
        <v>42646.445937500001</v>
      </c>
      <c r="F74" s="15">
        <v>42646.448217592595</v>
      </c>
      <c r="G74" s="7">
        <v>1</v>
      </c>
      <c r="H74" s="15" t="s">
        <v>384</v>
      </c>
      <c r="I74" s="15">
        <v>42646.475243055553</v>
      </c>
      <c r="J74" s="7">
        <v>0</v>
      </c>
      <c r="K74" s="117" t="str">
        <f t="shared" si="30"/>
        <v>4029/4030</v>
      </c>
      <c r="L74" s="24" t="str">
        <f>VLOOKUP(A74,'Trips&amp;Operators'!$C$1:$E$10000,3,FALSE)</f>
        <v>MALAVE</v>
      </c>
      <c r="M74" s="6">
        <f t="shared" si="31"/>
        <v>2.7025462957681157E-2</v>
      </c>
      <c r="N74" s="7">
        <f t="shared" si="46"/>
        <v>38.916666659060866</v>
      </c>
      <c r="O74" s="7"/>
      <c r="P74" s="7"/>
      <c r="Q74" s="25"/>
      <c r="R74" s="25"/>
      <c r="S74" s="37">
        <f t="shared" si="44"/>
        <v>1</v>
      </c>
      <c r="T74" s="52" t="str">
        <f t="shared" si="32"/>
        <v>NorthBound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09:42:09-0600',mode:absolute,to:'2016-10-03 12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4" s="54" t="str">
        <f t="shared" si="33"/>
        <v>N</v>
      </c>
      <c r="X74" s="164">
        <f t="shared" si="47"/>
        <v>1</v>
      </c>
      <c r="Y74" s="69">
        <f t="shared" si="34"/>
        <v>4.5499999999999999E-2</v>
      </c>
      <c r="Z74" s="69">
        <f t="shared" ref="Z74:Z105" si="48">RIGHT(H74,LEN(H74)-4)/10000</f>
        <v>23.328499999999998</v>
      </c>
      <c r="AA74" s="69">
        <f t="shared" si="35"/>
        <v>23.282999999999998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36"/>
        <v>0157-03</v>
      </c>
      <c r="AE74" s="95" t="str">
        <f t="shared" si="37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74" s="92" t="str">
        <f t="shared" si="38"/>
        <v>"C:\Program Files (x86)\AstroGrep\AstroGrep.exe" /spath="%USERPROFILE%\AppData\Local\Temp\OnboardLogs" /stypes="app*4029*20161003*" /stext=" 17:.+((SYSTEM_STATE.+slice.+state.+changed )|(ment ac)|(system.+state.+changed )|(\[timeout)|(PRM\|1\|D)|(kpr)|(kdp)|(\|lc)|(penalty))" /e /r /s</v>
      </c>
      <c r="AG74" s="1" t="str">
        <f t="shared" si="39"/>
        <v>EC</v>
      </c>
      <c r="AH74" s="96" t="str">
        <f t="shared" si="16"/>
        <v>"%USERPROFILE%\Documents\GitHub\eaglep3\Utilities\RefineRTDCRunTimes.py" --tripid 157-03 --locoid 4029 --swversion DE.1.0.7.0 --startMP 204:455 --initTime 2016-10-03T10:42:09 --startdatetime 2016-10-03T10:45:26 --delay 1 --endMP 204:233285 --enddatetime 2016-10-03T11:24:21 --enforcementcount 0 &gt;&gt;C:\Users\stu\Documents\GitHub\eaglep3-reporting\EC\2016-10-03-refined-times.txt</v>
      </c>
      <c r="AI74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{"issue":{"subject":"","project_id":79,"tracker_id":40,"status_id":1,"priority_id":2,"assigned_to_id":23,"start_date":"2016-10-03","description":"","custom_fields":[{"id":1,"name":"Subdivision","value":"EC"},{"id":4,"name":"Milepost","value":"23.3285"},{"id":17,"name":"Train ID","value":"157-03"},{"id":16,"name":"Locomotive ID","value":"4029"},{"id":130,"name":"Impact","value":""},{"id":150,"name":"Time of Event (Mountain Time)","value":"11:24:21"},{"id":151,"name":"Denver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491</v>
      </c>
      <c r="B75" s="7">
        <v>4030</v>
      </c>
      <c r="C75" s="24" t="s">
        <v>106</v>
      </c>
      <c r="D75" s="24" t="s">
        <v>374</v>
      </c>
      <c r="E75" s="15">
        <v>42646.485590277778</v>
      </c>
      <c r="F75" s="15">
        <v>42646.487141203703</v>
      </c>
      <c r="G75" s="7">
        <v>1</v>
      </c>
      <c r="H75" s="15" t="s">
        <v>234</v>
      </c>
      <c r="I75" s="15">
        <v>42646.518680555557</v>
      </c>
      <c r="J75" s="7">
        <v>0</v>
      </c>
      <c r="K75" s="117" t="str">
        <f t="shared" si="30"/>
        <v>4029/4030</v>
      </c>
      <c r="L75" s="24" t="str">
        <f>VLOOKUP(A75,'Trips&amp;Operators'!$C$1:$E$10000,3,FALSE)</f>
        <v>MALAVE</v>
      </c>
      <c r="M75" s="6">
        <f t="shared" si="31"/>
        <v>3.1539351854007691E-2</v>
      </c>
      <c r="N75" s="7">
        <f t="shared" si="46"/>
        <v>45.416666669771075</v>
      </c>
      <c r="O75" s="7"/>
      <c r="P75" s="7"/>
      <c r="Q75" s="25"/>
      <c r="R75" s="25"/>
      <c r="S75" s="37">
        <f t="shared" si="44"/>
        <v>1</v>
      </c>
      <c r="T75" s="52" t="str">
        <f t="shared" si="32"/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10:39:15-0600',mode:absolute,to:'2016-10-03 13:26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5" s="54" t="str">
        <f t="shared" si="33"/>
        <v>N</v>
      </c>
      <c r="X75" s="164">
        <f t="shared" si="47"/>
        <v>1</v>
      </c>
      <c r="Y75" s="69">
        <f t="shared" si="34"/>
        <v>23.296399999999998</v>
      </c>
      <c r="Z75" s="69">
        <f t="shared" si="48"/>
        <v>1.43E-2</v>
      </c>
      <c r="AA75" s="69">
        <f t="shared" si="35"/>
        <v>23.2821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36"/>
        <v>0158-03</v>
      </c>
      <c r="AE75" s="95" t="str">
        <f t="shared" si="37"/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AF75" s="92" t="str">
        <f t="shared" si="38"/>
        <v>"C:\Program Files (x86)\AstroGrep\AstroGrep.exe" /spath="%USERPROFILE%\AppData\Local\Temp\OnboardLogs" /stypes="app*4030*20161003*" /stext=" 18:.+((SYSTEM_STATE.+slice.+state.+changed )|(ment ac)|(system.+state.+changed )|(\[timeout)|(PRM\|1\|D)|(kpr)|(kdp)|(\|lc)|(penalty))" /e /r /s</v>
      </c>
      <c r="AG75" s="1" t="str">
        <f t="shared" si="39"/>
        <v>EC</v>
      </c>
      <c r="AH75" s="96" t="str">
        <f t="shared" si="16"/>
        <v>"%USERPROFILE%\Documents\GitHub\eaglep3\Utilities\RefineRTDCRunTimes.py" --tripid 158-03 --locoid 4030 --swversion DE.1.0.7.0 --startMP 204:232964 --initTime 2016-10-03T11:39:15 --startdatetime 2016-10-03T11:41:29 --delay 1 --endMP 204:143 --enddatetime 2016-10-03T12:26:54 --enforcementcount 0 &gt;&gt;C:\Users\stu\Documents\GitHub\eaglep3-reporting\EC\2016-10-03-refined-times.txt</v>
      </c>
      <c r="AI75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{"issue":{"subject":"","project_id":79,"tracker_id":40,"status_id":1,"priority_id":2,"assigned_to_id":23,"start_date":"2016-10-03","description":"","custom_fields":[{"id":1,"name":"Subdivision","value":"EC"},{"id":4,"name":"Milepost","value":"0.0143"},{"id":17,"name":"Train ID","value":"158-03"},{"id":16,"name":"Locomotive ID","value":"4030"},{"id":130,"name":"Impact","value":""},{"id":150,"name":"Time of Event (Mountain Time)","value":"12:26:54"},{"id":151,"name":"Denver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492</v>
      </c>
      <c r="B76" s="7">
        <v>4025</v>
      </c>
      <c r="C76" s="24" t="s">
        <v>106</v>
      </c>
      <c r="D76" s="24" t="s">
        <v>210</v>
      </c>
      <c r="E76" s="15">
        <v>42646.460023148145</v>
      </c>
      <c r="F76" s="15">
        <v>42646.462523148148</v>
      </c>
      <c r="G76" s="7">
        <v>2</v>
      </c>
      <c r="H76" s="15" t="s">
        <v>252</v>
      </c>
      <c r="I76" s="15">
        <v>42646.4924537037</v>
      </c>
      <c r="J76" s="7">
        <v>0</v>
      </c>
      <c r="K76" s="117" t="str">
        <f t="shared" si="30"/>
        <v>4025/4026</v>
      </c>
      <c r="L76" s="24" t="str">
        <f>VLOOKUP(A76,'Trips&amp;Operators'!$C$1:$E$10000,3,FALSE)</f>
        <v>STEWART</v>
      </c>
      <c r="M76" s="6">
        <f t="shared" si="31"/>
        <v>2.9930555552709848E-2</v>
      </c>
      <c r="N76" s="7">
        <f t="shared" si="46"/>
        <v>43.099999995902181</v>
      </c>
      <c r="O76" s="7"/>
      <c r="P76" s="7"/>
      <c r="Q76" s="25"/>
      <c r="R76" s="25"/>
      <c r="S76" s="37">
        <f t="shared" si="44"/>
        <v>1</v>
      </c>
      <c r="T76" s="52" t="str">
        <f t="shared" si="32"/>
        <v>NorthBound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10:02:26-0600',mode:absolute,to:'2016-10-03 12:49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6" s="54" t="str">
        <f t="shared" si="33"/>
        <v>N</v>
      </c>
      <c r="X76" s="164">
        <f t="shared" si="47"/>
        <v>1</v>
      </c>
      <c r="Y76" s="69">
        <f t="shared" si="34"/>
        <v>4.5100000000000001E-2</v>
      </c>
      <c r="Z76" s="69">
        <f t="shared" si="48"/>
        <v>23.328800000000001</v>
      </c>
      <c r="AA76" s="69">
        <f t="shared" si="35"/>
        <v>23.2837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36"/>
        <v>0159-03</v>
      </c>
      <c r="AE76" s="95" t="str">
        <f t="shared" si="37"/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76" s="92" t="str">
        <f t="shared" si="38"/>
        <v>"C:\Program Files (x86)\AstroGrep\AstroGrep.exe" /spath="%USERPROFILE%\AppData\Local\Temp\OnboardLogs" /stypes="app*4025*20161003*" /stext=" 17:.+((SYSTEM_STATE.+slice.+state.+changed )|(ment ac)|(system.+state.+changed )|(\[timeout)|(PRM\|1\|D)|(kpr)|(kdp)|(\|lc)|(penalty))" /e /r /s</v>
      </c>
      <c r="AG76" s="1" t="str">
        <f t="shared" si="39"/>
        <v>EC</v>
      </c>
      <c r="AH76" s="96" t="str">
        <f t="shared" si="16"/>
        <v>"%USERPROFILE%\Documents\GitHub\eaglep3\Utilities\RefineRTDCRunTimes.py" --tripid 159-03 --locoid 4025 --swversion DE.1.0.7.0 --startMP 204:451 --initTime 2016-10-03T11:02:26 --startdatetime 2016-10-03T11:06:02 --delay 2 --endMP 204:233288 --enddatetime 2016-10-03T11:49:08 --enforcementcount 0 &gt;&gt;C:\Users\stu\Documents\GitHub\eaglep3-reporting\EC\2016-10-03-refined-times.txt</v>
      </c>
      <c r="AI76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{"issue":{"subject":"","project_id":79,"tracker_id":40,"status_id":1,"priority_id":2,"assigned_to_id":23,"start_date":"2016-10-03","description":"","custom_fields":[{"id":1,"name":"Subdivision","value":"EC"},{"id":4,"name":"Milepost","value":"23.3288"},{"id":17,"name":"Train ID","value":"159-03"},{"id":16,"name":"Locomotive ID","value":"4025"},{"id":130,"name":"Impact","value":""},{"id":150,"name":"Time of Event (Mountain Time)","value":"11:49:08"},{"id":151,"name":"Denver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493</v>
      </c>
      <c r="B77" s="7">
        <v>4026</v>
      </c>
      <c r="C77" s="24" t="s">
        <v>106</v>
      </c>
      <c r="D77" s="24" t="s">
        <v>365</v>
      </c>
      <c r="E77" s="15">
        <v>42646.495555555557</v>
      </c>
      <c r="F77" s="15">
        <v>42646.497893518521</v>
      </c>
      <c r="G77" s="7">
        <v>2</v>
      </c>
      <c r="H77" s="15" t="s">
        <v>234</v>
      </c>
      <c r="I77" s="15">
        <v>42646.529108796298</v>
      </c>
      <c r="J77" s="7">
        <v>0</v>
      </c>
      <c r="K77" s="117" t="str">
        <f t="shared" ref="K77:K108" si="49">IF(ISEVEN(B77),(B77-1)&amp;"/"&amp;B77,B77&amp;"/"&amp;(B77+1))</f>
        <v>4025/4026</v>
      </c>
      <c r="L77" s="24" t="str">
        <f>VLOOKUP(A77,'Trips&amp;Operators'!$C$1:$E$10000,3,FALSE)</f>
        <v>STEWART</v>
      </c>
      <c r="M77" s="6">
        <f t="shared" ref="M77:M108" si="50">I77-F77</f>
        <v>3.1215277776937E-2</v>
      </c>
      <c r="N77" s="7">
        <f t="shared" si="46"/>
        <v>44.949999998789281</v>
      </c>
      <c r="O77" s="7"/>
      <c r="P77" s="7"/>
      <c r="Q77" s="25"/>
      <c r="R77" s="25"/>
      <c r="S77" s="37">
        <f t="shared" si="44"/>
        <v>1</v>
      </c>
      <c r="T77" s="52" t="str">
        <f t="shared" ref="T77:T108" si="51">IF(ISEVEN(LEFT(AD77,4)),"Southbound","NorthBound")</f>
        <v>Southbound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10:53:36-0600',mode:absolute,to:'2016-10-03 13:41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7" s="54" t="str">
        <f t="shared" ref="W77:W108" si="52">IF(AA77&lt;IF(AG77="EC",23,5.65),"Y","N")</f>
        <v>N</v>
      </c>
      <c r="X77" s="164">
        <f t="shared" si="47"/>
        <v>1</v>
      </c>
      <c r="Y77" s="69">
        <f t="shared" ref="Y77:Y108" si="53">RIGHT(D77,LEN(D77)-4)/10000</f>
        <v>23.296500000000002</v>
      </c>
      <c r="Z77" s="69">
        <f t="shared" si="48"/>
        <v>1.43E-2</v>
      </c>
      <c r="AA77" s="69">
        <f t="shared" ref="AA77:AA108" si="54">ABS(Z77-Y77)</f>
        <v>23.282200000000003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08" si="55">IF(LEN(A77)=6,"0"&amp;A77,A77)</f>
        <v>0160-03</v>
      </c>
      <c r="AE77" s="95" t="str">
        <f t="shared" ref="AE77:AE108" si="5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77" s="92" t="str">
        <f t="shared" ref="AF77:AF108" si="5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/stypes="app*4026*20161003*" /stext=" 18:.+((SYSTEM_STATE.+slice.+state.+changed )|(ment ac)|(system.+state.+changed )|(\[timeout)|(PRM\|1\|D)|(kpr)|(kdp)|(\|lc)|(penalty))" /e /r /s</v>
      </c>
      <c r="AG77" s="1" t="str">
        <f t="shared" ref="AG77:AG108" si="58">IFERROR(IF(VALUE(LEFT(AD77,2))&lt;=2,"EC",IF(OR(VALUE(LEFT(AD77,2))=8,VALUE(LEFT(AD77,2))=18),"NW","Other")),"Other")</f>
        <v>EC</v>
      </c>
      <c r="AH77" s="96" t="str">
        <f t="shared" si="16"/>
        <v>"%USERPROFILE%\Documents\GitHub\eaglep3\Utilities\RefineRTDCRunTimes.py" --tripid 160-03 --locoid 4026 --swversion DE.1.0.7.0 --startMP 204:232965 --initTime 2016-10-03T11:53:36 --startdatetime 2016-10-03T11:56:58 --delay 2 --endMP 204:143 --enddatetime 2016-10-03T12:41:55 --enforcementcount 0 &gt;&gt;C:\Users\stu\Documents\GitHub\eaglep3-reporting\EC\2016-10-03-refined-times.txt</v>
      </c>
      <c r="AI77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{"issue":{"subject":"","project_id":79,"tracker_id":40,"status_id":1,"priority_id":2,"assigned_to_id":23,"start_date":"2016-10-03","description":"","custom_fields":[{"id":1,"name":"Subdivision","value":"EC"},{"id":4,"name":"Milepost","value":"0.0143"},{"id":17,"name":"Train ID","value":"160-03"},{"id":16,"name":"Locomotive ID","value":"4026"},{"id":130,"name":"Impact","value":""},{"id":150,"name":"Time of Event (Mountain Time)","value":"12:41:55"},{"id":151,"name":"Denver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494</v>
      </c>
      <c r="B78" s="7">
        <v>4046</v>
      </c>
      <c r="C78" s="24" t="s">
        <v>106</v>
      </c>
      <c r="D78" s="24" t="s">
        <v>232</v>
      </c>
      <c r="E78" s="15">
        <v>42646.467881944445</v>
      </c>
      <c r="F78" s="15">
        <v>42646.471782407411</v>
      </c>
      <c r="G78" s="7">
        <v>2</v>
      </c>
      <c r="H78" s="15" t="s">
        <v>495</v>
      </c>
      <c r="I78" s="15">
        <v>42646.501562500001</v>
      </c>
      <c r="J78" s="7">
        <v>0</v>
      </c>
      <c r="K78" s="117" t="str">
        <f t="shared" si="49"/>
        <v>4045/4046</v>
      </c>
      <c r="L78" s="24" t="str">
        <f>VLOOKUP(A78,'Trips&amp;Operators'!$C$1:$E$10000,3,FALSE)</f>
        <v>BARTLETT</v>
      </c>
      <c r="M78" s="6">
        <f t="shared" si="50"/>
        <v>2.9780092590954155E-2</v>
      </c>
      <c r="N78" s="7">
        <f t="shared" si="46"/>
        <v>42.883333330973983</v>
      </c>
      <c r="O78" s="7"/>
      <c r="P78" s="7"/>
      <c r="Q78" s="25"/>
      <c r="R78" s="25"/>
      <c r="S78" s="37">
        <f t="shared" si="44"/>
        <v>1</v>
      </c>
      <c r="T78" s="52" t="str">
        <f t="shared" si="51"/>
        <v>NorthBound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15"/>
        <v>https://search-rtdc-monitor-bjffxe2xuh6vdkpspy63sjmuny.us-east-1.es.amazonaws.com/_plugin/kibana/#/discover/Steve-Slow-Train-Analysis-(2080s-and-2083s)?_g=(refreshInterval:(display:Off,section:0,value:0),time:(from:'2016-10-03 10:13:45-0600',mode:absolute,to:'2016-10-03 13:02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8" s="54" t="str">
        <f t="shared" si="52"/>
        <v>N</v>
      </c>
      <c r="X78" s="164">
        <f t="shared" si="47"/>
        <v>1</v>
      </c>
      <c r="Y78" s="69">
        <f t="shared" si="53"/>
        <v>4.6399999999999997E-2</v>
      </c>
      <c r="Z78" s="69">
        <f t="shared" si="48"/>
        <v>23.331900000000001</v>
      </c>
      <c r="AA78" s="69">
        <f t="shared" si="54"/>
        <v>23.285500000000003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55"/>
        <v>0161-03</v>
      </c>
      <c r="AE78" s="95" t="str">
        <f t="shared" si="56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78" s="92" t="str">
        <f t="shared" si="57"/>
        <v>"C:\Program Files (x86)\AstroGrep\AstroGrep.exe" /spath="%USERPROFILE%\AppData\Local\Temp\OnboardLogs" /stypes="app*4046*20161003*" /stext=" 18:.+((SYSTEM_STATE.+slice.+state.+changed )|(ment ac)|(system.+state.+changed )|(\[timeout)|(PRM\|1\|D)|(kpr)|(kdp)|(\|lc)|(penalty))" /e /r /s</v>
      </c>
      <c r="AG78" s="1" t="str">
        <f t="shared" si="58"/>
        <v>EC</v>
      </c>
      <c r="AH78" s="96" t="str">
        <f t="shared" si="16"/>
        <v>"%USERPROFILE%\Documents\GitHub\eaglep3\Utilities\RefineRTDCRunTimes.py" --tripid 161-03 --locoid 4046 --swversion DE.1.0.7.0 --startMP 204:464 --initTime 2016-10-03T11:13:45 --startdatetime 2016-10-03T11:19:22 --delay 2 --endMP 204:233319 --enddatetime 2016-10-03T12:02:15 --enforcementcount 0 &gt;&gt;C:\Users\stu\Documents\GitHub\eaglep3-reporting\EC\2016-10-03-refined-times.txt</v>
      </c>
      <c r="AI78" s="130" t="str">
        <f t="shared" si="17"/>
        <v>echo {"issue":{"subject":"","project_id":79,"tracker_id":40,"status_id":1,"priority_id":2,"assigned_to_id":23,"start_date":"2016-10-03","description":"","custom_fields":[{"id":1,"name":"Subdivision","value":"EC"},{"id":4,"name":"Milepost","value":"23.3319"},{"id":17,"name":"Train ID","value":"161-03"},{"id":16,"name":"Locomotive ID","value":"4046"},{"id":130,"name":"Impact","value":""},{"id":150,"name":"Time of Event (Mountain Time)","value":"12:02:15"},{"id":151,"name":"Denver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496</v>
      </c>
      <c r="B79" s="7">
        <v>4045</v>
      </c>
      <c r="C79" s="24" t="s">
        <v>106</v>
      </c>
      <c r="D79" s="24" t="s">
        <v>286</v>
      </c>
      <c r="E79" s="15">
        <v>42646.505949074075</v>
      </c>
      <c r="F79" s="15">
        <v>42646.508391203701</v>
      </c>
      <c r="G79" s="7">
        <v>1</v>
      </c>
      <c r="H79" s="15" t="s">
        <v>202</v>
      </c>
      <c r="I79" s="15">
        <v>42646.535138888888</v>
      </c>
      <c r="J79" s="7">
        <v>0</v>
      </c>
      <c r="K79" s="117" t="str">
        <f t="shared" si="49"/>
        <v>4045/4046</v>
      </c>
      <c r="L79" s="24" t="str">
        <f>VLOOKUP(A79,'Trips&amp;Operators'!$C$1:$E$10000,3,FALSE)</f>
        <v>BARTLETT</v>
      </c>
      <c r="M79" s="6">
        <f t="shared" si="50"/>
        <v>2.6747685187729076E-2</v>
      </c>
      <c r="N79" s="7">
        <f t="shared" si="46"/>
        <v>38.516666670329869</v>
      </c>
      <c r="O79" s="7"/>
      <c r="P79" s="7"/>
      <c r="Q79" s="25"/>
      <c r="R79" s="25"/>
      <c r="S79" s="37">
        <f t="shared" si="44"/>
        <v>1</v>
      </c>
      <c r="T79" s="52" t="str">
        <f t="shared" si="51"/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ref="V79:V143" si="59"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https://search-rtdc-monitor-bjffxe2xuh6vdkpspy63sjmuny.us-east-1.es.amazonaws.com/_plugin/kibana/#/discover/Steve-Slow-Train-Analysis-(2080s-and-2083s)?_g=(refreshInterval:(display:Off,section:0,value:0),time:(from:'2016-10-03 11:08:34-0600',mode:absolute,to:'2016-10-03 13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9" s="54" t="str">
        <f t="shared" si="52"/>
        <v>N</v>
      </c>
      <c r="X79" s="164">
        <f t="shared" si="47"/>
        <v>1</v>
      </c>
      <c r="Y79" s="69">
        <f t="shared" si="53"/>
        <v>23.299600000000002</v>
      </c>
      <c r="Z79" s="69">
        <f t="shared" si="48"/>
        <v>1.5800000000000002E-2</v>
      </c>
      <c r="AA79" s="69">
        <f t="shared" si="54"/>
        <v>23.283800000000003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55"/>
        <v>0162-03</v>
      </c>
      <c r="AE79" s="95" t="str">
        <f t="shared" si="56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79" s="92" t="str">
        <f t="shared" si="57"/>
        <v>"C:\Program Files (x86)\AstroGrep\AstroGrep.exe" /spath="%USERPROFILE%\AppData\Local\Temp\OnboardLogs" /stypes="app*4045*20161003*" /stext=" 18:.+((SYSTEM_STATE.+slice.+state.+changed )|(ment ac)|(system.+state.+changed )|(\[timeout)|(PRM\|1\|D)|(kpr)|(kdp)|(\|lc)|(penalty))" /e /r /s</v>
      </c>
      <c r="AG79" s="1" t="str">
        <f t="shared" si="58"/>
        <v>EC</v>
      </c>
      <c r="AH79" s="96" t="str">
        <f t="shared" ref="AH79:AH143" si="6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162-03 --locoid 4045 --swversion DE.1.0.7.0 --startMP 204:232996 --initTime 2016-10-03T12:08:34 --startdatetime 2016-10-03T12:12:05 --delay 1 --endMP 204:158 --enddatetime 2016-10-03T12:50:36 --enforcementcount 0 &gt;&gt;C:\Users\stu\Documents\GitHub\eaglep3-reporting\EC\2016-10-03-refined-times.txt</v>
      </c>
      <c r="AI79" s="130" t="str">
        <f t="shared" ref="AI79:AI143" si="6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{"issue":{"subject":"","project_id":79,"tracker_id":40,"status_id":1,"priority_id":2,"assigned_to_id":23,"start_date":"2016-10-03","description":"","custom_fields":[{"id":1,"name":"Subdivision","value":"EC"},{"id":4,"name":"Milepost","value":"0.0158"},{"id":17,"name":"Train ID","value":"162-03"},{"id":16,"name":"Locomotive ID","value":"4045"},{"id":130,"name":"Impact","value":""},{"id":150,"name":"Time of Event (Mountain Time)","value":"12:50:36"},{"id":151,"name":"Denver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497</v>
      </c>
      <c r="B80" s="7">
        <v>4002</v>
      </c>
      <c r="C80" s="24" t="s">
        <v>106</v>
      </c>
      <c r="D80" s="24" t="s">
        <v>498</v>
      </c>
      <c r="E80" s="15">
        <v>42646.4765162037</v>
      </c>
      <c r="F80" s="15">
        <v>42646.479317129626</v>
      </c>
      <c r="G80" s="7">
        <v>1</v>
      </c>
      <c r="H80" s="15" t="s">
        <v>292</v>
      </c>
      <c r="I80" s="15">
        <v>42646.5078125</v>
      </c>
      <c r="J80" s="7">
        <v>0</v>
      </c>
      <c r="K80" s="117" t="str">
        <f t="shared" si="49"/>
        <v>4001/4002</v>
      </c>
      <c r="L80" s="24" t="str">
        <f>VLOOKUP(A80,'Trips&amp;Operators'!$C$1:$E$10000,3,FALSE)</f>
        <v>BONDS</v>
      </c>
      <c r="M80" s="6">
        <f t="shared" si="50"/>
        <v>2.849537037400296E-2</v>
      </c>
      <c r="N80" s="7">
        <f t="shared" si="46"/>
        <v>41.033333338564262</v>
      </c>
      <c r="O80" s="7"/>
      <c r="P80" s="7"/>
      <c r="Q80" s="25"/>
      <c r="R80" s="25"/>
      <c r="S80" s="37">
        <f t="shared" si="44"/>
        <v>1</v>
      </c>
      <c r="T80" s="52" t="str">
        <f t="shared" si="51"/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10:26:11-0600',mode:absolute,to:'2016-10-03 13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0" s="54" t="str">
        <f t="shared" si="52"/>
        <v>N</v>
      </c>
      <c r="X80" s="164">
        <f t="shared" si="47"/>
        <v>1</v>
      </c>
      <c r="Y80" s="69">
        <f t="shared" si="53"/>
        <v>4.4200000000000003E-2</v>
      </c>
      <c r="Z80" s="69">
        <f t="shared" si="48"/>
        <v>23.333200000000001</v>
      </c>
      <c r="AA80" s="69">
        <f t="shared" si="54"/>
        <v>23.289000000000001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55"/>
        <v>0163-03</v>
      </c>
      <c r="AE80" s="95" t="str">
        <f t="shared" si="56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80" s="92" t="str">
        <f t="shared" si="57"/>
        <v>"C:\Program Files (x86)\AstroGrep\AstroGrep.exe" /spath="%USERPROFILE%\AppData\Local\Temp\OnboardLogs" /stypes="app*4002*20161003*" /stext=" 18:.+((SYSTEM_STATE.+slice.+state.+changed )|(ment ac)|(system.+state.+changed )|(\[timeout)|(PRM\|1\|D)|(kpr)|(kdp)|(\|lc)|(penalty))" /e /r /s</v>
      </c>
      <c r="AG80" s="1" t="str">
        <f t="shared" si="58"/>
        <v>EC</v>
      </c>
      <c r="AH80" s="96" t="str">
        <f t="shared" si="60"/>
        <v>"%USERPROFILE%\Documents\GitHub\eaglep3\Utilities\RefineRTDCRunTimes.py" --tripid 163-03 --locoid 4002 --swversion DE.1.0.7.0 --startMP 204:442 --initTime 2016-10-03T11:26:11 --startdatetime 2016-10-03T11:30:13 --delay 1 --endMP 204:233332 --enddatetime 2016-10-03T12:11:15 --enforcementcount 0 &gt;&gt;C:\Users\stu\Documents\GitHub\eaglep3-reporting\EC\2016-10-03-refined-times.txt</v>
      </c>
      <c r="AI80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{"issue":{"subject":"","project_id":79,"tracker_id":40,"status_id":1,"priority_id":2,"assigned_to_id":23,"start_date":"2016-10-03","description":"","custom_fields":[{"id":1,"name":"Subdivision","value":"EC"},{"id":4,"name":"Milepost","value":"23.3332"},{"id":17,"name":"Train ID","value":"163-03"},{"id":16,"name":"Locomotive ID","value":"4002"},{"id":130,"name":"Impact","value":""},{"id":150,"name":"Time of Event (Mountain Time)","value":"12:11:15"},{"id":151,"name":"Denver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499</v>
      </c>
      <c r="B81" s="7">
        <v>4001</v>
      </c>
      <c r="C81" s="24" t="s">
        <v>106</v>
      </c>
      <c r="D81" s="24" t="s">
        <v>264</v>
      </c>
      <c r="E81" s="15">
        <v>42646.512696759259</v>
      </c>
      <c r="F81" s="15">
        <v>42646.518425925926</v>
      </c>
      <c r="G81" s="7">
        <v>1</v>
      </c>
      <c r="H81" s="15" t="s">
        <v>500</v>
      </c>
      <c r="I81" s="15">
        <v>42646.545613425929</v>
      </c>
      <c r="J81" s="7">
        <v>0</v>
      </c>
      <c r="K81" s="117" t="str">
        <f t="shared" si="49"/>
        <v>4001/4002</v>
      </c>
      <c r="L81" s="24" t="str">
        <f>VLOOKUP(A81,'Trips&amp;Operators'!$C$1:$E$10000,3,FALSE)</f>
        <v>BONDS</v>
      </c>
      <c r="M81" s="6">
        <f t="shared" si="50"/>
        <v>2.718750000349246E-2</v>
      </c>
      <c r="N81" s="7">
        <f t="shared" si="46"/>
        <v>39.150000005029142</v>
      </c>
      <c r="O81" s="7"/>
      <c r="P81" s="7"/>
      <c r="Q81" s="25"/>
      <c r="R81" s="25"/>
      <c r="S81" s="37">
        <f t="shared" si="44"/>
        <v>1</v>
      </c>
      <c r="T81" s="52" t="str">
        <f t="shared" si="51"/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11:18:17-0600',mode:absolute,to:'2016-10-03 14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1" s="54" t="str">
        <f t="shared" si="52"/>
        <v>N</v>
      </c>
      <c r="X81" s="164">
        <f t="shared" si="47"/>
        <v>1</v>
      </c>
      <c r="Y81" s="69">
        <f t="shared" si="53"/>
        <v>23.297799999999999</v>
      </c>
      <c r="Z81" s="69">
        <f t="shared" si="48"/>
        <v>1.32E-2</v>
      </c>
      <c r="AA81" s="69">
        <f t="shared" si="54"/>
        <v>23.284599999999998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55"/>
        <v>0164-03</v>
      </c>
      <c r="AE81" s="95" t="str">
        <f t="shared" si="56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81" s="92" t="str">
        <f t="shared" si="57"/>
        <v>"C:\Program Files (x86)\AstroGrep\AstroGrep.exe" /spath="%USERPROFILE%\AppData\Local\Temp\OnboardLogs" /stypes="app*4001*20161003*" /stext=" 19:.+((SYSTEM_STATE.+slice.+state.+changed )|(ment ac)|(system.+state.+changed )|(\[timeout)|(PRM\|1\|D)|(kpr)|(kdp)|(\|lc)|(penalty))" /e /r /s</v>
      </c>
      <c r="AG81" s="1" t="str">
        <f t="shared" si="58"/>
        <v>EC</v>
      </c>
      <c r="AH81" s="96" t="str">
        <f t="shared" si="60"/>
        <v>"%USERPROFILE%\Documents\GitHub\eaglep3\Utilities\RefineRTDCRunTimes.py" --tripid 164-03 --locoid 4001 --swversion DE.1.0.7.0 --startMP 204:232978 --initTime 2016-10-03T12:18:17 --startdatetime 2016-10-03T12:26:32 --delay 1 --endMP 204:132 --enddatetime 2016-10-03T13:05:41 --enforcementcount 0 &gt;&gt;C:\Users\stu\Documents\GitHub\eaglep3-reporting\EC\2016-10-03-refined-times.txt</v>
      </c>
      <c r="AI81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{"issue":{"subject":"","project_id":79,"tracker_id":40,"status_id":1,"priority_id":2,"assigned_to_id":23,"start_date":"2016-10-03","description":"","custom_fields":[{"id":1,"name":"Subdivision","value":"EC"},{"id":4,"name":"Milepost","value":"0.0132"},{"id":17,"name":"Train ID","value":"164-03"},{"id":16,"name":"Locomotive ID","value":"4001"},{"id":130,"name":"Impact","value":""},{"id":150,"name":"Time of Event (Mountain Time)","value":"13:05:41"},{"id":151,"name":"Denver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501</v>
      </c>
      <c r="B82" s="7">
        <v>4003</v>
      </c>
      <c r="C82" s="24" t="s">
        <v>106</v>
      </c>
      <c r="D82" s="24" t="s">
        <v>344</v>
      </c>
      <c r="E82" s="15">
        <v>42646.489502314813</v>
      </c>
      <c r="F82" s="15">
        <v>42646.493125000001</v>
      </c>
      <c r="G82" s="7">
        <v>3</v>
      </c>
      <c r="H82" s="15" t="s">
        <v>298</v>
      </c>
      <c r="I82" s="15">
        <v>42646.522592592592</v>
      </c>
      <c r="J82" s="7">
        <v>0</v>
      </c>
      <c r="K82" s="117" t="str">
        <f t="shared" si="49"/>
        <v>4003/4004</v>
      </c>
      <c r="L82" s="24" t="str">
        <f>VLOOKUP(A82,'Trips&amp;Operators'!$C$1:$E$10000,3,FALSE)</f>
        <v>CLARK</v>
      </c>
      <c r="M82" s="6">
        <f t="shared" si="50"/>
        <v>2.9467592590663116E-2</v>
      </c>
      <c r="N82" s="7">
        <f t="shared" si="46"/>
        <v>42.433333330554888</v>
      </c>
      <c r="O82" s="7"/>
      <c r="P82" s="7"/>
      <c r="Q82" s="25"/>
      <c r="R82" s="25"/>
      <c r="S82" s="37">
        <f t="shared" si="44"/>
        <v>1</v>
      </c>
      <c r="T82" s="52" t="str">
        <f t="shared" si="51"/>
        <v>NorthBound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10:44:53-0600',mode:absolute,to:'2016-10-03 13:32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2" s="54" t="str">
        <f t="shared" si="52"/>
        <v>N</v>
      </c>
      <c r="X82" s="164">
        <f t="shared" si="47"/>
        <v>1</v>
      </c>
      <c r="Y82" s="69">
        <f t="shared" si="53"/>
        <v>4.7500000000000001E-2</v>
      </c>
      <c r="Z82" s="69">
        <f t="shared" si="48"/>
        <v>23.327400000000001</v>
      </c>
      <c r="AA82" s="69">
        <f t="shared" si="54"/>
        <v>23.279900000000001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55"/>
        <v>0165-03</v>
      </c>
      <c r="AE82" s="95" t="str">
        <f t="shared" si="56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82" s="92" t="str">
        <f t="shared" si="57"/>
        <v>"C:\Program Files (x86)\AstroGrep\AstroGrep.exe" /spath="%USERPROFILE%\AppData\Local\Temp\OnboardLogs" /stypes="app*4003*20161003*" /stext=" 18:.+((SYSTEM_STATE.+slice.+state.+changed )|(ment ac)|(system.+state.+changed )|(\[timeout)|(PRM\|1\|D)|(kpr)|(kdp)|(\|lc)|(penalty))" /e /r /s</v>
      </c>
      <c r="AG82" s="1" t="str">
        <f t="shared" si="58"/>
        <v>EC</v>
      </c>
      <c r="AH82" s="96" t="str">
        <f t="shared" si="60"/>
        <v>"%USERPROFILE%\Documents\GitHub\eaglep3\Utilities\RefineRTDCRunTimes.py" --tripid 165-03 --locoid 4003 --swversion DE.1.0.7.0 --startMP 204:475 --initTime 2016-10-03T11:44:53 --startdatetime 2016-10-03T11:50:06 --delay 3 --endMP 204:233274 --enddatetime 2016-10-03T12:32:32 --enforcementcount 0 &gt;&gt;C:\Users\stu\Documents\GitHub\eaglep3-reporting\EC\2016-10-03-refined-times.txt</v>
      </c>
      <c r="AI82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{"issue":{"subject":"","project_id":79,"tracker_id":40,"status_id":1,"priority_id":2,"assigned_to_id":23,"start_date":"2016-10-03","description":"","custom_fields":[{"id":1,"name":"Subdivision","value":"EC"},{"id":4,"name":"Milepost","value":"23.3274"},{"id":17,"name":"Train ID","value":"165-03"},{"id":16,"name":"Locomotive ID","value":"4003"},{"id":130,"name":"Impact","value":""},{"id":150,"name":"Time of Event (Mountain Time)","value":"12:32:32"},{"id":151,"name":"Denver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502</v>
      </c>
      <c r="B83" s="7">
        <v>4004</v>
      </c>
      <c r="C83" s="24" t="s">
        <v>106</v>
      </c>
      <c r="D83" s="24" t="s">
        <v>503</v>
      </c>
      <c r="E83" s="15">
        <v>42646.526076388887</v>
      </c>
      <c r="F83" s="15">
        <v>42646.528657407405</v>
      </c>
      <c r="G83" s="7">
        <v>1</v>
      </c>
      <c r="H83" s="15" t="s">
        <v>202</v>
      </c>
      <c r="I83" s="15">
        <v>42646.557106481479</v>
      </c>
      <c r="J83" s="7">
        <v>0</v>
      </c>
      <c r="K83" s="117" t="str">
        <f t="shared" si="49"/>
        <v>4003/4004</v>
      </c>
      <c r="L83" s="24" t="str">
        <f>VLOOKUP(A83,'Trips&amp;Operators'!$C$1:$E$10000,3,FALSE)</f>
        <v>CLARK</v>
      </c>
      <c r="M83" s="6">
        <f t="shared" si="50"/>
        <v>2.8449074074160308E-2</v>
      </c>
      <c r="N83" s="7">
        <f t="shared" si="46"/>
        <v>40.966666666790843</v>
      </c>
      <c r="O83" s="7"/>
      <c r="P83" s="7"/>
      <c r="Q83" s="25"/>
      <c r="R83" s="25"/>
      <c r="S83" s="37">
        <f t="shared" si="44"/>
        <v>1</v>
      </c>
      <c r="T83" s="52" t="str">
        <f t="shared" si="51"/>
        <v>Southbound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11:37:33-0600',mode:absolute,to:'2016-10-03 14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3" s="54" t="str">
        <f t="shared" si="52"/>
        <v>N</v>
      </c>
      <c r="X83" s="164">
        <f t="shared" si="47"/>
        <v>1</v>
      </c>
      <c r="Y83" s="69">
        <f t="shared" si="53"/>
        <v>23.295300000000001</v>
      </c>
      <c r="Z83" s="69">
        <f t="shared" si="48"/>
        <v>1.5800000000000002E-2</v>
      </c>
      <c r="AA83" s="69">
        <f t="shared" si="54"/>
        <v>23.279500000000002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55"/>
        <v>0166-03</v>
      </c>
      <c r="AE83" s="95" t="str">
        <f t="shared" si="56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83" s="92" t="str">
        <f t="shared" si="57"/>
        <v>"C:\Program Files (x86)\AstroGrep\AstroGrep.exe" /spath="%USERPROFILE%\AppData\Local\Temp\OnboardLogs" /stypes="app*4004*20161003*" /stext=" 19:.+((SYSTEM_STATE.+slice.+state.+changed )|(ment ac)|(system.+state.+changed )|(\[timeout)|(PRM\|1\|D)|(kpr)|(kdp)|(\|lc)|(penalty))" /e /r /s</v>
      </c>
      <c r="AG83" s="1" t="str">
        <f t="shared" si="58"/>
        <v>EC</v>
      </c>
      <c r="AH83" s="96" t="str">
        <f t="shared" si="60"/>
        <v>"%USERPROFILE%\Documents\GitHub\eaglep3\Utilities\RefineRTDCRunTimes.py" --tripid 166-03 --locoid 4004 --swversion DE.1.0.7.0 --startMP 204:232953 --initTime 2016-10-03T12:37:33 --startdatetime 2016-10-03T12:41:16 --delay 1 --endMP 204:158 --enddatetime 2016-10-03T13:22:14 --enforcementcount 0 &gt;&gt;C:\Users\stu\Documents\GitHub\eaglep3-reporting\EC\2016-10-03-refined-times.txt</v>
      </c>
      <c r="AI83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{"issue":{"subject":"","project_id":79,"tracker_id":40,"status_id":1,"priority_id":2,"assigned_to_id":23,"start_date":"2016-10-03","description":"","custom_fields":[{"id":1,"name":"Subdivision","value":"EC"},{"id":4,"name":"Milepost","value":"0.0158"},{"id":17,"name":"Train ID","value":"166-03"},{"id":16,"name":"Locomotive ID","value":"4004"},{"id":130,"name":"Impact","value":""},{"id":150,"name":"Time of Event (Mountain Time)","value":"13:22:14"},{"id":151,"name":"Denver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504</v>
      </c>
      <c r="B84" s="7">
        <v>4040</v>
      </c>
      <c r="C84" s="24" t="s">
        <v>106</v>
      </c>
      <c r="D84" s="24" t="s">
        <v>467</v>
      </c>
      <c r="E84" s="15">
        <v>42646.501747685186</v>
      </c>
      <c r="F84" s="15">
        <v>42646.505624999998</v>
      </c>
      <c r="G84" s="7">
        <v>2</v>
      </c>
      <c r="H84" s="15" t="s">
        <v>255</v>
      </c>
      <c r="I84" s="15">
        <v>42646.53297453704</v>
      </c>
      <c r="J84" s="7">
        <v>0</v>
      </c>
      <c r="K84" s="117" t="str">
        <f t="shared" si="49"/>
        <v>4039/4040</v>
      </c>
      <c r="L84" s="24" t="str">
        <f>VLOOKUP(A84,'Trips&amp;Operators'!$C$1:$E$10000,3,FALSE)</f>
        <v>YOUNG</v>
      </c>
      <c r="M84" s="6">
        <f t="shared" si="50"/>
        <v>2.7349537042027805E-2</v>
      </c>
      <c r="N84" s="7">
        <f t="shared" si="46"/>
        <v>39.383333340520039</v>
      </c>
      <c r="O84" s="7"/>
      <c r="P84" s="7"/>
      <c r="Q84" s="25"/>
      <c r="R84" s="25"/>
      <c r="S84" s="37">
        <f t="shared" si="44"/>
        <v>1</v>
      </c>
      <c r="T84" s="52" t="str">
        <f t="shared" si="51"/>
        <v>NorthBound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11:02:31-0600',mode:absolute,to:'2016-10-03 13:47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4" s="54" t="str">
        <f t="shared" si="52"/>
        <v>N</v>
      </c>
      <c r="X84" s="164">
        <f t="shared" si="47"/>
        <v>1</v>
      </c>
      <c r="Y84" s="69">
        <f t="shared" si="53"/>
        <v>4.82E-2</v>
      </c>
      <c r="Z84" s="69">
        <f t="shared" si="48"/>
        <v>23.3309</v>
      </c>
      <c r="AA84" s="69">
        <f t="shared" si="54"/>
        <v>23.282699999999998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55"/>
        <v>0167-03</v>
      </c>
      <c r="AE84" s="95" t="str">
        <f t="shared" si="56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84" s="92" t="str">
        <f t="shared" si="57"/>
        <v>"C:\Program Files (x86)\AstroGrep\AstroGrep.exe" /spath="%USERPROFILE%\AppData\Local\Temp\OnboardLogs" /stypes="app*4040*20161003*" /stext=" 18:.+((SYSTEM_STATE.+slice.+state.+changed )|(ment ac)|(system.+state.+changed )|(\[timeout)|(PRM\|1\|D)|(kpr)|(kdp)|(\|lc)|(penalty))" /e /r /s</v>
      </c>
      <c r="AG84" s="1" t="str">
        <f t="shared" si="58"/>
        <v>EC</v>
      </c>
      <c r="AH84" s="96" t="str">
        <f t="shared" si="60"/>
        <v>"%USERPROFILE%\Documents\GitHub\eaglep3\Utilities\RefineRTDCRunTimes.py" --tripid 167-03 --locoid 4040 --swversion DE.1.0.7.0 --startMP 204:482 --initTime 2016-10-03T12:02:31 --startdatetime 2016-10-03T12:08:06 --delay 2 --endMP 204:233309 --enddatetime 2016-10-03T12:47:29 --enforcementcount 0 &gt;&gt;C:\Users\stu\Documents\GitHub\eaglep3-reporting\EC\2016-10-03-refined-times.txt</v>
      </c>
      <c r="AI84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{"issue":{"subject":"","project_id":79,"tracker_id":40,"status_id":1,"priority_id":2,"assigned_to_id":23,"start_date":"2016-10-03","description":"","custom_fields":[{"id":1,"name":"Subdivision","value":"EC"},{"id":4,"name":"Milepost","value":"23.3309"},{"id":17,"name":"Train ID","value":"167-03"},{"id":16,"name":"Locomotive ID","value":"4040"},{"id":130,"name":"Impact","value":""},{"id":150,"name":"Time of Event (Mountain Time)","value":"12:47:29"},{"id":151,"name":"Denver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505</v>
      </c>
      <c r="B85" s="7">
        <v>4039</v>
      </c>
      <c r="C85" s="24" t="s">
        <v>106</v>
      </c>
      <c r="D85" s="24" t="s">
        <v>253</v>
      </c>
      <c r="E85" s="15">
        <v>42646.534768518519</v>
      </c>
      <c r="F85" s="15">
        <v>42646.539247685185</v>
      </c>
      <c r="G85" s="7">
        <v>1</v>
      </c>
      <c r="H85" s="15" t="s">
        <v>428</v>
      </c>
      <c r="I85" s="15">
        <v>42646.567129629628</v>
      </c>
      <c r="J85" s="7">
        <v>0</v>
      </c>
      <c r="K85" s="117" t="str">
        <f t="shared" si="49"/>
        <v>4039/4040</v>
      </c>
      <c r="L85" s="24" t="str">
        <f>VLOOKUP(A85,'Trips&amp;Operators'!$C$1:$E$10000,3,FALSE)</f>
        <v>YOUNG</v>
      </c>
      <c r="M85" s="6">
        <f t="shared" si="50"/>
        <v>2.7881944442924578E-2</v>
      </c>
      <c r="N85" s="7">
        <f t="shared" si="46"/>
        <v>40.149999997811392</v>
      </c>
      <c r="O85" s="7"/>
      <c r="P85" s="7"/>
      <c r="Q85" s="25"/>
      <c r="R85" s="25"/>
      <c r="S85" s="37">
        <f t="shared" si="44"/>
        <v>1</v>
      </c>
      <c r="T85" s="52" t="str">
        <f t="shared" si="51"/>
        <v>Southbound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11:50:04-0600',mode:absolute,to:'2016-10-03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5" s="54" t="str">
        <f t="shared" si="52"/>
        <v>N</v>
      </c>
      <c r="X85" s="164">
        <f t="shared" si="47"/>
        <v>1</v>
      </c>
      <c r="Y85" s="69">
        <f t="shared" si="53"/>
        <v>23.2988</v>
      </c>
      <c r="Z85" s="69">
        <f t="shared" si="48"/>
        <v>1.7000000000000001E-2</v>
      </c>
      <c r="AA85" s="69">
        <f t="shared" si="54"/>
        <v>23.2818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55"/>
        <v>0168-03</v>
      </c>
      <c r="AE85" s="95" t="str">
        <f t="shared" si="56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85" s="92" t="str">
        <f t="shared" si="57"/>
        <v>"C:\Program Files (x86)\AstroGrep\AstroGrep.exe" /spath="%USERPROFILE%\AppData\Local\Temp\OnboardLogs" /stypes="app*4039*20161003*" /stext=" 19:.+((SYSTEM_STATE.+slice.+state.+changed )|(ment ac)|(system.+state.+changed )|(\[timeout)|(PRM\|1\|D)|(kpr)|(kdp)|(\|lc)|(penalty))" /e /r /s</v>
      </c>
      <c r="AG85" s="1" t="str">
        <f t="shared" si="58"/>
        <v>EC</v>
      </c>
      <c r="AH85" s="96" t="str">
        <f t="shared" si="60"/>
        <v>"%USERPROFILE%\Documents\GitHub\eaglep3\Utilities\RefineRTDCRunTimes.py" --tripid 168-03 --locoid 4039 --swversion DE.1.0.7.0 --startMP 204:232988 --initTime 2016-10-03T12:50:04 --startdatetime 2016-10-03T12:56:31 --delay 1 --endMP 204:170 --enddatetime 2016-10-03T13:36:40 --enforcementcount 0 &gt;&gt;C:\Users\stu\Documents\GitHub\eaglep3-reporting\EC\2016-10-03-refined-times.txt</v>
      </c>
      <c r="AI85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{"issue":{"subject":"","project_id":79,"tracker_id":40,"status_id":1,"priority_id":2,"assigned_to_id":23,"start_date":"2016-10-03","description":"","custom_fields":[{"id":1,"name":"Subdivision","value":"EC"},{"id":4,"name":"Milepost","value":"0.017"},{"id":17,"name":"Train ID","value":"168-03"},{"id":16,"name":"Locomotive ID","value":"4039"},{"id":130,"name":"Impact","value":""},{"id":150,"name":"Time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506</v>
      </c>
      <c r="B86" s="7">
        <v>4018</v>
      </c>
      <c r="C86" s="24" t="s">
        <v>106</v>
      </c>
      <c r="D86" s="24" t="s">
        <v>498</v>
      </c>
      <c r="E86" s="15">
        <v>42646.508738425924</v>
      </c>
      <c r="F86" s="15">
        <v>42646.512280092589</v>
      </c>
      <c r="G86" s="7">
        <v>1</v>
      </c>
      <c r="H86" s="15" t="s">
        <v>245</v>
      </c>
      <c r="I86" s="15">
        <v>42646.542523148149</v>
      </c>
      <c r="J86" s="7">
        <v>0</v>
      </c>
      <c r="K86" s="117" t="str">
        <f t="shared" si="49"/>
        <v>4017/4018</v>
      </c>
      <c r="L86" s="24" t="str">
        <f>VLOOKUP(A86,'Trips&amp;Operators'!$C$1:$E$10000,3,FALSE)</f>
        <v>HELVIE</v>
      </c>
      <c r="M86" s="6">
        <f t="shared" si="50"/>
        <v>3.0243055560276844E-2</v>
      </c>
      <c r="N86" s="7">
        <f t="shared" si="46"/>
        <v>43.550000006798655</v>
      </c>
      <c r="O86" s="7"/>
      <c r="P86" s="7"/>
      <c r="Q86" s="25"/>
      <c r="R86" s="25"/>
      <c r="S86" s="37">
        <f t="shared" si="44"/>
        <v>1</v>
      </c>
      <c r="T86" s="52" t="str">
        <f t="shared" si="51"/>
        <v>NorthBound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11:12:35-0600',mode:absolute,to:'2016-10-03 14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6" s="54" t="str">
        <f t="shared" si="52"/>
        <v>N</v>
      </c>
      <c r="X86" s="164">
        <f t="shared" si="47"/>
        <v>1</v>
      </c>
      <c r="Y86" s="69">
        <f t="shared" si="53"/>
        <v>4.4200000000000003E-2</v>
      </c>
      <c r="Z86" s="69">
        <f t="shared" si="48"/>
        <v>23.3293</v>
      </c>
      <c r="AA86" s="69">
        <f t="shared" si="54"/>
        <v>23.2851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55"/>
        <v>0169-03</v>
      </c>
      <c r="AE86" s="95" t="str">
        <f t="shared" si="56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86" s="92" t="str">
        <f t="shared" si="57"/>
        <v>"C:\Program Files (x86)\AstroGrep\AstroGrep.exe" /spath="%USERPROFILE%\AppData\Local\Temp\OnboardLogs" /stypes="app*4018*20161003*" /stext=" 19:.+((SYSTEM_STATE.+slice.+state.+changed )|(ment ac)|(system.+state.+changed )|(\[timeout)|(PRM\|1\|D)|(kpr)|(kdp)|(\|lc)|(penalty))" /e /r /s</v>
      </c>
      <c r="AG86" s="1" t="str">
        <f t="shared" si="58"/>
        <v>EC</v>
      </c>
      <c r="AH86" s="96" t="str">
        <f t="shared" si="60"/>
        <v>"%USERPROFILE%\Documents\GitHub\eaglep3\Utilities\RefineRTDCRunTimes.py" --tripid 169-03 --locoid 4018 --swversion DE.1.0.7.0 --startMP 204:442 --initTime 2016-10-03T12:12:35 --startdatetime 2016-10-03T12:17:41 --delay 1 --endMP 204:233293 --enddatetime 2016-10-03T13:01:14 --enforcementcount 0 &gt;&gt;C:\Users\stu\Documents\GitHub\eaglep3-reporting\EC\2016-10-03-refined-times.txt</v>
      </c>
      <c r="AI86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{"issue":{"subject":"","project_id":79,"tracker_id":40,"status_id":1,"priority_id":2,"assigned_to_id":23,"start_date":"2016-10-03","description":"","custom_fields":[{"id":1,"name":"Subdivision","value":"EC"},{"id":4,"name":"Milepost","value":"23.3293"},{"id":17,"name":"Train ID","value":"169-03"},{"id":16,"name":"Locomotive ID","value":"4018"},{"id":130,"name":"Impact","value":""},{"id":150,"name":"Time of Event (Mountain Time)","value":"13:01:14"},{"id":151,"name":"Denver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507</v>
      </c>
      <c r="B87" s="7">
        <v>4017</v>
      </c>
      <c r="C87" s="24" t="s">
        <v>106</v>
      </c>
      <c r="D87" s="24" t="s">
        <v>235</v>
      </c>
      <c r="E87" s="15">
        <v>42646.547500000001</v>
      </c>
      <c r="F87" s="15">
        <v>42646.549884259257</v>
      </c>
      <c r="G87" s="7">
        <v>2</v>
      </c>
      <c r="H87" s="15" t="s">
        <v>389</v>
      </c>
      <c r="I87" s="15">
        <v>42646.575972222221</v>
      </c>
      <c r="J87" s="7">
        <v>0</v>
      </c>
      <c r="K87" s="117" t="str">
        <f t="shared" si="49"/>
        <v>4017/4018</v>
      </c>
      <c r="L87" s="24" t="str">
        <f>VLOOKUP(A87,'Trips&amp;Operators'!$C$1:$E$10000,3,FALSE)</f>
        <v>HELVIE</v>
      </c>
      <c r="M87" s="6">
        <f t="shared" si="50"/>
        <v>2.6087962964083999E-2</v>
      </c>
      <c r="N87" s="7">
        <f t="shared" si="46"/>
        <v>37.566666668280959</v>
      </c>
      <c r="O87" s="7"/>
      <c r="P87" s="7"/>
      <c r="Q87" s="25"/>
      <c r="R87" s="25"/>
      <c r="S87" s="37">
        <f t="shared" si="44"/>
        <v>1</v>
      </c>
      <c r="T87" s="52" t="str">
        <f t="shared" si="51"/>
        <v>Southbound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12:08:24-0600',mode:absolute,to:'2016-10-03 14:49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7" s="54" t="str">
        <f t="shared" si="52"/>
        <v>N</v>
      </c>
      <c r="X87" s="164">
        <f t="shared" si="47"/>
        <v>1</v>
      </c>
      <c r="Y87" s="69">
        <f t="shared" si="53"/>
        <v>23.297699999999999</v>
      </c>
      <c r="Z87" s="69">
        <f t="shared" si="48"/>
        <v>1.67E-2</v>
      </c>
      <c r="AA87" s="69">
        <f t="shared" si="54"/>
        <v>23.280999999999999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55"/>
        <v>0170-03</v>
      </c>
      <c r="AE87" s="95" t="str">
        <f t="shared" si="56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87" s="92" t="str">
        <f t="shared" si="57"/>
        <v>"C:\Program Files (x86)\AstroGrep\AstroGrep.exe" /spath="%USERPROFILE%\AppData\Local\Temp\OnboardLogs" /stypes="app*4017*20161003*" /stext=" 19:.+((SYSTEM_STATE.+slice.+state.+changed )|(ment ac)|(system.+state.+changed )|(\[timeout)|(PRM\|1\|D)|(kpr)|(kdp)|(\|lc)|(penalty))" /e /r /s</v>
      </c>
      <c r="AG87" s="1" t="str">
        <f t="shared" si="58"/>
        <v>EC</v>
      </c>
      <c r="AH87" s="96" t="str">
        <f t="shared" si="60"/>
        <v>"%USERPROFILE%\Documents\GitHub\eaglep3\Utilities\RefineRTDCRunTimes.py" --tripid 170-03 --locoid 4017 --swversion DE.1.0.7.0 --startMP 204:232977 --initTime 2016-10-03T13:08:24 --startdatetime 2016-10-03T13:11:50 --delay 2 --endMP 204:167 --enddatetime 2016-10-03T13:49:24 --enforcementcount 0 &gt;&gt;C:\Users\stu\Documents\GitHub\eaglep3-reporting\EC\2016-10-03-refined-times.txt</v>
      </c>
      <c r="AI87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{"issue":{"subject":"","project_id":79,"tracker_id":40,"status_id":1,"priority_id":2,"assigned_to_id":23,"start_date":"2016-10-03","description":"","custom_fields":[{"id":1,"name":"Subdivision","value":"EC"},{"id":4,"name":"Milepost","value":"0.0167"},{"id":17,"name":"Train ID","value":"170-03"},{"id":16,"name":"Locomotive ID","value":"4017"},{"id":130,"name":"Impact","value":""},{"id":150,"name":"Time of Event (Mountain Time)","value":"13:49:24"},{"id":151,"name":"Denver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508</v>
      </c>
      <c r="B88" s="7">
        <v>4029</v>
      </c>
      <c r="C88" s="24" t="s">
        <v>106</v>
      </c>
      <c r="D88" s="24" t="s">
        <v>341</v>
      </c>
      <c r="E88" s="15">
        <v>42646.520682870374</v>
      </c>
      <c r="F88" s="15">
        <v>42646.524143518516</v>
      </c>
      <c r="G88" s="7">
        <v>1</v>
      </c>
      <c r="H88" s="15" t="s">
        <v>409</v>
      </c>
      <c r="I88" s="15">
        <v>42646.553668981483</v>
      </c>
      <c r="J88" s="7">
        <v>0</v>
      </c>
      <c r="K88" s="117" t="str">
        <f t="shared" si="49"/>
        <v>4029/4030</v>
      </c>
      <c r="L88" s="24" t="str">
        <f>VLOOKUP(A88,'Trips&amp;Operators'!$C$1:$E$10000,3,FALSE)</f>
        <v>SHOOK</v>
      </c>
      <c r="M88" s="6">
        <f t="shared" si="50"/>
        <v>2.9525462967285421E-2</v>
      </c>
      <c r="N88" s="7">
        <f t="shared" si="46"/>
        <v>42.516666672891006</v>
      </c>
      <c r="O88" s="7"/>
      <c r="P88" s="7"/>
      <c r="Q88" s="25"/>
      <c r="R88" s="25"/>
      <c r="S88" s="37">
        <f t="shared" si="44"/>
        <v>1</v>
      </c>
      <c r="T88" s="52" t="str">
        <f t="shared" si="51"/>
        <v>NorthBound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11:29:47-0600',mode:absolute,to:'2016-10-03 14:17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8" s="54" t="str">
        <f t="shared" si="52"/>
        <v>N</v>
      </c>
      <c r="X88" s="164">
        <f t="shared" si="47"/>
        <v>1</v>
      </c>
      <c r="Y88" s="69">
        <f t="shared" si="53"/>
        <v>4.6699999999999998E-2</v>
      </c>
      <c r="Z88" s="69">
        <f t="shared" si="48"/>
        <v>23.335999999999999</v>
      </c>
      <c r="AA88" s="69">
        <f t="shared" si="54"/>
        <v>23.289299999999997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55"/>
        <v>0171-03</v>
      </c>
      <c r="AE88" s="95" t="str">
        <f t="shared" si="56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88" s="92" t="str">
        <f t="shared" si="57"/>
        <v>"C:\Program Files (x86)\AstroGrep\AstroGrep.exe" /spath="%USERPROFILE%\AppData\Local\Temp\OnboardLogs" /stypes="app*4029*20161003*" /stext=" 19:.+((SYSTEM_STATE.+slice.+state.+changed )|(ment ac)|(system.+state.+changed )|(\[timeout)|(PRM\|1\|D)|(kpr)|(kdp)|(\|lc)|(penalty))" /e /r /s</v>
      </c>
      <c r="AG88" s="1" t="str">
        <f t="shared" si="58"/>
        <v>EC</v>
      </c>
      <c r="AH88" s="96" t="str">
        <f t="shared" si="60"/>
        <v>"%USERPROFILE%\Documents\GitHub\eaglep3\Utilities\RefineRTDCRunTimes.py" --tripid 171-03 --locoid 4029 --swversion DE.1.0.7.0 --startMP 204:467 --initTime 2016-10-03T12:29:47 --startdatetime 2016-10-03T12:34:46 --delay 1 --endMP 204:233360 --enddatetime 2016-10-03T13:17:17 --enforcementcount 0 &gt;&gt;C:\Users\stu\Documents\GitHub\eaglep3-reporting\EC\2016-10-03-refined-times.txt</v>
      </c>
      <c r="AI88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{"issue":{"subject":"","project_id":79,"tracker_id":40,"status_id":1,"priority_id":2,"assigned_to_id":23,"start_date":"2016-10-03","description":"","custom_fields":[{"id":1,"name":"Subdivision","value":"EC"},{"id":4,"name":"Milepost","value":"23.336"},{"id":17,"name":"Train ID","value":"171-03"},{"id":16,"name":"Locomotive ID","value":"4029"},{"id":130,"name":"Impact","value":""},{"id":150,"name":"Time of Event (Mountain Time)","value":"13:17:17"},{"id":151,"name":"Denver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509</v>
      </c>
      <c r="B89" s="7">
        <v>4030</v>
      </c>
      <c r="C89" s="24" t="s">
        <v>106</v>
      </c>
      <c r="D89" s="24" t="s">
        <v>510</v>
      </c>
      <c r="E89" s="15">
        <v>42646.556689814817</v>
      </c>
      <c r="F89" s="15">
        <v>42646.559942129628</v>
      </c>
      <c r="G89" s="7">
        <v>1</v>
      </c>
      <c r="H89" s="15" t="s">
        <v>203</v>
      </c>
      <c r="I89" s="15">
        <v>42646.587222222224</v>
      </c>
      <c r="J89" s="7">
        <v>0</v>
      </c>
      <c r="K89" s="117" t="str">
        <f t="shared" si="49"/>
        <v>4029/4030</v>
      </c>
      <c r="L89" s="24" t="str">
        <f>VLOOKUP(A89,'Trips&amp;Operators'!$C$1:$E$10000,3,FALSE)</f>
        <v>SHOOK</v>
      </c>
      <c r="M89" s="6">
        <f t="shared" si="50"/>
        <v>2.7280092595901806E-2</v>
      </c>
      <c r="N89" s="7">
        <f t="shared" si="46"/>
        <v>39.283333338098601</v>
      </c>
      <c r="O89" s="7"/>
      <c r="P89" s="7"/>
      <c r="Q89" s="25"/>
      <c r="R89" s="25"/>
      <c r="S89" s="37">
        <f t="shared" si="44"/>
        <v>1</v>
      </c>
      <c r="T89" s="52" t="str">
        <f t="shared" si="51"/>
        <v>Southbound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12:21:38-0600',mode:absolute,to:'2016-10-03 15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9" s="54" t="str">
        <f t="shared" si="52"/>
        <v>N</v>
      </c>
      <c r="X89" s="164">
        <f t="shared" si="47"/>
        <v>1</v>
      </c>
      <c r="Y89" s="69">
        <f t="shared" si="53"/>
        <v>23.303599999999999</v>
      </c>
      <c r="Z89" s="69">
        <f t="shared" si="48"/>
        <v>1.47E-2</v>
      </c>
      <c r="AA89" s="69">
        <f t="shared" si="54"/>
        <v>23.288899999999998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55"/>
        <v>0172-03</v>
      </c>
      <c r="AE89" s="95" t="str">
        <f t="shared" si="56"/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AF89" s="92" t="str">
        <f t="shared" si="57"/>
        <v>"C:\Program Files (x86)\AstroGrep\AstroGrep.exe" /spath="%USERPROFILE%\AppData\Local\Temp\OnboardLogs" /stypes="app*4030*20161003*" /stext=" 20:.+((SYSTEM_STATE.+slice.+state.+changed )|(ment ac)|(system.+state.+changed )|(\[timeout)|(PRM\|1\|D)|(kpr)|(kdp)|(\|lc)|(penalty))" /e /r /s</v>
      </c>
      <c r="AG89" s="1" t="str">
        <f t="shared" si="58"/>
        <v>EC</v>
      </c>
      <c r="AH89" s="96" t="str">
        <f t="shared" si="60"/>
        <v>"%USERPROFILE%\Documents\GitHub\eaglep3\Utilities\RefineRTDCRunTimes.py" --tripid 172-03 --locoid 4030 --swversion DE.1.0.7.0 --startMP 204:233036 --initTime 2016-10-03T13:21:38 --startdatetime 2016-10-03T13:26:19 --delay 1 --endMP 204:147 --enddatetime 2016-10-03T14:05:36 --enforcementcount 0 &gt;&gt;C:\Users\stu\Documents\GitHub\eaglep3-reporting\EC\2016-10-03-refined-times.txt</v>
      </c>
      <c r="AI89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{"issue":{"subject":"","project_id":79,"tracker_id":40,"status_id":1,"priority_id":2,"assigned_to_id":23,"start_date":"2016-10-03","description":"","custom_fields":[{"id":1,"name":"Subdivision","value":"EC"},{"id":4,"name":"Milepost","value":"0.0147"},{"id":17,"name":"Train ID","value":"172-03"},{"id":16,"name":"Locomotive ID","value":"4030"},{"id":130,"name":"Impact","value":""},{"id":150,"name":"Time of Event (Mountain Time)","value":"14:05:36"},{"id":151,"name":"Denver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511</v>
      </c>
      <c r="B90" s="7">
        <v>4025</v>
      </c>
      <c r="C90" s="24" t="s">
        <v>106</v>
      </c>
      <c r="D90" s="24" t="s">
        <v>208</v>
      </c>
      <c r="E90" s="15">
        <v>42646.531493055554</v>
      </c>
      <c r="F90" s="15">
        <v>42646.533333333333</v>
      </c>
      <c r="G90" s="7">
        <v>1</v>
      </c>
      <c r="H90" s="15" t="s">
        <v>512</v>
      </c>
      <c r="I90" s="15">
        <v>42646.564791666664</v>
      </c>
      <c r="J90" s="7">
        <v>0</v>
      </c>
      <c r="K90" s="117" t="str">
        <f t="shared" si="49"/>
        <v>4025/4026</v>
      </c>
      <c r="L90" s="24" t="str">
        <f>VLOOKUP(A90,'Trips&amp;Operators'!$C$1:$E$10000,3,FALSE)</f>
        <v>STEWART</v>
      </c>
      <c r="M90" s="6">
        <f t="shared" si="50"/>
        <v>3.145833333110204E-2</v>
      </c>
      <c r="N90" s="7">
        <f t="shared" si="46"/>
        <v>45.299999996786937</v>
      </c>
      <c r="O90" s="7"/>
      <c r="P90" s="7"/>
      <c r="Q90" s="25"/>
      <c r="R90" s="25"/>
      <c r="S90" s="37">
        <f t="shared" si="44"/>
        <v>1</v>
      </c>
      <c r="T90" s="52" t="str">
        <f t="shared" si="51"/>
        <v>NorthBound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11:45:21-0600',mode:absolute,to:'2016-10-03 14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0" s="54" t="str">
        <f t="shared" si="52"/>
        <v>N</v>
      </c>
      <c r="X90" s="164">
        <f t="shared" si="47"/>
        <v>1</v>
      </c>
      <c r="Y90" s="69">
        <f t="shared" si="53"/>
        <v>4.5699999999999998E-2</v>
      </c>
      <c r="Z90" s="69">
        <f t="shared" si="48"/>
        <v>23.3125</v>
      </c>
      <c r="AA90" s="69">
        <f t="shared" si="54"/>
        <v>23.2668</v>
      </c>
      <c r="AB90" s="66" t="str">
        <f>VLOOKUP(A90,Enforcements!$C$7:$K$21,8,0)</f>
        <v>Speed (6)</v>
      </c>
      <c r="AC90" s="62" t="str">
        <f>VLOOKUP(A90,Enforcements!$C$7:$E$21,3,0)</f>
        <v>PERMANENT SPEED RESTRICTION</v>
      </c>
      <c r="AD90" s="63" t="str">
        <f t="shared" si="55"/>
        <v>0173-03</v>
      </c>
      <c r="AE90" s="95" t="str">
        <f t="shared" si="56"/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90" s="92" t="str">
        <f t="shared" si="57"/>
        <v>"C:\Program Files (x86)\AstroGrep\AstroGrep.exe" /spath="%USERPROFILE%\AppData\Local\Temp\OnboardLogs" /stypes="app*4025*20161003*" /stext=" 19:.+((SYSTEM_STATE.+slice.+state.+changed )|(ment ac)|(system.+state.+changed )|(\[timeout)|(PRM\|1\|D)|(kpr)|(kdp)|(\|lc)|(penalty))" /e /r /s</v>
      </c>
      <c r="AG90" s="1" t="str">
        <f t="shared" si="58"/>
        <v>EC</v>
      </c>
      <c r="AH90" s="96" t="str">
        <f t="shared" si="60"/>
        <v>"%USERPROFILE%\Documents\GitHub\eaglep3\Utilities\RefineRTDCRunTimes.py" --tripid 173-03 --locoid 4025 --swversion DE.1.0.7.0 --startMP 204:457 --initTime 2016-10-03T12:45:21 --startdatetime 2016-10-03T12:48:00 --delay 1 --endMP 204:233125 --enddatetime 2016-10-03T13:33:18 --enforcementcount 0 &gt;&gt;C:\Users\stu\Documents\GitHub\eaglep3-reporting\EC\2016-10-03-refined-times.txt</v>
      </c>
      <c r="AI90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{"issue":{"subject":"","project_id":79,"tracker_id":40,"status_id":1,"priority_id":2,"assigned_to_id":23,"start_date":"2016-10-03","description":"","custom_fields":[{"id":1,"name":"Subdivision","value":"EC"},{"id":4,"name":"Milepost","value":"23.3125"},{"id":17,"name":"Train ID","value":"173-03"},{"id":16,"name":"Locomotive ID","value":"4025"},{"id":130,"name":"Impact","value":""},{"id":150,"name":"Time of Event (Mountain Time)","value":"13:33:18"},{"id":151,"name":"Denver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513</v>
      </c>
      <c r="B91" s="7">
        <v>4026</v>
      </c>
      <c r="C91" s="24" t="s">
        <v>106</v>
      </c>
      <c r="D91" s="24" t="s">
        <v>514</v>
      </c>
      <c r="E91" s="15">
        <v>42646.567743055559</v>
      </c>
      <c r="F91" s="15">
        <v>42646.570694444446</v>
      </c>
      <c r="G91" s="7">
        <v>1</v>
      </c>
      <c r="H91" s="15" t="s">
        <v>266</v>
      </c>
      <c r="I91" s="15">
        <v>42646.597372685188</v>
      </c>
      <c r="J91" s="7">
        <v>0</v>
      </c>
      <c r="K91" s="117" t="str">
        <f t="shared" si="49"/>
        <v>4025/4026</v>
      </c>
      <c r="L91" s="24" t="str">
        <f>VLOOKUP(A91,'Trips&amp;Operators'!$C$1:$E$10000,3,FALSE)</f>
        <v>STEWART</v>
      </c>
      <c r="M91" s="6">
        <f t="shared" si="50"/>
        <v>2.6678240741603076E-2</v>
      </c>
      <c r="N91" s="7">
        <f t="shared" si="46"/>
        <v>38.41666666790843</v>
      </c>
      <c r="O91" s="7"/>
      <c r="P91" s="7"/>
      <c r="Q91" s="25"/>
      <c r="R91" s="25"/>
      <c r="S91" s="37">
        <f t="shared" ref="S91:S122" si="62">SUM(U91:U91)/IF(AG91="EC",12,1)</f>
        <v>1</v>
      </c>
      <c r="T91" s="52" t="str">
        <f t="shared" si="51"/>
        <v>Southbound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12:37:33-0600',mode:absolute,to:'2016-10-03 15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1" s="54" t="str">
        <f t="shared" si="52"/>
        <v>N</v>
      </c>
      <c r="X91" s="164">
        <f t="shared" si="47"/>
        <v>1</v>
      </c>
      <c r="Y91" s="69">
        <f t="shared" si="53"/>
        <v>23.281700000000001</v>
      </c>
      <c r="Z91" s="69">
        <f t="shared" si="48"/>
        <v>1.61E-2</v>
      </c>
      <c r="AA91" s="69">
        <f t="shared" si="54"/>
        <v>23.265599999999999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55"/>
        <v>0174-03</v>
      </c>
      <c r="AE91" s="95" t="str">
        <f t="shared" si="56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91" s="92" t="str">
        <f t="shared" si="57"/>
        <v>"C:\Program Files (x86)\AstroGrep\AstroGrep.exe" /spath="%USERPROFILE%\AppData\Local\Temp\OnboardLogs" /stypes="app*4026*20161003*" /stext=" 20:.+((SYSTEM_STATE.+slice.+state.+changed )|(ment ac)|(system.+state.+changed )|(\[timeout)|(PRM\|1\|D)|(kpr)|(kdp)|(\|lc)|(penalty))" /e /r /s</v>
      </c>
      <c r="AG91" s="1" t="str">
        <f t="shared" si="58"/>
        <v>EC</v>
      </c>
      <c r="AH91" s="96" t="str">
        <f t="shared" si="60"/>
        <v>"%USERPROFILE%\Documents\GitHub\eaglep3\Utilities\RefineRTDCRunTimes.py" --tripid 174-03 --locoid 4026 --swversion DE.1.0.7.0 --startMP 204:232817 --initTime 2016-10-03T13:37:33 --startdatetime 2016-10-03T13:41:48 --delay 1 --endMP 204:161 --enddatetime 2016-10-03T14:20:13 --enforcementcount 0 &gt;&gt;C:\Users\stu\Documents\GitHub\eaglep3-reporting\EC\2016-10-03-refined-times.txt</v>
      </c>
      <c r="AI91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{"issue":{"subject":"","project_id":79,"tracker_id":40,"status_id":1,"priority_id":2,"assigned_to_id":23,"start_date":"2016-10-03","description":"","custom_fields":[{"id":1,"name":"Subdivision","value":"EC"},{"id":4,"name":"Milepost","value":"0.0161"},{"id":17,"name":"Train ID","value":"174-03"},{"id":16,"name":"Locomotive ID","value":"4026"},{"id":130,"name":"Impact","value":""},{"id":150,"name":"Time of Event (Mountain Time)","value":"14:20:13"},{"id":151,"name":"Denver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515</v>
      </c>
      <c r="B92" s="7">
        <v>4046</v>
      </c>
      <c r="C92" s="24" t="s">
        <v>106</v>
      </c>
      <c r="D92" s="24" t="s">
        <v>268</v>
      </c>
      <c r="E92" s="15">
        <v>42646.536608796298</v>
      </c>
      <c r="F92" s="15">
        <v>42646.541921296295</v>
      </c>
      <c r="G92" s="7">
        <v>1</v>
      </c>
      <c r="H92" s="15" t="s">
        <v>246</v>
      </c>
      <c r="I92" s="15">
        <v>42646.568796296298</v>
      </c>
      <c r="J92" s="7">
        <v>0</v>
      </c>
      <c r="K92" s="117" t="str">
        <f t="shared" si="49"/>
        <v>4045/4046</v>
      </c>
      <c r="L92" s="24" t="str">
        <f>VLOOKUP(A92,'Trips&amp;Operators'!$C$1:$E$10000,3,FALSE)</f>
        <v>BARTLETT</v>
      </c>
      <c r="M92" s="6">
        <f t="shared" si="50"/>
        <v>2.6875000003201421E-2</v>
      </c>
      <c r="N92" s="7">
        <f t="shared" si="46"/>
        <v>38.700000004610047</v>
      </c>
      <c r="O92" s="7"/>
      <c r="P92" s="7"/>
      <c r="Q92" s="25"/>
      <c r="R92" s="25"/>
      <c r="S92" s="37">
        <f t="shared" si="62"/>
        <v>1</v>
      </c>
      <c r="T92" s="52" t="str">
        <f t="shared" si="51"/>
        <v>NorthBound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11:52:43-0600',mode:absolute,to:'2016-10-03 14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2" s="54" t="str">
        <f t="shared" si="52"/>
        <v>N</v>
      </c>
      <c r="X92" s="164">
        <f t="shared" si="47"/>
        <v>1</v>
      </c>
      <c r="Y92" s="69">
        <f t="shared" si="53"/>
        <v>4.7699999999999999E-2</v>
      </c>
      <c r="Z92" s="69">
        <f t="shared" si="48"/>
        <v>23.3307</v>
      </c>
      <c r="AA92" s="69">
        <f t="shared" si="54"/>
        <v>23.283000000000001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55"/>
        <v>0175-03</v>
      </c>
      <c r="AE92" s="95" t="str">
        <f t="shared" si="56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92" s="92" t="str">
        <f t="shared" si="57"/>
        <v>"C:\Program Files (x86)\AstroGrep\AstroGrep.exe" /spath="%USERPROFILE%\AppData\Local\Temp\OnboardLogs" /stypes="app*4046*20161003*" /stext=" 19:.+((SYSTEM_STATE.+slice.+state.+changed )|(ment ac)|(system.+state.+changed )|(\[timeout)|(PRM\|1\|D)|(kpr)|(kdp)|(\|lc)|(penalty))" /e /r /s</v>
      </c>
      <c r="AG92" s="1" t="str">
        <f t="shared" si="58"/>
        <v>EC</v>
      </c>
      <c r="AH92" s="96" t="str">
        <f t="shared" si="60"/>
        <v>"%USERPROFILE%\Documents\GitHub\eaglep3\Utilities\RefineRTDCRunTimes.py" --tripid 175-03 --locoid 4046 --swversion DE.1.0.7.0 --startMP 204:477 --initTime 2016-10-03T12:52:43 --startdatetime 2016-10-03T13:00:22 --delay 1 --endMP 204:233307 --enddatetime 2016-10-03T13:39:04 --enforcementcount 0 &gt;&gt;C:\Users\stu\Documents\GitHub\eaglep3-reporting\EC\2016-10-03-refined-times.txt</v>
      </c>
      <c r="AI92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{"issue":{"subject":"","project_id":79,"tracker_id":40,"status_id":1,"priority_id":2,"assigned_to_id":23,"start_date":"2016-10-03","description":"","custom_fields":[{"id":1,"name":"Subdivision","value":"EC"},{"id":4,"name":"Milepost","value":"23.3307"},{"id":17,"name":"Train ID","value":"175-03"},{"id":16,"name":"Locomotive ID","value":"4046"},{"id":130,"name":"Impact","value":""},{"id":150,"name":"Time of Event (Mountain Time)","value":"13:39:04"},{"id":151,"name":"Denver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516</v>
      </c>
      <c r="B93" s="7">
        <v>4045</v>
      </c>
      <c r="C93" s="24" t="s">
        <v>106</v>
      </c>
      <c r="D93" s="24" t="s">
        <v>265</v>
      </c>
      <c r="E93" s="15">
        <v>42646.571076388886</v>
      </c>
      <c r="F93" s="15">
        <v>42646.580740740741</v>
      </c>
      <c r="G93" s="7">
        <v>1</v>
      </c>
      <c r="H93" s="15" t="s">
        <v>199</v>
      </c>
      <c r="I93" s="15">
        <v>42646.607905092591</v>
      </c>
      <c r="J93" s="7">
        <v>0</v>
      </c>
      <c r="K93" s="117" t="str">
        <f t="shared" si="49"/>
        <v>4045/4046</v>
      </c>
      <c r="L93" s="24" t="str">
        <f>VLOOKUP(A93,'Trips&amp;Operators'!$C$1:$E$10000,3,FALSE)</f>
        <v>BARTLETT</v>
      </c>
      <c r="M93" s="6">
        <f t="shared" si="50"/>
        <v>2.7164351849933155E-2</v>
      </c>
      <c r="N93" s="7">
        <f t="shared" si="46"/>
        <v>39.116666663903743</v>
      </c>
      <c r="O93" s="7"/>
      <c r="P93" s="7"/>
      <c r="Q93" s="25"/>
      <c r="R93" s="25"/>
      <c r="S93" s="37">
        <f t="shared" si="62"/>
        <v>1</v>
      </c>
      <c r="T93" s="52" t="str">
        <f t="shared" si="51"/>
        <v>Southbound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12:42:21-0600',mode:absolute,to:'2016-10-03 15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3" s="54" t="str">
        <f t="shared" si="52"/>
        <v>N</v>
      </c>
      <c r="X93" s="164">
        <f t="shared" si="47"/>
        <v>1</v>
      </c>
      <c r="Y93" s="69">
        <f t="shared" si="53"/>
        <v>23.2986</v>
      </c>
      <c r="Z93" s="69">
        <f t="shared" si="48"/>
        <v>1.49E-2</v>
      </c>
      <c r="AA93" s="69">
        <f t="shared" si="54"/>
        <v>23.2837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55"/>
        <v>0176-03</v>
      </c>
      <c r="AE93" s="95" t="str">
        <f t="shared" si="56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93" s="92" t="str">
        <f t="shared" si="57"/>
        <v>"C:\Program Files (x86)\AstroGrep\AstroGrep.exe" /spath="%USERPROFILE%\AppData\Local\Temp\OnboardLogs" /stypes="app*4045*20161003*" /stext=" 20:.+((SYSTEM_STATE.+slice.+state.+changed )|(ment ac)|(system.+state.+changed )|(\[timeout)|(PRM\|1\|D)|(kpr)|(kdp)|(\|lc)|(penalty))" /e /r /s</v>
      </c>
      <c r="AG93" s="1" t="str">
        <f t="shared" si="58"/>
        <v>EC</v>
      </c>
      <c r="AH93" s="96" t="str">
        <f t="shared" si="60"/>
        <v>"%USERPROFILE%\Documents\GitHub\eaglep3\Utilities\RefineRTDCRunTimes.py" --tripid 176-03 --locoid 4045 --swversion DE.1.0.7.0 --startMP 204:232986 --initTime 2016-10-03T13:42:21 --startdatetime 2016-10-03T13:56:16 --delay 1 --endMP 204:149 --enddatetime 2016-10-03T14:35:23 --enforcementcount 0 &gt;&gt;C:\Users\stu\Documents\GitHub\eaglep3-reporting\EC\2016-10-03-refined-times.txt</v>
      </c>
      <c r="AI93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{"issue":{"subject":"","project_id":79,"tracker_id":40,"status_id":1,"priority_id":2,"assigned_to_id":23,"start_date":"2016-10-03","description":"","custom_fields":[{"id":1,"name":"Subdivision","value":"EC"},{"id":4,"name":"Milepost","value":"0.0149"},{"id":17,"name":"Train ID","value":"176-03"},{"id":16,"name":"Locomotive ID","value":"4045"},{"id":130,"name":"Impact","value":""},{"id":150,"name":"Time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517</v>
      </c>
      <c r="B94" s="7">
        <v>4002</v>
      </c>
      <c r="C94" s="24" t="s">
        <v>106</v>
      </c>
      <c r="D94" s="24" t="s">
        <v>346</v>
      </c>
      <c r="E94" s="15">
        <v>42646.547071759262</v>
      </c>
      <c r="F94" s="15">
        <v>42646.552384259259</v>
      </c>
      <c r="G94" s="7">
        <v>1</v>
      </c>
      <c r="H94" s="15" t="s">
        <v>351</v>
      </c>
      <c r="I94" s="15">
        <v>42646.577951388892</v>
      </c>
      <c r="J94" s="7">
        <v>0</v>
      </c>
      <c r="K94" s="117" t="str">
        <f t="shared" si="49"/>
        <v>4001/4002</v>
      </c>
      <c r="L94" s="24" t="str">
        <f>VLOOKUP(A94,'Trips&amp;Operators'!$C$1:$E$10000,3,FALSE)</f>
        <v>BONDS</v>
      </c>
      <c r="M94" s="6">
        <f t="shared" si="50"/>
        <v>2.5567129632690921E-2</v>
      </c>
      <c r="N94" s="7">
        <f t="shared" si="46"/>
        <v>36.816666671074927</v>
      </c>
      <c r="O94" s="7"/>
      <c r="P94" s="7"/>
      <c r="Q94" s="25"/>
      <c r="R94" s="25"/>
      <c r="S94" s="37">
        <f t="shared" si="62"/>
        <v>1</v>
      </c>
      <c r="T94" s="52" t="str">
        <f t="shared" si="51"/>
        <v>NorthBound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12:07:47-0600',mode:absolute,to:'2016-10-03 14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4" s="54" t="str">
        <f t="shared" si="52"/>
        <v>N</v>
      </c>
      <c r="X94" s="164">
        <f t="shared" si="47"/>
        <v>1</v>
      </c>
      <c r="Y94" s="69">
        <f t="shared" si="53"/>
        <v>4.4699999999999997E-2</v>
      </c>
      <c r="Z94" s="69">
        <f t="shared" si="48"/>
        <v>23.328700000000001</v>
      </c>
      <c r="AA94" s="69">
        <f t="shared" si="54"/>
        <v>23.284000000000002</v>
      </c>
      <c r="AB94" s="66" t="str">
        <f>VLOOKUP(A94,Enforcements!$C$7:$K$21,8,0)</f>
        <v>Bulletin (2)</v>
      </c>
      <c r="AC94" s="62" t="str">
        <f>VLOOKUP(A94,Enforcements!$C$7:$E$21,3,0)</f>
        <v>GRADE CROSSING</v>
      </c>
      <c r="AD94" s="63" t="str">
        <f t="shared" si="55"/>
        <v>0177-03</v>
      </c>
      <c r="AE94" s="95" t="str">
        <f t="shared" si="56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94" s="92" t="str">
        <f t="shared" si="57"/>
        <v>"C:\Program Files (x86)\AstroGrep\AstroGrep.exe" /spath="%USERPROFILE%\AppData\Local\Temp\OnboardLogs" /stypes="app*4002*20161003*" /stext=" 19:.+((SYSTEM_STATE.+slice.+state.+changed )|(ment ac)|(system.+state.+changed )|(\[timeout)|(PRM\|1\|D)|(kpr)|(kdp)|(\|lc)|(penalty))" /e /r /s</v>
      </c>
      <c r="AG94" s="1" t="str">
        <f t="shared" si="58"/>
        <v>EC</v>
      </c>
      <c r="AH94" s="96" t="str">
        <f t="shared" si="60"/>
        <v>"%USERPROFILE%\Documents\GitHub\eaglep3\Utilities\RefineRTDCRunTimes.py" --tripid 177-03 --locoid 4002 --swversion DE.1.0.7.0 --startMP 204:447 --initTime 2016-10-03T13:07:47 --startdatetime 2016-10-03T13:15:26 --delay 1 --endMP 204:233287 --enddatetime 2016-10-03T13:52:15 --enforcementcount 0 &gt;&gt;C:\Users\stu\Documents\GitHub\eaglep3-reporting\EC\2016-10-03-refined-times.txt</v>
      </c>
      <c r="AI94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{"issue":{"subject":"","project_id":79,"tracker_id":40,"status_id":1,"priority_id":2,"assigned_to_id":23,"start_date":"2016-10-03","description":"","custom_fields":[{"id":1,"name":"Subdivision","value":"EC"},{"id":4,"name":"Milepost","value":"23.3287"},{"id":17,"name":"Train ID","value":"177-03"},{"id":16,"name":"Locomotive ID","value":"4002"},{"id":130,"name":"Impact","value":""},{"id":150,"name":"Time of Event (Mountain Time)","value":"13:52:15"},{"id":151,"name":"Denver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518</v>
      </c>
      <c r="B95" s="7">
        <v>4001</v>
      </c>
      <c r="C95" s="24" t="s">
        <v>106</v>
      </c>
      <c r="D95" s="24" t="s">
        <v>247</v>
      </c>
      <c r="E95" s="15">
        <v>42646.582986111112</v>
      </c>
      <c r="F95" s="15">
        <v>42646.591168981482</v>
      </c>
      <c r="G95" s="7">
        <v>1</v>
      </c>
      <c r="H95" s="15" t="s">
        <v>263</v>
      </c>
      <c r="I95" s="15">
        <v>42646.619004629632</v>
      </c>
      <c r="J95" s="7">
        <v>0</v>
      </c>
      <c r="K95" s="117" t="str">
        <f t="shared" si="49"/>
        <v>4001/4002</v>
      </c>
      <c r="L95" s="24" t="str">
        <f>VLOOKUP(A95,'Trips&amp;Operators'!$C$1:$E$10000,3,FALSE)</f>
        <v>BONDS</v>
      </c>
      <c r="M95" s="6">
        <f t="shared" si="50"/>
        <v>2.7835648150357883E-2</v>
      </c>
      <c r="N95" s="7">
        <f t="shared" si="46"/>
        <v>40.083333336515352</v>
      </c>
      <c r="O95" s="7"/>
      <c r="P95" s="7"/>
      <c r="Q95" s="25"/>
      <c r="R95" s="25"/>
      <c r="S95" s="37">
        <f t="shared" si="62"/>
        <v>1</v>
      </c>
      <c r="T95" s="52" t="str">
        <f t="shared" si="51"/>
        <v>Southbound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12:59:30-0600',mode:absolute,to:'2016-10-03 15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5" s="54" t="str">
        <f t="shared" si="52"/>
        <v>N</v>
      </c>
      <c r="X95" s="164">
        <f t="shared" si="47"/>
        <v>1</v>
      </c>
      <c r="Y95" s="69">
        <f t="shared" si="53"/>
        <v>23.298300000000001</v>
      </c>
      <c r="Z95" s="69">
        <f t="shared" si="48"/>
        <v>1.3899999999999999E-2</v>
      </c>
      <c r="AA95" s="69">
        <f t="shared" si="54"/>
        <v>23.284400000000002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55"/>
        <v>0178-03</v>
      </c>
      <c r="AE95" s="95" t="str">
        <f t="shared" si="56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95" s="92" t="str">
        <f t="shared" si="57"/>
        <v>"C:\Program Files (x86)\AstroGrep\AstroGrep.exe" /spath="%USERPROFILE%\AppData\Local\Temp\OnboardLogs" /stypes="app*4001*20161003*" /stext=" 20:.+((SYSTEM_STATE.+slice.+state.+changed )|(ment ac)|(system.+state.+changed )|(\[timeout)|(PRM\|1\|D)|(kpr)|(kdp)|(\|lc)|(penalty))" /e /r /s</v>
      </c>
      <c r="AG95" s="1" t="str">
        <f t="shared" si="58"/>
        <v>EC</v>
      </c>
      <c r="AH95" s="96" t="str">
        <f t="shared" si="60"/>
        <v>"%USERPROFILE%\Documents\GitHub\eaglep3\Utilities\RefineRTDCRunTimes.py" --tripid 178-03 --locoid 4001 --swversion DE.1.0.7.0 --startMP 204:232983 --initTime 2016-10-03T13:59:30 --startdatetime 2016-10-03T14:11:17 --delay 1 --endMP 204:139 --enddatetime 2016-10-03T14:51:22 --enforcementcount 0 &gt;&gt;C:\Users\stu\Documents\GitHub\eaglep3-reporting\EC\2016-10-03-refined-times.txt</v>
      </c>
      <c r="AI95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{"issue":{"subject":"","project_id":79,"tracker_id":40,"status_id":1,"priority_id":2,"assigned_to_id":23,"start_date":"2016-10-03","description":"","custom_fields":[{"id":1,"name":"Subdivision","value":"EC"},{"id":4,"name":"Milepost","value":"0.0139"},{"id":17,"name":"Train ID","value":"178-03"},{"id":16,"name":"Locomotive ID","value":"4001"},{"id":130,"name":"Impact","value":""},{"id":150,"name":"Time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519</v>
      </c>
      <c r="B96" s="7">
        <v>4003</v>
      </c>
      <c r="C96" s="24" t="s">
        <v>106</v>
      </c>
      <c r="D96" s="24" t="s">
        <v>344</v>
      </c>
      <c r="E96" s="15">
        <v>42646.56013888889</v>
      </c>
      <c r="F96" s="15">
        <v>42646.562696759262</v>
      </c>
      <c r="G96" s="7">
        <v>1</v>
      </c>
      <c r="H96" s="15" t="s">
        <v>404</v>
      </c>
      <c r="I96" s="15">
        <v>42646.588182870371</v>
      </c>
      <c r="J96" s="7">
        <v>0</v>
      </c>
      <c r="K96" s="117" t="str">
        <f t="shared" si="49"/>
        <v>4003/4004</v>
      </c>
      <c r="L96" s="24" t="str">
        <f>VLOOKUP(A96,'Trips&amp;Operators'!$C$1:$E$10000,3,FALSE)</f>
        <v>CLARK</v>
      </c>
      <c r="M96" s="6">
        <f t="shared" si="50"/>
        <v>2.548611110978527E-2</v>
      </c>
      <c r="N96" s="7">
        <f t="shared" si="46"/>
        <v>36.699999998090789</v>
      </c>
      <c r="O96" s="7"/>
      <c r="P96" s="7"/>
      <c r="Q96" s="25"/>
      <c r="R96" s="25"/>
      <c r="S96" s="37">
        <f t="shared" si="62"/>
        <v>1</v>
      </c>
      <c r="T96" s="52" t="str">
        <f t="shared" si="51"/>
        <v>NorthBound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12:26:36-0600',mode:absolute,to:'2016-10-03 15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6" s="54" t="str">
        <f t="shared" si="52"/>
        <v>N</v>
      </c>
      <c r="X96" s="164">
        <f t="shared" si="47"/>
        <v>1</v>
      </c>
      <c r="Y96" s="69">
        <f t="shared" si="53"/>
        <v>4.7500000000000001E-2</v>
      </c>
      <c r="Z96" s="69">
        <f t="shared" si="48"/>
        <v>23.3276</v>
      </c>
      <c r="AA96" s="69">
        <f t="shared" si="54"/>
        <v>23.280100000000001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55"/>
        <v>0179-03</v>
      </c>
      <c r="AE96" s="95" t="str">
        <f t="shared" si="56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96" s="92" t="str">
        <f t="shared" si="57"/>
        <v>"C:\Program Files (x86)\AstroGrep\AstroGrep.exe" /spath="%USERPROFILE%\AppData\Local\Temp\OnboardLogs" /stypes="app*4003*20161003*" /stext=" 20:.+((SYSTEM_STATE.+slice.+state.+changed )|(ment ac)|(system.+state.+changed )|(\[timeout)|(PRM\|1\|D)|(kpr)|(kdp)|(\|lc)|(penalty))" /e /r /s</v>
      </c>
      <c r="AG96" s="1" t="str">
        <f t="shared" si="58"/>
        <v>EC</v>
      </c>
      <c r="AH96" s="96" t="str">
        <f t="shared" si="60"/>
        <v>"%USERPROFILE%\Documents\GitHub\eaglep3\Utilities\RefineRTDCRunTimes.py" --tripid 179-03 --locoid 4003 --swversion DE.1.0.7.0 --startMP 204:475 --initTime 2016-10-03T13:26:36 --startdatetime 2016-10-03T13:30:17 --delay 1 --endMP 204:233276 --enddatetime 2016-10-03T14:06:59 --enforcementcount 0 &gt;&gt;C:\Users\stu\Documents\GitHub\eaglep3-reporting\EC\2016-10-03-refined-times.txt</v>
      </c>
      <c r="AI96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{"issue":{"subject":"","project_id":79,"tracker_id":40,"status_id":1,"priority_id":2,"assigned_to_id":23,"start_date":"2016-10-03","description":"","custom_fields":[{"id":1,"name":"Subdivision","value":"EC"},{"id":4,"name":"Milepost","value":"23.3276"},{"id":17,"name":"Train ID","value":"179-03"},{"id":16,"name":"Locomotive ID","value":"4003"},{"id":130,"name":"Impact","value":""},{"id":150,"name":"Time of Event (Mountain Time)","value":"14:06:59"},{"id":151,"name":"Denver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520</v>
      </c>
      <c r="B97" s="7">
        <v>4004</v>
      </c>
      <c r="C97" s="24" t="s">
        <v>106</v>
      </c>
      <c r="D97" s="24" t="s">
        <v>444</v>
      </c>
      <c r="E97" s="15">
        <v>42646.597754629627</v>
      </c>
      <c r="F97" s="15">
        <v>42646.601550925923</v>
      </c>
      <c r="G97" s="7">
        <v>1</v>
      </c>
      <c r="H97" s="15" t="s">
        <v>521</v>
      </c>
      <c r="I97" s="15">
        <v>42646.637187499997</v>
      </c>
      <c r="J97" s="7">
        <v>0</v>
      </c>
      <c r="K97" s="117" t="str">
        <f t="shared" si="49"/>
        <v>4003/4004</v>
      </c>
      <c r="L97" s="24" t="str">
        <f>VLOOKUP(A97,'Trips&amp;Operators'!$C$1:$E$10000,3,FALSE)</f>
        <v>CLARK</v>
      </c>
      <c r="M97" s="6">
        <f t="shared" si="50"/>
        <v>3.5636574073578231E-2</v>
      </c>
      <c r="N97" s="7">
        <f t="shared" si="46"/>
        <v>51.316666665952653</v>
      </c>
      <c r="O97" s="7"/>
      <c r="P97" s="7"/>
      <c r="Q97" s="25"/>
      <c r="R97" s="25"/>
      <c r="S97" s="37">
        <f t="shared" si="62"/>
        <v>1</v>
      </c>
      <c r="T97" s="52" t="str">
        <f t="shared" si="51"/>
        <v>Southbound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13:20:46-0600',mode:absolute,to:'2016-10-03 16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7" s="54" t="str">
        <f t="shared" si="52"/>
        <v>N</v>
      </c>
      <c r="X97" s="164">
        <f t="shared" si="47"/>
        <v>1</v>
      </c>
      <c r="Y97" s="69">
        <f t="shared" si="53"/>
        <v>23.2957</v>
      </c>
      <c r="Z97" s="69">
        <f t="shared" si="48"/>
        <v>1.6899999999999998E-2</v>
      </c>
      <c r="AA97" s="69">
        <f t="shared" si="54"/>
        <v>23.2788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55"/>
        <v>0180-03</v>
      </c>
      <c r="AE97" s="95" t="str">
        <f t="shared" si="56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97" s="92" t="str">
        <f t="shared" si="57"/>
        <v>"C:\Program Files (x86)\AstroGrep\AstroGrep.exe" /spath="%USERPROFILE%\AppData\Local\Temp\OnboardLogs" /stypes="app*4004*20161003*" /stext=" 21:.+((SYSTEM_STATE.+slice.+state.+changed )|(ment ac)|(system.+state.+changed )|(\[timeout)|(PRM\|1\|D)|(kpr)|(kdp)|(\|lc)|(penalty))" /e /r /s</v>
      </c>
      <c r="AG97" s="1" t="str">
        <f t="shared" si="58"/>
        <v>EC</v>
      </c>
      <c r="AH97" s="96" t="str">
        <f t="shared" si="60"/>
        <v>"%USERPROFILE%\Documents\GitHub\eaglep3\Utilities\RefineRTDCRunTimes.py" --tripid 180-03 --locoid 4004 --swversion DE.1.0.7.0 --startMP 204:232957 --initTime 2016-10-03T14:20:46 --startdatetime 2016-10-03T14:26:14 --delay 1 --endMP 204:169 --enddatetime 2016-10-03T15:17:33 --enforcementcount 0 &gt;&gt;C:\Users\stu\Documents\GitHub\eaglep3-reporting\EC\2016-10-03-refined-times.txt</v>
      </c>
      <c r="AI97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{"issue":{"subject":"","project_id":79,"tracker_id":40,"status_id":1,"priority_id":2,"assigned_to_id":23,"start_date":"2016-10-03","description":"","custom_fields":[{"id":1,"name":"Subdivision","value":"EC"},{"id":4,"name":"Milepost","value":"0.0169"},{"id":17,"name":"Train ID","value":"180-03"},{"id":16,"name":"Locomotive ID","value":"4004"},{"id":130,"name":"Impact","value":""},{"id":150,"name":"Time of Event (Mountain Time)","value":"15:17:33"},{"id":151,"name":"Denver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522</v>
      </c>
      <c r="B98" s="7">
        <v>4040</v>
      </c>
      <c r="C98" s="24" t="s">
        <v>106</v>
      </c>
      <c r="D98" s="24" t="s">
        <v>523</v>
      </c>
      <c r="E98" s="15">
        <v>42646.569050925929</v>
      </c>
      <c r="F98" s="15">
        <v>42646.573194444441</v>
      </c>
      <c r="G98" s="7">
        <v>1</v>
      </c>
      <c r="H98" s="15" t="s">
        <v>495</v>
      </c>
      <c r="I98" s="15">
        <v>42646.59920138889</v>
      </c>
      <c r="J98" s="7">
        <v>0</v>
      </c>
      <c r="K98" s="117" t="str">
        <f t="shared" si="49"/>
        <v>4039/4040</v>
      </c>
      <c r="L98" s="24" t="str">
        <f>VLOOKUP(A98,'Trips&amp;Operators'!$C$1:$E$10000,3,FALSE)</f>
        <v>YOUNG</v>
      </c>
      <c r="M98" s="6">
        <f t="shared" si="50"/>
        <v>2.6006944448454306E-2</v>
      </c>
      <c r="N98" s="7">
        <f t="shared" si="46"/>
        <v>37.4500000057742</v>
      </c>
      <c r="O98" s="7"/>
      <c r="P98" s="7"/>
      <c r="Q98" s="25"/>
      <c r="R98" s="25"/>
      <c r="S98" s="37">
        <f t="shared" si="62"/>
        <v>1</v>
      </c>
      <c r="T98" s="52" t="str">
        <f t="shared" si="51"/>
        <v>NorthBound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12:39:26-0600',mode:absolute,to:'2016-10-03 15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8" s="54" t="str">
        <f t="shared" si="52"/>
        <v>N</v>
      </c>
      <c r="X98" s="164">
        <f t="shared" si="47"/>
        <v>1</v>
      </c>
      <c r="Y98" s="69">
        <f t="shared" si="53"/>
        <v>4.8000000000000001E-2</v>
      </c>
      <c r="Z98" s="69">
        <f t="shared" si="48"/>
        <v>23.331900000000001</v>
      </c>
      <c r="AA98" s="69">
        <f t="shared" si="54"/>
        <v>23.283900000000003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55"/>
        <v>0181-03</v>
      </c>
      <c r="AE98" s="95" t="str">
        <f t="shared" si="56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98" s="92" t="str">
        <f t="shared" si="57"/>
        <v>"C:\Program Files (x86)\AstroGrep\AstroGrep.exe" /spath="%USERPROFILE%\AppData\Local\Temp\OnboardLogs" /stypes="app*4040*20161003*" /stext=" 20:.+((SYSTEM_STATE.+slice.+state.+changed )|(ment ac)|(system.+state.+changed )|(\[timeout)|(PRM\|1\|D)|(kpr)|(kdp)|(\|lc)|(penalty))" /e /r /s</v>
      </c>
      <c r="AG98" s="1" t="str">
        <f t="shared" si="58"/>
        <v>EC</v>
      </c>
      <c r="AH98" s="96" t="str">
        <f t="shared" si="60"/>
        <v>"%USERPROFILE%\Documents\GitHub\eaglep3\Utilities\RefineRTDCRunTimes.py" --tripid 181-03 --locoid 4040 --swversion DE.1.0.7.0 --startMP 204:480 --initTime 2016-10-03T13:39:26 --startdatetime 2016-10-03T13:45:24 --delay 1 --endMP 204:233319 --enddatetime 2016-10-03T14:22:51 --enforcementcount 0 &gt;&gt;C:\Users\stu\Documents\GitHub\eaglep3-reporting\EC\2016-10-03-refined-times.txt</v>
      </c>
      <c r="AI98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{"issue":{"subject":"","project_id":79,"tracker_id":40,"status_id":1,"priority_id":2,"assigned_to_id":23,"start_date":"2016-10-03","description":"","custom_fields":[{"id":1,"name":"Subdivision","value":"EC"},{"id":4,"name":"Milepost","value":"23.3319"},{"id":17,"name":"Train ID","value":"181-03"},{"id":16,"name":"Locomotive ID","value":"4040"},{"id":130,"name":"Impact","value":""},{"id":150,"name":"Time of Event (Mountain Time)","value":"14:22:51"},{"id":151,"name":"Denver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524</v>
      </c>
      <c r="B99" s="7">
        <v>4039</v>
      </c>
      <c r="C99" s="24" t="s">
        <v>106</v>
      </c>
      <c r="D99" s="24" t="s">
        <v>361</v>
      </c>
      <c r="E99" s="15">
        <v>42646.607951388891</v>
      </c>
      <c r="F99" s="15">
        <v>42646.612164351849</v>
      </c>
      <c r="G99" s="7">
        <v>2</v>
      </c>
      <c r="H99" s="15" t="s">
        <v>340</v>
      </c>
      <c r="I99" s="15">
        <v>42646.645358796297</v>
      </c>
      <c r="J99" s="7">
        <v>0</v>
      </c>
      <c r="K99" s="117" t="str">
        <f t="shared" si="49"/>
        <v>4039/4040</v>
      </c>
      <c r="L99" s="24" t="str">
        <f>VLOOKUP(A99,'Trips&amp;Operators'!$C$1:$E$10000,3,FALSE)</f>
        <v>YOUNG</v>
      </c>
      <c r="M99" s="6">
        <f t="shared" si="50"/>
        <v>3.3194444447872229E-2</v>
      </c>
      <c r="N99" s="7">
        <f t="shared" si="46"/>
        <v>47.80000000493601</v>
      </c>
      <c r="O99" s="7"/>
      <c r="P99" s="7"/>
      <c r="Q99" s="25"/>
      <c r="R99" s="25"/>
      <c r="S99" s="37">
        <f t="shared" si="62"/>
        <v>1</v>
      </c>
      <c r="T99" s="52" t="str">
        <f t="shared" si="51"/>
        <v>Southbound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13:35:27-0600',mode:absolute,to:'2016-10-03 16:29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9" s="54" t="str">
        <f t="shared" si="52"/>
        <v>N</v>
      </c>
      <c r="X99" s="164">
        <f t="shared" si="47"/>
        <v>1</v>
      </c>
      <c r="Y99" s="69">
        <f t="shared" si="53"/>
        <v>23.299800000000001</v>
      </c>
      <c r="Z99" s="69">
        <f t="shared" si="48"/>
        <v>1.72E-2</v>
      </c>
      <c r="AA99" s="69">
        <f t="shared" si="54"/>
        <v>23.282600000000002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55"/>
        <v>0182-03</v>
      </c>
      <c r="AE99" s="95" t="str">
        <f t="shared" si="56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99" s="92" t="str">
        <f t="shared" si="57"/>
        <v>"C:\Program Files (x86)\AstroGrep\AstroGrep.exe" /spath="%USERPROFILE%\AppData\Local\Temp\OnboardLogs" /stypes="app*4039*20161003*" /stext=" 21:.+((SYSTEM_STATE.+slice.+state.+changed )|(ment ac)|(system.+state.+changed )|(\[timeout)|(PRM\|1\|D)|(kpr)|(kdp)|(\|lc)|(penalty))" /e /r /s</v>
      </c>
      <c r="AG99" s="1" t="str">
        <f t="shared" si="58"/>
        <v>EC</v>
      </c>
      <c r="AH99" s="96" t="str">
        <f t="shared" si="60"/>
        <v>"%USERPROFILE%\Documents\GitHub\eaglep3\Utilities\RefineRTDCRunTimes.py" --tripid 182-03 --locoid 4039 --swversion DE.1.0.7.0 --startMP 204:232998 --initTime 2016-10-03T14:35:27 --startdatetime 2016-10-03T14:41:31 --delay 2 --endMP 204:172 --enddatetime 2016-10-03T15:29:19 --enforcementcount 0 &gt;&gt;C:\Users\stu\Documents\GitHub\eaglep3-reporting\EC\2016-10-03-refined-times.txt</v>
      </c>
      <c r="AI99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{"issue":{"subject":"","project_id":79,"tracker_id":40,"status_id":1,"priority_id":2,"assigned_to_id":23,"start_date":"2016-10-03","description":"","custom_fields":[{"id":1,"name":"Subdivision","value":"EC"},{"id":4,"name":"Milepost","value":"0.0172"},{"id":17,"name":"Train ID","value":"182-03"},{"id":16,"name":"Locomotive ID","value":"4039"},{"id":130,"name":"Impact","value":""},{"id":150,"name":"Time of Event (Mountain Time)","value":"15:29:19"},{"id":151,"name":"Denver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525</v>
      </c>
      <c r="B100" s="7">
        <v>4018</v>
      </c>
      <c r="C100" s="24" t="s">
        <v>106</v>
      </c>
      <c r="D100" s="24" t="s">
        <v>240</v>
      </c>
      <c r="E100" s="15">
        <v>42646.579282407409</v>
      </c>
      <c r="F100" s="15">
        <v>42646.583564814813</v>
      </c>
      <c r="G100" s="7">
        <v>1</v>
      </c>
      <c r="H100" s="15" t="s">
        <v>526</v>
      </c>
      <c r="I100" s="15">
        <v>42646.607615740744</v>
      </c>
      <c r="J100" s="7">
        <v>0</v>
      </c>
      <c r="K100" s="117" t="str">
        <f t="shared" si="49"/>
        <v>4017/4018</v>
      </c>
      <c r="L100" s="24" t="str">
        <f>VLOOKUP(A100,'Trips&amp;Operators'!$C$1:$E$10000,3,FALSE)</f>
        <v>HELVIE</v>
      </c>
      <c r="M100" s="6">
        <f t="shared" si="50"/>
        <v>2.4050925931078382E-2</v>
      </c>
      <c r="N100" s="7">
        <f t="shared" si="46"/>
        <v>34.63333334075287</v>
      </c>
      <c r="O100" s="7"/>
      <c r="P100" s="7"/>
      <c r="Q100" s="25"/>
      <c r="R100" s="25"/>
      <c r="S100" s="37">
        <f t="shared" si="62"/>
        <v>1</v>
      </c>
      <c r="T100" s="52" t="str">
        <f t="shared" si="51"/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12:54:10-0600',mode:absolute,to:'2016-10-03 15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0" s="54" t="str">
        <f t="shared" si="52"/>
        <v>N</v>
      </c>
      <c r="X100" s="164">
        <f t="shared" si="47"/>
        <v>1</v>
      </c>
      <c r="Y100" s="69">
        <f t="shared" si="53"/>
        <v>4.7300000000000002E-2</v>
      </c>
      <c r="Z100" s="69">
        <f t="shared" si="48"/>
        <v>23.328199999999999</v>
      </c>
      <c r="AA100" s="69">
        <f t="shared" si="54"/>
        <v>23.280899999999999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55"/>
        <v>0183-03</v>
      </c>
      <c r="AE100" s="95" t="str">
        <f t="shared" si="56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100" s="92" t="str">
        <f t="shared" si="57"/>
        <v>"C:\Program Files (x86)\AstroGrep\AstroGrep.exe" /spath="%USERPROFILE%\AppData\Local\Temp\OnboardLogs" /stypes="app*4018*20161003*" /stext=" 20:.+((SYSTEM_STATE.+slice.+state.+changed )|(ment ac)|(system.+state.+changed )|(\[timeout)|(PRM\|1\|D)|(kpr)|(kdp)|(\|lc)|(penalty))" /e /r /s</v>
      </c>
      <c r="AG100" s="1" t="str">
        <f t="shared" si="58"/>
        <v>EC</v>
      </c>
      <c r="AH100" s="96" t="str">
        <f t="shared" si="60"/>
        <v>"%USERPROFILE%\Documents\GitHub\eaglep3\Utilities\RefineRTDCRunTimes.py" --tripid 183-03 --locoid 4018 --swversion DE.1.0.7.0 --startMP 204:473 --initTime 2016-10-03T13:54:10 --startdatetime 2016-10-03T14:00:20 --delay 1 --endMP 204:233282 --enddatetime 2016-10-03T14:34:58 --enforcementcount 0 &gt;&gt;C:\Users\stu\Documents\GitHub\eaglep3-reporting\EC\2016-10-03-refined-times.txt</v>
      </c>
      <c r="AI100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{"issue":{"subject":"","project_id":79,"tracker_id":40,"status_id":1,"priority_id":2,"assigned_to_id":23,"start_date":"2016-10-03","description":"","custom_fields":[{"id":1,"name":"Subdivision","value":"EC"},{"id":4,"name":"Milepost","value":"23.3282"},{"id":17,"name":"Train ID","value":"183-03"},{"id":16,"name":"Locomotive ID","value":"4018"},{"id":130,"name":"Impact","value":""},{"id":150,"name":"Time of Event (Mountain Time)","value":"14:34:58"},{"id":151,"name":"Denver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527</v>
      </c>
      <c r="B101" s="7">
        <v>4017</v>
      </c>
      <c r="C101" s="24" t="s">
        <v>106</v>
      </c>
      <c r="D101" s="24" t="s">
        <v>368</v>
      </c>
      <c r="E101" s="15">
        <v>42646.619849537034</v>
      </c>
      <c r="F101" s="15">
        <v>42646.622384259259</v>
      </c>
      <c r="G101" s="7">
        <v>1</v>
      </c>
      <c r="H101" s="15" t="s">
        <v>207</v>
      </c>
      <c r="I101" s="15">
        <v>42646.655659722222</v>
      </c>
      <c r="J101" s="7">
        <v>0</v>
      </c>
      <c r="K101" s="117" t="str">
        <f t="shared" si="49"/>
        <v>4017/4018</v>
      </c>
      <c r="L101" s="24" t="str">
        <f>VLOOKUP(A101,'Trips&amp;Operators'!$C$1:$E$10000,3,FALSE)</f>
        <v>HELVIE</v>
      </c>
      <c r="M101" s="6">
        <f t="shared" si="50"/>
        <v>3.3275462963501923E-2</v>
      </c>
      <c r="N101" s="7">
        <f t="shared" si="46"/>
        <v>47.916666667442769</v>
      </c>
      <c r="O101" s="7"/>
      <c r="P101" s="7"/>
      <c r="Q101" s="25"/>
      <c r="R101" s="25"/>
      <c r="S101" s="37">
        <f t="shared" si="62"/>
        <v>1</v>
      </c>
      <c r="T101" s="52" t="str">
        <f t="shared" si="51"/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13:52:35-0600',mode:absolute,to:'2016-10-03 16:44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1" s="54" t="str">
        <f t="shared" si="52"/>
        <v>N</v>
      </c>
      <c r="X101" s="164">
        <f t="shared" si="47"/>
        <v>1</v>
      </c>
      <c r="Y101" s="69">
        <f t="shared" si="53"/>
        <v>23.2973</v>
      </c>
      <c r="Z101" s="69">
        <f t="shared" si="48"/>
        <v>1.52E-2</v>
      </c>
      <c r="AA101" s="69">
        <f t="shared" si="54"/>
        <v>23.2821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55"/>
        <v>0184-03</v>
      </c>
      <c r="AE101" s="95" t="str">
        <f t="shared" si="56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101" s="92" t="str">
        <f t="shared" si="57"/>
        <v>"C:\Program Files (x86)\AstroGrep\AstroGrep.exe" /spath="%USERPROFILE%\AppData\Local\Temp\OnboardLogs" /stypes="app*4017*20161003*" /stext=" 21:.+((SYSTEM_STATE.+slice.+state.+changed )|(ment ac)|(system.+state.+changed )|(\[timeout)|(PRM\|1\|D)|(kpr)|(kdp)|(\|lc)|(penalty))" /e /r /s</v>
      </c>
      <c r="AG101" s="1" t="str">
        <f t="shared" si="58"/>
        <v>EC</v>
      </c>
      <c r="AH101" s="96" t="str">
        <f t="shared" si="60"/>
        <v>"%USERPROFILE%\Documents\GitHub\eaglep3\Utilities\RefineRTDCRunTimes.py" --tripid 184-03 --locoid 4017 --swversion DE.1.0.7.0 --startMP 204:232973 --initTime 2016-10-03T14:52:35 --startdatetime 2016-10-03T14:56:14 --delay 1 --endMP 204:152 --enddatetime 2016-10-03T15:44:09 --enforcementcount 0 &gt;&gt;C:\Users\stu\Documents\GitHub\eaglep3-reporting\EC\2016-10-03-refined-times.txt</v>
      </c>
      <c r="AI101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{"issue":{"subject":"","project_id":79,"tracker_id":40,"status_id":1,"priority_id":2,"assigned_to_id":23,"start_date":"2016-10-03","description":"","custom_fields":[{"id":1,"name":"Subdivision","value":"EC"},{"id":4,"name":"Milepost","value":"0.0152"},{"id":17,"name":"Train ID","value":"184-03"},{"id":16,"name":"Locomotive ID","value":"4017"},{"id":130,"name":"Impact","value":""},{"id":150,"name":"Time of Event (Mountain Time)","value":"15:44:09"},{"id":151,"name":"Denver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528</v>
      </c>
      <c r="B102" s="7">
        <v>4029</v>
      </c>
      <c r="C102" s="24" t="s">
        <v>106</v>
      </c>
      <c r="D102" s="24" t="s">
        <v>210</v>
      </c>
      <c r="E102" s="15">
        <v>42646.588842592595</v>
      </c>
      <c r="F102" s="15">
        <v>42646.594074074077</v>
      </c>
      <c r="G102" s="7">
        <v>1</v>
      </c>
      <c r="H102" s="15" t="s">
        <v>529</v>
      </c>
      <c r="I102" s="15">
        <v>42646.619212962964</v>
      </c>
      <c r="J102" s="7">
        <v>0</v>
      </c>
      <c r="K102" s="117" t="str">
        <f t="shared" si="49"/>
        <v>4029/4030</v>
      </c>
      <c r="L102" s="24" t="str">
        <f>VLOOKUP(A102,'Trips&amp;Operators'!$C$1:$E$10000,3,FALSE)</f>
        <v>SHOOK</v>
      </c>
      <c r="M102" s="6">
        <f t="shared" si="50"/>
        <v>2.5138888886431232E-2</v>
      </c>
      <c r="N102" s="7">
        <f t="shared" si="46"/>
        <v>36.199999996460974</v>
      </c>
      <c r="O102" s="7"/>
      <c r="P102" s="7"/>
      <c r="Q102" s="25"/>
      <c r="R102" s="25"/>
      <c r="S102" s="37">
        <f t="shared" si="62"/>
        <v>1</v>
      </c>
      <c r="T102" s="52" t="str">
        <f t="shared" si="51"/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13:07:56-0600',mode:absolute,to:'2016-10-03 15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2" s="54" t="str">
        <f t="shared" si="52"/>
        <v>N</v>
      </c>
      <c r="X102" s="164">
        <f t="shared" si="47"/>
        <v>1</v>
      </c>
      <c r="Y102" s="69">
        <f t="shared" si="53"/>
        <v>4.5100000000000001E-2</v>
      </c>
      <c r="Z102" s="69">
        <f t="shared" si="48"/>
        <v>23.338000000000001</v>
      </c>
      <c r="AA102" s="69">
        <f t="shared" si="54"/>
        <v>23.292899999999999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55"/>
        <v>0185-03</v>
      </c>
      <c r="AE102" s="95" t="str">
        <f t="shared" si="56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102" s="92" t="str">
        <f t="shared" si="57"/>
        <v>"C:\Program Files (x86)\AstroGrep\AstroGrep.exe" /spath="%USERPROFILE%\AppData\Local\Temp\OnboardLogs" /stypes="app*4029*20161003*" /stext=" 20:.+((SYSTEM_STATE.+slice.+state.+changed )|(ment ac)|(system.+state.+changed )|(\[timeout)|(PRM\|1\|D)|(kpr)|(kdp)|(\|lc)|(penalty))" /e /r /s</v>
      </c>
      <c r="AG102" s="1" t="str">
        <f t="shared" si="58"/>
        <v>EC</v>
      </c>
      <c r="AH102" s="96" t="str">
        <f t="shared" si="60"/>
        <v>"%USERPROFILE%\Documents\GitHub\eaglep3\Utilities\RefineRTDCRunTimes.py" --tripid 185-03 --locoid 4029 --swversion DE.1.0.7.0 --startMP 204:451 --initTime 2016-10-03T14:07:56 --startdatetime 2016-10-03T14:15:28 --delay 1 --endMP 204:233380 --enddatetime 2016-10-03T14:51:40 --enforcementcount 0 &gt;&gt;C:\Users\stu\Documents\GitHub\eaglep3-reporting\EC\2016-10-03-refined-times.txt</v>
      </c>
      <c r="AI102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{"issue":{"subject":"","project_id":79,"tracker_id":40,"status_id":1,"priority_id":2,"assigned_to_id":23,"start_date":"2016-10-03","description":"","custom_fields":[{"id":1,"name":"Subdivision","value":"EC"},{"id":4,"name":"Milepost","value":"23.338"},{"id":17,"name":"Train ID","value":"185-03"},{"id":16,"name":"Locomotive ID","value":"4029"},{"id":130,"name":"Impact","value":""},{"id":150,"name":"Time of Event (Mountain Time)","value":"14:51:40"},{"id":151,"name":"Denver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530</v>
      </c>
      <c r="B103" s="7">
        <v>4030</v>
      </c>
      <c r="C103" s="24" t="s">
        <v>106</v>
      </c>
      <c r="D103" s="24" t="s">
        <v>531</v>
      </c>
      <c r="E103" s="15">
        <v>42646.627789351849</v>
      </c>
      <c r="F103" s="15">
        <v>42646.632974537039</v>
      </c>
      <c r="G103" s="7">
        <v>1</v>
      </c>
      <c r="H103" s="15" t="s">
        <v>205</v>
      </c>
      <c r="I103" s="15">
        <v>42646.663055555553</v>
      </c>
      <c r="J103" s="7">
        <v>0</v>
      </c>
      <c r="K103" s="117" t="str">
        <f t="shared" si="49"/>
        <v>4029/4030</v>
      </c>
      <c r="L103" s="24" t="str">
        <f>VLOOKUP(A103,'Trips&amp;Operators'!$C$1:$E$10000,3,FALSE)</f>
        <v>SHOOK</v>
      </c>
      <c r="M103" s="6">
        <f t="shared" si="50"/>
        <v>3.0081018514465541E-2</v>
      </c>
      <c r="N103" s="7">
        <f t="shared" si="46"/>
        <v>43.316666660830379</v>
      </c>
      <c r="O103" s="7"/>
      <c r="P103" s="7"/>
      <c r="Q103" s="25"/>
      <c r="R103" s="25"/>
      <c r="S103" s="37">
        <f t="shared" si="62"/>
        <v>1</v>
      </c>
      <c r="T103" s="52" t="str">
        <f t="shared" si="51"/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14:04:01-0600',mode:absolute,to:'2016-10-03 16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3" s="54" t="str">
        <f t="shared" si="52"/>
        <v>N</v>
      </c>
      <c r="X103" s="164">
        <f t="shared" si="47"/>
        <v>1</v>
      </c>
      <c r="Y103" s="69">
        <f t="shared" si="53"/>
        <v>23.303999999999998</v>
      </c>
      <c r="Z103" s="69">
        <f t="shared" si="48"/>
        <v>1.4999999999999999E-2</v>
      </c>
      <c r="AA103" s="69">
        <f t="shared" si="54"/>
        <v>23.288999999999998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55"/>
        <v>0186-03</v>
      </c>
      <c r="AE103" s="95" t="str">
        <f t="shared" si="56"/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AF103" s="92" t="str">
        <f t="shared" si="57"/>
        <v>"C:\Program Files (x86)\AstroGrep\AstroGrep.exe" /spath="%USERPROFILE%\AppData\Local\Temp\OnboardLogs" /stypes="app*4030*20161003*" /stext=" 21:.+((SYSTEM_STATE.+slice.+state.+changed )|(ment ac)|(system.+state.+changed )|(\[timeout)|(PRM\|1\|D)|(kpr)|(kdp)|(\|lc)|(penalty))" /e /r /s</v>
      </c>
      <c r="AG103" s="1" t="str">
        <f t="shared" si="58"/>
        <v>EC</v>
      </c>
      <c r="AH103" s="96" t="str">
        <f t="shared" si="60"/>
        <v>"%USERPROFILE%\Documents\GitHub\eaglep3\Utilities\RefineRTDCRunTimes.py" --tripid 186-03 --locoid 4030 --swversion DE.1.0.7.0 --startMP 204:233040 --initTime 2016-10-03T15:04:01 --startdatetime 2016-10-03T15:11:29 --delay 1 --endMP 204:150 --enddatetime 2016-10-03T15:54:48 --enforcementcount 0 &gt;&gt;C:\Users\stu\Documents\GitHub\eaglep3-reporting\EC\2016-10-03-refined-times.txt</v>
      </c>
      <c r="AI103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{"issue":{"subject":"","project_id":79,"tracker_id":40,"status_id":1,"priority_id":2,"assigned_to_id":23,"start_date":"2016-10-03","description":"","custom_fields":[{"id":1,"name":"Subdivision","value":"EC"},{"id":4,"name":"Milepost","value":"0.015"},{"id":17,"name":"Train ID","value":"186-03"},{"id":16,"name":"Locomotive ID","value":"4030"},{"id":130,"name":"Impact","value":""},{"id":150,"name":"Time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532</v>
      </c>
      <c r="B104" s="7">
        <v>4025</v>
      </c>
      <c r="C104" s="24" t="s">
        <v>106</v>
      </c>
      <c r="D104" s="24" t="s">
        <v>341</v>
      </c>
      <c r="E104" s="15">
        <v>42646.601018518515</v>
      </c>
      <c r="F104" s="15">
        <v>42646.60496527778</v>
      </c>
      <c r="G104" s="7">
        <v>1</v>
      </c>
      <c r="H104" s="15" t="s">
        <v>225</v>
      </c>
      <c r="I104" s="15">
        <v>42646.630196759259</v>
      </c>
      <c r="J104" s="7">
        <v>0</v>
      </c>
      <c r="K104" s="117" t="str">
        <f t="shared" si="49"/>
        <v>4025/4026</v>
      </c>
      <c r="L104" s="24" t="str">
        <f>VLOOKUP(A104,'Trips&amp;Operators'!$C$1:$E$10000,3,FALSE)</f>
        <v>STEWART</v>
      </c>
      <c r="M104" s="6">
        <f t="shared" si="50"/>
        <v>2.5231481478840578E-2</v>
      </c>
      <c r="N104" s="7">
        <f t="shared" si="46"/>
        <v>36.333333329530433</v>
      </c>
      <c r="O104" s="7"/>
      <c r="P104" s="7"/>
      <c r="Q104" s="25"/>
      <c r="R104" s="25"/>
      <c r="S104" s="37">
        <f t="shared" si="62"/>
        <v>1</v>
      </c>
      <c r="T104" s="52" t="str">
        <f t="shared" si="51"/>
        <v>NorthBound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13:25:28-0600',mode:absolute,to:'2016-10-03 16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4" s="54" t="str">
        <f t="shared" si="52"/>
        <v>N</v>
      </c>
      <c r="X104" s="164">
        <f t="shared" si="47"/>
        <v>1</v>
      </c>
      <c r="Y104" s="69">
        <f t="shared" si="53"/>
        <v>4.6699999999999998E-2</v>
      </c>
      <c r="Z104" s="69">
        <f t="shared" si="48"/>
        <v>23.331199999999999</v>
      </c>
      <c r="AA104" s="69">
        <f t="shared" si="54"/>
        <v>23.284499999999998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55"/>
        <v>0187-03</v>
      </c>
      <c r="AE104" s="95" t="str">
        <f t="shared" si="56"/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104" s="92" t="str">
        <f t="shared" si="57"/>
        <v>"C:\Program Files (x86)\AstroGrep\AstroGrep.exe" /spath="%USERPROFILE%\AppData\Local\Temp\OnboardLogs" /stypes="app*4025*20161003*" /stext=" 21:.+((SYSTEM_STATE.+slice.+state.+changed )|(ment ac)|(system.+state.+changed )|(\[timeout)|(PRM\|1\|D)|(kpr)|(kdp)|(\|lc)|(penalty))" /e /r /s</v>
      </c>
      <c r="AG104" s="1" t="str">
        <f t="shared" si="58"/>
        <v>EC</v>
      </c>
      <c r="AH104" s="96" t="str">
        <f t="shared" si="60"/>
        <v>"%USERPROFILE%\Documents\GitHub\eaglep3\Utilities\RefineRTDCRunTimes.py" --tripid 187-03 --locoid 4025 --swversion DE.1.0.7.0 --startMP 204:467 --initTime 2016-10-03T14:25:28 --startdatetime 2016-10-03T14:31:09 --delay 1 --endMP 204:233312 --enddatetime 2016-10-03T15:07:29 --enforcementcount 0 &gt;&gt;C:\Users\stu\Documents\GitHub\eaglep3-reporting\EC\2016-10-03-refined-times.txt</v>
      </c>
      <c r="AI104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{"issue":{"subject":"","project_id":79,"tracker_id":40,"status_id":1,"priority_id":2,"assigned_to_id":23,"start_date":"2016-10-03","description":"","custom_fields":[{"id":1,"name":"Subdivision","value":"EC"},{"id":4,"name":"Milepost","value":"23.3312"},{"id":17,"name":"Train ID","value":"187-03"},{"id":16,"name":"Locomotive ID","value":"4025"},{"id":130,"name":"Impact","value":""},{"id":150,"name":"Time of Event (Mountain Time)","value":"15:07:29"},{"id":151,"name":"Denver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533</v>
      </c>
      <c r="B105" s="7">
        <v>4026</v>
      </c>
      <c r="C105" s="24" t="s">
        <v>106</v>
      </c>
      <c r="D105" s="24" t="s">
        <v>253</v>
      </c>
      <c r="E105" s="15">
        <v>42646.638159722221</v>
      </c>
      <c r="F105" s="15">
        <v>42646.643564814818</v>
      </c>
      <c r="G105" s="7">
        <v>1</v>
      </c>
      <c r="H105" s="15" t="s">
        <v>347</v>
      </c>
      <c r="I105" s="15">
        <v>42646.67596064815</v>
      </c>
      <c r="J105" s="7">
        <v>0</v>
      </c>
      <c r="K105" s="117" t="str">
        <f t="shared" si="49"/>
        <v>4025/4026</v>
      </c>
      <c r="L105" s="24" t="str">
        <f>VLOOKUP(A105,'Trips&amp;Operators'!$C$1:$E$10000,3,FALSE)</f>
        <v>STEWART</v>
      </c>
      <c r="M105" s="6">
        <f t="shared" si="50"/>
        <v>3.2395833331975155E-2</v>
      </c>
      <c r="N105" s="7">
        <f t="shared" si="46"/>
        <v>46.649999998044223</v>
      </c>
      <c r="O105" s="7"/>
      <c r="P105" s="7"/>
      <c r="Q105" s="25"/>
      <c r="R105" s="25"/>
      <c r="S105" s="37">
        <f t="shared" si="62"/>
        <v>1</v>
      </c>
      <c r="T105" s="52" t="str">
        <f t="shared" si="51"/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14:18:57-0600',mode:absolute,to:'2016-10-03 17:13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5" s="54" t="str">
        <f t="shared" si="52"/>
        <v>N</v>
      </c>
      <c r="X105" s="164">
        <f t="shared" si="47"/>
        <v>1</v>
      </c>
      <c r="Y105" s="69">
        <f t="shared" si="53"/>
        <v>23.2988</v>
      </c>
      <c r="Z105" s="69">
        <f t="shared" si="48"/>
        <v>1.6299999999999999E-2</v>
      </c>
      <c r="AA105" s="69">
        <f t="shared" si="54"/>
        <v>23.282499999999999</v>
      </c>
      <c r="AB105" s="66" t="str">
        <f>VLOOKUP(A105,Enforcements!$C$7:$K$21,8,0)</f>
        <v>Bulletin (2)</v>
      </c>
      <c r="AC105" s="62" t="str">
        <f>VLOOKUP(A105,Enforcements!$C$7:$E$21,3,0)</f>
        <v>GRADE CROSSING</v>
      </c>
      <c r="AD105" s="63" t="str">
        <f t="shared" si="55"/>
        <v>0188-03</v>
      </c>
      <c r="AE105" s="95" t="str">
        <f t="shared" si="56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105" s="92" t="str">
        <f t="shared" si="57"/>
        <v>"C:\Program Files (x86)\AstroGrep\AstroGrep.exe" /spath="%USERPROFILE%\AppData\Local\Temp\OnboardLogs" /stypes="app*4026*20161003*" /stext=" 22:.+((SYSTEM_STATE.+slice.+state.+changed )|(ment ac)|(system.+state.+changed )|(\[timeout)|(PRM\|1\|D)|(kpr)|(kdp)|(\|lc)|(penalty))" /e /r /s</v>
      </c>
      <c r="AG105" s="1" t="str">
        <f t="shared" si="58"/>
        <v>EC</v>
      </c>
      <c r="AH105" s="96" t="str">
        <f t="shared" si="60"/>
        <v>"%USERPROFILE%\Documents\GitHub\eaglep3\Utilities\RefineRTDCRunTimes.py" --tripid 188-03 --locoid 4026 --swversion DE.1.0.7.0 --startMP 204:232988 --initTime 2016-10-03T15:18:57 --startdatetime 2016-10-03T15:26:44 --delay 1 --endMP 204:163 --enddatetime 2016-10-03T16:13:23 --enforcementcount 0 &gt;&gt;C:\Users\stu\Documents\GitHub\eaglep3-reporting\EC\2016-10-03-refined-times.txt</v>
      </c>
      <c r="AI105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{"issue":{"subject":"","project_id":79,"tracker_id":40,"status_id":1,"priority_id":2,"assigned_to_id":23,"start_date":"2016-10-03","description":"","custom_fields":[{"id":1,"name":"Subdivision","value":"EC"},{"id":4,"name":"Milepost","value":"0.0163"},{"id":17,"name":"Train ID","value":"188-03"},{"id":16,"name":"Locomotive ID","value":"4026"},{"id":130,"name":"Impact","value":""},{"id":150,"name":"Time of Event (Mountain Time)","value":"16:13:23"},{"id":151,"name":"Denver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534</v>
      </c>
      <c r="B106" s="7">
        <v>4046</v>
      </c>
      <c r="C106" s="24" t="s">
        <v>106</v>
      </c>
      <c r="D106" s="24" t="s">
        <v>215</v>
      </c>
      <c r="E106" s="15">
        <v>42646.610162037039</v>
      </c>
      <c r="F106" s="15">
        <v>42646.615081018521</v>
      </c>
      <c r="G106" s="7">
        <v>1</v>
      </c>
      <c r="H106" s="15" t="s">
        <v>337</v>
      </c>
      <c r="I106" s="15">
        <v>42646.647465277776</v>
      </c>
      <c r="J106" s="7">
        <v>0</v>
      </c>
      <c r="K106" s="117" t="str">
        <f t="shared" si="49"/>
        <v>4045/4046</v>
      </c>
      <c r="L106" s="24" t="str">
        <f>VLOOKUP(A106,'Trips&amp;Operators'!$C$1:$E$10000,3,FALSE)</f>
        <v>BARTLETT</v>
      </c>
      <c r="M106" s="6">
        <f t="shared" si="50"/>
        <v>3.2384259255195502E-2</v>
      </c>
      <c r="N106" s="7">
        <f t="shared" si="46"/>
        <v>46.633333327481523</v>
      </c>
      <c r="O106" s="7"/>
      <c r="P106" s="7"/>
      <c r="Q106" s="25"/>
      <c r="R106" s="25"/>
      <c r="S106" s="37">
        <f t="shared" si="62"/>
        <v>1</v>
      </c>
      <c r="T106" s="52" t="str">
        <f t="shared" si="51"/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13:38:38-0600',mode:absolute,to:'2016-10-03 16:32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6" s="54" t="str">
        <f t="shared" si="52"/>
        <v>N</v>
      </c>
      <c r="X106" s="164">
        <f t="shared" si="47"/>
        <v>1</v>
      </c>
      <c r="Y106" s="69">
        <f t="shared" si="53"/>
        <v>4.6199999999999998E-2</v>
      </c>
      <c r="Z106" s="69">
        <f t="shared" ref="Z106:Z137" si="63">RIGHT(H106,LEN(H106)-4)/10000</f>
        <v>23.3308</v>
      </c>
      <c r="AA106" s="69">
        <f t="shared" si="54"/>
        <v>23.284600000000001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55"/>
        <v>0189-03</v>
      </c>
      <c r="AE106" s="95" t="str">
        <f t="shared" si="56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106" s="92" t="str">
        <f t="shared" si="57"/>
        <v>"C:\Program Files (x86)\AstroGrep\AstroGrep.exe" /spath="%USERPROFILE%\AppData\Local\Temp\OnboardLogs" /stypes="app*4046*20161003*" /stext=" 21:.+((SYSTEM_STATE.+slice.+state.+changed )|(ment ac)|(system.+state.+changed )|(\[timeout)|(PRM\|1\|D)|(kpr)|(kdp)|(\|lc)|(penalty))" /e /r /s</v>
      </c>
      <c r="AG106" s="1" t="str">
        <f t="shared" si="58"/>
        <v>EC</v>
      </c>
      <c r="AH106" s="96" t="str">
        <f t="shared" si="60"/>
        <v>"%USERPROFILE%\Documents\GitHub\eaglep3\Utilities\RefineRTDCRunTimes.py" --tripid 189-03 --locoid 4046 --swversion DE.1.0.7.0 --startMP 204:462 --initTime 2016-10-03T14:38:38 --startdatetime 2016-10-03T14:45:43 --delay 1 --endMP 204:233308 --enddatetime 2016-10-03T15:32:21 --enforcementcount 0 &gt;&gt;C:\Users\stu\Documents\GitHub\eaglep3-reporting\EC\2016-10-03-refined-times.txt</v>
      </c>
      <c r="AI106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{"issue":{"subject":"","project_id":79,"tracker_id":40,"status_id":1,"priority_id":2,"assigned_to_id":23,"start_date":"2016-10-03","description":"","custom_fields":[{"id":1,"name":"Subdivision","value":"EC"},{"id":4,"name":"Milepost","value":"23.3308"},{"id":17,"name":"Train ID","value":"189-03"},{"id":16,"name":"Locomotive ID","value":"4046"},{"id":130,"name":"Impact","value":""},{"id":150,"name":"Time of Event (Mountain Time)","value":"15:32:21"},{"id":151,"name":"Denver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535</v>
      </c>
      <c r="B107" s="7">
        <v>4045</v>
      </c>
      <c r="C107" s="24" t="s">
        <v>106</v>
      </c>
      <c r="D107" s="24" t="s">
        <v>361</v>
      </c>
      <c r="E107" s="15">
        <v>42646.651342592595</v>
      </c>
      <c r="F107" s="15">
        <v>42646.653657407405</v>
      </c>
      <c r="G107" s="7">
        <v>1</v>
      </c>
      <c r="H107" s="15" t="s">
        <v>347</v>
      </c>
      <c r="I107" s="15">
        <v>42646.682673611111</v>
      </c>
      <c r="J107" s="7">
        <v>0</v>
      </c>
      <c r="K107" s="117" t="str">
        <f t="shared" si="49"/>
        <v>4045/4046</v>
      </c>
      <c r="L107" s="24" t="str">
        <f>VLOOKUP(A107,'Trips&amp;Operators'!$C$1:$E$10000,3,FALSE)</f>
        <v>BARTLETT</v>
      </c>
      <c r="M107" s="6">
        <f t="shared" si="50"/>
        <v>2.9016203705396038E-2</v>
      </c>
      <c r="N107" s="7">
        <f t="shared" si="46"/>
        <v>41.783333335770294</v>
      </c>
      <c r="O107" s="7"/>
      <c r="P107" s="7"/>
      <c r="Q107" s="25"/>
      <c r="R107" s="25"/>
      <c r="S107" s="37">
        <f t="shared" si="62"/>
        <v>1</v>
      </c>
      <c r="T107" s="52" t="str">
        <f t="shared" si="51"/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14:37:56-0600',mode:absolute,to:'2016-10-03 17:23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7" s="54" t="str">
        <f t="shared" si="52"/>
        <v>N</v>
      </c>
      <c r="X107" s="164">
        <f t="shared" si="47"/>
        <v>1</v>
      </c>
      <c r="Y107" s="69">
        <f t="shared" si="53"/>
        <v>23.299800000000001</v>
      </c>
      <c r="Z107" s="69">
        <f t="shared" si="63"/>
        <v>1.6299999999999999E-2</v>
      </c>
      <c r="AA107" s="69">
        <f t="shared" si="54"/>
        <v>23.2835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55"/>
        <v>0190-03</v>
      </c>
      <c r="AE107" s="95" t="str">
        <f t="shared" si="56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107" s="92" t="str">
        <f t="shared" si="57"/>
        <v>"C:\Program Files (x86)\AstroGrep\AstroGrep.exe" /spath="%USERPROFILE%\AppData\Local\Temp\OnboardLogs" /stypes="app*4045*20161003*" /stext=" 22:.+((SYSTEM_STATE.+slice.+state.+changed )|(ment ac)|(system.+state.+changed )|(\[timeout)|(PRM\|1\|D)|(kpr)|(kdp)|(\|lc)|(penalty))" /e /r /s</v>
      </c>
      <c r="AG107" s="1" t="str">
        <f t="shared" si="58"/>
        <v>EC</v>
      </c>
      <c r="AH107" s="96" t="str">
        <f t="shared" si="60"/>
        <v>"%USERPROFILE%\Documents\GitHub\eaglep3\Utilities\RefineRTDCRunTimes.py" --tripid 190-03 --locoid 4045 --swversion DE.1.0.7.0 --startMP 204:232998 --initTime 2016-10-03T15:37:56 --startdatetime 2016-10-03T15:41:16 --delay 1 --endMP 204:163 --enddatetime 2016-10-03T16:23:03 --enforcementcount 0 &gt;&gt;C:\Users\stu\Documents\GitHub\eaglep3-reporting\EC\2016-10-03-refined-times.txt</v>
      </c>
      <c r="AI107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{"issue":{"subject":"","project_id":79,"tracker_id":40,"status_id":1,"priority_id":2,"assigned_to_id":23,"start_date":"2016-10-03","description":"","custom_fields":[{"id":1,"name":"Subdivision","value":"EC"},{"id":4,"name":"Milepost","value":"0.0163"},{"id":17,"name":"Train ID","value":"190-03"},{"id":16,"name":"Locomotive ID","value":"4045"},{"id":130,"name":"Impact","value":""},{"id":150,"name":"Time of Event (Mountain Time)","value":"16:23:03"},{"id":151,"name":"Denver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536</v>
      </c>
      <c r="B108" s="7">
        <v>4002</v>
      </c>
      <c r="C108" s="24" t="s">
        <v>106</v>
      </c>
      <c r="D108" s="24" t="s">
        <v>210</v>
      </c>
      <c r="E108" s="15">
        <v>42646.62096064815</v>
      </c>
      <c r="F108" s="15">
        <v>42646.625694444447</v>
      </c>
      <c r="G108" s="7">
        <v>1</v>
      </c>
      <c r="H108" s="15" t="s">
        <v>342</v>
      </c>
      <c r="I108" s="15">
        <v>42646.653414351851</v>
      </c>
      <c r="J108" s="7">
        <v>0</v>
      </c>
      <c r="K108" s="117" t="str">
        <f t="shared" si="49"/>
        <v>4001/4002</v>
      </c>
      <c r="L108" s="24" t="str">
        <f>VLOOKUP(A108,'Trips&amp;Operators'!$C$1:$E$10000,3,FALSE)</f>
        <v>BONDS</v>
      </c>
      <c r="M108" s="6">
        <f t="shared" si="50"/>
        <v>2.7719907404389232E-2</v>
      </c>
      <c r="N108" s="7">
        <f t="shared" si="46"/>
        <v>39.916666662320495</v>
      </c>
      <c r="O108" s="7"/>
      <c r="P108" s="7"/>
      <c r="Q108" s="25"/>
      <c r="R108" s="25"/>
      <c r="S108" s="37">
        <f t="shared" si="62"/>
        <v>1</v>
      </c>
      <c r="T108" s="52" t="str">
        <f t="shared" si="51"/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13:54:11-0600',mode:absolute,to:'2016-10-03 16:40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8" s="54" t="str">
        <f t="shared" si="52"/>
        <v>N</v>
      </c>
      <c r="X108" s="164">
        <f t="shared" ref="X108:X113" si="64">VALUE(LEFT(AD108,4))-VALUE(LEFT(AD107,4))</f>
        <v>1</v>
      </c>
      <c r="Y108" s="69">
        <f t="shared" si="53"/>
        <v>4.5100000000000001E-2</v>
      </c>
      <c r="Z108" s="69">
        <f t="shared" si="63"/>
        <v>23.328900000000001</v>
      </c>
      <c r="AA108" s="69">
        <f t="shared" si="54"/>
        <v>23.283799999999999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55"/>
        <v>0191-03</v>
      </c>
      <c r="AE108" s="95" t="str">
        <f t="shared" si="56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108" s="92" t="str">
        <f t="shared" si="57"/>
        <v>"C:\Program Files (x86)\AstroGrep\AstroGrep.exe" /spath="%USERPROFILE%\AppData\Local\Temp\OnboardLogs" /stypes="app*4002*20161003*" /stext=" 21:.+((SYSTEM_STATE.+slice.+state.+changed )|(ment ac)|(system.+state.+changed )|(\[timeout)|(PRM\|1\|D)|(kpr)|(kdp)|(\|lc)|(penalty))" /e /r /s</v>
      </c>
      <c r="AG108" s="1" t="str">
        <f t="shared" si="58"/>
        <v>EC</v>
      </c>
      <c r="AH108" s="96" t="str">
        <f t="shared" si="60"/>
        <v>"%USERPROFILE%\Documents\GitHub\eaglep3\Utilities\RefineRTDCRunTimes.py" --tripid 191-03 --locoid 4002 --swversion DE.1.0.7.0 --startMP 204:451 --initTime 2016-10-03T14:54:11 --startdatetime 2016-10-03T15:01:00 --delay 1 --endMP 204:233289 --enddatetime 2016-10-03T15:40:55 --enforcementcount 0 &gt;&gt;C:\Users\stu\Documents\GitHub\eaglep3-reporting\EC\2016-10-03-refined-times.txt</v>
      </c>
      <c r="AI108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{"issue":{"subject":"","project_id":79,"tracker_id":40,"status_id":1,"priority_id":2,"assigned_to_id":23,"start_date":"2016-10-03","description":"","custom_fields":[{"id":1,"name":"Subdivision","value":"EC"},{"id":4,"name":"Milepost","value":"23.3289"},{"id":17,"name":"Train ID","value":"191-03"},{"id":16,"name":"Locomotive ID","value":"4002"},{"id":130,"name":"Impact","value":""},{"id":150,"name":"Time of Event (Mountain Time)","value":"15:40:55"},{"id":151,"name":"Denver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537</v>
      </c>
      <c r="B109" s="7">
        <v>4001</v>
      </c>
      <c r="C109" s="24" t="s">
        <v>106</v>
      </c>
      <c r="D109" s="24" t="s">
        <v>538</v>
      </c>
      <c r="E109" s="15">
        <v>42646.672719907408</v>
      </c>
      <c r="F109" s="15">
        <v>42646.678784722222</v>
      </c>
      <c r="G109" s="7">
        <v>6</v>
      </c>
      <c r="H109" s="15" t="s">
        <v>539</v>
      </c>
      <c r="I109" s="15">
        <v>42646.699456018519</v>
      </c>
      <c r="J109" s="7">
        <v>0</v>
      </c>
      <c r="K109" s="117" t="str">
        <f t="shared" ref="K109:K140" si="65">IF(ISEVEN(B109),(B109-1)&amp;"/"&amp;B109,B109&amp;"/"&amp;(B109+1))</f>
        <v>4001/4002</v>
      </c>
      <c r="L109" s="24" t="str">
        <f>VLOOKUP(A109,'Trips&amp;Operators'!$C$1:$E$10000,3,FALSE)</f>
        <v>BONDS</v>
      </c>
      <c r="M109" s="6">
        <f t="shared" ref="M109:M140" si="66">I109-F109</f>
        <v>2.0671296297223307E-2</v>
      </c>
      <c r="N109" s="7"/>
      <c r="O109" s="7"/>
      <c r="P109" s="7">
        <f>24*60*SUM($M109:$M109)</f>
        <v>29.766666668001562</v>
      </c>
      <c r="Q109" s="25"/>
      <c r="R109" s="25" t="s">
        <v>743</v>
      </c>
      <c r="S109" s="37">
        <f t="shared" si="62"/>
        <v>1</v>
      </c>
      <c r="T109" s="52" t="str">
        <f t="shared" ref="T109:T140" si="67">IF(ISEVEN(LEFT(AD109,4)),"Southbound","NorthBound")</f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15:08:43-0600',mode:absolute,to:'2016-10-03 17:47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9" s="54" t="str">
        <f t="shared" ref="W109:W140" si="68">IF(AA109&lt;IF(AG109="EC",23,5.65),"Y","N")</f>
        <v>Y</v>
      </c>
      <c r="X109" s="164">
        <f t="shared" si="64"/>
        <v>1</v>
      </c>
      <c r="Y109" s="69">
        <f t="shared" ref="Y109:Y116" si="69">RIGHT(D109,LEN(D109)-4)/10000</f>
        <v>12.784800000000001</v>
      </c>
      <c r="Z109" s="69">
        <f t="shared" si="63"/>
        <v>1.9099999999999999E-2</v>
      </c>
      <c r="AA109" s="69">
        <f t="shared" ref="AA109:AA140" si="70">ABS(Z109-Y109)</f>
        <v>12.765700000000001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ref="AD109:AD140" si="71">IF(LEN(A109)=6,"0"&amp;A109,A109)</f>
        <v>0192-03</v>
      </c>
      <c r="AE109" s="95" t="str">
        <f t="shared" ref="AE109:AE140" si="72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109" s="92" t="str">
        <f t="shared" ref="AF109:AF140" si="73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/stypes="app*4001*20161003*" /stext=" 22:.+((SYSTEM_STATE.+slice.+state.+changed )|(ment ac)|(system.+state.+changed )|(\[timeout)|(PRM\|1\|D)|(kpr)|(kdp)|(\|lc)|(penalty))" /e /r /s</v>
      </c>
      <c r="AG109" s="1" t="str">
        <f t="shared" ref="AG109:AG140" si="74">IFERROR(IF(VALUE(LEFT(AD109,2))&lt;=2,"EC",IF(OR(VALUE(LEFT(AD109,2))=8,VALUE(LEFT(AD109,2))=18),"NW","Other")),"Other")</f>
        <v>EC</v>
      </c>
      <c r="AH109" s="96" t="str">
        <f t="shared" si="60"/>
        <v>"%USERPROFILE%\Documents\GitHub\eaglep3\Utilities\RefineRTDCRunTimes.py" --tripid 192-03 --locoid 4001 --swversion DE.1.0.7.0 --startMP 204:127848 --initTime 2016-10-03T16:08:43 --startdatetime 2016-10-03T16:17:27 --delay 6 --endMP 204:191 --enddatetime 2016-10-03T16:47:13 --enforcementcount 0 &gt;&gt;C:\Users\stu\Documents\GitHub\eaglep3-reporting\EC\2016-10-03-refined-times.txt</v>
      </c>
      <c r="AI109" s="130" t="str">
        <f t="shared" si="61"/>
        <v>echo {"issue":{"subject":"BOS CRC improperly calculated for Form C's","project_id":79,"tracker_id":40,"status_id":1,"priority_id":2,"assigned_to_id":23,"start_date":"2016-10-03","description":"Both Onboard and BOS had identical CRCs for the two bulletins in effect, but the BOS was improperly calculating the CRC and thus keeping things in a permanent mismatched state. Manually issuing the bulletin at 16:14:51 seems to have fixed the issue.","custom_fields":[{"id":1,"name":"Subdivision","value":"EC"},{"id":4,"name":"Milepost","value":"0.0191"},{"id":17,"name":"Train ID","value":"192-03"},{"id":16,"name":"Locomotive ID","value":"4001"},{"id":130,"name":"Impact","value":"Unexpected Cut-Out or Disengaged"},{"id":150,"name":"Time of Event (Mountain Time)","value":"16:47:13"},{"id":151,"name":"Denver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09" s="55" t="s">
        <v>742</v>
      </c>
      <c r="AK109" s="55" t="s">
        <v>141</v>
      </c>
      <c r="AL109" s="55" t="s">
        <v>144</v>
      </c>
    </row>
    <row r="110" spans="1:38" s="23" customFormat="1" x14ac:dyDescent="0.25">
      <c r="A110" s="39" t="s">
        <v>540</v>
      </c>
      <c r="B110" s="7">
        <v>4003</v>
      </c>
      <c r="C110" s="24" t="s">
        <v>106</v>
      </c>
      <c r="D110" s="24" t="s">
        <v>209</v>
      </c>
      <c r="E110" s="15">
        <v>42646.638877314814</v>
      </c>
      <c r="F110" s="15">
        <v>42646.641145833331</v>
      </c>
      <c r="G110" s="7">
        <v>1</v>
      </c>
      <c r="H110" s="15" t="s">
        <v>541</v>
      </c>
      <c r="I110" s="15">
        <v>42646.672615740739</v>
      </c>
      <c r="J110" s="7">
        <v>0</v>
      </c>
      <c r="K110" s="117" t="str">
        <f t="shared" si="65"/>
        <v>4003/4004</v>
      </c>
      <c r="L110" s="24" t="str">
        <f>VLOOKUP(A110,'Trips&amp;Operators'!$C$1:$E$10000,3,FALSE)</f>
        <v>CLARK</v>
      </c>
      <c r="M110" s="6">
        <f t="shared" si="66"/>
        <v>3.1469907407881692E-2</v>
      </c>
      <c r="N110" s="7">
        <f t="shared" ref="N110:N116" si="75">24*60*SUM($M110:$M110)</f>
        <v>45.316666667349637</v>
      </c>
      <c r="O110" s="7"/>
      <c r="P110" s="7"/>
      <c r="Q110" s="25"/>
      <c r="R110" s="25"/>
      <c r="S110" s="37">
        <f t="shared" si="62"/>
        <v>1</v>
      </c>
      <c r="T110" s="52" t="str">
        <f t="shared" si="67"/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14:19:59-0600',mode:absolute,to:'2016-10-03 17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0" s="54" t="str">
        <f t="shared" si="68"/>
        <v>N</v>
      </c>
      <c r="X110" s="164">
        <f t="shared" si="64"/>
        <v>1</v>
      </c>
      <c r="Y110" s="69">
        <f t="shared" si="69"/>
        <v>4.6600000000000003E-2</v>
      </c>
      <c r="Z110" s="69">
        <f t="shared" si="63"/>
        <v>23.325900000000001</v>
      </c>
      <c r="AA110" s="69">
        <f t="shared" si="70"/>
        <v>23.279299999999999</v>
      </c>
      <c r="AB110" s="66" t="str">
        <f>VLOOKUP(A110,Enforcements!$C$7:$K$21,8,0)</f>
        <v>Bulletin (2)</v>
      </c>
      <c r="AC110" s="62" t="str">
        <f>VLOOKUP(A110,Enforcements!$C$7:$E$21,3,0)</f>
        <v>GRADE CROSSING</v>
      </c>
      <c r="AD110" s="63" t="str">
        <f t="shared" si="71"/>
        <v>0193-03</v>
      </c>
      <c r="AE110" s="95" t="str">
        <f t="shared" si="72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110" s="92" t="str">
        <f t="shared" si="73"/>
        <v>"C:\Program Files (x86)\AstroGrep\AstroGrep.exe" /spath="%USERPROFILE%\AppData\Local\Temp\OnboardLogs" /stypes="app*4003*20161003*" /stext=" 22:.+((SYSTEM_STATE.+slice.+state.+changed )|(ment ac)|(system.+state.+changed )|(\[timeout)|(PRM\|1\|D)|(kpr)|(kdp)|(\|lc)|(penalty))" /e /r /s</v>
      </c>
      <c r="AG110" s="1" t="str">
        <f t="shared" si="74"/>
        <v>EC</v>
      </c>
      <c r="AH110" s="96" t="str">
        <f t="shared" si="60"/>
        <v>"%USERPROFILE%\Documents\GitHub\eaglep3\Utilities\RefineRTDCRunTimes.py" --tripid 193-03 --locoid 4003 --swversion DE.1.0.7.0 --startMP 204:466 --initTime 2016-10-03T15:19:59 --startdatetime 2016-10-03T15:23:15 --delay 1 --endMP 204:233259 --enddatetime 2016-10-03T16:08:34 --enforcementcount 0 &gt;&gt;C:\Users\stu\Documents\GitHub\eaglep3-reporting\EC\2016-10-03-refined-times.txt</v>
      </c>
      <c r="AI110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{"issue":{"subject":"","project_id":79,"tracker_id":40,"status_id":1,"priority_id":2,"assigned_to_id":23,"start_date":"2016-10-03","description":"","custom_fields":[{"id":1,"name":"Subdivision","value":"EC"},{"id":4,"name":"Milepost","value":"23.3259"},{"id":17,"name":"Train ID","value":"193-03"},{"id":16,"name":"Locomotive ID","value":"4003"},{"id":130,"name":"Impact","value":""},{"id":150,"name":"Time of Event (Mountain Time)","value":"16:08:34"},{"id":151,"name":"Denver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542</v>
      </c>
      <c r="B111" s="7">
        <v>4004</v>
      </c>
      <c r="C111" s="24" t="s">
        <v>106</v>
      </c>
      <c r="D111" s="24" t="s">
        <v>427</v>
      </c>
      <c r="E111" s="15">
        <v>42646.67396990741</v>
      </c>
      <c r="F111" s="15">
        <v>42646.676423611112</v>
      </c>
      <c r="G111" s="7">
        <v>1</v>
      </c>
      <c r="H111" s="15" t="s">
        <v>347</v>
      </c>
      <c r="I111" s="15">
        <v>42646.713113425925</v>
      </c>
      <c r="J111" s="7">
        <v>0</v>
      </c>
      <c r="K111" s="117" t="str">
        <f t="shared" si="65"/>
        <v>4003/4004</v>
      </c>
      <c r="L111" s="24" t="str">
        <f>VLOOKUP(A111,'Trips&amp;Operators'!$C$1:$E$10000,3,FALSE)</f>
        <v>CLARK</v>
      </c>
      <c r="M111" s="6">
        <f t="shared" si="66"/>
        <v>3.6689814813144039E-2</v>
      </c>
      <c r="N111" s="7">
        <f t="shared" si="75"/>
        <v>52.833333330927417</v>
      </c>
      <c r="O111" s="7"/>
      <c r="P111" s="7"/>
      <c r="Q111" s="25"/>
      <c r="R111" s="25"/>
      <c r="S111" s="37">
        <f t="shared" si="62"/>
        <v>1</v>
      </c>
      <c r="T111" s="52" t="str">
        <f t="shared" si="67"/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15:10:31-0600',mode:absolute,to:'2016-10-03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1" s="54" t="str">
        <f t="shared" si="68"/>
        <v>N</v>
      </c>
      <c r="X111" s="164">
        <f t="shared" si="64"/>
        <v>1</v>
      </c>
      <c r="Y111" s="69">
        <f t="shared" si="69"/>
        <v>23.295100000000001</v>
      </c>
      <c r="Z111" s="69">
        <f t="shared" si="63"/>
        <v>1.6299999999999999E-2</v>
      </c>
      <c r="AA111" s="69">
        <f t="shared" si="70"/>
        <v>23.2788</v>
      </c>
      <c r="AB111" s="66" t="str">
        <f>VLOOKUP(A111,Enforcements!$C$7:$K$21,8,0)</f>
        <v>Bulletin (2)</v>
      </c>
      <c r="AC111" s="62" t="str">
        <f>VLOOKUP(A111,Enforcements!$C$7:$E$21,3,0)</f>
        <v>GRADE CROSSING</v>
      </c>
      <c r="AD111" s="63" t="str">
        <f t="shared" si="71"/>
        <v>0194-03</v>
      </c>
      <c r="AE111" s="95" t="str">
        <f t="shared" si="72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111" s="92" t="str">
        <f t="shared" si="73"/>
        <v>"C:\Program Files (x86)\AstroGrep\AstroGrep.exe" /spath="%USERPROFILE%\AppData\Local\Temp\OnboardLogs" /stypes="app*4004*20161003*" /stext=" 23:.+((SYSTEM_STATE.+slice.+state.+changed )|(ment ac)|(system.+state.+changed )|(\[timeout)|(PRM\|1\|D)|(kpr)|(kdp)|(\|lc)|(penalty))" /e /r /s</v>
      </c>
      <c r="AG111" s="1" t="str">
        <f t="shared" si="74"/>
        <v>EC</v>
      </c>
      <c r="AH111" s="96" t="str">
        <f t="shared" si="60"/>
        <v>"%USERPROFILE%\Documents\GitHub\eaglep3\Utilities\RefineRTDCRunTimes.py" --tripid 194-03 --locoid 4004 --swversion DE.1.0.7.0 --startMP 204:232951 --initTime 2016-10-03T16:10:31 --startdatetime 2016-10-03T16:14:03 --delay 1 --endMP 204:163 --enddatetime 2016-10-03T17:06:53 --enforcementcount 0 &gt;&gt;C:\Users\stu\Documents\GitHub\eaglep3-reporting\EC\2016-10-03-refined-times.txt</v>
      </c>
      <c r="AI111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{"issue":{"subject":"","project_id":79,"tracker_id":40,"status_id":1,"priority_id":2,"assigned_to_id":23,"start_date":"2016-10-03","description":"","custom_fields":[{"id":1,"name":"Subdivision","value":"EC"},{"id":4,"name":"Milepost","value":"0.0163"},{"id":17,"name":"Train ID","value":"194-03"},{"id":16,"name":"Locomotive ID","value":"4004"},{"id":130,"name":"Impact","value":""},{"id":150,"name":"Time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543</v>
      </c>
      <c r="B112" s="7">
        <v>4040</v>
      </c>
      <c r="C112" s="24" t="s">
        <v>106</v>
      </c>
      <c r="D112" s="24" t="s">
        <v>344</v>
      </c>
      <c r="E112" s="15">
        <v>42646.646782407406</v>
      </c>
      <c r="F112" s="15">
        <v>42646.648379629631</v>
      </c>
      <c r="G112" s="7">
        <v>1</v>
      </c>
      <c r="H112" s="15" t="s">
        <v>293</v>
      </c>
      <c r="I112" s="15">
        <v>42646.680706018517</v>
      </c>
      <c r="J112" s="7">
        <v>0</v>
      </c>
      <c r="K112" s="117" t="str">
        <f t="shared" si="65"/>
        <v>4039/4040</v>
      </c>
      <c r="L112" s="24" t="str">
        <f>VLOOKUP(A112,'Trips&amp;Operators'!$C$1:$E$10000,3,FALSE)</f>
        <v>YOUNG</v>
      </c>
      <c r="M112" s="6">
        <f t="shared" si="66"/>
        <v>3.2326388885849155E-2</v>
      </c>
      <c r="N112" s="7">
        <f t="shared" si="75"/>
        <v>46.549999995622784</v>
      </c>
      <c r="O112" s="7"/>
      <c r="P112" s="7"/>
      <c r="Q112" s="25"/>
      <c r="R112" s="25"/>
      <c r="S112" s="37">
        <f t="shared" si="62"/>
        <v>1</v>
      </c>
      <c r="T112" s="52" t="str">
        <f t="shared" si="67"/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14:31:22-0600',mode:absolute,to:'2016-10-03 17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2" s="54" t="str">
        <f t="shared" si="68"/>
        <v>N</v>
      </c>
      <c r="X112" s="164">
        <f t="shared" si="64"/>
        <v>1</v>
      </c>
      <c r="Y112" s="69">
        <f t="shared" si="69"/>
        <v>4.7500000000000001E-2</v>
      </c>
      <c r="Z112" s="69">
        <f t="shared" si="63"/>
        <v>23.3306</v>
      </c>
      <c r="AA112" s="69">
        <f t="shared" si="70"/>
        <v>23.283100000000001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71"/>
        <v>0195-03</v>
      </c>
      <c r="AE112" s="95" t="str">
        <f t="shared" si="72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112" s="92" t="str">
        <f t="shared" si="73"/>
        <v>"C:\Program Files (x86)\AstroGrep\AstroGrep.exe" /spath="%USERPROFILE%\AppData\Local\Temp\OnboardLogs" /stypes="app*4040*20161003*" /stext=" 22:.+((SYSTEM_STATE.+slice.+state.+changed )|(ment ac)|(system.+state.+changed )|(\[timeout)|(PRM\|1\|D)|(kpr)|(kdp)|(\|lc)|(penalty))" /e /r /s</v>
      </c>
      <c r="AG112" s="1" t="str">
        <f t="shared" si="74"/>
        <v>EC</v>
      </c>
      <c r="AH112" s="96" t="str">
        <f t="shared" si="60"/>
        <v>"%USERPROFILE%\Documents\GitHub\eaglep3\Utilities\RefineRTDCRunTimes.py" --tripid 195-03 --locoid 4040 --swversion DE.1.0.7.0 --startMP 204:475 --initTime 2016-10-03T15:31:22 --startdatetime 2016-10-03T15:33:40 --delay 1 --endMP 204:233306 --enddatetime 2016-10-03T16:20:13 --enforcementcount 0 &gt;&gt;C:\Users\stu\Documents\GitHub\eaglep3-reporting\EC\2016-10-03-refined-times.txt</v>
      </c>
      <c r="AI112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{"issue":{"subject":"","project_id":79,"tracker_id":40,"status_id":1,"priority_id":2,"assigned_to_id":23,"start_date":"2016-10-03","description":"","custom_fields":[{"id":1,"name":"Subdivision","value":"EC"},{"id":4,"name":"Milepost","value":"23.3306"},{"id":17,"name":"Train ID","value":"195-03"},{"id":16,"name":"Locomotive ID","value":"4040"},{"id":130,"name":"Impact","value":""},{"id":150,"name":"Time of Event (Mountain Time)","value":"16:20:13"},{"id":151,"name":"Denver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544</v>
      </c>
      <c r="B113" s="7">
        <v>4039</v>
      </c>
      <c r="C113" s="24" t="s">
        <v>106</v>
      </c>
      <c r="D113" s="24" t="s">
        <v>286</v>
      </c>
      <c r="E113" s="15">
        <v>42646.683159722219</v>
      </c>
      <c r="F113" s="15">
        <v>42646.684988425928</v>
      </c>
      <c r="G113" s="7">
        <v>0</v>
      </c>
      <c r="H113" s="15" t="s">
        <v>224</v>
      </c>
      <c r="I113" s="15">
        <v>42646.72184027778</v>
      </c>
      <c r="J113" s="7">
        <v>0</v>
      </c>
      <c r="K113" s="117" t="str">
        <f t="shared" si="65"/>
        <v>4039/4040</v>
      </c>
      <c r="L113" s="24" t="str">
        <f>VLOOKUP(A113,'Trips&amp;Operators'!$C$1:$E$10000,3,FALSE)</f>
        <v>YOUNG</v>
      </c>
      <c r="M113" s="6">
        <f t="shared" si="66"/>
        <v>3.6851851851679385E-2</v>
      </c>
      <c r="N113" s="7">
        <f t="shared" si="75"/>
        <v>53.066666666418314</v>
      </c>
      <c r="O113" s="7"/>
      <c r="P113" s="7"/>
      <c r="Q113" s="25"/>
      <c r="R113" s="25"/>
      <c r="S113" s="37">
        <f t="shared" si="62"/>
        <v>1</v>
      </c>
      <c r="T113" s="52" t="str">
        <f t="shared" si="67"/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15:23:45-0600',mode:absolute,to:'2016-10-03 18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3" s="54" t="str">
        <f t="shared" si="68"/>
        <v>N</v>
      </c>
      <c r="X113" s="164">
        <f t="shared" si="64"/>
        <v>1</v>
      </c>
      <c r="Y113" s="69">
        <f t="shared" si="69"/>
        <v>23.299600000000002</v>
      </c>
      <c r="Z113" s="69">
        <f t="shared" si="63"/>
        <v>1.41E-2</v>
      </c>
      <c r="AA113" s="69">
        <f t="shared" si="70"/>
        <v>23.285500000000003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71"/>
        <v>0196-03</v>
      </c>
      <c r="AE113" s="95" t="str">
        <f t="shared" si="72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113" s="92" t="str">
        <f t="shared" si="73"/>
        <v>"C:\Program Files (x86)\AstroGrep\AstroGrep.exe" /spath="%USERPROFILE%\AppData\Local\Temp\OnboardLogs" /stypes="app*4039*20161003*" /stext=" 23:.+((SYSTEM_STATE.+slice.+state.+changed )|(ment ac)|(system.+state.+changed )|(\[timeout)|(PRM\|1\|D)|(kpr)|(kdp)|(\|lc)|(penalty))" /e /r /s</v>
      </c>
      <c r="AG113" s="1" t="str">
        <f t="shared" si="74"/>
        <v>EC</v>
      </c>
      <c r="AH113" s="96" t="str">
        <f t="shared" si="60"/>
        <v>"%USERPROFILE%\Documents\GitHub\eaglep3\Utilities\RefineRTDCRunTimes.py" --tripid 196-03 --locoid 4039 --swversion DE.1.0.7.0 --startMP 204:232996 --initTime 2016-10-03T16:23:45 --startdatetime 2016-10-03T16:26:23 --delay 0 --endMP 204:141 --enddatetime 2016-10-03T17:19:27 --enforcementcount 0 &gt;&gt;C:\Users\stu\Documents\GitHub\eaglep3-reporting\EC\2016-10-03-refined-times.txt</v>
      </c>
      <c r="AI113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{"issue":{"subject":"","project_id":79,"tracker_id":40,"status_id":1,"priority_id":2,"assigned_to_id":23,"start_date":"2016-10-03","description":"","custom_fields":[{"id":1,"name":"Subdivision","value":"EC"},{"id":4,"name":"Milepost","value":"0.0141"},{"id":17,"name":"Train ID","value":"196-03"},{"id":16,"name":"Locomotive ID","value":"4039"},{"id":130,"name":"Impact","value":""},{"id":150,"name":"Time of Event (Mountain Time)","value":"17:19:27"},{"id":151,"name":"Denver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545</v>
      </c>
      <c r="B114" s="7">
        <v>4018</v>
      </c>
      <c r="C114" s="24" t="s">
        <v>106</v>
      </c>
      <c r="D114" s="24" t="s">
        <v>211</v>
      </c>
      <c r="E114" s="15">
        <v>42646.658587962964</v>
      </c>
      <c r="F114" s="15">
        <v>42646.660752314812</v>
      </c>
      <c r="G114" s="7">
        <v>1</v>
      </c>
      <c r="H114" s="15" t="s">
        <v>245</v>
      </c>
      <c r="I114" s="15">
        <v>42646.686921296299</v>
      </c>
      <c r="J114" s="7">
        <v>0</v>
      </c>
      <c r="K114" s="117" t="str">
        <f t="shared" si="65"/>
        <v>4017/4018</v>
      </c>
      <c r="L114" s="24" t="str">
        <f>VLOOKUP(A114,'Trips&amp;Operators'!$C$1:$E$10000,3,FALSE)</f>
        <v>HELVIE</v>
      </c>
      <c r="M114" s="6">
        <f t="shared" si="66"/>
        <v>2.6168981486989651E-2</v>
      </c>
      <c r="N114" s="7">
        <f t="shared" si="75"/>
        <v>37.683333341265097</v>
      </c>
      <c r="O114" s="7"/>
      <c r="P114" s="7"/>
      <c r="Q114" s="25"/>
      <c r="R114" s="25"/>
      <c r="S114" s="37">
        <f t="shared" si="62"/>
        <v>1</v>
      </c>
      <c r="T114" s="52" t="str">
        <f t="shared" si="67"/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14:48:22-0600',mode:absolute,to:'2016-10-03 17:29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4" s="54" t="str">
        <f t="shared" si="68"/>
        <v>N</v>
      </c>
      <c r="X114" s="164">
        <f t="shared" ref="X114:X130" si="76">VALUE(LEFT(AD114,4))-VALUE(LEFT(AD113,4))</f>
        <v>1</v>
      </c>
      <c r="Y114" s="69">
        <f t="shared" si="69"/>
        <v>4.5499999999999999E-2</v>
      </c>
      <c r="Z114" s="69">
        <f t="shared" si="63"/>
        <v>23.3293</v>
      </c>
      <c r="AA114" s="69">
        <f t="shared" si="70"/>
        <v>23.283799999999999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71"/>
        <v>0197-03</v>
      </c>
      <c r="AE114" s="95" t="str">
        <f t="shared" si="72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114" s="92" t="str">
        <f t="shared" si="73"/>
        <v>"C:\Program Files (x86)\AstroGrep\AstroGrep.exe" /spath="%USERPROFILE%\AppData\Local\Temp\OnboardLogs" /stypes="app*4018*20161003*" /stext=" 22:.+((SYSTEM_STATE.+slice.+state.+changed )|(ment ac)|(system.+state.+changed )|(\[timeout)|(PRM\|1\|D)|(kpr)|(kdp)|(\|lc)|(penalty))" /e /r /s</v>
      </c>
      <c r="AG114" s="1" t="str">
        <f t="shared" si="74"/>
        <v>EC</v>
      </c>
      <c r="AH114" s="96" t="str">
        <f t="shared" si="60"/>
        <v>"%USERPROFILE%\Documents\GitHub\eaglep3\Utilities\RefineRTDCRunTimes.py" --tripid 197-03 --locoid 4018 --swversion DE.1.0.7.0 --startMP 204:455 --initTime 2016-10-03T15:48:22 --startdatetime 2016-10-03T15:51:29 --delay 1 --endMP 204:233293 --enddatetime 2016-10-03T16:29:10 --enforcementcount 0 &gt;&gt;C:\Users\stu\Documents\GitHub\eaglep3-reporting\EC\2016-10-03-refined-times.txt</v>
      </c>
      <c r="AI114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{"issue":{"subject":"","project_id":79,"tracker_id":40,"status_id":1,"priority_id":2,"assigned_to_id":23,"start_date":"2016-10-03","description":"","custom_fields":[{"id":1,"name":"Subdivision","value":"EC"},{"id":4,"name":"Milepost","value":"23.3293"},{"id":17,"name":"Train ID","value":"197-03"},{"id":16,"name":"Locomotive ID","value":"4018"},{"id":130,"name":"Impact","value":""},{"id":150,"name":"Time of Event (Mountain Time)","value":"16:29:10"},{"id":151,"name":"Denver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546</v>
      </c>
      <c r="B115" s="7">
        <v>4017</v>
      </c>
      <c r="C115" s="24" t="s">
        <v>106</v>
      </c>
      <c r="D115" s="24" t="s">
        <v>369</v>
      </c>
      <c r="E115" s="15">
        <v>42646.692685185182</v>
      </c>
      <c r="F115" s="15">
        <v>42646.695474537039</v>
      </c>
      <c r="G115" s="7">
        <v>1</v>
      </c>
      <c r="H115" s="15" t="s">
        <v>207</v>
      </c>
      <c r="I115" s="15">
        <v>42646.726956018516</v>
      </c>
      <c r="J115" s="7">
        <v>0</v>
      </c>
      <c r="K115" s="117" t="str">
        <f t="shared" si="65"/>
        <v>4017/4018</v>
      </c>
      <c r="L115" s="24" t="str">
        <f>VLOOKUP(A115,'Trips&amp;Operators'!$C$1:$E$10000,3,FALSE)</f>
        <v>HELVIE</v>
      </c>
      <c r="M115" s="6">
        <f t="shared" si="66"/>
        <v>3.1481481477385387E-2</v>
      </c>
      <c r="N115" s="7">
        <f t="shared" si="75"/>
        <v>45.333333327434957</v>
      </c>
      <c r="O115" s="7"/>
      <c r="P115" s="7"/>
      <c r="Q115" s="25"/>
      <c r="R115" s="25"/>
      <c r="S115" s="37">
        <f t="shared" si="62"/>
        <v>1</v>
      </c>
      <c r="T115" s="52" t="str">
        <f t="shared" si="67"/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15:37:28-0600',mode:absolute,to:'2016-10-03 18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5" s="54" t="str">
        <f t="shared" si="68"/>
        <v>N</v>
      </c>
      <c r="X115" s="164">
        <f t="shared" si="76"/>
        <v>1</v>
      </c>
      <c r="Y115" s="69">
        <f t="shared" si="69"/>
        <v>23.299399999999999</v>
      </c>
      <c r="Z115" s="69">
        <f t="shared" si="63"/>
        <v>1.52E-2</v>
      </c>
      <c r="AA115" s="69">
        <f t="shared" si="70"/>
        <v>23.284199999999998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71"/>
        <v>0198-03</v>
      </c>
      <c r="AE115" s="95" t="str">
        <f t="shared" si="72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115" s="92" t="str">
        <f t="shared" si="73"/>
        <v>"C:\Program Files (x86)\AstroGrep\AstroGrep.exe" /spath="%USERPROFILE%\AppData\Local\Temp\OnboardLogs" /stypes="app*4017*20161003*" /stext=" 23:.+((SYSTEM_STATE.+slice.+state.+changed )|(ment ac)|(system.+state.+changed )|(\[timeout)|(PRM\|1\|D)|(kpr)|(kdp)|(\|lc)|(penalty))" /e /r /s</v>
      </c>
      <c r="AG115" s="1" t="str">
        <f t="shared" si="74"/>
        <v>EC</v>
      </c>
      <c r="AH115" s="96" t="str">
        <f t="shared" si="60"/>
        <v>"%USERPROFILE%\Documents\GitHub\eaglep3\Utilities\RefineRTDCRunTimes.py" --tripid 198-03 --locoid 4017 --swversion DE.1.0.7.0 --startMP 204:232994 --initTime 2016-10-03T16:37:28 --startdatetime 2016-10-03T16:41:29 --delay 1 --endMP 204:152 --enddatetime 2016-10-03T17:26:49 --enforcementcount 0 &gt;&gt;C:\Users\stu\Documents\GitHub\eaglep3-reporting\EC\2016-10-03-refined-times.txt</v>
      </c>
      <c r="AI115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{"issue":{"subject":"","project_id":79,"tracker_id":40,"status_id":1,"priority_id":2,"assigned_to_id":23,"start_date":"2016-10-03","description":"","custom_fields":[{"id":1,"name":"Subdivision","value":"EC"},{"id":4,"name":"Milepost","value":"0.0152"},{"id":17,"name":"Train ID","value":"198-03"},{"id":16,"name":"Locomotive ID","value":"4017"},{"id":130,"name":"Impact","value":""},{"id":150,"name":"Time of Event (Mountain Time)","value":"17:26:49"},{"id":151,"name":"Denver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547</v>
      </c>
      <c r="B116" s="7">
        <v>4029</v>
      </c>
      <c r="C116" s="24" t="s">
        <v>106</v>
      </c>
      <c r="D116" s="24" t="s">
        <v>548</v>
      </c>
      <c r="E116" s="15">
        <v>42646.664351851854</v>
      </c>
      <c r="F116" s="15">
        <v>42646.666851851849</v>
      </c>
      <c r="G116" s="7">
        <v>1</v>
      </c>
      <c r="H116" s="15" t="s">
        <v>549</v>
      </c>
      <c r="I116" s="15">
        <v>42646.695023148146</v>
      </c>
      <c r="J116" s="7">
        <v>0</v>
      </c>
      <c r="K116" s="117" t="str">
        <f t="shared" si="65"/>
        <v>4029/4030</v>
      </c>
      <c r="L116" s="24" t="str">
        <f>VLOOKUP(A116,'Trips&amp;Operators'!$C$1:$E$10000,3,FALSE)</f>
        <v>SHOOK</v>
      </c>
      <c r="M116" s="6">
        <f t="shared" si="66"/>
        <v>2.8171296296932269E-2</v>
      </c>
      <c r="N116" s="7">
        <f t="shared" si="75"/>
        <v>40.566666667582467</v>
      </c>
      <c r="O116" s="7"/>
      <c r="P116" s="7"/>
      <c r="Q116" s="25"/>
      <c r="R116" s="25"/>
      <c r="S116" s="37">
        <f t="shared" si="62"/>
        <v>1</v>
      </c>
      <c r="T116" s="52" t="str">
        <f t="shared" si="67"/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14:56:40-0600',mode:absolute,to:'2016-10-03 17:40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6" s="54" t="str">
        <f t="shared" si="68"/>
        <v>N</v>
      </c>
      <c r="X116" s="164">
        <f t="shared" si="76"/>
        <v>1</v>
      </c>
      <c r="Y116" s="69">
        <f t="shared" si="69"/>
        <v>4.9799999999999997E-2</v>
      </c>
      <c r="Z116" s="69">
        <f t="shared" si="63"/>
        <v>23.336400000000001</v>
      </c>
      <c r="AA116" s="69">
        <f t="shared" si="70"/>
        <v>23.2866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71"/>
        <v>0199-03</v>
      </c>
      <c r="AE116" s="95" t="str">
        <f t="shared" si="72"/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AF116" s="92" t="str">
        <f t="shared" si="73"/>
        <v>"C:\Program Files (x86)\AstroGrep\AstroGrep.exe" /spath="%USERPROFILE%\AppData\Local\Temp\OnboardLogs" /stypes="app*4029*20161003*" /stext=" 22:.+((SYSTEM_STATE.+slice.+state.+changed )|(ment ac)|(system.+state.+changed )|(\[timeout)|(PRM\|1\|D)|(kpr)|(kdp)|(\|lc)|(penalty))" /e /r /s</v>
      </c>
      <c r="AG116" s="1" t="str">
        <f t="shared" si="74"/>
        <v>EC</v>
      </c>
      <c r="AH116" s="96" t="str">
        <f t="shared" si="60"/>
        <v>"%USERPROFILE%\Documents\GitHub\eaglep3\Utilities\RefineRTDCRunTimes.py" --tripid 199-03 --locoid 4029 --swversion DE.1.0.7.0 --startMP 204:498 --initTime 2016-10-03T15:56:40 --startdatetime 2016-10-03T16:00:16 --delay 1 --endMP 204:233364 --enddatetime 2016-10-03T16:40:50 --enforcementcount 0 &gt;&gt;C:\Users\stu\Documents\GitHub\eaglep3-reporting\EC\2016-10-03-refined-times.txt</v>
      </c>
      <c r="AI116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{"issue":{"subject":"","project_id":79,"tracker_id":40,"status_id":1,"priority_id":2,"assigned_to_id":23,"start_date":"2016-10-03","description":"","custom_fields":[{"id":1,"name":"Subdivision","value":"EC"},{"id":4,"name":"Milepost","value":"23.3364"},{"id":17,"name":"Train ID","value":"199-03"},{"id":16,"name":"Locomotive ID","value":"4029"},{"id":130,"name":"Impact","value":""},{"id":150,"name":"Time of Event (Mountain Time)","value":"16:40:50"},{"id":151,"name":"Denver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732</v>
      </c>
      <c r="B117" s="7">
        <v>4030</v>
      </c>
      <c r="C117" s="24" t="s">
        <v>106</v>
      </c>
      <c r="D117" s="24" t="s">
        <v>548</v>
      </c>
      <c r="E117" s="15">
        <v>42646.664351851854</v>
      </c>
      <c r="F117" s="15">
        <v>42646.703159722223</v>
      </c>
      <c r="G117" s="7">
        <v>1</v>
      </c>
      <c r="H117" s="15" t="s">
        <v>549</v>
      </c>
      <c r="I117" s="15">
        <v>42646.704351851855</v>
      </c>
      <c r="J117" s="7">
        <v>0</v>
      </c>
      <c r="K117" s="117" t="str">
        <f t="shared" si="65"/>
        <v>4029/4030</v>
      </c>
      <c r="L117" s="24" t="str">
        <f>VLOOKUP(A117,'Trips&amp;Operators'!$C$1:$E$10000,3,FALSE)</f>
        <v>SHOOK</v>
      </c>
      <c r="M117" s="6">
        <f t="shared" si="66"/>
        <v>1.1921296318178065E-3</v>
      </c>
      <c r="N117" s="7"/>
      <c r="O117" s="7"/>
      <c r="P117" s="7">
        <v>1</v>
      </c>
      <c r="Q117" s="25"/>
      <c r="R117" s="25" t="s">
        <v>401</v>
      </c>
      <c r="S117" s="37">
        <f t="shared" si="62"/>
        <v>0</v>
      </c>
      <c r="T117" s="52" t="str">
        <f t="shared" si="67"/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0</v>
      </c>
      <c r="V117" s="102" t="str">
        <f t="shared" ref="V117" si="77"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https://search-rtdc-monitor-bjffxe2xuh6vdkpspy63sjmuny.us-east-1.es.amazonaws.com/_plugin/kibana/#/discover/Steve-Slow-Train-Analysis-(2080s-and-2083s)?_g=(refreshInterval:(display:Off,section:0,value:0),time:(from:'2016-10-03 14:56:40-0600',mode:absolute,to:'2016-10-03 17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7" s="54" t="str">
        <f t="shared" si="68"/>
        <v>Y</v>
      </c>
      <c r="X117" s="164">
        <f t="shared" si="76"/>
        <v>1</v>
      </c>
      <c r="Y117" s="69">
        <v>23.3</v>
      </c>
      <c r="Z117" s="69">
        <f t="shared" si="63"/>
        <v>23.336400000000001</v>
      </c>
      <c r="AA117" s="69">
        <f t="shared" si="70"/>
        <v>3.6400000000000432E-2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71"/>
        <v>0200-03</v>
      </c>
      <c r="AE117" s="95" t="str">
        <f t="shared" si="72"/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AF117" s="92" t="str">
        <f t="shared" si="73"/>
        <v>"C:\Program Files (x86)\AstroGrep\AstroGrep.exe" /spath="%USERPROFILE%\AppData\Local\Temp\OnboardLogs" /stypes="app*4030*20161003*" /stext=" 22:.+((SYSTEM_STATE.+slice.+state.+changed )|(ment ac)|(system.+state.+changed )|(\[timeout)|(PRM\|1\|D)|(kpr)|(kdp)|(\|lc)|(penalty))" /e /r /s</v>
      </c>
      <c r="AG117" s="1" t="str">
        <f t="shared" si="74"/>
        <v>EC</v>
      </c>
      <c r="AH117" s="96" t="str">
        <f t="shared" ref="AH117" si="78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200-03 --locoid 4030 --swversion DE.1.0.7.0 --startMP 204:498 --initTime 2016-10-03T15:56:40 --startdatetime 2016-10-03T16:52:33 --delay 1 --endMP 204:233364 --enddatetime 2016-10-03T16:54:16 --enforcementcount 0 &gt;&gt;C:\Users\stu\Documents\GitHub\eaglep3-reporting\EC\2016-10-03-refined-times.txt</v>
      </c>
      <c r="AI117" s="130" t="str">
        <f t="shared" ref="AI117" si="79"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failure","project_id":79,"tracker_id":40,"status_id":1,"priority_id":2,"assigned_to_id":23,"start_date":"2016-10-03","description":"Triplex failure at 2016-10-03 16:56:16.000 ","custom_fields":[{"id":1,"name":"Subdivision","value":"EC"},{"id":4,"name":"Milepost","value":"23.3364"},{"id":17,"name":"Train ID","value":"200-03"},{"id":16,"name":"Locomotive ID","value":"4030"},{"id":130,"name":"Impact","value":"Failed State"},{"id":150,"name":"Time of Event (Mountain Time)","value":"16:54:16"},{"id":151,"name":"Denver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7" s="55" t="s">
        <v>754</v>
      </c>
      <c r="AK117" s="55" t="s">
        <v>138</v>
      </c>
      <c r="AL117" s="55" t="s">
        <v>216</v>
      </c>
    </row>
    <row r="118" spans="1:38" x14ac:dyDescent="0.25">
      <c r="A118" s="39" t="s">
        <v>550</v>
      </c>
      <c r="B118" s="7">
        <v>4025</v>
      </c>
      <c r="C118" s="24" t="s">
        <v>106</v>
      </c>
      <c r="D118" s="24" t="s">
        <v>211</v>
      </c>
      <c r="E118" s="15">
        <v>42646.677870370368</v>
      </c>
      <c r="F118" s="15">
        <v>42646.679675925923</v>
      </c>
      <c r="G118" s="7">
        <v>2</v>
      </c>
      <c r="H118" s="15" t="s">
        <v>342</v>
      </c>
      <c r="I118" s="15">
        <v>42646.709583333337</v>
      </c>
      <c r="J118" s="7">
        <v>0</v>
      </c>
      <c r="K118" s="117" t="str">
        <f t="shared" si="65"/>
        <v>4025/4026</v>
      </c>
      <c r="L118" s="24" t="str">
        <f>VLOOKUP(A118,'Trips&amp;Operators'!$C$1:$E$10000,3,FALSE)</f>
        <v>STEWART</v>
      </c>
      <c r="M118" s="6">
        <f t="shared" si="66"/>
        <v>2.9907407413702458E-2</v>
      </c>
      <c r="N118" s="7">
        <f t="shared" ref="N118:N129" si="80">24*60*SUM($M118:$M118)</f>
        <v>43.06666667573154</v>
      </c>
      <c r="O118" s="7"/>
      <c r="P118" s="7"/>
      <c r="Q118" s="25"/>
      <c r="R118" s="25"/>
      <c r="S118" s="37">
        <f t="shared" si="62"/>
        <v>1</v>
      </c>
      <c r="T118" s="52" t="str">
        <f t="shared" si="67"/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15:16:08-0600',mode:absolute,to:'2016-10-03 18:01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8" s="54" t="str">
        <f t="shared" si="68"/>
        <v>N</v>
      </c>
      <c r="X118" s="164">
        <f t="shared" si="76"/>
        <v>1</v>
      </c>
      <c r="Y118" s="69">
        <f t="shared" ref="Y118:Y149" si="81">RIGHT(D118,LEN(D118)-4)/10000</f>
        <v>4.5499999999999999E-2</v>
      </c>
      <c r="Z118" s="69">
        <f t="shared" si="63"/>
        <v>23.328900000000001</v>
      </c>
      <c r="AA118" s="69">
        <f t="shared" si="70"/>
        <v>23.2834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71"/>
        <v>0201-03</v>
      </c>
      <c r="AE118" s="95" t="str">
        <f t="shared" si="72"/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118" s="92" t="str">
        <f t="shared" si="73"/>
        <v>"C:\Program Files (x86)\AstroGrep\AstroGrep.exe" /spath="%USERPROFILE%\AppData\Local\Temp\OnboardLogs" /stypes="app*4025*20161003*" /stext=" 23:.+((SYSTEM_STATE.+slice.+state.+changed )|(ment ac)|(system.+state.+changed )|(\[timeout)|(PRM\|1\|D)|(kpr)|(kdp)|(\|lc)|(penalty))" /e /r /s</v>
      </c>
      <c r="AG118" s="1" t="str">
        <f t="shared" si="74"/>
        <v>EC</v>
      </c>
      <c r="AH118" s="96" t="str">
        <f t="shared" si="60"/>
        <v>"%USERPROFILE%\Documents\GitHub\eaglep3\Utilities\RefineRTDCRunTimes.py" --tripid 201-03 --locoid 4025 --swversion DE.1.0.7.0 --startMP 204:455 --initTime 2016-10-03T16:16:08 --startdatetime 2016-10-03T16:18:44 --delay 2 --endMP 204:233289 --enddatetime 2016-10-03T17:01:48 --enforcementcount 0 &gt;&gt;C:\Users\stu\Documents\GitHub\eaglep3-reporting\EC\2016-10-03-refined-times.txt</v>
      </c>
      <c r="AI118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{"issue":{"subject":"","project_id":79,"tracker_id":40,"status_id":1,"priority_id":2,"assigned_to_id":23,"start_date":"2016-10-03","description":"","custom_fields":[{"id":1,"name":"Subdivision","value":"EC"},{"id":4,"name":"Milepost","value":"23.3289"},{"id":17,"name":"Train ID","value":"201-03"},{"id":16,"name":"Locomotive ID","value":"4025"},{"id":130,"name":"Impact","value":""},{"id":150,"name":"Time of Event (Mountain Time)","value":"17:01:48"},{"id":151,"name":"Denver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551</v>
      </c>
      <c r="B119" s="7">
        <v>4026</v>
      </c>
      <c r="C119" s="24" t="s">
        <v>106</v>
      </c>
      <c r="D119" s="24" t="s">
        <v>339</v>
      </c>
      <c r="E119" s="15">
        <v>42646.714166666665</v>
      </c>
      <c r="F119" s="15">
        <v>42646.716215277775</v>
      </c>
      <c r="G119" s="7">
        <v>1</v>
      </c>
      <c r="H119" s="15" t="s">
        <v>207</v>
      </c>
      <c r="I119" s="15">
        <v>42646.747037037036</v>
      </c>
      <c r="J119" s="7">
        <v>0</v>
      </c>
      <c r="K119" s="117" t="str">
        <f t="shared" si="65"/>
        <v>4025/4026</v>
      </c>
      <c r="L119" s="24" t="str">
        <f>VLOOKUP(A119,'Trips&amp;Operators'!$C$1:$E$10000,3,FALSE)</f>
        <v>STEWART</v>
      </c>
      <c r="M119" s="6">
        <f t="shared" si="66"/>
        <v>3.0821759261016268E-2</v>
      </c>
      <c r="N119" s="7">
        <f t="shared" si="80"/>
        <v>44.383333335863426</v>
      </c>
      <c r="O119" s="7"/>
      <c r="P119" s="7"/>
      <c r="Q119" s="25"/>
      <c r="R119" s="25"/>
      <c r="S119" s="37">
        <f t="shared" si="62"/>
        <v>1</v>
      </c>
      <c r="T119" s="52" t="str">
        <f t="shared" si="67"/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16:08:24-0600',mode:absolute,to:'2016-10-03 18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9" s="54" t="str">
        <f t="shared" si="68"/>
        <v>N</v>
      </c>
      <c r="X119" s="164">
        <f t="shared" si="76"/>
        <v>1</v>
      </c>
      <c r="Y119" s="69">
        <f t="shared" si="81"/>
        <v>23.2971</v>
      </c>
      <c r="Z119" s="69">
        <f t="shared" si="63"/>
        <v>1.52E-2</v>
      </c>
      <c r="AA119" s="69">
        <f t="shared" si="70"/>
        <v>23.2819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71"/>
        <v>0202-03</v>
      </c>
      <c r="AE119" s="95" t="str">
        <f t="shared" si="72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119" s="92" t="str">
        <f t="shared" si="73"/>
        <v>"C:\Program Files (x86)\AstroGrep\AstroGrep.exe" /spath="%USERPROFILE%\AppData\Local\Temp\OnboardLogs" /stypes="app*4026*20161003*" /stext=" 23:.+((SYSTEM_STATE.+slice.+state.+changed )|(ment ac)|(system.+state.+changed )|(\[timeout)|(PRM\|1\|D)|(kpr)|(kdp)|(\|lc)|(penalty))" /e /r /s</v>
      </c>
      <c r="AG119" s="1" t="str">
        <f t="shared" si="74"/>
        <v>EC</v>
      </c>
      <c r="AH119" s="96" t="str">
        <f t="shared" si="60"/>
        <v>"%USERPROFILE%\Documents\GitHub\eaglep3\Utilities\RefineRTDCRunTimes.py" --tripid 202-03 --locoid 4026 --swversion DE.1.0.7.0 --startMP 204:232971 --initTime 2016-10-03T17:08:24 --startdatetime 2016-10-03T17:11:21 --delay 1 --endMP 204:152 --enddatetime 2016-10-03T17:55:44 --enforcementcount 0 &gt;&gt;C:\Users\stu\Documents\GitHub\eaglep3-reporting\EC\2016-10-03-refined-times.txt</v>
      </c>
      <c r="AI119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{"issue":{"subject":"","project_id":79,"tracker_id":40,"status_id":1,"priority_id":2,"assigned_to_id":23,"start_date":"2016-10-03","description":"","custom_fields":[{"id":1,"name":"Subdivision","value":"EC"},{"id":4,"name":"Milepost","value":"0.0152"},{"id":17,"name":"Train ID","value":"202-03"},{"id":16,"name":"Locomotive ID","value":"4026"},{"id":130,"name":"Impact","value":""},{"id":150,"name":"Time of Event (Mountain Time)","value":"17:55:44"},{"id":151,"name":"Denver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552</v>
      </c>
      <c r="B120" s="7">
        <v>4046</v>
      </c>
      <c r="C120" s="24" t="s">
        <v>106</v>
      </c>
      <c r="D120" s="24" t="s">
        <v>201</v>
      </c>
      <c r="E120" s="15">
        <v>42646.685057870367</v>
      </c>
      <c r="F120" s="15">
        <v>42646.687974537039</v>
      </c>
      <c r="G120" s="7">
        <v>1</v>
      </c>
      <c r="H120" s="15" t="s">
        <v>553</v>
      </c>
      <c r="I120" s="15">
        <v>42646.717766203707</v>
      </c>
      <c r="J120" s="7">
        <v>0</v>
      </c>
      <c r="K120" s="117" t="str">
        <f t="shared" si="65"/>
        <v>4045/4046</v>
      </c>
      <c r="L120" s="24" t="str">
        <f>VLOOKUP(A120,'Trips&amp;Operators'!$C$1:$E$10000,3,FALSE)</f>
        <v>BARTLETT</v>
      </c>
      <c r="M120" s="6">
        <f t="shared" si="66"/>
        <v>2.9791666667733807E-2</v>
      </c>
      <c r="N120" s="7">
        <f t="shared" si="80"/>
        <v>42.900000001536682</v>
      </c>
      <c r="O120" s="7"/>
      <c r="P120" s="7"/>
      <c r="Q120" s="25"/>
      <c r="R120" s="25"/>
      <c r="S120" s="37">
        <f t="shared" si="62"/>
        <v>1</v>
      </c>
      <c r="T120" s="52" t="str">
        <f t="shared" si="67"/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15:26:29-0600',mode:absolute,to:'2016-10-03 18:13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0" s="54" t="str">
        <f t="shared" si="68"/>
        <v>N</v>
      </c>
      <c r="X120" s="164">
        <f t="shared" si="76"/>
        <v>1</v>
      </c>
      <c r="Y120" s="69">
        <f t="shared" si="81"/>
        <v>4.7100000000000003E-2</v>
      </c>
      <c r="Z120" s="69">
        <f t="shared" si="63"/>
        <v>23.334900000000001</v>
      </c>
      <c r="AA120" s="69">
        <f t="shared" si="70"/>
        <v>23.287800000000001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71"/>
        <v>0203-03</v>
      </c>
      <c r="AE120" s="95" t="str">
        <f t="shared" si="72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120" s="92" t="str">
        <f t="shared" si="73"/>
        <v>"C:\Program Files (x86)\AstroGrep\AstroGrep.exe" /spath="%USERPROFILE%\AppData\Local\Temp\OnboardLogs" /stypes="app*4046*20161003*" /stext=" 23:.+((SYSTEM_STATE.+slice.+state.+changed )|(ment ac)|(system.+state.+changed )|(\[timeout)|(PRM\|1\|D)|(kpr)|(kdp)|(\|lc)|(penalty))" /e /r /s</v>
      </c>
      <c r="AG120" s="1" t="str">
        <f t="shared" si="74"/>
        <v>EC</v>
      </c>
      <c r="AH120" s="96" t="str">
        <f t="shared" si="60"/>
        <v>"%USERPROFILE%\Documents\GitHub\eaglep3\Utilities\RefineRTDCRunTimes.py" --tripid 203-03 --locoid 4046 --swversion DE.1.0.7.0 --startMP 204:471 --initTime 2016-10-03T16:26:29 --startdatetime 2016-10-03T16:30:41 --delay 1 --endMP 204:233349 --enddatetime 2016-10-03T17:13:35 --enforcementcount 0 &gt;&gt;C:\Users\stu\Documents\GitHub\eaglep3-reporting\EC\2016-10-03-refined-times.txt</v>
      </c>
      <c r="AI120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{"issue":{"subject":"","project_id":79,"tracker_id":40,"status_id":1,"priority_id":2,"assigned_to_id":23,"start_date":"2016-10-03","description":"","custom_fields":[{"id":1,"name":"Subdivision","value":"EC"},{"id":4,"name":"Milepost","value":"23.3349"},{"id":17,"name":"Train ID","value":"203-03"},{"id":16,"name":"Locomotive ID","value":"4046"},{"id":130,"name":"Impact","value":""},{"id":150,"name":"Time of Event (Mountain Time)","value":"17:13:35"},{"id":151,"name":"Denver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554</v>
      </c>
      <c r="B121" s="7">
        <v>4045</v>
      </c>
      <c r="C121" s="24" t="s">
        <v>106</v>
      </c>
      <c r="D121" s="24" t="s">
        <v>385</v>
      </c>
      <c r="E121" s="15">
        <v>42646.720960648148</v>
      </c>
      <c r="F121" s="15">
        <v>42646.726805555554</v>
      </c>
      <c r="G121" s="7">
        <v>2</v>
      </c>
      <c r="H121" s="15" t="s">
        <v>202</v>
      </c>
      <c r="I121" s="15">
        <v>42646.764722222222</v>
      </c>
      <c r="J121" s="7">
        <v>0</v>
      </c>
      <c r="K121" s="117" t="str">
        <f t="shared" si="65"/>
        <v>4045/4046</v>
      </c>
      <c r="L121" s="24" t="str">
        <f>VLOOKUP(A121,'Trips&amp;Operators'!$C$1:$E$10000,3,FALSE)</f>
        <v>BARTLETT</v>
      </c>
      <c r="M121" s="6">
        <f t="shared" si="66"/>
        <v>3.7916666668024845E-2</v>
      </c>
      <c r="N121" s="7">
        <f t="shared" si="80"/>
        <v>54.600000001955777</v>
      </c>
      <c r="O121" s="7"/>
      <c r="P121" s="7"/>
      <c r="Q121" s="25"/>
      <c r="R121" s="25"/>
      <c r="S121" s="37">
        <f t="shared" si="62"/>
        <v>1</v>
      </c>
      <c r="T121" s="52" t="str">
        <f t="shared" si="67"/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16:18:11-0600',mode:absolute,to:'2016-10-03 19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1" s="54" t="str">
        <f t="shared" si="68"/>
        <v>N</v>
      </c>
      <c r="X121" s="164">
        <f t="shared" si="76"/>
        <v>1</v>
      </c>
      <c r="Y121" s="69">
        <f t="shared" si="81"/>
        <v>23.302099999999999</v>
      </c>
      <c r="Z121" s="69">
        <f t="shared" si="63"/>
        <v>1.5800000000000002E-2</v>
      </c>
      <c r="AA121" s="69">
        <f t="shared" si="70"/>
        <v>23.286300000000001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71"/>
        <v>0204-03</v>
      </c>
      <c r="AE121" s="95" t="str">
        <f t="shared" si="72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121" s="92" t="str">
        <f t="shared" si="73"/>
        <v>"C:\Program Files (x86)\AstroGrep\AstroGrep.exe" /spath="%USERPROFILE%\AppData\Local\Temp\OnboardLogs" /stypes="app*4045*20161004*" /stext=" 00:.+((SYSTEM_STATE.+slice.+state.+changed )|(ment ac)|(system.+state.+changed )|(\[timeout)|(PRM\|1\|D)|(kpr)|(kdp)|(\|lc)|(penalty))" /e /r /s</v>
      </c>
      <c r="AG121" s="1" t="str">
        <f t="shared" si="74"/>
        <v>EC</v>
      </c>
      <c r="AH121" s="96" t="str">
        <f t="shared" si="60"/>
        <v>"%USERPROFILE%\Documents\GitHub\eaglep3\Utilities\RefineRTDCRunTimes.py" --tripid 204-03 --locoid 4045 --swversion DE.1.0.7.0 --startMP 204:233021 --initTime 2016-10-03T17:18:11 --startdatetime 2016-10-03T17:26:36 --delay 2 --endMP 204:158 --enddatetime 2016-10-03T18:21:12 --enforcementcount 0 &gt;&gt;C:\Users\stu\Documents\GitHub\eaglep3-reporting\EC\2016-10-03-refined-times.txt</v>
      </c>
      <c r="AI121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{"issue":{"subject":"","project_id":79,"tracker_id":40,"status_id":1,"priority_id":2,"assigned_to_id":23,"start_date":"2016-10-03","description":"","custom_fields":[{"id":1,"name":"Subdivision","value":"EC"},{"id":4,"name":"Milepost","value":"0.0158"},{"id":17,"name":"Train ID","value":"204-03"},{"id":16,"name":"Locomotive ID","value":"4045"},{"id":130,"name":"Impact","value":""},{"id":150,"name":"Time of Event (Mountain Time)","value":"18:21:12"},{"id":151,"name":"Denver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555</v>
      </c>
      <c r="B122" s="7">
        <v>4002</v>
      </c>
      <c r="C122" s="24" t="s">
        <v>106</v>
      </c>
      <c r="D122" s="24" t="s">
        <v>556</v>
      </c>
      <c r="E122" s="15">
        <v>42646.700590277775</v>
      </c>
      <c r="F122" s="15">
        <v>42646.701782407406</v>
      </c>
      <c r="G122" s="7">
        <v>1</v>
      </c>
      <c r="H122" s="15" t="s">
        <v>350</v>
      </c>
      <c r="I122" s="15">
        <v>42646.731388888889</v>
      </c>
      <c r="J122" s="7">
        <v>0</v>
      </c>
      <c r="K122" s="117" t="str">
        <f t="shared" si="65"/>
        <v>4001/4002</v>
      </c>
      <c r="L122" s="24" t="str">
        <f>VLOOKUP(A122,'Trips&amp;Operators'!$C$1:$E$10000,3,FALSE)</f>
        <v>BONDS</v>
      </c>
      <c r="M122" s="6">
        <f t="shared" si="66"/>
        <v>2.9606481482915115E-2</v>
      </c>
      <c r="N122" s="7">
        <f t="shared" si="80"/>
        <v>42.633333335397765</v>
      </c>
      <c r="O122" s="7"/>
      <c r="P122" s="7"/>
      <c r="Q122" s="25"/>
      <c r="R122" s="25"/>
      <c r="S122" s="37">
        <f t="shared" si="62"/>
        <v>1</v>
      </c>
      <c r="T122" s="52" t="str">
        <f t="shared" si="67"/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15:48:51-0600',mode:absolute,to:'2016-10-03 18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2" s="54" t="str">
        <f t="shared" si="68"/>
        <v>N</v>
      </c>
      <c r="X122" s="164">
        <f t="shared" si="76"/>
        <v>1</v>
      </c>
      <c r="Y122" s="69">
        <f t="shared" si="81"/>
        <v>4.8899999999999999E-2</v>
      </c>
      <c r="Z122" s="69">
        <f t="shared" si="63"/>
        <v>23.332100000000001</v>
      </c>
      <c r="AA122" s="69">
        <f t="shared" si="70"/>
        <v>23.283200000000001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71"/>
        <v>0205-03</v>
      </c>
      <c r="AE122" s="95" t="str">
        <f t="shared" si="72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122" s="92" t="str">
        <f t="shared" si="73"/>
        <v>"C:\Program Files (x86)\AstroGrep\AstroGrep.exe" /spath="%USERPROFILE%\AppData\Local\Temp\OnboardLogs" /stypes="app*4002*20161003*" /stext=" 23:.+((SYSTEM_STATE.+slice.+state.+changed )|(ment ac)|(system.+state.+changed )|(\[timeout)|(PRM\|1\|D)|(kpr)|(kdp)|(\|lc)|(penalty))" /e /r /s</v>
      </c>
      <c r="AG122" s="1" t="str">
        <f t="shared" si="74"/>
        <v>EC</v>
      </c>
      <c r="AH122" s="96" t="str">
        <f t="shared" si="60"/>
        <v>"%USERPROFILE%\Documents\GitHub\eaglep3\Utilities\RefineRTDCRunTimes.py" --tripid 205-03 --locoid 4002 --swversion DE.1.0.7.0 --startMP 204:489 --initTime 2016-10-03T16:48:51 --startdatetime 2016-10-03T16:50:34 --delay 1 --endMP 204:233321 --enddatetime 2016-10-03T17:33:12 --enforcementcount 0 &gt;&gt;C:\Users\stu\Documents\GitHub\eaglep3-reporting\EC\2016-10-03-refined-times.txt</v>
      </c>
      <c r="AI122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{"issue":{"subject":"","project_id":79,"tracker_id":40,"status_id":1,"priority_id":2,"assigned_to_id":23,"start_date":"2016-10-03","description":"","custom_fields":[{"id":1,"name":"Subdivision","value":"EC"},{"id":4,"name":"Milepost","value":"23.3321"},{"id":17,"name":"Train ID","value":"205-03"},{"id":16,"name":"Locomotive ID","value":"4002"},{"id":130,"name":"Impact","value":""},{"id":150,"name":"Time of Event (Mountain Time)","value":"17:33:12"},{"id":151,"name":"Denver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557</v>
      </c>
      <c r="B123" s="7">
        <v>4001</v>
      </c>
      <c r="C123" s="24" t="s">
        <v>106</v>
      </c>
      <c r="D123" s="24" t="s">
        <v>223</v>
      </c>
      <c r="E123" s="15">
        <v>42646.734976851854</v>
      </c>
      <c r="F123" s="15">
        <v>42646.737013888887</v>
      </c>
      <c r="G123" s="7">
        <v>1</v>
      </c>
      <c r="H123" s="15" t="s">
        <v>199</v>
      </c>
      <c r="I123" s="15">
        <v>42646.768460648149</v>
      </c>
      <c r="J123" s="7">
        <v>0</v>
      </c>
      <c r="K123" s="117" t="str">
        <f t="shared" si="65"/>
        <v>4001/4002</v>
      </c>
      <c r="L123" s="24" t="str">
        <f>VLOOKUP(A123,'Trips&amp;Operators'!$C$1:$E$10000,3,FALSE)</f>
        <v>BONDS</v>
      </c>
      <c r="M123" s="6">
        <f t="shared" si="66"/>
        <v>3.1446759261598345E-2</v>
      </c>
      <c r="N123" s="7">
        <f t="shared" si="80"/>
        <v>45.283333336701617</v>
      </c>
      <c r="O123" s="7"/>
      <c r="P123" s="7"/>
      <c r="Q123" s="25"/>
      <c r="R123" s="25"/>
      <c r="S123" s="37">
        <f t="shared" ref="S123:S154" si="82">SUM(U123:U123)/IF(AG123="EC",12,1)</f>
        <v>1</v>
      </c>
      <c r="T123" s="52" t="str">
        <f t="shared" si="67"/>
        <v>Southbound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16:38:22-0600',mode:absolute,to:'2016-10-03 19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3" s="54" t="str">
        <f t="shared" si="68"/>
        <v>N</v>
      </c>
      <c r="X123" s="164">
        <f t="shared" si="76"/>
        <v>1</v>
      </c>
      <c r="Y123" s="69">
        <f t="shared" si="81"/>
        <v>23.3</v>
      </c>
      <c r="Z123" s="69">
        <f t="shared" si="63"/>
        <v>1.49E-2</v>
      </c>
      <c r="AA123" s="69">
        <f t="shared" si="70"/>
        <v>23.2851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71"/>
        <v>0206-03</v>
      </c>
      <c r="AE123" s="95" t="str">
        <f t="shared" si="72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123" s="92" t="str">
        <f t="shared" si="73"/>
        <v>"C:\Program Files (x86)\AstroGrep\AstroGrep.exe" /spath="%USERPROFILE%\AppData\Local\Temp\OnboardLogs" /stypes="app*4001*20161004*" /stext=" 00:.+((SYSTEM_STATE.+slice.+state.+changed )|(ment ac)|(system.+state.+changed )|(\[timeout)|(PRM\|1\|D)|(kpr)|(kdp)|(\|lc)|(penalty))" /e /r /s</v>
      </c>
      <c r="AG123" s="1" t="str">
        <f t="shared" si="74"/>
        <v>EC</v>
      </c>
      <c r="AH123" s="96" t="str">
        <f t="shared" si="60"/>
        <v>"%USERPROFILE%\Documents\GitHub\eaglep3\Utilities\RefineRTDCRunTimes.py" --tripid 206-03 --locoid 4001 --swversion DE.1.0.7.0 --startMP 204:233000 --initTime 2016-10-03T17:38:22 --startdatetime 2016-10-03T17:41:18 --delay 1 --endMP 204:149 --enddatetime 2016-10-03T18:26:35 --enforcementcount 0 &gt;&gt;C:\Users\stu\Documents\GitHub\eaglep3-reporting\EC\2016-10-03-refined-times.txt</v>
      </c>
      <c r="AI123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{"issue":{"subject":"","project_id":79,"tracker_id":40,"status_id":1,"priority_id":2,"assigned_to_id":23,"start_date":"2016-10-03","description":"","custom_fields":[{"id":1,"name":"Subdivision","value":"EC"},{"id":4,"name":"Milepost","value":"0.0149"},{"id":17,"name":"Train ID","value":"206-03"},{"id":16,"name":"Locomotive ID","value":"4001"},{"id":130,"name":"Impact","value":""},{"id":150,"name":"Time of Event (Mountain Time)","value":"18:26:35"},{"id":151,"name":"Denver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558</v>
      </c>
      <c r="B124" s="7">
        <v>4003</v>
      </c>
      <c r="C124" s="24" t="s">
        <v>106</v>
      </c>
      <c r="D124" s="24" t="s">
        <v>268</v>
      </c>
      <c r="E124" s="15">
        <v>42646.715011574073</v>
      </c>
      <c r="F124" s="15">
        <v>42646.717407407406</v>
      </c>
      <c r="G124" s="7">
        <v>1</v>
      </c>
      <c r="H124" s="15" t="s">
        <v>375</v>
      </c>
      <c r="I124" s="15">
        <v>42646.750486111108</v>
      </c>
      <c r="J124" s="7">
        <v>0</v>
      </c>
      <c r="K124" s="117" t="str">
        <f t="shared" si="65"/>
        <v>4003/4004</v>
      </c>
      <c r="L124" s="24" t="str">
        <f>VLOOKUP(A124,'Trips&amp;Operators'!$C$1:$E$10000,3,FALSE)</f>
        <v>CLARK</v>
      </c>
      <c r="M124" s="6">
        <f t="shared" si="66"/>
        <v>3.3078703701903578E-2</v>
      </c>
      <c r="N124" s="7">
        <f t="shared" si="80"/>
        <v>47.633333330741152</v>
      </c>
      <c r="O124" s="7"/>
      <c r="P124" s="7"/>
      <c r="Q124" s="25"/>
      <c r="R124" s="25"/>
      <c r="S124" s="37">
        <f t="shared" si="82"/>
        <v>1</v>
      </c>
      <c r="T124" s="52" t="str">
        <f t="shared" si="67"/>
        <v>NorthBound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16:09:37-0600',mode:absolute,to:'2016-10-03 19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4" s="54" t="str">
        <f t="shared" si="68"/>
        <v>N</v>
      </c>
      <c r="X124" s="164">
        <f t="shared" si="76"/>
        <v>1</v>
      </c>
      <c r="Y124" s="69">
        <f t="shared" si="81"/>
        <v>4.7699999999999999E-2</v>
      </c>
      <c r="Z124" s="69">
        <f t="shared" si="63"/>
        <v>23.3278</v>
      </c>
      <c r="AA124" s="69">
        <f t="shared" si="70"/>
        <v>23.280100000000001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71"/>
        <v>0207-03</v>
      </c>
      <c r="AE124" s="95" t="str">
        <f t="shared" si="72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124" s="92" t="str">
        <f t="shared" si="73"/>
        <v>"C:\Program Files (x86)\AstroGrep\AstroGrep.exe" /spath="%USERPROFILE%\AppData\Local\Temp\OnboardLogs" /stypes="app*4003*20161004*" /stext=" 00:.+((SYSTEM_STATE.+slice.+state.+changed )|(ment ac)|(system.+state.+changed )|(\[timeout)|(PRM\|1\|D)|(kpr)|(kdp)|(\|lc)|(penalty))" /e /r /s</v>
      </c>
      <c r="AG124" s="1" t="str">
        <f t="shared" si="74"/>
        <v>EC</v>
      </c>
      <c r="AH124" s="96" t="str">
        <f t="shared" si="60"/>
        <v>"%USERPROFILE%\Documents\GitHub\eaglep3\Utilities\RefineRTDCRunTimes.py" --tripid 207-03 --locoid 4003 --swversion DE.1.0.7.0 --startMP 204:477 --initTime 2016-10-03T17:09:37 --startdatetime 2016-10-03T17:13:04 --delay 1 --endMP 204:233278 --enddatetime 2016-10-03T18:00:42 --enforcementcount 0 &gt;&gt;C:\Users\stu\Documents\GitHub\eaglep3-reporting\EC\2016-10-03-refined-times.txt</v>
      </c>
      <c r="AI124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{"issue":{"subject":"","project_id":79,"tracker_id":40,"status_id":1,"priority_id":2,"assigned_to_id":23,"start_date":"2016-10-03","description":"","custom_fields":[{"id":1,"name":"Subdivision","value":"EC"},{"id":4,"name":"Milepost","value":"23.3278"},{"id":17,"name":"Train ID","value":"207-03"},{"id":16,"name":"Locomotive ID","value":"4003"},{"id":130,"name":"Impact","value":""},{"id":150,"name":"Time of Event (Mountain Time)","value":"18:00:42"},{"id":151,"name":"Denver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559</v>
      </c>
      <c r="B125" s="7">
        <v>4004</v>
      </c>
      <c r="C125" s="24" t="s">
        <v>106</v>
      </c>
      <c r="D125" s="24" t="s">
        <v>560</v>
      </c>
      <c r="E125" s="15">
        <v>42646.75608796296</v>
      </c>
      <c r="F125" s="15">
        <v>42646.758356481485</v>
      </c>
      <c r="G125" s="7">
        <v>1</v>
      </c>
      <c r="H125" s="15" t="s">
        <v>561</v>
      </c>
      <c r="I125" s="15">
        <v>42646.790833333333</v>
      </c>
      <c r="J125" s="7">
        <v>0</v>
      </c>
      <c r="K125" s="117" t="str">
        <f t="shared" si="65"/>
        <v>4003/4004</v>
      </c>
      <c r="L125" s="24" t="str">
        <f>VLOOKUP(A125,'Trips&amp;Operators'!$C$1:$E$10000,3,FALSE)</f>
        <v>CLARK</v>
      </c>
      <c r="M125" s="6">
        <f t="shared" si="66"/>
        <v>3.2476851847604848E-2</v>
      </c>
      <c r="N125" s="7">
        <f t="shared" si="80"/>
        <v>46.766666660550982</v>
      </c>
      <c r="O125" s="7"/>
      <c r="P125" s="7"/>
      <c r="Q125" s="25"/>
      <c r="R125" s="25"/>
      <c r="S125" s="37">
        <f t="shared" si="82"/>
        <v>1</v>
      </c>
      <c r="T125" s="52" t="str">
        <f t="shared" si="67"/>
        <v>Southbound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17:08:46-0600',mode:absolute,to:'2016-10-03 19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5" s="54" t="str">
        <f t="shared" si="68"/>
        <v>N</v>
      </c>
      <c r="X125" s="164">
        <f t="shared" si="76"/>
        <v>1</v>
      </c>
      <c r="Y125" s="69">
        <f t="shared" si="81"/>
        <v>23.2942</v>
      </c>
      <c r="Z125" s="69">
        <f t="shared" si="63"/>
        <v>1.9199999999999998E-2</v>
      </c>
      <c r="AA125" s="69">
        <f t="shared" si="70"/>
        <v>23.274999999999999</v>
      </c>
      <c r="AB125" s="66" t="str">
        <f>VLOOKUP(A125,Enforcements!$C$7:$K$21,8,0)</f>
        <v>Bulletin (2)</v>
      </c>
      <c r="AC125" s="62" t="str">
        <f>VLOOKUP(A125,Enforcements!$C$7:$E$21,3,0)</f>
        <v>GRADE CROSSING</v>
      </c>
      <c r="AD125" s="63" t="str">
        <f t="shared" si="71"/>
        <v>0208-03</v>
      </c>
      <c r="AE125" s="95" t="str">
        <f t="shared" si="72"/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AF125" s="92" t="str">
        <f t="shared" si="73"/>
        <v>"C:\Program Files (x86)\AstroGrep\AstroGrep.exe" /spath="%USERPROFILE%\AppData\Local\Temp\OnboardLogs" /stypes="app*4004*20161004*" /stext=" 00:.+((SYSTEM_STATE.+slice.+state.+changed )|(ment ac)|(system.+state.+changed )|(\[timeout)|(PRM\|1\|D)|(kpr)|(kdp)|(\|lc)|(penalty))" /e /r /s</v>
      </c>
      <c r="AG125" s="1" t="str">
        <f t="shared" si="74"/>
        <v>EC</v>
      </c>
      <c r="AH125" s="96" t="str">
        <f t="shared" si="60"/>
        <v>"%USERPROFILE%\Documents\GitHub\eaglep3\Utilities\RefineRTDCRunTimes.py" --tripid 208-03 --locoid 4004 --swversion DE.1.0.7.0 --startMP 204:232942 --initTime 2016-10-03T18:08:46 --startdatetime 2016-10-03T18:12:02 --delay 1 --endMP 204:192 --enddatetime 2016-10-03T18:58:48 --enforcementcount 0 &gt;&gt;C:\Users\stu\Documents\GitHub\eaglep3-reporting\EC\2016-10-03-refined-times.txt</v>
      </c>
      <c r="AI125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{"issue":{"subject":"","project_id":79,"tracker_id":40,"status_id":1,"priority_id":2,"assigned_to_id":23,"start_date":"2016-10-03","description":"","custom_fields":[{"id":1,"name":"Subdivision","value":"EC"},{"id":4,"name":"Milepost","value":"0.0192"},{"id":17,"name":"Train ID","value":"208-03"},{"id":16,"name":"Locomotive ID","value":"4004"},{"id":130,"name":"Impact","value":""},{"id":150,"name":"Time of Event (Mountain Time)","value":"18:58:48"},{"id":151,"name":"Denver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562</v>
      </c>
      <c r="B126" s="7">
        <v>4040</v>
      </c>
      <c r="C126" s="24" t="s">
        <v>106</v>
      </c>
      <c r="D126" s="24" t="s">
        <v>486</v>
      </c>
      <c r="E126" s="15">
        <v>42646.723923611113</v>
      </c>
      <c r="F126" s="15">
        <v>42646.726076388892</v>
      </c>
      <c r="G126" s="7">
        <v>2</v>
      </c>
      <c r="H126" s="15" t="s">
        <v>364</v>
      </c>
      <c r="I126" s="15">
        <v>42646.758125</v>
      </c>
      <c r="J126" s="7">
        <v>0</v>
      </c>
      <c r="K126" s="117" t="str">
        <f t="shared" si="65"/>
        <v>4039/4040</v>
      </c>
      <c r="L126" s="24" t="str">
        <f>VLOOKUP(A126,'Trips&amp;Operators'!$C$1:$E$10000,3,FALSE)</f>
        <v>LEVERE</v>
      </c>
      <c r="M126" s="6">
        <f t="shared" si="66"/>
        <v>3.2048611108621117E-2</v>
      </c>
      <c r="N126" s="7">
        <f t="shared" si="80"/>
        <v>46.149999996414408</v>
      </c>
      <c r="O126" s="7"/>
      <c r="P126" s="7"/>
      <c r="Q126" s="25"/>
      <c r="R126" s="25"/>
      <c r="S126" s="37">
        <f t="shared" si="82"/>
        <v>1</v>
      </c>
      <c r="T126" s="52" t="str">
        <f t="shared" si="67"/>
        <v>NorthBound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16:22:27-0600',mode:absolute,to:'2016-10-03 19:11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6" s="54" t="str">
        <f t="shared" si="68"/>
        <v>N</v>
      </c>
      <c r="X126" s="164">
        <f t="shared" si="76"/>
        <v>1</v>
      </c>
      <c r="Y126" s="69">
        <f t="shared" si="81"/>
        <v>4.4600000000000001E-2</v>
      </c>
      <c r="Z126" s="69">
        <f t="shared" si="63"/>
        <v>23.329699999999999</v>
      </c>
      <c r="AA126" s="69">
        <f t="shared" si="70"/>
        <v>23.2851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71"/>
        <v>0209-03</v>
      </c>
      <c r="AE126" s="95" t="str">
        <f t="shared" si="72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126" s="92" t="str">
        <f t="shared" si="73"/>
        <v>"C:\Program Files (x86)\AstroGrep\AstroGrep.exe" /spath="%USERPROFILE%\AppData\Local\Temp\OnboardLogs" /stypes="app*4040*20161004*" /stext=" 00:.+((SYSTEM_STATE.+slice.+state.+changed )|(ment ac)|(system.+state.+changed )|(\[timeout)|(PRM\|1\|D)|(kpr)|(kdp)|(\|lc)|(penalty))" /e /r /s</v>
      </c>
      <c r="AG126" s="1" t="str">
        <f t="shared" si="74"/>
        <v>EC</v>
      </c>
      <c r="AH126" s="96" t="str">
        <f t="shared" si="60"/>
        <v>"%USERPROFILE%\Documents\GitHub\eaglep3\Utilities\RefineRTDCRunTimes.py" --tripid 209-03 --locoid 4040 --swversion DE.1.0.7.0 --startMP 204:446 --initTime 2016-10-03T17:22:27 --startdatetime 2016-10-03T17:25:33 --delay 2 --endMP 204:233297 --enddatetime 2016-10-03T18:11:42 --enforcementcount 0 &gt;&gt;C:\Users\stu\Documents\GitHub\eaglep3-reporting\EC\2016-10-03-refined-times.txt</v>
      </c>
      <c r="AI126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{"issue":{"subject":"","project_id":79,"tracker_id":40,"status_id":1,"priority_id":2,"assigned_to_id":23,"start_date":"2016-10-03","description":"","custom_fields":[{"id":1,"name":"Subdivision","value":"EC"},{"id":4,"name":"Milepost","value":"23.3297"},{"id":17,"name":"Train ID","value":"209-03"},{"id":16,"name":"Locomotive ID","value":"4040"},{"id":130,"name":"Impact","value":""},{"id":150,"name":"Time of Event (Mountain Time)","value":"18:11:42"},{"id":151,"name":"Denver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563</v>
      </c>
      <c r="B127" s="7">
        <v>4039</v>
      </c>
      <c r="C127" s="24" t="s">
        <v>106</v>
      </c>
      <c r="D127" s="24" t="s">
        <v>386</v>
      </c>
      <c r="E127" s="15">
        <v>42646.760289351849</v>
      </c>
      <c r="F127" s="15">
        <v>42646.765023148146</v>
      </c>
      <c r="G127" s="7">
        <v>1</v>
      </c>
      <c r="H127" s="15" t="s">
        <v>205</v>
      </c>
      <c r="I127" s="15">
        <v>42646.79519675926</v>
      </c>
      <c r="J127" s="7">
        <v>0</v>
      </c>
      <c r="K127" s="117" t="str">
        <f t="shared" si="65"/>
        <v>4039/4040</v>
      </c>
      <c r="L127" s="24" t="str">
        <f>VLOOKUP(A127,'Trips&amp;Operators'!$C$1:$E$10000,3,FALSE)</f>
        <v>LEVERE</v>
      </c>
      <c r="M127" s="6">
        <f t="shared" si="66"/>
        <v>3.0173611114150845E-2</v>
      </c>
      <c r="N127" s="7">
        <f t="shared" si="80"/>
        <v>43.450000004377216</v>
      </c>
      <c r="O127" s="7"/>
      <c r="P127" s="7"/>
      <c r="Q127" s="25"/>
      <c r="R127" s="25"/>
      <c r="S127" s="37">
        <f t="shared" si="82"/>
        <v>1</v>
      </c>
      <c r="T127" s="52" t="str">
        <f t="shared" si="67"/>
        <v>Southbound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17:14:49-0600',mode:absolute,to:'2016-10-03 20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7" s="54" t="str">
        <f t="shared" si="68"/>
        <v>N</v>
      </c>
      <c r="X127" s="164">
        <f t="shared" si="76"/>
        <v>1</v>
      </c>
      <c r="Y127" s="69">
        <f t="shared" si="81"/>
        <v>23.297499999999999</v>
      </c>
      <c r="Z127" s="69">
        <f t="shared" si="63"/>
        <v>1.4999999999999999E-2</v>
      </c>
      <c r="AA127" s="69">
        <f t="shared" si="70"/>
        <v>23.282499999999999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71"/>
        <v>0210-03</v>
      </c>
      <c r="AE127" s="95" t="str">
        <f t="shared" si="72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127" s="92" t="str">
        <f t="shared" si="73"/>
        <v>"C:\Program Files (x86)\AstroGrep\AstroGrep.exe" /spath="%USERPROFILE%\AppData\Local\Temp\OnboardLogs" /stypes="app*4039*20161004*" /stext=" 01:.+((SYSTEM_STATE.+slice.+state.+changed )|(ment ac)|(system.+state.+changed )|(\[timeout)|(PRM\|1\|D)|(kpr)|(kdp)|(\|lc)|(penalty))" /e /r /s</v>
      </c>
      <c r="AG127" s="1" t="str">
        <f t="shared" si="74"/>
        <v>EC</v>
      </c>
      <c r="AH127" s="96" t="str">
        <f t="shared" si="60"/>
        <v>"%USERPROFILE%\Documents\GitHub\eaglep3\Utilities\RefineRTDCRunTimes.py" --tripid 210-03 --locoid 4039 --swversion DE.1.0.7.0 --startMP 204:232975 --initTime 2016-10-03T18:14:49 --startdatetime 2016-10-03T18:21:38 --delay 1 --endMP 204:150 --enddatetime 2016-10-03T19:05:05 --enforcementcount 0 &gt;&gt;C:\Users\stu\Documents\GitHub\eaglep3-reporting\EC\2016-10-03-refined-times.txt</v>
      </c>
      <c r="AI127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{"issue":{"subject":"","project_id":79,"tracker_id":40,"status_id":1,"priority_id":2,"assigned_to_id":23,"start_date":"2016-10-03","description":"","custom_fields":[{"id":1,"name":"Subdivision","value":"EC"},{"id":4,"name":"Milepost","value":"0.015"},{"id":17,"name":"Train ID","value":"210-03"},{"id":16,"name":"Locomotive ID","value":"4039"},{"id":130,"name":"Impact","value":""},{"id":150,"name":"Time of Event (Mountain Time)","value":"19:05:05"},{"id":151,"name":"Denver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564</v>
      </c>
      <c r="B128" s="7">
        <v>4018</v>
      </c>
      <c r="C128" s="24" t="s">
        <v>106</v>
      </c>
      <c r="D128" s="24" t="s">
        <v>204</v>
      </c>
      <c r="E128" s="15">
        <v>42646.728703703702</v>
      </c>
      <c r="F128" s="15">
        <v>42646.769467592596</v>
      </c>
      <c r="G128" s="7">
        <v>1</v>
      </c>
      <c r="H128" s="15" t="s">
        <v>227</v>
      </c>
      <c r="I128" s="15">
        <v>42646.801782407405</v>
      </c>
      <c r="J128" s="7">
        <v>0</v>
      </c>
      <c r="K128" s="117" t="str">
        <f t="shared" si="65"/>
        <v>4017/4018</v>
      </c>
      <c r="L128" s="24" t="str">
        <f>VLOOKUP(A128,'Trips&amp;Operators'!$C$1:$E$10000,3,FALSE)</f>
        <v>YOUNG</v>
      </c>
      <c r="M128" s="6">
        <f t="shared" si="66"/>
        <v>3.2314814809069503E-2</v>
      </c>
      <c r="N128" s="7">
        <f t="shared" si="80"/>
        <v>46.533333325060084</v>
      </c>
      <c r="O128" s="7"/>
      <c r="P128" s="7"/>
      <c r="Q128" s="25"/>
      <c r="R128" s="25"/>
      <c r="S128" s="37">
        <f t="shared" si="82"/>
        <v>1</v>
      </c>
      <c r="T128" s="52" t="str">
        <f t="shared" si="67"/>
        <v>NorthBound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16:29:20-0600',mode:absolute,to:'2016-10-03 20:14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8" s="54" t="str">
        <f t="shared" si="68"/>
        <v>N</v>
      </c>
      <c r="X128" s="164">
        <f t="shared" si="76"/>
        <v>1</v>
      </c>
      <c r="Y128" s="69">
        <f t="shared" si="81"/>
        <v>4.53E-2</v>
      </c>
      <c r="Z128" s="69">
        <f t="shared" si="63"/>
        <v>23.33</v>
      </c>
      <c r="AA128" s="69">
        <f t="shared" si="70"/>
        <v>23.284699999999997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71"/>
        <v>0211-03</v>
      </c>
      <c r="AE128" s="95" t="str">
        <f t="shared" si="72"/>
        <v>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 &amp; 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</v>
      </c>
      <c r="AF128" s="92" t="str">
        <f t="shared" si="73"/>
        <v>"C:\Program Files (x86)\AstroGrep\AstroGrep.exe" /spath="%USERPROFILE%\AppData\Local\Temp\OnboardLogs" /stypes="app*4018*20161004*" /stext=" 01:.+((SYSTEM_STATE.+slice.+state.+changed )|(ment ac)|(system.+state.+changed )|(\[timeout)|(PRM\|1\|D)|(kpr)|(kdp)|(\|lc)|(penalty))" /e /r /s</v>
      </c>
      <c r="AG128" s="1" t="str">
        <f t="shared" si="74"/>
        <v>EC</v>
      </c>
      <c r="AH128" s="96" t="str">
        <f t="shared" si="60"/>
        <v>"%USERPROFILE%\Documents\GitHub\eaglep3\Utilities\RefineRTDCRunTimes.py" --tripid 211-03 --locoid 4018 --swversion DE.1.0.7.0 --startMP 204:453 --initTime 2016-10-03T17:29:20 --startdatetime 2016-10-03T18:28:02 --delay 1 --endMP 204:233300 --enddatetime 2016-10-03T19:14:34 --enforcementcount 0 &gt;&gt;C:\Users\stu\Documents\GitHub\eaglep3-reporting\EC\2016-10-03-refined-times.txt</v>
      </c>
      <c r="AI128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{"issue":{"subject":"","project_id":79,"tracker_id":40,"status_id":1,"priority_id":2,"assigned_to_id":23,"start_date":"2016-10-03","description":"","custom_fields":[{"id":1,"name":"Subdivision","value":"EC"},{"id":4,"name":"Milepost","value":"23.33"},{"id":17,"name":"Train ID","value":"211-03"},{"id":16,"name":"Locomotive ID","value":"4018"},{"id":130,"name":"Impact","value":""},{"id":150,"name":"Time of Event (Mountain Time)","value":"19:14:34"},{"id":151,"name":"Denver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565</v>
      </c>
      <c r="B129" s="7">
        <v>4017</v>
      </c>
      <c r="C129" s="24" t="s">
        <v>106</v>
      </c>
      <c r="D129" s="24" t="s">
        <v>288</v>
      </c>
      <c r="E129" s="15">
        <v>42646.768159722225</v>
      </c>
      <c r="F129" s="15">
        <v>42646.769467592596</v>
      </c>
      <c r="G129" s="7">
        <v>1</v>
      </c>
      <c r="H129" s="15" t="s">
        <v>566</v>
      </c>
      <c r="I129" s="15">
        <v>42646.801782407405</v>
      </c>
      <c r="J129" s="7">
        <v>0</v>
      </c>
      <c r="K129" s="117" t="str">
        <f t="shared" si="65"/>
        <v>4017/4018</v>
      </c>
      <c r="L129" s="24" t="str">
        <f>VLOOKUP(A129,'Trips&amp;Operators'!$C$1:$E$10000,3,FALSE)</f>
        <v>YOUNG</v>
      </c>
      <c r="M129" s="6">
        <f t="shared" si="66"/>
        <v>3.2314814809069503E-2</v>
      </c>
      <c r="N129" s="7">
        <f t="shared" si="80"/>
        <v>46.533333325060084</v>
      </c>
      <c r="O129" s="7"/>
      <c r="P129" s="7"/>
      <c r="Q129" s="25"/>
      <c r="R129" s="25"/>
      <c r="S129" s="37">
        <f t="shared" si="82"/>
        <v>1</v>
      </c>
      <c r="T129" s="52" t="str">
        <f t="shared" si="67"/>
        <v>Southbound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17:26:09-0600',mode:absolute,to:'2016-10-03 20:14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9" s="54" t="str">
        <f t="shared" si="68"/>
        <v>N</v>
      </c>
      <c r="X129" s="164">
        <f t="shared" si="76"/>
        <v>1</v>
      </c>
      <c r="Y129" s="69">
        <f t="shared" si="81"/>
        <v>23.2987</v>
      </c>
      <c r="Z129" s="69">
        <f t="shared" si="63"/>
        <v>9.4700000000000006E-2</v>
      </c>
      <c r="AA129" s="69">
        <f t="shared" si="70"/>
        <v>23.204000000000001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71"/>
        <v>0212-03</v>
      </c>
      <c r="AE129" s="95" t="str">
        <f t="shared" si="72"/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AF129" s="92" t="str">
        <f t="shared" si="73"/>
        <v>"C:\Program Files (x86)\AstroGrep\AstroGrep.exe" /spath="%USERPROFILE%\AppData\Local\Temp\OnboardLogs" /stypes="app*4017*20161004*" /stext=" 01:.+((SYSTEM_STATE.+slice.+state.+changed )|(ment ac)|(system.+state.+changed )|(\[timeout)|(PRM\|1\|D)|(kpr)|(kdp)|(\|lc)|(penalty))" /e /r /s</v>
      </c>
      <c r="AG129" s="1" t="str">
        <f t="shared" si="74"/>
        <v>EC</v>
      </c>
      <c r="AH129" s="96" t="str">
        <f t="shared" si="60"/>
        <v>"%USERPROFILE%\Documents\GitHub\eaglep3\Utilities\RefineRTDCRunTimes.py" --tripid 212-03 --locoid 4017 --swversion DE.1.0.7.0 --startMP 204:232987 --initTime 2016-10-03T18:26:09 --startdatetime 2016-10-03T18:28:02 --delay 1 --endMP 204:947 --enddatetime 2016-10-03T19:14:34 --enforcementcount 0 &gt;&gt;C:\Users\stu\Documents\GitHub\eaglep3-reporting\EC\2016-10-03-refined-times.txt</v>
      </c>
      <c r="AI129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{"issue":{"subject":"","project_id":79,"tracker_id":40,"status_id":1,"priority_id":2,"assigned_to_id":23,"start_date":"2016-10-03","description":"","custom_fields":[{"id":1,"name":"Subdivision","value":"EC"},{"id":4,"name":"Milepost","value":"0.0947"},{"id":17,"name":"Train ID","value":"212-03"},{"id":16,"name":"Locomotive ID","value":"4017"},{"id":130,"name":"Impact","value":""},{"id":150,"name":"Time of Event (Mountain Time)","value":"19:14:34"},{"id":151,"name":"Denver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755</v>
      </c>
      <c r="B130" s="7"/>
      <c r="C130" s="24" t="s">
        <v>106</v>
      </c>
      <c r="D130" s="24" t="s">
        <v>288</v>
      </c>
      <c r="E130" s="15">
        <v>42646.768159722225</v>
      </c>
      <c r="F130" s="15"/>
      <c r="G130" s="7">
        <v>1</v>
      </c>
      <c r="H130" s="15" t="s">
        <v>566</v>
      </c>
      <c r="I130" s="15"/>
      <c r="J130" s="7">
        <v>0</v>
      </c>
      <c r="K130" s="117" t="str">
        <f t="shared" si="65"/>
        <v>-1/</v>
      </c>
      <c r="L130" s="24" t="e">
        <f>VLOOKUP(A130,'Trips&amp;Operators'!$C$1:$E$10000,3,FALSE)</f>
        <v>#N/A</v>
      </c>
      <c r="M130" s="6">
        <f t="shared" si="66"/>
        <v>0</v>
      </c>
      <c r="N130" s="7"/>
      <c r="O130" s="7"/>
      <c r="P130" s="7">
        <v>1</v>
      </c>
      <c r="Q130" s="25"/>
      <c r="R130" s="25" t="s">
        <v>751</v>
      </c>
      <c r="S130" s="37">
        <f t="shared" si="82"/>
        <v>0</v>
      </c>
      <c r="T130" s="52" t="str">
        <f t="shared" si="67"/>
        <v>NorthBound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102" t="str">
        <f t="shared" ref="V130" si="83"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https://search-rtdc-monitor-bjffxe2xuh6vdkpspy63sjmuny.us-east-1.es.amazonaws.com/_plugin/kibana/#/discover/Steve-Slow-Train-Analysis-(2080s-and-2083s)?_g=(refreshInterval:(display:Off,section:0,value:0),time:(from:'2016-10-03 17:26:09-0600',mode:absolute,to:'1900-01-00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30" s="54" t="str">
        <f t="shared" si="68"/>
        <v>N</v>
      </c>
      <c r="X130" s="164">
        <f t="shared" si="76"/>
        <v>1</v>
      </c>
      <c r="Y130" s="69">
        <f t="shared" si="81"/>
        <v>23.2987</v>
      </c>
      <c r="Z130" s="69">
        <f t="shared" si="63"/>
        <v>9.4700000000000006E-2</v>
      </c>
      <c r="AA130" s="69">
        <f t="shared" si="70"/>
        <v>23.204000000000001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71"/>
        <v>0213-03</v>
      </c>
      <c r="AE130" s="95" t="str">
        <f t="shared" si="7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0" s="92" t="str">
        <f t="shared" si="73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30" s="1" t="str">
        <f t="shared" si="74"/>
        <v>EC</v>
      </c>
      <c r="AH130" s="96" t="str">
        <f t="shared" ref="AH130" si="84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213-03 --locoid  --swversion DE.1.0.7.0 --startMP 204:232987 --initTime 2016-10-03T18:26:09 --startdatetime 1900-01-00T00:00:00 --delay 1 --endMP 204:947 --enddatetime 1900-01-00T00:00:00 --enforcementcount 0 &gt;&gt;C:\Users\stu\Documents\GitHub\eaglep3-reporting\EC\2016-10-03-refined-times.txt</v>
      </c>
      <c r="AI130" s="130" t="str">
        <f t="shared" ref="AI130" si="85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init","project_id":79,"tracker_id":40,"status_id":1,"priority_id":2,"assigned_to_id":23,"start_date":"1900-01-00","description":"","custom_fields":[{"id":1,"name":"Subdivision","value":"EC"},{"id":4,"name":"Milepost","value":"0.0947"},{"id":17,"name":"Train ID","value":"213-03"},{"id":16,"name":"Locomotive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567</v>
      </c>
      <c r="B131" s="7">
        <v>4010</v>
      </c>
      <c r="C131" s="24" t="s">
        <v>106</v>
      </c>
      <c r="D131" s="24" t="s">
        <v>568</v>
      </c>
      <c r="E131" s="15">
        <v>42646.773368055554</v>
      </c>
      <c r="F131" s="15">
        <v>42646.778622685182</v>
      </c>
      <c r="G131" s="7">
        <v>1</v>
      </c>
      <c r="H131" s="15" t="s">
        <v>266</v>
      </c>
      <c r="I131" s="15">
        <v>42646.809525462966</v>
      </c>
      <c r="J131" s="7">
        <v>0</v>
      </c>
      <c r="K131" s="117" t="str">
        <f t="shared" si="65"/>
        <v>4009/4010</v>
      </c>
      <c r="L131" s="24" t="str">
        <f>VLOOKUP(A131,'Trips&amp;Operators'!$C$1:$E$10000,3,FALSE)</f>
        <v>NEWELL</v>
      </c>
      <c r="M131" s="6">
        <f t="shared" si="66"/>
        <v>3.090277778392192E-2</v>
      </c>
      <c r="N131" s="7">
        <f t="shared" ref="N131:N137" si="86">24*60*SUM($M131:$M131)</f>
        <v>44.500000008847564</v>
      </c>
      <c r="O131" s="7"/>
      <c r="P131" s="7"/>
      <c r="Q131" s="25"/>
      <c r="R131" s="25"/>
      <c r="S131" s="37">
        <f t="shared" si="82"/>
        <v>1</v>
      </c>
      <c r="T131" s="52" t="str">
        <f t="shared" si="67"/>
        <v>Southbound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17:33:39-0600',mode:absolute,to:'2016-10-03 20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1" s="54" t="str">
        <f t="shared" si="68"/>
        <v>N</v>
      </c>
      <c r="X131" s="164">
        <f t="shared" ref="X131:X132" si="87">VALUE(LEFT(AD131,4))-VALUE(LEFT(AD130,4))</f>
        <v>1</v>
      </c>
      <c r="Y131" s="69">
        <f t="shared" si="81"/>
        <v>23.298200000000001</v>
      </c>
      <c r="Z131" s="69">
        <f t="shared" si="63"/>
        <v>1.61E-2</v>
      </c>
      <c r="AA131" s="69">
        <f t="shared" si="70"/>
        <v>23.2821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71"/>
        <v>0214-03</v>
      </c>
      <c r="AE131" s="95" t="str">
        <f t="shared" si="72"/>
        <v>aws s3 cp s3://rtdc.mdm.uploadarchive.raw/RTDC4010/ "%USERPROFILE%\AppData\Local\Temp\OnboardLogs"\RTDC4010\2016-10-03 --exclude "*" --recursive --include "*20161003*" &amp; "%USERPROFILE%\Documents\GitHub\mrs-test-scripts\Headless Mode &amp; Sideloading\WalkAndUnGZ.bat" "%USERPROFILE%\AppData\Local\Temp\OnboardLogs"\RTDC4010\2016-10-03 &amp; 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</v>
      </c>
      <c r="AF131" s="92" t="str">
        <f t="shared" si="73"/>
        <v>"C:\Program Files (x86)\AstroGrep\AstroGrep.exe" /spath="%USERPROFILE%\AppData\Local\Temp\OnboardLogs" /stypes="app*4010*20161004*" /stext=" 01:.+((SYSTEM_STATE.+slice.+state.+changed )|(ment ac)|(system.+state.+changed )|(\[timeout)|(PRM\|1\|D)|(kpr)|(kdp)|(\|lc)|(penalty))" /e /r /s</v>
      </c>
      <c r="AG131" s="1" t="str">
        <f t="shared" si="74"/>
        <v>EC</v>
      </c>
      <c r="AH131" s="96" t="str">
        <f t="shared" si="60"/>
        <v>"%USERPROFILE%\Documents\GitHub\eaglep3\Utilities\RefineRTDCRunTimes.py" --tripid 214-03 --locoid 4010 --swversion DE.1.0.7.0 --startMP 204:232982 --initTime 2016-10-03T18:33:39 --startdatetime 2016-10-03T18:41:13 --delay 1 --endMP 204:161 --enddatetime 2016-10-03T19:25:43 --enforcementcount 0 &gt;&gt;C:\Users\stu\Documents\GitHub\eaglep3-reporting\EC\2016-10-03-refined-times.txt</v>
      </c>
      <c r="AI131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{"issue":{"subject":"","project_id":79,"tracker_id":40,"status_id":1,"priority_id":2,"assigned_to_id":23,"start_date":"2016-10-03","description":"","custom_fields":[{"id":1,"name":"Subdivision","value":"EC"},{"id":4,"name":"Milepost","value":"0.0161"},{"id":17,"name":"Train ID","value":"214-03"},{"id":16,"name":"Locomotive ID","value":"4010"},{"id":130,"name":"Impact","value":""},{"id":150,"name":"Time of Event (Mountain Time)","value":"19:25:43"},{"id":151,"name":"Denver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569</v>
      </c>
      <c r="B132" s="7">
        <v>4025</v>
      </c>
      <c r="C132" s="24" t="s">
        <v>106</v>
      </c>
      <c r="D132" s="24" t="s">
        <v>283</v>
      </c>
      <c r="E132" s="15">
        <v>42646.748483796298</v>
      </c>
      <c r="F132" s="15">
        <v>42646.750219907408</v>
      </c>
      <c r="G132" s="7">
        <v>1</v>
      </c>
      <c r="H132" s="15" t="s">
        <v>570</v>
      </c>
      <c r="I132" s="15">
        <v>42646.779340277775</v>
      </c>
      <c r="J132" s="7">
        <v>0</v>
      </c>
      <c r="K132" s="117" t="str">
        <f t="shared" si="65"/>
        <v>4025/4026</v>
      </c>
      <c r="L132" s="24" t="str">
        <f>VLOOKUP(A132,'Trips&amp;Operators'!$C$1:$E$10000,3,FALSE)</f>
        <v>SHOOK</v>
      </c>
      <c r="M132" s="6">
        <f t="shared" si="66"/>
        <v>2.9120370367309079E-2</v>
      </c>
      <c r="N132" s="7">
        <f t="shared" si="86"/>
        <v>41.933333328925073</v>
      </c>
      <c r="O132" s="7"/>
      <c r="P132" s="7"/>
      <c r="Q132" s="25"/>
      <c r="R132" s="25"/>
      <c r="S132" s="37">
        <f t="shared" si="82"/>
        <v>1</v>
      </c>
      <c r="T132" s="52" t="str">
        <f t="shared" si="67"/>
        <v>NorthBound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16:57:49-0600',mode:absolute,to:'2016-10-03 19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2" s="54" t="str">
        <f t="shared" si="68"/>
        <v>N</v>
      </c>
      <c r="X132" s="164">
        <f t="shared" si="87"/>
        <v>1</v>
      </c>
      <c r="Y132" s="69">
        <f t="shared" si="81"/>
        <v>4.4900000000000002E-2</v>
      </c>
      <c r="Z132" s="69">
        <f t="shared" si="63"/>
        <v>23.334700000000002</v>
      </c>
      <c r="AA132" s="69">
        <f t="shared" si="70"/>
        <v>23.289800000000003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71"/>
        <v>0215-03</v>
      </c>
      <c r="AE132" s="95" t="str">
        <f t="shared" si="72"/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AF132" s="92" t="str">
        <f t="shared" si="73"/>
        <v>"C:\Program Files (x86)\AstroGrep\AstroGrep.exe" /spath="%USERPROFILE%\AppData\Local\Temp\OnboardLogs" /stypes="app*4025*20161004*" /stext=" 00:.+((SYSTEM_STATE.+slice.+state.+changed )|(ment ac)|(system.+state.+changed )|(\[timeout)|(PRM\|1\|D)|(kpr)|(kdp)|(\|lc)|(penalty))" /e /r /s</v>
      </c>
      <c r="AG132" s="1" t="str">
        <f t="shared" si="74"/>
        <v>EC</v>
      </c>
      <c r="AH132" s="96" t="str">
        <f t="shared" si="60"/>
        <v>"%USERPROFILE%\Documents\GitHub\eaglep3\Utilities\RefineRTDCRunTimes.py" --tripid 215-03 --locoid 4025 --swversion DE.1.0.7.0 --startMP 204:449 --initTime 2016-10-03T17:57:49 --startdatetime 2016-10-03T18:00:19 --delay 1 --endMP 204:233347 --enddatetime 2016-10-03T18:42:15 --enforcementcount 0 &gt;&gt;C:\Users\stu\Documents\GitHub\eaglep3-reporting\EC\2016-10-03-refined-times.txt</v>
      </c>
      <c r="AI132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{"issue":{"subject":"","project_id":79,"tracker_id":40,"status_id":1,"priority_id":2,"assigned_to_id":23,"start_date":"2016-10-03","description":"","custom_fields":[{"id":1,"name":"Subdivision","value":"EC"},{"id":4,"name":"Milepost","value":"23.3347"},{"id":17,"name":"Train ID","value":"215-03"},{"id":16,"name":"Locomotive ID","value":"4025"},{"id":130,"name":"Impact","value":""},{"id":150,"name":"Time of Event (Mountain Time)","value":"18:42:15"},{"id":151,"name":"Denver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571</v>
      </c>
      <c r="B133" s="7">
        <v>4026</v>
      </c>
      <c r="C133" s="24" t="s">
        <v>106</v>
      </c>
      <c r="D133" s="24" t="s">
        <v>572</v>
      </c>
      <c r="E133" s="15">
        <v>42646.786562499998</v>
      </c>
      <c r="F133" s="15">
        <v>42646.789178240739</v>
      </c>
      <c r="G133" s="7">
        <v>2</v>
      </c>
      <c r="H133" s="15" t="s">
        <v>202</v>
      </c>
      <c r="I133" s="15">
        <v>42646.819120370368</v>
      </c>
      <c r="J133" s="7">
        <v>0</v>
      </c>
      <c r="K133" s="117" t="str">
        <f t="shared" si="65"/>
        <v>4025/4026</v>
      </c>
      <c r="L133" s="24" t="str">
        <f>VLOOKUP(A133,'Trips&amp;Operators'!$C$1:$E$10000,3,FALSE)</f>
        <v>SHOOK</v>
      </c>
      <c r="M133" s="6">
        <f t="shared" si="66"/>
        <v>2.99421296294895E-2</v>
      </c>
      <c r="N133" s="7">
        <f t="shared" si="86"/>
        <v>43.11666666646488</v>
      </c>
      <c r="O133" s="7"/>
      <c r="P133" s="7"/>
      <c r="Q133" s="25"/>
      <c r="R133" s="25"/>
      <c r="S133" s="37">
        <f t="shared" si="82"/>
        <v>1</v>
      </c>
      <c r="T133" s="52" t="str">
        <f t="shared" si="67"/>
        <v>Southbound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17:52:39-0600',mode:absolute,to:'2016-10-03 20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3" s="54" t="str">
        <f t="shared" si="68"/>
        <v>N</v>
      </c>
      <c r="X133" s="164">
        <f t="shared" ref="X133:X139" si="88">VALUE(LEFT(AD133,4))-VALUE(LEFT(AD132,4))</f>
        <v>1</v>
      </c>
      <c r="Y133" s="69">
        <f t="shared" si="81"/>
        <v>23.3019</v>
      </c>
      <c r="Z133" s="69">
        <f t="shared" si="63"/>
        <v>1.5800000000000002E-2</v>
      </c>
      <c r="AA133" s="69">
        <f t="shared" si="70"/>
        <v>23.286100000000001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71"/>
        <v>0216-03</v>
      </c>
      <c r="AE133" s="95" t="str">
        <f t="shared" si="72"/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AF133" s="92" t="str">
        <f t="shared" si="73"/>
        <v>"C:\Program Files (x86)\AstroGrep\AstroGrep.exe" /spath="%USERPROFILE%\AppData\Local\Temp\OnboardLogs" /stypes="app*4026*20161004*" /stext=" 01:.+((SYSTEM_STATE.+slice.+state.+changed )|(ment ac)|(system.+state.+changed )|(\[timeout)|(PRM\|1\|D)|(kpr)|(kdp)|(\|lc)|(penalty))" /e /r /s</v>
      </c>
      <c r="AG133" s="1" t="str">
        <f t="shared" si="74"/>
        <v>EC</v>
      </c>
      <c r="AH133" s="96" t="str">
        <f t="shared" si="60"/>
        <v>"%USERPROFILE%\Documents\GitHub\eaglep3\Utilities\RefineRTDCRunTimes.py" --tripid 216-03 --locoid 4026 --swversion DE.1.0.7.0 --startMP 204:233019 --initTime 2016-10-03T18:52:39 --startdatetime 2016-10-03T18:56:25 --delay 2 --endMP 204:158 --enddatetime 2016-10-03T19:39:32 --enforcementcount 0 &gt;&gt;C:\Users\stu\Documents\GitHub\eaglep3-reporting\EC\2016-10-03-refined-times.txt</v>
      </c>
      <c r="AI133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{"issue":{"subject":"","project_id":79,"tracker_id":40,"status_id":1,"priority_id":2,"assigned_to_id":23,"start_date":"2016-10-03","description":"","custom_fields":[{"id":1,"name":"Subdivision","value":"EC"},{"id":4,"name":"Milepost","value":"0.0158"},{"id":17,"name":"Train ID","value":"216-03"},{"id":16,"name":"Locomotive ID","value":"4026"},{"id":130,"name":"Impact","value":""},{"id":150,"name":"Time of Event (Mountain Time)","value":"19:39:32"},{"id":151,"name":"Denver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573</v>
      </c>
      <c r="B134" s="7">
        <v>4046</v>
      </c>
      <c r="C134" s="24" t="s">
        <v>106</v>
      </c>
      <c r="D134" s="24" t="s">
        <v>201</v>
      </c>
      <c r="E134" s="15">
        <v>42646.769895833335</v>
      </c>
      <c r="F134" s="15">
        <v>42646.77144675926</v>
      </c>
      <c r="G134" s="7">
        <v>1</v>
      </c>
      <c r="H134" s="15" t="s">
        <v>342</v>
      </c>
      <c r="I134" s="15">
        <v>42646.802581018521</v>
      </c>
      <c r="J134" s="7">
        <v>0</v>
      </c>
      <c r="K134" s="117" t="str">
        <f t="shared" si="65"/>
        <v>4045/4046</v>
      </c>
      <c r="L134" s="24" t="str">
        <f>VLOOKUP(A134,'Trips&amp;Operators'!$C$1:$E$10000,3,FALSE)</f>
        <v>CHANDLER</v>
      </c>
      <c r="M134" s="6">
        <f t="shared" si="66"/>
        <v>3.1134259261307307E-2</v>
      </c>
      <c r="N134" s="7">
        <f t="shared" si="86"/>
        <v>44.833333336282521</v>
      </c>
      <c r="O134" s="7"/>
      <c r="P134" s="7"/>
      <c r="Q134" s="25"/>
      <c r="R134" s="25"/>
      <c r="S134" s="37">
        <f t="shared" si="82"/>
        <v>1</v>
      </c>
      <c r="T134" s="52" t="str">
        <f t="shared" si="67"/>
        <v>NorthBound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17:28:39-0600',mode:absolute,to:'2016-10-03 20:15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4" s="54" t="str">
        <f t="shared" si="68"/>
        <v>N</v>
      </c>
      <c r="X134" s="164">
        <f t="shared" si="88"/>
        <v>1</v>
      </c>
      <c r="Y134" s="69">
        <f t="shared" si="81"/>
        <v>4.7100000000000003E-2</v>
      </c>
      <c r="Z134" s="69">
        <f t="shared" si="63"/>
        <v>23.328900000000001</v>
      </c>
      <c r="AA134" s="69">
        <f t="shared" si="70"/>
        <v>23.2818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71"/>
        <v>0217-03</v>
      </c>
      <c r="AE134" s="95" t="str">
        <f t="shared" si="72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134" s="92" t="str">
        <f t="shared" si="73"/>
        <v>"C:\Program Files (x86)\AstroGrep\AstroGrep.exe" /spath="%USERPROFILE%\AppData\Local\Temp\OnboardLogs" /stypes="app*4046*20161004*" /stext=" 01:.+((SYSTEM_STATE.+slice.+state.+changed )|(ment ac)|(system.+state.+changed )|(\[timeout)|(PRM\|1\|D)|(kpr)|(kdp)|(\|lc)|(penalty))" /e /r /s</v>
      </c>
      <c r="AG134" s="1" t="str">
        <f t="shared" si="74"/>
        <v>EC</v>
      </c>
      <c r="AH134" s="96" t="str">
        <f t="shared" si="60"/>
        <v>"%USERPROFILE%\Documents\GitHub\eaglep3\Utilities\RefineRTDCRunTimes.py" --tripid 217-03 --locoid 4046 --swversion DE.1.0.7.0 --startMP 204:471 --initTime 2016-10-03T18:28:39 --startdatetime 2016-10-03T18:30:53 --delay 1 --endMP 204:233289 --enddatetime 2016-10-03T19:15:43 --enforcementcount 0 &gt;&gt;C:\Users\stu\Documents\GitHub\eaglep3-reporting\EC\2016-10-03-refined-times.txt</v>
      </c>
      <c r="AI134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{"issue":{"subject":"","project_id":79,"tracker_id":40,"status_id":1,"priority_id":2,"assigned_to_id":23,"start_date":"2016-10-03","description":"","custom_fields":[{"id":1,"name":"Subdivision","value":"EC"},{"id":4,"name":"Milepost","value":"23.3289"},{"id":17,"name":"Train ID","value":"217-03"},{"id":16,"name":"Locomotive ID","value":"4046"},{"id":130,"name":"Impact","value":""},{"id":150,"name":"Time of Event (Mountain Time)","value":"19:15:43"},{"id":151,"name":"Denver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574</v>
      </c>
      <c r="B135" s="7">
        <v>4045</v>
      </c>
      <c r="C135" s="24" t="s">
        <v>106</v>
      </c>
      <c r="D135" s="24" t="s">
        <v>367</v>
      </c>
      <c r="E135" s="15">
        <v>42646.805162037039</v>
      </c>
      <c r="F135" s="15">
        <v>42646.806296296294</v>
      </c>
      <c r="G135" s="7">
        <v>1</v>
      </c>
      <c r="H135" s="15" t="s">
        <v>218</v>
      </c>
      <c r="I135" s="15">
        <v>42646.837939814817</v>
      </c>
      <c r="J135" s="7">
        <v>0</v>
      </c>
      <c r="K135" s="117" t="str">
        <f t="shared" si="65"/>
        <v>4045/4046</v>
      </c>
      <c r="L135" s="24" t="str">
        <f>VLOOKUP(A135,'Trips&amp;Operators'!$C$1:$E$10000,3,FALSE)</f>
        <v>CHANDLER</v>
      </c>
      <c r="M135" s="6">
        <f t="shared" si="66"/>
        <v>3.164351852319669E-2</v>
      </c>
      <c r="N135" s="7">
        <f t="shared" si="86"/>
        <v>45.566666673403233</v>
      </c>
      <c r="O135" s="7"/>
      <c r="P135" s="7"/>
      <c r="Q135" s="25"/>
      <c r="R135" s="25"/>
      <c r="S135" s="37">
        <f t="shared" si="82"/>
        <v>1</v>
      </c>
      <c r="T135" s="52" t="str">
        <f t="shared" si="67"/>
        <v>Southbound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18:19:26-0600',mode:absolute,to:'2016-10-03 21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5" s="54" t="str">
        <f t="shared" si="68"/>
        <v>N</v>
      </c>
      <c r="X135" s="164">
        <f t="shared" si="88"/>
        <v>1</v>
      </c>
      <c r="Y135" s="69">
        <f t="shared" si="81"/>
        <v>23.295999999999999</v>
      </c>
      <c r="Z135" s="69">
        <f t="shared" si="63"/>
        <v>1.5599999999999999E-2</v>
      </c>
      <c r="AA135" s="69">
        <f t="shared" si="70"/>
        <v>23.2804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71"/>
        <v>0218-03</v>
      </c>
      <c r="AE135" s="95" t="str">
        <f t="shared" si="72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135" s="92" t="str">
        <f t="shared" si="73"/>
        <v>"C:\Program Files (x86)\AstroGrep\AstroGrep.exe" /spath="%USERPROFILE%\AppData\Local\Temp\OnboardLogs" /stypes="app*4045*20161004*" /stext=" 02:.+((SYSTEM_STATE.+slice.+state.+changed )|(ment ac)|(system.+state.+changed )|(\[timeout)|(PRM\|1\|D)|(kpr)|(kdp)|(\|lc)|(penalty))" /e /r /s</v>
      </c>
      <c r="AG135" s="1" t="str">
        <f t="shared" si="74"/>
        <v>EC</v>
      </c>
      <c r="AH135" s="96" t="str">
        <f t="shared" si="60"/>
        <v>"%USERPROFILE%\Documents\GitHub\eaglep3\Utilities\RefineRTDCRunTimes.py" --tripid 218-03 --locoid 4045 --swversion DE.1.0.7.0 --startMP 204:232960 --initTime 2016-10-03T19:19:26 --startdatetime 2016-10-03T19:21:04 --delay 1 --endMP 204:156 --enddatetime 2016-10-03T20:06:38 --enforcementcount 0 &gt;&gt;C:\Users\stu\Documents\GitHub\eaglep3-reporting\EC\2016-10-03-refined-times.txt</v>
      </c>
      <c r="AI135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{"issue":{"subject":"","project_id":79,"tracker_id":40,"status_id":1,"priority_id":2,"assigned_to_id":23,"start_date":"2016-10-03","description":"","custom_fields":[{"id":1,"name":"Subdivision","value":"EC"},{"id":4,"name":"Milepost","value":"0.0156"},{"id":17,"name":"Train ID","value":"218-03"},{"id":16,"name":"Locomotive ID","value":"4045"},{"id":130,"name":"Impact","value":""},{"id":150,"name":"Time of Event (Mountain Time)","value":"20:06:38"},{"id":151,"name":"Denver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575</v>
      </c>
      <c r="B136" s="7">
        <v>4002</v>
      </c>
      <c r="C136" s="24" t="s">
        <v>106</v>
      </c>
      <c r="D136" s="24" t="s">
        <v>212</v>
      </c>
      <c r="E136" s="15">
        <v>42646.772650462961</v>
      </c>
      <c r="F136" s="15">
        <v>42646.778182870374</v>
      </c>
      <c r="G136" s="7">
        <v>1</v>
      </c>
      <c r="H136" s="15" t="s">
        <v>541</v>
      </c>
      <c r="I136" s="15">
        <v>42646.808599537035</v>
      </c>
      <c r="J136" s="7">
        <v>0</v>
      </c>
      <c r="K136" s="117" t="str">
        <f t="shared" si="65"/>
        <v>4001/4002</v>
      </c>
      <c r="L136" s="24" t="str">
        <f>VLOOKUP(A136,'Trips&amp;Operators'!$C$1:$E$10000,3,FALSE)</f>
        <v>SMITH</v>
      </c>
      <c r="M136" s="6">
        <f t="shared" si="66"/>
        <v>3.0416666661039926E-2</v>
      </c>
      <c r="N136" s="7">
        <f t="shared" si="86"/>
        <v>43.799999991897494</v>
      </c>
      <c r="O136" s="7"/>
      <c r="P136" s="7"/>
      <c r="Q136" s="25"/>
      <c r="R136" s="25"/>
      <c r="S136" s="37">
        <f t="shared" si="82"/>
        <v>1</v>
      </c>
      <c r="T136" s="52" t="str">
        <f t="shared" si="67"/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17:32:37-0600',mode:absolute,to:'2016-10-03 20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6" s="54" t="str">
        <f t="shared" si="68"/>
        <v>N</v>
      </c>
      <c r="X136" s="164">
        <f t="shared" si="88"/>
        <v>1</v>
      </c>
      <c r="Y136" s="69">
        <f t="shared" si="81"/>
        <v>4.58E-2</v>
      </c>
      <c r="Z136" s="69">
        <f t="shared" si="63"/>
        <v>23.325900000000001</v>
      </c>
      <c r="AA136" s="69">
        <f t="shared" si="70"/>
        <v>23.280100000000001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71"/>
        <v>0219-03</v>
      </c>
      <c r="AE136" s="95" t="str">
        <f t="shared" si="72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136" s="92" t="str">
        <f t="shared" si="73"/>
        <v>"C:\Program Files (x86)\AstroGrep\AstroGrep.exe" /spath="%USERPROFILE%\AppData\Local\Temp\OnboardLogs" /stypes="app*4002*20161004*" /stext=" 01:.+((SYSTEM_STATE.+slice.+state.+changed )|(ment ac)|(system.+state.+changed )|(\[timeout)|(PRM\|1\|D)|(kpr)|(kdp)|(\|lc)|(penalty))" /e /r /s</v>
      </c>
      <c r="AG136" s="1" t="str">
        <f t="shared" si="74"/>
        <v>EC</v>
      </c>
      <c r="AH136" s="96" t="str">
        <f t="shared" si="60"/>
        <v>"%USERPROFILE%\Documents\GitHub\eaglep3\Utilities\RefineRTDCRunTimes.py" --tripid 219-03 --locoid 4002 --swversion DE.1.0.7.0 --startMP 204:458 --initTime 2016-10-03T18:32:37 --startdatetime 2016-10-03T18:40:35 --delay 1 --endMP 204:233259 --enddatetime 2016-10-03T19:24:23 --enforcementcount 0 &gt;&gt;C:\Users\stu\Documents\GitHub\eaglep3-reporting\EC\2016-10-03-refined-times.txt</v>
      </c>
      <c r="AI136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{"issue":{"subject":"","project_id":79,"tracker_id":40,"status_id":1,"priority_id":2,"assigned_to_id":23,"start_date":"2016-10-03","description":"","custom_fields":[{"id":1,"name":"Subdivision","value":"EC"},{"id":4,"name":"Milepost","value":"23.3259"},{"id":17,"name":"Train ID","value":"219-03"},{"id":16,"name":"Locomotive ID","value":"4002"},{"id":130,"name":"Impact","value":""},{"id":150,"name":"Time of Event (Mountain Time)","value":"19:24:23"},{"id":151,"name":"Denver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576</v>
      </c>
      <c r="B137" s="7">
        <v>4001</v>
      </c>
      <c r="C137" s="24" t="s">
        <v>106</v>
      </c>
      <c r="D137" s="24" t="s">
        <v>365</v>
      </c>
      <c r="E137" s="15">
        <v>42646.810127314813</v>
      </c>
      <c r="F137" s="15">
        <v>42646.812037037038</v>
      </c>
      <c r="G137" s="7">
        <v>1</v>
      </c>
      <c r="H137" s="15" t="s">
        <v>218</v>
      </c>
      <c r="I137" s="15">
        <v>42646.841435185182</v>
      </c>
      <c r="J137" s="7">
        <v>0</v>
      </c>
      <c r="K137" s="117" t="str">
        <f t="shared" si="65"/>
        <v>4001/4002</v>
      </c>
      <c r="L137" s="24" t="str">
        <f>VLOOKUP(A137,'Trips&amp;Operators'!$C$1:$E$10000,3,FALSE)</f>
        <v>SMITH</v>
      </c>
      <c r="M137" s="6">
        <f t="shared" si="66"/>
        <v>2.9398148144537117E-2</v>
      </c>
      <c r="N137" s="7">
        <f t="shared" si="86"/>
        <v>42.333333328133449</v>
      </c>
      <c r="O137" s="7"/>
      <c r="P137" s="7"/>
      <c r="Q137" s="25"/>
      <c r="R137" s="25"/>
      <c r="S137" s="37">
        <f t="shared" si="82"/>
        <v>1</v>
      </c>
      <c r="T137" s="52" t="str">
        <f t="shared" si="67"/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18:26:35-0600',mode:absolute,to:'2016-10-03 21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7" s="54" t="str">
        <f t="shared" si="68"/>
        <v>N</v>
      </c>
      <c r="X137" s="164">
        <f t="shared" si="88"/>
        <v>1</v>
      </c>
      <c r="Y137" s="69">
        <f t="shared" si="81"/>
        <v>23.296500000000002</v>
      </c>
      <c r="Z137" s="69">
        <f t="shared" si="63"/>
        <v>1.5599999999999999E-2</v>
      </c>
      <c r="AA137" s="69">
        <f t="shared" si="70"/>
        <v>23.280900000000003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71"/>
        <v>0220-03</v>
      </c>
      <c r="AE137" s="95" t="str">
        <f t="shared" si="72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137" s="92" t="str">
        <f t="shared" si="73"/>
        <v>"C:\Program Files (x86)\AstroGrep\AstroGrep.exe" /spath="%USERPROFILE%\AppData\Local\Temp\OnboardLogs" /stypes="app*4001*20161004*" /stext=" 02:.+((SYSTEM_STATE.+slice.+state.+changed )|(ment ac)|(system.+state.+changed )|(\[timeout)|(PRM\|1\|D)|(kpr)|(kdp)|(\|lc)|(penalty))" /e /r /s</v>
      </c>
      <c r="AG137" s="1" t="str">
        <f t="shared" si="74"/>
        <v>EC</v>
      </c>
      <c r="AH137" s="96" t="str">
        <f t="shared" si="60"/>
        <v>"%USERPROFILE%\Documents\GitHub\eaglep3\Utilities\RefineRTDCRunTimes.py" --tripid 220-03 --locoid 4001 --swversion DE.1.0.7.0 --startMP 204:232965 --initTime 2016-10-03T19:26:35 --startdatetime 2016-10-03T19:29:20 --delay 1 --endMP 204:156 --enddatetime 2016-10-03T20:11:40 --enforcementcount 0 &gt;&gt;C:\Users\stu\Documents\GitHub\eaglep3-reporting\EC\2016-10-03-refined-times.txt</v>
      </c>
      <c r="AI137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{"issue":{"subject":"","project_id":79,"tracker_id":40,"status_id":1,"priority_id":2,"assigned_to_id":23,"start_date":"2016-10-03","description":"","custom_fields":[{"id":1,"name":"Subdivision","value":"EC"},{"id":4,"name":"Milepost","value":"0.0156"},{"id":17,"name":"Train ID","value":"220-03"},{"id":16,"name":"Locomotive ID","value":"4001"},{"id":130,"name":"Impact","value":""},{"id":150,"name":"Time of Event (Mountain Time)","value":"20:11:40"},{"id":151,"name":"Denver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577</v>
      </c>
      <c r="B138" s="7">
        <v>4040</v>
      </c>
      <c r="C138" s="24" t="s">
        <v>106</v>
      </c>
      <c r="D138" s="24" t="s">
        <v>204</v>
      </c>
      <c r="E138" s="15">
        <v>42646.796481481484</v>
      </c>
      <c r="F138" s="15">
        <v>42646.798148148147</v>
      </c>
      <c r="G138" s="7">
        <v>2</v>
      </c>
      <c r="H138" s="15" t="s">
        <v>245</v>
      </c>
      <c r="I138" s="15">
        <v>42646.80982638889</v>
      </c>
      <c r="J138" s="7">
        <v>0</v>
      </c>
      <c r="K138" s="117" t="str">
        <f t="shared" si="65"/>
        <v>4039/4040</v>
      </c>
      <c r="L138" s="24" t="str">
        <f>VLOOKUP(A138,'Trips&amp;Operators'!$C$1:$E$10000,3,FALSE)</f>
        <v>LEVERE</v>
      </c>
      <c r="M138" s="6">
        <f t="shared" si="66"/>
        <v>1.1678240742185153E-2</v>
      </c>
      <c r="N138" s="7"/>
      <c r="O138" s="7"/>
      <c r="P138" s="7">
        <f>24*60*SUM($M138:$M138)</f>
        <v>16.81666666874662</v>
      </c>
      <c r="Q138" s="25"/>
      <c r="R138" s="25" t="s">
        <v>401</v>
      </c>
      <c r="S138" s="37">
        <f t="shared" si="82"/>
        <v>1</v>
      </c>
      <c r="T138" s="52" t="str">
        <f t="shared" si="67"/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18:06:56-0600',mode:absolute,to:'2016-10-03 20:26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8" s="54" t="str">
        <f t="shared" si="68"/>
        <v>N</v>
      </c>
      <c r="X138" s="164">
        <f t="shared" si="88"/>
        <v>1</v>
      </c>
      <c r="Y138" s="69">
        <f t="shared" si="81"/>
        <v>4.53E-2</v>
      </c>
      <c r="Z138" s="69">
        <f t="shared" ref="Z138:Z169" si="89">RIGHT(H138,LEN(H138)-4)/10000</f>
        <v>23.3293</v>
      </c>
      <c r="AA138" s="69">
        <f t="shared" si="70"/>
        <v>23.283999999999999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71"/>
        <v>0221-03</v>
      </c>
      <c r="AE138" s="95" t="str">
        <f t="shared" si="72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138" s="92" t="str">
        <f t="shared" si="73"/>
        <v>"C:\Program Files (x86)\AstroGrep\AstroGrep.exe" /spath="%USERPROFILE%\AppData\Local\Temp\OnboardLogs" /stypes="app*4040*20161004*" /stext=" 01:.+((SYSTEM_STATE.+slice.+state.+changed )|(ment ac)|(system.+state.+changed )|(\[timeout)|(PRM\|1\|D)|(kpr)|(kdp)|(\|lc)|(penalty))" /e /r /s</v>
      </c>
      <c r="AG138" s="1" t="str">
        <f t="shared" si="74"/>
        <v>EC</v>
      </c>
      <c r="AH138" s="96" t="str">
        <f t="shared" si="60"/>
        <v>"%USERPROFILE%\Documents\GitHub\eaglep3\Utilities\RefineRTDCRunTimes.py" --tripid 221-03 --locoid 4040 --swversion DE.1.0.7.0 --startMP 204:453 --initTime 2016-10-03T19:06:56 --startdatetime 2016-10-03T19:09:20 --delay 2 --endMP 204:233293 --enddatetime 2016-10-03T19:26:09 --enforcementcount 0 &gt;&gt;C:\Users\stu\Documents\GitHub\eaglep3-reporting\EC\2016-10-03-refined-times.txt</v>
      </c>
      <c r="AI138" s="130" t="str">
        <f t="shared" si="61"/>
        <v>echo {"issue":{"subject":"Onboard in-route failure","project_id":79,"tracker_id":40,"status_id":1,"priority_id":2,"assigned_to_id":23,"start_date":"2016-10-03","description":"Multiple CPU faults @ 19:26:20","custom_fields":[{"id":1,"name":"Subdivision","value":"EC"},{"id":4,"name":"Milepost","value":"23.3293"},{"id":17,"name":"Train ID","value":"221-03"},{"id":16,"name":"Locomotive ID","value":"4040"},{"id":130,"name":"Impact","value":"Failed State"},{"id":150,"name":"Time of Event (Mountain Time)","value":"19:26:09"},{"id":151,"name":"Denver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8" s="55" t="s">
        <v>744</v>
      </c>
      <c r="AK138" s="55" t="s">
        <v>138</v>
      </c>
      <c r="AL138" s="55" t="s">
        <v>216</v>
      </c>
    </row>
    <row r="139" spans="1:38" x14ac:dyDescent="0.25">
      <c r="A139" s="39" t="s">
        <v>578</v>
      </c>
      <c r="B139" s="7">
        <v>4039</v>
      </c>
      <c r="C139" s="24" t="s">
        <v>106</v>
      </c>
      <c r="D139" s="24" t="s">
        <v>235</v>
      </c>
      <c r="E139" s="15">
        <v>42646.831284722219</v>
      </c>
      <c r="F139" s="15">
        <v>42646.833807870367</v>
      </c>
      <c r="G139" s="7">
        <v>1</v>
      </c>
      <c r="H139" s="15" t="s">
        <v>207</v>
      </c>
      <c r="I139" s="15">
        <v>42646.860891203702</v>
      </c>
      <c r="J139" s="7">
        <v>0</v>
      </c>
      <c r="K139" s="117" t="str">
        <f t="shared" si="65"/>
        <v>4039/4040</v>
      </c>
      <c r="L139" s="24" t="str">
        <f>VLOOKUP(A139,'Trips&amp;Operators'!$C$1:$E$10000,3,FALSE)</f>
        <v>LEVERE</v>
      </c>
      <c r="M139" s="6">
        <f t="shared" si="66"/>
        <v>2.7083333334303461E-2</v>
      </c>
      <c r="N139" s="7">
        <f>24*60*SUM($M139:$M139)</f>
        <v>39.000000001396984</v>
      </c>
      <c r="O139" s="7"/>
      <c r="P139" s="7"/>
      <c r="Q139" s="25"/>
      <c r="R139" s="25"/>
      <c r="S139" s="37">
        <f t="shared" si="82"/>
        <v>1</v>
      </c>
      <c r="T139" s="52" t="str">
        <f t="shared" si="67"/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18:57:03-0600',mode:absolute,to:'2016-10-03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9" s="54" t="str">
        <f t="shared" si="68"/>
        <v>N</v>
      </c>
      <c r="X139" s="164">
        <f t="shared" si="88"/>
        <v>1</v>
      </c>
      <c r="Y139" s="69">
        <f t="shared" si="81"/>
        <v>23.297699999999999</v>
      </c>
      <c r="Z139" s="69">
        <f t="shared" si="89"/>
        <v>1.52E-2</v>
      </c>
      <c r="AA139" s="69">
        <f t="shared" si="70"/>
        <v>23.282499999999999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71"/>
        <v>0222-03</v>
      </c>
      <c r="AE139" s="95" t="str">
        <f t="shared" si="72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139" s="92" t="str">
        <f t="shared" si="73"/>
        <v>"C:\Program Files (x86)\AstroGrep\AstroGrep.exe" /spath="%USERPROFILE%\AppData\Local\Temp\OnboardLogs" /stypes="app*4039*20161004*" /stext=" 02:.+((SYSTEM_STATE.+slice.+state.+changed )|(ment ac)|(system.+state.+changed )|(\[timeout)|(PRM\|1\|D)|(kpr)|(kdp)|(\|lc)|(penalty))" /e /r /s</v>
      </c>
      <c r="AG139" s="1" t="str">
        <f t="shared" si="74"/>
        <v>EC</v>
      </c>
      <c r="AH139" s="96" t="str">
        <f t="shared" si="60"/>
        <v>"%USERPROFILE%\Documents\GitHub\eaglep3\Utilities\RefineRTDCRunTimes.py" --tripid 222-03 --locoid 4039 --swversion DE.1.0.7.0 --startMP 204:232977 --initTime 2016-10-03T19:57:03 --startdatetime 2016-10-03T20:00:41 --delay 1 --endMP 204:152 --enddatetime 2016-10-03T20:39:41 --enforcementcount 0 &gt;&gt;C:\Users\stu\Documents\GitHub\eaglep3-reporting\EC\2016-10-03-refined-times.txt</v>
      </c>
      <c r="AI139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{"issue":{"subject":"","project_id":79,"tracker_id":40,"status_id":1,"priority_id":2,"assigned_to_id":23,"start_date":"2016-10-03","description":"","custom_fields":[{"id":1,"name":"Subdivision","value":"EC"},{"id":4,"name":"Milepost","value":"0.0152"},{"id":17,"name":"Train ID","value":"222-03"},{"id":16,"name":"Locomotive ID","value":"4039"},{"id":130,"name":"Impact","value":""},{"id":150,"name":"Time of Event (Mountain Time)","value":"20:39:41"},{"id":151,"name":"Denver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756</v>
      </c>
      <c r="B140" s="7"/>
      <c r="C140" s="24" t="s">
        <v>106</v>
      </c>
      <c r="D140" s="24" t="s">
        <v>235</v>
      </c>
      <c r="E140" s="15">
        <v>42646.831284722219</v>
      </c>
      <c r="F140" s="15"/>
      <c r="G140" s="7">
        <v>1</v>
      </c>
      <c r="H140" s="15" t="s">
        <v>207</v>
      </c>
      <c r="I140" s="15"/>
      <c r="J140" s="7">
        <v>0</v>
      </c>
      <c r="K140" s="117" t="str">
        <f t="shared" si="65"/>
        <v>-1/</v>
      </c>
      <c r="L140" s="24" t="e">
        <f>VLOOKUP(A140,'Trips&amp;Operators'!$C$1:$E$10000,3,FALSE)</f>
        <v>#N/A</v>
      </c>
      <c r="M140" s="6">
        <f t="shared" si="66"/>
        <v>0</v>
      </c>
      <c r="N140" s="7"/>
      <c r="O140" s="7"/>
      <c r="P140" s="7">
        <v>1</v>
      </c>
      <c r="Q140" s="25"/>
      <c r="R140" s="25" t="s">
        <v>751</v>
      </c>
      <c r="S140" s="37">
        <f t="shared" si="82"/>
        <v>0</v>
      </c>
      <c r="T140" s="52" t="str">
        <f t="shared" si="67"/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102" t="str">
        <f t="shared" ref="V140" si="90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https://search-rtdc-monitor-bjffxe2xuh6vdkpspy63sjmuny.us-east-1.es.amazonaws.com/_plugin/kibana/#/discover/Steve-Slow-Train-Analysis-(2080s-and-2083s)?_g=(refreshInterval:(display:Off,section:0,value:0),time:(from:'2016-10-03 18:57:03-0600',mode:absolute,to:'1900-01-00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0" s="54" t="str">
        <f t="shared" si="68"/>
        <v>N</v>
      </c>
      <c r="X140" s="164">
        <f t="shared" ref="X140:X142" si="91">VALUE(LEFT(AD140,4))-VALUE(LEFT(AD139,4))</f>
        <v>1</v>
      </c>
      <c r="Y140" s="69">
        <f t="shared" si="81"/>
        <v>23.297699999999999</v>
      </c>
      <c r="Z140" s="69">
        <f t="shared" si="89"/>
        <v>1.52E-2</v>
      </c>
      <c r="AA140" s="69">
        <f t="shared" si="70"/>
        <v>23.282499999999999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71"/>
        <v>0223-03</v>
      </c>
      <c r="AE140" s="95" t="str">
        <f t="shared" si="7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0" s="92" t="str">
        <f t="shared" si="73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40" s="1" t="str">
        <f t="shared" si="74"/>
        <v>EC</v>
      </c>
      <c r="AH140" s="96" t="str">
        <f t="shared" ref="AH140" si="9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223-03 --locoid  --swversion DE.1.0.7.0 --startMP 204:232977 --initTime 2016-10-03T19:57:03 --startdatetime 1900-01-00T00:00:00 --delay 1 --endMP 204:152 --enddatetime 1900-01-00T00:00:00 --enforcementcount 0 &gt;&gt;C:\Users\stu\Documents\GitHub\eaglep3-reporting\EC\2016-10-03-refined-times.txt</v>
      </c>
      <c r="AI140" s="130" t="str">
        <f t="shared" ref="AI140" si="9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init","project_id":79,"tracker_id":40,"status_id":1,"priority_id":2,"assigned_to_id":23,"start_date":"1900-01-00","description":"","custom_fields":[{"id":1,"name":"Subdivision","value":"EC"},{"id":4,"name":"Milepost","value":"0.0152"},{"id":17,"name":"Train ID","value":"223-03"},{"id":16,"name":"Locomotive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579</v>
      </c>
      <c r="B141" s="7">
        <v>4010</v>
      </c>
      <c r="C141" s="24" t="s">
        <v>106</v>
      </c>
      <c r="D141" s="24" t="s">
        <v>235</v>
      </c>
      <c r="E141" s="15">
        <v>42646.848645833335</v>
      </c>
      <c r="F141" s="15">
        <v>42646.8515625</v>
      </c>
      <c r="G141" s="7">
        <v>1</v>
      </c>
      <c r="H141" s="15" t="s">
        <v>389</v>
      </c>
      <c r="I141" s="15">
        <v>42646.877986111111</v>
      </c>
      <c r="J141" s="7">
        <v>0</v>
      </c>
      <c r="K141" s="117" t="str">
        <f t="shared" ref="K141:K172" si="94">IF(ISEVEN(B141),(B141-1)&amp;"/"&amp;B141,B141&amp;"/"&amp;(B141+1))</f>
        <v>4009/4010</v>
      </c>
      <c r="L141" s="24" t="str">
        <f>VLOOKUP(A141,'Trips&amp;Operators'!$C$1:$E$10000,3,FALSE)</f>
        <v>NEWELL</v>
      </c>
      <c r="M141" s="6">
        <f t="shared" ref="M141:M172" si="95">I141-F141</f>
        <v>2.6423611110658385E-2</v>
      </c>
      <c r="N141" s="7">
        <f t="shared" ref="N141:N186" si="96">24*60*SUM($M141:$M141)</f>
        <v>38.049999999348074</v>
      </c>
      <c r="O141" s="7"/>
      <c r="P141" s="7"/>
      <c r="Q141" s="25"/>
      <c r="R141" s="25"/>
      <c r="S141" s="37">
        <f t="shared" si="82"/>
        <v>1</v>
      </c>
      <c r="T141" s="52" t="str">
        <f t="shared" ref="T141:T172" si="97">IF(ISEVEN(LEFT(AD141,4)),"Southbound","NorthBound")</f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19:22:03-0600',mode:absolute,to:'2016-10-03 22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1" s="54" t="str">
        <f t="shared" ref="W141:W172" si="98">IF(AA141&lt;IF(AG141="EC",23,5.65),"Y","N")</f>
        <v>N</v>
      </c>
      <c r="X141" s="164">
        <f t="shared" si="91"/>
        <v>1</v>
      </c>
      <c r="Y141" s="69">
        <f t="shared" si="81"/>
        <v>23.297699999999999</v>
      </c>
      <c r="Z141" s="69">
        <f t="shared" si="89"/>
        <v>1.67E-2</v>
      </c>
      <c r="AA141" s="69">
        <f t="shared" ref="AA141:AA172" si="99">ABS(Z141-Y141)</f>
        <v>23.280999999999999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172" si="100">IF(LEN(A141)=6,"0"&amp;A141,A141)</f>
        <v>0224-03</v>
      </c>
      <c r="AE141" s="95" t="str">
        <f t="shared" ref="AE141:AE172" si="10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s3://rtdc.mdm.uploadarchive.raw/RTDC4010/ "%USERPROFILE%\AppData\Local\Temp\OnboardLogs"\RTDC4010\2016-10-03 --exclude "*" --recursive --include "*20161003*" &amp; "%USERPROFILE%\Documents\GitHub\mrs-test-scripts\Headless Mode &amp; Sideloading\WalkAndUnGZ.bat" "%USERPROFILE%\AppData\Local\Temp\OnboardLogs"\RTDC4010\2016-10-03 &amp; 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</v>
      </c>
      <c r="AF141" s="92" t="str">
        <f t="shared" ref="AF141:AF172" si="10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/stypes="app*4010*20161004*" /stext=" 03:.+((SYSTEM_STATE.+slice.+state.+changed )|(ment ac)|(system.+state.+changed )|(\[timeout)|(PRM\|1\|D)|(kpr)|(kdp)|(\|lc)|(penalty))" /e /r /s</v>
      </c>
      <c r="AG141" s="1" t="str">
        <f t="shared" ref="AG141:AG172" si="103">IFERROR(IF(VALUE(LEFT(AD141,2))&lt;=2,"EC",IF(OR(VALUE(LEFT(AD141,2))=8,VALUE(LEFT(AD141,2))=18),"NW","Other")),"Other")</f>
        <v>EC</v>
      </c>
      <c r="AH141" s="96" t="str">
        <f t="shared" si="60"/>
        <v>"%USERPROFILE%\Documents\GitHub\eaglep3\Utilities\RefineRTDCRunTimes.py" --tripid 224-03 --locoid 4010 --swversion DE.1.0.7.0 --startMP 204:232977 --initTime 2016-10-03T20:22:03 --startdatetime 2016-10-03T20:26:15 --delay 1 --endMP 204:167 --enddatetime 2016-10-03T21:04:18 --enforcementcount 0 &gt;&gt;C:\Users\stu\Documents\GitHub\eaglep3-reporting\EC\2016-10-03-refined-times.txt</v>
      </c>
      <c r="AI141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{"issue":{"subject":"","project_id":79,"tracker_id":40,"status_id":1,"priority_id":2,"assigned_to_id":23,"start_date":"2016-10-03","description":"","custom_fields":[{"id":1,"name":"Subdivision","value":"EC"},{"id":4,"name":"Milepost","value":"0.0167"},{"id":17,"name":"Train ID","value":"224-03"},{"id":16,"name":"Locomotive ID","value":"4010"},{"id":130,"name":"Impact","value":""},{"id":150,"name":"Time of Event (Mountain Time)","value":"21:04:18"},{"id":151,"name":"Denver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580</v>
      </c>
      <c r="B142" s="7">
        <v>4046</v>
      </c>
      <c r="C142" s="24" t="s">
        <v>106</v>
      </c>
      <c r="D142" s="24" t="s">
        <v>204</v>
      </c>
      <c r="E142" s="15">
        <v>42646.839432870373</v>
      </c>
      <c r="F142" s="15">
        <v>42646.840451388889</v>
      </c>
      <c r="G142" s="7">
        <v>0</v>
      </c>
      <c r="H142" s="15" t="s">
        <v>342</v>
      </c>
      <c r="I142" s="15">
        <v>42646.86619212963</v>
      </c>
      <c r="J142" s="7">
        <v>0</v>
      </c>
      <c r="K142" s="117" t="str">
        <f t="shared" si="94"/>
        <v>4045/4046</v>
      </c>
      <c r="L142" s="24" t="str">
        <f>VLOOKUP(A142,'Trips&amp;Operators'!$C$1:$E$10000,3,FALSE)</f>
        <v>CHANDLER</v>
      </c>
      <c r="M142" s="6">
        <f t="shared" si="95"/>
        <v>2.5740740740729962E-2</v>
      </c>
      <c r="N142" s="7">
        <f t="shared" si="96"/>
        <v>37.066666666651145</v>
      </c>
      <c r="O142" s="7"/>
      <c r="P142" s="7"/>
      <c r="Q142" s="25"/>
      <c r="R142" s="25"/>
      <c r="S142" s="37">
        <f t="shared" si="82"/>
        <v>1</v>
      </c>
      <c r="T142" s="52" t="str">
        <f t="shared" si="97"/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19:08:47-0600',mode:absolute,to:'2016-10-03 21:47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54" t="str">
        <f t="shared" si="98"/>
        <v>N</v>
      </c>
      <c r="X142" s="164">
        <f t="shared" si="91"/>
        <v>1</v>
      </c>
      <c r="Y142" s="69">
        <f t="shared" si="81"/>
        <v>4.53E-2</v>
      </c>
      <c r="Z142" s="69">
        <f t="shared" si="89"/>
        <v>23.328900000000001</v>
      </c>
      <c r="AA142" s="69">
        <f t="shared" si="99"/>
        <v>23.2836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100"/>
        <v>0225-03</v>
      </c>
      <c r="AE142" s="95" t="str">
        <f t="shared" si="101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142" s="92" t="str">
        <f t="shared" si="102"/>
        <v>"C:\Program Files (x86)\AstroGrep\AstroGrep.exe" /spath="%USERPROFILE%\AppData\Local\Temp\OnboardLogs" /stypes="app*4046*20161004*" /stext=" 02:.+((SYSTEM_STATE.+slice.+state.+changed )|(ment ac)|(system.+state.+changed )|(\[timeout)|(PRM\|1\|D)|(kpr)|(kdp)|(\|lc)|(penalty))" /e /r /s</v>
      </c>
      <c r="AG142" s="1" t="str">
        <f t="shared" si="103"/>
        <v>EC</v>
      </c>
      <c r="AH142" s="96" t="str">
        <f t="shared" si="60"/>
        <v>"%USERPROFILE%\Documents\GitHub\eaglep3\Utilities\RefineRTDCRunTimes.py" --tripid 225-03 --locoid 4046 --swversion DE.1.0.7.0 --startMP 204:453 --initTime 2016-10-03T20:08:47 --startdatetime 2016-10-03T20:10:15 --delay 0 --endMP 204:233289 --enddatetime 2016-10-03T20:47:19 --enforcementcount 0 &gt;&gt;C:\Users\stu\Documents\GitHub\eaglep3-reporting\EC\2016-10-03-refined-times.txt</v>
      </c>
      <c r="AI142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{"issue":{"subject":"","project_id":79,"tracker_id":40,"status_id":1,"priority_id":2,"assigned_to_id":23,"start_date":"2016-10-03","description":"","custom_fields":[{"id":1,"name":"Subdivision","value":"EC"},{"id":4,"name":"Milepost","value":"23.3289"},{"id":17,"name":"Train ID","value":"225-03"},{"id":16,"name":"Locomotive ID","value":"4046"},{"id":130,"name":"Impact","value":""},{"id":150,"name":"Time of Event (Mountain Time)","value":"20:47:19"},{"id":151,"name":"Denver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581</v>
      </c>
      <c r="B143" s="7">
        <v>4045</v>
      </c>
      <c r="C143" s="24" t="s">
        <v>106</v>
      </c>
      <c r="D143" s="24" t="s">
        <v>345</v>
      </c>
      <c r="E143" s="15">
        <v>42646.871574074074</v>
      </c>
      <c r="F143" s="15">
        <v>42646.872766203705</v>
      </c>
      <c r="G143" s="7">
        <v>1</v>
      </c>
      <c r="H143" s="15" t="s">
        <v>287</v>
      </c>
      <c r="I143" s="15">
        <v>42646.900567129633</v>
      </c>
      <c r="J143" s="7">
        <v>0</v>
      </c>
      <c r="K143" s="117" t="str">
        <f t="shared" si="94"/>
        <v>4045/4046</v>
      </c>
      <c r="L143" s="24" t="str">
        <f>VLOOKUP(A143,'Trips&amp;Operators'!$C$1:$E$10000,3,FALSE)</f>
        <v>CHANDLER</v>
      </c>
      <c r="M143" s="6">
        <f t="shared" si="95"/>
        <v>2.7800925927294884E-2</v>
      </c>
      <c r="N143" s="7">
        <f t="shared" si="96"/>
        <v>40.033333335304633</v>
      </c>
      <c r="O143" s="7"/>
      <c r="P143" s="7"/>
      <c r="Q143" s="25"/>
      <c r="R143" s="25"/>
      <c r="S143" s="37">
        <f t="shared" si="82"/>
        <v>1</v>
      </c>
      <c r="T143" s="52" t="str">
        <f t="shared" si="97"/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59"/>
        <v>https://search-rtdc-monitor-bjffxe2xuh6vdkpspy63sjmuny.us-east-1.es.amazonaws.com/_plugin/kibana/#/discover/Steve-Slow-Train-Analysis-(2080s-and-2083s)?_g=(refreshInterval:(display:Off,section:0,value:0),time:(from:'2016-10-03 19:55:04-0600',mode:absolute,to:'2016-10-03 22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54" t="str">
        <f t="shared" si="98"/>
        <v>N</v>
      </c>
      <c r="X143" s="164">
        <f t="shared" ref="X143:X174" si="104">VALUE(LEFT(AD143,4))-VALUE(LEFT(AD142,4))</f>
        <v>1</v>
      </c>
      <c r="Y143" s="69">
        <f t="shared" si="81"/>
        <v>23.2972</v>
      </c>
      <c r="Z143" s="69">
        <f t="shared" si="89"/>
        <v>1.6500000000000001E-2</v>
      </c>
      <c r="AA143" s="69">
        <f t="shared" si="99"/>
        <v>23.2807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100"/>
        <v>0226-03</v>
      </c>
      <c r="AE143" s="95" t="str">
        <f t="shared" si="101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143" s="92" t="str">
        <f t="shared" si="102"/>
        <v>"C:\Program Files (x86)\AstroGrep\AstroGrep.exe" /spath="%USERPROFILE%\AppData\Local\Temp\OnboardLogs" /stypes="app*4045*20161004*" /stext=" 03:.+((SYSTEM_STATE.+slice.+state.+changed )|(ment ac)|(system.+state.+changed )|(\[timeout)|(PRM\|1\|D)|(kpr)|(kdp)|(\|lc)|(penalty))" /e /r /s</v>
      </c>
      <c r="AG143" s="1" t="str">
        <f t="shared" si="103"/>
        <v>EC</v>
      </c>
      <c r="AH143" s="96" t="str">
        <f t="shared" si="60"/>
        <v>"%USERPROFILE%\Documents\GitHub\eaglep3\Utilities\RefineRTDCRunTimes.py" --tripid 226-03 --locoid 4045 --swversion DE.1.0.7.0 --startMP 204:232972 --initTime 2016-10-03T20:55:04 --startdatetime 2016-10-03T20:56:47 --delay 1 --endMP 204:165 --enddatetime 2016-10-03T21:36:49 --enforcementcount 0 &gt;&gt;C:\Users\stu\Documents\GitHub\eaglep3-reporting\EC\2016-10-03-refined-times.txt</v>
      </c>
      <c r="AI143" s="130" t="str">
        <f t="shared" si="61"/>
        <v>echo {"issue":{"subject":"","project_id":79,"tracker_id":40,"status_id":1,"priority_id":2,"assigned_to_id":23,"start_date":"2016-10-03","description":"","custom_fields":[{"id":1,"name":"Subdivision","value":"EC"},{"id":4,"name":"Milepost","value":"0.0165"},{"id":17,"name":"Train ID","value":"226-03"},{"id":16,"name":"Locomotive ID","value":"4045"},{"id":130,"name":"Impact","value":""},{"id":150,"name":"Time of Event (Mountain Time)","value":"21:36:49"},{"id":151,"name":"Denver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582</v>
      </c>
      <c r="B144" s="7">
        <v>4002</v>
      </c>
      <c r="C144" s="24" t="s">
        <v>106</v>
      </c>
      <c r="D144" s="24" t="s">
        <v>215</v>
      </c>
      <c r="E144" s="15">
        <v>42646.843900462962</v>
      </c>
      <c r="F144" s="15">
        <v>42646.854780092595</v>
      </c>
      <c r="G144" s="7">
        <v>2</v>
      </c>
      <c r="H144" s="15" t="s">
        <v>245</v>
      </c>
      <c r="I144" s="15">
        <v>42646.880219907405</v>
      </c>
      <c r="J144" s="7">
        <v>0</v>
      </c>
      <c r="K144" s="117" t="str">
        <f t="shared" si="94"/>
        <v>4001/4002</v>
      </c>
      <c r="L144" s="24" t="str">
        <f>VLOOKUP(A144,'Trips&amp;Operators'!$C$1:$E$10000,3,FALSE)</f>
        <v>SMITH</v>
      </c>
      <c r="M144" s="6">
        <f t="shared" si="95"/>
        <v>2.5439814809942618E-2</v>
      </c>
      <c r="N144" s="7">
        <f t="shared" si="96"/>
        <v>36.63333332631737</v>
      </c>
      <c r="O144" s="7"/>
      <c r="P144" s="7"/>
      <c r="Q144" s="25"/>
      <c r="R144" s="25"/>
      <c r="S144" s="37">
        <f t="shared" si="82"/>
        <v>1</v>
      </c>
      <c r="T144" s="52" t="str">
        <f t="shared" si="97"/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ref="V144:V208" si="105"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https://search-rtdc-monitor-bjffxe2xuh6vdkpspy63sjmuny.us-east-1.es.amazonaws.com/_plugin/kibana/#/discover/Steve-Slow-Train-Analysis-(2080s-and-2083s)?_g=(refreshInterval:(display:Off,section:0,value:0),time:(from:'2016-10-03 19:15:13-0600',mode:absolute,to:'2016-10-03 22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4" s="54" t="str">
        <f t="shared" si="98"/>
        <v>N</v>
      </c>
      <c r="X144" s="164">
        <f t="shared" si="104"/>
        <v>1</v>
      </c>
      <c r="Y144" s="69">
        <f t="shared" si="81"/>
        <v>4.6199999999999998E-2</v>
      </c>
      <c r="Z144" s="69">
        <f t="shared" si="89"/>
        <v>23.3293</v>
      </c>
      <c r="AA144" s="69">
        <f t="shared" si="99"/>
        <v>23.283100000000001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100"/>
        <v>0227-03</v>
      </c>
      <c r="AE144" s="95" t="str">
        <f t="shared" si="101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144" s="92" t="str">
        <f t="shared" si="102"/>
        <v>"C:\Program Files (x86)\AstroGrep\AstroGrep.exe" /spath="%USERPROFILE%\AppData\Local\Temp\OnboardLogs" /stypes="app*4002*20161004*" /stext=" 03:.+((SYSTEM_STATE.+slice.+state.+changed )|(ment ac)|(system.+state.+changed )|(\[timeout)|(PRM\|1\|D)|(kpr)|(kdp)|(\|lc)|(penalty))" /e /r /s</v>
      </c>
      <c r="AG144" s="1" t="str">
        <f t="shared" si="103"/>
        <v>EC</v>
      </c>
      <c r="AH144" s="96" t="str">
        <f t="shared" ref="AH144:AH208" si="10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227-03 --locoid 4002 --swversion DE.1.0.7.0 --startMP 204:462 --initTime 2016-10-03T20:15:13 --startdatetime 2016-10-03T20:30:53 --delay 2 --endMP 204:233293 --enddatetime 2016-10-03T21:07:31 --enforcementcount 0 &gt;&gt;C:\Users\stu\Documents\GitHub\eaglep3-reporting\EC\2016-10-03-refined-times.txt</v>
      </c>
      <c r="AI144" s="130" t="str">
        <f t="shared" ref="AI144:AI208" si="10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{"issue":{"subject":"","project_id":79,"tracker_id":40,"status_id":1,"priority_id":2,"assigned_to_id":23,"start_date":"2016-10-03","description":"","custom_fields":[{"id":1,"name":"Subdivision","value":"EC"},{"id":4,"name":"Milepost","value":"23.3293"},{"id":17,"name":"Train ID","value":"227-03"},{"id":16,"name":"Locomotive ID","value":"4002"},{"id":130,"name":"Impact","value":""},{"id":150,"name":"Time of Event (Mountain Time)","value":"21:07:31"},{"id":151,"name":"Denver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583</v>
      </c>
      <c r="B145" s="7">
        <v>4001</v>
      </c>
      <c r="C145" s="24" t="s">
        <v>106</v>
      </c>
      <c r="D145" s="24" t="s">
        <v>247</v>
      </c>
      <c r="E145" s="15">
        <v>42646.886817129627</v>
      </c>
      <c r="F145" s="15">
        <v>42646.893368055556</v>
      </c>
      <c r="G145" s="7">
        <v>1</v>
      </c>
      <c r="H145" s="15" t="s">
        <v>200</v>
      </c>
      <c r="I145" s="15">
        <v>42646.921666666669</v>
      </c>
      <c r="J145" s="7">
        <v>0</v>
      </c>
      <c r="K145" s="117" t="str">
        <f t="shared" si="94"/>
        <v>4001/4002</v>
      </c>
      <c r="L145" s="24" t="str">
        <f>VLOOKUP(A145,'Trips&amp;Operators'!$C$1:$E$10000,3,FALSE)</f>
        <v>SMITH</v>
      </c>
      <c r="M145" s="6">
        <f t="shared" si="95"/>
        <v>2.8298611112404615E-2</v>
      </c>
      <c r="N145" s="7">
        <f t="shared" si="96"/>
        <v>40.750000001862645</v>
      </c>
      <c r="O145" s="7"/>
      <c r="P145" s="7"/>
      <c r="Q145" s="25"/>
      <c r="R145" s="25"/>
      <c r="S145" s="37">
        <f t="shared" si="82"/>
        <v>1</v>
      </c>
      <c r="T145" s="52" t="str">
        <f t="shared" si="97"/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20:17:01-0600',mode:absolute,to:'2016-10-03 23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5" s="54" t="str">
        <f t="shared" si="98"/>
        <v>N</v>
      </c>
      <c r="X145" s="164">
        <f t="shared" si="104"/>
        <v>1</v>
      </c>
      <c r="Y145" s="69">
        <f t="shared" si="81"/>
        <v>23.298300000000001</v>
      </c>
      <c r="Z145" s="69">
        <f t="shared" si="89"/>
        <v>1.6E-2</v>
      </c>
      <c r="AA145" s="69">
        <f t="shared" si="99"/>
        <v>23.282300000000003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100"/>
        <v>0228-03</v>
      </c>
      <c r="AE145" s="95" t="str">
        <f t="shared" si="101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145" s="92" t="str">
        <f t="shared" si="102"/>
        <v>"C:\Program Files (x86)\AstroGrep\AstroGrep.exe" /spath="%USERPROFILE%\AppData\Local\Temp\OnboardLogs" /stypes="app*4001*20161004*" /stext=" 04:.+((SYSTEM_STATE.+slice.+state.+changed )|(ment ac)|(system.+state.+changed )|(\[timeout)|(PRM\|1\|D)|(kpr)|(kdp)|(\|lc)|(penalty))" /e /r /s</v>
      </c>
      <c r="AG145" s="1" t="str">
        <f t="shared" si="103"/>
        <v>EC</v>
      </c>
      <c r="AH145" s="96" t="str">
        <f t="shared" si="106"/>
        <v>"%USERPROFILE%\Documents\GitHub\eaglep3\Utilities\RefineRTDCRunTimes.py" --tripid 228-03 --locoid 4001 --swversion DE.1.0.7.0 --startMP 204:232983 --initTime 2016-10-03T21:17:01 --startdatetime 2016-10-03T21:26:27 --delay 1 --endMP 204:160 --enddatetime 2016-10-03T22:07:12 --enforcementcount 0 &gt;&gt;C:\Users\stu\Documents\GitHub\eaglep3-reporting\EC\2016-10-03-refined-times.txt</v>
      </c>
      <c r="AI145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{"issue":{"subject":"","project_id":79,"tracker_id":40,"status_id":1,"priority_id":2,"assigned_to_id":23,"start_date":"2016-10-03","description":"","custom_fields":[{"id":1,"name":"Subdivision","value":"EC"},{"id":4,"name":"Milepost","value":"0.016"},{"id":17,"name":"Train ID","value":"228-03"},{"id":16,"name":"Locomotive ID","value":"4001"},{"id":130,"name":"Impact","value":""},{"id":150,"name":"Time of Event (Mountain Time)","value":"22:07:12"},{"id":151,"name":"Denver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584</v>
      </c>
      <c r="B146" s="7">
        <v>4040</v>
      </c>
      <c r="C146" s="24" t="s">
        <v>106</v>
      </c>
      <c r="D146" s="24" t="s">
        <v>283</v>
      </c>
      <c r="E146" s="15">
        <v>42646.867326388892</v>
      </c>
      <c r="F146" s="15">
        <v>42646.875289351854</v>
      </c>
      <c r="G146" s="7">
        <v>1</v>
      </c>
      <c r="H146" s="15" t="s">
        <v>245</v>
      </c>
      <c r="I146" s="15">
        <v>42646.90152777778</v>
      </c>
      <c r="J146" s="7">
        <v>0</v>
      </c>
      <c r="K146" s="117" t="str">
        <f t="shared" si="94"/>
        <v>4039/4040</v>
      </c>
      <c r="L146" s="24" t="str">
        <f>VLOOKUP(A146,'Trips&amp;Operators'!$C$1:$E$10000,3,FALSE)</f>
        <v>HAUSER</v>
      </c>
      <c r="M146" s="6">
        <f t="shared" si="95"/>
        <v>2.6238425925839692E-2</v>
      </c>
      <c r="N146" s="7">
        <f t="shared" si="96"/>
        <v>37.783333333209157</v>
      </c>
      <c r="O146" s="7"/>
      <c r="P146" s="7"/>
      <c r="Q146" s="25"/>
      <c r="R146" s="25"/>
      <c r="S146" s="37">
        <f t="shared" si="82"/>
        <v>1</v>
      </c>
      <c r="T146" s="52" t="str">
        <f t="shared" si="97"/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19:48:57-0600',mode:absolute,to:'2016-10-03 22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6" s="54" t="str">
        <f t="shared" si="98"/>
        <v>N</v>
      </c>
      <c r="X146" s="164">
        <f t="shared" si="104"/>
        <v>1</v>
      </c>
      <c r="Y146" s="69">
        <f t="shared" si="81"/>
        <v>4.4900000000000002E-2</v>
      </c>
      <c r="Z146" s="69">
        <f t="shared" si="89"/>
        <v>23.3293</v>
      </c>
      <c r="AA146" s="69">
        <f t="shared" si="99"/>
        <v>23.284400000000002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100"/>
        <v>0229-03</v>
      </c>
      <c r="AE146" s="95" t="str">
        <f t="shared" si="101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146" s="92" t="str">
        <f t="shared" si="102"/>
        <v>"C:\Program Files (x86)\AstroGrep\AstroGrep.exe" /spath="%USERPROFILE%\AppData\Local\Temp\OnboardLogs" /stypes="app*4040*20161004*" /stext=" 03:.+((SYSTEM_STATE.+slice.+state.+changed )|(ment ac)|(system.+state.+changed )|(\[timeout)|(PRM\|1\|D)|(kpr)|(kdp)|(\|lc)|(penalty))" /e /r /s</v>
      </c>
      <c r="AG146" s="1" t="str">
        <f t="shared" si="103"/>
        <v>EC</v>
      </c>
      <c r="AH146" s="96" t="str">
        <f t="shared" si="106"/>
        <v>"%USERPROFILE%\Documents\GitHub\eaglep3\Utilities\RefineRTDCRunTimes.py" --tripid 229-03 --locoid 4040 --swversion DE.1.0.7.0 --startMP 204:449 --initTime 2016-10-03T20:48:57 --startdatetime 2016-10-03T21:00:25 --delay 1 --endMP 204:233293 --enddatetime 2016-10-03T21:38:12 --enforcementcount 0 &gt;&gt;C:\Users\stu\Documents\GitHub\eaglep3-reporting\EC\2016-10-03-refined-times.txt</v>
      </c>
      <c r="AI146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{"issue":{"subject":"","project_id":79,"tracker_id":40,"status_id":1,"priority_id":2,"assigned_to_id":23,"start_date":"2016-10-03","description":"","custom_fields":[{"id":1,"name":"Subdivision","value":"EC"},{"id":4,"name":"Milepost","value":"23.3293"},{"id":17,"name":"Train ID","value":"229-03"},{"id":16,"name":"Locomotive ID","value":"4040"},{"id":130,"name":"Impact","value":""},{"id":150,"name":"Time of Event (Mountain Time)","value":"21:38:12"},{"id":151,"name":"Denver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585</v>
      </c>
      <c r="B147" s="7">
        <v>4039</v>
      </c>
      <c r="C147" s="24" t="s">
        <v>106</v>
      </c>
      <c r="D147" s="24" t="s">
        <v>586</v>
      </c>
      <c r="E147" s="15">
        <v>42646.908414351848</v>
      </c>
      <c r="F147" s="15">
        <v>42646.9140625</v>
      </c>
      <c r="G147" s="7">
        <v>1</v>
      </c>
      <c r="H147" s="15" t="s">
        <v>224</v>
      </c>
      <c r="I147" s="15">
        <v>42646.941759259258</v>
      </c>
      <c r="J147" s="7">
        <v>0</v>
      </c>
      <c r="K147" s="117" t="str">
        <f t="shared" si="94"/>
        <v>4039/4040</v>
      </c>
      <c r="L147" s="24" t="str">
        <f>VLOOKUP(A147,'Trips&amp;Operators'!$C$1:$E$10000,3,FALSE)</f>
        <v>LEVERE</v>
      </c>
      <c r="M147" s="6">
        <f t="shared" si="95"/>
        <v>2.7696759258105885E-2</v>
      </c>
      <c r="N147" s="7">
        <f t="shared" si="96"/>
        <v>39.883333331672475</v>
      </c>
      <c r="O147" s="7"/>
      <c r="P147" s="7"/>
      <c r="Q147" s="25"/>
      <c r="R147" s="25"/>
      <c r="S147" s="37">
        <f t="shared" si="82"/>
        <v>1</v>
      </c>
      <c r="T147" s="52" t="str">
        <f t="shared" si="97"/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20:48:07-0600',mode:absolute,to:'2016-10-03 23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7" s="54" t="str">
        <f t="shared" si="98"/>
        <v>N</v>
      </c>
      <c r="X147" s="164">
        <f t="shared" si="104"/>
        <v>1</v>
      </c>
      <c r="Y147" s="69">
        <f t="shared" si="81"/>
        <v>23.297899999999998</v>
      </c>
      <c r="Z147" s="69">
        <f t="shared" si="89"/>
        <v>1.41E-2</v>
      </c>
      <c r="AA147" s="69">
        <f t="shared" si="99"/>
        <v>23.283799999999999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100"/>
        <v>0230-03</v>
      </c>
      <c r="AE147" s="95" t="str">
        <f t="shared" si="101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147" s="92" t="str">
        <f t="shared" si="102"/>
        <v>"C:\Program Files (x86)\AstroGrep\AstroGrep.exe" /spath="%USERPROFILE%\AppData\Local\Temp\OnboardLogs" /stypes="app*4039*20161004*" /stext=" 04:.+((SYSTEM_STATE.+slice.+state.+changed )|(ment ac)|(system.+state.+changed )|(\[timeout)|(PRM\|1\|D)|(kpr)|(kdp)|(\|lc)|(penalty))" /e /r /s</v>
      </c>
      <c r="AG147" s="1" t="str">
        <f t="shared" si="103"/>
        <v>EC</v>
      </c>
      <c r="AH147" s="96" t="str">
        <f t="shared" si="106"/>
        <v>"%USERPROFILE%\Documents\GitHub\eaglep3\Utilities\RefineRTDCRunTimes.py" --tripid 230-03 --locoid 4039 --swversion DE.1.0.7.0 --startMP 204:232979 --initTime 2016-10-03T21:48:07 --startdatetime 2016-10-03T21:56:15 --delay 1 --endMP 204:141 --enddatetime 2016-10-03T22:36:08 --enforcementcount 0 &gt;&gt;C:\Users\stu\Documents\GitHub\eaglep3-reporting\EC\2016-10-03-refined-times.txt</v>
      </c>
      <c r="AI147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{"issue":{"subject":"","project_id":79,"tracker_id":40,"status_id":1,"priority_id":2,"assigned_to_id":23,"start_date":"2016-10-03","description":"","custom_fields":[{"id":1,"name":"Subdivision","value":"EC"},{"id":4,"name":"Milepost","value":"0.0141"},{"id":17,"name":"Train ID","value":"230-03"},{"id":16,"name":"Locomotive ID","value":"4039"},{"id":130,"name":"Impact","value":""},{"id":150,"name":"Time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587</v>
      </c>
      <c r="B148" s="7">
        <v>4009</v>
      </c>
      <c r="C148" s="24" t="s">
        <v>106</v>
      </c>
      <c r="D148" s="24" t="s">
        <v>232</v>
      </c>
      <c r="E148" s="15">
        <v>42646.88108796296</v>
      </c>
      <c r="F148" s="15">
        <v>42646.896354166667</v>
      </c>
      <c r="G148" s="7">
        <v>1</v>
      </c>
      <c r="H148" s="15" t="s">
        <v>220</v>
      </c>
      <c r="I148" s="15">
        <v>42646.920601851853</v>
      </c>
      <c r="J148" s="7">
        <v>0</v>
      </c>
      <c r="K148" s="117" t="str">
        <f t="shared" si="94"/>
        <v>4009/4010</v>
      </c>
      <c r="L148" s="24" t="str">
        <f>VLOOKUP(A148,'Trips&amp;Operators'!$C$1:$E$10000,3,FALSE)</f>
        <v>NEWELL</v>
      </c>
      <c r="M148" s="6">
        <f t="shared" si="95"/>
        <v>2.4247685185400769E-2</v>
      </c>
      <c r="N148" s="7">
        <f t="shared" si="96"/>
        <v>34.916666666977108</v>
      </c>
      <c r="O148" s="7"/>
      <c r="P148" s="7"/>
      <c r="Q148" s="25"/>
      <c r="R148" s="25"/>
      <c r="S148" s="37">
        <f t="shared" si="82"/>
        <v>1</v>
      </c>
      <c r="T148" s="52" t="str">
        <f t="shared" si="97"/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20:08:46-0600',mode:absolute,to:'2016-10-03 23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8" s="54" t="str">
        <f t="shared" si="98"/>
        <v>N</v>
      </c>
      <c r="X148" s="164">
        <f t="shared" si="104"/>
        <v>1</v>
      </c>
      <c r="Y148" s="69">
        <f t="shared" si="81"/>
        <v>4.6399999999999997E-2</v>
      </c>
      <c r="Z148" s="69">
        <f t="shared" si="89"/>
        <v>23.331399999999999</v>
      </c>
      <c r="AA148" s="69">
        <f t="shared" si="99"/>
        <v>23.285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100"/>
        <v>0231-03</v>
      </c>
      <c r="AE148" s="95" t="str">
        <f t="shared" si="101"/>
        <v>aws s3 cp s3://rtdc.mdm.uploadarchive.raw/RTDC4009/ "%USERPROFILE%\AppData\Local\Temp\OnboardLogs"\RTDC4009\2016-10-03 --exclude "*" --recursive --include "*20161003*" &amp; "%USERPROFILE%\Documents\GitHub\mrs-test-scripts\Headless Mode &amp; Sideloading\WalkAndUnGZ.bat" "%USERPROFILE%\AppData\Local\Temp\OnboardLogs"\RTDC4009\2016-10-03 &amp; 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</v>
      </c>
      <c r="AF148" s="92" t="str">
        <f t="shared" si="102"/>
        <v>"C:\Program Files (x86)\AstroGrep\AstroGrep.exe" /spath="%USERPROFILE%\AppData\Local\Temp\OnboardLogs" /stypes="app*4009*20161004*" /stext=" 04:.+((SYSTEM_STATE.+slice.+state.+changed )|(ment ac)|(system.+state.+changed )|(\[timeout)|(PRM\|1\|D)|(kpr)|(kdp)|(\|lc)|(penalty))" /e /r /s</v>
      </c>
      <c r="AG148" s="1" t="str">
        <f t="shared" si="103"/>
        <v>EC</v>
      </c>
      <c r="AH148" s="96" t="str">
        <f t="shared" si="106"/>
        <v>"%USERPROFILE%\Documents\GitHub\eaglep3\Utilities\RefineRTDCRunTimes.py" --tripid 231-03 --locoid 4009 --swversion DE.1.0.7.0 --startMP 204:464 --initTime 2016-10-03T21:08:46 --startdatetime 2016-10-03T21:30:45 --delay 1 --endMP 204:233314 --enddatetime 2016-10-03T22:05:40 --enforcementcount 0 &gt;&gt;C:\Users\stu\Documents\GitHub\eaglep3-reporting\EC\2016-10-03-refined-times.txt</v>
      </c>
      <c r="AI148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{"issue":{"subject":"","project_id":79,"tracker_id":40,"status_id":1,"priority_id":2,"assigned_to_id":23,"start_date":"2016-10-03","description":"","custom_fields":[{"id":1,"name":"Subdivision","value":"EC"},{"id":4,"name":"Milepost","value":"23.3314"},{"id":17,"name":"Train ID","value":"231-03"},{"id":16,"name":"Locomotive ID","value":"4009"},{"id":130,"name":"Impact","value":""},{"id":150,"name":"Time of Event (Mountain Time)","value":"22:05:40"},{"id":151,"name":"Denver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588</v>
      </c>
      <c r="B149" s="7">
        <v>4010</v>
      </c>
      <c r="C149" s="24" t="s">
        <v>106</v>
      </c>
      <c r="D149" s="24" t="s">
        <v>267</v>
      </c>
      <c r="E149" s="15">
        <v>42646.93068287037</v>
      </c>
      <c r="F149" s="15">
        <v>42646.934907407405</v>
      </c>
      <c r="G149" s="7">
        <v>1</v>
      </c>
      <c r="H149" s="15" t="s">
        <v>266</v>
      </c>
      <c r="I149" s="15">
        <v>42646.960995370369</v>
      </c>
      <c r="J149" s="7">
        <v>0</v>
      </c>
      <c r="K149" s="117" t="str">
        <f t="shared" si="94"/>
        <v>4009/4010</v>
      </c>
      <c r="L149" s="24" t="str">
        <f>VLOOKUP(A149,'Trips&amp;Operators'!$C$1:$E$10000,3,FALSE)</f>
        <v>NEWELL</v>
      </c>
      <c r="M149" s="6">
        <f t="shared" si="95"/>
        <v>2.6087962964083999E-2</v>
      </c>
      <c r="N149" s="7">
        <f t="shared" si="96"/>
        <v>37.566666668280959</v>
      </c>
      <c r="O149" s="7"/>
      <c r="P149" s="7"/>
      <c r="Q149" s="25"/>
      <c r="R149" s="25"/>
      <c r="S149" s="37">
        <f t="shared" si="82"/>
        <v>1</v>
      </c>
      <c r="T149" s="52" t="str">
        <f t="shared" si="97"/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21:20:11-0600',mode:absolute,to:'2016-10-04 00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9" s="54" t="str">
        <f t="shared" si="98"/>
        <v>N</v>
      </c>
      <c r="X149" s="164">
        <f t="shared" si="104"/>
        <v>1</v>
      </c>
      <c r="Y149" s="69">
        <f t="shared" si="81"/>
        <v>23.298999999999999</v>
      </c>
      <c r="Z149" s="69">
        <f t="shared" si="89"/>
        <v>1.61E-2</v>
      </c>
      <c r="AA149" s="69">
        <f t="shared" si="99"/>
        <v>23.282899999999998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100"/>
        <v>0232-03</v>
      </c>
      <c r="AE149" s="95" t="str">
        <f t="shared" si="101"/>
        <v>aws s3 cp s3://rtdc.mdm.uploadarchive.raw/RTDC4010/ "%USERPROFILE%\AppData\Local\Temp\OnboardLogs"\RTDC4010\2016-10-03 --exclude "*" --recursive --include "*20161003*" &amp; "%USERPROFILE%\Documents\GitHub\mrs-test-scripts\Headless Mode &amp; Sideloading\WalkAndUnGZ.bat" "%USERPROFILE%\AppData\Local\Temp\OnboardLogs"\RTDC4010\2016-10-03 &amp; 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</v>
      </c>
      <c r="AF149" s="92" t="str">
        <f t="shared" si="102"/>
        <v>"C:\Program Files (x86)\AstroGrep\AstroGrep.exe" /spath="%USERPROFILE%\AppData\Local\Temp\OnboardLogs" /stypes="app*4010*20161004*" /stext=" 05:.+((SYSTEM_STATE.+slice.+state.+changed )|(ment ac)|(system.+state.+changed )|(\[timeout)|(PRM\|1\|D)|(kpr)|(kdp)|(\|lc)|(penalty))" /e /r /s</v>
      </c>
      <c r="AG149" s="1" t="str">
        <f t="shared" si="103"/>
        <v>EC</v>
      </c>
      <c r="AH149" s="96" t="str">
        <f t="shared" si="106"/>
        <v>"%USERPROFILE%\Documents\GitHub\eaglep3\Utilities\RefineRTDCRunTimes.py" --tripid 232-03 --locoid 4010 --swversion DE.1.0.7.0 --startMP 204:232990 --initTime 2016-10-03T22:20:11 --startdatetime 2016-10-03T22:26:16 --delay 1 --endMP 204:161 --enddatetime 2016-10-03T23:03:50 --enforcementcount 0 &gt;&gt;C:\Users\stu\Documents\GitHub\eaglep3-reporting\EC\2016-10-03-refined-times.txt</v>
      </c>
      <c r="AI149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{"issue":{"subject":"","project_id":79,"tracker_id":40,"status_id":1,"priority_id":2,"assigned_to_id":23,"start_date":"2016-10-03","description":"","custom_fields":[{"id":1,"name":"Subdivision","value":"EC"},{"id":4,"name":"Milepost","value":"0.0161"},{"id":17,"name":"Train ID","value":"232-03"},{"id":16,"name":"Locomotive ID","value":"4010"},{"id":130,"name":"Impact","value":""},{"id":150,"name":"Time of Event (Mountain Time)","value":"23:03:50"},{"id":151,"name":"Denver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589</v>
      </c>
      <c r="B150" s="7">
        <v>4046</v>
      </c>
      <c r="C150" s="24" t="s">
        <v>106</v>
      </c>
      <c r="D150" s="24" t="s">
        <v>370</v>
      </c>
      <c r="E150" s="15">
        <v>42646.914618055554</v>
      </c>
      <c r="F150" s="15">
        <v>42646.916979166665</v>
      </c>
      <c r="G150" s="7">
        <v>1</v>
      </c>
      <c r="H150" s="15" t="s">
        <v>298</v>
      </c>
      <c r="I150" s="15">
        <v>42646.941851851851</v>
      </c>
      <c r="J150" s="7">
        <v>0</v>
      </c>
      <c r="K150" s="117" t="str">
        <f t="shared" si="94"/>
        <v>4045/4046</v>
      </c>
      <c r="L150" s="24" t="str">
        <f>VLOOKUP(A150,'Trips&amp;Operators'!$C$1:$E$10000,3,FALSE)</f>
        <v>CHANDLER</v>
      </c>
      <c r="M150" s="6">
        <f t="shared" si="95"/>
        <v>2.4872685185982846E-2</v>
      </c>
      <c r="N150" s="7">
        <f t="shared" si="96"/>
        <v>35.816666667815298</v>
      </c>
      <c r="O150" s="7"/>
      <c r="P150" s="7"/>
      <c r="Q150" s="25"/>
      <c r="R150" s="25"/>
      <c r="S150" s="37">
        <f t="shared" si="82"/>
        <v>1</v>
      </c>
      <c r="T150" s="52" t="str">
        <f t="shared" si="97"/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20:57:03-0600',mode:absolute,to:'2016-10-03 23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54" t="str">
        <f t="shared" si="98"/>
        <v>N</v>
      </c>
      <c r="X150" s="164">
        <f t="shared" si="104"/>
        <v>1</v>
      </c>
      <c r="Y150" s="69">
        <f t="shared" ref="Y150:Y181" si="108">RIGHT(D150,LEN(D150)-4)/10000</f>
        <v>4.6899999999999997E-2</v>
      </c>
      <c r="Z150" s="69">
        <f t="shared" si="89"/>
        <v>23.327400000000001</v>
      </c>
      <c r="AA150" s="69">
        <f t="shared" si="99"/>
        <v>23.2805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100"/>
        <v>0233-03</v>
      </c>
      <c r="AE150" s="95" t="str">
        <f t="shared" si="101"/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AF150" s="92" t="str">
        <f t="shared" si="102"/>
        <v>"C:\Program Files (x86)\AstroGrep\AstroGrep.exe" /spath="%USERPROFILE%\AppData\Local\Temp\OnboardLogs" /stypes="app*4046*20161004*" /stext=" 04:.+((SYSTEM_STATE.+slice.+state.+changed )|(ment ac)|(system.+state.+changed )|(\[timeout)|(PRM\|1\|D)|(kpr)|(kdp)|(\|lc)|(penalty))" /e /r /s</v>
      </c>
      <c r="AG150" s="1" t="str">
        <f t="shared" si="103"/>
        <v>EC</v>
      </c>
      <c r="AH150" s="96" t="str">
        <f t="shared" si="106"/>
        <v>"%USERPROFILE%\Documents\GitHub\eaglep3\Utilities\RefineRTDCRunTimes.py" --tripid 233-03 --locoid 4046 --swversion DE.1.0.7.0 --startMP 204:469 --initTime 2016-10-03T21:57:03 --startdatetime 2016-10-03T22:00:27 --delay 1 --endMP 204:233274 --enddatetime 2016-10-03T22:36:16 --enforcementcount 0 &gt;&gt;C:\Users\stu\Documents\GitHub\eaglep3-reporting\EC\2016-10-03-refined-times.txt</v>
      </c>
      <c r="AI150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{"issue":{"subject":"","project_id":79,"tracker_id":40,"status_id":1,"priority_id":2,"assigned_to_id":23,"start_date":"2016-10-03","description":"","custom_fields":[{"id":1,"name":"Subdivision","value":"EC"},{"id":4,"name":"Milepost","value":"23.3274"},{"id":17,"name":"Train ID","value":"233-03"},{"id":16,"name":"Locomotive ID","value":"4046"},{"id":130,"name":"Impact","value":""},{"id":150,"name":"Time of Event (Mountain Time)","value":"22:36:16"},{"id":151,"name":"Denver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590</v>
      </c>
      <c r="B151" s="7">
        <v>4045</v>
      </c>
      <c r="C151" s="24" t="s">
        <v>106</v>
      </c>
      <c r="D151" s="24" t="s">
        <v>591</v>
      </c>
      <c r="E151" s="15">
        <v>42646.953541666669</v>
      </c>
      <c r="F151" s="15">
        <v>42646.95584490741</v>
      </c>
      <c r="G151" s="7">
        <v>1</v>
      </c>
      <c r="H151" s="15" t="s">
        <v>287</v>
      </c>
      <c r="I151" s="15">
        <v>42646.984178240738</v>
      </c>
      <c r="J151" s="7">
        <v>0</v>
      </c>
      <c r="K151" s="117" t="str">
        <f t="shared" si="94"/>
        <v>4045/4046</v>
      </c>
      <c r="L151" s="24" t="str">
        <f>VLOOKUP(A151,'Trips&amp;Operators'!$C$1:$E$10000,3,FALSE)</f>
        <v>CHANDLER</v>
      </c>
      <c r="M151" s="6">
        <f t="shared" si="95"/>
        <v>2.8333333328191657E-2</v>
      </c>
      <c r="N151" s="7">
        <f t="shared" si="96"/>
        <v>40.799999992595986</v>
      </c>
      <c r="O151" s="7"/>
      <c r="P151" s="7"/>
      <c r="Q151" s="25"/>
      <c r="R151" s="25"/>
      <c r="S151" s="37">
        <f t="shared" si="82"/>
        <v>1</v>
      </c>
      <c r="T151" s="52" t="str">
        <f t="shared" si="97"/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21:53:06-0600',mode:absolute,to:'2016-10-04 00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54" t="str">
        <f t="shared" si="98"/>
        <v>N</v>
      </c>
      <c r="X151" s="164">
        <f t="shared" si="104"/>
        <v>1</v>
      </c>
      <c r="Y151" s="69">
        <f t="shared" si="108"/>
        <v>23.294799999999999</v>
      </c>
      <c r="Z151" s="69">
        <f t="shared" si="89"/>
        <v>1.6500000000000001E-2</v>
      </c>
      <c r="AA151" s="69">
        <f t="shared" si="99"/>
        <v>23.278299999999998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100"/>
        <v>0234-03</v>
      </c>
      <c r="AE151" s="95" t="str">
        <f t="shared" si="101"/>
        <v>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 &amp; 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</v>
      </c>
      <c r="AF151" s="92" t="str">
        <f t="shared" si="102"/>
        <v>"C:\Program Files (x86)\AstroGrep\AstroGrep.exe" /spath="%USERPROFILE%\AppData\Local\Temp\OnboardLogs" /stypes="app*4045*20161004*" /stext=" 05:.+((SYSTEM_STATE.+slice.+state.+changed )|(ment ac)|(system.+state.+changed )|(\[timeout)|(PRM\|1\|D)|(kpr)|(kdp)|(\|lc)|(penalty))" /e /r /s</v>
      </c>
      <c r="AG151" s="1" t="str">
        <f t="shared" si="103"/>
        <v>EC</v>
      </c>
      <c r="AH151" s="96" t="str">
        <f t="shared" si="106"/>
        <v>"%USERPROFILE%\Documents\GitHub\eaglep3\Utilities\RefineRTDCRunTimes.py" --tripid 234-03 --locoid 4045 --swversion DE.1.0.7.0 --startMP 204:232948 --initTime 2016-10-03T22:53:06 --startdatetime 2016-10-03T22:56:25 --delay 1 --endMP 204:165 --enddatetime 2016-10-03T23:37:13 --enforcementcount 0 &gt;&gt;C:\Users\stu\Documents\GitHub\eaglep3-reporting\EC\2016-10-03-refined-times.txt</v>
      </c>
      <c r="AI151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{"issue":{"subject":"","project_id":79,"tracker_id":40,"status_id":1,"priority_id":2,"assigned_to_id":23,"start_date":"2016-10-03","description":"","custom_fields":[{"id":1,"name":"Subdivision","value":"EC"},{"id":4,"name":"Milepost","value":"0.0165"},{"id":17,"name":"Train ID","value":"234-03"},{"id":16,"name":"Locomotive ID","value":"4045"},{"id":130,"name":"Impact","value":""},{"id":150,"name":"Time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592</v>
      </c>
      <c r="B152" s="7">
        <v>4002</v>
      </c>
      <c r="C152" s="24" t="s">
        <v>106</v>
      </c>
      <c r="D152" s="24" t="s">
        <v>346</v>
      </c>
      <c r="E152" s="15">
        <v>42646.929837962962</v>
      </c>
      <c r="F152" s="15">
        <v>42646.937893518516</v>
      </c>
      <c r="G152" s="7">
        <v>1</v>
      </c>
      <c r="H152" s="15" t="s">
        <v>364</v>
      </c>
      <c r="I152" s="15">
        <v>42646.963113425925</v>
      </c>
      <c r="J152" s="7">
        <v>0</v>
      </c>
      <c r="K152" s="117" t="str">
        <f t="shared" si="94"/>
        <v>4001/4002</v>
      </c>
      <c r="L152" s="24" t="str">
        <f>VLOOKUP(A152,'Trips&amp;Operators'!$C$1:$E$10000,3,FALSE)</f>
        <v>SMITH</v>
      </c>
      <c r="M152" s="6">
        <f t="shared" si="95"/>
        <v>2.5219907409336884E-2</v>
      </c>
      <c r="N152" s="7">
        <f t="shared" si="96"/>
        <v>36.316666669445112</v>
      </c>
      <c r="O152" s="7"/>
      <c r="P152" s="7"/>
      <c r="Q152" s="25"/>
      <c r="R152" s="25"/>
      <c r="S152" s="37">
        <f t="shared" si="82"/>
        <v>1</v>
      </c>
      <c r="T152" s="52" t="str">
        <f t="shared" si="97"/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21:18:58-0600',mode:absolute,to:'2016-10-04 00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2" s="54" t="str">
        <f t="shared" si="98"/>
        <v>N</v>
      </c>
      <c r="X152" s="164">
        <f t="shared" si="104"/>
        <v>1</v>
      </c>
      <c r="Y152" s="69">
        <f t="shared" si="108"/>
        <v>4.4699999999999997E-2</v>
      </c>
      <c r="Z152" s="69">
        <f t="shared" si="89"/>
        <v>23.329699999999999</v>
      </c>
      <c r="AA152" s="69">
        <f t="shared" si="99"/>
        <v>23.285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100"/>
        <v>0235-03</v>
      </c>
      <c r="AE152" s="95" t="str">
        <f t="shared" si="101"/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AF152" s="92" t="str">
        <f t="shared" si="102"/>
        <v>"C:\Program Files (x86)\AstroGrep\AstroGrep.exe" /spath="%USERPROFILE%\AppData\Local\Temp\OnboardLogs" /stypes="app*4002*20161004*" /stext=" 05:.+((SYSTEM_STATE.+slice.+state.+changed )|(ment ac)|(system.+state.+changed )|(\[timeout)|(PRM\|1\|D)|(kpr)|(kdp)|(\|lc)|(penalty))" /e /r /s</v>
      </c>
      <c r="AG152" s="1" t="str">
        <f t="shared" si="103"/>
        <v>EC</v>
      </c>
      <c r="AH152" s="96" t="str">
        <f t="shared" si="106"/>
        <v>"%USERPROFILE%\Documents\GitHub\eaglep3\Utilities\RefineRTDCRunTimes.py" --tripid 235-03 --locoid 4002 --swversion DE.1.0.7.0 --startMP 204:447 --initTime 2016-10-03T22:18:58 --startdatetime 2016-10-03T22:30:34 --delay 1 --endMP 204:233297 --enddatetime 2016-10-03T23:06:53 --enforcementcount 0 &gt;&gt;C:\Users\stu\Documents\GitHub\eaglep3-reporting\EC\2016-10-03-refined-times.txt</v>
      </c>
      <c r="AI152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{"issue":{"subject":"","project_id":79,"tracker_id":40,"status_id":1,"priority_id":2,"assigned_to_id":23,"start_date":"2016-10-03","description":"","custom_fields":[{"id":1,"name":"Subdivision","value":"EC"},{"id":4,"name":"Milepost","value":"23.3297"},{"id":17,"name":"Train ID","value":"235-03"},{"id":16,"name":"Locomotive ID","value":"4002"},{"id":130,"name":"Impact","value":""},{"id":150,"name":"Time of Event (Mountain Time)","value":"23:06:53"},{"id":151,"name":"Denver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593</v>
      </c>
      <c r="B153" s="7">
        <v>4001</v>
      </c>
      <c r="C153" s="24" t="s">
        <v>106</v>
      </c>
      <c r="D153" s="24" t="s">
        <v>368</v>
      </c>
      <c r="E153" s="15">
        <v>42646.97142361111</v>
      </c>
      <c r="F153" s="15">
        <v>42646.977256944447</v>
      </c>
      <c r="G153" s="7">
        <v>1</v>
      </c>
      <c r="H153" s="15" t="s">
        <v>200</v>
      </c>
      <c r="I153" s="15">
        <v>42647.00472222222</v>
      </c>
      <c r="J153" s="7">
        <v>0</v>
      </c>
      <c r="K153" s="117" t="str">
        <f t="shared" si="94"/>
        <v>4001/4002</v>
      </c>
      <c r="L153" s="24" t="str">
        <f>VLOOKUP(A153,'Trips&amp;Operators'!$C$1:$E$10000,3,FALSE)</f>
        <v>SMITH</v>
      </c>
      <c r="M153" s="6">
        <f t="shared" si="95"/>
        <v>2.7465277773444541E-2</v>
      </c>
      <c r="N153" s="7">
        <f t="shared" si="96"/>
        <v>39.549999993760139</v>
      </c>
      <c r="O153" s="7"/>
      <c r="P153" s="7"/>
      <c r="Q153" s="25"/>
      <c r="R153" s="25"/>
      <c r="S153" s="37">
        <f t="shared" si="82"/>
        <v>1</v>
      </c>
      <c r="T153" s="52" t="str">
        <f t="shared" si="97"/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22:18:51-0600',mode:absolute,to:'2016-10-04 01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3" s="54" t="str">
        <f t="shared" si="98"/>
        <v>N</v>
      </c>
      <c r="X153" s="164">
        <f t="shared" si="104"/>
        <v>1</v>
      </c>
      <c r="Y153" s="69">
        <f t="shared" si="108"/>
        <v>23.2973</v>
      </c>
      <c r="Z153" s="69">
        <f t="shared" si="89"/>
        <v>1.6E-2</v>
      </c>
      <c r="AA153" s="69">
        <f t="shared" si="99"/>
        <v>23.281300000000002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100"/>
        <v>0236-03</v>
      </c>
      <c r="AE153" s="95" t="str">
        <f t="shared" si="101"/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AF153" s="92" t="str">
        <f t="shared" si="102"/>
        <v>"C:\Program Files (x86)\AstroGrep\AstroGrep.exe" /spath="%USERPROFILE%\AppData\Local\Temp\OnboardLogs" /stypes="app*4001*20161004*" /stext=" 06:.+((SYSTEM_STATE.+slice.+state.+changed )|(ment ac)|(system.+state.+changed )|(\[timeout)|(PRM\|1\|D)|(kpr)|(kdp)|(\|lc)|(penalty))" /e /r /s</v>
      </c>
      <c r="AG153" s="1" t="str">
        <f t="shared" si="103"/>
        <v>EC</v>
      </c>
      <c r="AH153" s="96" t="str">
        <f t="shared" si="106"/>
        <v>"%USERPROFILE%\Documents\GitHub\eaglep3\Utilities\RefineRTDCRunTimes.py" --tripid 236-03 --locoid 4001 --swversion DE.1.0.7.0 --startMP 204:232973 --initTime 2016-10-03T23:18:51 --startdatetime 2016-10-03T23:27:15 --delay 1 --endMP 204:160 --enddatetime 2016-10-04T00:06:48 --enforcementcount 0 &gt;&gt;C:\Users\stu\Documents\GitHub\eaglep3-reporting\EC\2016-10-03-refined-times.txt</v>
      </c>
      <c r="AI153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{"issue":{"subject":"","project_id":79,"tracker_id":40,"status_id":1,"priority_id":2,"assigned_to_id":23,"start_date":"2016-10-04","description":"","custom_fields":[{"id":1,"name":"Subdivision","value":"EC"},{"id":4,"name":"Milepost","value":"0.016"},{"id":17,"name":"Train ID","value":"236-03"},{"id":16,"name":"Locomotive ID","value":"4001"},{"id":130,"name":"Impact","value":""},{"id":150,"name":"Time of Event (Mountain Time)","value":"00:06:48"},{"id":151,"name":"Denver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594</v>
      </c>
      <c r="B154" s="7">
        <v>4040</v>
      </c>
      <c r="C154" s="24" t="s">
        <v>106</v>
      </c>
      <c r="D154" s="24" t="s">
        <v>232</v>
      </c>
      <c r="E154" s="15">
        <v>42646.953923611109</v>
      </c>
      <c r="F154" s="15">
        <v>42646.958495370367</v>
      </c>
      <c r="G154" s="7">
        <v>1</v>
      </c>
      <c r="H154" s="15" t="s">
        <v>364</v>
      </c>
      <c r="I154" s="15">
        <v>42646.985347222224</v>
      </c>
      <c r="J154" s="7">
        <v>0</v>
      </c>
      <c r="K154" s="117" t="str">
        <f t="shared" si="94"/>
        <v>4039/4040</v>
      </c>
      <c r="L154" s="24" t="str">
        <f>VLOOKUP(A154,'Trips&amp;Operators'!$C$1:$E$10000,3,FALSE)</f>
        <v>HAUSER</v>
      </c>
      <c r="M154" s="6">
        <f t="shared" si="95"/>
        <v>2.6851851856918074E-2</v>
      </c>
      <c r="N154" s="7">
        <f t="shared" si="96"/>
        <v>38.666666673962027</v>
      </c>
      <c r="O154" s="7"/>
      <c r="P154" s="7"/>
      <c r="Q154" s="25"/>
      <c r="R154" s="25"/>
      <c r="S154" s="37">
        <f t="shared" si="82"/>
        <v>1</v>
      </c>
      <c r="T154" s="52" t="str">
        <f t="shared" si="97"/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21:53:39-0600',mode:absolute,to:'2016-10-04 00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4" s="54" t="str">
        <f t="shared" si="98"/>
        <v>N</v>
      </c>
      <c r="X154" s="164">
        <f t="shared" si="104"/>
        <v>1</v>
      </c>
      <c r="Y154" s="69">
        <f t="shared" si="108"/>
        <v>4.6399999999999997E-2</v>
      </c>
      <c r="Z154" s="69">
        <f t="shared" si="89"/>
        <v>23.329699999999999</v>
      </c>
      <c r="AA154" s="69">
        <f t="shared" si="99"/>
        <v>23.283300000000001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100"/>
        <v>0237-03</v>
      </c>
      <c r="AE154" s="95" t="str">
        <f t="shared" si="101"/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AF154" s="92" t="str">
        <f t="shared" si="102"/>
        <v>"C:\Program Files (x86)\AstroGrep\AstroGrep.exe" /spath="%USERPROFILE%\AppData\Local\Temp\OnboardLogs" /stypes="app*4040*20161004*" /stext=" 05:.+((SYSTEM_STATE.+slice.+state.+changed )|(ment ac)|(system.+state.+changed )|(\[timeout)|(PRM\|1\|D)|(kpr)|(kdp)|(\|lc)|(penalty))" /e /r /s</v>
      </c>
      <c r="AG154" s="1" t="str">
        <f t="shared" si="103"/>
        <v>EC</v>
      </c>
      <c r="AH154" s="96" t="str">
        <f t="shared" si="106"/>
        <v>"%USERPROFILE%\Documents\GitHub\eaglep3\Utilities\RefineRTDCRunTimes.py" --tripid 237-03 --locoid 4040 --swversion DE.1.0.7.0 --startMP 204:464 --initTime 2016-10-03T22:53:39 --startdatetime 2016-10-03T23:00:14 --delay 1 --endMP 204:233297 --enddatetime 2016-10-03T23:38:54 --enforcementcount 0 &gt;&gt;C:\Users\stu\Documents\GitHub\eaglep3-reporting\EC\2016-10-03-refined-times.txt</v>
      </c>
      <c r="AI154" s="130" t="str">
        <f t="shared" si="107"/>
        <v>echo {"issue":{"subject":"","project_id":79,"tracker_id":40,"status_id":1,"priority_id":2,"assigned_to_id":23,"start_date":"2016-10-03","description":"","custom_fields":[{"id":1,"name":"Subdivision","value":"EC"},{"id":4,"name":"Milepost","value":"23.3297"},{"id":17,"name":"Train ID","value":"237-03"},{"id":16,"name":"Locomotive ID","value":"4040"},{"id":130,"name":"Impact","value":""},{"id":150,"name":"Time of Event (Mountain Time)","value":"23:38:54"},{"id":151,"name":"Denver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595</v>
      </c>
      <c r="B155" s="7">
        <v>4039</v>
      </c>
      <c r="C155" s="24" t="s">
        <v>106</v>
      </c>
      <c r="D155" s="24" t="s">
        <v>596</v>
      </c>
      <c r="E155" s="15">
        <v>42646.99423611111</v>
      </c>
      <c r="F155" s="15">
        <v>42646.997476851851</v>
      </c>
      <c r="G155" s="7">
        <v>4</v>
      </c>
      <c r="H155" s="15" t="s">
        <v>347</v>
      </c>
      <c r="I155" s="15">
        <v>42647.025405092594</v>
      </c>
      <c r="J155" s="7">
        <v>0</v>
      </c>
      <c r="K155" s="117" t="str">
        <f t="shared" si="94"/>
        <v>4039/4040</v>
      </c>
      <c r="L155" s="24" t="str">
        <f>VLOOKUP(A155,'Trips&amp;Operators'!$C$1:$E$10000,3,FALSE)</f>
        <v>LEVERE</v>
      </c>
      <c r="M155" s="6">
        <f t="shared" si="95"/>
        <v>2.792824074276723E-2</v>
      </c>
      <c r="N155" s="7">
        <f t="shared" si="96"/>
        <v>40.216666669584811</v>
      </c>
      <c r="O155" s="7"/>
      <c r="P155" s="7"/>
      <c r="Q155" s="25"/>
      <c r="R155" s="25"/>
      <c r="S155" s="37">
        <f t="shared" ref="S155:S186" si="109">SUM(U155:U155)/IF(AG155="EC",12,1)</f>
        <v>1</v>
      </c>
      <c r="T155" s="52" t="str">
        <f t="shared" si="97"/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22:51:42-0600',mode:absolute,to:'2016-10-04 01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5" s="54" t="str">
        <f t="shared" si="98"/>
        <v>N</v>
      </c>
      <c r="X155" s="164">
        <f t="shared" si="104"/>
        <v>1</v>
      </c>
      <c r="Y155" s="69">
        <f t="shared" si="108"/>
        <v>23.296700000000001</v>
      </c>
      <c r="Z155" s="69">
        <f t="shared" si="89"/>
        <v>1.6299999999999999E-2</v>
      </c>
      <c r="AA155" s="69">
        <f t="shared" si="99"/>
        <v>23.2804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100"/>
        <v>0238-03</v>
      </c>
      <c r="AE155" s="95" t="str">
        <f t="shared" si="101"/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AF155" s="92" t="str">
        <f t="shared" si="102"/>
        <v>"C:\Program Files (x86)\AstroGrep\AstroGrep.exe" /spath="%USERPROFILE%\AppData\Local\Temp\OnboardLogs" /stypes="app*4039*20161004*" /stext=" 06:.+((SYSTEM_STATE.+slice.+state.+changed )|(ment ac)|(system.+state.+changed )|(\[timeout)|(PRM\|1\|D)|(kpr)|(kdp)|(\|lc)|(penalty))" /e /r /s</v>
      </c>
      <c r="AG155" s="1" t="str">
        <f t="shared" si="103"/>
        <v>EC</v>
      </c>
      <c r="AH155" s="96" t="str">
        <f t="shared" si="106"/>
        <v>"%USERPROFILE%\Documents\GitHub\eaglep3\Utilities\RefineRTDCRunTimes.py" --tripid 238-03 --locoid 4039 --swversion DE.1.0.7.0 --startMP 204:232967 --initTime 2016-10-03T23:51:42 --startdatetime 2016-10-03T23:56:22 --delay 4 --endMP 204:163 --enddatetime 2016-10-04T00:36:35 --enforcementcount 0 &gt;&gt;C:\Users\stu\Documents\GitHub\eaglep3-reporting\EC\2016-10-03-refined-times.txt</v>
      </c>
      <c r="AI155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{"issue":{"subject":"","project_id":79,"tracker_id":40,"status_id":1,"priority_id":2,"assigned_to_id":23,"start_date":"2016-10-04","description":"","custom_fields":[{"id":1,"name":"Subdivision","value":"EC"},{"id":4,"name":"Milepost","value":"0.0163"},{"id":17,"name":"Train ID","value":"238-03"},{"id":16,"name":"Locomotive ID","value":"4039"},{"id":130,"name":"Impact","value":""},{"id":150,"name":"Time of Event (Mountain Time)","value":"00:36:35"},{"id":151,"name":"Denver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597</v>
      </c>
      <c r="B156" s="7">
        <v>4009</v>
      </c>
      <c r="C156" s="24" t="s">
        <v>106</v>
      </c>
      <c r="D156" s="24" t="s">
        <v>209</v>
      </c>
      <c r="E156" s="15">
        <v>42646.968275462961</v>
      </c>
      <c r="F156" s="15">
        <v>42646.97934027778</v>
      </c>
      <c r="G156" s="7">
        <v>1</v>
      </c>
      <c r="H156" s="15" t="s">
        <v>348</v>
      </c>
      <c r="I156" s="15">
        <v>42647.00476851852</v>
      </c>
      <c r="J156" s="7">
        <v>0</v>
      </c>
      <c r="K156" s="117" t="str">
        <f t="shared" si="94"/>
        <v>4009/4010</v>
      </c>
      <c r="L156" s="24" t="str">
        <f>VLOOKUP(A156,'Trips&amp;Operators'!$C$1:$E$10000,3,FALSE)</f>
        <v>NEWELL</v>
      </c>
      <c r="M156" s="6">
        <f t="shared" si="95"/>
        <v>2.5428240740438923E-2</v>
      </c>
      <c r="N156" s="7">
        <f t="shared" si="96"/>
        <v>36.616666666232049</v>
      </c>
      <c r="O156" s="7"/>
      <c r="P156" s="7"/>
      <c r="Q156" s="25"/>
      <c r="R156" s="25"/>
      <c r="S156" s="37">
        <f t="shared" si="109"/>
        <v>1</v>
      </c>
      <c r="T156" s="52" t="str">
        <f t="shared" si="97"/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22:14:19-0600',mode:absolute,to:'2016-10-04 01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6" s="54" t="str">
        <f t="shared" si="98"/>
        <v>N</v>
      </c>
      <c r="X156" s="164">
        <f t="shared" si="104"/>
        <v>1</v>
      </c>
      <c r="Y156" s="69">
        <f t="shared" si="108"/>
        <v>4.6600000000000003E-2</v>
      </c>
      <c r="Z156" s="69">
        <f t="shared" si="89"/>
        <v>23.332599999999999</v>
      </c>
      <c r="AA156" s="69">
        <f t="shared" si="99"/>
        <v>23.285999999999998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100"/>
        <v>0239-03</v>
      </c>
      <c r="AE156" s="95" t="str">
        <f t="shared" si="101"/>
        <v>aws s3 cp s3://rtdc.mdm.uploadarchive.raw/RTDC4009/ "%USERPROFILE%\AppData\Local\Temp\OnboardLogs"\RTDC4009\2016-10-03 --exclude "*" --recursive --include "*20161003*" &amp; "%USERPROFILE%\Documents\GitHub\mrs-test-scripts\Headless Mode &amp; Sideloading\WalkAndUnGZ.bat" "%USERPROFILE%\AppData\Local\Temp\OnboardLogs"\RTDC4009\2016-10-03 &amp; 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</v>
      </c>
      <c r="AF156" s="92" t="str">
        <f t="shared" si="102"/>
        <v>"C:\Program Files (x86)\AstroGrep\AstroGrep.exe" /spath="%USERPROFILE%\AppData\Local\Temp\OnboardLogs" /stypes="app*4009*20161004*" /stext=" 06:.+((SYSTEM_STATE.+slice.+state.+changed )|(ment ac)|(system.+state.+changed )|(\[timeout)|(PRM\|1\|D)|(kpr)|(kdp)|(\|lc)|(penalty))" /e /r /s</v>
      </c>
      <c r="AG156" s="1" t="str">
        <f t="shared" si="103"/>
        <v>EC</v>
      </c>
      <c r="AH156" s="96" t="str">
        <f t="shared" si="106"/>
        <v>"%USERPROFILE%\Documents\GitHub\eaglep3\Utilities\RefineRTDCRunTimes.py" --tripid 239-03 --locoid 4009 --swversion DE.1.0.7.0 --startMP 204:466 --initTime 2016-10-03T23:14:19 --startdatetime 2016-10-03T23:30:15 --delay 1 --endMP 204:233326 --enddatetime 2016-10-04T00:06:52 --enforcementcount 0 &gt;&gt;C:\Users\stu\Documents\GitHub\eaglep3-reporting\EC\2016-10-03-refined-times.txt</v>
      </c>
      <c r="AI156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{"issue":{"subject":"","project_id":79,"tracker_id":40,"status_id":1,"priority_id":2,"assigned_to_id":23,"start_date":"2016-10-04","description":"","custom_fields":[{"id":1,"name":"Subdivision","value":"EC"},{"id":4,"name":"Milepost","value":"23.3326"},{"id":17,"name":"Train ID","value":"239-03"},{"id":16,"name":"Locomotive ID","value":"4009"},{"id":130,"name":"Impact","value":""},{"id":150,"name":"Time of Event (Mountain Time)","value":"00:06:52"},{"id":151,"name":"Denver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598</v>
      </c>
      <c r="B157" s="7">
        <v>4010</v>
      </c>
      <c r="C157" s="24" t="s">
        <v>106</v>
      </c>
      <c r="D157" s="24" t="s">
        <v>373</v>
      </c>
      <c r="E157" s="15">
        <v>42647.015370370369</v>
      </c>
      <c r="F157" s="15">
        <v>42647.018206018518</v>
      </c>
      <c r="G157" s="7">
        <v>1</v>
      </c>
      <c r="H157" s="15" t="s">
        <v>521</v>
      </c>
      <c r="I157" s="15">
        <v>42647.044942129629</v>
      </c>
      <c r="J157" s="7">
        <v>0</v>
      </c>
      <c r="K157" s="117" t="str">
        <f t="shared" si="94"/>
        <v>4009/4010</v>
      </c>
      <c r="L157" s="24" t="str">
        <f>VLOOKUP(A157,'Trips&amp;Operators'!$C$1:$E$10000,3,FALSE)</f>
        <v>NEWELL</v>
      </c>
      <c r="M157" s="6">
        <f t="shared" si="95"/>
        <v>2.6736111110949423E-2</v>
      </c>
      <c r="N157" s="7">
        <f t="shared" si="96"/>
        <v>38.499999999767169</v>
      </c>
      <c r="O157" s="7"/>
      <c r="P157" s="7"/>
      <c r="Q157" s="25"/>
      <c r="R157" s="25"/>
      <c r="S157" s="37">
        <f t="shared" si="109"/>
        <v>1</v>
      </c>
      <c r="T157" s="52" t="str">
        <f t="shared" si="97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23:22:08-0600',mode:absolute,to:'2016-10-04 02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7" s="54" t="str">
        <f t="shared" si="98"/>
        <v>N</v>
      </c>
      <c r="X157" s="164">
        <f t="shared" si="104"/>
        <v>1</v>
      </c>
      <c r="Y157" s="69">
        <f t="shared" si="108"/>
        <v>23.300699999999999</v>
      </c>
      <c r="Z157" s="69">
        <f t="shared" si="89"/>
        <v>1.6899999999999998E-2</v>
      </c>
      <c r="AA157" s="69">
        <f t="shared" si="99"/>
        <v>23.283799999999999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100"/>
        <v>0240-03</v>
      </c>
      <c r="AE157" s="95" t="str">
        <f t="shared" si="101"/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157" s="92" t="str">
        <f t="shared" si="102"/>
        <v>"C:\Program Files (x86)\AstroGrep\AstroGrep.exe" /spath="%USERPROFILE%\AppData\Local\Temp\OnboardLogs" /stypes="app*4010*20161004*" /stext=" 07:.+((SYSTEM_STATE.+slice.+state.+changed )|(ment ac)|(system.+state.+changed )|(\[timeout)|(PRM\|1\|D)|(kpr)|(kdp)|(\|lc)|(penalty))" /e /r /s</v>
      </c>
      <c r="AG157" s="1" t="str">
        <f t="shared" si="103"/>
        <v>EC</v>
      </c>
      <c r="AH157" s="96" t="str">
        <f t="shared" si="106"/>
        <v>"%USERPROFILE%\Documents\GitHub\eaglep3\Utilities\RefineRTDCRunTimes.py" --tripid 240-03 --locoid 4010 --swversion DE.1.0.7.0 --startMP 204:233007 --initTime 2016-10-04T00:22:08 --startdatetime 2016-10-04T00:26:13 --delay 1 --endMP 204:169 --enddatetime 2016-10-04T01:04:43 --enforcementcount 0 &gt;&gt;C:\Users\stu\Documents\GitHub\eaglep3-reporting\EC\2016-10-03-refined-times.txt</v>
      </c>
      <c r="AI157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{"issue":{"subject":"","project_id":79,"tracker_id":40,"status_id":1,"priority_id":2,"assigned_to_id":23,"start_date":"2016-10-04","description":"","custom_fields":[{"id":1,"name":"Subdivision","value":"EC"},{"id":4,"name":"Milepost","value":"0.0169"},{"id":17,"name":"Train ID","value":"240-03"},{"id":16,"name":"Locomotive ID","value":"4010"},{"id":130,"name":"Impact","value":""},{"id":150,"name":"Time of Event (Mountain Time)","value":"01:04:43"},{"id":151,"name":"Denver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599</v>
      </c>
      <c r="B158" s="7">
        <v>4046</v>
      </c>
      <c r="C158" s="24" t="s">
        <v>106</v>
      </c>
      <c r="D158" s="24" t="s">
        <v>201</v>
      </c>
      <c r="E158" s="15">
        <v>42646.997002314813</v>
      </c>
      <c r="F158" s="15">
        <v>42647.000381944446</v>
      </c>
      <c r="G158" s="7">
        <v>1</v>
      </c>
      <c r="H158" s="15" t="s">
        <v>375</v>
      </c>
      <c r="I158" s="15">
        <v>42647.02516203704</v>
      </c>
      <c r="J158" s="7">
        <v>0</v>
      </c>
      <c r="K158" s="117" t="str">
        <f t="shared" si="94"/>
        <v>4045/4046</v>
      </c>
      <c r="L158" s="24" t="str">
        <f>VLOOKUP(A158,'Trips&amp;Operators'!$C$1:$E$10000,3,FALSE)</f>
        <v>CHANDLER</v>
      </c>
      <c r="M158" s="6">
        <f t="shared" si="95"/>
        <v>2.4780092593573499E-2</v>
      </c>
      <c r="N158" s="7">
        <f t="shared" si="96"/>
        <v>35.683333334745839</v>
      </c>
      <c r="O158" s="7"/>
      <c r="P158" s="7"/>
      <c r="Q158" s="25"/>
      <c r="R158" s="25"/>
      <c r="S158" s="37">
        <f t="shared" si="109"/>
        <v>1</v>
      </c>
      <c r="T158" s="52" t="str">
        <f t="shared" si="97"/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22:55:41-0600',mode:absolute,to:'2016-10-04 01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8" s="54" t="str">
        <f t="shared" si="98"/>
        <v>N</v>
      </c>
      <c r="X158" s="164">
        <f t="shared" si="104"/>
        <v>1</v>
      </c>
      <c r="Y158" s="69">
        <f t="shared" si="108"/>
        <v>4.7100000000000003E-2</v>
      </c>
      <c r="Z158" s="69">
        <f t="shared" si="89"/>
        <v>23.3278</v>
      </c>
      <c r="AA158" s="69">
        <f t="shared" si="99"/>
        <v>23.2807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100"/>
        <v>0241-03</v>
      </c>
      <c r="AE158" s="95" t="str">
        <f t="shared" si="101"/>
        <v>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 &amp; aws s3 cp s3://rtdc.mdm.uploadarchive.raw/RTDC4046/ "%USERPROFILE%\AppData\Local\Temp\OnboardLogs"\RTDC4046\2016-10-05 --exclude "*" --recursive --include "*20161005*" &amp; "%USERPROFILE%\Documents\GitHub\mrs-test-scripts\Headless Mode &amp; Sideloading\WalkAndUnGZ.bat" "%USERPROFILE%\AppData\Local\Temp\OnboardLogs"\RTDC4046\2016-10-05</v>
      </c>
      <c r="AF158" s="92" t="str">
        <f t="shared" si="102"/>
        <v>"C:\Program Files (x86)\AstroGrep\AstroGrep.exe" /spath="%USERPROFILE%\AppData\Local\Temp\OnboardLogs" /stypes="app*4046*20161004*" /stext=" 06:.+((SYSTEM_STATE.+slice.+state.+changed )|(ment ac)|(system.+state.+changed )|(\[timeout)|(PRM\|1\|D)|(kpr)|(kdp)|(\|lc)|(penalty))" /e /r /s</v>
      </c>
      <c r="AG158" s="1" t="str">
        <f t="shared" si="103"/>
        <v>EC</v>
      </c>
      <c r="AH158" s="96" t="str">
        <f t="shared" si="106"/>
        <v>"%USERPROFILE%\Documents\GitHub\eaglep3\Utilities\RefineRTDCRunTimes.py" --tripid 241-03 --locoid 4046 --swversion DE.1.0.7.0 --startMP 204:471 --initTime 2016-10-03T23:55:41 --startdatetime 2016-10-04T00:00:33 --delay 1 --endMP 204:233278 --enddatetime 2016-10-04T00:36:14 --enforcementcount 0 &gt;&gt;C:\Users\stu\Documents\GitHub\eaglep3-reporting\EC\2016-10-03-refined-times.txt</v>
      </c>
      <c r="AI158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{"issue":{"subject":"","project_id":79,"tracker_id":40,"status_id":1,"priority_id":2,"assigned_to_id":23,"start_date":"2016-10-04","description":"","custom_fields":[{"id":1,"name":"Subdivision","value":"EC"},{"id":4,"name":"Milepost","value":"23.3278"},{"id":17,"name":"Train ID","value":"241-03"},{"id":16,"name":"Locomotive ID","value":"4046"},{"id":130,"name":"Impact","value":""},{"id":150,"name":"Time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600</v>
      </c>
      <c r="B159" s="7">
        <v>4045</v>
      </c>
      <c r="C159" s="24" t="s">
        <v>106</v>
      </c>
      <c r="D159" s="24" t="s">
        <v>302</v>
      </c>
      <c r="E159" s="15">
        <v>42647.035740740743</v>
      </c>
      <c r="F159" s="15">
        <v>42647.039398148147</v>
      </c>
      <c r="G159" s="7">
        <v>1</v>
      </c>
      <c r="H159" s="15" t="s">
        <v>340</v>
      </c>
      <c r="I159" s="15">
        <v>42647.066446759258</v>
      </c>
      <c r="J159" s="7">
        <v>0</v>
      </c>
      <c r="K159" s="117" t="str">
        <f t="shared" si="94"/>
        <v>4045/4046</v>
      </c>
      <c r="L159" s="24" t="str">
        <f>VLOOKUP(A159,'Trips&amp;Operators'!$C$1:$E$10000,3,FALSE)</f>
        <v>CHANDLER</v>
      </c>
      <c r="M159" s="6">
        <f t="shared" si="95"/>
        <v>2.7048611111240461E-2</v>
      </c>
      <c r="N159" s="7">
        <f t="shared" si="96"/>
        <v>38.950000000186265</v>
      </c>
      <c r="O159" s="7"/>
      <c r="P159" s="7"/>
      <c r="Q159" s="25"/>
      <c r="R159" s="25"/>
      <c r="S159" s="37">
        <f t="shared" si="109"/>
        <v>1</v>
      </c>
      <c r="T159" s="52" t="str">
        <f t="shared" si="97"/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23:51:28-0600',mode:absolute,to:'2016-10-04 02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4" t="str">
        <f t="shared" si="98"/>
        <v>N</v>
      </c>
      <c r="X159" s="164">
        <f t="shared" si="104"/>
        <v>1</v>
      </c>
      <c r="Y159" s="69">
        <f t="shared" si="108"/>
        <v>23.296099999999999</v>
      </c>
      <c r="Z159" s="69">
        <f t="shared" si="89"/>
        <v>1.72E-2</v>
      </c>
      <c r="AA159" s="69">
        <f t="shared" si="99"/>
        <v>23.2789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100"/>
        <v>0242-03</v>
      </c>
      <c r="AE159" s="95" t="str">
        <f t="shared" si="101"/>
        <v>aws s3 cp s3://rtdc.mdm.uploadarchive.raw/RTDC4045/ "%USERPROFILE%\AppData\Local\Temp\OnboardLogs"\RTDC4045\2016-10-04 --exclude "*" --recursive --include "*20161004*" &amp; "%USERPROFILE%\Documents\GitHub\mrs-test-scripts\Headless Mode &amp; Sideloading\WalkAndUnGZ.bat" "%USERPROFILE%\AppData\Local\Temp\OnboardLogs"\RTDC4045\2016-10-04 &amp; aws s3 cp s3://rtdc.mdm.uploadarchive.raw/RTDC4045/ "%USERPROFILE%\AppData\Local\Temp\OnboardLogs"\RTDC4045\2016-10-05 --exclude "*" --recursive --include "*20161005*" &amp; "%USERPROFILE%\Documents\GitHub\mrs-test-scripts\Headless Mode &amp; Sideloading\WalkAndUnGZ.bat" "%USERPROFILE%\AppData\Local\Temp\OnboardLogs"\RTDC4045\2016-10-05</v>
      </c>
      <c r="AF159" s="92" t="str">
        <f t="shared" si="102"/>
        <v>"C:\Program Files (x86)\AstroGrep\AstroGrep.exe" /spath="%USERPROFILE%\AppData\Local\Temp\OnboardLogs" /stypes="app*4045*20161004*" /stext=" 07:.+((SYSTEM_STATE.+slice.+state.+changed )|(ment ac)|(system.+state.+changed )|(\[timeout)|(PRM\|1\|D)|(kpr)|(kdp)|(\|lc)|(penalty))" /e /r /s</v>
      </c>
      <c r="AG159" s="1" t="str">
        <f t="shared" si="103"/>
        <v>EC</v>
      </c>
      <c r="AH159" s="96" t="str">
        <f t="shared" si="106"/>
        <v>"%USERPROFILE%\Documents\GitHub\eaglep3\Utilities\RefineRTDCRunTimes.py" --tripid 242-03 --locoid 4045 --swversion DE.1.0.7.0 --startMP 204:232961 --initTime 2016-10-04T00:51:28 --startdatetime 2016-10-04T00:56:44 --delay 1 --endMP 204:172 --enddatetime 2016-10-04T01:35:41 --enforcementcount 0 &gt;&gt;C:\Users\stu\Documents\GitHub\eaglep3-reporting\EC\2016-10-03-refined-times.txt</v>
      </c>
      <c r="AI159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{"issue":{"subject":"","project_id":79,"tracker_id":40,"status_id":1,"priority_id":2,"assigned_to_id":23,"start_date":"2016-10-04","description":"","custom_fields":[{"id":1,"name":"Subdivision","value":"EC"},{"id":4,"name":"Milepost","value":"0.0172"},{"id":17,"name":"Train ID","value":"242-03"},{"id":16,"name":"Locomotive ID","value":"4045"},{"id":130,"name":"Impact","value":""},{"id":150,"name":"Time of Event (Mountain Time)","value":"01:35:41"},{"id":151,"name":"Denver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601</v>
      </c>
      <c r="B160" s="7">
        <v>4002</v>
      </c>
      <c r="C160" s="24" t="s">
        <v>106</v>
      </c>
      <c r="D160" s="24" t="s">
        <v>208</v>
      </c>
      <c r="E160" s="15">
        <v>42647.006481481483</v>
      </c>
      <c r="F160" s="15">
        <v>42647.021134259259</v>
      </c>
      <c r="G160" s="7">
        <v>1</v>
      </c>
      <c r="H160" s="15" t="s">
        <v>241</v>
      </c>
      <c r="I160" s="15">
        <v>42647.046273148146</v>
      </c>
      <c r="J160" s="7">
        <v>0</v>
      </c>
      <c r="K160" s="117" t="str">
        <f t="shared" si="94"/>
        <v>4001/4002</v>
      </c>
      <c r="L160" s="24" t="str">
        <f>VLOOKUP(A160,'Trips&amp;Operators'!$C$1:$E$10000,3,FALSE)</f>
        <v>SMITH</v>
      </c>
      <c r="M160" s="6">
        <f t="shared" si="95"/>
        <v>2.5138888886431232E-2</v>
      </c>
      <c r="N160" s="7">
        <f t="shared" si="96"/>
        <v>36.199999996460974</v>
      </c>
      <c r="O160" s="7"/>
      <c r="P160" s="7"/>
      <c r="Q160" s="25"/>
      <c r="R160" s="25"/>
      <c r="S160" s="37">
        <f t="shared" si="109"/>
        <v>1</v>
      </c>
      <c r="T160" s="52" t="str">
        <f t="shared" si="97"/>
        <v>NorthBound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23:09:20-0600',mode:absolute,to:'2016-10-04 02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0" s="54" t="str">
        <f t="shared" si="98"/>
        <v>N</v>
      </c>
      <c r="X160" s="164">
        <f t="shared" si="104"/>
        <v>1</v>
      </c>
      <c r="Y160" s="69">
        <f t="shared" si="108"/>
        <v>4.5699999999999998E-2</v>
      </c>
      <c r="Z160" s="69">
        <f t="shared" si="89"/>
        <v>23.330500000000001</v>
      </c>
      <c r="AA160" s="69">
        <f t="shared" si="99"/>
        <v>23.284800000000001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100"/>
        <v>0243-03</v>
      </c>
      <c r="AE160" s="95" t="str">
        <f t="shared" si="101"/>
        <v>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 &amp; 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</v>
      </c>
      <c r="AF160" s="92" t="str">
        <f t="shared" si="102"/>
        <v>"C:\Program Files (x86)\AstroGrep\AstroGrep.exe" /spath="%USERPROFILE%\AppData\Local\Temp\OnboardLogs" /stypes="app*4002*20161004*" /stext=" 07:.+((SYSTEM_STATE.+slice.+state.+changed )|(ment ac)|(system.+state.+changed )|(\[timeout)|(PRM\|1\|D)|(kpr)|(kdp)|(\|lc)|(penalty))" /e /r /s</v>
      </c>
      <c r="AG160" s="1" t="str">
        <f t="shared" si="103"/>
        <v>EC</v>
      </c>
      <c r="AH160" s="96" t="str">
        <f t="shared" si="106"/>
        <v>"%USERPROFILE%\Documents\GitHub\eaglep3\Utilities\RefineRTDCRunTimes.py" --tripid 243-03 --locoid 4002 --swversion DE.1.0.7.0 --startMP 204:457 --initTime 2016-10-04T00:09:20 --startdatetime 2016-10-04T00:30:26 --delay 1 --endMP 204:233305 --enddatetime 2016-10-04T01:06:38 --enforcementcount 0 &gt;&gt;C:\Users\stu\Documents\GitHub\eaglep3-reporting\EC\2016-10-03-refined-times.txt</v>
      </c>
      <c r="AI160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{"issue":{"subject":"","project_id":79,"tracker_id":40,"status_id":1,"priority_id":2,"assigned_to_id":23,"start_date":"2016-10-04","description":"","custom_fields":[{"id":1,"name":"Subdivision","value":"EC"},{"id":4,"name":"Milepost","value":"23.3305"},{"id":17,"name":"Train ID","value":"243-03"},{"id":16,"name":"Locomotive ID","value":"4002"},{"id":130,"name":"Impact","value":""},{"id":150,"name":"Time of Event (Mountain Time)","value":"01:06:38"},{"id":151,"name":"Denver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602</v>
      </c>
      <c r="B161" s="7">
        <v>4001</v>
      </c>
      <c r="C161" s="24" t="s">
        <v>106</v>
      </c>
      <c r="D161" s="24" t="s">
        <v>290</v>
      </c>
      <c r="E161" s="15">
        <v>42647.054976851854</v>
      </c>
      <c r="F161" s="15">
        <v>42647.060150462959</v>
      </c>
      <c r="G161" s="7">
        <v>1</v>
      </c>
      <c r="H161" s="15" t="s">
        <v>347</v>
      </c>
      <c r="I161" s="15">
        <v>42647.086851851855</v>
      </c>
      <c r="J161" s="7">
        <v>0</v>
      </c>
      <c r="K161" s="117" t="str">
        <f t="shared" si="94"/>
        <v>4001/4002</v>
      </c>
      <c r="L161" s="24" t="str">
        <f>VLOOKUP(A161,'Trips&amp;Operators'!$C$1:$E$10000,3,FALSE)</f>
        <v>SMITH</v>
      </c>
      <c r="M161" s="6">
        <f t="shared" si="95"/>
        <v>2.6701388895162381E-2</v>
      </c>
      <c r="N161" s="7">
        <f t="shared" si="96"/>
        <v>38.450000009033829</v>
      </c>
      <c r="O161" s="7"/>
      <c r="P161" s="7"/>
      <c r="Q161" s="25"/>
      <c r="R161" s="25"/>
      <c r="S161" s="37">
        <f t="shared" si="109"/>
        <v>1</v>
      </c>
      <c r="T161" s="52" t="str">
        <f t="shared" si="97"/>
        <v>Southbound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https://search-rtdc-monitor-bjffxe2xuh6vdkpspy63sjmuny.us-east-1.es.amazonaws.com/_plugin/kibana/#/discover/Steve-Slow-Train-Analysis-(2080s-and-2083s)?_g=(refreshInterval:(display:Off,section:0,value:0),time:(from:'2016-10-04 00:19:10-0600',mode:absolute,to:'2016-10-04 03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1" s="54" t="str">
        <f t="shared" si="98"/>
        <v>N</v>
      </c>
      <c r="X161" s="164">
        <f t="shared" si="104"/>
        <v>1</v>
      </c>
      <c r="Y161" s="69">
        <f t="shared" si="108"/>
        <v>23.296900000000001</v>
      </c>
      <c r="Z161" s="69">
        <f t="shared" si="89"/>
        <v>1.6299999999999999E-2</v>
      </c>
      <c r="AA161" s="69">
        <f t="shared" si="99"/>
        <v>23.2806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100"/>
        <v>0244-03</v>
      </c>
      <c r="AE161" s="95" t="str">
        <f t="shared" si="101"/>
        <v>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 &amp; aws s3 cp s3://rtdc.mdm.uploadarchive.raw/RTDC4001/ "%USERPROFILE%\AppData\Local\Temp\OnboardLogs"\RTDC4001\2016-10-05 --exclude "*" --recursive --include "*20161005*" &amp; "%USERPROFILE%\Documents\GitHub\mrs-test-scripts\Headless Mode &amp; Sideloading\WalkAndUnGZ.bat" "%USERPROFILE%\AppData\Local\Temp\OnboardLogs"\RTDC4001\2016-10-05</v>
      </c>
      <c r="AF161" s="92" t="str">
        <f t="shared" si="102"/>
        <v>"C:\Program Files (x86)\AstroGrep\AstroGrep.exe" /spath="%USERPROFILE%\AppData\Local\Temp\OnboardLogs" /stypes="app*4001*20161004*" /stext=" 08:.+((SYSTEM_STATE.+slice.+state.+changed )|(ment ac)|(system.+state.+changed )|(\[timeout)|(PRM\|1\|D)|(kpr)|(kdp)|(\|lc)|(penalty))" /e /r /s</v>
      </c>
      <c r="AG161" s="1" t="str">
        <f t="shared" si="103"/>
        <v>EC</v>
      </c>
      <c r="AH161" s="96" t="str">
        <f t="shared" si="106"/>
        <v>"%USERPROFILE%\Documents\GitHub\eaglep3\Utilities\RefineRTDCRunTimes.py" --tripid 244-03 --locoid 4001 --swversion DE.1.0.7.0 --startMP 204:232969 --initTime 2016-10-04T01:19:10 --startdatetime 2016-10-04T01:26:37 --delay 1 --endMP 204:163 --enddatetime 2016-10-04T02:05:04 --enforcementcount 0 &gt;&gt;C:\Users\stu\Documents\GitHub\eaglep3-reporting\EC\2016-10-03-refined-times.txt</v>
      </c>
      <c r="AI161" s="130" t="str">
        <f t="shared" si="107"/>
        <v>echo {"issue":{"subject":"","project_id":79,"tracker_id":40,"status_id":1,"priority_id":2,"assigned_to_id":23,"start_date":"2016-10-04","description":"","custom_fields":[{"id":1,"name":"Subdivision","value":"EC"},{"id":4,"name":"Milepost","value":"0.0163"},{"id":17,"name":"Train ID","value":"244-03"},{"id":16,"name":"Locomotive ID","value":"4001"},{"id":130,"name":"Impact","value":""},{"id":150,"name":"Time of Event (Mountain Time)","value":"02:05:04"},{"id":151,"name":"Denver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630</v>
      </c>
      <c r="B162" s="7">
        <v>4011</v>
      </c>
      <c r="C162" s="24" t="s">
        <v>106</v>
      </c>
      <c r="D162" s="24" t="s">
        <v>631</v>
      </c>
      <c r="E162" s="15">
        <v>42646.236331018517</v>
      </c>
      <c r="F162" s="15">
        <v>42646.243935185186</v>
      </c>
      <c r="G162" s="7">
        <v>1</v>
      </c>
      <c r="H162" s="15" t="s">
        <v>632</v>
      </c>
      <c r="I162" s="15">
        <v>42646.253935185188</v>
      </c>
      <c r="J162" s="7">
        <v>0</v>
      </c>
      <c r="K162" s="117" t="str">
        <f t="shared" si="94"/>
        <v>4011/4012</v>
      </c>
      <c r="L162" s="24" t="str">
        <f>VLOOKUP(A162,'Trips&amp;Operators'!$C$1:$E$10000,3,FALSE)</f>
        <v>DAVIS</v>
      </c>
      <c r="M162" s="6">
        <f t="shared" si="95"/>
        <v>1.0000000002037268E-2</v>
      </c>
      <c r="N162" s="7">
        <f t="shared" si="96"/>
        <v>14.400000002933666</v>
      </c>
      <c r="O162" s="7"/>
      <c r="P162" s="7"/>
      <c r="Q162" s="25"/>
      <c r="R162" s="25"/>
      <c r="S162" s="37">
        <f t="shared" si="109"/>
        <v>1</v>
      </c>
      <c r="T162" s="52" t="str">
        <f t="shared" si="97"/>
        <v>NorthBound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04:40:19-0600',mode:absolute,to:'2016-10-03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2" s="54" t="str">
        <f t="shared" si="98"/>
        <v>N</v>
      </c>
      <c r="X162" s="164">
        <f t="shared" si="104"/>
        <v>557</v>
      </c>
      <c r="Y162" s="69">
        <f t="shared" si="108"/>
        <v>8.8099999999999998E-2</v>
      </c>
      <c r="Z162" s="69">
        <f t="shared" si="89"/>
        <v>5.8075000000000001</v>
      </c>
      <c r="AA162" s="69">
        <f t="shared" si="99"/>
        <v>5.7194000000000003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100"/>
        <v>0801-03</v>
      </c>
      <c r="AE162" s="95" t="str">
        <f t="shared" si="101"/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AF162" s="92" t="str">
        <f t="shared" si="102"/>
        <v>"C:\Program Files (x86)\AstroGrep\AstroGrep.exe" /spath="%USERPROFILE%\AppData\Local\Temp\OnboardLogs" /stypes="app*4011*20161003*" /stext=" 12:.+((SYSTEM_STATE.+slice.+state.+changed )|(ment ac)|(system.+state.+changed )|(\[timeout)|(PRM\|1\|D)|(kpr)|(kdp)|(\|lc)|(penalty))" /e /r /s</v>
      </c>
      <c r="AG162" s="1" t="str">
        <f t="shared" si="103"/>
        <v>NW</v>
      </c>
      <c r="AH162" s="96" t="str">
        <f t="shared" si="106"/>
        <v>"%USERPROFILE%\Documents\GitHub\eaglep3\Utilities\RefineRTDCRunTimes.py" --tripid 801-03 --locoid 4011 --swversion DE.1.0.7.0 --startMP 204:881 --initTime 2016-10-03T05:40:19 --startdatetime 2016-10-03T05:51:16 --delay 1 --endMP 300:58075 --enddatetime 2016-10-03T06:05:40 --enforcementcount 0 &gt;&gt;C:\Users\stu\Documents\GitHub\eaglep3-reporting\EC\2016-10-03-refined-times.txt</v>
      </c>
      <c r="AI162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{"issue":{"subject":"","project_id":79,"tracker_id":40,"status_id":1,"priority_id":2,"assigned_to_id":23,"start_date":"2016-10-03","description":"","custom_fields":[{"id":1,"name":"Subdivision","value":"NW"},{"id":4,"name":"Milepost","value":"5.8075"},{"id":17,"name":"Train ID","value":"801-03"},{"id":16,"name":"Locomotive ID","value":"4011"},{"id":130,"name":"Impact","value":""},{"id":150,"name":"Time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633</v>
      </c>
      <c r="B163" s="7">
        <v>4012</v>
      </c>
      <c r="C163" s="24" t="s">
        <v>106</v>
      </c>
      <c r="D163" s="24" t="s">
        <v>634</v>
      </c>
      <c r="E163" s="15">
        <v>42646.254849537036</v>
      </c>
      <c r="F163" s="15">
        <v>42646.256111111114</v>
      </c>
      <c r="G163" s="7">
        <v>1</v>
      </c>
      <c r="H163" s="15" t="s">
        <v>635</v>
      </c>
      <c r="I163" s="15">
        <v>42646.268807870372</v>
      </c>
      <c r="J163" s="7">
        <v>0</v>
      </c>
      <c r="K163" s="117" t="str">
        <f t="shared" si="94"/>
        <v>4011/4012</v>
      </c>
      <c r="L163" s="24" t="str">
        <f>VLOOKUP(A163,'Trips&amp;Operators'!$C$1:$E$10000,3,FALSE)</f>
        <v>DAVIS</v>
      </c>
      <c r="M163" s="6">
        <f t="shared" si="95"/>
        <v>1.2696759258687962E-2</v>
      </c>
      <c r="N163" s="7">
        <f t="shared" si="96"/>
        <v>18.283333332510665</v>
      </c>
      <c r="O163" s="7"/>
      <c r="P163" s="7"/>
      <c r="Q163" s="25"/>
      <c r="R163" s="25"/>
      <c r="S163" s="37">
        <f t="shared" si="109"/>
        <v>1</v>
      </c>
      <c r="T163" s="52" t="str">
        <f t="shared" si="97"/>
        <v>Southbound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05:06:59-0600',mode:absolute,to:'2016-10-03 07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54" t="str">
        <f t="shared" si="98"/>
        <v>N</v>
      </c>
      <c r="X163" s="164">
        <f t="shared" si="104"/>
        <v>1</v>
      </c>
      <c r="Y163" s="69">
        <f t="shared" si="108"/>
        <v>5.8704000000000001</v>
      </c>
      <c r="Z163" s="69">
        <f t="shared" si="89"/>
        <v>6.6400000000000001E-2</v>
      </c>
      <c r="AA163" s="69">
        <f t="shared" si="99"/>
        <v>5.8040000000000003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100"/>
        <v>0802-03</v>
      </c>
      <c r="AE163" s="95" t="str">
        <f t="shared" si="101"/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AF163" s="92" t="str">
        <f t="shared" si="102"/>
        <v>"C:\Program Files (x86)\AstroGrep\AstroGrep.exe" /spath="%USERPROFILE%\AppData\Local\Temp\OnboardLogs" /stypes="app*4012*20161003*" /stext=" 12:.+((SYSTEM_STATE.+slice.+state.+changed )|(ment ac)|(system.+state.+changed )|(\[timeout)|(PRM\|1\|D)|(kpr)|(kdp)|(\|lc)|(penalty))" /e /r /s</v>
      </c>
      <c r="AG163" s="1" t="str">
        <f t="shared" si="103"/>
        <v>NW</v>
      </c>
      <c r="AH163" s="96" t="str">
        <f t="shared" si="106"/>
        <v>"%USERPROFILE%\Documents\GitHub\eaglep3\Utilities\RefineRTDCRunTimes.py" --tripid 802-03 --locoid 4012 --swversion DE.1.0.7.0 --startMP 300:58704 --initTime 2016-10-03T06:06:59 --startdatetime 2016-10-03T06:08:48 --delay 1 --endMP 204:664 --enddatetime 2016-10-03T06:27:05 --enforcementcount 0 &gt;&gt;C:\Users\stu\Documents\GitHub\eaglep3-reporting\EC\2016-10-03-refined-times.txt</v>
      </c>
      <c r="AI163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{"issue":{"subject":"","project_id":79,"tracker_id":40,"status_id":1,"priority_id":2,"assigned_to_id":23,"start_date":"2016-10-03","description":"","custom_fields":[{"id":1,"name":"Subdivision","value":"NW"},{"id":4,"name":"Milepost","value":"0.0664"},{"id":17,"name":"Train ID","value":"802-03"},{"id":16,"name":"Locomotive ID","value":"4012"},{"id":130,"name":"Impact","value":""},{"id":150,"name":"Time of Event (Mountain Time)","value":"06:27:05"},{"id":151,"name":"Denver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636</v>
      </c>
      <c r="B164" s="7">
        <v>4031</v>
      </c>
      <c r="C164" s="24" t="s">
        <v>106</v>
      </c>
      <c r="D164" s="24" t="s">
        <v>631</v>
      </c>
      <c r="E164" s="15">
        <v>42646.26421296296</v>
      </c>
      <c r="F164" s="15">
        <v>42646.265694444446</v>
      </c>
      <c r="G164" s="7">
        <v>1</v>
      </c>
      <c r="H164" s="15" t="s">
        <v>637</v>
      </c>
      <c r="I164" s="15">
        <v>42646.274837962963</v>
      </c>
      <c r="J164" s="7">
        <v>0</v>
      </c>
      <c r="K164" s="117" t="str">
        <f t="shared" si="94"/>
        <v>4031/4032</v>
      </c>
      <c r="L164" s="24" t="str">
        <f>VLOOKUP(A164,'Trips&amp;Operators'!$C$1:$E$10000,3,FALSE)</f>
        <v>ROCHA</v>
      </c>
      <c r="M164" s="6">
        <f t="shared" si="95"/>
        <v>9.1435185167938471E-3</v>
      </c>
      <c r="N164" s="7">
        <f t="shared" si="96"/>
        <v>13.16666666418314</v>
      </c>
      <c r="O164" s="7"/>
      <c r="P164" s="7"/>
      <c r="Q164" s="25"/>
      <c r="R164" s="25"/>
      <c r="S164" s="37">
        <f t="shared" si="109"/>
        <v>1</v>
      </c>
      <c r="T164" s="52" t="str">
        <f t="shared" si="97"/>
        <v>NorthBound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05:20:28-0600',mode:absolute,to:'2016-10-03 07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4" s="54" t="str">
        <f t="shared" si="98"/>
        <v>N</v>
      </c>
      <c r="X164" s="164">
        <f t="shared" si="104"/>
        <v>1</v>
      </c>
      <c r="Y164" s="69">
        <f t="shared" si="108"/>
        <v>8.8099999999999998E-2</v>
      </c>
      <c r="Z164" s="69">
        <f t="shared" si="89"/>
        <v>5.8978000000000002</v>
      </c>
      <c r="AA164" s="69">
        <f t="shared" si="99"/>
        <v>5.8097000000000003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100"/>
        <v>0803-03</v>
      </c>
      <c r="AE164" s="95" t="str">
        <f t="shared" si="101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64" s="92" t="str">
        <f t="shared" si="102"/>
        <v>"C:\Program Files (x86)\AstroGrep\AstroGrep.exe" /spath="%USERPROFILE%\AppData\Local\Temp\OnboardLogs" /stypes="app*4031*20161003*" /stext=" 12:.+((SYSTEM_STATE.+slice.+state.+changed )|(ment ac)|(system.+state.+changed )|(\[timeout)|(PRM\|1\|D)|(kpr)|(kdp)|(\|lc)|(penalty))" /e /r /s</v>
      </c>
      <c r="AG164" s="1" t="str">
        <f t="shared" si="103"/>
        <v>NW</v>
      </c>
      <c r="AH164" s="96" t="str">
        <f t="shared" si="106"/>
        <v>"%USERPROFILE%\Documents\GitHub\eaglep3\Utilities\RefineRTDCRunTimes.py" --tripid 803-03 --locoid 4031 --swversion DE.1.0.7.0 --startMP 204:881 --initTime 2016-10-03T06:20:28 --startdatetime 2016-10-03T06:22:36 --delay 1 --endMP 300:58978 --enddatetime 2016-10-03T06:35:46 --enforcementcount 0 &gt;&gt;C:\Users\stu\Documents\GitHub\eaglep3-reporting\EC\2016-10-03-refined-times.txt</v>
      </c>
      <c r="AI164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{"issue":{"subject":"","project_id":79,"tracker_id":40,"status_id":1,"priority_id":2,"assigned_to_id":23,"start_date":"2016-10-03","description":"","custom_fields":[{"id":1,"name":"Subdivision","value":"NW"},{"id":4,"name":"Milepost","value":"5.8978"},{"id":17,"name":"Train ID","value":"803-03"},{"id":16,"name":"Locomotive ID","value":"4031"},{"id":130,"name":"Impact","value":""},{"id":150,"name":"Time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638</v>
      </c>
      <c r="B165" s="7">
        <v>4032</v>
      </c>
      <c r="C165" s="24" t="s">
        <v>106</v>
      </c>
      <c r="D165" s="24" t="s">
        <v>639</v>
      </c>
      <c r="E165" s="15">
        <v>42646.275891203702</v>
      </c>
      <c r="F165" s="15">
        <v>42646.277291666665</v>
      </c>
      <c r="G165" s="7">
        <v>1</v>
      </c>
      <c r="H165" s="15" t="s">
        <v>640</v>
      </c>
      <c r="I165" s="15">
        <v>42646.288402777776</v>
      </c>
      <c r="J165" s="7">
        <v>0</v>
      </c>
      <c r="K165" s="117" t="str">
        <f t="shared" si="94"/>
        <v>4031/4032</v>
      </c>
      <c r="L165" s="24" t="str">
        <f>VLOOKUP(A165,'Trips&amp;Operators'!$C$1:$E$10000,3,FALSE)</f>
        <v>ROCHA</v>
      </c>
      <c r="M165" s="6">
        <f t="shared" si="95"/>
        <v>1.1111111110949423E-2</v>
      </c>
      <c r="N165" s="7">
        <f t="shared" si="96"/>
        <v>15.999999999767169</v>
      </c>
      <c r="O165" s="7"/>
      <c r="P165" s="7"/>
      <c r="Q165" s="25"/>
      <c r="R165" s="25"/>
      <c r="S165" s="37">
        <f t="shared" si="109"/>
        <v>1</v>
      </c>
      <c r="T165" s="52" t="str">
        <f t="shared" si="97"/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05:37:17-0600',mode:absolute,to:'2016-10-03 07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5" s="54" t="str">
        <f t="shared" si="98"/>
        <v>N</v>
      </c>
      <c r="X165" s="164">
        <f t="shared" si="104"/>
        <v>1</v>
      </c>
      <c r="Y165" s="69">
        <f t="shared" si="108"/>
        <v>5.8666</v>
      </c>
      <c r="Z165" s="69">
        <f t="shared" si="89"/>
        <v>7.0499999999999993E-2</v>
      </c>
      <c r="AA165" s="69">
        <f t="shared" si="99"/>
        <v>5.7961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100"/>
        <v>0804-03</v>
      </c>
      <c r="AE165" s="95" t="str">
        <f t="shared" si="101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65" s="92" t="str">
        <f t="shared" si="102"/>
        <v>"C:\Program Files (x86)\AstroGrep\AstroGrep.exe" /spath="%USERPROFILE%\AppData\Local\Temp\OnboardLogs" /stypes="app*4032*20161003*" /stext=" 12:.+((SYSTEM_STATE.+slice.+state.+changed )|(ment ac)|(system.+state.+changed )|(\[timeout)|(PRM\|1\|D)|(kpr)|(kdp)|(\|lc)|(penalty))" /e /r /s</v>
      </c>
      <c r="AG165" s="1" t="str">
        <f t="shared" si="103"/>
        <v>NW</v>
      </c>
      <c r="AH165" s="96" t="str">
        <f t="shared" si="106"/>
        <v>"%USERPROFILE%\Documents\GitHub\eaglep3\Utilities\RefineRTDCRunTimes.py" --tripid 804-03 --locoid 4032 --swversion DE.1.0.7.0 --startMP 300:58666 --initTime 2016-10-03T06:37:17 --startdatetime 2016-10-03T06:39:18 --delay 1 --endMP 204:705 --enddatetime 2016-10-03T06:55:18 --enforcementcount 0 &gt;&gt;C:\Users\stu\Documents\GitHub\eaglep3-reporting\EC\2016-10-03-refined-times.txt</v>
      </c>
      <c r="AI165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{"issue":{"subject":"","project_id":79,"tracker_id":40,"status_id":1,"priority_id":2,"assigned_to_id":23,"start_date":"2016-10-03","description":"","custom_fields":[{"id":1,"name":"Subdivision","value":"NW"},{"id":4,"name":"Milepost","value":"0.0705"},{"id":17,"name":"Train ID","value":"804-03"},{"id":16,"name":"Locomotive ID","value":"4032"},{"id":130,"name":"Impact","value":""},{"id":150,"name":"Time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641</v>
      </c>
      <c r="B166" s="7">
        <v>4011</v>
      </c>
      <c r="C166" s="24" t="s">
        <v>106</v>
      </c>
      <c r="D166" s="24" t="s">
        <v>642</v>
      </c>
      <c r="E166" s="15">
        <v>42646.283553240741</v>
      </c>
      <c r="F166" s="15">
        <v>42646.285578703704</v>
      </c>
      <c r="G166" s="7">
        <v>1</v>
      </c>
      <c r="H166" s="15" t="s">
        <v>643</v>
      </c>
      <c r="I166" s="15">
        <v>42646.295335648145</v>
      </c>
      <c r="J166" s="7">
        <v>0</v>
      </c>
      <c r="K166" s="117" t="str">
        <f t="shared" si="94"/>
        <v>4011/4012</v>
      </c>
      <c r="L166" s="24" t="str">
        <f>VLOOKUP(A166,'Trips&amp;Operators'!$C$1:$E$10000,3,FALSE)</f>
        <v>DAVIS</v>
      </c>
      <c r="M166" s="6">
        <f t="shared" si="95"/>
        <v>9.7569444405962713E-3</v>
      </c>
      <c r="N166" s="7">
        <f t="shared" si="96"/>
        <v>14.049999994458631</v>
      </c>
      <c r="O166" s="7"/>
      <c r="P166" s="7"/>
      <c r="Q166" s="25"/>
      <c r="R166" s="25"/>
      <c r="S166" s="37">
        <f t="shared" si="109"/>
        <v>1</v>
      </c>
      <c r="T166" s="52" t="str">
        <f t="shared" si="97"/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05:48:19-0600',mode:absolute,to:'2016-10-03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6" s="54" t="str">
        <f t="shared" si="98"/>
        <v>N</v>
      </c>
      <c r="X166" s="164">
        <f t="shared" si="104"/>
        <v>1</v>
      </c>
      <c r="Y166" s="69">
        <f t="shared" si="108"/>
        <v>9.3899999999999997E-2</v>
      </c>
      <c r="Z166" s="69">
        <f t="shared" si="89"/>
        <v>5.9012000000000002</v>
      </c>
      <c r="AA166" s="69">
        <f t="shared" si="99"/>
        <v>5.8073000000000006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100"/>
        <v>0805-03</v>
      </c>
      <c r="AE166" s="95" t="str">
        <f t="shared" si="101"/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AF166" s="92" t="str">
        <f t="shared" si="102"/>
        <v>"C:\Program Files (x86)\AstroGrep\AstroGrep.exe" /spath="%USERPROFILE%\AppData\Local\Temp\OnboardLogs" /stypes="app*4011*20161003*" /stext=" 13:.+((SYSTEM_STATE.+slice.+state.+changed )|(ment ac)|(system.+state.+changed )|(\[timeout)|(PRM\|1\|D)|(kpr)|(kdp)|(\|lc)|(penalty))" /e /r /s</v>
      </c>
      <c r="AG166" s="1" t="str">
        <f t="shared" si="103"/>
        <v>NW</v>
      </c>
      <c r="AH166" s="96" t="str">
        <f t="shared" si="106"/>
        <v>"%USERPROFILE%\Documents\GitHub\eaglep3\Utilities\RefineRTDCRunTimes.py" --tripid 805-03 --locoid 4011 --swversion DE.1.0.7.0 --startMP 204:939 --initTime 2016-10-03T06:48:19 --startdatetime 2016-10-03T06:51:14 --delay 1 --endMP 300:59012 --enddatetime 2016-10-03T07:05:17 --enforcementcount 0 &gt;&gt;C:\Users\stu\Documents\GitHub\eaglep3-reporting\EC\2016-10-03-refined-times.txt</v>
      </c>
      <c r="AI166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{"issue":{"subject":"","project_id":79,"tracker_id":40,"status_id":1,"priority_id":2,"assigned_to_id":23,"start_date":"2016-10-03","description":"","custom_fields":[{"id":1,"name":"Subdivision","value":"NW"},{"id":4,"name":"Milepost","value":"5.9012"},{"id":17,"name":"Train ID","value":"805-03"},{"id":16,"name":"Locomotive ID","value":"4011"},{"id":130,"name":"Impact","value":""},{"id":150,"name":"Time of Event (Mountain Time)","value":"07:05:17"},{"id":151,"name":"Denver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644</v>
      </c>
      <c r="B167" s="7">
        <v>4012</v>
      </c>
      <c r="C167" s="24" t="s">
        <v>106</v>
      </c>
      <c r="D167" s="24" t="s">
        <v>645</v>
      </c>
      <c r="E167" s="15">
        <v>42646.296666666669</v>
      </c>
      <c r="F167" s="15">
        <v>42646.297766203701</v>
      </c>
      <c r="G167" s="7">
        <v>1</v>
      </c>
      <c r="H167" s="15" t="s">
        <v>646</v>
      </c>
      <c r="I167" s="15">
        <v>42646.310543981483</v>
      </c>
      <c r="J167" s="7">
        <v>0</v>
      </c>
      <c r="K167" s="117" t="str">
        <f t="shared" si="94"/>
        <v>4011/4012</v>
      </c>
      <c r="L167" s="24" t="str">
        <f>VLOOKUP(A167,'Trips&amp;Operators'!$C$1:$E$10000,3,FALSE)</f>
        <v>DAVIS</v>
      </c>
      <c r="M167" s="6">
        <f t="shared" si="95"/>
        <v>1.2777777781593613E-2</v>
      </c>
      <c r="N167" s="7">
        <f t="shared" si="96"/>
        <v>18.400000005494803</v>
      </c>
      <c r="O167" s="7"/>
      <c r="P167" s="7"/>
      <c r="Q167" s="25"/>
      <c r="R167" s="25"/>
      <c r="S167" s="37">
        <f t="shared" si="109"/>
        <v>1</v>
      </c>
      <c r="T167" s="52" t="str">
        <f t="shared" si="97"/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06:07:12-0600',mode:absolute,to:'2016-10-03 08:27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7" s="54" t="str">
        <f t="shared" si="98"/>
        <v>N</v>
      </c>
      <c r="X167" s="164">
        <f t="shared" si="104"/>
        <v>1</v>
      </c>
      <c r="Y167" s="69">
        <f t="shared" si="108"/>
        <v>5.8693999999999997</v>
      </c>
      <c r="Z167" s="69">
        <f t="shared" si="89"/>
        <v>6.2100000000000002E-2</v>
      </c>
      <c r="AA167" s="69">
        <f t="shared" si="99"/>
        <v>5.8072999999999997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100"/>
        <v>0806-03</v>
      </c>
      <c r="AE167" s="95" t="str">
        <f t="shared" si="101"/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AF167" s="92" t="str">
        <f t="shared" si="102"/>
        <v>"C:\Program Files (x86)\AstroGrep\AstroGrep.exe" /spath="%USERPROFILE%\AppData\Local\Temp\OnboardLogs" /stypes="app*4012*20161003*" /stext=" 13:.+((SYSTEM_STATE.+slice.+state.+changed )|(ment ac)|(system.+state.+changed )|(\[timeout)|(PRM\|1\|D)|(kpr)|(kdp)|(\|lc)|(penalty))" /e /r /s</v>
      </c>
      <c r="AG167" s="1" t="str">
        <f t="shared" si="103"/>
        <v>NW</v>
      </c>
      <c r="AH167" s="96" t="str">
        <f t="shared" si="106"/>
        <v>"%USERPROFILE%\Documents\GitHub\eaglep3\Utilities\RefineRTDCRunTimes.py" --tripid 806-03 --locoid 4012 --swversion DE.1.0.7.0 --startMP 300:58694 --initTime 2016-10-03T07:07:12 --startdatetime 2016-10-03T07:08:47 --delay 1 --endMP 204:621 --enddatetime 2016-10-03T07:27:11 --enforcementcount 0 &gt;&gt;C:\Users\stu\Documents\GitHub\eaglep3-reporting\EC\2016-10-03-refined-times.txt</v>
      </c>
      <c r="AI167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{"issue":{"subject":"","project_id":79,"tracker_id":40,"status_id":1,"priority_id":2,"assigned_to_id":23,"start_date":"2016-10-03","description":"","custom_fields":[{"id":1,"name":"Subdivision","value":"NW"},{"id":4,"name":"Milepost","value":"0.0621"},{"id":17,"name":"Train ID","value":"806-03"},{"id":16,"name":"Locomotive ID","value":"4012"},{"id":130,"name":"Impact","value":""},{"id":150,"name":"Time of Event (Mountain Time)","value":"07:27:11"},{"id":151,"name":"Denver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647</v>
      </c>
      <c r="B168" s="7">
        <v>4031</v>
      </c>
      <c r="C168" s="24" t="s">
        <v>106</v>
      </c>
      <c r="D168" s="24" t="s">
        <v>381</v>
      </c>
      <c r="E168" s="15">
        <v>42646.305243055554</v>
      </c>
      <c r="F168" s="15">
        <v>42646.306527777779</v>
      </c>
      <c r="G168" s="7">
        <v>1</v>
      </c>
      <c r="H168" s="15" t="s">
        <v>379</v>
      </c>
      <c r="I168" s="15">
        <v>42646.315462962964</v>
      </c>
      <c r="J168" s="7">
        <v>0</v>
      </c>
      <c r="K168" s="117" t="str">
        <f t="shared" si="94"/>
        <v>4031/4032</v>
      </c>
      <c r="L168" s="24" t="str">
        <f>VLOOKUP(A168,'Trips&amp;Operators'!$C$1:$E$10000,3,FALSE)</f>
        <v>ROCHA</v>
      </c>
      <c r="M168" s="6">
        <f t="shared" si="95"/>
        <v>8.9351851856918074E-3</v>
      </c>
      <c r="N168" s="7">
        <f t="shared" si="96"/>
        <v>12.866666667396203</v>
      </c>
      <c r="O168" s="7"/>
      <c r="P168" s="7"/>
      <c r="Q168" s="25"/>
      <c r="R168" s="25"/>
      <c r="S168" s="37">
        <f t="shared" si="109"/>
        <v>1</v>
      </c>
      <c r="T168" s="52" t="str">
        <f t="shared" si="97"/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06:19:33-0600',mode:absolute,to:'2016-10-03 08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8" s="54" t="str">
        <f t="shared" si="98"/>
        <v>N</v>
      </c>
      <c r="X168" s="164">
        <f t="shared" si="104"/>
        <v>1</v>
      </c>
      <c r="Y168" s="69">
        <f t="shared" si="108"/>
        <v>0.10199999999999999</v>
      </c>
      <c r="Z168" s="69">
        <f t="shared" si="89"/>
        <v>5.8945999999999996</v>
      </c>
      <c r="AA168" s="69">
        <f t="shared" si="99"/>
        <v>5.7925999999999993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100"/>
        <v>0807-03</v>
      </c>
      <c r="AE168" s="95" t="str">
        <f t="shared" si="101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68" s="92" t="str">
        <f t="shared" si="102"/>
        <v>"C:\Program Files (x86)\AstroGrep\AstroGrep.exe" /spath="%USERPROFILE%\AppData\Local\Temp\OnboardLogs" /stypes="app*4031*20161003*" /stext=" 13:.+((SYSTEM_STATE.+slice.+state.+changed )|(ment ac)|(system.+state.+changed )|(\[timeout)|(PRM\|1\|D)|(kpr)|(kdp)|(\|lc)|(penalty))" /e /r /s</v>
      </c>
      <c r="AG168" s="1" t="str">
        <f t="shared" si="103"/>
        <v>NW</v>
      </c>
      <c r="AH168" s="96" t="str">
        <f t="shared" si="106"/>
        <v>"%USERPROFILE%\Documents\GitHub\eaglep3\Utilities\RefineRTDCRunTimes.py" --tripid 807-03 --locoid 4031 --swversion DE.1.0.7.0 --startMP 204:1020 --initTime 2016-10-03T07:19:33 --startdatetime 2016-10-03T07:21:24 --delay 1 --endMP 300:58946 --enddatetime 2016-10-03T07:34:16 --enforcementcount 0 &gt;&gt;C:\Users\stu\Documents\GitHub\eaglep3-reporting\EC\2016-10-03-refined-times.txt</v>
      </c>
      <c r="AI168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{"issue":{"subject":"","project_id":79,"tracker_id":40,"status_id":1,"priority_id":2,"assigned_to_id":23,"start_date":"2016-10-03","description":"","custom_fields":[{"id":1,"name":"Subdivision","value":"NW"},{"id":4,"name":"Milepost","value":"5.8946"},{"id":17,"name":"Train ID","value":"807-03"},{"id":16,"name":"Locomotive ID","value":"4031"},{"id":130,"name":"Impact","value":""},{"id":150,"name":"Time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648</v>
      </c>
      <c r="B169" s="7">
        <v>4032</v>
      </c>
      <c r="C169" s="24" t="s">
        <v>106</v>
      </c>
      <c r="D169" s="24" t="s">
        <v>649</v>
      </c>
      <c r="E169" s="15">
        <v>42646.316840277781</v>
      </c>
      <c r="F169" s="15">
        <v>42646.318124999998</v>
      </c>
      <c r="G169" s="7">
        <v>1</v>
      </c>
      <c r="H169" s="15" t="s">
        <v>650</v>
      </c>
      <c r="I169" s="15">
        <v>42646.330324074072</v>
      </c>
      <c r="J169" s="7">
        <v>0</v>
      </c>
      <c r="K169" s="117" t="str">
        <f t="shared" si="94"/>
        <v>4031/4032</v>
      </c>
      <c r="L169" s="24" t="str">
        <f>VLOOKUP(A169,'Trips&amp;Operators'!$C$1:$E$10000,3,FALSE)</f>
        <v>ROCHA</v>
      </c>
      <c r="M169" s="6">
        <f t="shared" si="95"/>
        <v>1.2199074073578231E-2</v>
      </c>
      <c r="N169" s="7">
        <f t="shared" si="96"/>
        <v>17.566666665952653</v>
      </c>
      <c r="O169" s="7"/>
      <c r="P169" s="7"/>
      <c r="Q169" s="25"/>
      <c r="R169" s="25"/>
      <c r="S169" s="37">
        <f t="shared" si="109"/>
        <v>1</v>
      </c>
      <c r="T169" s="52" t="str">
        <f t="shared" si="97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06:36:15-0600',mode:absolute,to:'2016-10-03 08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4" t="str">
        <f t="shared" si="98"/>
        <v>N</v>
      </c>
      <c r="X169" s="164">
        <f t="shared" si="104"/>
        <v>1</v>
      </c>
      <c r="Y169" s="69">
        <f t="shared" si="108"/>
        <v>5.8630000000000004</v>
      </c>
      <c r="Z169" s="69">
        <f t="shared" si="89"/>
        <v>6.3799999999999996E-2</v>
      </c>
      <c r="AA169" s="69">
        <f t="shared" si="99"/>
        <v>5.7992000000000008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100"/>
        <v>0808-03</v>
      </c>
      <c r="AE169" s="95" t="str">
        <f t="shared" si="101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69" s="92" t="str">
        <f t="shared" si="102"/>
        <v>"C:\Program Files (x86)\AstroGrep\AstroGrep.exe" /spath="%USERPROFILE%\AppData\Local\Temp\OnboardLogs" /stypes="app*4032*20161003*" /stext=" 13:.+((SYSTEM_STATE.+slice.+state.+changed )|(ment ac)|(system.+state.+changed )|(\[timeout)|(PRM\|1\|D)|(kpr)|(kdp)|(\|lc)|(penalty))" /e /r /s</v>
      </c>
      <c r="AG169" s="1" t="str">
        <f t="shared" si="103"/>
        <v>NW</v>
      </c>
      <c r="AH169" s="96" t="str">
        <f t="shared" si="106"/>
        <v>"%USERPROFILE%\Documents\GitHub\eaglep3\Utilities\RefineRTDCRunTimes.py" --tripid 808-03 --locoid 4032 --swversion DE.1.0.7.0 --startMP 300:58630 --initTime 2016-10-03T07:36:15 --startdatetime 2016-10-03T07:38:06 --delay 1 --endMP 204:638 --enddatetime 2016-10-03T07:55:40 --enforcementcount 0 &gt;&gt;C:\Users\stu\Documents\GitHub\eaglep3-reporting\EC\2016-10-03-refined-times.txt</v>
      </c>
      <c r="AI169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{"issue":{"subject":"","project_id":79,"tracker_id":40,"status_id":1,"priority_id":2,"assigned_to_id":23,"start_date":"2016-10-03","description":"","custom_fields":[{"id":1,"name":"Subdivision","value":"NW"},{"id":4,"name":"Milepost","value":"0.0638"},{"id":17,"name":"Train ID","value":"808-03"},{"id":16,"name":"Locomotive ID","value":"4032"},{"id":130,"name":"Impact","value":""},{"id":150,"name":"Time of Event (Mountain Time)","value":"07:55:40"},{"id":151,"name":"Denver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651</v>
      </c>
      <c r="B170" s="7">
        <v>4011</v>
      </c>
      <c r="C170" s="24" t="s">
        <v>106</v>
      </c>
      <c r="D170" s="24" t="s">
        <v>652</v>
      </c>
      <c r="E170" s="15">
        <v>42646.325428240743</v>
      </c>
      <c r="F170" s="15">
        <v>42646.327280092592</v>
      </c>
      <c r="G170" s="7">
        <v>1</v>
      </c>
      <c r="H170" s="15" t="s">
        <v>653</v>
      </c>
      <c r="I170" s="15">
        <v>42646.337094907409</v>
      </c>
      <c r="J170" s="7">
        <v>0</v>
      </c>
      <c r="K170" s="117" t="str">
        <f t="shared" si="94"/>
        <v>4011/4012</v>
      </c>
      <c r="L170" s="24" t="str">
        <f>VLOOKUP(A170,'Trips&amp;Operators'!$C$1:$E$10000,3,FALSE)</f>
        <v>DAVIS</v>
      </c>
      <c r="M170" s="6">
        <f t="shared" si="95"/>
        <v>9.8148148172185756E-3</v>
      </c>
      <c r="N170" s="7">
        <f t="shared" si="96"/>
        <v>14.133333336794749</v>
      </c>
      <c r="O170" s="7"/>
      <c r="P170" s="7"/>
      <c r="Q170" s="25"/>
      <c r="R170" s="25"/>
      <c r="S170" s="37">
        <f t="shared" si="109"/>
        <v>1</v>
      </c>
      <c r="T170" s="52" t="str">
        <f t="shared" si="97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06:48:37-0600',mode:absolute,to:'2016-10-03 09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0" s="54" t="str">
        <f t="shared" si="98"/>
        <v>N</v>
      </c>
      <c r="X170" s="164">
        <f t="shared" si="104"/>
        <v>1</v>
      </c>
      <c r="Y170" s="69">
        <f t="shared" si="108"/>
        <v>9.0800000000000006E-2</v>
      </c>
      <c r="Z170" s="69">
        <f t="shared" ref="Z170:Z201" si="110">RIGHT(H170,LEN(H170)-4)/10000</f>
        <v>5.9009999999999998</v>
      </c>
      <c r="AA170" s="69">
        <f t="shared" si="99"/>
        <v>5.8102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100"/>
        <v>0809-03</v>
      </c>
      <c r="AE170" s="95" t="str">
        <f t="shared" si="101"/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AF170" s="92" t="str">
        <f t="shared" si="102"/>
        <v>"C:\Program Files (x86)\AstroGrep\AstroGrep.exe" /spath="%USERPROFILE%\AppData\Local\Temp\OnboardLogs" /stypes="app*4011*20161003*" /stext=" 14:.+((SYSTEM_STATE.+slice.+state.+changed )|(ment ac)|(system.+state.+changed )|(\[timeout)|(PRM\|1\|D)|(kpr)|(kdp)|(\|lc)|(penalty))" /e /r /s</v>
      </c>
      <c r="AG170" s="1" t="str">
        <f t="shared" si="103"/>
        <v>NW</v>
      </c>
      <c r="AH170" s="96" t="str">
        <f t="shared" si="106"/>
        <v>"%USERPROFILE%\Documents\GitHub\eaglep3\Utilities\RefineRTDCRunTimes.py" --tripid 809-03 --locoid 4011 --swversion DE.1.0.7.0 --startMP 204:908 --initTime 2016-10-03T07:48:37 --startdatetime 2016-10-03T07:51:17 --delay 1 --endMP 300:59010 --enddatetime 2016-10-03T08:05:25 --enforcementcount 0 &gt;&gt;C:\Users\stu\Documents\GitHub\eaglep3-reporting\EC\2016-10-03-refined-times.txt</v>
      </c>
      <c r="AI170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{"issue":{"subject":"","project_id":79,"tracker_id":40,"status_id":1,"priority_id":2,"assigned_to_id":23,"start_date":"2016-10-03","description":"","custom_fields":[{"id":1,"name":"Subdivision","value":"NW"},{"id":4,"name":"Milepost","value":"5.901"},{"id":17,"name":"Train ID","value":"809-03"},{"id":16,"name":"Locomotive ID","value":"4011"},{"id":130,"name":"Impact","value":""},{"id":150,"name":"Time of Event (Mountain Time)","value":"08:05:25"},{"id":151,"name":"Denver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654</v>
      </c>
      <c r="B171" s="7">
        <v>4012</v>
      </c>
      <c r="C171" s="24" t="s">
        <v>106</v>
      </c>
      <c r="D171" s="24" t="s">
        <v>655</v>
      </c>
      <c r="E171" s="15">
        <v>42646.337951388887</v>
      </c>
      <c r="F171" s="15">
        <v>42646.339074074072</v>
      </c>
      <c r="G171" s="7">
        <v>0</v>
      </c>
      <c r="H171" s="15" t="s">
        <v>656</v>
      </c>
      <c r="I171" s="15">
        <v>42646.351759259262</v>
      </c>
      <c r="J171" s="7">
        <v>0</v>
      </c>
      <c r="K171" s="117" t="str">
        <f t="shared" si="94"/>
        <v>4011/4012</v>
      </c>
      <c r="L171" s="24" t="str">
        <f>VLOOKUP(A171,'Trips&amp;Operators'!$C$1:$E$10000,3,FALSE)</f>
        <v>DAVIS</v>
      </c>
      <c r="M171" s="6">
        <f t="shared" si="95"/>
        <v>1.2685185189184267E-2</v>
      </c>
      <c r="N171" s="7">
        <f t="shared" si="96"/>
        <v>18.266666672425345</v>
      </c>
      <c r="O171" s="7"/>
      <c r="P171" s="7"/>
      <c r="Q171" s="25"/>
      <c r="R171" s="25"/>
      <c r="S171" s="37">
        <f t="shared" si="109"/>
        <v>1</v>
      </c>
      <c r="T171" s="52" t="str">
        <f t="shared" si="97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07:06:39-0600',mode:absolute,to:'2016-10-03 09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1" s="54" t="str">
        <f t="shared" si="98"/>
        <v>N</v>
      </c>
      <c r="X171" s="164">
        <f t="shared" si="104"/>
        <v>1</v>
      </c>
      <c r="Y171" s="69">
        <f t="shared" si="108"/>
        <v>5.8707000000000003</v>
      </c>
      <c r="Z171" s="69">
        <f t="shared" si="110"/>
        <v>6.4899999999999999E-2</v>
      </c>
      <c r="AA171" s="69">
        <f t="shared" si="99"/>
        <v>5.8058000000000005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100"/>
        <v>0810-03</v>
      </c>
      <c r="AE171" s="95" t="str">
        <f t="shared" si="101"/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AF171" s="92" t="str">
        <f t="shared" si="102"/>
        <v>"C:\Program Files (x86)\AstroGrep\AstroGrep.exe" /spath="%USERPROFILE%\AppData\Local\Temp\OnboardLogs" /stypes="app*4012*20161003*" /stext=" 14:.+((SYSTEM_STATE.+slice.+state.+changed )|(ment ac)|(system.+state.+changed )|(\[timeout)|(PRM\|1\|D)|(kpr)|(kdp)|(\|lc)|(penalty))" /e /r /s</v>
      </c>
      <c r="AG171" s="1" t="str">
        <f t="shared" si="103"/>
        <v>NW</v>
      </c>
      <c r="AH171" s="96" t="str">
        <f t="shared" si="106"/>
        <v>"%USERPROFILE%\Documents\GitHub\eaglep3\Utilities\RefineRTDCRunTimes.py" --tripid 810-03 --locoid 4012 --swversion DE.1.0.7.0 --startMP 300:58707 --initTime 2016-10-03T08:06:39 --startdatetime 2016-10-03T08:08:16 --delay 0 --endMP 204:649 --enddatetime 2016-10-03T08:26:32 --enforcementcount 0 &gt;&gt;C:\Users\stu\Documents\GitHub\eaglep3-reporting\EC\2016-10-03-refined-times.txt</v>
      </c>
      <c r="AI171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{"issue":{"subject":"","project_id":79,"tracker_id":40,"status_id":1,"priority_id":2,"assigned_to_id":23,"start_date":"2016-10-03","description":"","custom_fields":[{"id":1,"name":"Subdivision","value":"NW"},{"id":4,"name":"Milepost","value":"0.0649"},{"id":17,"name":"Train ID","value":"810-03"},{"id":16,"name":"Locomotive ID","value":"4012"},{"id":130,"name":"Impact","value":""},{"id":150,"name":"Time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657</v>
      </c>
      <c r="B172" s="7">
        <v>4031</v>
      </c>
      <c r="C172" s="24" t="s">
        <v>106</v>
      </c>
      <c r="D172" s="24" t="s">
        <v>658</v>
      </c>
      <c r="E172" s="15">
        <v>42646.346990740742</v>
      </c>
      <c r="F172" s="15">
        <v>42646.348252314812</v>
      </c>
      <c r="G172" s="7">
        <v>1</v>
      </c>
      <c r="H172" s="15" t="s">
        <v>659</v>
      </c>
      <c r="I172" s="15">
        <v>42646.357939814814</v>
      </c>
      <c r="J172" s="7">
        <v>0</v>
      </c>
      <c r="K172" s="117" t="str">
        <f t="shared" si="94"/>
        <v>4031/4032</v>
      </c>
      <c r="L172" s="24" t="str">
        <f>VLOOKUP(A172,'Trips&amp;Operators'!$C$1:$E$10000,3,FALSE)</f>
        <v>ROCHA</v>
      </c>
      <c r="M172" s="6">
        <f t="shared" si="95"/>
        <v>9.6875000017462298E-3</v>
      </c>
      <c r="N172" s="7">
        <f t="shared" si="96"/>
        <v>13.950000002514571</v>
      </c>
      <c r="O172" s="7"/>
      <c r="P172" s="7"/>
      <c r="Q172" s="25"/>
      <c r="R172" s="25"/>
      <c r="S172" s="37">
        <f t="shared" si="109"/>
        <v>1</v>
      </c>
      <c r="T172" s="52" t="str">
        <f t="shared" si="97"/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07:19:40-0600',mode:absolute,to:'2016-10-03 09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4" t="str">
        <f t="shared" si="98"/>
        <v>N</v>
      </c>
      <c r="X172" s="164">
        <f t="shared" si="104"/>
        <v>1</v>
      </c>
      <c r="Y172" s="69">
        <f t="shared" si="108"/>
        <v>9.2700000000000005E-2</v>
      </c>
      <c r="Z172" s="69">
        <f t="shared" si="110"/>
        <v>5.8979999999999997</v>
      </c>
      <c r="AA172" s="69">
        <f t="shared" si="99"/>
        <v>5.8052999999999999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100"/>
        <v>0811-03</v>
      </c>
      <c r="AE172" s="95" t="str">
        <f t="shared" si="101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72" s="92" t="str">
        <f t="shared" si="102"/>
        <v>"C:\Program Files (x86)\AstroGrep\AstroGrep.exe" /spath="%USERPROFILE%\AppData\Local\Temp\OnboardLogs" /stypes="app*4031*20161003*" /stext=" 14:.+((SYSTEM_STATE.+slice.+state.+changed )|(ment ac)|(system.+state.+changed )|(\[timeout)|(PRM\|1\|D)|(kpr)|(kdp)|(\|lc)|(penalty))" /e /r /s</v>
      </c>
      <c r="AG172" s="1" t="str">
        <f t="shared" si="103"/>
        <v>NW</v>
      </c>
      <c r="AH172" s="96" t="str">
        <f t="shared" si="106"/>
        <v>"%USERPROFILE%\Documents\GitHub\eaglep3\Utilities\RefineRTDCRunTimes.py" --tripid 811-03 --locoid 4031 --swversion DE.1.0.7.0 --startMP 204:927 --initTime 2016-10-03T08:19:40 --startdatetime 2016-10-03T08:21:29 --delay 1 --endMP 300:58980 --enddatetime 2016-10-03T08:35:26 --enforcementcount 0 &gt;&gt;C:\Users\stu\Documents\GitHub\eaglep3-reporting\EC\2016-10-03-refined-times.txt</v>
      </c>
      <c r="AI172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{"issue":{"subject":"","project_id":79,"tracker_id":40,"status_id":1,"priority_id":2,"assigned_to_id":23,"start_date":"2016-10-03","description":"","custom_fields":[{"id":1,"name":"Subdivision","value":"NW"},{"id":4,"name":"Milepost","value":"5.898"},{"id":17,"name":"Train ID","value":"811-03"},{"id":16,"name":"Locomotive ID","value":"4031"},{"id":130,"name":"Impact","value":""},{"id":150,"name":"Time of Event (Mountain Time)","value":"08:35:26"},{"id":151,"name":"Denver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660</v>
      </c>
      <c r="B173" s="7">
        <v>4032</v>
      </c>
      <c r="C173" s="24" t="s">
        <v>106</v>
      </c>
      <c r="D173" s="24" t="s">
        <v>661</v>
      </c>
      <c r="E173" s="15">
        <v>42646.3590625</v>
      </c>
      <c r="F173" s="15">
        <v>42646.36037037037</v>
      </c>
      <c r="G173" s="7">
        <v>1</v>
      </c>
      <c r="H173" s="15" t="s">
        <v>662</v>
      </c>
      <c r="I173" s="15">
        <v>42646.371655092589</v>
      </c>
      <c r="J173" s="7">
        <v>0</v>
      </c>
      <c r="K173" s="117" t="str">
        <f t="shared" ref="K173:K208" si="111">IF(ISEVEN(B173),(B173-1)&amp;"/"&amp;B173,B173&amp;"/"&amp;(B173+1))</f>
        <v>4031/4032</v>
      </c>
      <c r="L173" s="24" t="str">
        <f>VLOOKUP(A173,'Trips&amp;Operators'!$C$1:$E$10000,3,FALSE)</f>
        <v>ROCHA</v>
      </c>
      <c r="M173" s="6">
        <f t="shared" ref="M173:M208" si="112">I173-F173</f>
        <v>1.1284722218988463E-2</v>
      </c>
      <c r="N173" s="7">
        <f t="shared" si="96"/>
        <v>16.249999995343387</v>
      </c>
      <c r="O173" s="7"/>
      <c r="P173" s="7"/>
      <c r="Q173" s="25"/>
      <c r="R173" s="25"/>
      <c r="S173" s="37">
        <f t="shared" si="109"/>
        <v>1</v>
      </c>
      <c r="T173" s="52" t="str">
        <f t="shared" ref="T173:T208" si="113">IF(ISEVEN(LEFT(AD173,4)),"Southbound","NorthBound")</f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07:37:03-0600',mode:absolute,to:'2016-10-03 09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4" t="str">
        <f t="shared" ref="W173:W208" si="114">IF(AA173&lt;IF(AG173="EC",23,5.65),"Y","N")</f>
        <v>N</v>
      </c>
      <c r="X173" s="164">
        <f t="shared" si="104"/>
        <v>1</v>
      </c>
      <c r="Y173" s="69">
        <f t="shared" si="108"/>
        <v>5.8658000000000001</v>
      </c>
      <c r="Z173" s="69">
        <f t="shared" si="110"/>
        <v>6.6600000000000006E-2</v>
      </c>
      <c r="AA173" s="69">
        <f t="shared" ref="AA173:AA204" si="115">ABS(Z173-Y173)</f>
        <v>5.7991999999999999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ref="AD173:AD208" si="116">IF(LEN(A173)=6,"0"&amp;A173,A173)</f>
        <v>0812-03</v>
      </c>
      <c r="AE173" s="95" t="str">
        <f t="shared" ref="AE173:AE208" si="117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73" s="92" t="str">
        <f t="shared" ref="AF173:AF208" si="118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/stypes="app*4032*20161003*" /stext=" 14:.+((SYSTEM_STATE.+slice.+state.+changed )|(ment ac)|(system.+state.+changed )|(\[timeout)|(PRM\|1\|D)|(kpr)|(kdp)|(\|lc)|(penalty))" /e /r /s</v>
      </c>
      <c r="AG173" s="1" t="str">
        <f t="shared" ref="AG173:AG208" si="119">IFERROR(IF(VALUE(LEFT(AD173,2))&lt;=2,"EC",IF(OR(VALUE(LEFT(AD173,2))=8,VALUE(LEFT(AD173,2))=18),"NW","Other")),"Other")</f>
        <v>NW</v>
      </c>
      <c r="AH173" s="96" t="str">
        <f t="shared" si="106"/>
        <v>"%USERPROFILE%\Documents\GitHub\eaglep3\Utilities\RefineRTDCRunTimes.py" --tripid 812-03 --locoid 4032 --swversion DE.1.0.7.0 --startMP 300:58658 --initTime 2016-10-03T08:37:03 --startdatetime 2016-10-03T08:38:56 --delay 1 --endMP 204:666 --enddatetime 2016-10-03T08:55:11 --enforcementcount 0 &gt;&gt;C:\Users\stu\Documents\GitHub\eaglep3-reporting\EC\2016-10-03-refined-times.txt</v>
      </c>
      <c r="AI173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{"issue":{"subject":"","project_id":79,"tracker_id":40,"status_id":1,"priority_id":2,"assigned_to_id":23,"start_date":"2016-10-03","description":"","custom_fields":[{"id":1,"name":"Subdivision","value":"NW"},{"id":4,"name":"Milepost","value":"0.0666"},{"id":17,"name":"Train ID","value":"812-03"},{"id":16,"name":"Locomotive ID","value":"4032"},{"id":130,"name":"Impact","value":""},{"id":150,"name":"Time of Event (Mountain Time)","value":"08:55:11"},{"id":151,"name":"Denver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663</v>
      </c>
      <c r="B174" s="7">
        <v>4031</v>
      </c>
      <c r="C174" s="24" t="s">
        <v>106</v>
      </c>
      <c r="D174" s="24" t="s">
        <v>664</v>
      </c>
      <c r="E174" s="15">
        <v>42646.383634259262</v>
      </c>
      <c r="F174" s="15">
        <v>42646.390069444446</v>
      </c>
      <c r="G174" s="7">
        <v>1</v>
      </c>
      <c r="H174" s="15" t="s">
        <v>665</v>
      </c>
      <c r="I174" s="15">
        <v>42646.400775462964</v>
      </c>
      <c r="J174" s="7">
        <v>0</v>
      </c>
      <c r="K174" s="117" t="str">
        <f t="shared" si="111"/>
        <v>4031/4032</v>
      </c>
      <c r="L174" s="24" t="str">
        <f>VLOOKUP(A174,'Trips&amp;Operators'!$C$1:$E$10000,3,FALSE)</f>
        <v>SNYDER</v>
      </c>
      <c r="M174" s="6">
        <f t="shared" si="112"/>
        <v>1.0706018518249039E-2</v>
      </c>
      <c r="N174" s="7">
        <f t="shared" si="96"/>
        <v>15.416666666278616</v>
      </c>
      <c r="O174" s="7"/>
      <c r="P174" s="7"/>
      <c r="Q174" s="25"/>
      <c r="R174" s="25"/>
      <c r="S174" s="37">
        <f t="shared" si="109"/>
        <v>1</v>
      </c>
      <c r="T174" s="52" t="str">
        <f t="shared" si="113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08:12:26-0600',mode:absolute,to:'2016-10-03 10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4" t="str">
        <f t="shared" si="114"/>
        <v>N</v>
      </c>
      <c r="X174" s="164">
        <f t="shared" si="104"/>
        <v>1</v>
      </c>
      <c r="Y174" s="69">
        <f t="shared" si="108"/>
        <v>9.4799999999999995E-2</v>
      </c>
      <c r="Z174" s="69">
        <f t="shared" si="110"/>
        <v>5.8925999999999998</v>
      </c>
      <c r="AA174" s="69">
        <f t="shared" si="115"/>
        <v>5.7977999999999996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116"/>
        <v>0813-03</v>
      </c>
      <c r="AE174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74" s="92" t="str">
        <f t="shared" si="118"/>
        <v>"C:\Program Files (x86)\AstroGrep\AstroGrep.exe" /spath="%USERPROFILE%\AppData\Local\Temp\OnboardLogs" /stypes="app*4031*20161003*" /stext=" 15:.+((SYSTEM_STATE.+slice.+state.+changed )|(ment ac)|(system.+state.+changed )|(\[timeout)|(PRM\|1\|D)|(kpr)|(kdp)|(\|lc)|(penalty))" /e /r /s</v>
      </c>
      <c r="AG174" s="1" t="str">
        <f t="shared" si="119"/>
        <v>NW</v>
      </c>
      <c r="AH174" s="96" t="str">
        <f t="shared" si="106"/>
        <v>"%USERPROFILE%\Documents\GitHub\eaglep3\Utilities\RefineRTDCRunTimes.py" --tripid 813-03 --locoid 4031 --swversion DE.1.0.7.0 --startMP 204:948 --initTime 2016-10-03T09:12:26 --startdatetime 2016-10-03T09:21:42 --delay 1 --endMP 300:58926 --enddatetime 2016-10-03T09:37:07 --enforcementcount 0 &gt;&gt;C:\Users\stu\Documents\GitHub\eaglep3-reporting\EC\2016-10-03-refined-times.txt</v>
      </c>
      <c r="AI174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{"issue":{"subject":"","project_id":79,"tracker_id":40,"status_id":1,"priority_id":2,"assigned_to_id":23,"start_date":"2016-10-03","description":"","custom_fields":[{"id":1,"name":"Subdivision","value":"NW"},{"id":4,"name":"Milepost","value":"5.8926"},{"id":17,"name":"Train ID","value":"813-03"},{"id":16,"name":"Locomotive ID","value":"4031"},{"id":130,"name":"Impact","value":""},{"id":150,"name":"Time of Event (Mountain Time)","value":"09:37:07"},{"id":151,"name":"Denver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666</v>
      </c>
      <c r="B175" s="7">
        <v>4032</v>
      </c>
      <c r="C175" s="24" t="s">
        <v>106</v>
      </c>
      <c r="D175" s="24" t="s">
        <v>667</v>
      </c>
      <c r="E175" s="15">
        <v>42646.403368055559</v>
      </c>
      <c r="F175" s="15">
        <v>42646.405358796299</v>
      </c>
      <c r="G175" s="7">
        <v>1</v>
      </c>
      <c r="H175" s="15" t="s">
        <v>668</v>
      </c>
      <c r="I175" s="15">
        <v>42646.414953703701</v>
      </c>
      <c r="J175" s="7">
        <v>0</v>
      </c>
      <c r="K175" s="117" t="str">
        <f t="shared" si="111"/>
        <v>4031/4032</v>
      </c>
      <c r="L175" s="24" t="str">
        <f>VLOOKUP(A175,'Trips&amp;Operators'!$C$1:$E$10000,3,FALSE)</f>
        <v>SNYDER</v>
      </c>
      <c r="M175" s="6">
        <f t="shared" si="112"/>
        <v>9.594907402060926E-3</v>
      </c>
      <c r="N175" s="7">
        <f t="shared" si="96"/>
        <v>13.816666658967733</v>
      </c>
      <c r="O175" s="7"/>
      <c r="P175" s="7"/>
      <c r="Q175" s="25"/>
      <c r="R175" s="25"/>
      <c r="S175" s="37">
        <f t="shared" si="109"/>
        <v>1</v>
      </c>
      <c r="T175" s="52" t="str">
        <f t="shared" si="113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08:40:51-0600',mode:absolute,to:'2016-10-03 10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4" t="str">
        <f t="shared" si="114"/>
        <v>N</v>
      </c>
      <c r="X175" s="164">
        <f t="shared" ref="X175:X191" si="120">VALUE(LEFT(AD175,4))-VALUE(LEFT(AD174,4))</f>
        <v>1</v>
      </c>
      <c r="Y175" s="69">
        <f t="shared" si="108"/>
        <v>5.8596000000000004</v>
      </c>
      <c r="Z175" s="69">
        <f t="shared" si="110"/>
        <v>7.0300000000000001E-2</v>
      </c>
      <c r="AA175" s="69">
        <f t="shared" si="115"/>
        <v>5.7893000000000008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116"/>
        <v>0814-03</v>
      </c>
      <c r="AE175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75" s="92" t="str">
        <f t="shared" si="118"/>
        <v>"C:\Program Files (x86)\AstroGrep\AstroGrep.exe" /spath="%USERPROFILE%\AppData\Local\Temp\OnboardLogs" /stypes="app*4032*20161003*" /stext=" 15:.+((SYSTEM_STATE.+slice.+state.+changed )|(ment ac)|(system.+state.+changed )|(\[timeout)|(PRM\|1\|D)|(kpr)|(kdp)|(\|lc)|(penalty))" /e /r /s</v>
      </c>
      <c r="AG175" s="1" t="str">
        <f t="shared" si="119"/>
        <v>NW</v>
      </c>
      <c r="AH175" s="96" t="str">
        <f t="shared" si="106"/>
        <v>"%USERPROFILE%\Documents\GitHub\eaglep3\Utilities\RefineRTDCRunTimes.py" --tripid 814-03 --locoid 4032 --swversion DE.1.0.7.0 --startMP 300:58596 --initTime 2016-10-03T09:40:51 --startdatetime 2016-10-03T09:43:43 --delay 1 --endMP 204:703 --enddatetime 2016-10-03T09:57:32 --enforcementcount 0 &gt;&gt;C:\Users\stu\Documents\GitHub\eaglep3-reporting\EC\2016-10-03-refined-times.txt</v>
      </c>
      <c r="AI175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{"issue":{"subject":"","project_id":79,"tracker_id":40,"status_id":1,"priority_id":2,"assigned_to_id":23,"start_date":"2016-10-03","description":"","custom_fields":[{"id":1,"name":"Subdivision","value":"NW"},{"id":4,"name":"Milepost","value":"0.0703"},{"id":17,"name":"Train ID","value":"814-03"},{"id":16,"name":"Locomotive ID","value":"4032"},{"id":130,"name":"Impact","value":""},{"id":150,"name":"Time of Event (Mountain Time)","value":"09:57:32"},{"id":151,"name":"Denver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669</v>
      </c>
      <c r="B176" s="7">
        <v>4031</v>
      </c>
      <c r="C176" s="24" t="s">
        <v>106</v>
      </c>
      <c r="D176" s="24" t="s">
        <v>670</v>
      </c>
      <c r="E176" s="15">
        <v>42646.430208333331</v>
      </c>
      <c r="F176" s="15">
        <v>42646.431516203702</v>
      </c>
      <c r="G176" s="7">
        <v>1</v>
      </c>
      <c r="H176" s="15" t="s">
        <v>671</v>
      </c>
      <c r="I176" s="15">
        <v>42646.440717592595</v>
      </c>
      <c r="J176" s="7">
        <v>0</v>
      </c>
      <c r="K176" s="117" t="str">
        <f t="shared" si="111"/>
        <v>4031/4032</v>
      </c>
      <c r="L176" s="24" t="str">
        <f>VLOOKUP(A176,'Trips&amp;Operators'!$C$1:$E$10000,3,FALSE)</f>
        <v>ROCHA</v>
      </c>
      <c r="M176" s="6">
        <f t="shared" si="112"/>
        <v>9.2013888934161514E-3</v>
      </c>
      <c r="N176" s="7">
        <f t="shared" si="96"/>
        <v>13.250000006519258</v>
      </c>
      <c r="O176" s="7"/>
      <c r="P176" s="7"/>
      <c r="Q176" s="25"/>
      <c r="R176" s="25"/>
      <c r="S176" s="37">
        <f t="shared" si="109"/>
        <v>1</v>
      </c>
      <c r="T176" s="52" t="str">
        <f t="shared" si="113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09:19:30-0600',mode:absolute,to:'2016-10-03 11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4" t="str">
        <f t="shared" si="114"/>
        <v>N</v>
      </c>
      <c r="X176" s="164">
        <f t="shared" si="120"/>
        <v>1</v>
      </c>
      <c r="Y176" s="69">
        <f t="shared" si="108"/>
        <v>9.9299999999999999E-2</v>
      </c>
      <c r="Z176" s="69">
        <f t="shared" si="110"/>
        <v>5.8943000000000003</v>
      </c>
      <c r="AA176" s="69">
        <f t="shared" si="115"/>
        <v>5.7949999999999999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116"/>
        <v>0815-03</v>
      </c>
      <c r="AE176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76" s="92" t="str">
        <f t="shared" si="118"/>
        <v>"C:\Program Files (x86)\AstroGrep\AstroGrep.exe" /spath="%USERPROFILE%\AppData\Local\Temp\OnboardLogs" /stypes="app*4031*20161003*" /stext=" 16:.+((SYSTEM_STATE.+slice.+state.+changed )|(ment ac)|(system.+state.+changed )|(\[timeout)|(PRM\|1\|D)|(kpr)|(kdp)|(\|lc)|(penalty))" /e /r /s</v>
      </c>
      <c r="AG176" s="1" t="str">
        <f t="shared" si="119"/>
        <v>NW</v>
      </c>
      <c r="AH176" s="96" t="str">
        <f t="shared" si="106"/>
        <v>"%USERPROFILE%\Documents\GitHub\eaglep3\Utilities\RefineRTDCRunTimes.py" --tripid 815-03 --locoid 4031 --swversion DE.1.0.7.0 --startMP 204:993 --initTime 2016-10-03T10:19:30 --startdatetime 2016-10-03T10:21:23 --delay 1 --endMP 300:58943 --enddatetime 2016-10-03T10:34:38 --enforcementcount 0 &gt;&gt;C:\Users\stu\Documents\GitHub\eaglep3-reporting\EC\2016-10-03-refined-times.txt</v>
      </c>
      <c r="AI176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{"issue":{"subject":"","project_id":79,"tracker_id":40,"status_id":1,"priority_id":2,"assigned_to_id":23,"start_date":"2016-10-03","description":"","custom_fields":[{"id":1,"name":"Subdivision","value":"NW"},{"id":4,"name":"Milepost","value":"5.8943"},{"id":17,"name":"Train ID","value":"815-03"},{"id":16,"name":"Locomotive ID","value":"4031"},{"id":130,"name":"Impact","value":""},{"id":150,"name":"Time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672</v>
      </c>
      <c r="B177" s="7">
        <v>4032</v>
      </c>
      <c r="C177" s="24" t="s">
        <v>106</v>
      </c>
      <c r="D177" s="24" t="s">
        <v>382</v>
      </c>
      <c r="E177" s="15">
        <v>42646.442187499997</v>
      </c>
      <c r="F177" s="15">
        <v>42646.444039351853</v>
      </c>
      <c r="G177" s="7">
        <v>1</v>
      </c>
      <c r="H177" s="15" t="s">
        <v>673</v>
      </c>
      <c r="I177" s="15">
        <v>42646.45484953704</v>
      </c>
      <c r="J177" s="7">
        <v>0</v>
      </c>
      <c r="K177" s="117" t="str">
        <f t="shared" si="111"/>
        <v>4031/4032</v>
      </c>
      <c r="L177" s="24" t="str">
        <f>VLOOKUP(A177,'Trips&amp;Operators'!$C$1:$E$10000,3,FALSE)</f>
        <v>ROCHA</v>
      </c>
      <c r="M177" s="6">
        <f t="shared" si="112"/>
        <v>1.0810185187438037E-2</v>
      </c>
      <c r="N177" s="7">
        <f t="shared" si="96"/>
        <v>15.566666669910774</v>
      </c>
      <c r="O177" s="7"/>
      <c r="P177" s="7"/>
      <c r="Q177" s="25"/>
      <c r="R177" s="25"/>
      <c r="S177" s="37">
        <f t="shared" si="109"/>
        <v>1</v>
      </c>
      <c r="T177" s="52" t="str">
        <f t="shared" si="113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09:36:45-0600',mode:absolute,to:'2016-10-03 11:54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4" t="str">
        <f t="shared" si="114"/>
        <v>N</v>
      </c>
      <c r="X177" s="164">
        <f t="shared" si="120"/>
        <v>1</v>
      </c>
      <c r="Y177" s="69">
        <f t="shared" si="108"/>
        <v>5.8638000000000003</v>
      </c>
      <c r="Z177" s="69">
        <f t="shared" si="110"/>
        <v>6.9099999999999995E-2</v>
      </c>
      <c r="AA177" s="69">
        <f t="shared" si="115"/>
        <v>5.7947000000000006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116"/>
        <v>0816-03</v>
      </c>
      <c r="AE177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77" s="92" t="str">
        <f t="shared" si="118"/>
        <v>"C:\Program Files (x86)\AstroGrep\AstroGrep.exe" /spath="%USERPROFILE%\AppData\Local\Temp\OnboardLogs" /stypes="app*4032*20161003*" /stext=" 16:.+((SYSTEM_STATE.+slice.+state.+changed )|(ment ac)|(system.+state.+changed )|(\[timeout)|(PRM\|1\|D)|(kpr)|(kdp)|(\|lc)|(penalty))" /e /r /s</v>
      </c>
      <c r="AG177" s="1" t="str">
        <f t="shared" si="119"/>
        <v>NW</v>
      </c>
      <c r="AH177" s="96" t="str">
        <f t="shared" si="106"/>
        <v>"%USERPROFILE%\Documents\GitHub\eaglep3\Utilities\RefineRTDCRunTimes.py" --tripid 816-03 --locoid 4032 --swversion DE.1.0.7.0 --startMP 300:58638 --initTime 2016-10-03T10:36:45 --startdatetime 2016-10-03T10:39:25 --delay 1 --endMP 204:691 --enddatetime 2016-10-03T10:54:59 --enforcementcount 0 &gt;&gt;C:\Users\stu\Documents\GitHub\eaglep3-reporting\EC\2016-10-03-refined-times.txt</v>
      </c>
      <c r="AI177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{"issue":{"subject":"","project_id":79,"tracker_id":40,"status_id":1,"priority_id":2,"assigned_to_id":23,"start_date":"2016-10-03","description":"","custom_fields":[{"id":1,"name":"Subdivision","value":"NW"},{"id":4,"name":"Milepost","value":"0.0691"},{"id":17,"name":"Train ID","value":"816-03"},{"id":16,"name":"Locomotive ID","value":"4032"},{"id":130,"name":"Impact","value":""},{"id":150,"name":"Time of Event (Mountain Time)","value":"10:54:59"},{"id":151,"name":"Denver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674</v>
      </c>
      <c r="B178" s="7">
        <v>4031</v>
      </c>
      <c r="C178" s="24" t="s">
        <v>106</v>
      </c>
      <c r="D178" s="24" t="s">
        <v>675</v>
      </c>
      <c r="E178" s="15">
        <v>42646.468819444446</v>
      </c>
      <c r="F178" s="15">
        <v>42646.470011574071</v>
      </c>
      <c r="G178" s="7">
        <v>1</v>
      </c>
      <c r="H178" s="15" t="s">
        <v>676</v>
      </c>
      <c r="I178" s="15">
        <v>42646.483240740738</v>
      </c>
      <c r="J178" s="7">
        <v>0</v>
      </c>
      <c r="K178" s="117" t="str">
        <f t="shared" si="111"/>
        <v>4031/4032</v>
      </c>
      <c r="L178" s="24" t="str">
        <f>VLOOKUP(A178,'Trips&amp;Operators'!$C$1:$E$10000,3,FALSE)</f>
        <v>ROCHA</v>
      </c>
      <c r="M178" s="6">
        <f t="shared" si="112"/>
        <v>1.3229166666860692E-2</v>
      </c>
      <c r="N178" s="7">
        <f t="shared" si="96"/>
        <v>19.050000000279397</v>
      </c>
      <c r="O178" s="7"/>
      <c r="P178" s="7"/>
      <c r="Q178" s="25"/>
      <c r="R178" s="25"/>
      <c r="S178" s="37">
        <f t="shared" si="109"/>
        <v>1</v>
      </c>
      <c r="T178" s="52" t="str">
        <f t="shared" si="113"/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10:15:06-0600',mode:absolute,to:'2016-10-03 12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4" t="str">
        <f t="shared" si="114"/>
        <v>N</v>
      </c>
      <c r="X178" s="164">
        <f t="shared" si="120"/>
        <v>1</v>
      </c>
      <c r="Y178" s="69">
        <f t="shared" si="108"/>
        <v>9.7799999999999998E-2</v>
      </c>
      <c r="Z178" s="69">
        <f t="shared" si="110"/>
        <v>5.8960999999999997</v>
      </c>
      <c r="AA178" s="69">
        <f t="shared" si="115"/>
        <v>5.7982999999999993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116"/>
        <v>0817-03</v>
      </c>
      <c r="AE178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78" s="92" t="str">
        <f t="shared" si="118"/>
        <v>"C:\Program Files (x86)\AstroGrep\AstroGrep.exe" /spath="%USERPROFILE%\AppData\Local\Temp\OnboardLogs" /stypes="app*4031*20161003*" /stext=" 17:.+((SYSTEM_STATE.+slice.+state.+changed )|(ment ac)|(system.+state.+changed )|(\[timeout)|(PRM\|1\|D)|(kpr)|(kdp)|(\|lc)|(penalty))" /e /r /s</v>
      </c>
      <c r="AG178" s="1" t="str">
        <f t="shared" si="119"/>
        <v>NW</v>
      </c>
      <c r="AH178" s="96" t="str">
        <f t="shared" si="106"/>
        <v>"%USERPROFILE%\Documents\GitHub\eaglep3\Utilities\RefineRTDCRunTimes.py" --tripid 817-03 --locoid 4031 --swversion DE.1.0.7.0 --startMP 204:978 --initTime 2016-10-03T11:15:06 --startdatetime 2016-10-03T11:16:49 --delay 1 --endMP 300:58961 --enddatetime 2016-10-03T11:35:52 --enforcementcount 0 &gt;&gt;C:\Users\stu\Documents\GitHub\eaglep3-reporting\EC\2016-10-03-refined-times.txt</v>
      </c>
      <c r="AI178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{"issue":{"subject":"","project_id":79,"tracker_id":40,"status_id":1,"priority_id":2,"assigned_to_id":23,"start_date":"2016-10-03","description":"","custom_fields":[{"id":1,"name":"Subdivision","value":"NW"},{"id":4,"name":"Milepost","value":"5.8961"},{"id":17,"name":"Train ID","value":"817-03"},{"id":16,"name":"Locomotive ID","value":"4031"},{"id":130,"name":"Impact","value":""},{"id":150,"name":"Time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677</v>
      </c>
      <c r="B179" s="7">
        <v>4032</v>
      </c>
      <c r="C179" s="24" t="s">
        <v>106</v>
      </c>
      <c r="D179" s="24" t="s">
        <v>380</v>
      </c>
      <c r="E179" s="15">
        <v>42646.48505787037</v>
      </c>
      <c r="F179" s="15">
        <v>42646.487696759257</v>
      </c>
      <c r="G179" s="7">
        <v>1</v>
      </c>
      <c r="H179" s="15" t="s">
        <v>678</v>
      </c>
      <c r="I179" s="15">
        <v>42646.488379629627</v>
      </c>
      <c r="J179" s="7">
        <v>0</v>
      </c>
      <c r="K179" s="117" t="str">
        <f t="shared" si="111"/>
        <v>4031/4032</v>
      </c>
      <c r="L179" s="24" t="str">
        <f>VLOOKUP(A179,'Trips&amp;Operators'!$C$1:$E$10000,3,FALSE)</f>
        <v>ROCHA</v>
      </c>
      <c r="M179" s="6">
        <f t="shared" si="112"/>
        <v>6.8287036992842332E-4</v>
      </c>
      <c r="N179" s="7">
        <f t="shared" si="96"/>
        <v>0.98333333269692957</v>
      </c>
      <c r="O179" s="7"/>
      <c r="P179" s="7"/>
      <c r="Q179" s="25"/>
      <c r="R179" s="25" t="s">
        <v>769</v>
      </c>
      <c r="S179" s="37">
        <f t="shared" si="109"/>
        <v>0</v>
      </c>
      <c r="T179" s="52" t="str">
        <f t="shared" si="113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10:38:29-0600',mode:absolute,to:'2016-10-03 12:43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4" t="str">
        <f t="shared" si="114"/>
        <v>Y</v>
      </c>
      <c r="X179" s="164">
        <f t="shared" si="120"/>
        <v>1</v>
      </c>
      <c r="Y179" s="69">
        <f t="shared" si="108"/>
        <v>5.8643000000000001</v>
      </c>
      <c r="Z179" s="69">
        <f t="shared" si="110"/>
        <v>5.7335000000000003</v>
      </c>
      <c r="AA179" s="69">
        <f t="shared" si="115"/>
        <v>0.13079999999999981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116"/>
        <v>0818-03</v>
      </c>
      <c r="AE179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79" s="92" t="str">
        <f t="shared" si="118"/>
        <v>"C:\Program Files (x86)\AstroGrep\AstroGrep.exe" /spath="%USERPROFILE%\AppData\Local\Temp\OnboardLogs" /stypes="app*4032*20161003*" /stext=" 17:.+((SYSTEM_STATE.+slice.+state.+changed )|(ment ac)|(system.+state.+changed )|(\[timeout)|(PRM\|1\|D)|(kpr)|(kdp)|(\|lc)|(penalty))" /e /r /s</v>
      </c>
      <c r="AG179" s="1" t="str">
        <f t="shared" si="119"/>
        <v>NW</v>
      </c>
      <c r="AH179" s="96" t="str">
        <f t="shared" si="106"/>
        <v>"%USERPROFILE%\Documents\GitHub\eaglep3\Utilities\RefineRTDCRunTimes.py" --tripid 818-03 --locoid 4032 --swversion DE.1.0.7.0 --startMP 300:58643 --initTime 2016-10-03T11:38:29 --startdatetime 2016-10-03T11:42:17 --delay 1 --endMP 300:57335 --enddatetime 2016-10-03T11:43:16 --enforcementcount 0 &gt;&gt;C:\Users\stu\Documents\GitHub\eaglep3-reporting\EC\2016-10-03-refined-times.txt</v>
      </c>
      <c r="AI179" s="130" t="str">
        <f t="shared" si="107"/>
        <v>echo {"issue":{"subject":"OCS Power Outage @ BNSF Fuel Yard","project_id":79,"tracker_id":40,"status_id":1,"priority_id":2,"assigned_to_id":23,"start_date":"2016-10-03","description":"","custom_fields":[{"id":1,"name":"Subdivision","value":"NW"},{"id":4,"name":"Milepost","value":"5.7335"},{"id":17,"name":"Train ID","value":"818-03"},{"id":16,"name":"Locomotive ID","value":"4032"},{"id":130,"name":"Impact","value":""},{"id":150,"name":"Time of Event (Mountain Time)","value":"11:43:16"},{"id":151,"name":"Denver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679</v>
      </c>
      <c r="B180" s="7">
        <v>4032</v>
      </c>
      <c r="C180" s="24" t="s">
        <v>106</v>
      </c>
      <c r="D180" s="24" t="s">
        <v>678</v>
      </c>
      <c r="E180" s="15">
        <v>42646.702337962961</v>
      </c>
      <c r="F180" s="15">
        <v>42646.707766203705</v>
      </c>
      <c r="G180" s="7">
        <v>7</v>
      </c>
      <c r="H180" s="15" t="s">
        <v>680</v>
      </c>
      <c r="I180" s="15">
        <v>42646.720601851855</v>
      </c>
      <c r="J180" s="7">
        <v>0</v>
      </c>
      <c r="K180" s="117" t="str">
        <f t="shared" si="111"/>
        <v>4031/4032</v>
      </c>
      <c r="L180" s="24" t="str">
        <f>VLOOKUP(A180,'Trips&amp;Operators'!$C$1:$E$10000,3,FALSE)</f>
        <v>MAHAN</v>
      </c>
      <c r="M180" s="6">
        <f t="shared" si="112"/>
        <v>1.283564815093996E-2</v>
      </c>
      <c r="N180" s="7">
        <f t="shared" si="96"/>
        <v>18.483333337353542</v>
      </c>
      <c r="O180" s="7"/>
      <c r="P180" s="7"/>
      <c r="Q180" s="25"/>
      <c r="R180" s="25"/>
      <c r="S180" s="37">
        <f t="shared" si="109"/>
        <v>1</v>
      </c>
      <c r="T180" s="52" t="str">
        <f t="shared" si="113"/>
        <v>Southbound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15:51:22-0600',mode:absolute,to:'2016-10-03 18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0" s="54" t="str">
        <f t="shared" si="114"/>
        <v>N</v>
      </c>
      <c r="X180" s="164">
        <f t="shared" si="120"/>
        <v>12</v>
      </c>
      <c r="Y180" s="69">
        <f t="shared" si="108"/>
        <v>5.7335000000000003</v>
      </c>
      <c r="Z180" s="69">
        <f t="shared" si="110"/>
        <v>1.1299999999999999E-2</v>
      </c>
      <c r="AA180" s="69">
        <f t="shared" si="115"/>
        <v>5.7222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116"/>
        <v>0830-03</v>
      </c>
      <c r="AE180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80" s="92" t="str">
        <f t="shared" si="118"/>
        <v>"C:\Program Files (x86)\AstroGrep\AstroGrep.exe" /spath="%USERPROFILE%\AppData\Local\Temp\OnboardLogs" /stypes="app*4032*20161003*" /stext=" 23:.+((SYSTEM_STATE.+slice.+state.+changed )|(ment ac)|(system.+state.+changed )|(\[timeout)|(PRM\|1\|D)|(kpr)|(kdp)|(\|lc)|(penalty))" /e /r /s</v>
      </c>
      <c r="AG180" s="1" t="str">
        <f t="shared" si="119"/>
        <v>NW</v>
      </c>
      <c r="AH180" s="96" t="str">
        <f t="shared" si="106"/>
        <v>"%USERPROFILE%\Documents\GitHub\eaglep3\Utilities\RefineRTDCRunTimes.py" --tripid 830-03 --locoid 4032 --swversion DE.1.0.7.0 --startMP 300:57335 --initTime 2016-10-03T16:51:22 --startdatetime 2016-10-03T16:59:11 --delay 7 --endMP 204:113 --enddatetime 2016-10-03T17:17:40 --enforcementcount 0 &gt;&gt;C:\Users\stu\Documents\GitHub\eaglep3-reporting\EC\2016-10-03-refined-times.txt</v>
      </c>
      <c r="AI180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{"issue":{"subject":"","project_id":79,"tracker_id":40,"status_id":1,"priority_id":2,"assigned_to_id":23,"start_date":"2016-10-03","description":"","custom_fields":[{"id":1,"name":"Subdivision","value":"NW"},{"id":4,"name":"Milepost","value":"0.0113"},{"id":17,"name":"Train ID","value":"830-03"},{"id":16,"name":"Locomotive ID","value":"4032"},{"id":130,"name":"Impact","value":""},{"id":150,"name":"Time of Event (Mountain Time)","value":"17:17:40"},{"id":151,"name":"Denver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681</v>
      </c>
      <c r="B181" s="7">
        <v>4012</v>
      </c>
      <c r="C181" s="24" t="s">
        <v>106</v>
      </c>
      <c r="D181" s="24" t="s">
        <v>377</v>
      </c>
      <c r="E181" s="15">
        <v>42646.720254629632</v>
      </c>
      <c r="F181" s="15">
        <v>42646.722777777781</v>
      </c>
      <c r="G181" s="7">
        <v>1</v>
      </c>
      <c r="H181" s="15" t="s">
        <v>682</v>
      </c>
      <c r="I181" s="15">
        <v>42646.740046296298</v>
      </c>
      <c r="J181" s="7">
        <v>0</v>
      </c>
      <c r="K181" s="117" t="str">
        <f t="shared" si="111"/>
        <v>4011/4012</v>
      </c>
      <c r="L181" s="24" t="str">
        <f>VLOOKUP(A181,'Trips&amp;Operators'!$C$1:$E$10000,3,FALSE)</f>
        <v>COOLAHAN</v>
      </c>
      <c r="M181" s="6">
        <f t="shared" si="112"/>
        <v>1.7268518517084885E-2</v>
      </c>
      <c r="N181" s="7">
        <f t="shared" si="96"/>
        <v>24.866666664602235</v>
      </c>
      <c r="O181" s="7"/>
      <c r="P181" s="7"/>
      <c r="Q181" s="25"/>
      <c r="R181" s="25"/>
      <c r="S181" s="37">
        <f t="shared" si="109"/>
        <v>1</v>
      </c>
      <c r="T181" s="52" t="str">
        <f t="shared" si="113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16:17:10-0600',mode:absolute,to:'2016-10-03 18:45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1" s="54" t="str">
        <f t="shared" si="114"/>
        <v>N</v>
      </c>
      <c r="X181" s="164">
        <f t="shared" si="120"/>
        <v>2</v>
      </c>
      <c r="Y181" s="69">
        <f t="shared" si="108"/>
        <v>5.8653000000000004</v>
      </c>
      <c r="Z181" s="69">
        <f t="shared" si="110"/>
        <v>1.29E-2</v>
      </c>
      <c r="AA181" s="69">
        <f t="shared" si="115"/>
        <v>5.8524000000000003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116"/>
        <v>0832-03</v>
      </c>
      <c r="AE181" s="95" t="str">
        <f t="shared" si="117"/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AF181" s="92" t="str">
        <f t="shared" si="118"/>
        <v>"C:\Program Files (x86)\AstroGrep\AstroGrep.exe" /spath="%USERPROFILE%\AppData\Local\Temp\OnboardLogs" /stypes="app*4012*20161003*" /stext=" 23:.+((SYSTEM_STATE.+slice.+state.+changed )|(ment ac)|(system.+state.+changed )|(\[timeout)|(PRM\|1\|D)|(kpr)|(kdp)|(\|lc)|(penalty))" /e /r /s</v>
      </c>
      <c r="AG181" s="1" t="str">
        <f t="shared" si="119"/>
        <v>NW</v>
      </c>
      <c r="AH181" s="96" t="str">
        <f t="shared" si="106"/>
        <v>"%USERPROFILE%\Documents\GitHub\eaglep3\Utilities\RefineRTDCRunTimes.py" --tripid 832-03 --locoid 4012 --swversion DE.1.0.7.0 --startMP 300:58653 --initTime 2016-10-03T17:17:10 --startdatetime 2016-10-03T17:20:48 --delay 1 --endMP 204:129 --enddatetime 2016-10-03T17:45:40 --enforcementcount 0 &gt;&gt;C:\Users\stu\Documents\GitHub\eaglep3-reporting\EC\2016-10-03-refined-times.txt</v>
      </c>
      <c r="AI181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{"issue":{"subject":"","project_id":79,"tracker_id":40,"status_id":1,"priority_id":2,"assigned_to_id":23,"start_date":"2016-10-03","description":"","custom_fields":[{"id":1,"name":"Subdivision","value":"NW"},{"id":4,"name":"Milepost","value":"0.0129"},{"id":17,"name":"Train ID","value":"832-03"},{"id":16,"name":"Locomotive ID","value":"4012"},{"id":130,"name":"Impact","value":""},{"id":150,"name":"Time of Event (Mountain Time)","value":"17:45:40"},{"id":151,"name":"Denver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683</v>
      </c>
      <c r="B182" s="7">
        <v>4031</v>
      </c>
      <c r="C182" s="24" t="s">
        <v>106</v>
      </c>
      <c r="D182" s="24" t="s">
        <v>684</v>
      </c>
      <c r="E182" s="15">
        <v>42646.723877314813</v>
      </c>
      <c r="F182" s="15">
        <v>42646.726030092592</v>
      </c>
      <c r="G182" s="7">
        <v>1</v>
      </c>
      <c r="H182" s="15" t="s">
        <v>349</v>
      </c>
      <c r="I182" s="15">
        <v>42646.737546296295</v>
      </c>
      <c r="J182" s="7">
        <v>0</v>
      </c>
      <c r="K182" s="117" t="str">
        <f t="shared" si="111"/>
        <v>4031/4032</v>
      </c>
      <c r="L182" s="24" t="str">
        <f>VLOOKUP(A182,'Trips&amp;Operators'!$C$1:$E$10000,3,FALSE)</f>
        <v>MAHAN</v>
      </c>
      <c r="M182" s="6">
        <f t="shared" si="112"/>
        <v>1.1516203703649808E-2</v>
      </c>
      <c r="N182" s="7">
        <f t="shared" si="96"/>
        <v>16.583333333255723</v>
      </c>
      <c r="O182" s="7"/>
      <c r="P182" s="7"/>
      <c r="Q182" s="25"/>
      <c r="R182" s="25"/>
      <c r="S182" s="37">
        <f t="shared" si="109"/>
        <v>1</v>
      </c>
      <c r="T182" s="52" t="str">
        <f t="shared" si="113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16:22:23-0600',mode:absolute,to:'2016-10-03 18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4" t="str">
        <f t="shared" si="114"/>
        <v>N</v>
      </c>
      <c r="X182" s="164">
        <f t="shared" si="120"/>
        <v>1</v>
      </c>
      <c r="Y182" s="69">
        <f t="shared" ref="Y182:Y208" si="121">RIGHT(D182,LEN(D182)-4)/10000</f>
        <v>3.9699999999999999E-2</v>
      </c>
      <c r="Z182" s="69">
        <f t="shared" si="110"/>
        <v>5.8967000000000001</v>
      </c>
      <c r="AA182" s="69">
        <f t="shared" si="115"/>
        <v>5.8570000000000002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116"/>
        <v>0833-03</v>
      </c>
      <c r="AE182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82" s="92" t="str">
        <f t="shared" si="118"/>
        <v>"C:\Program Files (x86)\AstroGrep\AstroGrep.exe" /spath="%USERPROFILE%\AppData\Local\Temp\OnboardLogs" /stypes="app*4031*20161003*" /stext=" 23:.+((SYSTEM_STATE.+slice.+state.+changed )|(ment ac)|(system.+state.+changed )|(\[timeout)|(PRM\|1\|D)|(kpr)|(kdp)|(\|lc)|(penalty))" /e /r /s</v>
      </c>
      <c r="AG182" s="1" t="str">
        <f t="shared" si="119"/>
        <v>NW</v>
      </c>
      <c r="AH182" s="96" t="str">
        <f t="shared" si="106"/>
        <v>"%USERPROFILE%\Documents\GitHub\eaglep3\Utilities\RefineRTDCRunTimes.py" --tripid 833-03 --locoid 4031 --swversion DE.1.0.7.0 --startMP 204:397 --initTime 2016-10-03T17:22:23 --startdatetime 2016-10-03T17:25:29 --delay 1 --endMP 300:58967 --enddatetime 2016-10-03T17:42:04 --enforcementcount 0 &gt;&gt;C:\Users\stu\Documents\GitHub\eaglep3-reporting\EC\2016-10-03-refined-times.txt</v>
      </c>
      <c r="AI182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{"issue":{"subject":"","project_id":79,"tracker_id":40,"status_id":1,"priority_id":2,"assigned_to_id":23,"start_date":"2016-10-03","description":"","custom_fields":[{"id":1,"name":"Subdivision","value":"NW"},{"id":4,"name":"Milepost","value":"5.8967"},{"id":17,"name":"Train ID","value":"833-03"},{"id":16,"name":"Locomotive ID","value":"4031"},{"id":130,"name":"Impact","value":""},{"id":150,"name":"Time of Event (Mountain Time)","value":"17:42:04"},{"id":151,"name":"Denver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685</v>
      </c>
      <c r="B183" s="7">
        <v>4032</v>
      </c>
      <c r="C183" s="24" t="s">
        <v>106</v>
      </c>
      <c r="D183" s="24" t="s">
        <v>686</v>
      </c>
      <c r="E183" s="15">
        <v>42646.738611111112</v>
      </c>
      <c r="F183" s="15">
        <v>42646.740451388891</v>
      </c>
      <c r="G183" s="7">
        <v>1</v>
      </c>
      <c r="H183" s="15" t="s">
        <v>687</v>
      </c>
      <c r="I183" s="15">
        <v>42646.764826388891</v>
      </c>
      <c r="J183" s="7">
        <v>0</v>
      </c>
      <c r="K183" s="117" t="str">
        <f t="shared" si="111"/>
        <v>4031/4032</v>
      </c>
      <c r="L183" s="24" t="str">
        <f>VLOOKUP(A183,'Trips&amp;Operators'!$C$1:$E$10000,3,FALSE)</f>
        <v>MAHAN</v>
      </c>
      <c r="M183" s="6">
        <f t="shared" si="112"/>
        <v>2.4375000000873115E-2</v>
      </c>
      <c r="N183" s="7">
        <f t="shared" si="96"/>
        <v>35.100000001257285</v>
      </c>
      <c r="O183" s="7"/>
      <c r="P183" s="7"/>
      <c r="Q183" s="25"/>
      <c r="R183" s="25" t="s">
        <v>749</v>
      </c>
      <c r="S183" s="37">
        <f t="shared" si="109"/>
        <v>1</v>
      </c>
      <c r="T183" s="52" t="str">
        <f t="shared" si="113"/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16:43:36-0600',mode:absolute,to:'2016-10-03 19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4" t="str">
        <f t="shared" si="114"/>
        <v>N</v>
      </c>
      <c r="X183" s="164">
        <f t="shared" si="120"/>
        <v>1</v>
      </c>
      <c r="Y183" s="69">
        <f t="shared" si="121"/>
        <v>5.8654999999999999</v>
      </c>
      <c r="Z183" s="69">
        <f t="shared" si="110"/>
        <v>3.4299999999999997E-2</v>
      </c>
      <c r="AA183" s="69">
        <f t="shared" si="115"/>
        <v>5.8311999999999999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116"/>
        <v>0834-03</v>
      </c>
      <c r="AE183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83" s="92" t="str">
        <f t="shared" si="118"/>
        <v>"C:\Program Files (x86)\AstroGrep\AstroGrep.exe" /spath="%USERPROFILE%\AppData\Local\Temp\OnboardLogs" /stypes="app*4032*20161004*" /stext=" 00:.+((SYSTEM_STATE.+slice.+state.+changed )|(ment ac)|(system.+state.+changed )|(\[timeout)|(PRM\|1\|D)|(kpr)|(kdp)|(\|lc)|(penalty))" /e /r /s</v>
      </c>
      <c r="AG183" s="1" t="str">
        <f t="shared" si="119"/>
        <v>NW</v>
      </c>
      <c r="AH183" s="96" t="str">
        <f t="shared" si="106"/>
        <v>"%USERPROFILE%\Documents\GitHub\eaglep3\Utilities\RefineRTDCRunTimes.py" --tripid 834-03 --locoid 4032 --swversion DE.1.0.7.0 --startMP 300:58655 --initTime 2016-10-03T17:43:36 --startdatetime 2016-10-03T17:46:15 --delay 1 --endMP 204:343 --enddatetime 2016-10-03T18:21:21 --enforcementcount 0 &gt;&gt;C:\Users\stu\Documents\GitHub\eaglep3-reporting\EC\2016-10-03-refined-times.txt</v>
      </c>
      <c r="AI183" s="130" t="str">
        <f t="shared" si="107"/>
        <v>echo {"issue":{"subject":"Delayed due to traffic","project_id":79,"tracker_id":40,"status_id":1,"priority_id":2,"assigned_to_id":23,"start_date":"2016-10-03","description":"","custom_fields":[{"id":1,"name":"Subdivision","value":"NW"},{"id":4,"name":"Milepost","value":"0.0343"},{"id":17,"name":"Train ID","value":"834-03"},{"id":16,"name":"Locomotive ID","value":"4032"},{"id":130,"name":"Impact","value":""},{"id":150,"name":"Time of Event (Mountain Time)","value":"18:21:21"},{"id":151,"name":"Denver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688</v>
      </c>
      <c r="B184" s="7">
        <v>4011</v>
      </c>
      <c r="C184" s="24" t="s">
        <v>106</v>
      </c>
      <c r="D184" s="24" t="s">
        <v>689</v>
      </c>
      <c r="E184" s="15">
        <v>42646.743692129632</v>
      </c>
      <c r="F184" s="15">
        <v>42646.745057870372</v>
      </c>
      <c r="G184" s="7">
        <v>1</v>
      </c>
      <c r="H184" s="15" t="s">
        <v>671</v>
      </c>
      <c r="I184" s="15">
        <v>42646.756712962961</v>
      </c>
      <c r="J184" s="7">
        <v>0</v>
      </c>
      <c r="K184" s="117" t="str">
        <f t="shared" si="111"/>
        <v>4011/4012</v>
      </c>
      <c r="L184" s="24" t="str">
        <f>VLOOKUP(A184,'Trips&amp;Operators'!$C$1:$E$10000,3,FALSE)</f>
        <v>COOLAHAN</v>
      </c>
      <c r="M184" s="6">
        <f t="shared" si="112"/>
        <v>1.1655092588625848E-2</v>
      </c>
      <c r="N184" s="7">
        <f t="shared" si="96"/>
        <v>16.783333327621222</v>
      </c>
      <c r="O184" s="7"/>
      <c r="P184" s="7"/>
      <c r="Q184" s="25"/>
      <c r="R184" s="25"/>
      <c r="S184" s="37">
        <f t="shared" si="109"/>
        <v>1</v>
      </c>
      <c r="T184" s="52" t="str">
        <f t="shared" si="113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16:50:55-0600',mode:absolute,to:'2016-10-03 19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4" s="54" t="str">
        <f t="shared" si="114"/>
        <v>N</v>
      </c>
      <c r="X184" s="164">
        <f t="shared" si="120"/>
        <v>1</v>
      </c>
      <c r="Y184" s="69">
        <f t="shared" si="121"/>
        <v>4.3200000000000002E-2</v>
      </c>
      <c r="Z184" s="69">
        <f t="shared" si="110"/>
        <v>5.8943000000000003</v>
      </c>
      <c r="AA184" s="69">
        <f t="shared" si="115"/>
        <v>5.8511000000000006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116"/>
        <v>0835-03</v>
      </c>
      <c r="AE184" s="95" t="str">
        <f t="shared" si="117"/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AF184" s="92" t="str">
        <f t="shared" si="118"/>
        <v>"C:\Program Files (x86)\AstroGrep\AstroGrep.exe" /spath="%USERPROFILE%\AppData\Local\Temp\OnboardLogs" /stypes="app*4011*20161004*" /stext=" 00:.+((SYSTEM_STATE.+slice.+state.+changed )|(ment ac)|(system.+state.+changed )|(\[timeout)|(PRM\|1\|D)|(kpr)|(kdp)|(\|lc)|(penalty))" /e /r /s</v>
      </c>
      <c r="AG184" s="1" t="str">
        <f t="shared" si="119"/>
        <v>NW</v>
      </c>
      <c r="AH184" s="96" t="str">
        <f t="shared" si="106"/>
        <v>"%USERPROFILE%\Documents\GitHub\eaglep3\Utilities\RefineRTDCRunTimes.py" --tripid 835-03 --locoid 4011 --swversion DE.1.0.7.0 --startMP 204:432 --initTime 2016-10-03T17:50:55 --startdatetime 2016-10-03T17:52:53 --delay 1 --endMP 300:58943 --enddatetime 2016-10-03T18:09:40 --enforcementcount 0 &gt;&gt;C:\Users\stu\Documents\GitHub\eaglep3-reporting\EC\2016-10-03-refined-times.txt</v>
      </c>
      <c r="AI184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{"issue":{"subject":"","project_id":79,"tracker_id":40,"status_id":1,"priority_id":2,"assigned_to_id":23,"start_date":"2016-10-03","description":"","custom_fields":[{"id":1,"name":"Subdivision","value":"NW"},{"id":4,"name":"Milepost","value":"5.8943"},{"id":17,"name":"Train ID","value":"835-03"},{"id":16,"name":"Locomotive ID","value":"4011"},{"id":130,"name":"Impact","value":""},{"id":150,"name":"Time of Event (Mountain Time)","value":"18:09:40"},{"id":151,"name":"Denver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690</v>
      </c>
      <c r="B185" s="7">
        <v>4012</v>
      </c>
      <c r="C185" s="24" t="s">
        <v>106</v>
      </c>
      <c r="D185" s="24" t="s">
        <v>319</v>
      </c>
      <c r="E185" s="15">
        <v>42646.7575</v>
      </c>
      <c r="F185" s="15">
        <v>42646.758842592593</v>
      </c>
      <c r="G185" s="7">
        <v>1</v>
      </c>
      <c r="H185" s="15" t="s">
        <v>691</v>
      </c>
      <c r="I185" s="15">
        <v>42646.785509259258</v>
      </c>
      <c r="J185" s="7">
        <v>0</v>
      </c>
      <c r="K185" s="117" t="str">
        <f t="shared" si="111"/>
        <v>4011/4012</v>
      </c>
      <c r="L185" s="24" t="str">
        <f>VLOOKUP(A185,'Trips&amp;Operators'!$C$1:$E$10000,3,FALSE)</f>
        <v>COOLAHAN</v>
      </c>
      <c r="M185" s="6">
        <f t="shared" si="112"/>
        <v>2.6666666664823424E-2</v>
      </c>
      <c r="N185" s="7">
        <f t="shared" si="96"/>
        <v>38.399999997345731</v>
      </c>
      <c r="O185" s="7"/>
      <c r="P185" s="7"/>
      <c r="Q185" s="25"/>
      <c r="R185" s="25" t="s">
        <v>749</v>
      </c>
      <c r="S185" s="37">
        <f t="shared" si="109"/>
        <v>1</v>
      </c>
      <c r="T185" s="52" t="str">
        <f t="shared" si="113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17:10:48-0600',mode:absolute,to:'2016-10-03 19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5" s="54" t="str">
        <f t="shared" si="114"/>
        <v>N</v>
      </c>
      <c r="X185" s="164">
        <f t="shared" si="120"/>
        <v>1</v>
      </c>
      <c r="Y185" s="69">
        <f t="shared" si="121"/>
        <v>5.8616999999999999</v>
      </c>
      <c r="Z185" s="69">
        <f t="shared" si="110"/>
        <v>6.6299999999999998E-2</v>
      </c>
      <c r="AA185" s="69">
        <f t="shared" si="115"/>
        <v>5.7953999999999999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116"/>
        <v>0836-03</v>
      </c>
      <c r="AE185" s="95" t="str">
        <f t="shared" si="117"/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AF185" s="92" t="str">
        <f t="shared" si="118"/>
        <v>"C:\Program Files (x86)\AstroGrep\AstroGrep.exe" /spath="%USERPROFILE%\AppData\Local\Temp\OnboardLogs" /stypes="app*4012*20161004*" /stext=" 00:.+((SYSTEM_STATE.+slice.+state.+changed )|(ment ac)|(system.+state.+changed )|(\[timeout)|(PRM\|1\|D)|(kpr)|(kdp)|(\|lc)|(penalty))" /e /r /s</v>
      </c>
      <c r="AG185" s="1" t="str">
        <f t="shared" si="119"/>
        <v>NW</v>
      </c>
      <c r="AH185" s="96" t="str">
        <f t="shared" si="106"/>
        <v>"%USERPROFILE%\Documents\GitHub\eaglep3\Utilities\RefineRTDCRunTimes.py" --tripid 836-03 --locoid 4012 --swversion DE.1.0.7.0 --startMP 300:58617 --initTime 2016-10-03T18:10:48 --startdatetime 2016-10-03T18:12:44 --delay 1 --endMP 204:663 --enddatetime 2016-10-03T18:51:08 --enforcementcount 0 &gt;&gt;C:\Users\stu\Documents\GitHub\eaglep3-reporting\EC\2016-10-03-refined-times.txt</v>
      </c>
      <c r="AI185" s="130" t="str">
        <f t="shared" si="107"/>
        <v>echo {"issue":{"subject":"Delayed due to traffic","project_id":79,"tracker_id":40,"status_id":1,"priority_id":2,"assigned_to_id":23,"start_date":"2016-10-03","description":"","custom_fields":[{"id":1,"name":"Subdivision","value":"NW"},{"id":4,"name":"Milepost","value":"0.0663"},{"id":17,"name":"Train ID","value":"836-03"},{"id":16,"name":"Locomotive ID","value":"4012"},{"id":130,"name":"Impact","value":""},{"id":150,"name":"Time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692</v>
      </c>
      <c r="B186" s="7">
        <v>4031</v>
      </c>
      <c r="C186" s="24" t="s">
        <v>106</v>
      </c>
      <c r="D186" s="24" t="s">
        <v>693</v>
      </c>
      <c r="E186" s="15">
        <v>42646.768472222226</v>
      </c>
      <c r="F186" s="15">
        <v>42646.770636574074</v>
      </c>
      <c r="G186" s="7">
        <v>1</v>
      </c>
      <c r="H186" s="15" t="s">
        <v>694</v>
      </c>
      <c r="I186" s="15">
        <v>42646.782500000001</v>
      </c>
      <c r="J186" s="7">
        <v>0</v>
      </c>
      <c r="K186" s="117" t="str">
        <f t="shared" si="111"/>
        <v>4031/4032</v>
      </c>
      <c r="L186" s="24" t="str">
        <f>VLOOKUP(A186,'Trips&amp;Operators'!$C$1:$E$10000,3,FALSE)</f>
        <v>MAHAN</v>
      </c>
      <c r="M186" s="6">
        <f t="shared" si="112"/>
        <v>1.1863425927003846E-2</v>
      </c>
      <c r="N186" s="7">
        <f t="shared" si="96"/>
        <v>17.083333334885538</v>
      </c>
      <c r="O186" s="7"/>
      <c r="P186" s="7"/>
      <c r="Q186" s="25"/>
      <c r="R186" s="25"/>
      <c r="S186" s="37">
        <f t="shared" si="109"/>
        <v>1</v>
      </c>
      <c r="T186" s="52" t="str">
        <f t="shared" si="113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17:26:36-0600',mode:absolute,to:'2016-10-03 19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6" s="54" t="str">
        <f t="shared" si="114"/>
        <v>N</v>
      </c>
      <c r="X186" s="164">
        <f t="shared" si="120"/>
        <v>1</v>
      </c>
      <c r="Y186" s="69">
        <f t="shared" si="121"/>
        <v>6.5199999999999994E-2</v>
      </c>
      <c r="Z186" s="69">
        <f t="shared" si="110"/>
        <v>5.8968999999999996</v>
      </c>
      <c r="AA186" s="69">
        <f t="shared" si="115"/>
        <v>5.8316999999999997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116"/>
        <v>0837-03</v>
      </c>
      <c r="AE186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86" s="92" t="str">
        <f t="shared" si="118"/>
        <v>"C:\Program Files (x86)\AstroGrep\AstroGrep.exe" /spath="%USERPROFILE%\AppData\Local\Temp\OnboardLogs" /stypes="app*4031*20161004*" /stext=" 00:.+((SYSTEM_STATE.+slice.+state.+changed )|(ment ac)|(system.+state.+changed )|(\[timeout)|(PRM\|1\|D)|(kpr)|(kdp)|(\|lc)|(penalty))" /e /r /s</v>
      </c>
      <c r="AG186" s="1" t="str">
        <f t="shared" si="119"/>
        <v>NW</v>
      </c>
      <c r="AH186" s="96" t="str">
        <f t="shared" si="106"/>
        <v>"%USERPROFILE%\Documents\GitHub\eaglep3\Utilities\RefineRTDCRunTimes.py" --tripid 837-03 --locoid 4031 --swversion DE.1.0.7.0 --startMP 204:652 --initTime 2016-10-03T18:26:36 --startdatetime 2016-10-03T18:29:43 --delay 1 --endMP 300:58969 --enddatetime 2016-10-03T18:46:48 --enforcementcount 0 &gt;&gt;C:\Users\stu\Documents\GitHub\eaglep3-reporting\EC\2016-10-03-refined-times.txt</v>
      </c>
      <c r="AI186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{"issue":{"subject":"","project_id":79,"tracker_id":40,"status_id":1,"priority_id":2,"assigned_to_id":23,"start_date":"2016-10-03","description":"","custom_fields":[{"id":1,"name":"Subdivision","value":"NW"},{"id":4,"name":"Milepost","value":"5.8969"},{"id":17,"name":"Train ID","value":"837-03"},{"id":16,"name":"Locomotive ID","value":"4031"},{"id":130,"name":"Impact","value":""},{"id":150,"name":"Time of Event (Mountain Time)","value":"18:46:48"},{"id":151,"name":"Denver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695</v>
      </c>
      <c r="B187" s="7">
        <v>4032</v>
      </c>
      <c r="C187" s="24" t="s">
        <v>106</v>
      </c>
      <c r="D187" s="24" t="s">
        <v>661</v>
      </c>
      <c r="E187" s="15">
        <v>42646.783576388887</v>
      </c>
      <c r="F187" s="15">
        <v>42646.785243055558</v>
      </c>
      <c r="G187" s="7">
        <v>1</v>
      </c>
      <c r="H187" s="15" t="s">
        <v>696</v>
      </c>
      <c r="I187" s="15">
        <v>42646.793622685182</v>
      </c>
      <c r="J187" s="7">
        <v>0</v>
      </c>
      <c r="K187" s="117" t="str">
        <f t="shared" si="111"/>
        <v>4031/4032</v>
      </c>
      <c r="L187" s="24" t="str">
        <f>VLOOKUP(A187,'Trips&amp;Operators'!$C$1:$E$10000,3,FALSE)</f>
        <v>MAHAN</v>
      </c>
      <c r="M187" s="6">
        <f t="shared" si="112"/>
        <v>8.3796296239597723E-3</v>
      </c>
      <c r="N187" s="7"/>
      <c r="O187" s="7"/>
      <c r="P187" s="7">
        <f>24*60*SUM($M187:$M187)</f>
        <v>12.066666658502072</v>
      </c>
      <c r="Q187" s="25"/>
      <c r="R187" s="25" t="s">
        <v>747</v>
      </c>
      <c r="S187" s="37">
        <f t="shared" ref="S187:S208" si="122">SUM(U187:U187)/IF(AG187="EC",12,1)</f>
        <v>0</v>
      </c>
      <c r="T187" s="52" t="str">
        <f t="shared" si="113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17:48:21-0600',mode:absolute,to:'2016-10-03 20:02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4" t="str">
        <f t="shared" si="114"/>
        <v>Y</v>
      </c>
      <c r="X187" s="164">
        <f t="shared" si="120"/>
        <v>1</v>
      </c>
      <c r="Y187" s="69">
        <f t="shared" si="121"/>
        <v>5.8658000000000001</v>
      </c>
      <c r="Z187" s="69">
        <f t="shared" si="110"/>
        <v>1.4187000000000001</v>
      </c>
      <c r="AA187" s="69">
        <f t="shared" si="115"/>
        <v>4.4470999999999998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116"/>
        <v>0838-03</v>
      </c>
      <c r="AE187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87" s="92" t="str">
        <f t="shared" si="118"/>
        <v>"C:\Program Files (x86)\AstroGrep\AstroGrep.exe" /spath="%USERPROFILE%\AppData\Local\Temp\OnboardLogs" /stypes="app*4032*20161004*" /stext=" 01:.+((SYSTEM_STATE.+slice.+state.+changed )|(ment ac)|(system.+state.+changed )|(\[timeout)|(PRM\|1\|D)|(kpr)|(kdp)|(\|lc)|(penalty))" /e /r /s</v>
      </c>
      <c r="AG187" s="1" t="str">
        <f t="shared" si="119"/>
        <v>NW</v>
      </c>
      <c r="AH187" s="96" t="str">
        <f t="shared" si="106"/>
        <v>"%USERPROFILE%\Documents\GitHub\eaglep3\Utilities\RefineRTDCRunTimes.py" --tripid 838-03 --locoid 4032 --swversion DE.1.0.7.0 --startMP 300:58658 --initTime 2016-10-03T18:48:21 --startdatetime 2016-10-03T18:50:45 --delay 1 --endMP 300:14187 --enddatetime 2016-10-03T19:02:49 --enforcementcount 0 &gt;&gt;C:\Users\stu\Documents\GitHub\eaglep3-reporting\EC\2016-10-03-refined-times.txt</v>
      </c>
      <c r="AI187" s="130" t="str">
        <f t="shared" si="107"/>
        <v>echo {"issue":{"subject":"38th &amp; 41st 6S unresponsive to Clear controls","project_id":79,"tracker_id":40,"status_id":1,"priority_id":2,"assigned_to_id":23,"start_date":"2016-10-03","description":"At 19:04:04.252, received clear controls from dispatch, however 6S was not clearing. Was there any vital logic not being obeyed here, or was there an issue with the wayside?","custom_fields":[{"id":1,"name":"Subdivision","value":"NW"},{"id":4,"name":"Milepost","value":"1.4187"},{"id":17,"name":"Train ID","value":"838-03"},{"id":16,"name":"Locomotive ID","value":"4032"},{"id":130,"name":"Impact","value":"Unexpected Cut-Out or Disengaged"},{"id":150,"name":"Time of Event (Mountain Time)","value":"19:02:49"},{"id":151,"name":"Denver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87" s="55" t="s">
        <v>746</v>
      </c>
      <c r="AK187" s="55" t="s">
        <v>141</v>
      </c>
      <c r="AL187" s="55" t="s">
        <v>140</v>
      </c>
    </row>
    <row r="188" spans="1:38" s="23" customFormat="1" x14ac:dyDescent="0.25">
      <c r="A188" s="39" t="s">
        <v>697</v>
      </c>
      <c r="B188" s="7">
        <v>4011</v>
      </c>
      <c r="C188" s="24" t="s">
        <v>106</v>
      </c>
      <c r="D188" s="24" t="s">
        <v>698</v>
      </c>
      <c r="E188" s="15">
        <v>42646.786747685182</v>
      </c>
      <c r="F188" s="15">
        <v>42646.788194444445</v>
      </c>
      <c r="G188" s="7">
        <v>1</v>
      </c>
      <c r="H188" s="15" t="s">
        <v>699</v>
      </c>
      <c r="I188" s="15">
        <v>42646.801122685189</v>
      </c>
      <c r="J188" s="7">
        <v>0</v>
      </c>
      <c r="K188" s="117" t="str">
        <f t="shared" si="111"/>
        <v>4011/4012</v>
      </c>
      <c r="L188" s="24" t="str">
        <f>VLOOKUP(A188,'Trips&amp;Operators'!$C$1:$E$10000,3,FALSE)</f>
        <v>COOLAHAN</v>
      </c>
      <c r="M188" s="6">
        <f t="shared" si="112"/>
        <v>1.2928240743349306E-2</v>
      </c>
      <c r="N188" s="7">
        <f>24*60*SUM($M188:$M188)</f>
        <v>18.616666670423001</v>
      </c>
      <c r="O188" s="7"/>
      <c r="P188" s="7"/>
      <c r="Q188" s="25"/>
      <c r="R188" s="25"/>
      <c r="S188" s="37">
        <f t="shared" si="122"/>
        <v>1</v>
      </c>
      <c r="T188" s="52" t="str">
        <f t="shared" si="113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17:52:55-0600',mode:absolute,to:'2016-10-03 20:13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8" s="54" t="str">
        <f t="shared" si="114"/>
        <v>N</v>
      </c>
      <c r="X188" s="164">
        <f t="shared" si="120"/>
        <v>1</v>
      </c>
      <c r="Y188" s="69">
        <f t="shared" si="121"/>
        <v>9.4100000000000003E-2</v>
      </c>
      <c r="Z188" s="69">
        <f t="shared" si="110"/>
        <v>5.8971</v>
      </c>
      <c r="AA188" s="69">
        <f t="shared" si="115"/>
        <v>5.8029999999999999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116"/>
        <v>0839-03</v>
      </c>
      <c r="AE188" s="95" t="str">
        <f t="shared" si="117"/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AF188" s="92" t="str">
        <f t="shared" si="118"/>
        <v>"C:\Program Files (x86)\AstroGrep\AstroGrep.exe" /spath="%USERPROFILE%\AppData\Local\Temp\OnboardLogs" /stypes="app*4011*20161004*" /stext=" 01:.+((SYSTEM_STATE.+slice.+state.+changed )|(ment ac)|(system.+state.+changed )|(\[timeout)|(PRM\|1\|D)|(kpr)|(kdp)|(\|lc)|(penalty))" /e /r /s</v>
      </c>
      <c r="AG188" s="1" t="str">
        <f t="shared" si="119"/>
        <v>NW</v>
      </c>
      <c r="AH188" s="96" t="str">
        <f t="shared" si="106"/>
        <v>"%USERPROFILE%\Documents\GitHub\eaglep3\Utilities\RefineRTDCRunTimes.py" --tripid 839-03 --locoid 4011 --swversion DE.1.0.7.0 --startMP 204:941 --initTime 2016-10-03T18:52:55 --startdatetime 2016-10-03T18:55:00 --delay 1 --endMP 300:58971 --enddatetime 2016-10-03T19:13:37 --enforcementcount 0 &gt;&gt;C:\Users\stu\Documents\GitHub\eaglep3-reporting\EC\2016-10-03-refined-times.txt</v>
      </c>
      <c r="AI188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{"issue":{"subject":"","project_id":79,"tracker_id":40,"status_id":1,"priority_id":2,"assigned_to_id":23,"start_date":"2016-10-03","description":"","custom_fields":[{"id":1,"name":"Subdivision","value":"NW"},{"id":4,"name":"Milepost","value":"5.8971"},{"id":17,"name":"Train ID","value":"839-03"},{"id":16,"name":"Locomotive ID","value":"4011"},{"id":130,"name":"Impact","value":""},{"id":150,"name":"Time of Event (Mountain Time)","value":"19:13:37"},{"id":151,"name":"Denver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700</v>
      </c>
      <c r="B189" s="7">
        <v>4032</v>
      </c>
      <c r="C189" s="24" t="s">
        <v>106</v>
      </c>
      <c r="D189" s="24" t="s">
        <v>378</v>
      </c>
      <c r="E189" s="15">
        <v>42646.82335648148</v>
      </c>
      <c r="F189" s="15">
        <v>42646.825057870374</v>
      </c>
      <c r="G189" s="7">
        <v>1</v>
      </c>
      <c r="H189" s="15" t="s">
        <v>701</v>
      </c>
      <c r="I189" s="15">
        <v>42646.8356712963</v>
      </c>
      <c r="J189" s="7">
        <v>0</v>
      </c>
      <c r="K189" s="117" t="str">
        <f t="shared" si="111"/>
        <v>4031/4032</v>
      </c>
      <c r="L189" s="24" t="str">
        <f>VLOOKUP(A189,'Trips&amp;Operators'!$C$1:$E$10000,3,FALSE)</f>
        <v>MAHAN</v>
      </c>
      <c r="M189" s="6">
        <f t="shared" si="112"/>
        <v>1.0613425925839692E-2</v>
      </c>
      <c r="N189" s="7">
        <f>24*60*SUM($M189:$M189)</f>
        <v>15.283333333209157</v>
      </c>
      <c r="O189" s="7"/>
      <c r="P189" s="7"/>
      <c r="Q189" s="25"/>
      <c r="R189" s="25"/>
      <c r="S189" s="37">
        <f t="shared" si="122"/>
        <v>1</v>
      </c>
      <c r="T189" s="52" t="str">
        <f t="shared" si="113"/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18:45:38-0600',mode:absolute,to:'2016-10-03 21:03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9" s="54" t="str">
        <f t="shared" si="114"/>
        <v>N</v>
      </c>
      <c r="X189" s="164">
        <f t="shared" si="120"/>
        <v>1</v>
      </c>
      <c r="Y189" s="69">
        <f t="shared" si="121"/>
        <v>5.8651</v>
      </c>
      <c r="Z189" s="69">
        <f t="shared" si="110"/>
        <v>7.6399999999999996E-2</v>
      </c>
      <c r="AA189" s="69">
        <f t="shared" si="115"/>
        <v>5.7887000000000004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116"/>
        <v>0840-03</v>
      </c>
      <c r="AE189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89" s="92" t="str">
        <f t="shared" si="118"/>
        <v>"C:\Program Files (x86)\AstroGrep\AstroGrep.exe" /spath="%USERPROFILE%\AppData\Local\Temp\OnboardLogs" /stypes="app*4032*20161004*" /stext=" 02:.+((SYSTEM_STATE.+slice.+state.+changed )|(ment ac)|(system.+state.+changed )|(\[timeout)|(PRM\|1\|D)|(kpr)|(kdp)|(\|lc)|(penalty))" /e /r /s</v>
      </c>
      <c r="AG189" s="1" t="str">
        <f t="shared" si="119"/>
        <v>NW</v>
      </c>
      <c r="AH189" s="96" t="str">
        <f t="shared" si="106"/>
        <v>"%USERPROFILE%\Documents\GitHub\eaglep3\Utilities\RefineRTDCRunTimes.py" --tripid 840-03 --locoid 4032 --swversion DE.1.0.7.0 --startMP 300:58651 --initTime 2016-10-03T19:45:38 --startdatetime 2016-10-03T19:48:05 --delay 1 --endMP 204:764 --enddatetime 2016-10-03T20:03:22 --enforcementcount 0 &gt;&gt;C:\Users\stu\Documents\GitHub\eaglep3-reporting\EC\2016-10-03-refined-times.txt</v>
      </c>
      <c r="AI189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{"issue":{"subject":"","project_id":79,"tracker_id":40,"status_id":1,"priority_id":2,"assigned_to_id":23,"start_date":"2016-10-03","description":"","custom_fields":[{"id":1,"name":"Subdivision","value":"NW"},{"id":4,"name":"Milepost","value":"0.0764"},{"id":17,"name":"Train ID","value":"840-03"},{"id":16,"name":"Locomotive ID","value":"4032"},{"id":130,"name":"Impact","value":""},{"id":150,"name":"Time of Event (Mountain Time)","value":"20:03:22"},{"id":151,"name":"Denver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702</v>
      </c>
      <c r="B190" s="7">
        <v>4031</v>
      </c>
      <c r="C190" s="24" t="s">
        <v>106</v>
      </c>
      <c r="D190" s="24" t="s">
        <v>703</v>
      </c>
      <c r="E190" s="15">
        <v>42646.808518518519</v>
      </c>
      <c r="F190" s="15">
        <v>42646.811238425929</v>
      </c>
      <c r="G190" s="7">
        <v>1</v>
      </c>
      <c r="H190" s="15" t="s">
        <v>694</v>
      </c>
      <c r="I190" s="15">
        <v>42646.822511574072</v>
      </c>
      <c r="J190" s="7">
        <v>0</v>
      </c>
      <c r="K190" s="117" t="str">
        <f t="shared" si="111"/>
        <v>4031/4032</v>
      </c>
      <c r="L190" s="24" t="str">
        <f>VLOOKUP(A190,'Trips&amp;Operators'!$C$1:$E$10000,3,FALSE)</f>
        <v>MAHAN</v>
      </c>
      <c r="M190" s="6">
        <f t="shared" si="112"/>
        <v>1.1273148142208811E-2</v>
      </c>
      <c r="N190" s="7">
        <f>24*60*SUM($M190:$M190)</f>
        <v>16.233333324780688</v>
      </c>
      <c r="O190" s="7"/>
      <c r="P190" s="7"/>
      <c r="Q190" s="25"/>
      <c r="R190" s="25"/>
      <c r="S190" s="37">
        <f t="shared" si="122"/>
        <v>1</v>
      </c>
      <c r="T190" s="52" t="str">
        <f t="shared" si="113"/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18:24:16-0600',mode:absolute,to:'2016-10-03 20:44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0" s="54" t="str">
        <f t="shared" si="114"/>
        <v>N</v>
      </c>
      <c r="X190" s="164">
        <f t="shared" si="120"/>
        <v>1</v>
      </c>
      <c r="Y190" s="69">
        <f t="shared" si="121"/>
        <v>0.10489999999999999</v>
      </c>
      <c r="Z190" s="69">
        <f t="shared" si="110"/>
        <v>5.8968999999999996</v>
      </c>
      <c r="AA190" s="69">
        <f t="shared" si="115"/>
        <v>5.7919999999999998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116"/>
        <v>0841-03</v>
      </c>
      <c r="AE190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90" s="92" t="str">
        <f t="shared" si="118"/>
        <v>"C:\Program Files (x86)\AstroGrep\AstroGrep.exe" /spath="%USERPROFILE%\AppData\Local\Temp\OnboardLogs" /stypes="app*4031*20161004*" /stext=" 01:.+((SYSTEM_STATE.+slice.+state.+changed )|(ment ac)|(system.+state.+changed )|(\[timeout)|(PRM\|1\|D)|(kpr)|(kdp)|(\|lc)|(penalty))" /e /r /s</v>
      </c>
      <c r="AG190" s="1" t="str">
        <f t="shared" si="119"/>
        <v>NW</v>
      </c>
      <c r="AH190" s="96" t="str">
        <f t="shared" si="106"/>
        <v>"%USERPROFILE%\Documents\GitHub\eaglep3\Utilities\RefineRTDCRunTimes.py" --tripid 841-03 --locoid 4031 --swversion DE.1.0.7.0 --startMP 204:1049 --initTime 2016-10-03T19:24:16 --startdatetime 2016-10-03T19:28:11 --delay 1 --endMP 300:58969 --enddatetime 2016-10-03T19:44:25 --enforcementcount 0 &gt;&gt;C:\Users\stu\Documents\GitHub\eaglep3-reporting\EC\2016-10-03-refined-times.txt</v>
      </c>
      <c r="AI190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{"issue":{"subject":"","project_id":79,"tracker_id":40,"status_id":1,"priority_id":2,"assigned_to_id":23,"start_date":"2016-10-03","description":"","custom_fields":[{"id":1,"name":"Subdivision","value":"NW"},{"id":4,"name":"Milepost","value":"5.8969"},{"id":17,"name":"Train ID","value":"841-03"},{"id":16,"name":"Locomotive ID","value":"4031"},{"id":130,"name":"Impact","value":""},{"id":150,"name":"Time of Event (Mountain Time)","value":"19:44:25"},{"id":151,"name":"Denver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757</v>
      </c>
      <c r="B191" s="7"/>
      <c r="C191" s="24" t="s">
        <v>106</v>
      </c>
      <c r="D191" s="24" t="s">
        <v>703</v>
      </c>
      <c r="E191" s="15">
        <v>42646.808518518519</v>
      </c>
      <c r="F191" s="15"/>
      <c r="G191" s="7">
        <v>1</v>
      </c>
      <c r="H191" s="15" t="s">
        <v>694</v>
      </c>
      <c r="I191" s="15"/>
      <c r="J191" s="7">
        <v>0</v>
      </c>
      <c r="K191" s="117" t="str">
        <f t="shared" si="111"/>
        <v>-1/</v>
      </c>
      <c r="L191" s="24" t="e">
        <f>VLOOKUP(A191,'Trips&amp;Operators'!$C$1:$E$10000,3,FALSE)</f>
        <v>#N/A</v>
      </c>
      <c r="M191" s="6">
        <f t="shared" si="112"/>
        <v>0</v>
      </c>
      <c r="N191" s="7"/>
      <c r="O191" s="7"/>
      <c r="P191" s="7">
        <v>1</v>
      </c>
      <c r="Q191" s="25"/>
      <c r="R191" s="25" t="s">
        <v>751</v>
      </c>
      <c r="S191" s="37">
        <f t="shared" si="122"/>
        <v>0</v>
      </c>
      <c r="T191" s="52" t="str">
        <f t="shared" si="113"/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102" t="str">
        <f t="shared" ref="V191" si="123"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https://search-rtdc-monitor-bjffxe2xuh6vdkpspy63sjmuny.us-east-1.es.amazonaws.com/_plugin/kibana/#/discover/Steve-Slow-Train-Analysis-(2080s-and-2083s)?_g=(refreshInterval:(display:Off,section:0,value:0),time:(from:'2016-10-03 18:24:16-0600',mode:absolute,to:'1900-01-00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91" s="54" t="str">
        <f t="shared" si="114"/>
        <v>N</v>
      </c>
      <c r="X191" s="164">
        <f t="shared" si="120"/>
        <v>1</v>
      </c>
      <c r="Y191" s="69">
        <f t="shared" si="121"/>
        <v>0.10489999999999999</v>
      </c>
      <c r="Z191" s="69">
        <f t="shared" si="110"/>
        <v>5.8968999999999996</v>
      </c>
      <c r="AA191" s="69">
        <f t="shared" si="115"/>
        <v>5.7919999999999998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116"/>
        <v>0842-03</v>
      </c>
      <c r="AE191" s="95" t="str">
        <f t="shared" si="11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91" s="92" t="str">
        <f t="shared" si="118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91" s="1" t="str">
        <f t="shared" si="119"/>
        <v>NW</v>
      </c>
      <c r="AH191" s="96" t="str">
        <f t="shared" ref="AH191" si="124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842-03 --locoid  --swversion DE.1.0.7.0 --startMP 204:1049 --initTime 2016-10-03T19:24:16 --startdatetime 1900-01-00T00:00:00 --delay 1 --endMP 300:58969 --enddatetime 1900-01-00T00:00:00 --enforcementcount 0 &gt;&gt;C:\Users\stu\Documents\GitHub\eaglep3-reporting\EC\2016-10-03-refined-times.txt</v>
      </c>
      <c r="AI191" s="130" t="str">
        <f t="shared" ref="AI191" si="125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init","project_id":79,"tracker_id":40,"status_id":1,"priority_id":2,"assigned_to_id":23,"start_date":"1900-01-00","description":"","custom_fields":[{"id":1,"name":"Subdivision","value":"NW"},{"id":4,"name":"Milepost","value":"5.8969"},{"id":17,"name":"Train ID","value":"842-03"},{"id":16,"name":"Locomotive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704</v>
      </c>
      <c r="B192" s="7">
        <v>4031</v>
      </c>
      <c r="C192" s="24" t="s">
        <v>106</v>
      </c>
      <c r="D192" s="24" t="s">
        <v>376</v>
      </c>
      <c r="E192" s="15">
        <v>42646.839918981481</v>
      </c>
      <c r="F192" s="15">
        <v>42646.852141203701</v>
      </c>
      <c r="G192" s="7">
        <v>5</v>
      </c>
      <c r="H192" s="15" t="s">
        <v>705</v>
      </c>
      <c r="I192" s="15">
        <v>42646.85224537037</v>
      </c>
      <c r="J192" s="7">
        <v>0</v>
      </c>
      <c r="K192" s="117" t="str">
        <f t="shared" si="111"/>
        <v>4031/4032</v>
      </c>
      <c r="L192" s="24" t="str">
        <f>VLOOKUP(A192,'Trips&amp;Operators'!$C$1:$E$10000,3,FALSE)</f>
        <v>MAHAN</v>
      </c>
      <c r="M192" s="6">
        <f t="shared" si="112"/>
        <v>1.0416666918899864E-4</v>
      </c>
      <c r="N192" s="7"/>
      <c r="O192" s="7"/>
      <c r="P192" s="7">
        <f>24*60*SUM($M192:$M192)</f>
        <v>0.15000000363215804</v>
      </c>
      <c r="Q192" s="25"/>
      <c r="R192" s="25" t="s">
        <v>768</v>
      </c>
      <c r="S192" s="37">
        <f t="shared" si="122"/>
        <v>0</v>
      </c>
      <c r="T192" s="52" t="str">
        <f t="shared" si="113"/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19:09:29-0600',mode:absolute,to:'2016-10-03 21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2" s="54" t="str">
        <f t="shared" si="114"/>
        <v>Y</v>
      </c>
      <c r="X192" s="164">
        <f t="shared" ref="X192:X193" si="126">VALUE(LEFT(AD192,4))-VALUE(LEFT(AD191,4))</f>
        <v>1</v>
      </c>
      <c r="Y192" s="69">
        <f t="shared" si="121"/>
        <v>0.1032</v>
      </c>
      <c r="Z192" s="69">
        <f t="shared" si="110"/>
        <v>0.28439999999999999</v>
      </c>
      <c r="AA192" s="69">
        <f t="shared" si="115"/>
        <v>0.18119999999999997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116"/>
        <v>0843-03</v>
      </c>
      <c r="AE192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92" s="92" t="str">
        <f t="shared" si="118"/>
        <v>"C:\Program Files (x86)\AstroGrep\AstroGrep.exe" /spath="%USERPROFILE%\AppData\Local\Temp\OnboardLogs" /stypes="app*4031*20161004*" /stext=" 02:.+((SYSTEM_STATE.+slice.+state.+changed )|(ment ac)|(system.+state.+changed )|(\[timeout)|(PRM\|1\|D)|(kpr)|(kdp)|(\|lc)|(penalty))" /e /r /s</v>
      </c>
      <c r="AG192" s="1" t="str">
        <f t="shared" si="119"/>
        <v>NW</v>
      </c>
      <c r="AH192" s="96" t="str">
        <f t="shared" si="106"/>
        <v>"%USERPROFILE%\Documents\GitHub\eaglep3\Utilities\RefineRTDCRunTimes.py" --tripid 843-03 --locoid 4031 --swversion DE.1.0.7.0 --startMP 204:1032 --initTime 2016-10-03T20:09:29 --startdatetime 2016-10-03T20:27:05 --delay 5 --endMP 204:2844 --enddatetime 2016-10-03T20:27:14 --enforcementcount 0 &gt;&gt;C:\Users\stu\Documents\GitHub\eaglep3-reporting\EC\2016-10-03-refined-times.txt</v>
      </c>
      <c r="AI192" s="130" t="str">
        <f t="shared" si="107"/>
        <v>echo {"issue":{"subject":"No clear controls sent to DUS 16N, then Invalid Site Name in PSS","project_id":79,"tracker_id":40,"status_id":1,"priority_id":2,"assigned_to_id":23,"start_date":"2016-10-03","description":"PSS for DUS 16N did not work due to invalid Site Name. It should be SiteName=DU0031WCPM1 DeviceID=Signal 16N","custom_fields":[{"id":1,"name":"Subdivision","value":"NW"},{"id":4,"name":"Milepost","value":"0.2844"},{"id":17,"name":"Train ID","value":"843-03"},{"id":16,"name":"Locomotive ID","value":"4031"},{"id":130,"name":"Impact","value":"Unexpected Cut-Out or Disengaged"},{"id":150,"name":"Time of Event (Mountain Time)","value":"20:27:14"},{"id":151,"name":"Denver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92" s="55" t="s">
        <v>748</v>
      </c>
      <c r="AK192" s="55" t="s">
        <v>141</v>
      </c>
      <c r="AL192" s="55" t="s">
        <v>144</v>
      </c>
    </row>
    <row r="193" spans="1:38" x14ac:dyDescent="0.25">
      <c r="A193" s="39" t="s">
        <v>706</v>
      </c>
      <c r="B193" s="7">
        <v>4032</v>
      </c>
      <c r="C193" s="24" t="s">
        <v>106</v>
      </c>
      <c r="D193" s="24" t="s">
        <v>707</v>
      </c>
      <c r="E193" s="15">
        <v>42646.910474537035</v>
      </c>
      <c r="F193" s="15">
        <v>42646.913807870369</v>
      </c>
      <c r="G193" s="7">
        <v>3</v>
      </c>
      <c r="H193" s="15" t="s">
        <v>708</v>
      </c>
      <c r="I193" s="15">
        <v>42646.923310185186</v>
      </c>
      <c r="J193" s="7">
        <v>0</v>
      </c>
      <c r="K193" s="117" t="str">
        <f t="shared" si="111"/>
        <v>4031/4032</v>
      </c>
      <c r="L193" s="24" t="str">
        <f>VLOOKUP(A193,'Trips&amp;Operators'!$C$1:$E$10000,3,FALSE)</f>
        <v>COOLAHAN</v>
      </c>
      <c r="M193" s="6">
        <f t="shared" si="112"/>
        <v>9.5023148169275373E-3</v>
      </c>
      <c r="N193" s="7">
        <f t="shared" ref="N193:N208" si="127">24*60*SUM($M193:$M193)</f>
        <v>13.683333336375654</v>
      </c>
      <c r="O193" s="7"/>
      <c r="P193" s="7"/>
      <c r="Q193" s="25"/>
      <c r="R193" s="25"/>
      <c r="S193" s="37">
        <f t="shared" si="122"/>
        <v>1</v>
      </c>
      <c r="T193" s="52" t="str">
        <f t="shared" si="113"/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20:51:05-0600',mode:absolute,to:'2016-10-03 23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3" s="54" t="str">
        <f t="shared" si="114"/>
        <v>N</v>
      </c>
      <c r="X193" s="164">
        <f t="shared" si="126"/>
        <v>1</v>
      </c>
      <c r="Y193" s="69">
        <f t="shared" si="121"/>
        <v>5.8628</v>
      </c>
      <c r="Z193" s="69">
        <f t="shared" si="110"/>
        <v>6.8400000000000002E-2</v>
      </c>
      <c r="AA193" s="69">
        <f t="shared" si="115"/>
        <v>5.7944000000000004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116"/>
        <v>0844-03</v>
      </c>
      <c r="AE193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193" s="92" t="str">
        <f t="shared" si="118"/>
        <v>"C:\Program Files (x86)\AstroGrep\AstroGrep.exe" /spath="%USERPROFILE%\AppData\Local\Temp\OnboardLogs" /stypes="app*4032*20161004*" /stext=" 04:.+((SYSTEM_STATE.+slice.+state.+changed )|(ment ac)|(system.+state.+changed )|(\[timeout)|(PRM\|1\|D)|(kpr)|(kdp)|(\|lc)|(penalty))" /e /r /s</v>
      </c>
      <c r="AG193" s="1" t="str">
        <f t="shared" si="119"/>
        <v>NW</v>
      </c>
      <c r="AH193" s="96" t="str">
        <f t="shared" si="106"/>
        <v>"%USERPROFILE%\Documents\GitHub\eaglep3\Utilities\RefineRTDCRunTimes.py" --tripid 844-03 --locoid 4032 --swversion DE.1.0.7.0 --startMP 300:58628 --initTime 2016-10-03T21:51:05 --startdatetime 2016-10-03T21:55:53 --delay 3 --endMP 204:684 --enddatetime 2016-10-03T22:09:34 --enforcementcount 0 &gt;&gt;C:\Users\stu\Documents\GitHub\eaglep3-reporting\EC\2016-10-03-refined-times.txt</v>
      </c>
      <c r="AI193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{"issue":{"subject":"","project_id":79,"tracker_id":40,"status_id":1,"priority_id":2,"assigned_to_id":23,"start_date":"2016-10-03","description":"","custom_fields":[{"id":1,"name":"Subdivision","value":"NW"},{"id":4,"name":"Milepost","value":"0.0684"},{"id":17,"name":"Train ID","value":"844-03"},{"id":16,"name":"Locomotive ID","value":"4032"},{"id":130,"name":"Impact","value":""},{"id":150,"name":"Time of Event (Mountain Time)","value":"22:09:34"},{"id":151,"name":"Denver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709</v>
      </c>
      <c r="B194" s="7">
        <v>4031</v>
      </c>
      <c r="C194" s="24" t="s">
        <v>106</v>
      </c>
      <c r="D194" s="24" t="s">
        <v>710</v>
      </c>
      <c r="E194" s="15">
        <v>42646.897256944445</v>
      </c>
      <c r="F194" s="15">
        <v>42646.899745370371</v>
      </c>
      <c r="G194" s="7">
        <v>2</v>
      </c>
      <c r="H194" s="15" t="s">
        <v>671</v>
      </c>
      <c r="I194" s="15">
        <v>42646.909745370373</v>
      </c>
      <c r="J194" s="7">
        <v>0</v>
      </c>
      <c r="K194" s="117" t="str">
        <f t="shared" si="111"/>
        <v>4031/4032</v>
      </c>
      <c r="L194" s="24" t="str">
        <f>VLOOKUP(A194,'Trips&amp;Operators'!$C$1:$E$10000,3,FALSE)</f>
        <v>COOLAHAN</v>
      </c>
      <c r="M194" s="6">
        <f t="shared" si="112"/>
        <v>1.0000000002037268E-2</v>
      </c>
      <c r="N194" s="7">
        <f t="shared" si="127"/>
        <v>14.400000002933666</v>
      </c>
      <c r="O194" s="7"/>
      <c r="P194" s="7"/>
      <c r="Q194" s="25"/>
      <c r="R194" s="25"/>
      <c r="S194" s="37">
        <f t="shared" si="122"/>
        <v>1</v>
      </c>
      <c r="T194" s="52" t="str">
        <f t="shared" si="113"/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20:32:03-0600',mode:absolute,to:'2016-10-03 22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4" s="54" t="str">
        <f t="shared" si="114"/>
        <v>N</v>
      </c>
      <c r="X194" s="164">
        <f t="shared" ref="X194:X208" si="128">VALUE(LEFT(AD194,4))-VALUE(LEFT(AD193,4))</f>
        <v>1</v>
      </c>
      <c r="Y194" s="69">
        <f t="shared" si="121"/>
        <v>0.1009</v>
      </c>
      <c r="Z194" s="69">
        <f t="shared" si="110"/>
        <v>5.8943000000000003</v>
      </c>
      <c r="AA194" s="69">
        <f t="shared" si="115"/>
        <v>5.7934000000000001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116"/>
        <v>0845-03</v>
      </c>
      <c r="AE194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94" s="92" t="str">
        <f t="shared" si="118"/>
        <v>"C:\Program Files (x86)\AstroGrep\AstroGrep.exe" /spath="%USERPROFILE%\AppData\Local\Temp\OnboardLogs" /stypes="app*4031*20161004*" /stext=" 03:.+((SYSTEM_STATE.+slice.+state.+changed )|(ment ac)|(system.+state.+changed )|(\[timeout)|(PRM\|1\|D)|(kpr)|(kdp)|(\|lc)|(penalty))" /e /r /s</v>
      </c>
      <c r="AG194" s="1" t="str">
        <f t="shared" si="119"/>
        <v>NW</v>
      </c>
      <c r="AH194" s="96" t="str">
        <f t="shared" si="106"/>
        <v>"%USERPROFILE%\Documents\GitHub\eaglep3\Utilities\RefineRTDCRunTimes.py" --tripid 845-03 --locoid 4031 --swversion DE.1.0.7.0 --startMP 204:1009 --initTime 2016-10-03T21:32:03 --startdatetime 2016-10-03T21:35:38 --delay 2 --endMP 300:58943 --enddatetime 2016-10-03T21:50:02 --enforcementcount 0 &gt;&gt;C:\Users\stu\Documents\GitHub\eaglep3-reporting\EC\2016-10-03-refined-times.txt</v>
      </c>
      <c r="AI194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{"issue":{"subject":"","project_id":79,"tracker_id":40,"status_id":1,"priority_id":2,"assigned_to_id":23,"start_date":"2016-10-03","description":"","custom_fields":[{"id":1,"name":"Subdivision","value":"NW"},{"id":4,"name":"Milepost","value":"5.8943"},{"id":17,"name":"Train ID","value":"845-03"},{"id":16,"name":"Locomotive ID","value":"4031"},{"id":130,"name":"Impact","value":""},{"id":150,"name":"Time of Event (Mountain Time)","value":"21:50:02"},{"id":151,"name":"Denver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711</v>
      </c>
      <c r="B195" s="7">
        <v>4031</v>
      </c>
      <c r="C195" s="24" t="s">
        <v>106</v>
      </c>
      <c r="D195" s="24" t="s">
        <v>712</v>
      </c>
      <c r="E195" s="15">
        <v>42646.927916666667</v>
      </c>
      <c r="F195" s="15">
        <v>42646.931458333333</v>
      </c>
      <c r="G195" s="7">
        <v>1</v>
      </c>
      <c r="H195" s="15" t="s">
        <v>713</v>
      </c>
      <c r="I195" s="15">
        <v>42646.940879629627</v>
      </c>
      <c r="J195" s="7">
        <v>0</v>
      </c>
      <c r="K195" s="117" t="str">
        <f t="shared" si="111"/>
        <v>4031/4032</v>
      </c>
      <c r="L195" s="24" t="str">
        <f>VLOOKUP(A195,'Trips&amp;Operators'!$C$1:$E$10000,3,FALSE)</f>
        <v>COOLAHAN</v>
      </c>
      <c r="M195" s="6">
        <f t="shared" si="112"/>
        <v>9.4212962940218858E-3</v>
      </c>
      <c r="N195" s="7">
        <f t="shared" si="127"/>
        <v>13.566666663391516</v>
      </c>
      <c r="O195" s="7"/>
      <c r="P195" s="7"/>
      <c r="Q195" s="25"/>
      <c r="R195" s="25"/>
      <c r="S195" s="37">
        <f t="shared" si="122"/>
        <v>1</v>
      </c>
      <c r="T195" s="52" t="str">
        <f t="shared" si="113"/>
        <v>NorthBound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21:16:12-0600',mode:absolute,to:'2016-10-03 23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4" t="str">
        <f t="shared" si="114"/>
        <v>N</v>
      </c>
      <c r="X195" s="164">
        <f t="shared" si="128"/>
        <v>2</v>
      </c>
      <c r="Y195" s="69">
        <f t="shared" si="121"/>
        <v>9.7600000000000006E-2</v>
      </c>
      <c r="Z195" s="69">
        <f t="shared" si="110"/>
        <v>5.8940999999999999</v>
      </c>
      <c r="AA195" s="69">
        <f t="shared" si="115"/>
        <v>5.7965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116"/>
        <v>0847-03</v>
      </c>
      <c r="AE195" s="95" t="str">
        <f t="shared" si="117"/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AF195" s="92" t="str">
        <f t="shared" si="118"/>
        <v>"C:\Program Files (x86)\AstroGrep\AstroGrep.exe" /spath="%USERPROFILE%\AppData\Local\Temp\OnboardLogs" /stypes="app*4031*20161004*" /stext=" 04:.+((SYSTEM_STATE.+slice.+state.+changed )|(ment ac)|(system.+state.+changed )|(\[timeout)|(PRM\|1\|D)|(kpr)|(kdp)|(\|lc)|(penalty))" /e /r /s</v>
      </c>
      <c r="AG195" s="1" t="str">
        <f t="shared" si="119"/>
        <v>NW</v>
      </c>
      <c r="AH195" s="96" t="str">
        <f t="shared" si="106"/>
        <v>"%USERPROFILE%\Documents\GitHub\eaglep3\Utilities\RefineRTDCRunTimes.py" --tripid 847-03 --locoid 4031 --swversion DE.1.0.7.0 --startMP 204:976 --initTime 2016-10-03T22:16:12 --startdatetime 2016-10-03T22:21:18 --delay 1 --endMP 300:58941 --enddatetime 2016-10-03T22:34:52 --enforcementcount 0 &gt;&gt;C:\Users\stu\Documents\GitHub\eaglep3-reporting\EC\2016-10-03-refined-times.txt</v>
      </c>
      <c r="AI195" s="130" t="str">
        <f t="shared" si="107"/>
        <v>echo {"issue":{"subject":"","project_id":79,"tracker_id":40,"status_id":1,"priority_id":2,"assigned_to_id":23,"start_date":"2016-10-03","description":"","custom_fields":[{"id":1,"name":"Subdivision","value":"NW"},{"id":4,"name":"Milepost","value":"5.8941"},{"id":17,"name":"Train ID","value":"847-03"},{"id":16,"name":"Locomotive ID","value":"4031"},{"id":130,"name":"Impact","value":""},{"id":150,"name":"Time of Event (Mountain Time)","value":"22:34:52"},{"id":151,"name":"Denver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603</v>
      </c>
      <c r="B196" s="7">
        <v>4003</v>
      </c>
      <c r="C196" s="24" t="s">
        <v>106</v>
      </c>
      <c r="D196" s="24" t="s">
        <v>201</v>
      </c>
      <c r="E196" s="15">
        <v>42646.797731481478</v>
      </c>
      <c r="F196" s="15">
        <v>42646.808159722219</v>
      </c>
      <c r="G196" s="7">
        <v>2</v>
      </c>
      <c r="H196" s="15" t="s">
        <v>604</v>
      </c>
      <c r="I196" s="15">
        <v>42646.81490740741</v>
      </c>
      <c r="J196" s="7">
        <v>0</v>
      </c>
      <c r="K196" s="117" t="str">
        <f t="shared" si="111"/>
        <v>4003/4004</v>
      </c>
      <c r="L196" s="24" t="str">
        <f>VLOOKUP(A196,'Trips&amp;Operators'!$C$1:$E$10000,3,FALSE)</f>
        <v>CLARK</v>
      </c>
      <c r="M196" s="6">
        <f t="shared" si="112"/>
        <v>6.7476851909304969E-3</v>
      </c>
      <c r="N196" s="7">
        <f t="shared" si="127"/>
        <v>9.7166666749399155</v>
      </c>
      <c r="O196" s="7"/>
      <c r="P196" s="7"/>
      <c r="Q196" s="25"/>
      <c r="R196" s="25"/>
      <c r="S196" s="37">
        <f t="shared" si="122"/>
        <v>1</v>
      </c>
      <c r="T196" s="52" t="str">
        <f t="shared" si="113"/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18:08:44-0600',mode:absolute,to:'2016-10-03 20:33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6" s="54" t="str">
        <f t="shared" si="114"/>
        <v>Y</v>
      </c>
      <c r="X196" s="164">
        <f t="shared" si="128"/>
        <v>-544</v>
      </c>
      <c r="Y196" s="69">
        <f t="shared" si="121"/>
        <v>4.7100000000000003E-2</v>
      </c>
      <c r="Z196" s="69">
        <f t="shared" si="110"/>
        <v>2.3306</v>
      </c>
      <c r="AA196" s="69">
        <f t="shared" si="115"/>
        <v>2.2835000000000001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116"/>
        <v>0303-03</v>
      </c>
      <c r="AE196" s="95" t="str">
        <f t="shared" si="117"/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AF196" s="92" t="str">
        <f t="shared" si="118"/>
        <v>"C:\Program Files (x86)\AstroGrep\AstroGrep.exe" /spath="%USERPROFILE%\AppData\Local\Temp\OnboardLogs" /stypes="app*4003*20161004*" /stext=" 01:.+((SYSTEM_STATE.+slice.+state.+changed )|(ment ac)|(system.+state.+changed )|(\[timeout)|(PRM\|1\|D)|(kpr)|(kdp)|(\|lc)|(penalty))" /e /r /s</v>
      </c>
      <c r="AG196" s="1" t="str">
        <f t="shared" si="119"/>
        <v>Other</v>
      </c>
      <c r="AH196" s="96" t="str">
        <f t="shared" si="106"/>
        <v>"%USERPROFILE%\Documents\GitHub\eaglep3\Utilities\RefineRTDCRunTimes.py" --tripid 303-03 --locoid 4003 --swversion DE.1.0.7.0 --startMP 204:471 --initTime 2016-10-03T19:08:44 --startdatetime 2016-10-03T19:23:45 --delay 2 --endMP 300:23306 --enddatetime 2016-10-03T19:33:28 --enforcementcount 0 &gt;&gt;C:\Users\stu\Documents\GitHub\eaglep3-reporting\EC\2016-10-03-refined-times.txt</v>
      </c>
      <c r="AI196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{"issue":{"subject":"","project_id":79,"tracker_id":40,"status_id":1,"priority_id":2,"assigned_to_id":23,"start_date":"2016-10-03","description":"","custom_fields":[{"id":1,"name":"Subdivision","value":"Other"},{"id":4,"name":"Milepost","value":"2.3306"},{"id":17,"name":"Train ID","value":"303-03"},{"id":16,"name":"Locomotive ID","value":"4003"},{"id":130,"name":"Impact","value":""},{"id":150,"name":"Time of Event (Mountain Time)","value":"19:33:28"},{"id":151,"name":"Denver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605</v>
      </c>
      <c r="B197" s="7">
        <v>4040</v>
      </c>
      <c r="C197" s="24" t="s">
        <v>106</v>
      </c>
      <c r="D197" s="24" t="s">
        <v>370</v>
      </c>
      <c r="E197" s="15">
        <v>42647.027951388889</v>
      </c>
      <c r="F197" s="15">
        <v>42647.032094907408</v>
      </c>
      <c r="G197" s="7">
        <v>5</v>
      </c>
      <c r="H197" s="15" t="s">
        <v>391</v>
      </c>
      <c r="I197" s="15">
        <v>42647.0393287037</v>
      </c>
      <c r="J197" s="7">
        <v>0</v>
      </c>
      <c r="K197" s="117" t="str">
        <f t="shared" si="111"/>
        <v>4039/4040</v>
      </c>
      <c r="L197" s="24" t="str">
        <f>VLOOKUP(A197,'Trips&amp;Operators'!$C$1:$E$10000,3,FALSE)</f>
        <v>LEVERE</v>
      </c>
      <c r="M197" s="6">
        <f t="shared" si="112"/>
        <v>7.2337962919846177E-3</v>
      </c>
      <c r="N197" s="7">
        <f t="shared" si="127"/>
        <v>10.41666666045785</v>
      </c>
      <c r="O197" s="7"/>
      <c r="P197" s="7"/>
      <c r="Q197" s="25"/>
      <c r="R197" s="25"/>
      <c r="S197" s="37">
        <f t="shared" si="122"/>
        <v>1</v>
      </c>
      <c r="T197" s="52" t="str">
        <f t="shared" si="113"/>
        <v>NorthBound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23:40:15-0600',mode:absolute,to:'2016-10-04 01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7" s="54" t="str">
        <f t="shared" si="114"/>
        <v>Y</v>
      </c>
      <c r="X197" s="164">
        <f t="shared" si="128"/>
        <v>6</v>
      </c>
      <c r="Y197" s="69">
        <f t="shared" si="121"/>
        <v>4.6899999999999997E-2</v>
      </c>
      <c r="Z197" s="69">
        <f t="shared" si="110"/>
        <v>2.2827999999999999</v>
      </c>
      <c r="AA197" s="69">
        <f t="shared" si="115"/>
        <v>2.2359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116"/>
        <v>0309-03</v>
      </c>
      <c r="AE197" s="95" t="str">
        <f t="shared" si="117"/>
        <v>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 &amp; aws s3 cp s3://rtdc.mdm.uploadarchive.raw/RTDC4040/ "%USERPROFILE%\AppData\Local\Temp\OnboardLogs"\RTDC4040\2016-10-05 --exclude "*" --recursive --include "*20161005*" &amp; "%USERPROFILE%\Documents\GitHub\mrs-test-scripts\Headless Mode &amp; Sideloading\WalkAndUnGZ.bat" "%USERPROFILE%\AppData\Local\Temp\OnboardLogs"\RTDC4040\2016-10-05</v>
      </c>
      <c r="AF197" s="92" t="str">
        <f t="shared" si="118"/>
        <v>"C:\Program Files (x86)\AstroGrep\AstroGrep.exe" /spath="%USERPROFILE%\AppData\Local\Temp\OnboardLogs" /stypes="app*4040*20161004*" /stext=" 06:.+((SYSTEM_STATE.+slice.+state.+changed )|(ment ac)|(system.+state.+changed )|(\[timeout)|(PRM\|1\|D)|(kpr)|(kdp)|(\|lc)|(penalty))" /e /r /s</v>
      </c>
      <c r="AG197" s="1" t="str">
        <f t="shared" si="119"/>
        <v>Other</v>
      </c>
      <c r="AH197" s="96" t="str">
        <f t="shared" si="106"/>
        <v>"%USERPROFILE%\Documents\GitHub\eaglep3\Utilities\RefineRTDCRunTimes.py" --tripid 309-03 --locoid 4040 --swversion DE.1.0.7.0 --startMP 204:469 --initTime 2016-10-04T00:40:15 --startdatetime 2016-10-04T00:46:13 --delay 5 --endMP 300:22828 --enddatetime 2016-10-04T00:56:38 --enforcementcount 0 &gt;&gt;C:\Users\stu\Documents\GitHub\eaglep3-reporting\EC\2016-10-03-refined-times.txt</v>
      </c>
      <c r="AI197" s="130" t="str">
        <f t="shared" si="107"/>
        <v>echo {"issue":{"subject":"","project_id":79,"tracker_id":40,"status_id":1,"priority_id":2,"assigned_to_id":23,"start_date":"2016-10-04","description":"","custom_fields":[{"id":1,"name":"Subdivision","value":"Other"},{"id":4,"name":"Milepost","value":"2.2828"},{"id":17,"name":"Train ID","value":"309-03"},{"id":16,"name":"Locomotive ID","value":"4040"},{"id":130,"name":"Impact","value":""},{"id":150,"name":"Time of Event (Mountain Time)","value":"00:56:38"},{"id":151,"name":"Denver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606</v>
      </c>
      <c r="B198" s="7">
        <v>4009</v>
      </c>
      <c r="C198" s="24" t="s">
        <v>106</v>
      </c>
      <c r="D198" s="24" t="s">
        <v>523</v>
      </c>
      <c r="E198" s="15">
        <v>42647.047581018516</v>
      </c>
      <c r="F198" s="15">
        <v>25568.708333333332</v>
      </c>
      <c r="G198" s="7">
        <v>1</v>
      </c>
      <c r="H198" s="15" t="s">
        <v>607</v>
      </c>
      <c r="I198" s="15">
        <v>25568.708333333332</v>
      </c>
      <c r="J198" s="7">
        <v>0</v>
      </c>
      <c r="K198" s="117" t="str">
        <f t="shared" si="111"/>
        <v>4009/4010</v>
      </c>
      <c r="L198" s="24" t="str">
        <f>VLOOKUP(A198,'Trips&amp;Operators'!$C$1:$E$10000,3,FALSE)</f>
        <v>NEWELL</v>
      </c>
      <c r="M198" s="6">
        <f t="shared" si="112"/>
        <v>0</v>
      </c>
      <c r="N198" s="7">
        <f t="shared" si="127"/>
        <v>0</v>
      </c>
      <c r="O198" s="7"/>
      <c r="P198" s="7"/>
      <c r="Q198" s="25"/>
      <c r="R198" s="25"/>
      <c r="S198" s="37">
        <f t="shared" si="122"/>
        <v>1</v>
      </c>
      <c r="T198" s="52" t="str">
        <f t="shared" si="113"/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https://search-rtdc-monitor-bjffxe2xuh6vdkpspy63sjmuny.us-east-1.es.amazonaws.com/_plugin/kibana/#/discover/Steve-Slow-Train-Analysis-(2080s-and-2083s)?_g=(refreshInterval:(display:Off,section:0,value:0),time:(from:'2016-10-04 00:08:31-0600',mode:absolute,to:'1969-12-31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54" t="str">
        <f t="shared" si="114"/>
        <v>Y</v>
      </c>
      <c r="X198" s="164">
        <f t="shared" si="128"/>
        <v>2</v>
      </c>
      <c r="Y198" s="69">
        <f t="shared" si="121"/>
        <v>4.8000000000000001E-2</v>
      </c>
      <c r="Z198" s="69">
        <f t="shared" si="110"/>
        <v>2.3300999999999998</v>
      </c>
      <c r="AA198" s="69">
        <f t="shared" si="115"/>
        <v>2.2820999999999998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116"/>
        <v>0311-03</v>
      </c>
      <c r="AE198" s="95" t="str">
        <f t="shared" si="11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198" s="92" t="str">
        <f t="shared" si="118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198" s="1" t="str">
        <f t="shared" si="119"/>
        <v>Other</v>
      </c>
      <c r="AH198" s="96" t="str">
        <f t="shared" si="106"/>
        <v>"%USERPROFILE%\Documents\GitHub\eaglep3\Utilities\RefineRTDCRunTimes.py" --tripid 311-03 --locoid 4009 --swversion DE.1.0.7.0 --startMP 204:480 --initTime 2016-10-04T01:08:31 --startdatetime 1969-12-31T17:00:00 --delay 1 --endMP 300:23301 --enddatetime 1969-12-31T17:00:00 --enforcementcount 0 &gt;&gt;C:\Users\stu\Documents\GitHub\eaglep3-reporting\EC\2016-10-03-refined-times.txt</v>
      </c>
      <c r="AI198" s="130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ID","value":"311-03"},{"id":16,"name":"Locomotive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608</v>
      </c>
      <c r="B199" s="7">
        <v>4046</v>
      </c>
      <c r="C199" s="24" t="s">
        <v>106</v>
      </c>
      <c r="D199" s="24" t="s">
        <v>609</v>
      </c>
      <c r="E199" s="15">
        <v>42647.069178240738</v>
      </c>
      <c r="F199" s="15">
        <v>42647.070775462962</v>
      </c>
      <c r="G199" s="7">
        <v>1</v>
      </c>
      <c r="H199" s="15" t="s">
        <v>610</v>
      </c>
      <c r="I199" s="15">
        <v>42647.07644675926</v>
      </c>
      <c r="J199" s="7">
        <v>0</v>
      </c>
      <c r="K199" s="117" t="str">
        <f t="shared" si="111"/>
        <v>4045/4046</v>
      </c>
      <c r="L199" s="24" t="str">
        <f>VLOOKUP(A199,'Trips&amp;Operators'!$C$1:$E$10000,3,FALSE)</f>
        <v>CHANDLER</v>
      </c>
      <c r="M199" s="6">
        <f t="shared" si="112"/>
        <v>5.6712962978053838E-3</v>
      </c>
      <c r="N199" s="7">
        <f t="shared" si="127"/>
        <v>8.1666666688397527</v>
      </c>
      <c r="O199" s="7"/>
      <c r="P199" s="7"/>
      <c r="Q199" s="25"/>
      <c r="R199" s="25"/>
      <c r="S199" s="37">
        <f t="shared" si="122"/>
        <v>1</v>
      </c>
      <c r="T199" s="52" t="str">
        <f t="shared" si="113"/>
        <v>NorthBound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https://search-rtdc-monitor-bjffxe2xuh6vdkpspy63sjmuny.us-east-1.es.amazonaws.com/_plugin/kibana/#/discover/Steve-Slow-Train-Analysis-(2080s-and-2083s)?_g=(refreshInterval:(display:Off,section:0,value:0),time:(from:'2016-10-04 00:39:37-0600',mode:absolute,to:'2016-10-04 02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9" s="54" t="str">
        <f t="shared" si="114"/>
        <v>Y</v>
      </c>
      <c r="X199" s="164">
        <f t="shared" si="128"/>
        <v>2</v>
      </c>
      <c r="Y199" s="69">
        <f t="shared" si="121"/>
        <v>5.0200000000000002E-2</v>
      </c>
      <c r="Z199" s="69">
        <f t="shared" si="110"/>
        <v>2.2250000000000001</v>
      </c>
      <c r="AA199" s="69">
        <f t="shared" si="115"/>
        <v>2.1748000000000003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116"/>
        <v>0313-03</v>
      </c>
      <c r="AE199" s="95" t="str">
        <f t="shared" si="117"/>
        <v>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 &amp; aws s3 cp s3://rtdc.mdm.uploadarchive.raw/RTDC4046/ "%USERPROFILE%\AppData\Local\Temp\OnboardLogs"\RTDC4046\2016-10-05 --exclude "*" --recursive --include "*20161005*" &amp; "%USERPROFILE%\Documents\GitHub\mrs-test-scripts\Headless Mode &amp; Sideloading\WalkAndUnGZ.bat" "%USERPROFILE%\AppData\Local\Temp\OnboardLogs"\RTDC4046\2016-10-05</v>
      </c>
      <c r="AF199" s="92" t="str">
        <f t="shared" si="118"/>
        <v>"C:\Program Files (x86)\AstroGrep\AstroGrep.exe" /spath="%USERPROFILE%\AppData\Local\Temp\OnboardLogs" /stypes="app*4046*20161004*" /stext=" 07:.+((SYSTEM_STATE.+slice.+state.+changed )|(ment ac)|(system.+state.+changed )|(\[timeout)|(PRM\|1\|D)|(kpr)|(kdp)|(\|lc)|(penalty))" /e /r /s</v>
      </c>
      <c r="AG199" s="1" t="str">
        <f t="shared" si="119"/>
        <v>Other</v>
      </c>
      <c r="AH199" s="96" t="str">
        <f t="shared" si="106"/>
        <v>"%USERPROFILE%\Documents\GitHub\eaglep3\Utilities\RefineRTDCRunTimes.py" --tripid 313-03 --locoid 4046 --swversion DE.1.0.7.0 --startMP 204:502 --initTime 2016-10-04T01:39:37 --startdatetime 2016-10-04T01:41:55 --delay 1 --endMP 300:22250 --enddatetime 2016-10-04T01:50:05 --enforcementcount 0 &gt;&gt;C:\Users\stu\Documents\GitHub\eaglep3-reporting\EC\2016-10-03-refined-times.txt</v>
      </c>
      <c r="AI199" s="130" t="str">
        <f t="shared" si="107"/>
        <v>echo {"issue":{"subject":"","project_id":79,"tracker_id":40,"status_id":1,"priority_id":2,"assigned_to_id":23,"start_date":"2016-10-04","description":"","custom_fields":[{"id":1,"name":"Subdivision","value":"Other"},{"id":4,"name":"Milepost","value":"2.225"},{"id":17,"name":"Train ID","value":"313-03"},{"id":16,"name":"Locomotive ID","value":"4046"},{"id":130,"name":"Impact","value":""},{"id":150,"name":"Time of Event (Mountain Time)","value":"01:50:05"},{"id":151,"name":"Denver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394</v>
      </c>
      <c r="B200" s="7">
        <v>4014</v>
      </c>
      <c r="C200" s="24" t="s">
        <v>106</v>
      </c>
      <c r="D200" s="24" t="s">
        <v>395</v>
      </c>
      <c r="E200" s="15">
        <v>42646.088946759257</v>
      </c>
      <c r="F200" s="15">
        <v>42646.090520833335</v>
      </c>
      <c r="G200" s="7">
        <v>1</v>
      </c>
      <c r="H200" s="15" t="s">
        <v>396</v>
      </c>
      <c r="I200" s="15">
        <v>42646.096550925926</v>
      </c>
      <c r="J200" s="7">
        <v>0</v>
      </c>
      <c r="K200" s="117" t="str">
        <f t="shared" si="111"/>
        <v>4013/4014</v>
      </c>
      <c r="L200" s="24" t="str">
        <f>VLOOKUP(A200,'Trips&amp;Operators'!$C$1:$E$10000,3,FALSE)</f>
        <v>CHANDLER</v>
      </c>
      <c r="M200" s="6">
        <f t="shared" si="112"/>
        <v>6.0300925906631164E-3</v>
      </c>
      <c r="N200" s="7">
        <f t="shared" si="127"/>
        <v>8.6833333305548877</v>
      </c>
      <c r="O200" s="7"/>
      <c r="P200" s="7"/>
      <c r="Q200" s="25"/>
      <c r="R200" s="25"/>
      <c r="S200" s="37">
        <f t="shared" si="122"/>
        <v>1</v>
      </c>
      <c r="T200" s="52" t="str">
        <f t="shared" si="113"/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01:08:05-0600',mode:absolute,to:'2016-10-03 03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0" s="54" t="str">
        <f t="shared" si="114"/>
        <v>Y</v>
      </c>
      <c r="X200" s="164">
        <f t="shared" si="128"/>
        <v>2</v>
      </c>
      <c r="Y200" s="69">
        <f t="shared" si="121"/>
        <v>4.3700000000000003E-2</v>
      </c>
      <c r="Z200" s="69">
        <f t="shared" si="110"/>
        <v>2.3296999999999999</v>
      </c>
      <c r="AA200" s="69">
        <f t="shared" si="115"/>
        <v>2.286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116"/>
        <v>0315-02</v>
      </c>
      <c r="AE200" s="95" t="str">
        <f t="shared" si="117"/>
        <v>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 &amp; aws s3 cp s3://rtdc.mdm.uploadarchive.raw/RTDC4014/ "%USERPROFILE%\AppData\Local\Temp\OnboardLogs"\RTDC4014\2016-10-04 --exclude "*" --recursive --include "*20161004*" &amp; "%USERPROFILE%\Documents\GitHub\mrs-test-scripts\Headless Mode &amp; Sideloading\WalkAndUnGZ.bat" "%USERPROFILE%\AppData\Local\Temp\OnboardLogs"\RTDC4014\2016-10-04</v>
      </c>
      <c r="AF200" s="92" t="str">
        <f t="shared" si="118"/>
        <v>"C:\Program Files (x86)\AstroGrep\AstroGrep.exe" /spath="%USERPROFILE%\AppData\Local\Temp\OnboardLogs" /stypes="app*4014*20161003*" /stext=" 08:.+((SYSTEM_STATE.+slice.+state.+changed )|(ment ac)|(system.+state.+changed )|(\[timeout)|(PRM\|1\|D)|(kpr)|(kdp)|(\|lc)|(penalty))" /e /r /s</v>
      </c>
      <c r="AG200" s="1" t="str">
        <f t="shared" si="119"/>
        <v>Other</v>
      </c>
      <c r="AH200" s="96" t="str">
        <f t="shared" si="106"/>
        <v>"%USERPROFILE%\Documents\GitHub\eaglep3\Utilities\RefineRTDCRunTimes.py" --tripid 315-02 --locoid 4014 --swversion DE.1.0.7.0 --startMP 204:437 --initTime 2016-10-03T02:08:05 --startdatetime 2016-10-03T02:10:21 --delay 1 --endMP 300:23297 --enddatetime 2016-10-03T02:19:02 --enforcementcount 0 &gt;&gt;C:\Users\stu\Documents\GitHub\eaglep3-reporting\EC\2016-10-03-refined-times.txt</v>
      </c>
      <c r="AI200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{"issue":{"subject":"","project_id":79,"tracker_id":40,"status_id":1,"priority_id":2,"assigned_to_id":23,"start_date":"2016-10-03","description":"","custom_fields":[{"id":1,"name":"Subdivision","value":"Other"},{"id":4,"name":"Milepost","value":"2.3297"},{"id":17,"name":"Train ID","value":"315-02"},{"id":16,"name":"Locomotive ID","value":"4014"},{"id":130,"name":"Impact","value":""},{"id":150,"name":"Time of Event (Mountain Time)","value":"02:19:02"},{"id":151,"name":"Denver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611</v>
      </c>
      <c r="B201" s="7">
        <v>4002</v>
      </c>
      <c r="C201" s="24" t="s">
        <v>106</v>
      </c>
      <c r="D201" s="24" t="s">
        <v>523</v>
      </c>
      <c r="E201" s="15">
        <v>42647.089108796295</v>
      </c>
      <c r="F201" s="15">
        <v>42647.092511574076</v>
      </c>
      <c r="G201" s="7">
        <v>1</v>
      </c>
      <c r="H201" s="15" t="s">
        <v>604</v>
      </c>
      <c r="I201" s="15">
        <v>42647.100428240738</v>
      </c>
      <c r="J201" s="7">
        <v>0</v>
      </c>
      <c r="K201" s="117" t="str">
        <f t="shared" si="111"/>
        <v>4001/4002</v>
      </c>
      <c r="L201" s="24" t="str">
        <f>VLOOKUP(A201,'Trips&amp;Operators'!$C$1:$E$10000,3,FALSE)</f>
        <v>SMITH</v>
      </c>
      <c r="M201" s="6">
        <f t="shared" si="112"/>
        <v>7.916666661913041E-3</v>
      </c>
      <c r="N201" s="7">
        <f t="shared" si="127"/>
        <v>11.399999993154779</v>
      </c>
      <c r="O201" s="7"/>
      <c r="P201" s="7"/>
      <c r="Q201" s="25"/>
      <c r="R201" s="25"/>
      <c r="S201" s="37">
        <f t="shared" si="122"/>
        <v>1</v>
      </c>
      <c r="T201" s="52" t="str">
        <f t="shared" si="113"/>
        <v>NorthBound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https://search-rtdc-monitor-bjffxe2xuh6vdkpspy63sjmuny.us-east-1.es.amazonaws.com/_plugin/kibana/#/discover/Steve-Slow-Train-Analysis-(2080s-and-2083s)?_g=(refreshInterval:(display:Off,section:0,value:0),time:(from:'2016-10-04 01:08:19-0600',mode:absolute,to:'2016-10-04 03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1" s="54" t="str">
        <f t="shared" si="114"/>
        <v>Y</v>
      </c>
      <c r="X201" s="164">
        <f t="shared" si="128"/>
        <v>0</v>
      </c>
      <c r="Y201" s="69">
        <f t="shared" si="121"/>
        <v>4.8000000000000001E-2</v>
      </c>
      <c r="Z201" s="69">
        <f t="shared" si="110"/>
        <v>2.3306</v>
      </c>
      <c r="AA201" s="69">
        <f t="shared" si="115"/>
        <v>2.2826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116"/>
        <v>0315-03</v>
      </c>
      <c r="AE201" s="95" t="str">
        <f t="shared" si="117"/>
        <v>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 &amp; 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</v>
      </c>
      <c r="AF201" s="92" t="str">
        <f t="shared" si="118"/>
        <v>"C:\Program Files (x86)\AstroGrep\AstroGrep.exe" /spath="%USERPROFILE%\AppData\Local\Temp\OnboardLogs" /stypes="app*4002*20161004*" /stext=" 08:.+((SYSTEM_STATE.+slice.+state.+changed )|(ment ac)|(system.+state.+changed )|(\[timeout)|(PRM\|1\|D)|(kpr)|(kdp)|(\|lc)|(penalty))" /e /r /s</v>
      </c>
      <c r="AG201" s="1" t="str">
        <f t="shared" si="119"/>
        <v>Other</v>
      </c>
      <c r="AH201" s="96" t="str">
        <f t="shared" si="106"/>
        <v>"%USERPROFILE%\Documents\GitHub\eaglep3\Utilities\RefineRTDCRunTimes.py" --tripid 315-03 --locoid 4002 --swversion DE.1.0.7.0 --startMP 204:480 --initTime 2016-10-04T02:08:19 --startdatetime 2016-10-04T02:13:13 --delay 1 --endMP 300:23306 --enddatetime 2016-10-04T02:24:37 --enforcementcount 0 &gt;&gt;C:\Users\stu\Documents\GitHub\eaglep3-reporting\EC\2016-10-03-refined-times.txt</v>
      </c>
      <c r="AI201" s="130" t="str">
        <f t="shared" si="107"/>
        <v>echo {"issue":{"subject":"","project_id":79,"tracker_id":40,"status_id":1,"priority_id":2,"assigned_to_id":23,"start_date":"2016-10-04","description":"","custom_fields":[{"id":1,"name":"Subdivision","value":"Other"},{"id":4,"name":"Milepost","value":"2.3306"},{"id":17,"name":"Train ID","value":"315-03"},{"id":16,"name":"Locomotive ID","value":"4002"},{"id":130,"name":"Impact","value":""},{"id":150,"name":"Time of Event (Mountain Time)","value":"02:24:37"},{"id":151,"name":"Denver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714</v>
      </c>
      <c r="B202" s="7">
        <v>4032</v>
      </c>
      <c r="C202" s="24" t="s">
        <v>106</v>
      </c>
      <c r="D202" s="24" t="s">
        <v>715</v>
      </c>
      <c r="E202" s="15">
        <v>42646.941631944443</v>
      </c>
      <c r="F202" s="15">
        <v>42646.943819444445</v>
      </c>
      <c r="G202" s="7">
        <v>1</v>
      </c>
      <c r="H202" s="15" t="s">
        <v>716</v>
      </c>
      <c r="I202" s="15">
        <v>42646.948229166665</v>
      </c>
      <c r="J202" s="7">
        <v>0</v>
      </c>
      <c r="K202" s="117" t="str">
        <f t="shared" si="111"/>
        <v>4031/4032</v>
      </c>
      <c r="L202" s="24" t="str">
        <f>VLOOKUP(A202,'Trips&amp;Operators'!$C$1:$E$10000,3,FALSE)</f>
        <v>COOLAHAN</v>
      </c>
      <c r="M202" s="6">
        <f t="shared" si="112"/>
        <v>4.4097222198615782E-3</v>
      </c>
      <c r="N202" s="7">
        <f t="shared" si="127"/>
        <v>6.3499999966006726</v>
      </c>
      <c r="O202" s="7"/>
      <c r="P202" s="7"/>
      <c r="Q202" s="25"/>
      <c r="R202" s="25"/>
      <c r="S202" s="37">
        <f t="shared" si="122"/>
        <v>0</v>
      </c>
      <c r="T202" s="52" t="str">
        <f t="shared" si="113"/>
        <v>Southbound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21:35:57-0600',mode:absolute,to:'2016-10-03 23:45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2" s="54" t="str">
        <f t="shared" si="114"/>
        <v>Y</v>
      </c>
      <c r="X202" s="164">
        <f t="shared" si="128"/>
        <v>593</v>
      </c>
      <c r="Y202" s="69">
        <f t="shared" si="121"/>
        <v>5.8619000000000003</v>
      </c>
      <c r="Z202" s="69">
        <f t="shared" ref="Z202:Z208" si="129">RIGHT(H202,LEN(H202)-4)/10000</f>
        <v>2.1480999999999999</v>
      </c>
      <c r="AA202" s="69">
        <f t="shared" si="115"/>
        <v>3.7138000000000004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116"/>
        <v>0908-03</v>
      </c>
      <c r="AE202" s="95" t="str">
        <f t="shared" si="117"/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AF202" s="92" t="str">
        <f t="shared" si="118"/>
        <v>"C:\Program Files (x86)\AstroGrep\AstroGrep.exe" /spath="%USERPROFILE%\AppData\Local\Temp\OnboardLogs" /stypes="app*4032*20161004*" /stext=" 04:.+((SYSTEM_STATE.+slice.+state.+changed )|(ment ac)|(system.+state.+changed )|(\[timeout)|(PRM\|1\|D)|(kpr)|(kdp)|(\|lc)|(penalty))" /e /r /s</v>
      </c>
      <c r="AG202" s="1" t="str">
        <f t="shared" si="119"/>
        <v>Other</v>
      </c>
      <c r="AH202" s="96" t="str">
        <f t="shared" si="106"/>
        <v>"%USERPROFILE%\Documents\GitHub\eaglep3\Utilities\RefineRTDCRunTimes.py" --tripid 908-03 --locoid 4032 --swversion DE.1.0.7.0 --startMP 300:58619 --initTime 2016-10-03T22:35:57 --startdatetime 2016-10-03T22:39:06 --delay 1 --endMP 300:21481 --enddatetime 2016-10-03T22:45:27 --enforcementcount 0 &gt;&gt;C:\Users\stu\Documents\GitHub\eaglep3-reporting\EC\2016-10-03-refined-times.txt</v>
      </c>
      <c r="AI202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{"issue":{"subject":"","project_id":79,"tracker_id":40,"status_id":1,"priority_id":2,"assigned_to_id":23,"start_date":"2016-10-03","description":"","custom_fields":[{"id":1,"name":"Subdivision","value":"Other"},{"id":4,"name":"Milepost","value":"2.1481"},{"id":17,"name":"Train ID","value":"908-03"},{"id":16,"name":"Locomotive ID","value":"4032"},{"id":130,"name":"Impact","value":""},{"id":150,"name":"Time of Event (Mountain Time)","value":"22:45:27"},{"id":151,"name":"Denver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612</v>
      </c>
      <c r="B203" s="7">
        <v>4005</v>
      </c>
      <c r="C203" s="24" t="s">
        <v>106</v>
      </c>
      <c r="D203" s="24" t="s">
        <v>613</v>
      </c>
      <c r="E203" s="15">
        <v>42646.428749999999</v>
      </c>
      <c r="F203" s="15">
        <v>42646.430312500001</v>
      </c>
      <c r="G203" s="7">
        <v>1</v>
      </c>
      <c r="H203" s="15" t="s">
        <v>614</v>
      </c>
      <c r="I203" s="15">
        <v>42646.430462962962</v>
      </c>
      <c r="J203" s="7">
        <v>0</v>
      </c>
      <c r="K203" s="117" t="str">
        <f t="shared" si="111"/>
        <v>4005/4006</v>
      </c>
      <c r="L203" s="24" t="str">
        <f>VLOOKUP(A203,'Trips&amp;Operators'!$C$1:$E$10000,3,FALSE)</f>
        <v>BARTLETT</v>
      </c>
      <c r="M203" s="6">
        <f t="shared" si="112"/>
        <v>1.5046296175569296E-4</v>
      </c>
      <c r="N203" s="7">
        <f t="shared" si="127"/>
        <v>0.21666666492819786</v>
      </c>
      <c r="O203" s="7"/>
      <c r="P203" s="7"/>
      <c r="Q203" s="25"/>
      <c r="R203" s="25"/>
      <c r="S203" s="37">
        <f t="shared" si="122"/>
        <v>0</v>
      </c>
      <c r="T203" s="52" t="e">
        <f t="shared" si="113"/>
        <v>#VALUE!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09:17:24-0600',mode:absolute,to:'2016-10-03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03" s="54" t="str">
        <f t="shared" si="114"/>
        <v>Y</v>
      </c>
      <c r="X203" s="164" t="e">
        <f t="shared" si="128"/>
        <v>#VALUE!</v>
      </c>
      <c r="Y203" s="69">
        <f t="shared" si="121"/>
        <v>2.4403999999999999</v>
      </c>
      <c r="Z203" s="69">
        <f t="shared" si="129"/>
        <v>2.4020999999999999</v>
      </c>
      <c r="AA203" s="69">
        <f t="shared" si="115"/>
        <v>3.8300000000000001E-2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116"/>
        <v>50-03</v>
      </c>
      <c r="AE203" s="95" t="str">
        <f t="shared" si="117"/>
        <v>aws s3 cp s3://rtdc.mdm.uploadarchive.raw/RTDC4005/ "%USERPROFILE%\AppData\Local\Temp\OnboardLogs"\RTDC4005\2016-10-03 --exclude "*" --recursive --include "*20161003*" &amp; "%USERPROFILE%\Documents\GitHub\mrs-test-scripts\Headless Mode &amp; Sideloading\WalkAndUnGZ.bat" "%USERPROFILE%\AppData\Local\Temp\OnboardLogs"\RTDC4005\2016-10-03 &amp; aws s3 cp s3://rtdc.mdm.uploadarchive.raw/RTDC4005/ "%USERPROFILE%\AppData\Local\Temp\OnboardLogs"\RTDC4005\2016-10-04 --exclude "*" --recursive --include "*20161004*" &amp; "%USERPROFILE%\Documents\GitHub\mrs-test-scripts\Headless Mode &amp; Sideloading\WalkAndUnGZ.bat" "%USERPROFILE%\AppData\Local\Temp\OnboardLogs"\RTDC4005\2016-10-04</v>
      </c>
      <c r="AF203" s="92" t="str">
        <f t="shared" si="118"/>
        <v>"C:\Program Files (x86)\AstroGrep\AstroGrep.exe" /spath="%USERPROFILE%\AppData\Local\Temp\OnboardLogs" /stypes="app*4005*20161003*" /stext=" 16:.+((SYSTEM_STATE.+slice.+state.+changed )|(ment ac)|(system.+state.+changed )|(\[timeout)|(PRM\|1\|D)|(kpr)|(kdp)|(\|lc)|(penalty))" /e /r /s</v>
      </c>
      <c r="AG203" s="1" t="str">
        <f t="shared" si="119"/>
        <v>Other</v>
      </c>
      <c r="AH203" s="96" t="str">
        <f t="shared" si="106"/>
        <v>"%USERPROFILE%\Documents\GitHub\eaglep3\Utilities\RefineRTDCRunTimes.py" --tripid 50-03 --locoid 4005 --swversion DE.1.0.7.0 --startMP 300:24404 --initTime 2016-10-03T10:17:24 --startdatetime 2016-10-03T10:19:39 --delay 1 --endMP 300:24021 --enddatetime 2016-10-03T10:19:52 --enforcementcount 0 &gt;&gt;C:\Users\stu\Documents\GitHub\eaglep3-reporting\EC\2016-10-03-refined-times.txt</v>
      </c>
      <c r="AI203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{"issue":{"subject":"","project_id":79,"tracker_id":40,"status_id":1,"priority_id":2,"assigned_to_id":23,"start_date":"2016-10-03","description":"","custom_fields":[{"id":1,"name":"Subdivision","value":"Other"},{"id":4,"name":"Milepost","value":"2.4021"},{"id":17,"name":"Train ID","value":"50-03"},{"id":16,"name":"Locomotive ID","value":"4005"},{"id":130,"name":"Impact","value":""},{"id":150,"name":"Time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615</v>
      </c>
      <c r="B204" s="7">
        <v>4021</v>
      </c>
      <c r="C204" s="24" t="s">
        <v>106</v>
      </c>
      <c r="D204" s="24" t="s">
        <v>616</v>
      </c>
      <c r="E204" s="15">
        <v>42646.45753472222</v>
      </c>
      <c r="F204" s="15">
        <v>42646.459374999999</v>
      </c>
      <c r="G204" s="7">
        <v>2</v>
      </c>
      <c r="H204" s="15" t="s">
        <v>617</v>
      </c>
      <c r="I204" s="15">
        <v>42646.459664351853</v>
      </c>
      <c r="J204" s="7">
        <v>0</v>
      </c>
      <c r="K204" s="117" t="str">
        <f t="shared" si="111"/>
        <v>4021/4022</v>
      </c>
      <c r="L204" s="24" t="str">
        <f>VLOOKUP(A204,'Trips&amp;Operators'!$C$1:$E$10000,3,FALSE)</f>
        <v>CLARK</v>
      </c>
      <c r="M204" s="6">
        <f t="shared" si="112"/>
        <v>2.8935185400769114E-4</v>
      </c>
      <c r="N204" s="7">
        <f t="shared" si="127"/>
        <v>0.41666666977107525</v>
      </c>
      <c r="O204" s="7"/>
      <c r="P204" s="7"/>
      <c r="Q204" s="25"/>
      <c r="R204" s="25"/>
      <c r="S204" s="37">
        <f t="shared" si="122"/>
        <v>0</v>
      </c>
      <c r="T204" s="52" t="e">
        <f t="shared" si="113"/>
        <v>#VALUE!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09:58:51-0600',mode:absolute,to:'2016-10-03 12:01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4" s="54" t="str">
        <f t="shared" si="114"/>
        <v>Y</v>
      </c>
      <c r="X204" s="164" t="e">
        <f t="shared" si="128"/>
        <v>#VALUE!</v>
      </c>
      <c r="Y204" s="69">
        <f t="shared" si="121"/>
        <v>2.4289999999999998</v>
      </c>
      <c r="Z204" s="69">
        <f t="shared" si="129"/>
        <v>2.3635000000000002</v>
      </c>
      <c r="AA204" s="69">
        <f t="shared" si="115"/>
        <v>6.549999999999967E-2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116"/>
        <v>52-03</v>
      </c>
      <c r="AE204" s="95" t="str">
        <f t="shared" si="117"/>
        <v>aws s3 cp s3://rtdc.mdm.uploadarchive.raw/RTDC4021/ "%USERPROFILE%\AppData\Local\Temp\OnboardLogs"\RTDC4021\2016-10-03 --exclude "*" --recursive --include "*20161003*" &amp; "%USERPROFILE%\Documents\GitHub\mrs-test-scripts\Headless Mode &amp; Sideloading\WalkAndUnGZ.bat" "%USERPROFILE%\AppData\Local\Temp\OnboardLogs"\RTDC4021\2016-10-03 &amp; aws s3 cp s3://rtdc.mdm.uploadarchive.raw/RTDC4021/ "%USERPROFILE%\AppData\Local\Temp\OnboardLogs"\RTDC4021\2016-10-04 --exclude "*" --recursive --include "*20161004*" &amp; "%USERPROFILE%\Documents\GitHub\mrs-test-scripts\Headless Mode &amp; Sideloading\WalkAndUnGZ.bat" "%USERPROFILE%\AppData\Local\Temp\OnboardLogs"\RTDC4021\2016-10-04</v>
      </c>
      <c r="AF204" s="92" t="str">
        <f t="shared" si="118"/>
        <v>"C:\Program Files (x86)\AstroGrep\AstroGrep.exe" /spath="%USERPROFILE%\AppData\Local\Temp\OnboardLogs" /stypes="app*4021*20161003*" /stext=" 17:.+((SYSTEM_STATE.+slice.+state.+changed )|(ment ac)|(system.+state.+changed )|(\[timeout)|(PRM\|1\|D)|(kpr)|(kdp)|(\|lc)|(penalty))" /e /r /s</v>
      </c>
      <c r="AG204" s="1" t="str">
        <f t="shared" si="119"/>
        <v>Other</v>
      </c>
      <c r="AH204" s="96" t="str">
        <f t="shared" si="106"/>
        <v>"%USERPROFILE%\Documents\GitHub\eaglep3\Utilities\RefineRTDCRunTimes.py" --tripid 52-03 --locoid 4021 --swversion DE.1.0.7.0 --startMP 300:24290 --initTime 2016-10-03T10:58:51 --startdatetime 2016-10-03T11:01:30 --delay 2 --endMP 300:23635 --enddatetime 2016-10-03T11:01:55 --enforcementcount 0 &gt;&gt;C:\Users\stu\Documents\GitHub\eaglep3-reporting\EC\2016-10-03-refined-times.txt</v>
      </c>
      <c r="AI204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{"issue":{"subject":"","project_id":79,"tracker_id":40,"status_id":1,"priority_id":2,"assigned_to_id":23,"start_date":"2016-10-03","description":"","custom_fields":[{"id":1,"name":"Subdivision","value":"Other"},{"id":4,"name":"Milepost","value":"2.3635"},{"id":17,"name":"Train ID","value":"52-03"},{"id":16,"name":"Locomotive ID","value":"4021"},{"id":130,"name":"Impact","value":""},{"id":150,"name":"Time of Event (Mountain Time)","value":"11:01:55"},{"id":151,"name":"Denver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618</v>
      </c>
      <c r="B205" s="7">
        <v>4022</v>
      </c>
      <c r="C205" s="24" t="s">
        <v>106</v>
      </c>
      <c r="D205" s="24" t="s">
        <v>619</v>
      </c>
      <c r="E205" s="15">
        <v>42646.477141203701</v>
      </c>
      <c r="F205" s="15">
        <v>25568.708333333332</v>
      </c>
      <c r="G205" s="7">
        <v>0</v>
      </c>
      <c r="H205" s="15" t="s">
        <v>620</v>
      </c>
      <c r="I205" s="15">
        <v>25568.708333333332</v>
      </c>
      <c r="J205" s="7">
        <v>0</v>
      </c>
      <c r="K205" s="117" t="str">
        <f t="shared" si="111"/>
        <v>4021/4022</v>
      </c>
      <c r="L205" s="24" t="str">
        <f>VLOOKUP(A205,'Trips&amp;Operators'!$C$1:$E$10000,3,FALSE)</f>
        <v>GRASTON</v>
      </c>
      <c r="M205" s="6">
        <f t="shared" si="112"/>
        <v>0</v>
      </c>
      <c r="N205" s="7">
        <f t="shared" si="127"/>
        <v>0</v>
      </c>
      <c r="O205" s="7"/>
      <c r="P205" s="7"/>
      <c r="Q205" s="25"/>
      <c r="R205" s="25"/>
      <c r="S205" s="37">
        <f t="shared" si="122"/>
        <v>0</v>
      </c>
      <c r="T205" s="52" t="e">
        <f t="shared" si="113"/>
        <v>#VALUE!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10:27:05-0600',mode:absolute,to:'1969-12-31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5" s="54" t="str">
        <f t="shared" si="114"/>
        <v>Y</v>
      </c>
      <c r="X205" s="164" t="e">
        <f t="shared" si="128"/>
        <v>#VALUE!</v>
      </c>
      <c r="Y205" s="69">
        <f t="shared" si="121"/>
        <v>6.4500000000000002E-2</v>
      </c>
      <c r="Z205" s="69">
        <f t="shared" si="129"/>
        <v>2.4243000000000001</v>
      </c>
      <c r="AA205" s="69">
        <f t="shared" ref="AA205:AA208" si="130">ABS(Z205-Y205)</f>
        <v>2.3597999999999999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116"/>
        <v>54-03</v>
      </c>
      <c r="AE205" s="95" t="str">
        <f t="shared" si="11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5" s="92" t="str">
        <f t="shared" si="118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05" s="1" t="str">
        <f t="shared" si="119"/>
        <v>Other</v>
      </c>
      <c r="AH205" s="96" t="str">
        <f t="shared" si="106"/>
        <v>"%USERPROFILE%\Documents\GitHub\eaglep3\Utilities\RefineRTDCRunTimes.py" --tripid 54-03 --locoid 4022 --swversion DE.1.0.7.0 --startMP 204:645 --initTime 2016-10-03T11:27:05 --startdatetime 1969-12-31T17:00:00 --delay 0 --endMP 300:24243 --enddatetime 1969-12-31T17:00:00 --enforcementcount 0 &gt;&gt;C:\Users\stu\Documents\GitHub\eaglep3-reporting\EC\2016-10-03-refined-times.txt</v>
      </c>
      <c r="AI205" s="130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{"issue":{"subject":"","project_id":79,"tracker_id":40,"status_id":1,"priority_id":2,"assigned_to_id":23,"start_date":"1969-12-31","description":"","custom_fields":[{"id":1,"name":"Subdivision","value":"Other"},{"id":4,"name":"Milepost","value":"2.4243"},{"id":17,"name":"Train ID","value":"54-03"},{"id":16,"name":"Locomotive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621</v>
      </c>
      <c r="B206" s="7">
        <v>4019</v>
      </c>
      <c r="C206" s="24" t="s">
        <v>106</v>
      </c>
      <c r="D206" s="24" t="s">
        <v>622</v>
      </c>
      <c r="E206" s="15">
        <v>42646.751840277779</v>
      </c>
      <c r="F206" s="15">
        <v>42646.753425925926</v>
      </c>
      <c r="G206" s="7">
        <v>1</v>
      </c>
      <c r="H206" s="15" t="s">
        <v>623</v>
      </c>
      <c r="I206" s="15">
        <v>42646.754849537036</v>
      </c>
      <c r="J206" s="7">
        <v>0</v>
      </c>
      <c r="K206" s="117" t="str">
        <f t="shared" si="111"/>
        <v>4019/4020</v>
      </c>
      <c r="L206" s="24" t="str">
        <f>VLOOKUP(A206,'Trips&amp;Operators'!$C$1:$E$10000,3,FALSE)</f>
        <v>PUGH</v>
      </c>
      <c r="M206" s="6">
        <f t="shared" si="112"/>
        <v>1.4236111092031933E-3</v>
      </c>
      <c r="N206" s="7">
        <f t="shared" si="127"/>
        <v>2.0499999972525984</v>
      </c>
      <c r="O206" s="7"/>
      <c r="P206" s="7"/>
      <c r="Q206" s="25"/>
      <c r="R206" s="25"/>
      <c r="S206" s="37">
        <f t="shared" si="122"/>
        <v>0</v>
      </c>
      <c r="T206" s="52" t="e">
        <f t="shared" si="113"/>
        <v>#VALUE!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17:02:39-0600',mode:absolute,to:'2016-10-03 19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6" s="54" t="str">
        <f t="shared" si="114"/>
        <v>Y</v>
      </c>
      <c r="X206" s="164" t="e">
        <f t="shared" si="128"/>
        <v>#VALUE!</v>
      </c>
      <c r="Y206" s="69">
        <f t="shared" si="121"/>
        <v>2.3077999999999999</v>
      </c>
      <c r="Z206" s="69">
        <f t="shared" si="129"/>
        <v>1.8423</v>
      </c>
      <c r="AA206" s="69">
        <f t="shared" si="130"/>
        <v>0.4654999999999998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16"/>
        <v>56-03</v>
      </c>
      <c r="AE206" s="95" t="str">
        <f t="shared" si="117"/>
        <v>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 &amp; aws s3 cp s3://rtdc.mdm.uploadarchive.raw/RTDC4019/ "%USERPROFILE%\AppData\Local\Temp\OnboardLogs"\RTDC4019\2016-10-04 --exclude "*" --recursive --include "*20161004*" &amp; "%USERPROFILE%\Documents\GitHub\mrs-test-scripts\Headless Mode &amp; Sideloading\WalkAndUnGZ.bat" "%USERPROFILE%\AppData\Local\Temp\OnboardLogs"\RTDC4019\2016-10-04</v>
      </c>
      <c r="AF206" s="92" t="str">
        <f t="shared" si="118"/>
        <v>"C:\Program Files (x86)\AstroGrep\AstroGrep.exe" /spath="%USERPROFILE%\AppData\Local\Temp\OnboardLogs" /stypes="app*4019*20161004*" /stext=" 00:.+((SYSTEM_STATE.+slice.+state.+changed )|(ment ac)|(system.+state.+changed )|(\[timeout)|(PRM\|1\|D)|(kpr)|(kdp)|(\|lc)|(penalty))" /e /r /s</v>
      </c>
      <c r="AG206" s="1" t="str">
        <f t="shared" si="119"/>
        <v>Other</v>
      </c>
      <c r="AH206" s="96" t="str">
        <f t="shared" si="106"/>
        <v>"%USERPROFILE%\Documents\GitHub\eaglep3\Utilities\RefineRTDCRunTimes.py" --tripid 56-03 --locoid 4019 --swversion DE.1.0.7.0 --startMP 300:23078 --initTime 2016-10-03T18:02:39 --startdatetime 2016-10-03T18:04:56 --delay 1 --endMP 300:18423 --enddatetime 2016-10-03T18:06:59 --enforcementcount 0 &gt;&gt;C:\Users\stu\Documents\GitHub\eaglep3-reporting\EC\2016-10-03-refined-times.txt</v>
      </c>
      <c r="AI206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{"issue":{"subject":"","project_id":79,"tracker_id":40,"status_id":1,"priority_id":2,"assigned_to_id":23,"start_date":"2016-10-03","description":"","custom_fields":[{"id":1,"name":"Subdivision","value":"Other"},{"id":4,"name":"Milepost","value":"1.8423"},{"id":17,"name":"Train ID","value":"56-03"},{"id":16,"name":"Locomotive ID","value":"4019"},{"id":130,"name":"Impact","value":""},{"id":150,"name":"Time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624</v>
      </c>
      <c r="B207" s="7">
        <v>4011</v>
      </c>
      <c r="C207" s="24" t="s">
        <v>106</v>
      </c>
      <c r="D207" s="24" t="s">
        <v>625</v>
      </c>
      <c r="E207" s="15">
        <v>42646.707604166666</v>
      </c>
      <c r="F207" s="15">
        <v>42646.714016203703</v>
      </c>
      <c r="G207" s="7">
        <v>9</v>
      </c>
      <c r="H207" s="15" t="s">
        <v>626</v>
      </c>
      <c r="I207" s="15">
        <v>42646.719386574077</v>
      </c>
      <c r="J207" s="7">
        <v>0</v>
      </c>
      <c r="K207" s="117" t="str">
        <f t="shared" si="111"/>
        <v>4011/4012</v>
      </c>
      <c r="L207" s="24" t="str">
        <f>VLOOKUP(A207,'Trips&amp;Operators'!$C$1:$E$10000,3,FALSE)</f>
        <v>COOLAHAN</v>
      </c>
      <c r="M207" s="6">
        <f t="shared" si="112"/>
        <v>5.3703703742939979E-3</v>
      </c>
      <c r="N207" s="7">
        <f t="shared" si="127"/>
        <v>7.733333338983357</v>
      </c>
      <c r="O207" s="7"/>
      <c r="P207" s="7"/>
      <c r="Q207" s="25"/>
      <c r="R207" s="25"/>
      <c r="S207" s="37">
        <f t="shared" si="122"/>
        <v>0</v>
      </c>
      <c r="T207" s="52" t="e">
        <f t="shared" si="113"/>
        <v>#VALUE!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15:58:57-0600',mode:absolute,to:'2016-10-03 18:15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7" s="54" t="str">
        <f t="shared" si="114"/>
        <v>Y</v>
      </c>
      <c r="X207" s="164" t="e">
        <f t="shared" si="128"/>
        <v>#VALUE!</v>
      </c>
      <c r="Y207" s="69">
        <f t="shared" si="121"/>
        <v>3.0175000000000001</v>
      </c>
      <c r="Z207" s="69">
        <f t="shared" si="129"/>
        <v>5.8973000000000004</v>
      </c>
      <c r="AA207" s="69">
        <f t="shared" si="130"/>
        <v>2.8798000000000004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16"/>
        <v>61-03</v>
      </c>
      <c r="AE207" s="95" t="str">
        <f t="shared" si="117"/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AF207" s="92" t="str">
        <f t="shared" si="118"/>
        <v>"C:\Program Files (x86)\AstroGrep\AstroGrep.exe" /spath="%USERPROFILE%\AppData\Local\Temp\OnboardLogs" /stypes="app*4011*20161003*" /stext=" 23:.+((SYSTEM_STATE.+slice.+state.+changed )|(ment ac)|(system.+state.+changed )|(\[timeout)|(PRM\|1\|D)|(kpr)|(kdp)|(\|lc)|(penalty))" /e /r /s</v>
      </c>
      <c r="AG207" s="1" t="str">
        <f t="shared" si="119"/>
        <v>Other</v>
      </c>
      <c r="AH207" s="96" t="str">
        <f t="shared" si="106"/>
        <v>"%USERPROFILE%\Documents\GitHub\eaglep3\Utilities\RefineRTDCRunTimes.py" --tripid 61-03 --locoid 4011 --swversion DE.1.0.7.0 --startMP 300:30175 --initTime 2016-10-03T16:58:57 --startdatetime 2016-10-03T17:08:11 --delay 9 --endMP 300:58973 --enddatetime 2016-10-03T17:15:55 --enforcementcount 0 &gt;&gt;C:\Users\stu\Documents\GitHub\eaglep3-reporting\EC\2016-10-03-refined-times.txt</v>
      </c>
      <c r="AI207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{"issue":{"subject":"","project_id":79,"tracker_id":40,"status_id":1,"priority_id":2,"assigned_to_id":23,"start_date":"2016-10-03","description":"","custom_fields":[{"id":1,"name":"Subdivision","value":"Other"},{"id":4,"name":"Milepost","value":"5.8973"},{"id":17,"name":"Train ID","value":"61-03"},{"id":16,"name":"Locomotive ID","value":"4011"},{"id":130,"name":"Impact","value":""},{"id":150,"name":"Time of Event (Mountain Time)","value":"17:15:55"},{"id":151,"name":"Denver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627</v>
      </c>
      <c r="B208" s="7">
        <v>4006</v>
      </c>
      <c r="C208" s="24" t="s">
        <v>106</v>
      </c>
      <c r="D208" s="24" t="s">
        <v>628</v>
      </c>
      <c r="E208" s="15">
        <v>42646.925613425927</v>
      </c>
      <c r="F208" s="15">
        <v>42646.933668981481</v>
      </c>
      <c r="G208" s="7">
        <v>1</v>
      </c>
      <c r="H208" s="15" t="s">
        <v>629</v>
      </c>
      <c r="I208" s="15">
        <v>42646.940729166665</v>
      </c>
      <c r="J208" s="7">
        <v>0</v>
      </c>
      <c r="K208" s="117" t="str">
        <f t="shared" si="111"/>
        <v>4005/4006</v>
      </c>
      <c r="L208" s="24" t="str">
        <f>VLOOKUP(A208,'Trips&amp;Operators'!$C$1:$E$10000,3,FALSE)</f>
        <v>PUGH</v>
      </c>
      <c r="M208" s="6">
        <f t="shared" si="112"/>
        <v>7.0601851839455776E-3</v>
      </c>
      <c r="N208" s="7">
        <f t="shared" si="127"/>
        <v>10.166666664881632</v>
      </c>
      <c r="O208" s="7"/>
      <c r="P208" s="7"/>
      <c r="Q208" s="25"/>
      <c r="R208" s="25"/>
      <c r="S208" s="37">
        <f t="shared" si="122"/>
        <v>0</v>
      </c>
      <c r="T208" s="52" t="e">
        <f t="shared" si="113"/>
        <v>#VALUE!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https://search-rtdc-monitor-bjffxe2xuh6vdkpspy63sjmuny.us-east-1.es.amazonaws.com/_plugin/kibana/#/discover/Steve-Slow-Train-Analysis-(2080s-and-2083s)?_g=(refreshInterval:(display:Off,section:0,value:0),time:(from:'2016-10-03 21:12:53-0600',mode:absolute,to:'2016-10-03 23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08" s="54" t="str">
        <f t="shared" si="114"/>
        <v>Y</v>
      </c>
      <c r="X208" s="164" t="e">
        <f t="shared" si="128"/>
        <v>#VALUE!</v>
      </c>
      <c r="Y208" s="69">
        <f t="shared" si="121"/>
        <v>0.1153</v>
      </c>
      <c r="Z208" s="69">
        <f t="shared" si="129"/>
        <v>2.4245999999999999</v>
      </c>
      <c r="AA208" s="69">
        <f t="shared" si="130"/>
        <v>2.3092999999999999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16"/>
        <v>71-03</v>
      </c>
      <c r="AE208" s="95" t="str">
        <f t="shared" si="117"/>
        <v>aws s3 cp s3://rtdc.mdm.uploadarchive.raw/RTDC4006/ "%USERPROFILE%\AppData\Local\Temp\OnboardLogs"\RTDC4006\2016-10-03 --exclude "*" --recursive --include "*20161003*" &amp; "%USERPROFILE%\Documents\GitHub\mrs-test-scripts\Headless Mode &amp; Sideloading\WalkAndUnGZ.bat" "%USERPROFILE%\AppData\Local\Temp\OnboardLogs"\RTDC4006\2016-10-03 &amp; aws s3 cp s3://rtdc.mdm.uploadarchive.raw/RTDC4006/ "%USERPROFILE%\AppData\Local\Temp\OnboardLogs"\RTDC4006\2016-10-04 --exclude "*" --recursive --include "*20161004*" &amp; "%USERPROFILE%\Documents\GitHub\mrs-test-scripts\Headless Mode &amp; Sideloading\WalkAndUnGZ.bat" "%USERPROFILE%\AppData\Local\Temp\OnboardLogs"\RTDC4006\2016-10-04</v>
      </c>
      <c r="AF208" s="92" t="str">
        <f t="shared" si="118"/>
        <v>"C:\Program Files (x86)\AstroGrep\AstroGrep.exe" /spath="%USERPROFILE%\AppData\Local\Temp\OnboardLogs" /stypes="app*4006*20161004*" /stext=" 04:.+((SYSTEM_STATE.+slice.+state.+changed )|(ment ac)|(system.+state.+changed )|(\[timeout)|(PRM\|1\|D)|(kpr)|(kdp)|(\|lc)|(penalty))" /e /r /s</v>
      </c>
      <c r="AG208" s="1" t="str">
        <f t="shared" si="119"/>
        <v>Other</v>
      </c>
      <c r="AH208" s="96" t="str">
        <f t="shared" si="106"/>
        <v>"%USERPROFILE%\Documents\GitHub\eaglep3\Utilities\RefineRTDCRunTimes.py" --tripid 71-03 --locoid 4006 --swversion DE.1.0.7.0 --startMP 204:1153 --initTime 2016-10-03T22:12:53 --startdatetime 2016-10-03T22:24:29 --delay 1 --endMP 300:24246 --enddatetime 2016-10-03T22:34:39 --enforcementcount 0 &gt;&gt;C:\Users\stu\Documents\GitHub\eaglep3-reporting\EC\2016-10-03-refined-times.txt</v>
      </c>
      <c r="AI208" s="130" t="str">
        <f t="shared" si="107"/>
        <v>echo {"issue":{"subject":"","project_id":79,"tracker_id":40,"status_id":1,"priority_id":2,"assigned_to_id":23,"start_date":"2016-10-03","description":"","custom_fields":[{"id":1,"name":"Subdivision","value":"Other"},{"id":4,"name":"Milepost","value":"2.4246"},{"id":17,"name":"Train ID","value":"71-03"},{"id":16,"name":"Locomotive ID","value":"4006"},{"id":130,"name":"Impact","value":""},{"id":150,"name":"Time of Event (Mountain Time)","value":"22:34:39"},{"id":151,"name":"Denver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17"/>
      <c r="L209" s="24"/>
      <c r="M209" s="6"/>
      <c r="N209" s="7"/>
      <c r="O209" s="7"/>
      <c r="P209" s="7"/>
      <c r="Q209" s="25"/>
      <c r="R209" s="25"/>
      <c r="S209" s="37"/>
      <c r="T209" s="52"/>
      <c r="U209" s="159"/>
      <c r="V209" s="102"/>
      <c r="W209" s="54"/>
      <c r="X209" s="164"/>
      <c r="Y209" s="69"/>
      <c r="Z209" s="69"/>
      <c r="AA209" s="69"/>
      <c r="AB209" s="66"/>
      <c r="AC209" s="62"/>
      <c r="AD209" s="63"/>
      <c r="AE209" s="95"/>
      <c r="AF209" s="92"/>
      <c r="AG209" s="1"/>
      <c r="AI209" s="130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17"/>
      <c r="L210" s="24"/>
      <c r="M210" s="6"/>
      <c r="N210" s="7"/>
      <c r="O210" s="7"/>
      <c r="P210" s="7"/>
      <c r="Q210" s="25"/>
      <c r="R210" s="25"/>
      <c r="S210" s="37"/>
      <c r="T210" s="52"/>
      <c r="U210" s="159"/>
      <c r="V210" s="102"/>
      <c r="W210" s="54"/>
      <c r="X210" s="164"/>
      <c r="Y210" s="69"/>
      <c r="Z210" s="69"/>
      <c r="AA210" s="69"/>
      <c r="AB210" s="66"/>
      <c r="AC210" s="62"/>
      <c r="AD210" s="63"/>
      <c r="AE210" s="95"/>
      <c r="AF210" s="92"/>
      <c r="AG210" s="1"/>
      <c r="AI210" s="130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17"/>
      <c r="L211" s="24"/>
      <c r="M211" s="6"/>
      <c r="N211" s="7"/>
      <c r="O211" s="7"/>
      <c r="P211" s="7"/>
      <c r="Q211" s="25"/>
      <c r="R211" s="25"/>
      <c r="S211" s="37"/>
      <c r="T211" s="52"/>
      <c r="U211" s="159"/>
      <c r="V211" s="102"/>
      <c r="W211" s="54"/>
      <c r="X211" s="164"/>
      <c r="Y211" s="69"/>
      <c r="Z211" s="69"/>
      <c r="AA211" s="69"/>
      <c r="AB211" s="66"/>
      <c r="AC211" s="62"/>
      <c r="AD211" s="63"/>
      <c r="AE211" s="95"/>
      <c r="AF211" s="92"/>
      <c r="AG211" s="1"/>
      <c r="AI211" s="130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17"/>
      <c r="L212" s="24"/>
      <c r="M212" s="6"/>
      <c r="N212" s="7"/>
      <c r="O212" s="7"/>
      <c r="P212" s="7"/>
      <c r="Q212" s="25"/>
      <c r="R212" s="25"/>
      <c r="S212" s="37"/>
      <c r="T212" s="52"/>
      <c r="U212" s="159"/>
      <c r="V212" s="102"/>
      <c r="W212" s="54"/>
      <c r="X212" s="164"/>
      <c r="Y212" s="69"/>
      <c r="Z212" s="69"/>
      <c r="AA212" s="69"/>
      <c r="AB212" s="66"/>
      <c r="AC212" s="62"/>
      <c r="AD212" s="63"/>
      <c r="AE212" s="95"/>
      <c r="AF212" s="92"/>
      <c r="AG212" s="1"/>
      <c r="AI212" s="130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17"/>
      <c r="L213" s="24"/>
      <c r="M213" s="6"/>
      <c r="N213" s="7"/>
      <c r="O213" s="7"/>
      <c r="P213" s="7"/>
      <c r="Q213" s="25"/>
      <c r="R213" s="25"/>
      <c r="S213" s="37"/>
      <c r="T213" s="52"/>
      <c r="U213" s="159"/>
      <c r="V213" s="102"/>
      <c r="W213" s="54"/>
      <c r="X213" s="164"/>
      <c r="Y213" s="69"/>
      <c r="Z213" s="69"/>
      <c r="AA213" s="69"/>
      <c r="AB213" s="66"/>
      <c r="AC213" s="62"/>
      <c r="AD213" s="63"/>
      <c r="AE213" s="95"/>
      <c r="AF213" s="92"/>
      <c r="AG213" s="1"/>
      <c r="AI213" s="130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17"/>
      <c r="L214" s="24"/>
      <c r="M214" s="6"/>
      <c r="N214" s="7"/>
      <c r="O214" s="7"/>
      <c r="P214" s="7"/>
      <c r="Q214" s="25"/>
      <c r="R214" s="25"/>
      <c r="S214" s="37"/>
      <c r="T214" s="52"/>
      <c r="U214" s="159"/>
      <c r="V214" s="102"/>
      <c r="W214" s="54"/>
      <c r="X214" s="164"/>
      <c r="Y214" s="69"/>
      <c r="Z214" s="69"/>
      <c r="AA214" s="69"/>
      <c r="AB214" s="66"/>
      <c r="AC214" s="62"/>
      <c r="AD214" s="63"/>
      <c r="AE214" s="95"/>
      <c r="AF214" s="92"/>
      <c r="AG214" s="1"/>
      <c r="AI214" s="130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17"/>
      <c r="L215" s="24"/>
      <c r="M215" s="6"/>
      <c r="N215" s="7"/>
      <c r="O215" s="7"/>
      <c r="P215" s="7"/>
      <c r="Q215" s="25"/>
      <c r="R215" s="25"/>
      <c r="S215" s="37"/>
      <c r="T215" s="52"/>
      <c r="U215" s="159"/>
      <c r="V215" s="102"/>
      <c r="W215" s="54"/>
      <c r="X215" s="164"/>
      <c r="Y215" s="69"/>
      <c r="Z215" s="69"/>
      <c r="AA215" s="69"/>
      <c r="AB215" s="66"/>
      <c r="AC215" s="62"/>
      <c r="AD215" s="63"/>
      <c r="AE215" s="95"/>
      <c r="AF215" s="92"/>
      <c r="AG215" s="1"/>
      <c r="AI215" s="130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17"/>
      <c r="L216" s="24"/>
      <c r="M216" s="6"/>
      <c r="N216" s="7"/>
      <c r="O216" s="7"/>
      <c r="P216" s="7"/>
      <c r="Q216" s="25"/>
      <c r="R216" s="25"/>
      <c r="S216" s="37"/>
      <c r="T216" s="52"/>
      <c r="U216" s="159"/>
      <c r="V216" s="102"/>
      <c r="W216" s="54"/>
      <c r="X216" s="164"/>
      <c r="Y216" s="69"/>
      <c r="Z216" s="69"/>
      <c r="AA216" s="69"/>
      <c r="AB216" s="66"/>
      <c r="AC216" s="62"/>
      <c r="AD216" s="63"/>
      <c r="AE216" s="95"/>
      <c r="AF216" s="92"/>
      <c r="AG216" s="1"/>
      <c r="AI216" s="130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17"/>
      <c r="L217" s="24"/>
      <c r="M217" s="6"/>
      <c r="N217" s="7"/>
      <c r="O217" s="7"/>
      <c r="P217" s="7"/>
      <c r="Q217" s="25"/>
      <c r="R217" s="25"/>
      <c r="S217" s="37"/>
      <c r="T217" s="52"/>
      <c r="U217" s="159"/>
      <c r="V217" s="102"/>
      <c r="W217" s="54"/>
      <c r="X217" s="164"/>
      <c r="Y217" s="69"/>
      <c r="Z217" s="69"/>
      <c r="AA217" s="69"/>
      <c r="AB217" s="66"/>
      <c r="AC217" s="62"/>
      <c r="AD217" s="63"/>
      <c r="AE217" s="95"/>
      <c r="AF217" s="92"/>
      <c r="AG217" s="1"/>
      <c r="AI217" s="130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17"/>
      <c r="L218" s="24"/>
      <c r="M218" s="6"/>
      <c r="N218" s="7"/>
      <c r="O218" s="7"/>
      <c r="P218" s="7"/>
      <c r="Q218" s="25"/>
      <c r="R218" s="25"/>
      <c r="S218" s="37"/>
      <c r="T218" s="52"/>
      <c r="U218" s="159"/>
      <c r="V218" s="102"/>
      <c r="W218" s="54"/>
      <c r="X218" s="164"/>
      <c r="Y218" s="69"/>
      <c r="Z218" s="69"/>
      <c r="AA218" s="69"/>
      <c r="AB218" s="66"/>
      <c r="AC218" s="62"/>
      <c r="AD218" s="63"/>
      <c r="AE218" s="95"/>
      <c r="AF218" s="92"/>
      <c r="AG218" s="1"/>
      <c r="AI218" s="130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17"/>
      <c r="L219" s="24"/>
      <c r="M219" s="6"/>
      <c r="N219" s="7"/>
      <c r="O219" s="7"/>
      <c r="P219" s="7"/>
      <c r="Q219" s="25"/>
      <c r="R219" s="25"/>
      <c r="S219" s="37"/>
      <c r="T219" s="52"/>
      <c r="U219" s="159"/>
      <c r="V219" s="102"/>
      <c r="W219" s="54"/>
      <c r="X219" s="164"/>
      <c r="Y219" s="69"/>
      <c r="Z219" s="69"/>
      <c r="AA219" s="69"/>
      <c r="AB219" s="66"/>
      <c r="AC219" s="62"/>
      <c r="AD219" s="63"/>
      <c r="AE219" s="95"/>
      <c r="AF219" s="92"/>
      <c r="AG219" s="1"/>
      <c r="AI219" s="130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17"/>
      <c r="L220" s="24"/>
      <c r="M220" s="6"/>
      <c r="N220" s="7"/>
      <c r="O220" s="7"/>
      <c r="P220" s="7"/>
      <c r="Q220" s="25"/>
      <c r="R220" s="25"/>
      <c r="S220" s="37"/>
      <c r="T220" s="52"/>
      <c r="U220" s="159"/>
      <c r="V220" s="102"/>
      <c r="W220" s="54"/>
      <c r="X220" s="164"/>
      <c r="Y220" s="69"/>
      <c r="Z220" s="69"/>
      <c r="AA220" s="69"/>
      <c r="AB220" s="66"/>
      <c r="AC220" s="62"/>
      <c r="AD220" s="63"/>
      <c r="AE220" s="95"/>
      <c r="AF220" s="92"/>
      <c r="AG220" s="1"/>
      <c r="AI220" s="130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17"/>
      <c r="L221" s="24"/>
      <c r="M221" s="6"/>
      <c r="N221" s="7"/>
      <c r="O221" s="7"/>
      <c r="P221" s="7"/>
      <c r="Q221" s="25"/>
      <c r="R221" s="25"/>
      <c r="S221" s="37"/>
      <c r="T221" s="52"/>
      <c r="U221" s="159"/>
      <c r="V221" s="102"/>
      <c r="W221" s="54"/>
      <c r="X221" s="164"/>
      <c r="Y221" s="69"/>
      <c r="Z221" s="69"/>
      <c r="AA221" s="69"/>
      <c r="AB221" s="66"/>
      <c r="AC221" s="62"/>
      <c r="AD221" s="63"/>
      <c r="AE221" s="95"/>
      <c r="AF221" s="92"/>
      <c r="AG221" s="1"/>
      <c r="AI221" s="130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17"/>
      <c r="L222" s="24"/>
      <c r="M222" s="6"/>
      <c r="N222" s="7"/>
      <c r="O222" s="7"/>
      <c r="P222" s="7"/>
      <c r="Q222" s="25"/>
      <c r="R222" s="25"/>
      <c r="S222" s="37"/>
      <c r="T222" s="52"/>
      <c r="U222" s="159"/>
      <c r="V222" s="102"/>
      <c r="W222" s="54"/>
      <c r="X222" s="164"/>
      <c r="Y222" s="69"/>
      <c r="Z222" s="69"/>
      <c r="AA222" s="69"/>
      <c r="AB222" s="66"/>
      <c r="AC222" s="62"/>
      <c r="AD222" s="63"/>
      <c r="AE222" s="95"/>
      <c r="AF222" s="92"/>
      <c r="AG222" s="1"/>
      <c r="AI222" s="130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17"/>
      <c r="L223" s="24"/>
      <c r="M223" s="6"/>
      <c r="N223" s="7"/>
      <c r="O223" s="7"/>
      <c r="P223" s="7"/>
      <c r="Q223" s="25"/>
      <c r="R223" s="25"/>
      <c r="S223" s="37"/>
      <c r="T223" s="52"/>
      <c r="U223" s="159"/>
      <c r="V223" s="102"/>
      <c r="W223" s="54"/>
      <c r="X223" s="164"/>
      <c r="Y223" s="69"/>
      <c r="Z223" s="69"/>
      <c r="AA223" s="69"/>
      <c r="AB223" s="66"/>
      <c r="AC223" s="62"/>
      <c r="AD223" s="63"/>
      <c r="AE223" s="95"/>
      <c r="AF223" s="92"/>
      <c r="AG223" s="1"/>
      <c r="AI223" s="130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17"/>
      <c r="L224" s="24"/>
      <c r="M224" s="6"/>
      <c r="N224" s="7"/>
      <c r="O224" s="7"/>
      <c r="P224" s="7"/>
      <c r="Q224" s="25"/>
      <c r="R224" s="25"/>
      <c r="S224" s="37"/>
      <c r="T224" s="52"/>
      <c r="U224" s="159"/>
      <c r="V224" s="102"/>
      <c r="W224" s="54"/>
      <c r="X224" s="164"/>
      <c r="Y224" s="69"/>
      <c r="Z224" s="69"/>
      <c r="AA224" s="69"/>
      <c r="AB224" s="66"/>
      <c r="AC224" s="62"/>
      <c r="AD224" s="63"/>
      <c r="AE224" s="95"/>
      <c r="AF224" s="92"/>
      <c r="AG224" s="1"/>
      <c r="AI224" s="130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7"/>
      <c r="L225" s="24"/>
      <c r="M225" s="6"/>
      <c r="N225" s="7"/>
      <c r="O225" s="7"/>
      <c r="P225" s="7"/>
      <c r="Q225" s="25"/>
      <c r="R225" s="25"/>
      <c r="S225" s="37"/>
      <c r="T225" s="52"/>
      <c r="U225" s="159"/>
      <c r="V225" s="102"/>
      <c r="W225" s="54"/>
      <c r="X225" s="164"/>
      <c r="Y225" s="69"/>
      <c r="Z225" s="69"/>
      <c r="AA225" s="69"/>
      <c r="AB225" s="66"/>
      <c r="AC225" s="62"/>
      <c r="AD225" s="63"/>
      <c r="AE225" s="95"/>
      <c r="AF225" s="92"/>
      <c r="AG225" s="1"/>
      <c r="AI225" s="130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7"/>
      <c r="L226" s="24"/>
      <c r="M226" s="6"/>
      <c r="N226" s="7"/>
      <c r="O226" s="7"/>
      <c r="P226" s="7"/>
      <c r="Q226" s="25"/>
      <c r="R226" s="25"/>
      <c r="S226" s="37"/>
      <c r="T226" s="52"/>
      <c r="U226" s="159"/>
      <c r="V226" s="102"/>
      <c r="W226" s="54"/>
      <c r="X226" s="164"/>
      <c r="Y226" s="69"/>
      <c r="Z226" s="69"/>
      <c r="AA226" s="69"/>
      <c r="AB226" s="66"/>
      <c r="AC226" s="62"/>
      <c r="AD226" s="63"/>
      <c r="AE226" s="95"/>
      <c r="AF226" s="92"/>
      <c r="AG226" s="1"/>
      <c r="AI226" s="130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7"/>
      <c r="L227" s="24"/>
      <c r="M227" s="6"/>
      <c r="N227" s="7"/>
      <c r="O227" s="7"/>
      <c r="P227" s="7"/>
      <c r="Q227" s="25"/>
      <c r="R227" s="25"/>
      <c r="S227" s="37"/>
      <c r="T227" s="52"/>
      <c r="U227" s="159"/>
      <c r="V227" s="102"/>
      <c r="W227" s="54"/>
      <c r="X227" s="164"/>
      <c r="Y227" s="69"/>
      <c r="Z227" s="69"/>
      <c r="AA227" s="69"/>
      <c r="AB227" s="66"/>
      <c r="AC227" s="62"/>
      <c r="AD227" s="63"/>
      <c r="AE227" s="95"/>
      <c r="AF227" s="92"/>
      <c r="AG227" s="1"/>
      <c r="AI227" s="130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7"/>
      <c r="L242" s="24"/>
      <c r="M242" s="6"/>
      <c r="N242" s="7"/>
      <c r="O242" s="7"/>
      <c r="P242" s="7"/>
      <c r="Q242" s="25"/>
      <c r="R242" s="25"/>
      <c r="S242" s="37"/>
      <c r="T242" s="52"/>
      <c r="U242" s="159"/>
      <c r="V242" s="102"/>
      <c r="W242" s="54"/>
      <c r="X242" s="164"/>
      <c r="Y242" s="69"/>
      <c r="Z242" s="69"/>
      <c r="AA242" s="69"/>
      <c r="AB242" s="66"/>
      <c r="AC242" s="62"/>
      <c r="AD242" s="63"/>
      <c r="AE242" s="95"/>
      <c r="AF242" s="92"/>
      <c r="AG242" s="1"/>
      <c r="AI242" s="130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7"/>
      <c r="L243" s="24"/>
      <c r="M243" s="6"/>
      <c r="N243" s="7"/>
      <c r="O243" s="7"/>
      <c r="P243" s="7"/>
      <c r="Q243" s="25"/>
      <c r="R243" s="25"/>
      <c r="S243" s="37"/>
      <c r="T243" s="52"/>
      <c r="U243" s="159"/>
      <c r="V243" s="102"/>
      <c r="W243" s="54"/>
      <c r="X243" s="164"/>
      <c r="Y243" s="69"/>
      <c r="Z243" s="69"/>
      <c r="AA243" s="69"/>
      <c r="AB243" s="66"/>
      <c r="AC243" s="62"/>
      <c r="AD243" s="63"/>
      <c r="AE243" s="95"/>
      <c r="AF243" s="92"/>
      <c r="AG243" s="1"/>
      <c r="AI243" s="130"/>
      <c r="AJ243" s="55"/>
      <c r="AK243" s="55"/>
      <c r="AL243" s="55"/>
    </row>
  </sheetData>
  <autoFilter ref="A12:AG24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30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Values'!$C$2:$C$20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53"/>
  <sheetViews>
    <sheetView topLeftCell="A2" workbookViewId="0">
      <selection activeCell="D14" sqref="D1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COUNTIF($O$7:$O$369,"=Y")</f>
        <v>1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COUNTA($O$7:$O$369)-O2</f>
        <v>46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5" t="str">
        <f>"Eagle P3 Braking Events - "&amp;TEXT(Variables!$A$2,"YYYY-mm-dd")</f>
        <v>Eagle P3 Braking Events - 2016-10-03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175</v>
      </c>
      <c r="J6" s="132" t="s">
        <v>30</v>
      </c>
      <c r="K6" s="133" t="s">
        <v>29</v>
      </c>
      <c r="L6" s="145" t="s">
        <v>28</v>
      </c>
      <c r="M6" s="133" t="s">
        <v>176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158</v>
      </c>
      <c r="Z6" s="141" t="s">
        <v>159</v>
      </c>
      <c r="AA6" s="141" t="s">
        <v>132</v>
      </c>
      <c r="AB6" s="141" t="s">
        <v>160</v>
      </c>
      <c r="AC6" s="174" t="s">
        <v>221</v>
      </c>
    </row>
    <row r="7" spans="1:29" s="1" customFormat="1" x14ac:dyDescent="0.25">
      <c r="A7" s="38">
        <v>42646.557951388888</v>
      </c>
      <c r="B7" s="33" t="s">
        <v>719</v>
      </c>
      <c r="C7" s="33" t="s">
        <v>517</v>
      </c>
      <c r="D7" s="33" t="s">
        <v>49</v>
      </c>
      <c r="E7" s="33" t="s">
        <v>166</v>
      </c>
      <c r="F7" s="49">
        <v>240</v>
      </c>
      <c r="G7" s="49">
        <v>336</v>
      </c>
      <c r="H7" s="49">
        <v>32649</v>
      </c>
      <c r="I7" s="49">
        <v>33663</v>
      </c>
      <c r="J7" s="33" t="s">
        <v>165</v>
      </c>
      <c r="K7" s="49">
        <v>33137</v>
      </c>
      <c r="L7" s="146" t="s">
        <v>52</v>
      </c>
      <c r="M7" s="149">
        <f t="shared" ref="M7:M53" si="0">CONVERT((I7-K7)/10000,"mi","ft")*IF(L7="Increasing Mileposts (1)",-1,1)</f>
        <v>-277.72800000000001</v>
      </c>
      <c r="N7" s="88" t="str">
        <f>VLOOKUP(C7,'Trips&amp;Operators'!$C$1:$E$99999,3,FALSE)</f>
        <v>BONDS</v>
      </c>
      <c r="O7" s="170" t="s">
        <v>86</v>
      </c>
      <c r="P7" s="10" t="s">
        <v>759</v>
      </c>
      <c r="Q7" s="33"/>
      <c r="R7" s="104" t="str">
        <f>VLOOKUP(C7,'Train Runs'!$A$13:$AE$10006,31,0)</f>
        <v>aws s3 cp s3://rtdc.mdm.uploadarchive.raw/RTDC4002/ "%USERPROFILE%\AppData\Local\Temp\OnboardLogs"\RTDC4002\2016-10-03 --exclude "*" --recursive --include "*20161003*" &amp; "%USERPROFILE%\Documents\GitHub\mrs-test-scripts\Headless Mode &amp; Sideloading\WalkAndUnGZ.bat" "%USERPROFILE%\AppData\Local\Temp\OnboardLogs"\RTDC4002\2016-10-03 &amp; 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</v>
      </c>
      <c r="S7" s="107" t="str">
        <f>VLOOKUP(C7,'Train Runs'!$A$13:$AE$10006,22,0)</f>
        <v>https://search-rtdc-monitor-bjffxe2xuh6vdkpspy63sjmuny.us-east-1.es.amazonaws.com/_plugin/kibana/#/discover/Steve-Slow-Train-Analysis-(2080s-and-2083s)?_g=(refreshInterval:(display:Off,section:0,value:0),time:(from:'2016-10-03 12:07:47-0600',mode:absolute,to:'2016-10-03 14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7" s="109" t="str">
        <f t="shared" ref="T7:T5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/stypes="*4002*201610031*" /stext=" 19:.+((SYSTEM_STATE.+slice.+state.+changed )|(ment ac)|(system.+state.+changed )|(\[timeout)|(PRM\|1\|D)|(kpr)|(kdp)|(\|lc)|(penalty))" /e /r /s</v>
      </c>
      <c r="U7" s="9" t="str">
        <f t="shared" ref="U7:U53" si="2">MID(B7,13,4)</f>
        <v>4002</v>
      </c>
      <c r="V7" s="38">
        <f t="shared" ref="V7:V53" si="3">A7+6/24</f>
        <v>42646.807951388888</v>
      </c>
      <c r="W7" s="52" t="str">
        <f t="shared" ref="W7:W53" si="4">IF(VALUE(LEFT(IF(LEN(C7)=6,"0"&amp;C7,C7),2))&lt;=2,"EC",IF(OR(VALUE(LEFT(IF(LEN(C7)=6,"0"&amp;C7,C7),2))=8,VALUE(LEFT(IF(LEN(C7)=6,"0"&amp;C7,C7),2))=18),"NW","Other"))</f>
        <v>EC</v>
      </c>
      <c r="X7" s="52" t="str">
        <f t="shared" ref="X7:X53" si="5">IF(AND(E7="TRACK WARRANT AUTHORITY",G7&lt;10),"OMIT","KEEP")</f>
        <v>KEEP</v>
      </c>
      <c r="Y7" s="130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Arrival","project_id":79,"tracker_id":40,"status_id":1,"priority_id":2,"assigned_to_id":23,"start_date":"2016-10-03","description":"","custom_fields":[{"id":1,"name":"Subdivision","value":"EC"},{"id":4,"name":"Milepost","value":"3.3137"},{"id":17,"name":"Train ID","value":"177-03"},{"id":16,"name":"Locomotive ID","value":"4002"},{"id":130,"name":"Impact","value":""},{"id":150,"name":"Time of Event (Mountain Time)","value":"13:23:27"},{"id":151,"name":"Denver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5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"%USERPROFILE%\AppData\Local\Temp\OnboardLogs"\RTDC4002\*4002*201610031* | grep -SE "((Enforcement Ac)|(PRM))" -</v>
      </c>
    </row>
    <row r="8" spans="1:29" s="1" customFormat="1" x14ac:dyDescent="0.25">
      <c r="A8" s="38">
        <v>42646.216412037036</v>
      </c>
      <c r="B8" s="33" t="s">
        <v>717</v>
      </c>
      <c r="C8" s="33" t="s">
        <v>418</v>
      </c>
      <c r="D8" s="33" t="s">
        <v>242</v>
      </c>
      <c r="E8" s="33" t="s">
        <v>166</v>
      </c>
      <c r="F8" s="49">
        <v>0</v>
      </c>
      <c r="G8" s="49">
        <v>224</v>
      </c>
      <c r="H8" s="49">
        <v>42838</v>
      </c>
      <c r="I8" s="49">
        <v>42950</v>
      </c>
      <c r="J8" s="33" t="s">
        <v>165</v>
      </c>
      <c r="K8" s="49">
        <v>42779</v>
      </c>
      <c r="L8" s="146" t="s">
        <v>52</v>
      </c>
      <c r="M8" s="149">
        <f t="shared" si="0"/>
        <v>-90.287999999999997</v>
      </c>
      <c r="N8" s="88" t="str">
        <f>VLOOKUP(C8,'Trips&amp;Operators'!$C$1:$E$99999,3,FALSE)</f>
        <v>STARKS</v>
      </c>
      <c r="O8" s="170" t="s">
        <v>86</v>
      </c>
      <c r="P8" s="10" t="s">
        <v>759</v>
      </c>
      <c r="Q8" s="33"/>
      <c r="R8" s="104" t="str">
        <f>VLOOKUP(C8,'Train Runs'!$A$13:$AE$10006,31,0)</f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S8" s="107" t="str">
        <f>VLOOKUP(C8,'Train Runs'!$A$13:$AE$10006,22,0)</f>
        <v>https://search-rtdc-monitor-bjffxe2xuh6vdkpspy63sjmuny.us-east-1.es.amazonaws.com/_plugin/kibana/#/discover/Steve-Slow-Train-Analysis-(2080s-and-2083s)?_g=(refreshInterval:(display:Off,section:0,value:0),time:(from:'2016-10-03 03:54:08-0600',mode:absolute,to:'2016-10-03 06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8" s="109" t="str">
        <f t="shared" si="1"/>
        <v>"C:\Program Files (x86)\AstroGrep\AstroGrep.exe" /spath="%USERPROFILE%\AppData\Local\Temp\OnboardLogs" /stypes="*4040*201610031*" /stext=" 11:.+((SYSTEM_STATE.+slice.+state.+changed )|(ment ac)|(system.+state.+changed )|(\[timeout)|(PRM\|1\|D)|(kpr)|(kdp)|(\|lc)|(penalty))" /e /r /s</v>
      </c>
      <c r="U8" s="9" t="str">
        <f t="shared" si="2"/>
        <v>4040</v>
      </c>
      <c r="V8" s="38">
        <f t="shared" si="3"/>
        <v>42646.466412037036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Arrival","project_id":79,"tracker_id":40,"status_id":1,"priority_id":2,"assigned_to_id":23,"start_date":"2016-10-03","description":"","custom_fields":[{"id":1,"name":"Subdivision","value":"EC"},{"id":4,"name":"Milepost","value":"4.2779"},{"id":17,"name":"Train ID","value":"111-03"},{"id":16,"name":"Locomotive ID","value":"4040"},{"id":130,"name":"Impact","value":""},{"id":150,"name":"Time of Event (Mountain Time)","value":"05:11:38"},{"id":151,"name":"Denver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"%USERPROFILE%\AppData\Local\Temp\OnboardLogs"\RTDC4040\*4040*201610031* | grep -SE "((Enforcement Ac)|(PRM))" -</v>
      </c>
    </row>
    <row r="9" spans="1:29" s="1" customFormat="1" x14ac:dyDescent="0.25">
      <c r="A9" s="38">
        <v>42646.361990740741</v>
      </c>
      <c r="B9" s="33" t="s">
        <v>356</v>
      </c>
      <c r="C9" s="33" t="s">
        <v>448</v>
      </c>
      <c r="D9" s="33" t="s">
        <v>49</v>
      </c>
      <c r="E9" s="33" t="s">
        <v>166</v>
      </c>
      <c r="F9" s="49">
        <v>0</v>
      </c>
      <c r="G9" s="49">
        <v>46</v>
      </c>
      <c r="H9" s="49">
        <v>59012</v>
      </c>
      <c r="I9" s="49">
        <v>58979</v>
      </c>
      <c r="J9" s="33" t="s">
        <v>165</v>
      </c>
      <c r="K9" s="49">
        <v>58904</v>
      </c>
      <c r="L9" s="146" t="s">
        <v>53</v>
      </c>
      <c r="M9" s="149">
        <f t="shared" si="0"/>
        <v>39.6</v>
      </c>
      <c r="N9" s="88" t="str">
        <f>VLOOKUP(C9,'Trips&amp;Operators'!$C$1:$E$99999,3,FALSE)</f>
        <v>MALAVE</v>
      </c>
      <c r="O9" s="170" t="s">
        <v>86</v>
      </c>
      <c r="P9" s="10" t="s">
        <v>760</v>
      </c>
      <c r="Q9" s="33"/>
      <c r="R9" s="104" t="str">
        <f>VLOOKUP(C9,'Train Runs'!$A$13:$AE$10006,31,0)</f>
        <v>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 &amp; 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</v>
      </c>
      <c r="S9" s="107" t="str">
        <f>VLOOKUP(C9,'Train Runs'!$A$13:$AE$10006,22,0)</f>
        <v>https://search-rtdc-monitor-bjffxe2xuh6vdkpspy63sjmuny.us-east-1.es.amazonaws.com/_plugin/kibana/#/discover/Steve-Slow-Train-Analysis-(2080s-and-2083s)?_g=(refreshInterval:(display:Off,section:0,value:0),time:(from:'2016-10-03 07:09:08-0600',mode:absolute,to:'2016-10-03 09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9" s="109" t="str">
        <f t="shared" si="1"/>
        <v>"C:\Program Files (x86)\AstroGrep\AstroGrep.exe" /spath="%USERPROFILE%\AppData\Local\Temp\OnboardLogs" /stypes="*4030*201610031*" /stext=" 14:.+((SYSTEM_STATE.+slice.+state.+changed )|(ment ac)|(system.+state.+changed )|(\[timeout)|(PRM\|1\|D)|(kpr)|(kdp)|(\|lc)|(penalty))" /e /r /s</v>
      </c>
      <c r="U9" s="9" t="str">
        <f t="shared" si="2"/>
        <v>4030</v>
      </c>
      <c r="V9" s="38">
        <f t="shared" si="3"/>
        <v>42646.611990740741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{"issue":{"subject":"Form C","project_id":79,"tracker_id":40,"status_id":1,"priority_id":2,"assigned_to_id":23,"start_date":"2016-10-03","description":"","custom_fields":[{"id":1,"name":"Subdivision","value":"EC"},{"id":4,"name":"Milepost","value":"5.8904"},{"id":17,"name":"Train ID","value":"130-03"},{"id":16,"name":"Locomotive ID","value":"4030"},{"id":130,"name":"Impact","value":""},{"id":150,"name":"Time of Event (Mountain Time)","value":"08:41:16"},{"id":151,"name":"Denver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"%USERPROFILE%\AppData\Local\Temp\OnboardLogs"\RTDC4030\*4030*201610031* | grep -SE "((Enforcement Ac)|(PRM))" -</v>
      </c>
    </row>
    <row r="10" spans="1:29" s="1" customFormat="1" x14ac:dyDescent="0.25">
      <c r="A10" s="38">
        <v>42646.463703703703</v>
      </c>
      <c r="B10" s="33" t="s">
        <v>718</v>
      </c>
      <c r="C10" s="33" t="s">
        <v>482</v>
      </c>
      <c r="D10" s="33" t="s">
        <v>49</v>
      </c>
      <c r="E10" s="33" t="s">
        <v>166</v>
      </c>
      <c r="F10" s="49">
        <v>0</v>
      </c>
      <c r="G10" s="49">
        <v>114</v>
      </c>
      <c r="H10" s="49">
        <v>59301</v>
      </c>
      <c r="I10" s="49">
        <v>59189</v>
      </c>
      <c r="J10" s="33" t="s">
        <v>165</v>
      </c>
      <c r="K10" s="49">
        <v>58904</v>
      </c>
      <c r="L10" s="146" t="s">
        <v>53</v>
      </c>
      <c r="M10" s="149">
        <f t="shared" si="0"/>
        <v>150.47999999999999</v>
      </c>
      <c r="N10" s="88" t="str">
        <f>VLOOKUP(C10,'Trips&amp;Operators'!$C$1:$E$99999,3,FALSE)</f>
        <v>SPECTOR</v>
      </c>
      <c r="O10" s="170" t="s">
        <v>86</v>
      </c>
      <c r="P10" s="10" t="s">
        <v>760</v>
      </c>
      <c r="Q10" s="33"/>
      <c r="R10" s="104" t="str">
        <f>VLOOKUP(C10,'Train Runs'!$A$13:$AE$10006,31,0)</f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S10" s="107" t="str">
        <f>VLOOKUP(C10,'Train Runs'!$A$13:$AE$10006,22,0)</f>
        <v>https://search-rtdc-monitor-bjffxe2xuh6vdkpspy63sjmuny.us-east-1.es.amazonaws.com/_plugin/kibana/#/discover/Steve-Slow-Train-Analysis-(2080s-and-2083s)?_g=(refreshInterval:(display:Off,section:0,value:0),time:(from:'2016-10-03 09:33:40-0600',mode:absolute,to:'2016-10-03 12:23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0" s="109" t="str">
        <f t="shared" si="1"/>
        <v>"C:\Program Files (x86)\AstroGrep\AstroGrep.exe" /spath="%USERPROFILE%\AppData\Local\Temp\OnboardLogs" /stypes="*4001*201610031*" /stext=" 17:.+((SYSTEM_STATE.+slice.+state.+changed )|(ment ac)|(system.+state.+changed )|(\[timeout)|(PRM\|1\|D)|(kpr)|(kdp)|(\|lc)|(penalty))" /e /r /s</v>
      </c>
      <c r="U10" s="9" t="str">
        <f t="shared" si="2"/>
        <v>4001</v>
      </c>
      <c r="V10" s="38">
        <f t="shared" si="3"/>
        <v>42646.713703703703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{"issue":{"subject":"Form C","project_id":79,"tracker_id":40,"status_id":1,"priority_id":2,"assigned_to_id":23,"start_date":"2016-10-03","description":"","custom_fields":[{"id":1,"name":"Subdivision","value":"EC"},{"id":4,"name":"Milepost","value":"5.8904"},{"id":17,"name":"Train ID","value":"150-03"},{"id":16,"name":"Locomotive ID","value":"4001"},{"id":130,"name":"Impact","value":""},{"id":150,"name":"Time of Event (Mountain Time)","value":"11:07:44"},{"id":151,"name":"Denver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"%USERPROFILE%\AppData\Local\Temp\OnboardLogs"\RTDC4001\*4001*201610031* | grep -SE "((Enforcement Ac)|(PRM))" -</v>
      </c>
    </row>
    <row r="11" spans="1:29" s="1" customFormat="1" x14ac:dyDescent="0.25">
      <c r="A11" s="38">
        <v>42646.660486111112</v>
      </c>
      <c r="B11" s="33" t="s">
        <v>354</v>
      </c>
      <c r="C11" s="33" t="s">
        <v>540</v>
      </c>
      <c r="D11" s="33" t="s">
        <v>49</v>
      </c>
      <c r="E11" s="33" t="s">
        <v>166</v>
      </c>
      <c r="F11" s="49">
        <v>0</v>
      </c>
      <c r="G11" s="49">
        <v>94</v>
      </c>
      <c r="H11" s="49">
        <v>107788</v>
      </c>
      <c r="I11" s="49">
        <v>107881</v>
      </c>
      <c r="J11" s="33" t="s">
        <v>165</v>
      </c>
      <c r="K11" s="49">
        <v>108954</v>
      </c>
      <c r="L11" s="146" t="s">
        <v>52</v>
      </c>
      <c r="M11" s="149">
        <f t="shared" si="0"/>
        <v>566.54399999999998</v>
      </c>
      <c r="N11" s="88" t="str">
        <f>VLOOKUP(C11,'Trips&amp;Operators'!$C$1:$E$99999,3,FALSE)</f>
        <v>CLARK</v>
      </c>
      <c r="O11" s="170" t="s">
        <v>86</v>
      </c>
      <c r="P11" s="10" t="s">
        <v>760</v>
      </c>
      <c r="Q11" s="33"/>
      <c r="R11" s="104" t="str">
        <f>VLOOKUP(C11,'Train Runs'!$A$13:$AE$10006,31,0)</f>
        <v>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 &amp; 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</v>
      </c>
      <c r="S11" s="107" t="str">
        <f>VLOOKUP(C11,'Train Runs'!$A$13:$AE$10006,22,0)</f>
        <v>https://search-rtdc-monitor-bjffxe2xuh6vdkpspy63sjmuny.us-east-1.es.amazonaws.com/_plugin/kibana/#/discover/Steve-Slow-Train-Analysis-(2080s-and-2083s)?_g=(refreshInterval:(display:Off,section:0,value:0),time:(from:'2016-10-03 14:19:59-0600',mode:absolute,to:'2016-10-03 17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1" s="109" t="str">
        <f t="shared" si="1"/>
        <v>"C:\Program Files (x86)\AstroGrep\AstroGrep.exe" /spath="%USERPROFILE%\AppData\Local\Temp\OnboardLogs" /stypes="*4003*201610032*" /stext=" 21:.+((SYSTEM_STATE.+slice.+state.+changed )|(ment ac)|(system.+state.+changed )|(\[timeout)|(PRM\|1\|D)|(kpr)|(kdp)|(\|lc)|(penalty))" /e /r /s</v>
      </c>
      <c r="U11" s="9" t="str">
        <f t="shared" si="2"/>
        <v>4003</v>
      </c>
      <c r="V11" s="38">
        <f t="shared" si="3"/>
        <v>42646.910486111112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{"issue":{"subject":"Form C","project_id":79,"tracker_id":40,"status_id":1,"priority_id":2,"assigned_to_id":23,"start_date":"2016-10-03","description":"","custom_fields":[{"id":1,"name":"Subdivision","value":"EC"},{"id":4,"name":"Milepost","value":"10.8954"},{"id":17,"name":"Train ID","value":"193-03"},{"id":16,"name":"Locomotive ID","value":"4003"},{"id":130,"name":"Impact","value":""},{"id":150,"name":"Time of Event (Mountain Time)","value":"15:51:06"},{"id":151,"name":"Denver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"%USERPROFILE%\AppData\Local\Temp\OnboardLogs"\RTDC4003\*4003*201610032* | grep -SE "((Enforcement Ac)|(PRM))" -</v>
      </c>
    </row>
    <row r="12" spans="1:29" s="1" customFormat="1" x14ac:dyDescent="0.25">
      <c r="A12" s="38">
        <v>42646.65834490741</v>
      </c>
      <c r="B12" s="33" t="s">
        <v>169</v>
      </c>
      <c r="C12" s="33" t="s">
        <v>533</v>
      </c>
      <c r="D12" s="33" t="s">
        <v>49</v>
      </c>
      <c r="E12" s="33" t="s">
        <v>166</v>
      </c>
      <c r="F12" s="49">
        <v>0</v>
      </c>
      <c r="G12" s="49">
        <v>210</v>
      </c>
      <c r="H12" s="49">
        <v>110320</v>
      </c>
      <c r="I12" s="49">
        <v>110025</v>
      </c>
      <c r="J12" s="33" t="s">
        <v>165</v>
      </c>
      <c r="K12" s="49">
        <v>109135</v>
      </c>
      <c r="L12" s="146" t="s">
        <v>53</v>
      </c>
      <c r="M12" s="149">
        <f t="shared" si="0"/>
        <v>469.92</v>
      </c>
      <c r="N12" s="88" t="str">
        <f>VLOOKUP(C12,'Trips&amp;Operators'!$C$1:$E$99999,3,FALSE)</f>
        <v>STEWART</v>
      </c>
      <c r="O12" s="170" t="s">
        <v>86</v>
      </c>
      <c r="P12" s="10" t="s">
        <v>760</v>
      </c>
      <c r="Q12" s="33"/>
      <c r="R12" s="104" t="str">
        <f>VLOOKUP(C12,'Train Runs'!$A$13:$AE$10006,31,0)</f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S12" s="107" t="str">
        <f>VLOOKUP(C12,'Train Runs'!$A$13:$AE$10006,22,0)</f>
        <v>https://search-rtdc-monitor-bjffxe2xuh6vdkpspy63sjmuny.us-east-1.es.amazonaws.com/_plugin/kibana/#/discover/Steve-Slow-Train-Analysis-(2080s-and-2083s)?_g=(refreshInterval:(display:Off,section:0,value:0),time:(from:'2016-10-03 14:18:57-0600',mode:absolute,to:'2016-10-03 17:13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2" s="109" t="str">
        <f t="shared" si="1"/>
        <v>"C:\Program Files (x86)\AstroGrep\AstroGrep.exe" /spath="%USERPROFILE%\AppData\Local\Temp\OnboardLogs" /stypes="*4026*201610032*" /stext=" 21:.+((SYSTEM_STATE.+slice.+state.+changed )|(ment ac)|(system.+state.+changed )|(\[timeout)|(PRM\|1\|D)|(kpr)|(kdp)|(\|lc)|(penalty))" /e /r /s</v>
      </c>
      <c r="U12" s="9" t="str">
        <f t="shared" si="2"/>
        <v>4026</v>
      </c>
      <c r="V12" s="38">
        <f t="shared" si="3"/>
        <v>42646.90834490741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{"issue":{"subject":"Form C","project_id":79,"tracker_id":40,"status_id":1,"priority_id":2,"assigned_to_id":23,"start_date":"2016-10-03","description":"","custom_fields":[{"id":1,"name":"Subdivision","value":"EC"},{"id":4,"name":"Milepost","value":"10.9135"},{"id":17,"name":"Train ID","value":"188-03"},{"id":16,"name":"Locomotive ID","value":"4026"},{"id":130,"name":"Impact","value":""},{"id":150,"name":"Time of Event (Mountain Time)","value":"15:48:01"},{"id":151,"name":"Denver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"%USERPROFILE%\AppData\Local\Temp\OnboardLogs"\RTDC4026\*4026*201610032* | grep -SE "((Enforcement Ac)|(PRM))" -</v>
      </c>
    </row>
    <row r="13" spans="1:29" s="1" customFormat="1" x14ac:dyDescent="0.25">
      <c r="A13" s="38">
        <v>42646.694907407407</v>
      </c>
      <c r="B13" s="33" t="s">
        <v>355</v>
      </c>
      <c r="C13" s="33" t="s">
        <v>542</v>
      </c>
      <c r="D13" s="33" t="s">
        <v>49</v>
      </c>
      <c r="E13" s="33" t="s">
        <v>166</v>
      </c>
      <c r="F13" s="49">
        <v>0</v>
      </c>
      <c r="G13" s="49">
        <v>184</v>
      </c>
      <c r="H13" s="49">
        <v>110258</v>
      </c>
      <c r="I13" s="49">
        <v>101860</v>
      </c>
      <c r="J13" s="33" t="s">
        <v>165</v>
      </c>
      <c r="K13" s="49">
        <v>109135</v>
      </c>
      <c r="L13" s="146" t="s">
        <v>53</v>
      </c>
      <c r="M13" s="149">
        <f t="shared" si="0"/>
        <v>-3841.2</v>
      </c>
      <c r="N13" s="88" t="str">
        <f>VLOOKUP(C13,'Trips&amp;Operators'!$C$1:$E$99999,3,FALSE)</f>
        <v>CLARK</v>
      </c>
      <c r="O13" s="170" t="s">
        <v>86</v>
      </c>
      <c r="P13" s="10" t="s">
        <v>760</v>
      </c>
      <c r="Q13" s="33"/>
      <c r="R13" s="104" t="str">
        <f>VLOOKUP(C13,'Train Runs'!$A$13:$AE$10006,31,0)</f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S13" s="107" t="str">
        <f>VLOOKUP(C13,'Train Runs'!$A$13:$AE$10006,22,0)</f>
        <v>https://search-rtdc-monitor-bjffxe2xuh6vdkpspy63sjmuny.us-east-1.es.amazonaws.com/_plugin/kibana/#/discover/Steve-Slow-Train-Analysis-(2080s-and-2083s)?_g=(refreshInterval:(display:Off,section:0,value:0),time:(from:'2016-10-03 15:10:31-0600',mode:absolute,to:'2016-10-03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3" s="109" t="str">
        <f t="shared" si="1"/>
        <v>"C:\Program Files (x86)\AstroGrep\AstroGrep.exe" /spath="%USERPROFILE%\AppData\Local\Temp\OnboardLogs" /stypes="*4004*201610032*" /stext=" 22:.+((SYSTEM_STATE.+slice.+state.+changed )|(ment ac)|(system.+state.+changed )|(\[timeout)|(PRM\|1\|D)|(kpr)|(kdp)|(\|lc)|(penalty))" /e /r /s</v>
      </c>
      <c r="U13" s="9" t="str">
        <f t="shared" si="2"/>
        <v>4004</v>
      </c>
      <c r="V13" s="38">
        <f t="shared" si="3"/>
        <v>42646.944907407407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{"issue":{"subject":"Form C","project_id":79,"tracker_id":40,"status_id":1,"priority_id":2,"assigned_to_id":23,"start_date":"2016-10-03","description":"","custom_fields":[{"id":1,"name":"Subdivision","value":"EC"},{"id":4,"name":"Milepost","value":"10.9135"},{"id":17,"name":"Train ID","value":"194-03"},{"id":16,"name":"Locomotive ID","value":"4004"},{"id":130,"name":"Impact","value":""},{"id":150,"name":"Time of Event (Mountain Time)","value":"16:40:40"},{"id":151,"name":"Denver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"%USERPROFILE%\AppData\Local\Temp\OnboardLogs"\RTDC4004\*4004*201610032* | grep -SE "((Enforcement Ac)|(PRM))" -</v>
      </c>
    </row>
    <row r="14" spans="1:29" s="1" customFormat="1" x14ac:dyDescent="0.25">
      <c r="A14" s="38">
        <v>42646.77416666667</v>
      </c>
      <c r="B14" s="33" t="s">
        <v>355</v>
      </c>
      <c r="C14" s="33" t="s">
        <v>559</v>
      </c>
      <c r="D14" s="33" t="s">
        <v>49</v>
      </c>
      <c r="E14" s="33" t="s">
        <v>166</v>
      </c>
      <c r="F14" s="49">
        <v>0</v>
      </c>
      <c r="G14" s="49">
        <v>183</v>
      </c>
      <c r="H14" s="49">
        <v>110183</v>
      </c>
      <c r="I14" s="49">
        <v>109167</v>
      </c>
      <c r="J14" s="33" t="s">
        <v>165</v>
      </c>
      <c r="K14" s="49">
        <v>109135</v>
      </c>
      <c r="L14" s="146" t="s">
        <v>53</v>
      </c>
      <c r="M14" s="149">
        <f t="shared" si="0"/>
        <v>16.896000000000001</v>
      </c>
      <c r="N14" s="88" t="str">
        <f>VLOOKUP(C14,'Trips&amp;Operators'!$C$1:$E$99999,3,FALSE)</f>
        <v>CLARK</v>
      </c>
      <c r="O14" s="170" t="s">
        <v>86</v>
      </c>
      <c r="P14" s="10" t="s">
        <v>760</v>
      </c>
      <c r="Q14" s="33"/>
      <c r="R14" s="104" t="str">
        <f>VLOOKUP(C14,'Train Runs'!$A$13:$AE$10006,31,0)</f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S14" s="107" t="str">
        <f>VLOOKUP(C14,'Train Runs'!$A$13:$AE$10006,22,0)</f>
        <v>https://search-rtdc-monitor-bjffxe2xuh6vdkpspy63sjmuny.us-east-1.es.amazonaws.com/_plugin/kibana/#/discover/Steve-Slow-Train-Analysis-(2080s-and-2083s)?_g=(refreshInterval:(display:Off,section:0,value:0),time:(from:'2016-10-03 17:08:46-0600',mode:absolute,to:'2016-10-03 19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4" s="109" t="str">
        <f t="shared" si="1"/>
        <v>"C:\Program Files (x86)\AstroGrep\AstroGrep.exe" /spath="%USERPROFILE%\AppData\Local\Temp\OnboardLogs" /stypes="*4004*201610040*" /stext=" 00:.+((SYSTEM_STATE.+slice.+state.+changed )|(ment ac)|(system.+state.+changed )|(\[timeout)|(PRM\|1\|D)|(kpr)|(kdp)|(\|lc)|(penalty))" /e /r /s</v>
      </c>
      <c r="U14" s="9" t="str">
        <f t="shared" si="2"/>
        <v>4004</v>
      </c>
      <c r="V14" s="38">
        <f t="shared" si="3"/>
        <v>42647.02416666667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{"issue":{"subject":"Form C","project_id":79,"tracker_id":40,"status_id":1,"priority_id":2,"assigned_to_id":23,"start_date":"2016-10-03","description":"","custom_fields":[{"id":1,"name":"Subdivision","value":"EC"},{"id":4,"name":"Milepost","value":"10.9135"},{"id":17,"name":"Train ID","value":"208-03"},{"id":16,"name":"Locomotive ID","value":"4004"},{"id":130,"name":"Impact","value":""},{"id":150,"name":"Time of Event (Mountain Time)","value":"18:34:48"},{"id":151,"name":"Denver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"%USERPROFILE%\AppData\Local\Temp\OnboardLogs"\RTDC4004\*4004*201610040* | grep -SE "((Enforcement Ac)|(PRM))" -</v>
      </c>
    </row>
    <row r="15" spans="1:29" s="1" customFormat="1" x14ac:dyDescent="0.25">
      <c r="A15" s="38">
        <v>42646.324895833335</v>
      </c>
      <c r="B15" s="33" t="s">
        <v>177</v>
      </c>
      <c r="C15" s="33" t="s">
        <v>452</v>
      </c>
      <c r="D15" s="33" t="s">
        <v>105</v>
      </c>
      <c r="E15" s="33" t="s">
        <v>56</v>
      </c>
      <c r="F15" s="49">
        <v>400</v>
      </c>
      <c r="G15" s="49">
        <v>450</v>
      </c>
      <c r="H15" s="49">
        <v>7357</v>
      </c>
      <c r="I15" s="49">
        <v>8770</v>
      </c>
      <c r="J15" s="33" t="s">
        <v>57</v>
      </c>
      <c r="K15" s="49">
        <v>5439</v>
      </c>
      <c r="L15" s="146" t="s">
        <v>52</v>
      </c>
      <c r="M15" s="149">
        <f t="shared" si="0"/>
        <v>-1758.768</v>
      </c>
      <c r="N15" s="88" t="str">
        <f>VLOOKUP(C15,'Trips&amp;Operators'!$C$1:$E$99999,3,FALSE)</f>
        <v>BRANNON</v>
      </c>
      <c r="O15" s="170" t="s">
        <v>86</v>
      </c>
      <c r="P15" s="10"/>
      <c r="Q15" s="33"/>
      <c r="R15" s="104" t="str">
        <f>VLOOKUP(C15,'Train Runs'!$A$13:$AE$10006,31,0)</f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S15" s="107" t="str">
        <f>VLOOKUP(C15,'Train Runs'!$A$13:$AE$10006,22,0)</f>
        <v>https://search-rtdc-monitor-bjffxe2xuh6vdkpspy63sjmuny.us-east-1.es.amazonaws.com/_plugin/kibana/#/discover/Steve-Slow-Train-Analysis-(2080s-and-2083s)?_g=(refreshInterval:(display:Off,section:0,value:0),time:(from:'2016-10-03 06:37:18-0600',mode:absolute,to:'2016-10-03 09:24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9" t="str">
        <f t="shared" si="1"/>
        <v>"C:\Program Files (x86)\AstroGrep\AstroGrep.exe" /spath="%USERPROFILE%\AppData\Local\Temp\OnboardLogs" /stypes="*4046*201610031*" /stext=" 13:.+((SYSTEM_STATE.+slice.+state.+changed )|(ment ac)|(system.+state.+changed )|(\[timeout)|(PRM\|1\|D)|(kpr)|(kdp)|(\|lc)|(penalty))" /e /r /s</v>
      </c>
      <c r="U15" s="9" t="str">
        <f t="shared" si="2"/>
        <v>4046</v>
      </c>
      <c r="V15" s="38">
        <f t="shared" si="3"/>
        <v>42646.574895833335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{"issue":{"subject":"","project_id":79,"tracker_id":40,"status_id":1,"priority_id":2,"assigned_to_id":23,"start_date":"2016-10-03","description":"","custom_fields":[{"id":1,"name":"Subdivision","value":"EC"},{"id":4,"name":"Milepost","value":"0.5439"},{"id":17,"name":"Train ID","value":"133-03"},{"id":16,"name":"Locomotive ID","value":"4046"},{"id":130,"name":"Impact","value":""},{"id":150,"name":"Time of Event (Mountain Time)","value":"07:47:51"},{"id":151,"name":"Denver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"%USERPROFILE%\AppData\Local\Temp\OnboardLogs"\RTDC4046\*4046*201610031* | grep -SE "((Enforcement Ac)|(PRM))" -</v>
      </c>
    </row>
    <row r="16" spans="1:29" s="1" customFormat="1" x14ac:dyDescent="0.25">
      <c r="A16" s="38">
        <v>42646.197638888887</v>
      </c>
      <c r="B16" s="33" t="s">
        <v>238</v>
      </c>
      <c r="C16" s="33" t="s">
        <v>405</v>
      </c>
      <c r="D16" s="33" t="s">
        <v>49</v>
      </c>
      <c r="E16" s="33" t="s">
        <v>56</v>
      </c>
      <c r="F16" s="49">
        <v>300</v>
      </c>
      <c r="G16" s="49">
        <v>389</v>
      </c>
      <c r="H16" s="49">
        <v>23294</v>
      </c>
      <c r="I16" s="49">
        <v>22194</v>
      </c>
      <c r="J16" s="33" t="s">
        <v>57</v>
      </c>
      <c r="K16" s="49">
        <v>21848</v>
      </c>
      <c r="L16" s="146" t="s">
        <v>53</v>
      </c>
      <c r="M16" s="149">
        <f t="shared" si="0"/>
        <v>182.68799999999999</v>
      </c>
      <c r="N16" s="88" t="str">
        <f>VLOOKUP(C16,'Trips&amp;Operators'!$C$1:$E$99999,3,FALSE)</f>
        <v>KILLION</v>
      </c>
      <c r="O16" s="170" t="s">
        <v>86</v>
      </c>
      <c r="P16" s="10"/>
      <c r="Q16" s="33"/>
      <c r="R16" s="104" t="str">
        <f>VLOOKUP(C16,'Train Runs'!$A$13:$AE$10006,31,0)</f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S16" s="107" t="str">
        <f>VLOOKUP(C16,'Train Runs'!$A$13:$AE$10006,22,0)</f>
        <v>https://search-rtdc-monitor-bjffxe2xuh6vdkpspy63sjmuny.us-east-1.es.amazonaws.com/_plugin/kibana/#/discover/Steve-Slow-Train-Analysis-(2080s-and-2083s)?_g=(refreshInterval:(display:Off,section:0,value:0),time:(from:'2016-10-03 03:04:18-0600',mode:absolute,to:'2016-10-03 05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9" t="str">
        <f t="shared" si="1"/>
        <v>"C:\Program Files (x86)\AstroGrep\AstroGrep.exe" /spath="%USERPROFILE%\AppData\Local\Temp\OnboardLogs" /stypes="*4017*201610031*" /stext=" 10:.+((SYSTEM_STATE.+slice.+state.+changed )|(ment ac)|(system.+state.+changed )|(\[timeout)|(PRM\|1\|D)|(kpr)|(kdp)|(\|lc)|(penalty))" /e /r /s</v>
      </c>
      <c r="U16" s="9" t="str">
        <f t="shared" si="2"/>
        <v>4017</v>
      </c>
      <c r="V16" s="38">
        <f t="shared" si="3"/>
        <v>42646.447638888887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{"issue":{"subject":"","project_id":79,"tracker_id":40,"status_id":1,"priority_id":2,"assigned_to_id":23,"start_date":"2016-10-03","description":"","custom_fields":[{"id":1,"name":"Subdivision","value":"EC"},{"id":4,"name":"Milepost","value":"2.1848"},{"id":17,"name":"Train ID","value":"102-03"},{"id":16,"name":"Locomotive ID","value":"4017"},{"id":130,"name":"Impact","value":""},{"id":150,"name":"Time of Event (Mountain Time)","value":"04:44:36"},{"id":151,"name":"Denver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"%USERPROFILE%\AppData\Local\Temp\OnboardLogs"\RTDC4017\*4017*201610031* | grep -SE "((Enforcement Ac)|(PRM))" -</v>
      </c>
    </row>
    <row r="17" spans="1:29" s="1" customFormat="1" x14ac:dyDescent="0.25">
      <c r="A17" s="38">
        <v>42646.560439814813</v>
      </c>
      <c r="B17" s="33" t="s">
        <v>168</v>
      </c>
      <c r="C17" s="33" t="s">
        <v>511</v>
      </c>
      <c r="D17" s="33" t="s">
        <v>49</v>
      </c>
      <c r="E17" s="33" t="s">
        <v>56</v>
      </c>
      <c r="F17" s="49">
        <v>450</v>
      </c>
      <c r="G17" s="49">
        <v>592</v>
      </c>
      <c r="H17" s="49">
        <v>188985</v>
      </c>
      <c r="I17" s="49">
        <v>191642</v>
      </c>
      <c r="J17" s="33" t="s">
        <v>57</v>
      </c>
      <c r="K17" s="49">
        <v>190834</v>
      </c>
      <c r="L17" s="146" t="s">
        <v>52</v>
      </c>
      <c r="M17" s="149">
        <f t="shared" si="0"/>
        <v>-426.62400000000002</v>
      </c>
      <c r="N17" s="88" t="str">
        <f>VLOOKUP(C17,'Trips&amp;Operators'!$C$1:$E$99999,3,FALSE)</f>
        <v>STEWART</v>
      </c>
      <c r="O17" s="170" t="s">
        <v>86</v>
      </c>
      <c r="P17" s="10"/>
      <c r="Q17" s="33"/>
      <c r="R17" s="104" t="str">
        <f>VLOOKUP(C17,'Train Runs'!$A$13:$AE$10006,31,0)</f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S17" s="107" t="str">
        <f>VLOOKUP(C17,'Train Runs'!$A$13:$AE$10006,22,0)</f>
        <v>https://search-rtdc-monitor-bjffxe2xuh6vdkpspy63sjmuny.us-east-1.es.amazonaws.com/_plugin/kibana/#/discover/Steve-Slow-Train-Analysis-(2080s-and-2083s)?_g=(refreshInterval:(display:Off,section:0,value:0),time:(from:'2016-10-03 11:45:21-0600',mode:absolute,to:'2016-10-03 14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7" s="109" t="str">
        <f t="shared" si="1"/>
        <v>"C:\Program Files (x86)\AstroGrep\AstroGrep.exe" /spath="%USERPROFILE%\AppData\Local\Temp\OnboardLogs" /stypes="*4025*201610031*" /stext=" 19:.+((SYSTEM_STATE.+slice.+state.+changed )|(ment ac)|(system.+state.+changed )|(\[timeout)|(PRM\|1\|D)|(kpr)|(kdp)|(\|lc)|(penalty))" /e /r /s</v>
      </c>
      <c r="U17" s="9" t="str">
        <f t="shared" si="2"/>
        <v>4025</v>
      </c>
      <c r="V17" s="38">
        <f t="shared" si="3"/>
        <v>42646.810439814813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{"issue":{"subject":"","project_id":79,"tracker_id":40,"status_id":1,"priority_id":2,"assigned_to_id":23,"start_date":"2016-10-03","description":"","custom_fields":[{"id":1,"name":"Subdivision","value":"EC"},{"id":4,"name":"Milepost","value":"19.0834"},{"id":17,"name":"Train ID","value":"173-03"},{"id":16,"name":"Locomotive ID","value":"4025"},{"id":130,"name":"Impact","value":""},{"id":150,"name":"Time of Event (Mountain Time)","value":"13:27:02"},{"id":151,"name":"Denver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"%USERPROFILE%\AppData\Local\Temp\OnboardLogs"\RTDC4025\*4025*201610031* | grep -SE "((Enforcement Ac)|(PRM))" -</v>
      </c>
    </row>
    <row r="18" spans="1:29" s="1" customFormat="1" x14ac:dyDescent="0.25">
      <c r="A18" s="38">
        <v>42646.333912037036</v>
      </c>
      <c r="B18" s="33" t="s">
        <v>238</v>
      </c>
      <c r="C18" s="33" t="s">
        <v>446</v>
      </c>
      <c r="D18" s="33" t="s">
        <v>49</v>
      </c>
      <c r="E18" s="33" t="s">
        <v>56</v>
      </c>
      <c r="F18" s="49">
        <v>750</v>
      </c>
      <c r="G18" s="49">
        <v>802</v>
      </c>
      <c r="H18" s="49">
        <v>202266</v>
      </c>
      <c r="I18" s="49">
        <v>198624</v>
      </c>
      <c r="J18" s="33" t="s">
        <v>57</v>
      </c>
      <c r="K18" s="49">
        <v>200464</v>
      </c>
      <c r="L18" s="146" t="s">
        <v>53</v>
      </c>
      <c r="M18" s="149">
        <f t="shared" si="0"/>
        <v>-971.52</v>
      </c>
      <c r="N18" s="88" t="str">
        <f>VLOOKUP(C18,'Trips&amp;Operators'!$C$1:$E$99999,3,FALSE)</f>
        <v>KILLION</v>
      </c>
      <c r="O18" s="170" t="s">
        <v>86</v>
      </c>
      <c r="P18" s="10"/>
      <c r="Q18" s="33"/>
      <c r="R18" s="104" t="str">
        <f>VLOOKUP(C18,'Train Runs'!$A$13:$AE$10006,31,0)</f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S18" s="107" t="str">
        <f>VLOOKUP(C18,'Train Runs'!$A$13:$AE$10006,22,0)</f>
        <v>https://search-rtdc-monitor-bjffxe2xuh6vdkpspy63sjmuny.us-east-1.es.amazonaws.com/_plugin/kibana/#/discover/Steve-Slow-Train-Analysis-(2080s-and-2083s)?_g=(refreshInterval:(display:Off,section:0,value:0),time:(from:'2016-10-03 06:48:29-0600',mode:absolute,to:'2016-10-03 09:42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8" s="109" t="str">
        <f t="shared" si="1"/>
        <v>"C:\Program Files (x86)\AstroGrep\AstroGrep.exe" /spath="%USERPROFILE%\AppData\Local\Temp\OnboardLogs" /stypes="*4017*201610031*" /stext=" 14:.+((SYSTEM_STATE.+slice.+state.+changed )|(ment ac)|(system.+state.+changed )|(\[timeout)|(PRM\|1\|D)|(kpr)|(kdp)|(\|lc)|(penalty))" /e /r /s</v>
      </c>
      <c r="U18" s="9" t="str">
        <f t="shared" si="2"/>
        <v>4017</v>
      </c>
      <c r="V18" s="38">
        <f t="shared" si="3"/>
        <v>42646.583912037036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{"issue":{"subject":"","project_id":79,"tracker_id":40,"status_id":1,"priority_id":2,"assigned_to_id":23,"start_date":"2016-10-03","description":"","custom_fields":[{"id":1,"name":"Subdivision","value":"EC"},{"id":4,"name":"Milepost","value":"20.0464"},{"id":17,"name":"Train ID","value":"128-03"},{"id":16,"name":"Locomotive ID","value":"4017"},{"id":130,"name":"Impact","value":""},{"id":150,"name":"Time of Event (Mountain Time)","value":"08:00:50"},{"id":151,"name":"Denver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"%USERPROFILE%\AppData\Local\Temp\OnboardLogs"\RTDC4017\*4017*201610031* | grep -SE "((Enforcement Ac)|(PRM))" -</v>
      </c>
    </row>
    <row r="19" spans="1:29" s="1" customFormat="1" x14ac:dyDescent="0.25">
      <c r="A19" s="38">
        <v>42646.401724537034</v>
      </c>
      <c r="B19" s="33" t="s">
        <v>233</v>
      </c>
      <c r="C19" s="33" t="s">
        <v>471</v>
      </c>
      <c r="D19" s="33" t="s">
        <v>49</v>
      </c>
      <c r="E19" s="33" t="s">
        <v>56</v>
      </c>
      <c r="F19" s="49">
        <v>350</v>
      </c>
      <c r="G19" s="49">
        <v>423</v>
      </c>
      <c r="H19" s="49">
        <v>224072</v>
      </c>
      <c r="I19" s="49">
        <v>225103</v>
      </c>
      <c r="J19" s="33" t="s">
        <v>57</v>
      </c>
      <c r="K19" s="49">
        <v>224578</v>
      </c>
      <c r="L19" s="146" t="s">
        <v>52</v>
      </c>
      <c r="M19" s="149">
        <f t="shared" si="0"/>
        <v>-277.2</v>
      </c>
      <c r="N19" s="88" t="str">
        <f>VLOOKUP(C19,'Trips&amp;Operators'!$C$1:$E$99999,3,FALSE)</f>
        <v>MALAVE</v>
      </c>
      <c r="O19" s="170" t="s">
        <v>86</v>
      </c>
      <c r="P19" s="10"/>
      <c r="Q19" s="33"/>
      <c r="R19" s="104" t="str">
        <f>VLOOKUP(C19,'Train Runs'!$A$13:$AE$10006,31,0)</f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S19" s="107" t="str">
        <f>VLOOKUP(C19,'Train Runs'!$A$13:$AE$10006,22,0)</f>
        <v>https://search-rtdc-monitor-bjffxe2xuh6vdkpspy63sjmuny.us-east-1.es.amazonaws.com/_plugin/kibana/#/discover/Steve-Slow-Train-Analysis-(2080s-and-2083s)?_g=(refreshInterval:(display:Off,section:0,value:0),time:(from:'2016-10-03 08:00:12-0600',mode:absolute,to:'2016-10-03 10:41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9" s="109" t="str">
        <f t="shared" si="1"/>
        <v>"C:\Program Files (x86)\AstroGrep\AstroGrep.exe" /spath="%USERPROFILE%\AppData\Local\Temp\OnboardLogs" /stypes="*4029*201610031*" /stext=" 15:.+((SYSTEM_STATE.+slice.+state.+changed )|(ment ac)|(system.+state.+changed )|(\[timeout)|(PRM\|1\|D)|(kpr)|(kdp)|(\|lc)|(penalty))" /e /r /s</v>
      </c>
      <c r="U19" s="9" t="str">
        <f t="shared" si="2"/>
        <v>4029</v>
      </c>
      <c r="V19" s="38">
        <f t="shared" si="3"/>
        <v>42646.651724537034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{"issue":{"subject":"","project_id":79,"tracker_id":40,"status_id":1,"priority_id":2,"assigned_to_id":23,"start_date":"2016-10-03","description":"","custom_fields":[{"id":1,"name":"Subdivision","value":"EC"},{"id":4,"name":"Milepost","value":"22.4578"},{"id":17,"name":"Train ID","value":"143-03"},{"id":16,"name":"Locomotive ID","value":"4029"},{"id":130,"name":"Impact","value":""},{"id":150,"name":"Time of Event (Mountain Time)","value":"09:38:29"},{"id":151,"name":"Denver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"%USERPROFILE%\AppData\Local\Temp\OnboardLogs"\RTDC4029\*4029*201610031* | grep -SE "((Enforcement Ac)|(PRM))" -</v>
      </c>
    </row>
    <row r="20" spans="1:29" x14ac:dyDescent="0.25">
      <c r="A20" s="38">
        <v>42646.234027777777</v>
      </c>
      <c r="B20" s="33" t="s">
        <v>717</v>
      </c>
      <c r="C20" s="33" t="s">
        <v>418</v>
      </c>
      <c r="D20" s="33" t="s">
        <v>49</v>
      </c>
      <c r="E20" s="33" t="s">
        <v>56</v>
      </c>
      <c r="F20" s="49">
        <v>150</v>
      </c>
      <c r="G20" s="49">
        <v>344</v>
      </c>
      <c r="H20" s="49">
        <v>228532</v>
      </c>
      <c r="I20" s="49">
        <v>229421</v>
      </c>
      <c r="J20" s="33" t="s">
        <v>57</v>
      </c>
      <c r="K20" s="49">
        <v>230436</v>
      </c>
      <c r="L20" s="146" t="s">
        <v>52</v>
      </c>
      <c r="M20" s="149">
        <f t="shared" si="0"/>
        <v>535.91999999999996</v>
      </c>
      <c r="N20" s="88" t="str">
        <f>VLOOKUP(C20,'Trips&amp;Operators'!$C$1:$E$99999,3,FALSE)</f>
        <v>STARKS</v>
      </c>
      <c r="O20" s="170" t="s">
        <v>86</v>
      </c>
      <c r="P20" s="10"/>
      <c r="Q20" s="33"/>
      <c r="R20" s="104" t="str">
        <f>VLOOKUP(C20,'Train Runs'!$A$13:$AE$10006,31,0)</f>
        <v>aws s3 cp s3://rtdc.mdm.uploadarchive.raw/RTDC4040/ "%USERPROFILE%\AppData\Local\Temp\OnboardLogs"\RTDC4040\2016-10-03 --exclude "*" --recursive --include "*20161003*" &amp; "%USERPROFILE%\Documents\GitHub\mrs-test-scripts\Headless Mode &amp; Sideloading\WalkAndUnGZ.bat" "%USERPROFILE%\AppData\Local\Temp\OnboardLogs"\RTDC4040\2016-10-03 &amp; aws s3 cp s3://rtdc.mdm.uploadarchive.raw/RTDC4040/ "%USERPROFILE%\AppData\Local\Temp\OnboardLogs"\RTDC4040\2016-10-04 --exclude "*" --recursive --include "*20161004*" &amp; "%USERPROFILE%\Documents\GitHub\mrs-test-scripts\Headless Mode &amp; Sideloading\WalkAndUnGZ.bat" "%USERPROFILE%\AppData\Local\Temp\OnboardLogs"\RTDC4040\2016-10-04</v>
      </c>
      <c r="S20" s="107" t="str">
        <f>VLOOKUP(C20,'Train Runs'!$A$13:$AE$10006,22,0)</f>
        <v>https://search-rtdc-monitor-bjffxe2xuh6vdkpspy63sjmuny.us-east-1.es.amazonaws.com/_plugin/kibana/#/discover/Steve-Slow-Train-Analysis-(2080s-and-2083s)?_g=(refreshInterval:(display:Off,section:0,value:0),time:(from:'2016-10-03 03:54:08-0600',mode:absolute,to:'2016-10-03 06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0" s="109" t="str">
        <f t="shared" si="1"/>
        <v>"C:\Program Files (x86)\AstroGrep\AstroGrep.exe" /spath="%USERPROFILE%\AppData\Local\Temp\OnboardLogs" /stypes="*4040*201610031*" /stext=" 11:.+((SYSTEM_STATE.+slice.+state.+changed )|(ment ac)|(system.+state.+changed )|(\[timeout)|(PRM\|1\|D)|(kpr)|(kdp)|(\|lc)|(penalty))" /e /r /s</v>
      </c>
      <c r="U20" s="9" t="str">
        <f t="shared" si="2"/>
        <v>4040</v>
      </c>
      <c r="V20" s="38">
        <f t="shared" si="3"/>
        <v>42646.484027777777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{"issue":{"subject":"","project_id":79,"tracker_id":40,"status_id":1,"priority_id":2,"assigned_to_id":23,"start_date":"2016-10-03","description":"","custom_fields":[{"id":1,"name":"Subdivision","value":"EC"},{"id":4,"name":"Milepost","value":"23.0436"},{"id":17,"name":"Train ID","value":"111-03"},{"id":16,"name":"Locomotive ID","value":"4040"},{"id":130,"name":"Impact","value":""},{"id":150,"name":"Time of Event (Mountain Time)","value":"05:37:00"},{"id":151,"name":"Denver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"%USERPROFILE%\AppData\Local\Temp\OnboardLogs"\RTDC4040\*4040*201610031* | grep -SE "((Enforcement Ac)|(PRM))" -</v>
      </c>
    </row>
    <row r="21" spans="1:29" s="1" customFormat="1" x14ac:dyDescent="0.25">
      <c r="A21" s="38">
        <v>42646.324965277781</v>
      </c>
      <c r="B21" s="33" t="s">
        <v>718</v>
      </c>
      <c r="C21" s="33" t="s">
        <v>435</v>
      </c>
      <c r="D21" s="33" t="s">
        <v>49</v>
      </c>
      <c r="E21" s="33" t="s">
        <v>54</v>
      </c>
      <c r="F21" s="49">
        <v>0</v>
      </c>
      <c r="G21" s="49">
        <v>180</v>
      </c>
      <c r="H21" s="49">
        <v>5517</v>
      </c>
      <c r="I21" s="49">
        <v>5136</v>
      </c>
      <c r="J21" s="33" t="s">
        <v>55</v>
      </c>
      <c r="K21" s="49">
        <v>4677</v>
      </c>
      <c r="L21" s="146" t="s">
        <v>53</v>
      </c>
      <c r="M21" s="149">
        <f t="shared" si="0"/>
        <v>242.352</v>
      </c>
      <c r="N21" s="88" t="str">
        <f>VLOOKUP(C21,'Trips&amp;Operators'!$C$1:$E$99999,3,FALSE)</f>
        <v>SPECTOR</v>
      </c>
      <c r="O21" s="170" t="s">
        <v>86</v>
      </c>
      <c r="P21" s="10" t="s">
        <v>763</v>
      </c>
      <c r="Q21" s="33"/>
      <c r="R21" s="104" t="str">
        <f>VLOOKUP(C21,'Train Runs'!$A$13:$AE$10006,31,0)</f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S21" s="107" t="str">
        <f>VLOOKUP(C21,'Train Runs'!$A$13:$AE$10006,22,0)</f>
        <v>https://search-rtdc-monitor-bjffxe2xuh6vdkpspy63sjmuny.us-east-1.es.amazonaws.com/_plugin/kibana/#/discover/Steve-Slow-Train-Analysis-(2080s-and-2083s)?_g=(refreshInterval:(display:Off,section:0,value:0),time:(from:'2016-10-03 06:03:08-0600',mode:absolute,to:'2016-10-03 08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1" s="109" t="str">
        <f t="shared" si="1"/>
        <v>"C:\Program Files (x86)\AstroGrep\AstroGrep.exe" /spath="%USERPROFILE%\AppData\Local\Temp\OnboardLogs" /stypes="*4001*201610031*" /stext=" 13:.+((SYSTEM_STATE.+slice.+state.+changed )|(ment ac)|(system.+state.+changed )|(\[timeout)|(PRM\|1\|D)|(kpr)|(kdp)|(\|lc)|(penalty))" /e /r /s</v>
      </c>
      <c r="U21" s="9" t="str">
        <f t="shared" si="2"/>
        <v>4001</v>
      </c>
      <c r="V21" s="38">
        <f t="shared" si="3"/>
        <v>42646.574965277781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{"issue":{"subject":"DUS 22S STOP, cleared afterward","project_id":79,"tracker_id":40,"status_id":1,"priority_id":2,"assigned_to_id":23,"start_date":"2016-10-03","description":"","custom_fields":[{"id":1,"name":"Subdivision","value":"EC"},{"id":4,"name":"Milepost","value":"0.4677"},{"id":17,"name":"Train ID","value":"122-03"},{"id":16,"name":"Locomotive ID","value":"4001"},{"id":130,"name":"Impact","value":""},{"id":150,"name":"Time of Event (Mountain Time)","value":"07:47:57"},{"id":151,"name":"Denver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"%USERPROFILE%\AppData\Local\Temp\OnboardLogs"\RTDC4001\*4001*201610031* | grep -SE "((Enforcement Ac)|(PRM))" -</v>
      </c>
    </row>
    <row r="22" spans="1:29" x14ac:dyDescent="0.25">
      <c r="A22" s="38">
        <v>42646.352303240739</v>
      </c>
      <c r="B22" s="33" t="s">
        <v>260</v>
      </c>
      <c r="C22" s="33" t="s">
        <v>442</v>
      </c>
      <c r="D22" s="33" t="s">
        <v>105</v>
      </c>
      <c r="E22" s="33" t="s">
        <v>54</v>
      </c>
      <c r="F22" s="49">
        <v>200</v>
      </c>
      <c r="G22" s="49">
        <v>261</v>
      </c>
      <c r="H22" s="49">
        <v>18027</v>
      </c>
      <c r="I22" s="49">
        <v>17778</v>
      </c>
      <c r="J22" s="33" t="s">
        <v>55</v>
      </c>
      <c r="K22" s="49">
        <v>20632</v>
      </c>
      <c r="L22" s="146" t="s">
        <v>53</v>
      </c>
      <c r="M22" s="149">
        <f t="shared" si="0"/>
        <v>-1506.912</v>
      </c>
      <c r="N22" s="88" t="str">
        <f>VLOOKUP(C22,'Trips&amp;Operators'!$C$1:$E$99999,3,FALSE)</f>
        <v>STARKS</v>
      </c>
      <c r="O22" s="170" t="s">
        <v>86</v>
      </c>
      <c r="P22" s="10" t="s">
        <v>764</v>
      </c>
      <c r="Q22" s="33"/>
      <c r="R22" s="104" t="str">
        <f>VLOOKUP(C22,'Train Runs'!$A$13:$AE$10006,31,0)</f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S22" s="107" t="str">
        <f>VLOOKUP(C22,'Train Runs'!$A$13:$AE$10006,22,0)</f>
        <v>https://search-rtdc-monitor-bjffxe2xuh6vdkpspy63sjmuny.us-east-1.es.amazonaws.com/_plugin/kibana/#/discover/Steve-Slow-Train-Analysis-(2080s-and-2083s)?_g=(refreshInterval:(display:Off,section:0,value:0),time:(from:'2016-10-03 07:25:28-0600',mode:absolute,to:'2016-10-03 09:32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2" s="109" t="str">
        <f t="shared" si="1"/>
        <v>"C:\Program Files (x86)\AstroGrep\AstroGrep.exe" /spath="%USERPROFILE%\AppData\Local\Temp\OnboardLogs" /stypes="*4039*201610031*" /stext=" 14:.+((SYSTEM_STATE.+slice.+state.+changed )|(ment ac)|(system.+state.+changed )|(\[timeout)|(PRM\|1\|D)|(kpr)|(kdp)|(\|lc)|(penalty))" /e /r /s</v>
      </c>
      <c r="U22" s="9" t="str">
        <f t="shared" si="2"/>
        <v>4039</v>
      </c>
      <c r="V22" s="38">
        <f t="shared" si="3"/>
        <v>42646.602303240739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Overspeed","project_id":79,"tracker_id":40,"status_id":1,"priority_id":2,"assigned_to_id":23,"start_date":"2016-10-03","description":"","custom_fields":[{"id":1,"name":"Subdivision","value":"EC"},{"id":4,"name":"Milepost","value":"2.0632"},{"id":17,"name":"Train ID","value":"126-03"},{"id":16,"name":"Locomotive ID","value":"4039"},{"id":130,"name":"Impact","value":""},{"id":150,"name":"Time of Event (Mountain Time)","value":"08:27:19"},{"id":151,"name":"Denver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"%USERPROFILE%\AppData\Local\Temp\OnboardLogs"\RTDC4039\*4039*201610031* | grep -SE "((Enforcement Ac)|(PRM))" -</v>
      </c>
    </row>
    <row r="23" spans="1:29" x14ac:dyDescent="0.25">
      <c r="A23" s="38">
        <v>42646.341527777775</v>
      </c>
      <c r="B23" s="33" t="s">
        <v>238</v>
      </c>
      <c r="C23" s="33" t="s">
        <v>446</v>
      </c>
      <c r="D23" s="33" t="s">
        <v>49</v>
      </c>
      <c r="E23" s="33" t="s">
        <v>54</v>
      </c>
      <c r="F23" s="49">
        <v>0</v>
      </c>
      <c r="G23" s="49">
        <v>91</v>
      </c>
      <c r="H23" s="49">
        <v>127893</v>
      </c>
      <c r="I23" s="49">
        <v>127822</v>
      </c>
      <c r="J23" s="33" t="s">
        <v>55</v>
      </c>
      <c r="K23" s="49">
        <v>127587</v>
      </c>
      <c r="L23" s="146" t="s">
        <v>53</v>
      </c>
      <c r="M23" s="149">
        <f t="shared" si="0"/>
        <v>124.08</v>
      </c>
      <c r="N23" s="88" t="str">
        <f>VLOOKUP(C23,'Trips&amp;Operators'!$C$1:$E$99999,3,FALSE)</f>
        <v>KILLION</v>
      </c>
      <c r="O23" s="170" t="s">
        <v>86</v>
      </c>
      <c r="P23" s="10" t="s">
        <v>761</v>
      </c>
      <c r="Q23" s="33"/>
      <c r="R23" s="104" t="str">
        <f>VLOOKUP(C23,'Train Runs'!$A$13:$AE$10006,31,0)</f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S23" s="107" t="str">
        <f>VLOOKUP(C23,'Train Runs'!$A$13:$AE$10006,22,0)</f>
        <v>https://search-rtdc-monitor-bjffxe2xuh6vdkpspy63sjmuny.us-east-1.es.amazonaws.com/_plugin/kibana/#/discover/Steve-Slow-Train-Analysis-(2080s-and-2083s)?_g=(refreshInterval:(display:Off,section:0,value:0),time:(from:'2016-10-03 06:48:29-0600',mode:absolute,to:'2016-10-03 09:42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3" s="109" t="str">
        <f t="shared" si="1"/>
        <v>"C:\Program Files (x86)\AstroGrep\AstroGrep.exe" /spath="%USERPROFILE%\AppData\Local\Temp\OnboardLogs" /stypes="*4017*201610031*" /stext=" 14:.+((SYSTEM_STATE.+slice.+state.+changed )|(ment ac)|(system.+state.+changed )|(\[timeout)|(PRM\|1\|D)|(kpr)|(kdp)|(\|lc)|(penalty))" /e /r /s</v>
      </c>
      <c r="U23" s="9" t="str">
        <f t="shared" si="2"/>
        <v>4017</v>
      </c>
      <c r="V23" s="38">
        <f t="shared" si="3"/>
        <v>42646.591527777775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{"issue":{"subject":"40th 4S STOP, cleared afterward","project_id":79,"tracker_id":40,"status_id":1,"priority_id":2,"assigned_to_id":23,"start_date":"2016-10-03","description":"","custom_fields":[{"id":1,"name":"Subdivision","value":"EC"},{"id":4,"name":"Milepost","value":"12.7587"},{"id":17,"name":"Train ID","value":"128-03"},{"id":16,"name":"Locomotive ID","value":"4017"},{"id":130,"name":"Impact","value":""},{"id":150,"name":"Time of Event (Mountain Time)","value":"08:11:48"},{"id":151,"name":"Denver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"%USERPROFILE%\AppData\Local\Temp\OnboardLogs"\RTDC4017\*4017*201610031* | grep -SE "((Enforcement Ac)|(PRM))" -</v>
      </c>
    </row>
    <row r="24" spans="1:29" x14ac:dyDescent="0.25">
      <c r="A24" s="38">
        <v>42646.405868055554</v>
      </c>
      <c r="B24" s="33" t="s">
        <v>260</v>
      </c>
      <c r="C24" s="33" t="s">
        <v>462</v>
      </c>
      <c r="D24" s="33" t="s">
        <v>49</v>
      </c>
      <c r="E24" s="33" t="s">
        <v>54</v>
      </c>
      <c r="F24" s="49">
        <v>0</v>
      </c>
      <c r="G24" s="49">
        <v>137</v>
      </c>
      <c r="H24" s="49">
        <v>128221</v>
      </c>
      <c r="I24" s="49">
        <v>128096</v>
      </c>
      <c r="J24" s="33" t="s">
        <v>55</v>
      </c>
      <c r="K24" s="49">
        <v>127587</v>
      </c>
      <c r="L24" s="146" t="s">
        <v>53</v>
      </c>
      <c r="M24" s="149">
        <f t="shared" si="0"/>
        <v>268.75200000000001</v>
      </c>
      <c r="N24" s="88" t="str">
        <f>VLOOKUP(C24,'Trips&amp;Operators'!$C$1:$E$99999,3,FALSE)</f>
        <v>STARKS</v>
      </c>
      <c r="O24" s="170" t="s">
        <v>86</v>
      </c>
      <c r="P24" s="10" t="s">
        <v>761</v>
      </c>
      <c r="Q24" s="33"/>
      <c r="R24" s="104" t="str">
        <f>VLOOKUP(C24,'Train Runs'!$A$13:$AE$10006,31,0)</f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S24" s="107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https://search-rtdc-monitor-bjffxe2xuh6vdkpspy63sjmuny.us-east-1.es.amazonaws.com/_plugin/kibana/#/discover/Steve-Slow-Train-Analysis-(2080s-and-2083s)?_g=(refreshInterval:(display:Off,section:0,value:0),time:(from:'2016-10-03 08:23:40-0600',mode:absolute,to:'2016-10-03 10:58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4" s="109" t="str">
        <f t="shared" si="1"/>
        <v>"C:\Program Files (x86)\AstroGrep\AstroGrep.exe" /spath="%USERPROFILE%\AppData\Local\Temp\OnboardLogs" /stypes="*4039*201610031*" /stext=" 15:.+((SYSTEM_STATE.+slice.+state.+changed )|(ment ac)|(system.+state.+changed )|(\[timeout)|(PRM\|1\|D)|(kpr)|(kdp)|(\|lc)|(penalty))" /e /r /s</v>
      </c>
      <c r="U24" s="9" t="str">
        <f t="shared" si="2"/>
        <v>4039</v>
      </c>
      <c r="V24" s="38">
        <f t="shared" si="3"/>
        <v>42646.655868055554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{"issue":{"subject":"40th 4S STOP, cleared afterward","project_id":79,"tracker_id":40,"status_id":1,"priority_id":2,"assigned_to_id":23,"start_date":"2016-10-03","description":"","custom_fields":[{"id":1,"name":"Subdivision","value":"EC"},{"id":4,"name":"Milepost","value":"12.7587"},{"id":17,"name":"Train ID","value":"140-03"},{"id":16,"name":"Locomotive ID","value":"4039"},{"id":130,"name":"Impact","value":""},{"id":150,"name":"Time of Event (Mountain Time)","value":"09:44:27"},{"id":151,"name":"Denver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"%USERPROFILE%\AppData\Local\Temp\OnboardLogs"\RTDC4039\*4039*201610031* | grep -SE "((Enforcement Ac)|(PRM))" -</v>
      </c>
    </row>
    <row r="25" spans="1:29" ht="15" customHeight="1" x14ac:dyDescent="0.25">
      <c r="A25" s="38">
        <v>42646.704872685186</v>
      </c>
      <c r="B25" s="33" t="s">
        <v>238</v>
      </c>
      <c r="C25" s="33" t="s">
        <v>546</v>
      </c>
      <c r="D25" s="33" t="s">
        <v>49</v>
      </c>
      <c r="E25" s="33" t="s">
        <v>54</v>
      </c>
      <c r="F25" s="49">
        <v>0</v>
      </c>
      <c r="G25" s="49">
        <v>595</v>
      </c>
      <c r="H25" s="49">
        <v>131170</v>
      </c>
      <c r="I25" s="49">
        <v>129094</v>
      </c>
      <c r="J25" s="33" t="s">
        <v>55</v>
      </c>
      <c r="K25" s="49">
        <v>127587</v>
      </c>
      <c r="L25" s="146" t="s">
        <v>53</v>
      </c>
      <c r="M25" s="149">
        <f t="shared" si="0"/>
        <v>795.69600000000003</v>
      </c>
      <c r="N25" s="88" t="str">
        <f>VLOOKUP(C25,'Trips&amp;Operators'!$C$1:$E$99999,3,FALSE)</f>
        <v>HELVIE</v>
      </c>
      <c r="O25" s="170" t="s">
        <v>86</v>
      </c>
      <c r="P25" s="10" t="s">
        <v>761</v>
      </c>
      <c r="Q25" s="33"/>
      <c r="R25" s="104" t="str">
        <f>VLOOKUP(C25,'Train Runs'!$A$13:$AE$10006,31,0)</f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S25" s="107" t="str">
        <f>VLOOKUP(C25,'Train Runs'!$A$13:$AE$10006,22,0)</f>
        <v>https://search-rtdc-monitor-bjffxe2xuh6vdkpspy63sjmuny.us-east-1.es.amazonaws.com/_plugin/kibana/#/discover/Steve-Slow-Train-Analysis-(2080s-and-2083s)?_g=(refreshInterval:(display:Off,section:0,value:0),time:(from:'2016-10-03 15:37:28-0600',mode:absolute,to:'2016-10-03 18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5" s="109" t="str">
        <f t="shared" si="1"/>
        <v>"C:\Program Files (x86)\AstroGrep\AstroGrep.exe" /spath="%USERPROFILE%\AppData\Local\Temp\OnboardLogs" /stypes="*4017*201610032*" /stext=" 22:.+((SYSTEM_STATE.+slice.+state.+changed )|(ment ac)|(system.+state.+changed )|(\[timeout)|(PRM\|1\|D)|(kpr)|(kdp)|(\|lc)|(penalty))" /e /r /s</v>
      </c>
      <c r="U25" s="9" t="str">
        <f t="shared" si="2"/>
        <v>4017</v>
      </c>
      <c r="V25" s="38">
        <f t="shared" si="3"/>
        <v>42646.954872685186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{"issue":{"subject":"40th 4S STOP, cleared afterward","project_id":79,"tracker_id":40,"status_id":1,"priority_id":2,"assigned_to_id":23,"start_date":"2016-10-03","description":"","custom_fields":[{"id":1,"name":"Subdivision","value":"EC"},{"id":4,"name":"Milepost","value":"12.7587"},{"id":17,"name":"Train ID","value":"198-03"},{"id":16,"name":"Locomotive ID","value":"4017"},{"id":130,"name":"Impact","value":""},{"id":150,"name":"Time of Event (Mountain Time)","value":"16:55:01"},{"id":151,"name":"Denver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"%USERPROFILE%\AppData\Local\Temp\OnboardLogs"\RTDC4017\*4017*201610032* | grep -SE "((Enforcement Ac)|(PRM))" -</v>
      </c>
    </row>
    <row r="26" spans="1:29" x14ac:dyDescent="0.25">
      <c r="A26" s="38">
        <v>42646.3984375</v>
      </c>
      <c r="B26" s="33" t="s">
        <v>260</v>
      </c>
      <c r="C26" s="33" t="s">
        <v>462</v>
      </c>
      <c r="D26" s="33" t="s">
        <v>49</v>
      </c>
      <c r="E26" s="33" t="s">
        <v>54</v>
      </c>
      <c r="F26" s="49">
        <v>0</v>
      </c>
      <c r="G26" s="49">
        <v>323</v>
      </c>
      <c r="H26" s="49">
        <v>193866</v>
      </c>
      <c r="I26" s="49">
        <v>193157</v>
      </c>
      <c r="J26" s="33" t="s">
        <v>55</v>
      </c>
      <c r="K26" s="49">
        <v>191723</v>
      </c>
      <c r="L26" s="146" t="s">
        <v>53</v>
      </c>
      <c r="M26" s="149">
        <f t="shared" si="0"/>
        <v>757.15200000000004</v>
      </c>
      <c r="N26" s="88" t="str">
        <f>VLOOKUP(C26,'Trips&amp;Operators'!$C$1:$E$99999,3,FALSE)</f>
        <v>STARKS</v>
      </c>
      <c r="O26" s="170" t="s">
        <v>86</v>
      </c>
      <c r="P26" s="10" t="s">
        <v>762</v>
      </c>
      <c r="Q26" s="33"/>
      <c r="R26" s="104" t="str">
        <f>VLOOKUP(C26,'Train Runs'!$A$13:$AE$10006,31,0)</f>
        <v>aws s3 cp s3://rtdc.mdm.uploadarchive.raw/RTDC4039/ "%USERPROFILE%\AppData\Local\Temp\OnboardLogs"\RTDC4039\2016-10-03 --exclude "*" --recursive --include "*20161003*" &amp; "%USERPROFILE%\Documents\GitHub\mrs-test-scripts\Headless Mode &amp; Sideloading\WalkAndUnGZ.bat" "%USERPROFILE%\AppData\Local\Temp\OnboardLogs"\RTDC4039\2016-10-03 &amp; aws s3 cp s3://rtdc.mdm.uploadarchive.raw/RTDC4039/ "%USERPROFILE%\AppData\Local\Temp\OnboardLogs"\RTDC4039\2016-10-04 --exclude "*" --recursive --include "*20161004*" &amp; "%USERPROFILE%\Documents\GitHub\mrs-test-scripts\Headless Mode &amp; Sideloading\WalkAndUnGZ.bat" "%USERPROFILE%\AppData\Local\Temp\OnboardLogs"\RTDC4039\2016-10-04</v>
      </c>
      <c r="S26" s="107" t="str">
        <f>VLOOKUP(C26,'Train Runs'!$A$13:$AE$10006,22,0)</f>
        <v>https://search-rtdc-monitor-bjffxe2xuh6vdkpspy63sjmuny.us-east-1.es.amazonaws.com/_plugin/kibana/#/discover/Steve-Slow-Train-Analysis-(2080s-and-2083s)?_g=(refreshInterval:(display:Off,section:0,value:0),time:(from:'2016-10-03 08:23:40-0600',mode:absolute,to:'2016-10-03 10:58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6" s="109" t="str">
        <f t="shared" si="1"/>
        <v>"C:\Program Files (x86)\AstroGrep\AstroGrep.exe" /spath="%USERPROFILE%\AppData\Local\Temp\OnboardLogs" /stypes="*4039*201610031*" /stext=" 15:.+((SYSTEM_STATE.+slice.+state.+changed )|(ment ac)|(system.+state.+changed )|(\[timeout)|(PRM\|1\|D)|(kpr)|(kdp)|(\|lc)|(penalty))" /e /r /s</v>
      </c>
      <c r="U26" s="9" t="str">
        <f t="shared" si="2"/>
        <v>4039</v>
      </c>
      <c r="V26" s="38">
        <f t="shared" si="3"/>
        <v>42646.6484375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{"issue":{"subject":"Pena 4S STOP, cleared afterward","project_id":79,"tracker_id":40,"status_id":1,"priority_id":2,"assigned_to_id":23,"start_date":"2016-10-03","description":"","custom_fields":[{"id":1,"name":"Subdivision","value":"EC"},{"id":4,"name":"Milepost","value":"19.1723"},{"id":17,"name":"Train ID","value":"140-03"},{"id":16,"name":"Locomotive ID","value":"4039"},{"id":130,"name":"Impact","value":""},{"id":150,"name":"Time of Event (Mountain Time)","value":"09:33:45"},{"id":151,"name":"Denver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"%USERPROFILE%\AppData\Local\Temp\OnboardLogs"\RTDC4039\*4039*201610031* | grep -SE "((Enforcement Ac)|(PRM))" -</v>
      </c>
    </row>
    <row r="27" spans="1:29" x14ac:dyDescent="0.25">
      <c r="A27" s="38">
        <v>42646.306030092594</v>
      </c>
      <c r="B27" s="33" t="s">
        <v>169</v>
      </c>
      <c r="C27" s="33" t="s">
        <v>430</v>
      </c>
      <c r="D27" s="33" t="s">
        <v>49</v>
      </c>
      <c r="E27" s="33" t="s">
        <v>50</v>
      </c>
      <c r="F27" s="49">
        <v>0</v>
      </c>
      <c r="G27" s="49">
        <v>43</v>
      </c>
      <c r="H27" s="49">
        <v>149</v>
      </c>
      <c r="I27" s="49">
        <v>116</v>
      </c>
      <c r="J27" s="33" t="s">
        <v>51</v>
      </c>
      <c r="K27" s="49">
        <v>1</v>
      </c>
      <c r="L27" s="146" t="s">
        <v>53</v>
      </c>
      <c r="M27" s="149">
        <f t="shared" si="0"/>
        <v>60.72</v>
      </c>
      <c r="N27" s="88" t="str">
        <f>VLOOKUP(C27,'Trips&amp;Operators'!$C$1:$E$99999,3,FALSE)</f>
        <v>ACKERMAN</v>
      </c>
      <c r="O27" s="170" t="s">
        <v>86</v>
      </c>
      <c r="P27" s="10"/>
      <c r="Q27" s="33"/>
      <c r="R27" s="104" t="str">
        <f>VLOOKUP(C27,'Train Runs'!$A$13:$AE$10006,31,0)</f>
        <v>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 &amp; 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</v>
      </c>
      <c r="S27" s="107" t="str">
        <f>VLOOKUP(C27,'Train Runs'!$A$13:$AE$10006,22,0)</f>
        <v>https://search-rtdc-monitor-bjffxe2xuh6vdkpspy63sjmuny.us-east-1.es.amazonaws.com/_plugin/kibana/#/discover/Steve-Slow-Train-Analysis-(2080s-and-2083s)?_g=(refreshInterval:(display:Off,section:0,value:0),time:(from:'2016-10-03 05:32:35-0600',mode:absolute,to:'2016-10-03 08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7" s="109" t="str">
        <f t="shared" si="1"/>
        <v>"C:\Program Files (x86)\AstroGrep\AstroGrep.exe" /spath="%USERPROFILE%\AppData\Local\Temp\OnboardLogs" /stypes="*4026*201610031*" /stext=" 13:.+((SYSTEM_STATE.+slice.+state.+changed )|(ment ac)|(system.+state.+changed )|(\[timeout)|(PRM\|1\|D)|(kpr)|(kdp)|(\|lc)|(penalty))" /e /r /s</v>
      </c>
      <c r="U27" s="9" t="str">
        <f t="shared" si="2"/>
        <v>4026</v>
      </c>
      <c r="V27" s="38">
        <f t="shared" si="3"/>
        <v>42646.556030092594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{"issue":{"subject":"","project_id":79,"tracker_id":40,"status_id":1,"priority_id":2,"assigned_to_id":23,"start_date":"2016-10-03","description":"","custom_fields":[{"id":1,"name":"Subdivision","value":"EC"},{"id":4,"name":"Milepost","value":"0.0001"},{"id":17,"name":"Train ID","value":"118-03"},{"id":16,"name":"Locomotive ID","value":"4026"},{"id":130,"name":"Impact","value":""},{"id":150,"name":"Time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"%USERPROFILE%\AppData\Local\Temp\OnboardLogs"\RTDC4026\*4026*201610031* | grep -SE "((Enforcement Ac)|(PRM))" -</v>
      </c>
    </row>
    <row r="28" spans="1:29" x14ac:dyDescent="0.25">
      <c r="A28" s="38">
        <v>42646.362835648149</v>
      </c>
      <c r="B28" s="33" t="s">
        <v>238</v>
      </c>
      <c r="C28" s="33" t="s">
        <v>446</v>
      </c>
      <c r="D28" s="33" t="s">
        <v>49</v>
      </c>
      <c r="E28" s="33" t="s">
        <v>50</v>
      </c>
      <c r="F28" s="49">
        <v>0</v>
      </c>
      <c r="G28" s="49">
        <v>54</v>
      </c>
      <c r="H28" s="49">
        <v>185</v>
      </c>
      <c r="I28" s="49">
        <v>136</v>
      </c>
      <c r="J28" s="33" t="s">
        <v>51</v>
      </c>
      <c r="K28" s="49">
        <v>1</v>
      </c>
      <c r="L28" s="146" t="s">
        <v>53</v>
      </c>
      <c r="M28" s="149">
        <f t="shared" si="0"/>
        <v>71.28</v>
      </c>
      <c r="N28" s="88" t="str">
        <f>VLOOKUP(C28,'Trips&amp;Operators'!$C$1:$E$99999,3,FALSE)</f>
        <v>KILLION</v>
      </c>
      <c r="O28" s="170" t="s">
        <v>86</v>
      </c>
      <c r="P28" s="10"/>
      <c r="Q28" s="33"/>
      <c r="R28" s="104" t="str">
        <f>VLOOKUP(C28,'Train Runs'!$A$13:$AE$10006,31,0)</f>
        <v>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 &amp; 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</v>
      </c>
      <c r="S28" s="107" t="str">
        <f>VLOOKUP(C28,'Train Runs'!$A$13:$AE$10006,22,0)</f>
        <v>https://search-rtdc-monitor-bjffxe2xuh6vdkpspy63sjmuny.us-east-1.es.amazonaws.com/_plugin/kibana/#/discover/Steve-Slow-Train-Analysis-(2080s-and-2083s)?_g=(refreshInterval:(display:Off,section:0,value:0),time:(from:'2016-10-03 06:48:29-0600',mode:absolute,to:'2016-10-03 09:42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9" t="str">
        <f t="shared" si="1"/>
        <v>"C:\Program Files (x86)\AstroGrep\AstroGrep.exe" /spath="%USERPROFILE%\AppData\Local\Temp\OnboardLogs" /stypes="*4017*201610031*" /stext=" 14:.+((SYSTEM_STATE.+slice.+state.+changed )|(ment ac)|(system.+state.+changed )|(\[timeout)|(PRM\|1\|D)|(kpr)|(kdp)|(\|lc)|(penalty))" /e /r /s</v>
      </c>
      <c r="U28" s="9" t="str">
        <f t="shared" si="2"/>
        <v>4017</v>
      </c>
      <c r="V28" s="38">
        <f t="shared" si="3"/>
        <v>42646.612835648149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{"issue":{"subject":"","project_id":79,"tracker_id":40,"status_id":1,"priority_id":2,"assigned_to_id":23,"start_date":"2016-10-03","description":"","custom_fields":[{"id":1,"name":"Subdivision","value":"EC"},{"id":4,"name":"Milepost","value":"0.0001"},{"id":17,"name":"Train ID","value":"128-03"},{"id":16,"name":"Locomotive ID","value":"4017"},{"id":130,"name":"Impact","value":""},{"id":150,"name":"Time of Event (Mountain Time)","value":"08:42:29"},{"id":151,"name":"Denver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"%USERPROFILE%\AppData\Local\Temp\OnboardLogs"\RTDC4017\*4017*201610031* | grep -SE "((Enforcement Ac)|(PRM))" -</v>
      </c>
    </row>
    <row r="29" spans="1:29" x14ac:dyDescent="0.25">
      <c r="A29" s="38">
        <v>42646.637187499997</v>
      </c>
      <c r="B29" s="33" t="s">
        <v>355</v>
      </c>
      <c r="C29" s="33" t="s">
        <v>520</v>
      </c>
      <c r="D29" s="33" t="s">
        <v>49</v>
      </c>
      <c r="E29" s="33" t="s">
        <v>50</v>
      </c>
      <c r="F29" s="49">
        <v>0</v>
      </c>
      <c r="G29" s="49">
        <v>63</v>
      </c>
      <c r="H29" s="49">
        <v>212</v>
      </c>
      <c r="I29" s="49">
        <v>143</v>
      </c>
      <c r="J29" s="33" t="s">
        <v>51</v>
      </c>
      <c r="K29" s="49">
        <v>1</v>
      </c>
      <c r="L29" s="146" t="s">
        <v>53</v>
      </c>
      <c r="M29" s="149">
        <f t="shared" si="0"/>
        <v>74.975999999999999</v>
      </c>
      <c r="N29" s="88" t="str">
        <f>VLOOKUP(C29,'Trips&amp;Operators'!$C$1:$E$99999,3,FALSE)</f>
        <v>CLARK</v>
      </c>
      <c r="O29" s="170" t="s">
        <v>86</v>
      </c>
      <c r="P29" s="10"/>
      <c r="Q29" s="33"/>
      <c r="R29" s="104" t="str">
        <f>VLOOKUP(C29,'Train Runs'!$A$13:$AE$10006,31,0)</f>
        <v>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 &amp; 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</v>
      </c>
      <c r="S29" s="107" t="str">
        <f>VLOOKUP(C29,'Train Runs'!$A$13:$AE$10006,22,0)</f>
        <v>https://search-rtdc-monitor-bjffxe2xuh6vdkpspy63sjmuny.us-east-1.es.amazonaws.com/_plugin/kibana/#/discover/Steve-Slow-Train-Analysis-(2080s-and-2083s)?_g=(refreshInterval:(display:Off,section:0,value:0),time:(from:'2016-10-03 13:20:46-0600',mode:absolute,to:'2016-10-03 16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9" s="109" t="str">
        <f t="shared" si="1"/>
        <v>"C:\Program Files (x86)\AstroGrep\AstroGrep.exe" /spath="%USERPROFILE%\AppData\Local\Temp\OnboardLogs" /stypes="*4004*201610032*" /stext=" 21:.+((SYSTEM_STATE.+slice.+state.+changed )|(ment ac)|(system.+state.+changed )|(\[timeout)|(PRM\|1\|D)|(kpr)|(kdp)|(\|lc)|(penalty))" /e /r /s</v>
      </c>
      <c r="U29" s="9" t="str">
        <f t="shared" si="2"/>
        <v>4004</v>
      </c>
      <c r="V29" s="38">
        <f t="shared" si="3"/>
        <v>42646.887187499997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{"issue":{"subject":"","project_id":79,"tracker_id":40,"status_id":1,"priority_id":2,"assigned_to_id":23,"start_date":"2016-10-03","description":"","custom_fields":[{"id":1,"name":"Subdivision","value":"EC"},{"id":4,"name":"Milepost","value":"0.0001"},{"id":17,"name":"Train ID","value":"180-03"},{"id":16,"name":"Locomotive ID","value":"4004"},{"id":130,"name":"Impact","value":""},{"id":150,"name":"Time of Event (Mountain Time)","value":"15:17:33"},{"id":151,"name":"Denver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"%USERPROFILE%\AppData\Local\Temp\OnboardLogs"\RTDC4004\*4004*201610032* | grep -SE "((Enforcement Ac)|(PRM))" -</v>
      </c>
    </row>
    <row r="30" spans="1:29" x14ac:dyDescent="0.25">
      <c r="A30" s="38">
        <v>42646.699456018519</v>
      </c>
      <c r="B30" s="33" t="s">
        <v>718</v>
      </c>
      <c r="C30" s="33" t="s">
        <v>537</v>
      </c>
      <c r="D30" s="33" t="s">
        <v>49</v>
      </c>
      <c r="E30" s="33" t="s">
        <v>50</v>
      </c>
      <c r="F30" s="49">
        <v>0</v>
      </c>
      <c r="G30" s="49">
        <v>70</v>
      </c>
      <c r="H30" s="49">
        <v>232</v>
      </c>
      <c r="I30" s="49">
        <v>163</v>
      </c>
      <c r="J30" s="33" t="s">
        <v>51</v>
      </c>
      <c r="K30" s="49">
        <v>1</v>
      </c>
      <c r="L30" s="146" t="s">
        <v>53</v>
      </c>
      <c r="M30" s="149">
        <f t="shared" si="0"/>
        <v>85.536000000000001</v>
      </c>
      <c r="N30" s="88" t="str">
        <f>VLOOKUP(C30,'Trips&amp;Operators'!$C$1:$E$99999,3,FALSE)</f>
        <v>BONDS</v>
      </c>
      <c r="O30" s="170" t="s">
        <v>86</v>
      </c>
      <c r="P30" s="10"/>
      <c r="Q30" s="33"/>
      <c r="R30" s="104" t="str">
        <f>VLOOKUP(C30,'Train Runs'!$A$13:$AE$10006,31,0)</f>
        <v>aws s3 cp s3://rtdc.mdm.uploadarchive.raw/RTDC4001/ "%USERPROFILE%\AppData\Local\Temp\OnboardLogs"\RTDC4001\2016-10-03 --exclude "*" --recursive --include "*20161003*" &amp; "%USERPROFILE%\Documents\GitHub\mrs-test-scripts\Headless Mode &amp; Sideloading\WalkAndUnGZ.bat" "%USERPROFILE%\AppData\Local\Temp\OnboardLogs"\RTDC4001\2016-10-03 &amp; aws s3 cp s3://rtdc.mdm.uploadarchive.raw/RTDC4001/ "%USERPROFILE%\AppData\Local\Temp\OnboardLogs"\RTDC4001\2016-10-04 --exclude "*" --recursive --include "*20161004*" &amp; "%USERPROFILE%\Documents\GitHub\mrs-test-scripts\Headless Mode &amp; Sideloading\WalkAndUnGZ.bat" "%USERPROFILE%\AppData\Local\Temp\OnboardLogs"\RTDC4001\2016-10-04</v>
      </c>
      <c r="S30" s="107" t="str">
        <f>VLOOKUP(C30,'Train Runs'!$A$13:$AE$10006,22,0)</f>
        <v>https://search-rtdc-monitor-bjffxe2xuh6vdkpspy63sjmuny.us-east-1.es.amazonaws.com/_plugin/kibana/#/discover/Steve-Slow-Train-Analysis-(2080s-and-2083s)?_g=(refreshInterval:(display:Off,section:0,value:0),time:(from:'2016-10-03 15:08:43-0600',mode:absolute,to:'2016-10-03 17:47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0" s="109" t="str">
        <f t="shared" si="1"/>
        <v>"C:\Program Files (x86)\AstroGrep\AstroGrep.exe" /spath="%USERPROFILE%\AppData\Local\Temp\OnboardLogs" /stypes="*4001*201610032*" /stext=" 22:.+((SYSTEM_STATE.+slice.+state.+changed )|(ment ac)|(system.+state.+changed )|(\[timeout)|(PRM\|1\|D)|(kpr)|(kdp)|(\|lc)|(penalty))" /e /r /s</v>
      </c>
      <c r="U30" s="9" t="str">
        <f t="shared" si="2"/>
        <v>4001</v>
      </c>
      <c r="V30" s="38">
        <f t="shared" si="3"/>
        <v>42646.949456018519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{"issue":{"subject":"","project_id":79,"tracker_id":40,"status_id":1,"priority_id":2,"assigned_to_id":23,"start_date":"2016-10-03","description":"","custom_fields":[{"id":1,"name":"Subdivision","value":"EC"},{"id":4,"name":"Milepost","value":"0.0001"},{"id":17,"name":"Train ID","value":"192-03"},{"id":16,"name":"Locomotive ID","value":"4001"},{"id":130,"name":"Impact","value":""},{"id":150,"name":"Time of Event (Mountain Time)","value":"16:47:13"},{"id":151,"name":"Denver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"%USERPROFILE%\AppData\Local\Temp\OnboardLogs"\RTDC4001\*4001*201610032* | grep -SE "((Enforcement Ac)|(PRM))" -</v>
      </c>
    </row>
    <row r="31" spans="1:29" ht="15" customHeight="1" x14ac:dyDescent="0.25">
      <c r="A31" s="38">
        <v>42646.18178240741</v>
      </c>
      <c r="B31" s="33" t="s">
        <v>233</v>
      </c>
      <c r="C31" s="33" t="s">
        <v>407</v>
      </c>
      <c r="D31" s="33" t="s">
        <v>49</v>
      </c>
      <c r="E31" s="33" t="s">
        <v>50</v>
      </c>
      <c r="F31" s="49">
        <v>0</v>
      </c>
      <c r="G31" s="49">
        <v>39</v>
      </c>
      <c r="H31" s="49">
        <v>233355</v>
      </c>
      <c r="I31" s="49">
        <v>233383</v>
      </c>
      <c r="J31" s="33" t="s">
        <v>51</v>
      </c>
      <c r="K31" s="49">
        <v>233491</v>
      </c>
      <c r="L31" s="146" t="s">
        <v>52</v>
      </c>
      <c r="M31" s="149">
        <f t="shared" si="0"/>
        <v>57.024000000000001</v>
      </c>
      <c r="N31" s="88" t="str">
        <f>VLOOKUP(C31,'Trips&amp;Operators'!$C$1:$E$99999,3,FALSE)</f>
        <v>ACKERMAN</v>
      </c>
      <c r="O31" s="170" t="s">
        <v>86</v>
      </c>
      <c r="P31" s="10"/>
      <c r="Q31" s="33"/>
      <c r="R31" s="104" t="str">
        <f>VLOOKUP(C31,'Train Runs'!$A$13:$AE$10006,31,0)</f>
        <v>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 &amp; 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</v>
      </c>
      <c r="S31" s="107" t="str">
        <f>VLOOKUP(C31,'Train Runs'!$A$13:$AE$10006,22,0)</f>
        <v>https://search-rtdc-monitor-bjffxe2xuh6vdkpspy63sjmuny.us-east-1.es.amazonaws.com/_plugin/kibana/#/discover/Steve-Slow-Train-Analysis-(2080s-and-2083s)?_g=(refreshInterval:(display:Off,section:0,value:0),time:(from:'2016-10-03 02:38:35-0600',mode:absolute,to:'2016-10-03 05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1" s="109" t="str">
        <f t="shared" si="1"/>
        <v>"C:\Program Files (x86)\AstroGrep\AstroGrep.exe" /spath="%USERPROFILE%\AppData\Local\Temp\OnboardLogs" /stypes="*4029*201610031*" /stext=" 10:.+((SYSTEM_STATE.+slice.+state.+changed )|(ment ac)|(system.+state.+changed )|(\[timeout)|(PRM\|1\|D)|(kpr)|(kdp)|(\|lc)|(penalty))" /e /r /s</v>
      </c>
      <c r="U31" s="9" t="str">
        <f t="shared" si="2"/>
        <v>4029</v>
      </c>
      <c r="V31" s="38">
        <f t="shared" si="3"/>
        <v>42646.43178240741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{"issue":{"subject":"","project_id":79,"tracker_id":40,"status_id":1,"priority_id":2,"assigned_to_id":23,"start_date":"2016-10-03","description":"","custom_fields":[{"id":1,"name":"Subdivision","value":"EC"},{"id":4,"name":"Milepost","value":"23.3491"},{"id":17,"name":"Train ID","value":"103-03"},{"id":16,"name":"Locomotive ID","value":"4029"},{"id":130,"name":"Impact","value":""},{"id":150,"name":"Time of Event (Mountain Time)","value":"04:21:46"},{"id":151,"name":"Denver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"%USERPROFILE%\AppData\Local\Temp\OnboardLogs"\RTDC4029\*4029*201610031* | grep -SE "((Enforcement Ac)|(PRM))" -</v>
      </c>
    </row>
    <row r="32" spans="1:29" x14ac:dyDescent="0.25">
      <c r="A32" s="38">
        <v>42646.564803240741</v>
      </c>
      <c r="B32" s="33" t="s">
        <v>168</v>
      </c>
      <c r="C32" s="33" t="s">
        <v>511</v>
      </c>
      <c r="D32" s="33" t="s">
        <v>49</v>
      </c>
      <c r="E32" s="33" t="s">
        <v>50</v>
      </c>
      <c r="F32" s="49">
        <v>0</v>
      </c>
      <c r="G32" s="49">
        <v>108</v>
      </c>
      <c r="H32" s="49">
        <v>233060</v>
      </c>
      <c r="I32" s="49">
        <v>233159</v>
      </c>
      <c r="J32" s="33" t="s">
        <v>51</v>
      </c>
      <c r="K32" s="49">
        <v>233491</v>
      </c>
      <c r="L32" s="146" t="s">
        <v>52</v>
      </c>
      <c r="M32" s="149">
        <f t="shared" si="0"/>
        <v>175.29599999999999</v>
      </c>
      <c r="N32" s="88" t="str">
        <f>VLOOKUP(C32,'Trips&amp;Operators'!$C$1:$E$99999,3,FALSE)</f>
        <v>STEWART</v>
      </c>
      <c r="O32" s="170" t="s">
        <v>86</v>
      </c>
      <c r="P32" s="10"/>
      <c r="Q32" s="33"/>
      <c r="R32" s="104" t="str">
        <f>VLOOKUP(C32,'Train Runs'!$A$13:$AE$10006,31,0)</f>
        <v>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 &amp; 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</v>
      </c>
      <c r="S32" s="107" t="str">
        <f>VLOOKUP(C32,'Train Runs'!$A$13:$AE$10006,22,0)</f>
        <v>https://search-rtdc-monitor-bjffxe2xuh6vdkpspy63sjmuny.us-east-1.es.amazonaws.com/_plugin/kibana/#/discover/Steve-Slow-Train-Analysis-(2080s-and-2083s)?_g=(refreshInterval:(display:Off,section:0,value:0),time:(from:'2016-10-03 11:45:21-0600',mode:absolute,to:'2016-10-03 14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2" s="109" t="str">
        <f t="shared" si="1"/>
        <v>"C:\Program Files (x86)\AstroGrep\AstroGrep.exe" /spath="%USERPROFILE%\AppData\Local\Temp\OnboardLogs" /stypes="*4025*201610031*" /stext=" 19:.+((SYSTEM_STATE.+slice.+state.+changed )|(ment ac)|(system.+state.+changed )|(\[timeout)|(PRM\|1\|D)|(kpr)|(kdp)|(\|lc)|(penalty))" /e /r /s</v>
      </c>
      <c r="U32" s="9" t="str">
        <f t="shared" si="2"/>
        <v>4025</v>
      </c>
      <c r="V32" s="38">
        <f t="shared" si="3"/>
        <v>42646.814803240741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{"issue":{"subject":"","project_id":79,"tracker_id":40,"status_id":1,"priority_id":2,"assigned_to_id":23,"start_date":"2016-10-03","description":"","custom_fields":[{"id":1,"name":"Subdivision","value":"EC"},{"id":4,"name":"Milepost","value":"23.3491"},{"id":17,"name":"Train ID","value":"173-03"},{"id":16,"name":"Locomotive ID","value":"4025"},{"id":130,"name":"Impact","value":""},{"id":150,"name":"Time of Event (Mountain Time)","value":"13:33:19"},{"id":151,"name":"Denver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"%USERPROFILE%\AppData\Local\Temp\OnboardLogs"\RTDC4025\*4025*201610031* | grep -SE "((Enforcement Ac)|(PRM))" -</v>
      </c>
    </row>
    <row r="33" spans="1:29" ht="15" customHeight="1" x14ac:dyDescent="0.25">
      <c r="A33" s="38">
        <v>42646.647465277776</v>
      </c>
      <c r="B33" s="33" t="s">
        <v>177</v>
      </c>
      <c r="C33" s="33" t="s">
        <v>534</v>
      </c>
      <c r="D33" s="33" t="s">
        <v>49</v>
      </c>
      <c r="E33" s="33" t="s">
        <v>50</v>
      </c>
      <c r="F33" s="49">
        <v>0</v>
      </c>
      <c r="G33" s="49">
        <v>82</v>
      </c>
      <c r="H33" s="49">
        <v>233155</v>
      </c>
      <c r="I33" s="49">
        <v>233338</v>
      </c>
      <c r="J33" s="33" t="s">
        <v>51</v>
      </c>
      <c r="K33" s="49">
        <v>233491</v>
      </c>
      <c r="L33" s="146" t="s">
        <v>52</v>
      </c>
      <c r="M33" s="149">
        <f t="shared" si="0"/>
        <v>80.784000000000006</v>
      </c>
      <c r="N33" s="88" t="str">
        <f>VLOOKUP(C33,'Trips&amp;Operators'!$C$1:$E$99999,3,FALSE)</f>
        <v>BARTLETT</v>
      </c>
      <c r="O33" s="170" t="s">
        <v>86</v>
      </c>
      <c r="P33" s="10"/>
      <c r="Q33" s="33"/>
      <c r="R33" s="104" t="str">
        <f>VLOOKUP(C33,'Train Runs'!$A$13:$AE$10006,31,0)</f>
        <v>aws s3 cp s3://rtdc.mdm.uploadarchive.raw/RTDC4046/ "%USERPROFILE%\AppData\Local\Temp\OnboardLogs"\RTDC4046\2016-10-03 --exclude "*" --recursive --include "*20161003*" &amp; "%USERPROFILE%\Documents\GitHub\mrs-test-scripts\Headless Mode &amp; Sideloading\WalkAndUnGZ.bat" "%USERPROFILE%\AppData\Local\Temp\OnboardLogs"\RTDC4046\2016-10-03 &amp; aws s3 cp s3://rtdc.mdm.uploadarchive.raw/RTDC4046/ "%USERPROFILE%\AppData\Local\Temp\OnboardLogs"\RTDC4046\2016-10-04 --exclude "*" --recursive --include "*20161004*" &amp; "%USERPROFILE%\Documents\GitHub\mrs-test-scripts\Headless Mode &amp; Sideloading\WalkAndUnGZ.bat" "%USERPROFILE%\AppData\Local\Temp\OnboardLogs"\RTDC4046\2016-10-04</v>
      </c>
      <c r="S33" s="107" t="str">
        <f>VLOOKUP(C33,'Train Runs'!$A$13:$AE$10006,22,0)</f>
        <v>https://search-rtdc-monitor-bjffxe2xuh6vdkpspy63sjmuny.us-east-1.es.amazonaws.com/_plugin/kibana/#/discover/Steve-Slow-Train-Analysis-(2080s-and-2083s)?_g=(refreshInterval:(display:Off,section:0,value:0),time:(from:'2016-10-03 13:38:38-0600',mode:absolute,to:'2016-10-03 16:32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9" t="str">
        <f t="shared" si="1"/>
        <v>"C:\Program Files (x86)\AstroGrep\AstroGrep.exe" /spath="%USERPROFILE%\AppData\Local\Temp\OnboardLogs" /stypes="*4046*201610032*" /stext=" 21:.+((SYSTEM_STATE.+slice.+state.+changed )|(ment ac)|(system.+state.+changed )|(\[timeout)|(PRM\|1\|D)|(kpr)|(kdp)|(\|lc)|(penalty))" /e /r /s</v>
      </c>
      <c r="U33" s="9" t="str">
        <f t="shared" si="2"/>
        <v>4046</v>
      </c>
      <c r="V33" s="38">
        <f t="shared" si="3"/>
        <v>42646.897465277776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{"issue":{"subject":"","project_id":79,"tracker_id":40,"status_id":1,"priority_id":2,"assigned_to_id":23,"start_date":"2016-10-03","description":"","custom_fields":[{"id":1,"name":"Subdivision","value":"EC"},{"id":4,"name":"Milepost","value":"23.3491"},{"id":17,"name":"Train ID","value":"189-03"},{"id":16,"name":"Locomotive ID","value":"4046"},{"id":130,"name":"Impact","value":""},{"id":150,"name":"Time of Event (Mountain Time)","value":"15:32:21"},{"id":151,"name":"Denver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"%USERPROFILE%\AppData\Local\Temp\OnboardLogs"\RTDC4046\*4046*201610032* | grep -SE "((Enforcement Ac)|(PRM))" -</v>
      </c>
    </row>
    <row r="34" spans="1:29" x14ac:dyDescent="0.25">
      <c r="A34" s="38">
        <v>42646.852256944447</v>
      </c>
      <c r="B34" s="33" t="s">
        <v>329</v>
      </c>
      <c r="C34" s="33" t="s">
        <v>704</v>
      </c>
      <c r="D34" s="33" t="s">
        <v>105</v>
      </c>
      <c r="E34" s="33" t="s">
        <v>54</v>
      </c>
      <c r="F34" s="49">
        <v>0</v>
      </c>
      <c r="G34" s="49">
        <v>52</v>
      </c>
      <c r="H34" s="49">
        <v>2794</v>
      </c>
      <c r="I34" s="49">
        <v>2878</v>
      </c>
      <c r="J34" s="33" t="s">
        <v>55</v>
      </c>
      <c r="K34" s="49">
        <v>1725</v>
      </c>
      <c r="L34" s="146" t="s">
        <v>52</v>
      </c>
      <c r="M34" s="149">
        <f t="shared" si="0"/>
        <v>-608.78399999999999</v>
      </c>
      <c r="N34" s="88" t="str">
        <f>VLOOKUP(C34,'Trips&amp;Operators'!$C$1:$E$99999,3,FALSE)</f>
        <v>MAHAN</v>
      </c>
      <c r="O34" s="170" t="s">
        <v>270</v>
      </c>
      <c r="P34" s="10" t="s">
        <v>766</v>
      </c>
      <c r="Q34" s="33"/>
      <c r="R34" s="104" t="str">
        <f>VLOOKUP(C34,'Train Runs'!$A$13:$AE$10006,31,0)</f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S34" s="107" t="str">
        <f>VLOOKUP(C34,'Train Runs'!$A$13:$AE$10006,22,0)</f>
        <v>https://search-rtdc-monitor-bjffxe2xuh6vdkpspy63sjmuny.us-east-1.es.amazonaws.com/_plugin/kibana/#/discover/Steve-Slow-Train-Analysis-(2080s-and-2083s)?_g=(refreshInterval:(display:Off,section:0,value:0),time:(from:'2016-10-03 19:09:29-0600',mode:absolute,to:'2016-10-03 21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4" s="109" t="str">
        <f t="shared" si="1"/>
        <v>"C:\Program Files (x86)\AstroGrep\AstroGrep.exe" /spath="%USERPROFILE%\AppData\Local\Temp\OnboardLogs" /stypes="*4031*201610040*" /stext=" 02:.+((SYSTEM_STATE.+slice.+state.+changed )|(ment ac)|(system.+state.+changed )|(\[timeout)|(PRM\|1\|D)|(kpr)|(kdp)|(\|lc)|(penalty))" /e /r /s</v>
      </c>
      <c r="U34" s="9" t="str">
        <f t="shared" si="2"/>
        <v>4031</v>
      </c>
      <c r="V34" s="38">
        <f t="shared" si="3"/>
        <v>42647.102256944447</v>
      </c>
      <c r="W34" s="52" t="str">
        <f t="shared" si="4"/>
        <v>NW</v>
      </c>
      <c r="X34" s="52" t="str">
        <f t="shared" si="5"/>
        <v>KEEP</v>
      </c>
      <c r="Y34" s="130" t="str">
        <f t="shared" si="6"/>
        <v>echo {"issue":{"subject":"No clear controls sent to DUS 16N from TMDS","project_id":79,"tracker_id":40,"status_id":1,"priority_id":2,"assigned_to_id":23,"start_date":"2016-10-03","description":"No clear controls sent to 16N when trip 843-03 tried to get going. Do TMDS logs give us any insight as to why no attempts to clear the signal were ever made?","custom_fields":[{"id":1,"name":"Subdivision","value":"NW"},{"id":4,"name":"Milepost","value":"0.1725"},{"id":17,"name":"Train ID","value":"843-03"},{"id":16,"name":"Locomotive ID","value":"4031"},{"id":130,"name":"Impact","value":"Enforcement"},{"id":150,"name":"Time of Event (Mountain Time)","value":"20:27:15"},{"id":151,"name":"Denver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34" s="55" t="s">
        <v>767</v>
      </c>
      <c r="AA34" s="55" t="s">
        <v>135</v>
      </c>
      <c r="AB34" s="23" t="s">
        <v>144</v>
      </c>
      <c r="AC34" s="171" t="str">
        <f t="shared" si="7"/>
        <v>grep -hSE -A100 "Enforcement Action" "%USERPROFILE%\AppData\Local\Temp\OnboardLogs"\RTDC4031\*4031*201610040* | grep -SE "((Enforcement Ac)|(PRM))" -</v>
      </c>
    </row>
    <row r="35" spans="1:29" x14ac:dyDescent="0.25">
      <c r="A35" s="38">
        <v>42646.727476851855</v>
      </c>
      <c r="B35" s="33" t="s">
        <v>219</v>
      </c>
      <c r="C35" s="33" t="s">
        <v>681</v>
      </c>
      <c r="D35" s="33" t="s">
        <v>49</v>
      </c>
      <c r="E35" s="33" t="s">
        <v>54</v>
      </c>
      <c r="F35" s="49">
        <v>0</v>
      </c>
      <c r="G35" s="49">
        <v>219</v>
      </c>
      <c r="H35" s="49">
        <v>34286</v>
      </c>
      <c r="I35" s="49">
        <v>33877</v>
      </c>
      <c r="J35" s="33" t="s">
        <v>55</v>
      </c>
      <c r="K35" s="49">
        <v>33251</v>
      </c>
      <c r="L35" s="146" t="s">
        <v>53</v>
      </c>
      <c r="M35" s="149">
        <f t="shared" si="0"/>
        <v>330.52800000000002</v>
      </c>
      <c r="N35" s="88" t="str">
        <f>VLOOKUP(C35,'Trips&amp;Operators'!$C$1:$E$99999,3,FALSE)</f>
        <v>COOLAHAN</v>
      </c>
      <c r="O35" s="170" t="s">
        <v>86</v>
      </c>
      <c r="P35" s="10" t="s">
        <v>765</v>
      </c>
      <c r="Q35" s="33"/>
      <c r="R35" s="104" t="str">
        <f>VLOOKUP(C35,'Train Runs'!$A$13:$AE$10006,31,0)</f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S35" s="107" t="str">
        <f>VLOOKUP(C35,'Train Runs'!$A$13:$AE$10006,22,0)</f>
        <v>https://search-rtdc-monitor-bjffxe2xuh6vdkpspy63sjmuny.us-east-1.es.amazonaws.com/_plugin/kibana/#/discover/Steve-Slow-Train-Analysis-(2080s-and-2083s)?_g=(refreshInterval:(display:Off,section:0,value:0),time:(from:'2016-10-03 16:17:10-0600',mode:absolute,to:'2016-10-03 18:45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5" s="109" t="str">
        <f t="shared" si="1"/>
        <v>"C:\Program Files (x86)\AstroGrep\AstroGrep.exe" /spath="%USERPROFILE%\AppData\Local\Temp\OnboardLogs" /stypes="*4012*201610032*" /stext=" 23:.+((SYSTEM_STATE.+slice.+state.+changed )|(ment ac)|(system.+state.+changed )|(\[timeout)|(PRM\|1\|D)|(kpr)|(kdp)|(\|lc)|(penalty))" /e /r /s</v>
      </c>
      <c r="U35" s="9" t="str">
        <f t="shared" si="2"/>
        <v>4012</v>
      </c>
      <c r="V35" s="38">
        <f t="shared" si="3"/>
        <v>42646.977476851855</v>
      </c>
      <c r="W35" s="52" t="str">
        <f t="shared" si="4"/>
        <v>NW</v>
      </c>
      <c r="X35" s="52" t="str">
        <f t="shared" si="5"/>
        <v>KEEP</v>
      </c>
      <c r="Y35" s="130" t="str">
        <f t="shared" si="6"/>
        <v>echo {"issue":{"subject":"NW0333RH 34-2T 2S was RESTRICTING","project_id":79,"tracker_id":40,"status_id":1,"priority_id":2,"assigned_to_id":23,"start_date":"2016-10-03","description":"","custom_fields":[{"id":1,"name":"Subdivision","value":"NW"},{"id":4,"name":"Milepost","value":"3.3251"},{"id":17,"name":"Train ID","value":"832-03"},{"id":16,"name":"Locomotive ID","value":"4012"},{"id":130,"name":"Impact","value":""},{"id":150,"name":"Time of Event (Mountain Time)","value":"17:27:34"},{"id":151,"name":"Denver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"%USERPROFILE%\AppData\Local\Temp\OnboardLogs"\RTDC4012\*4012*201610032* | grep -SE "((Enforcement Ac)|(PRM))" -</v>
      </c>
    </row>
    <row r="36" spans="1:29" x14ac:dyDescent="0.25">
      <c r="A36" s="38">
        <v>42646.735891203702</v>
      </c>
      <c r="B36" s="33" t="s">
        <v>219</v>
      </c>
      <c r="C36" s="33" t="s">
        <v>681</v>
      </c>
      <c r="D36" s="33" t="s">
        <v>49</v>
      </c>
      <c r="E36" s="33" t="s">
        <v>397</v>
      </c>
      <c r="F36" s="49">
        <v>100</v>
      </c>
      <c r="G36" s="49">
        <v>150</v>
      </c>
      <c r="H36" s="49">
        <v>11514</v>
      </c>
      <c r="I36" s="49">
        <v>11241</v>
      </c>
      <c r="J36" s="33" t="s">
        <v>165</v>
      </c>
      <c r="K36" s="49">
        <v>11000</v>
      </c>
      <c r="L36" s="146" t="s">
        <v>53</v>
      </c>
      <c r="M36" s="149">
        <f t="shared" si="0"/>
        <v>127.248</v>
      </c>
      <c r="N36" s="88" t="str">
        <f>VLOOKUP(C36,'Trips&amp;Operators'!$C$1:$E$99999,3,FALSE)</f>
        <v>COOLAHAN</v>
      </c>
      <c r="O36" s="170" t="s">
        <v>86</v>
      </c>
      <c r="P36" s="10"/>
      <c r="Q36" s="33"/>
      <c r="R36" s="104" t="str">
        <f>VLOOKUP(C36,'Train Runs'!$A$13:$AE$10006,31,0)</f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S36" s="107" t="str">
        <f>VLOOKUP(C36,'Train Runs'!$A$13:$AE$10006,22,0)</f>
        <v>https://search-rtdc-monitor-bjffxe2xuh6vdkpspy63sjmuny.us-east-1.es.amazonaws.com/_plugin/kibana/#/discover/Steve-Slow-Train-Analysis-(2080s-and-2083s)?_g=(refreshInterval:(display:Off,section:0,value:0),time:(from:'2016-10-03 16:17:10-0600',mode:absolute,to:'2016-10-03 18:45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6" s="109" t="str">
        <f t="shared" si="1"/>
        <v>"C:\Program Files (x86)\AstroGrep\AstroGrep.exe" /spath="%USERPROFILE%\AppData\Local\Temp\OnboardLogs" /stypes="*4012*201610032*" /stext=" 23:.+((SYSTEM_STATE.+slice.+state.+changed )|(ment ac)|(system.+state.+changed )|(\[timeout)|(PRM\|1\|D)|(kpr)|(kdp)|(\|lc)|(penalty))" /e /r /s</v>
      </c>
      <c r="U36" s="9" t="str">
        <f t="shared" si="2"/>
        <v>4012</v>
      </c>
      <c r="V36" s="38">
        <f t="shared" si="3"/>
        <v>42646.985891203702</v>
      </c>
      <c r="W36" s="52" t="str">
        <f t="shared" si="4"/>
        <v>NW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{"issue":{"subject":"","project_id":79,"tracker_id":40,"status_id":1,"priority_id":2,"assigned_to_id":23,"start_date":"2016-10-03","description":"","custom_fields":[{"id":1,"name":"Subdivision","value":"NW"},{"id":4,"name":"Milepost","value":"1.1"},{"id":17,"name":"Train ID","value":"832-03"},{"id":16,"name":"Locomotive ID","value":"4012"},{"id":130,"name":"Impact","value":""},{"id":150,"name":"Time of Event (Mountain Time)","value":"17:39:41"},{"id":151,"name":"Denver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"%USERPROFILE%\AppData\Local\Temp\OnboardLogs"\RTDC4012\*4012*201610032* | grep -SE "((Enforcement Ac)|(PRM))" -</v>
      </c>
    </row>
    <row r="37" spans="1:29" ht="15" customHeight="1" x14ac:dyDescent="0.25">
      <c r="A37" s="38">
        <v>42646.268796296295</v>
      </c>
      <c r="B37" s="33" t="s">
        <v>219</v>
      </c>
      <c r="C37" s="33" t="s">
        <v>633</v>
      </c>
      <c r="D37" s="33" t="s">
        <v>49</v>
      </c>
      <c r="E37" s="33" t="s">
        <v>50</v>
      </c>
      <c r="F37" s="49">
        <v>0</v>
      </c>
      <c r="G37" s="49">
        <v>17</v>
      </c>
      <c r="H37" s="49">
        <v>640</v>
      </c>
      <c r="I37" s="49">
        <v>633</v>
      </c>
      <c r="J37" s="33" t="s">
        <v>51</v>
      </c>
      <c r="K37" s="49">
        <v>575</v>
      </c>
      <c r="L37" s="146" t="s">
        <v>53</v>
      </c>
      <c r="M37" s="149">
        <f t="shared" si="0"/>
        <v>30.623999999999999</v>
      </c>
      <c r="N37" s="88" t="str">
        <f>VLOOKUP(C37,'Trips&amp;Operators'!$C$1:$E$99999,3,FALSE)</f>
        <v>DAVIS</v>
      </c>
      <c r="O37" s="170" t="s">
        <v>86</v>
      </c>
      <c r="P37" s="10"/>
      <c r="Q37" s="33"/>
      <c r="R37" s="104" t="str">
        <f>VLOOKUP(C37,'Train Runs'!$A$13:$AE$10006,31,0)</f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S37" s="107" t="str">
        <f>VLOOKUP(C37,'Train Runs'!$A$13:$AE$10006,22,0)</f>
        <v>https://search-rtdc-monitor-bjffxe2xuh6vdkpspy63sjmuny.us-east-1.es.amazonaws.com/_plugin/kibana/#/discover/Steve-Slow-Train-Analysis-(2080s-and-2083s)?_g=(refreshInterval:(display:Off,section:0,value:0),time:(from:'2016-10-03 05:06:59-0600',mode:absolute,to:'2016-10-03 07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7" s="109" t="str">
        <f t="shared" si="1"/>
        <v>"C:\Program Files (x86)\AstroGrep\AstroGrep.exe" /spath="%USERPROFILE%\AppData\Local\Temp\OnboardLogs" /stypes="*4012*201610031*" /stext=" 12:.+((SYSTEM_STATE.+slice.+state.+changed )|(ment ac)|(system.+state.+changed )|(\[timeout)|(PRM\|1\|D)|(kpr)|(kdp)|(\|lc)|(penalty))" /e /r /s</v>
      </c>
      <c r="U37" s="9" t="str">
        <f t="shared" si="2"/>
        <v>4012</v>
      </c>
      <c r="V37" s="38">
        <f t="shared" si="3"/>
        <v>42646.518796296295</v>
      </c>
      <c r="W37" s="52" t="str">
        <f t="shared" si="4"/>
        <v>NW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{"issue":{"subject":"","project_id":79,"tracker_id":40,"status_id":1,"priority_id":2,"assigned_to_id":23,"start_date":"2016-10-03","description":"","custom_fields":[{"id":1,"name":"Subdivision","value":"NW"},{"id":4,"name":"Milepost","value":"0.0575"},{"id":17,"name":"Train ID","value":"802-03"},{"id":16,"name":"Locomotive ID","value":"4012"},{"id":130,"name":"Impact","value":""},{"id":150,"name":"Time of Event (Mountain Time)","value":"06:27:04"},{"id":151,"name":"Denver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"%USERPROFILE%\AppData\Local\Temp\OnboardLogs"\RTDC4012\*4012*201610031* | grep -SE "((Enforcement Ac)|(PRM))" -</v>
      </c>
    </row>
    <row r="38" spans="1:29" x14ac:dyDescent="0.25">
      <c r="A38" s="38">
        <v>42646.288402777776</v>
      </c>
      <c r="B38" s="33" t="s">
        <v>328</v>
      </c>
      <c r="C38" s="33" t="s">
        <v>638</v>
      </c>
      <c r="D38" s="33" t="s">
        <v>49</v>
      </c>
      <c r="E38" s="33" t="s">
        <v>50</v>
      </c>
      <c r="F38" s="49">
        <v>0</v>
      </c>
      <c r="G38" s="49">
        <v>48</v>
      </c>
      <c r="H38" s="49">
        <v>736</v>
      </c>
      <c r="I38" s="49">
        <v>687</v>
      </c>
      <c r="J38" s="33" t="s">
        <v>51</v>
      </c>
      <c r="K38" s="49">
        <v>575</v>
      </c>
      <c r="L38" s="146" t="s">
        <v>53</v>
      </c>
      <c r="M38" s="149">
        <f t="shared" si="0"/>
        <v>59.136000000000003</v>
      </c>
      <c r="N38" s="88" t="str">
        <f>VLOOKUP(C38,'Trips&amp;Operators'!$C$1:$E$99999,3,FALSE)</f>
        <v>ROCHA</v>
      </c>
      <c r="O38" s="170" t="s">
        <v>86</v>
      </c>
      <c r="P38" s="10"/>
      <c r="Q38" s="33"/>
      <c r="R38" s="104" t="str">
        <f>VLOOKUP(C38,'Train Runs'!$A$13:$AE$10006,31,0)</f>
        <v>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 &amp; 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</v>
      </c>
      <c r="S38" s="107" t="str">
        <f>VLOOKUP(C38,'Train Runs'!$A$13:$AE$10006,22,0)</f>
        <v>https://search-rtdc-monitor-bjffxe2xuh6vdkpspy63sjmuny.us-east-1.es.amazonaws.com/_plugin/kibana/#/discover/Steve-Slow-Train-Analysis-(2080s-and-2083s)?_g=(refreshInterval:(display:Off,section:0,value:0),time:(from:'2016-10-03 05:37:17-0600',mode:absolute,to:'2016-10-03 07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9" t="str">
        <f t="shared" si="1"/>
        <v>"C:\Program Files (x86)\AstroGrep\AstroGrep.exe" /spath="%USERPROFILE%\AppData\Local\Temp\OnboardLogs" /stypes="*4032*201610031*" /stext=" 12:.+((SYSTEM_STATE.+slice.+state.+changed )|(ment ac)|(system.+state.+changed )|(\[timeout)|(PRM\|1\|D)|(kpr)|(kdp)|(\|lc)|(penalty))" /e /r /s</v>
      </c>
      <c r="U38" s="9" t="str">
        <f t="shared" si="2"/>
        <v>4032</v>
      </c>
      <c r="V38" s="38">
        <f t="shared" si="3"/>
        <v>42646.538402777776</v>
      </c>
      <c r="W38" s="52" t="str">
        <f t="shared" si="4"/>
        <v>NW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{"issue":{"subject":"","project_id":79,"tracker_id":40,"status_id":1,"priority_id":2,"assigned_to_id":23,"start_date":"2016-10-03","description":"","custom_fields":[{"id":1,"name":"Subdivision","value":"NW"},{"id":4,"name":"Milepost","value":"0.0575"},{"id":17,"name":"Train ID","value":"804-03"},{"id":16,"name":"Locomotive ID","value":"4032"},{"id":130,"name":"Impact","value":""},{"id":150,"name":"Time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"%USERPROFILE%\AppData\Local\Temp\OnboardLogs"\RTDC4032\*4032*201610031* | grep -SE "((Enforcement Ac)|(PRM))" -</v>
      </c>
    </row>
    <row r="39" spans="1:29" x14ac:dyDescent="0.25">
      <c r="A39" s="38">
        <v>42646.310532407406</v>
      </c>
      <c r="B39" s="33" t="s">
        <v>219</v>
      </c>
      <c r="C39" s="33" t="s">
        <v>644</v>
      </c>
      <c r="D39" s="33" t="s">
        <v>49</v>
      </c>
      <c r="E39" s="33" t="s">
        <v>50</v>
      </c>
      <c r="F39" s="49">
        <v>0</v>
      </c>
      <c r="G39" s="49">
        <v>14</v>
      </c>
      <c r="H39" s="49">
        <v>601</v>
      </c>
      <c r="I39" s="49">
        <v>594</v>
      </c>
      <c r="J39" s="33" t="s">
        <v>51</v>
      </c>
      <c r="K39" s="49">
        <v>575</v>
      </c>
      <c r="L39" s="146" t="s">
        <v>53</v>
      </c>
      <c r="M39" s="149">
        <f t="shared" si="0"/>
        <v>10.032</v>
      </c>
      <c r="N39" s="88" t="str">
        <f>VLOOKUP(C39,'Trips&amp;Operators'!$C$1:$E$99999,3,FALSE)</f>
        <v>DAVIS</v>
      </c>
      <c r="O39" s="170" t="s">
        <v>86</v>
      </c>
      <c r="P39" s="10"/>
      <c r="Q39" s="33"/>
      <c r="R39" s="104" t="str">
        <f>VLOOKUP(C39,'Train Runs'!$A$13:$AE$10006,31,0)</f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S39" s="107" t="str">
        <f>VLOOKUP(C39,'Train Runs'!$A$13:$AE$10006,22,0)</f>
        <v>https://search-rtdc-monitor-bjffxe2xuh6vdkpspy63sjmuny.us-east-1.es.amazonaws.com/_plugin/kibana/#/discover/Steve-Slow-Train-Analysis-(2080s-and-2083s)?_g=(refreshInterval:(display:Off,section:0,value:0),time:(from:'2016-10-03 06:07:12-0600',mode:absolute,to:'2016-10-03 08:27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9" s="109" t="str">
        <f t="shared" si="1"/>
        <v>"C:\Program Files (x86)\AstroGrep\AstroGrep.exe" /spath="%USERPROFILE%\AppData\Local\Temp\OnboardLogs" /stypes="*4012*201610031*" /stext=" 13:.+((SYSTEM_STATE.+slice.+state.+changed )|(ment ac)|(system.+state.+changed )|(\[timeout)|(PRM\|1\|D)|(kpr)|(kdp)|(\|lc)|(penalty))" /e /r /s</v>
      </c>
      <c r="U39" s="9" t="str">
        <f t="shared" si="2"/>
        <v>4012</v>
      </c>
      <c r="V39" s="38">
        <f t="shared" si="3"/>
        <v>42646.560532407406</v>
      </c>
      <c r="W39" s="52" t="str">
        <f t="shared" si="4"/>
        <v>NW</v>
      </c>
      <c r="X39" s="52" t="str">
        <f t="shared" si="5"/>
        <v>KEEP</v>
      </c>
      <c r="Y39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{"issue":{"subject":"","project_id":79,"tracker_id":40,"status_id":1,"priority_id":2,"assigned_to_id":23,"start_date":"2016-10-03","description":"","custom_fields":[{"id":1,"name":"Subdivision","value":"NW"},{"id":4,"name":"Milepost","value":"0.0575"},{"id":17,"name":"Train ID","value":"806-03"},{"id":16,"name":"Locomotive ID","value":"4012"},{"id":130,"name":"Impact","value":""},{"id":150,"name":"Time of Event (Mountain Time)","value":"07:27:10"},{"id":151,"name":"Denver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si="7"/>
        <v>grep -hSE -A100 "Enforcement Action" "%USERPROFILE%\AppData\Local\Temp\OnboardLogs"\RTDC4012\*4012*201610031* | grep -SE "((Enforcement Ac)|(PRM))" -</v>
      </c>
    </row>
    <row r="40" spans="1:29" x14ac:dyDescent="0.25">
      <c r="A40" s="38">
        <v>42646.351759259262</v>
      </c>
      <c r="B40" s="33" t="s">
        <v>219</v>
      </c>
      <c r="C40" s="33" t="s">
        <v>654</v>
      </c>
      <c r="D40" s="33" t="s">
        <v>49</v>
      </c>
      <c r="E40" s="33" t="s">
        <v>50</v>
      </c>
      <c r="F40" s="49">
        <v>0</v>
      </c>
      <c r="G40" s="49">
        <v>17</v>
      </c>
      <c r="H40" s="49">
        <v>629</v>
      </c>
      <c r="I40" s="49">
        <v>621</v>
      </c>
      <c r="J40" s="33" t="s">
        <v>51</v>
      </c>
      <c r="K40" s="49">
        <v>575</v>
      </c>
      <c r="L40" s="146" t="s">
        <v>53</v>
      </c>
      <c r="M40" s="149">
        <f t="shared" si="0"/>
        <v>24.288</v>
      </c>
      <c r="N40" s="88" t="str">
        <f>VLOOKUP(C40,'Trips&amp;Operators'!$C$1:$E$99999,3,FALSE)</f>
        <v>DAVIS</v>
      </c>
      <c r="O40" s="170" t="s">
        <v>86</v>
      </c>
      <c r="P40" s="10"/>
      <c r="Q40" s="33"/>
      <c r="R40" s="104" t="str">
        <f>VLOOKUP(C40,'Train Runs'!$A$13:$AE$10006,31,0)</f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S40" s="107" t="str">
        <f>VLOOKUP(C40,'Train Runs'!$A$13:$AE$10006,22,0)</f>
        <v>https://search-rtdc-monitor-bjffxe2xuh6vdkpspy63sjmuny.us-east-1.es.amazonaws.com/_plugin/kibana/#/discover/Steve-Slow-Train-Analysis-(2080s-and-2083s)?_g=(refreshInterval:(display:Off,section:0,value:0),time:(from:'2016-10-03 07:06:39-0600',mode:absolute,to:'2016-10-03 09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0" s="109" t="str">
        <f t="shared" si="1"/>
        <v>"C:\Program Files (x86)\AstroGrep\AstroGrep.exe" /spath="%USERPROFILE%\AppData\Local\Temp\OnboardLogs" /stypes="*4012*201610031*" /stext=" 14:.+((SYSTEM_STATE.+slice.+state.+changed )|(ment ac)|(system.+state.+changed )|(\[timeout)|(PRM\|1\|D)|(kpr)|(kdp)|(\|lc)|(penalty))" /e /r /s</v>
      </c>
      <c r="U40" s="9" t="str">
        <f t="shared" si="2"/>
        <v>4012</v>
      </c>
      <c r="V40" s="38">
        <f t="shared" si="3"/>
        <v>42646.601759259262</v>
      </c>
      <c r="W40" s="52" t="str">
        <f t="shared" si="4"/>
        <v>NW</v>
      </c>
      <c r="X40" s="52" t="str">
        <f t="shared" si="5"/>
        <v>KEEP</v>
      </c>
      <c r="Y40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{"issue":{"subject":"","project_id":79,"tracker_id":40,"status_id":1,"priority_id":2,"assigned_to_id":23,"start_date":"2016-10-03","description":"","custom_fields":[{"id":1,"name":"Subdivision","value":"NW"},{"id":4,"name":"Milepost","value":"0.0575"},{"id":17,"name":"Train ID","value":"810-03"},{"id":16,"name":"Locomotive ID","value":"4012"},{"id":130,"name":"Impact","value":""},{"id":150,"name":"Time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7"/>
        <v>grep -hSE -A100 "Enforcement Action" "%USERPROFILE%\AppData\Local\Temp\OnboardLogs"\RTDC4012\*4012*201610031* | grep -SE "((Enforcement Ac)|(PRM))" -</v>
      </c>
    </row>
    <row r="41" spans="1:29" x14ac:dyDescent="0.25">
      <c r="A41" s="38">
        <v>42646.785497685189</v>
      </c>
      <c r="B41" s="33" t="s">
        <v>219</v>
      </c>
      <c r="C41" s="33" t="s">
        <v>690</v>
      </c>
      <c r="D41" s="33" t="s">
        <v>49</v>
      </c>
      <c r="E41" s="33" t="s">
        <v>50</v>
      </c>
      <c r="F41" s="49">
        <v>0</v>
      </c>
      <c r="G41" s="49">
        <v>41</v>
      </c>
      <c r="H41" s="49">
        <v>656</v>
      </c>
      <c r="I41" s="49">
        <v>631</v>
      </c>
      <c r="J41" s="33" t="s">
        <v>51</v>
      </c>
      <c r="K41" s="49">
        <v>575</v>
      </c>
      <c r="L41" s="146" t="s">
        <v>53</v>
      </c>
      <c r="M41" s="149">
        <f t="shared" si="0"/>
        <v>29.568000000000001</v>
      </c>
      <c r="N41" s="88" t="str">
        <f>VLOOKUP(C41,'Trips&amp;Operators'!$C$1:$E$99999,3,FALSE)</f>
        <v>COOLAHAN</v>
      </c>
      <c r="O41" s="170" t="s">
        <v>86</v>
      </c>
      <c r="P41" s="10"/>
      <c r="Q41" s="33"/>
      <c r="R41" s="104" t="str">
        <f>VLOOKUP(C41,'Train Runs'!$A$13:$AE$10006,31,0)</f>
        <v>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 &amp; aws s3 cp s3://rtdc.mdm.uploadarchive.raw/RTDC4012/ "%USERPROFILE%\AppData\Local\Temp\OnboardLogs"\RTDC4012\2016-10-04 --exclude "*" --recursive --include "*20161004*" &amp; "%USERPROFILE%\Documents\GitHub\mrs-test-scripts\Headless Mode &amp; Sideloading\WalkAndUnGZ.bat" "%USERPROFILE%\AppData\Local\Temp\OnboardLogs"\RTDC4012\2016-10-04</v>
      </c>
      <c r="S41" s="107" t="str">
        <f>VLOOKUP(C41,'Train Runs'!$A$13:$AE$10006,22,0)</f>
        <v>https://search-rtdc-monitor-bjffxe2xuh6vdkpspy63sjmuny.us-east-1.es.amazonaws.com/_plugin/kibana/#/discover/Steve-Slow-Train-Analysis-(2080s-and-2083s)?_g=(refreshInterval:(display:Off,section:0,value:0),time:(from:'2016-10-03 17:10:48-0600',mode:absolute,to:'2016-10-03 19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1" s="109" t="str">
        <f t="shared" si="1"/>
        <v>"C:\Program Files (x86)\AstroGrep\AstroGrep.exe" /spath="%USERPROFILE%\AppData\Local\Temp\OnboardLogs" /stypes="*4012*201610040*" /stext=" 00:.+((SYSTEM_STATE.+slice.+state.+changed )|(ment ac)|(system.+state.+changed )|(\[timeout)|(PRM\|1\|D)|(kpr)|(kdp)|(\|lc)|(penalty))" /e /r /s</v>
      </c>
      <c r="U41" s="9" t="str">
        <f t="shared" si="2"/>
        <v>4012</v>
      </c>
      <c r="V41" s="38">
        <f t="shared" si="3"/>
        <v>42647.035497685189</v>
      </c>
      <c r="W41" s="52" t="str">
        <f t="shared" si="4"/>
        <v>NW</v>
      </c>
      <c r="X41" s="52" t="str">
        <f t="shared" si="5"/>
        <v>KEEP</v>
      </c>
      <c r="Y41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{"issue":{"subject":"","project_id":79,"tracker_id":40,"status_id":1,"priority_id":2,"assigned_to_id":23,"start_date":"2016-10-03","description":"","custom_fields":[{"id":1,"name":"Subdivision","value":"NW"},{"id":4,"name":"Milepost","value":"0.0575"},{"id":17,"name":"Train ID","value":"836-03"},{"id":16,"name":"Locomotive ID","value":"4012"},{"id":130,"name":"Impact","value":""},{"id":150,"name":"Time of Event (Mountain Time)","value":"18:51:07"},{"id":151,"name":"Denver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7"/>
        <v>grep -hSE -A100 "Enforcement Action" "%USERPROFILE%\AppData\Local\Temp\OnboardLogs"\RTDC4012\*4012*201610040* | grep -SE "((Enforcement Ac)|(PRM))" -</v>
      </c>
    </row>
    <row r="42" spans="1:29" x14ac:dyDescent="0.25">
      <c r="A42" s="38">
        <v>42646.253935185188</v>
      </c>
      <c r="B42" s="33" t="s">
        <v>273</v>
      </c>
      <c r="C42" s="33" t="s">
        <v>630</v>
      </c>
      <c r="D42" s="33" t="s">
        <v>105</v>
      </c>
      <c r="E42" s="33" t="s">
        <v>50</v>
      </c>
      <c r="F42" s="49">
        <v>0</v>
      </c>
      <c r="G42" s="49">
        <v>7</v>
      </c>
      <c r="H42" s="49">
        <v>59048</v>
      </c>
      <c r="I42" s="49">
        <v>0</v>
      </c>
      <c r="J42" s="33" t="s">
        <v>51</v>
      </c>
      <c r="K42" s="49">
        <v>59048</v>
      </c>
      <c r="L42" s="146" t="s">
        <v>52</v>
      </c>
      <c r="M42" s="149">
        <f t="shared" si="0"/>
        <v>31177.344000000001</v>
      </c>
      <c r="N42" s="88" t="str">
        <f>VLOOKUP(C42,'Trips&amp;Operators'!$C$1:$E$99999,3,FALSE)</f>
        <v>DAVIS</v>
      </c>
      <c r="O42" s="170" t="s">
        <v>86</v>
      </c>
      <c r="P42" s="10"/>
      <c r="Q42" s="33"/>
      <c r="R42" s="104" t="str">
        <f>VLOOKUP(C42,'Train Runs'!$A$13:$AE$10006,31,0)</f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S42" s="107" t="str">
        <f>VLOOKUP(C42,'Train Runs'!$A$13:$AE$10006,22,0)</f>
        <v>https://search-rtdc-monitor-bjffxe2xuh6vdkpspy63sjmuny.us-east-1.es.amazonaws.com/_plugin/kibana/#/discover/Steve-Slow-Train-Analysis-(2080s-and-2083s)?_g=(refreshInterval:(display:Off,section:0,value:0),time:(from:'2016-10-03 04:40:19-0600',mode:absolute,to:'2016-10-03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2" s="109" t="str">
        <f t="shared" si="1"/>
        <v>"C:\Program Files (x86)\AstroGrep\AstroGrep.exe" /spath="%USERPROFILE%\AppData\Local\Temp\OnboardLogs" /stypes="*4011*201610031*" /stext=" 12:.+((SYSTEM_STATE.+slice.+state.+changed )|(ment ac)|(system.+state.+changed )|(\[timeout)|(PRM\|1\|D)|(kpr)|(kdp)|(\|lc)|(penalty))" /e /r /s</v>
      </c>
      <c r="U42" s="9" t="str">
        <f t="shared" si="2"/>
        <v>4011</v>
      </c>
      <c r="V42" s="38">
        <f t="shared" si="3"/>
        <v>42646.503935185188</v>
      </c>
      <c r="W42" s="52" t="str">
        <f t="shared" si="4"/>
        <v>NW</v>
      </c>
      <c r="X42" s="52" t="str">
        <f t="shared" si="5"/>
        <v>OMIT</v>
      </c>
      <c r="Y42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{"issue":{"subject":"","project_id":79,"tracker_id":40,"status_id":1,"priority_id":2,"assigned_to_id":23,"start_date":"2016-10-03","description":"","custom_fields":[{"id":1,"name":"Subdivision","value":"NW"},{"id":4,"name":"Milepost","value":"5.9048"},{"id":17,"name":"Train ID","value":"801-03"},{"id":16,"name":"Locomotive ID","value":"4011"},{"id":130,"name":"Impact","value":""},{"id":150,"name":"Time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7"/>
        <v>grep -hSE -A100 "Enforcement Action" "%USERPROFILE%\AppData\Local\Temp\OnboardLogs"\RTDC4011\*4011*201610031* | grep -SE "((Enforcement Ac)|(PRM))" -</v>
      </c>
    </row>
    <row r="43" spans="1:29" x14ac:dyDescent="0.25">
      <c r="A43" s="38">
        <v>42646.295335648145</v>
      </c>
      <c r="B43" s="33" t="s">
        <v>273</v>
      </c>
      <c r="C43" s="33" t="s">
        <v>641</v>
      </c>
      <c r="D43" s="33" t="s">
        <v>49</v>
      </c>
      <c r="E43" s="33" t="s">
        <v>50</v>
      </c>
      <c r="F43" s="49">
        <v>0</v>
      </c>
      <c r="G43" s="49">
        <v>17</v>
      </c>
      <c r="H43" s="49">
        <v>58999</v>
      </c>
      <c r="I43" s="49">
        <v>59007</v>
      </c>
      <c r="J43" s="33" t="s">
        <v>51</v>
      </c>
      <c r="K43" s="49">
        <v>59048</v>
      </c>
      <c r="L43" s="146" t="s">
        <v>52</v>
      </c>
      <c r="M43" s="149">
        <f t="shared" si="0"/>
        <v>21.648000000000003</v>
      </c>
      <c r="N43" s="88" t="str">
        <f>VLOOKUP(C43,'Trips&amp;Operators'!$C$1:$E$99999,3,FALSE)</f>
        <v>DAVIS</v>
      </c>
      <c r="O43" s="170" t="s">
        <v>86</v>
      </c>
      <c r="P43" s="10"/>
      <c r="Q43" s="33"/>
      <c r="R43" s="104" t="str">
        <f>VLOOKUP(C43,'Train Runs'!$A$13:$AE$10006,31,0)</f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S43" s="107" t="str">
        <f>VLOOKUP(C43,'Train Runs'!$A$13:$AE$10006,22,0)</f>
        <v>https://search-rtdc-monitor-bjffxe2xuh6vdkpspy63sjmuny.us-east-1.es.amazonaws.com/_plugin/kibana/#/discover/Steve-Slow-Train-Analysis-(2080s-and-2083s)?_g=(refreshInterval:(display:Off,section:0,value:0),time:(from:'2016-10-03 05:48:19-0600',mode:absolute,to:'2016-10-03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3" s="109" t="str">
        <f t="shared" si="1"/>
        <v>"C:\Program Files (x86)\AstroGrep\AstroGrep.exe" /spath="%USERPROFILE%\AppData\Local\Temp\OnboardLogs" /stypes="*4011*201610031*" /stext=" 13:.+((SYSTEM_STATE.+slice.+state.+changed )|(ment ac)|(system.+state.+changed )|(\[timeout)|(PRM\|1\|D)|(kpr)|(kdp)|(\|lc)|(penalty))" /e /r /s</v>
      </c>
      <c r="U43" s="9" t="str">
        <f t="shared" si="2"/>
        <v>4011</v>
      </c>
      <c r="V43" s="38">
        <f t="shared" si="3"/>
        <v>42646.545335648145</v>
      </c>
      <c r="W43" s="52" t="str">
        <f t="shared" si="4"/>
        <v>NW</v>
      </c>
      <c r="X43" s="52" t="str">
        <f t="shared" si="5"/>
        <v>KEEP</v>
      </c>
      <c r="Y43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{"issue":{"subject":"","project_id":79,"tracker_id":40,"status_id":1,"priority_id":2,"assigned_to_id":23,"start_date":"2016-10-03","description":"","custom_fields":[{"id":1,"name":"Subdivision","value":"NW"},{"id":4,"name":"Milepost","value":"5.9048"},{"id":17,"name":"Train ID","value":"805-03"},{"id":16,"name":"Locomotive ID","value":"4011"},{"id":130,"name":"Impact","value":""},{"id":150,"name":"Time of Event (Mountain Time)","value":"07:05:17"},{"id":151,"name":"Denver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7"/>
        <v>grep -hSE -A100 "Enforcement Action" "%USERPROFILE%\AppData\Local\Temp\OnboardLogs"\RTDC4011\*4011*201610031* | grep -SE "((Enforcement Ac)|(PRM))" -</v>
      </c>
    </row>
    <row r="44" spans="1:29" x14ac:dyDescent="0.25">
      <c r="A44" s="38">
        <v>42646.295937499999</v>
      </c>
      <c r="B44" s="33" t="s">
        <v>273</v>
      </c>
      <c r="C44" s="33" t="s">
        <v>641</v>
      </c>
      <c r="D44" s="33" t="s">
        <v>49</v>
      </c>
      <c r="E44" s="33" t="s">
        <v>50</v>
      </c>
      <c r="F44" s="49">
        <v>0</v>
      </c>
      <c r="G44" s="49">
        <v>13</v>
      </c>
      <c r="H44" s="49">
        <v>59039</v>
      </c>
      <c r="I44" s="49">
        <v>59044</v>
      </c>
      <c r="J44" s="33" t="s">
        <v>51</v>
      </c>
      <c r="K44" s="49">
        <v>59048</v>
      </c>
      <c r="L44" s="146" t="s">
        <v>52</v>
      </c>
      <c r="M44" s="149">
        <f t="shared" si="0"/>
        <v>2.1120000000000001</v>
      </c>
      <c r="N44" s="88" t="str">
        <f>VLOOKUP(C44,'Trips&amp;Operators'!$C$1:$E$99999,3,FALSE)</f>
        <v>DAVIS</v>
      </c>
      <c r="O44" s="170" t="s">
        <v>86</v>
      </c>
      <c r="P44" s="10"/>
      <c r="Q44" s="33"/>
      <c r="R44" s="104" t="str">
        <f>VLOOKUP(C44,'Train Runs'!$A$13:$AE$10006,31,0)</f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S44" s="107" t="str">
        <f>VLOOKUP(C44,'Train Runs'!$A$13:$AE$10006,22,0)</f>
        <v>https://search-rtdc-monitor-bjffxe2xuh6vdkpspy63sjmuny.us-east-1.es.amazonaws.com/_plugin/kibana/#/discover/Steve-Slow-Train-Analysis-(2080s-and-2083s)?_g=(refreshInterval:(display:Off,section:0,value:0),time:(from:'2016-10-03 05:48:19-0600',mode:absolute,to:'2016-10-03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4" s="109" t="str">
        <f t="shared" si="1"/>
        <v>"C:\Program Files (x86)\AstroGrep\AstroGrep.exe" /spath="%USERPROFILE%\AppData\Local\Temp\OnboardLogs" /stypes="*4011*201610031*" /stext=" 13:.+((SYSTEM_STATE.+slice.+state.+changed )|(ment ac)|(system.+state.+changed )|(\[timeout)|(PRM\|1\|D)|(kpr)|(kdp)|(\|lc)|(penalty))" /e /r /s</v>
      </c>
      <c r="U44" s="9" t="str">
        <f t="shared" si="2"/>
        <v>4011</v>
      </c>
      <c r="V44" s="38">
        <f t="shared" si="3"/>
        <v>42646.545937499999</v>
      </c>
      <c r="W44" s="52" t="str">
        <f t="shared" si="4"/>
        <v>NW</v>
      </c>
      <c r="X44" s="52" t="str">
        <f t="shared" si="5"/>
        <v>KEEP</v>
      </c>
      <c r="Y44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{"issue":{"subject":"","project_id":79,"tracker_id":40,"status_id":1,"priority_id":2,"assigned_to_id":23,"start_date":"2016-10-03","description":"","custom_fields":[{"id":1,"name":"Subdivision","value":"NW"},{"id":4,"name":"Milepost","value":"5.9048"},{"id":17,"name":"Train ID","value":"805-03"},{"id":16,"name":"Locomotive ID","value":"4011"},{"id":130,"name":"Impact","value":""},{"id":150,"name":"Time of Event (Mountain Time)","value":"07:06:09"},{"id":151,"name":"Denver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 t="shared" si="7"/>
        <v>grep -hSE -A100 "Enforcement Action" "%USERPROFILE%\AppData\Local\Temp\OnboardLogs"\RTDC4011\*4011*201610031* | grep -SE "((Enforcement Ac)|(PRM))" -</v>
      </c>
    </row>
    <row r="45" spans="1:29" x14ac:dyDescent="0.25">
      <c r="A45" s="38">
        <v>42646.337210648147</v>
      </c>
      <c r="B45" s="33" t="s">
        <v>273</v>
      </c>
      <c r="C45" s="33" t="s">
        <v>651</v>
      </c>
      <c r="D45" s="33" t="s">
        <v>105</v>
      </c>
      <c r="E45" s="33" t="s">
        <v>50</v>
      </c>
      <c r="F45" s="49">
        <v>0</v>
      </c>
      <c r="G45" s="49">
        <v>7</v>
      </c>
      <c r="H45" s="49">
        <v>59048</v>
      </c>
      <c r="I45" s="49">
        <v>0</v>
      </c>
      <c r="J45" s="33" t="s">
        <v>51</v>
      </c>
      <c r="K45" s="49">
        <v>59048</v>
      </c>
      <c r="L45" s="146" t="s">
        <v>52</v>
      </c>
      <c r="M45" s="149">
        <f t="shared" si="0"/>
        <v>31177.344000000001</v>
      </c>
      <c r="N45" s="88" t="str">
        <f>VLOOKUP(C45,'Trips&amp;Operators'!$C$1:$E$99999,3,FALSE)</f>
        <v>DAVIS</v>
      </c>
      <c r="O45" s="170" t="s">
        <v>86</v>
      </c>
      <c r="P45" s="10"/>
      <c r="Q45" s="33"/>
      <c r="R45" s="104" t="str">
        <f>VLOOKUP(C45,'Train Runs'!$A$13:$AE$10006,31,0)</f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S45" s="107" t="str">
        <f>VLOOKUP(C45,'Train Runs'!$A$13:$AE$10006,22,0)</f>
        <v>https://search-rtdc-monitor-bjffxe2xuh6vdkpspy63sjmuny.us-east-1.es.amazonaws.com/_plugin/kibana/#/discover/Steve-Slow-Train-Analysis-(2080s-and-2083s)?_g=(refreshInterval:(display:Off,section:0,value:0),time:(from:'2016-10-03 06:48:37-0600',mode:absolute,to:'2016-10-03 09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5" s="109" t="str">
        <f t="shared" si="1"/>
        <v>"C:\Program Files (x86)\AstroGrep\AstroGrep.exe" /spath="%USERPROFILE%\AppData\Local\Temp\OnboardLogs" /stypes="*4011*201610031*" /stext=" 14:.+((SYSTEM_STATE.+slice.+state.+changed )|(ment ac)|(system.+state.+changed )|(\[timeout)|(PRM\|1\|D)|(kpr)|(kdp)|(\|lc)|(penalty))" /e /r /s</v>
      </c>
      <c r="U45" s="9" t="str">
        <f t="shared" si="2"/>
        <v>4011</v>
      </c>
      <c r="V45" s="38">
        <f t="shared" si="3"/>
        <v>42646.587210648147</v>
      </c>
      <c r="W45" s="52" t="str">
        <f t="shared" si="4"/>
        <v>NW</v>
      </c>
      <c r="X45" s="52" t="str">
        <f t="shared" si="5"/>
        <v>OMIT</v>
      </c>
      <c r="Y45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{"issue":{"subject":"","project_id":79,"tracker_id":40,"status_id":1,"priority_id":2,"assigned_to_id":23,"start_date":"2016-10-03","description":"","custom_fields":[{"id":1,"name":"Subdivision","value":"NW"},{"id":4,"name":"Milepost","value":"5.9048"},{"id":17,"name":"Train ID","value":"809-03"},{"id":16,"name":"Locomotive ID","value":"4011"},{"id":130,"name":"Impact","value":""},{"id":150,"name":"Time of Event (Mountain Time)","value":"08:05:35"},{"id":151,"name":"Denver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7"/>
        <v>grep -hSE -A100 "Enforcement Action" "%USERPROFILE%\AppData\Local\Temp\OnboardLogs"\RTDC4011\*4011*201610031* | grep -SE "((Enforcement Ac)|(PRM))" -</v>
      </c>
    </row>
    <row r="46" spans="1:29" x14ac:dyDescent="0.25">
      <c r="A46" s="38">
        <v>42646.356817129628</v>
      </c>
      <c r="B46" s="33" t="s">
        <v>329</v>
      </c>
      <c r="C46" s="33" t="s">
        <v>657</v>
      </c>
      <c r="D46" s="33" t="s">
        <v>49</v>
      </c>
      <c r="E46" s="33" t="s">
        <v>50</v>
      </c>
      <c r="F46" s="49">
        <v>0</v>
      </c>
      <c r="G46" s="49">
        <v>168</v>
      </c>
      <c r="H46" s="49">
        <v>57998</v>
      </c>
      <c r="I46" s="49">
        <v>58254</v>
      </c>
      <c r="J46" s="33" t="s">
        <v>51</v>
      </c>
      <c r="K46" s="49">
        <v>59048</v>
      </c>
      <c r="L46" s="146" t="s">
        <v>52</v>
      </c>
      <c r="M46" s="149">
        <f t="shared" si="0"/>
        <v>419.23200000000003</v>
      </c>
      <c r="N46" s="88" t="str">
        <f>VLOOKUP(C46,'Trips&amp;Operators'!$C$1:$E$99999,3,FALSE)</f>
        <v>ROCHA</v>
      </c>
      <c r="O46" s="170" t="s">
        <v>86</v>
      </c>
      <c r="P46" s="10"/>
      <c r="Q46" s="33"/>
      <c r="R46" s="104" t="str">
        <f>VLOOKUP(C46,'Train Runs'!$A$13:$AE$10006,31,0)</f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S46" s="107" t="str">
        <f>VLOOKUP(C46,'Train Runs'!$A$13:$AE$10006,22,0)</f>
        <v>https://search-rtdc-monitor-bjffxe2xuh6vdkpspy63sjmuny.us-east-1.es.amazonaws.com/_plugin/kibana/#/discover/Steve-Slow-Train-Analysis-(2080s-and-2083s)?_g=(refreshInterval:(display:Off,section:0,value:0),time:(from:'2016-10-03 07:19:40-0600',mode:absolute,to:'2016-10-03 09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6" s="109" t="str">
        <f t="shared" si="1"/>
        <v>"C:\Program Files (x86)\AstroGrep\AstroGrep.exe" /spath="%USERPROFILE%\AppData\Local\Temp\OnboardLogs" /stypes="*4031*201610031*" /stext=" 14:.+((SYSTEM_STATE.+slice.+state.+changed )|(ment ac)|(system.+state.+changed )|(\[timeout)|(PRM\|1\|D)|(kpr)|(kdp)|(\|lc)|(penalty))" /e /r /s</v>
      </c>
      <c r="U46" s="9" t="str">
        <f t="shared" si="2"/>
        <v>4031</v>
      </c>
      <c r="V46" s="38">
        <f t="shared" si="3"/>
        <v>42646.606817129628</v>
      </c>
      <c r="W46" s="52" t="str">
        <f t="shared" si="4"/>
        <v>NW</v>
      </c>
      <c r="X46" s="52" t="str">
        <f t="shared" si="5"/>
        <v>KEEP</v>
      </c>
      <c r="Y46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{"issue":{"subject":"","project_id":79,"tracker_id":40,"status_id":1,"priority_id":2,"assigned_to_id":23,"start_date":"2016-10-03","description":"","custom_fields":[{"id":1,"name":"Subdivision","value":"NW"},{"id":4,"name":"Milepost","value":"5.9048"},{"id":17,"name":"Train ID","value":"811-03"},{"id":16,"name":"Locomotive ID","value":"4031"},{"id":130,"name":"Impact","value":""},{"id":150,"name":"Time of Event (Mountain Time)","value":"08:33:49"},{"id":151,"name":"Denver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7"/>
        <v>grep -hSE -A100 "Enforcement Action" "%USERPROFILE%\AppData\Local\Temp\OnboardLogs"\RTDC4031\*4031*201610031* | grep -SE "((Enforcement Ac)|(PRM))" -</v>
      </c>
    </row>
    <row r="47" spans="1:29" x14ac:dyDescent="0.25">
      <c r="A47" s="38">
        <v>42646.35796296296</v>
      </c>
      <c r="B47" s="33" t="s">
        <v>329</v>
      </c>
      <c r="C47" s="33" t="s">
        <v>657</v>
      </c>
      <c r="D47" s="33" t="s">
        <v>49</v>
      </c>
      <c r="E47" s="33" t="s">
        <v>50</v>
      </c>
      <c r="F47" s="49">
        <v>0</v>
      </c>
      <c r="G47" s="49">
        <v>23</v>
      </c>
      <c r="H47" s="49">
        <v>58995</v>
      </c>
      <c r="I47" s="49">
        <v>59010</v>
      </c>
      <c r="J47" s="33" t="s">
        <v>51</v>
      </c>
      <c r="K47" s="49">
        <v>59048</v>
      </c>
      <c r="L47" s="146" t="s">
        <v>52</v>
      </c>
      <c r="M47" s="149">
        <f t="shared" si="0"/>
        <v>20.064</v>
      </c>
      <c r="N47" s="88" t="str">
        <f>VLOOKUP(C47,'Trips&amp;Operators'!$C$1:$E$99999,3,FALSE)</f>
        <v>ROCHA</v>
      </c>
      <c r="O47" s="170" t="s">
        <v>86</v>
      </c>
      <c r="P47" s="10"/>
      <c r="Q47" s="33"/>
      <c r="R47" s="104" t="str">
        <f>VLOOKUP(C47,'Train Runs'!$A$13:$AE$10006,31,0)</f>
        <v>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 &amp; 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</v>
      </c>
      <c r="S47" s="107" t="str">
        <f>VLOOKUP(C47,'Train Runs'!$A$13:$AE$10006,22,0)</f>
        <v>https://search-rtdc-monitor-bjffxe2xuh6vdkpspy63sjmuny.us-east-1.es.amazonaws.com/_plugin/kibana/#/discover/Steve-Slow-Train-Analysis-(2080s-and-2083s)?_g=(refreshInterval:(display:Off,section:0,value:0),time:(from:'2016-10-03 07:19:40-0600',mode:absolute,to:'2016-10-03 09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7" s="109" t="str">
        <f t="shared" si="1"/>
        <v>"C:\Program Files (x86)\AstroGrep\AstroGrep.exe" /spath="%USERPROFILE%\AppData\Local\Temp\OnboardLogs" /stypes="*4031*201610031*" /stext=" 14:.+((SYSTEM_STATE.+slice.+state.+changed )|(ment ac)|(system.+state.+changed )|(\[timeout)|(PRM\|1\|D)|(kpr)|(kdp)|(\|lc)|(penalty))" /e /r /s</v>
      </c>
      <c r="U47" s="9" t="str">
        <f t="shared" si="2"/>
        <v>4031</v>
      </c>
      <c r="V47" s="38">
        <f t="shared" si="3"/>
        <v>42646.60796296296</v>
      </c>
      <c r="W47" s="52" t="str">
        <f t="shared" si="4"/>
        <v>NW</v>
      </c>
      <c r="X47" s="52" t="str">
        <f t="shared" si="5"/>
        <v>KEEP</v>
      </c>
      <c r="Y47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{"issue":{"subject":"","project_id":79,"tracker_id":40,"status_id":1,"priority_id":2,"assigned_to_id":23,"start_date":"2016-10-03","description":"","custom_fields":[{"id":1,"name":"Subdivision","value":"NW"},{"id":4,"name":"Milepost","value":"5.9048"},{"id":17,"name":"Train ID","value":"811-03"},{"id":16,"name":"Locomotive ID","value":"4031"},{"id":130,"name":"Impact","value":""},{"id":150,"name":"Time of Event (Mountain Time)","value":"08:35:28"},{"id":151,"name":"Denver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7"/>
        <v>grep -hSE -A100 "Enforcement Action" "%USERPROFILE%\AppData\Local\Temp\OnboardLogs"\RTDC4031\*4031*201610031* | grep -SE "((Enforcement Ac)|(PRM))" -</v>
      </c>
    </row>
    <row r="48" spans="1:29" x14ac:dyDescent="0.25">
      <c r="A48" s="38">
        <v>42646.756701388891</v>
      </c>
      <c r="B48" s="33" t="s">
        <v>273</v>
      </c>
      <c r="C48" s="33" t="s">
        <v>688</v>
      </c>
      <c r="D48" s="33" t="s">
        <v>49</v>
      </c>
      <c r="E48" s="33" t="s">
        <v>50</v>
      </c>
      <c r="F48" s="49">
        <v>0</v>
      </c>
      <c r="G48" s="49">
        <v>26</v>
      </c>
      <c r="H48" s="49">
        <v>58943</v>
      </c>
      <c r="I48" s="49">
        <v>58975</v>
      </c>
      <c r="J48" s="33" t="s">
        <v>51</v>
      </c>
      <c r="K48" s="49">
        <v>59048</v>
      </c>
      <c r="L48" s="146" t="s">
        <v>52</v>
      </c>
      <c r="M48" s="149">
        <f t="shared" si="0"/>
        <v>38.543999999999997</v>
      </c>
      <c r="N48" s="88" t="str">
        <f>VLOOKUP(C48,'Trips&amp;Operators'!$C$1:$E$99999,3,FALSE)</f>
        <v>COOLAHAN</v>
      </c>
      <c r="O48" s="170" t="s">
        <v>86</v>
      </c>
      <c r="P48" s="10"/>
      <c r="Q48" s="33"/>
      <c r="R48" s="104" t="str">
        <f>VLOOKUP(C48,'Train Runs'!$A$13:$AE$10006,31,0)</f>
        <v>aws s3 cp s3://rtdc.mdm.uploadarchive.raw/RTDC4011/ "%USERPROFILE%\AppData\Local\Temp\OnboardLogs"\RTDC4011\2016-10-03 --exclude "*" --recursive --include "*20161003*" &amp; "%USERPROFILE%\Documents\GitHub\mrs-test-scripts\Headless Mode &amp; Sideloading\WalkAndUnGZ.bat" "%USERPROFILE%\AppData\Local\Temp\OnboardLogs"\RTDC4011\2016-10-03 &amp; aws s3 cp s3://rtdc.mdm.uploadarchive.raw/RTDC4011/ "%USERPROFILE%\AppData\Local\Temp\OnboardLogs"\RTDC4011\2016-10-04 --exclude "*" --recursive --include "*20161004*" &amp; "%USERPROFILE%\Documents\GitHub\mrs-test-scripts\Headless Mode &amp; Sideloading\WalkAndUnGZ.bat" "%USERPROFILE%\AppData\Local\Temp\OnboardLogs"\RTDC4011\2016-10-04</v>
      </c>
      <c r="S48" s="107" t="str">
        <f>VLOOKUP(C48,'Train Runs'!$A$13:$AE$10006,22,0)</f>
        <v>https://search-rtdc-monitor-bjffxe2xuh6vdkpspy63sjmuny.us-east-1.es.amazonaws.com/_plugin/kibana/#/discover/Steve-Slow-Train-Analysis-(2080s-and-2083s)?_g=(refreshInterval:(display:Off,section:0,value:0),time:(from:'2016-10-03 16:50:55-0600',mode:absolute,to:'2016-10-03 19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8" s="109" t="str">
        <f t="shared" si="1"/>
        <v>"C:\Program Files (x86)\AstroGrep\AstroGrep.exe" /spath="%USERPROFILE%\AppData\Local\Temp\OnboardLogs" /stypes="*4011*201610040*" /stext=" 00:.+((SYSTEM_STATE.+slice.+state.+changed )|(ment ac)|(system.+state.+changed )|(\[timeout)|(PRM\|1\|D)|(kpr)|(kdp)|(\|lc)|(penalty))" /e /r /s</v>
      </c>
      <c r="U48" s="9" t="str">
        <f t="shared" si="2"/>
        <v>4011</v>
      </c>
      <c r="V48" s="38">
        <f t="shared" si="3"/>
        <v>42647.006701388891</v>
      </c>
      <c r="W48" s="52" t="str">
        <f t="shared" si="4"/>
        <v>NW</v>
      </c>
      <c r="X48" s="52" t="str">
        <f t="shared" si="5"/>
        <v>KEEP</v>
      </c>
      <c r="Y48" s="130" t="str">
        <f t="shared" si="6"/>
        <v>echo {"issue":{"subject":"","project_id":79,"tracker_id":40,"status_id":1,"priority_id":2,"assigned_to_id":23,"start_date":"2016-10-03","description":"","custom_fields":[{"id":1,"name":"Subdivision","value":"NW"},{"id":4,"name":"Milepost","value":"5.9048"},{"id":17,"name":"Train ID","value":"835-03"},{"id":16,"name":"Locomotive ID","value":"4011"},{"id":130,"name":"Impact","value":""},{"id":150,"name":"Time of Event (Mountain Time)","value":"18:09:39"},{"id":151,"name":"Denver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1" t="str">
        <f t="shared" si="7"/>
        <v>grep -hSE -A100 "Enforcement Action" "%USERPROFILE%\AppData\Local\Temp\OnboardLogs"\RTDC4011\*4011*201610040* | grep -SE "((Enforcement Ac)|(PRM))" -</v>
      </c>
    </row>
    <row r="49" spans="1:29" x14ac:dyDescent="0.25">
      <c r="A49" s="38">
        <v>42646.804016203707</v>
      </c>
      <c r="B49" s="33" t="s">
        <v>219</v>
      </c>
      <c r="C49" s="33" t="s">
        <v>720</v>
      </c>
      <c r="D49" s="33" t="s">
        <v>105</v>
      </c>
      <c r="E49" s="33" t="s">
        <v>56</v>
      </c>
      <c r="F49" s="49">
        <v>150</v>
      </c>
      <c r="G49" s="49">
        <v>208</v>
      </c>
      <c r="H49" s="49">
        <v>56982</v>
      </c>
      <c r="I49" s="49">
        <v>56490</v>
      </c>
      <c r="J49" s="33" t="s">
        <v>57</v>
      </c>
      <c r="K49" s="49">
        <v>59050</v>
      </c>
      <c r="L49" s="146" t="s">
        <v>53</v>
      </c>
      <c r="M49" s="149">
        <f t="shared" si="0"/>
        <v>-1351.68</v>
      </c>
      <c r="N49" s="88" t="str">
        <f>VLOOKUP(C49,'Trips&amp;Operators'!$C$1:$E$99999,3,FALSE)</f>
        <v>COOLAHAN</v>
      </c>
      <c r="O49" s="170" t="s">
        <v>86</v>
      </c>
      <c r="P49" s="10"/>
      <c r="Q49" s="33"/>
      <c r="R49" s="104" t="e">
        <f>VLOOKUP(C49,'Train Runs'!$A$13:$AE$10006,31,0)</f>
        <v>#N/A</v>
      </c>
      <c r="S49" s="107" t="e">
        <f>VLOOKUP(C49,'Train Runs'!$A$13:$AE$10006,22,0)</f>
        <v>#N/A</v>
      </c>
      <c r="T49" s="109" t="str">
        <f t="shared" si="1"/>
        <v>"C:\Program Files (x86)\AstroGrep\AstroGrep.exe" /spath="%USERPROFILE%\AppData\Local\Temp\OnboardLogs" /stypes="*4012*201610040*" /stext=" 01:.+((SYSTEM_STATE.+slice.+state.+changed )|(ment ac)|(system.+state.+changed )|(\[timeout)|(PRM\|1\|D)|(kpr)|(kdp)|(\|lc)|(penalty))" /e /r /s</v>
      </c>
      <c r="U49" s="9" t="str">
        <f t="shared" si="2"/>
        <v>4012</v>
      </c>
      <c r="V49" s="38">
        <f t="shared" si="3"/>
        <v>42647.054016203707</v>
      </c>
      <c r="W49" s="52" t="str">
        <f t="shared" si="4"/>
        <v>Other</v>
      </c>
      <c r="X49" s="52" t="str">
        <f t="shared" si="5"/>
        <v>KEEP</v>
      </c>
      <c r="Y49" s="130" t="str">
        <f t="shared" si="6"/>
        <v>echo {"issue":{"subject":"","project_id":79,"tracker_id":40,"status_id":1,"priority_id":2,"assigned_to_id":23,"start_date":"2016-10-03","description":"","custom_fields":[{"id":1,"name":"Subdivision","value":"Other"},{"id":4,"name":"Milepost","value":"5.905"},{"id":17,"name":"Train ID","value":"906-03"},{"id":16,"name":"Locomotive ID","value":"4012"},{"id":130,"name":"Impact","value":""},{"id":150,"name":"Time of Event (Mountain Time)","value":"19:17:47"},{"id":151,"name":"Denver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 t="shared" si="7"/>
        <v>grep -hSE -A100 "Enforcement Action" "%USERPROFILE%\AppData\Local\Temp\OnboardLogs"\RTDC4012\*4012*201610040* | grep -SE "((Enforcement Ac)|(PRM))" -</v>
      </c>
    </row>
    <row r="50" spans="1:29" x14ac:dyDescent="0.25">
      <c r="A50" s="38">
        <v>42646.754074074073</v>
      </c>
      <c r="B50" s="33" t="s">
        <v>161</v>
      </c>
      <c r="C50" s="33" t="s">
        <v>621</v>
      </c>
      <c r="D50" s="33" t="s">
        <v>105</v>
      </c>
      <c r="E50" s="33" t="s">
        <v>54</v>
      </c>
      <c r="F50" s="49">
        <v>200</v>
      </c>
      <c r="G50" s="49">
        <v>252</v>
      </c>
      <c r="H50" s="49">
        <v>20519</v>
      </c>
      <c r="I50" s="49">
        <v>20013</v>
      </c>
      <c r="J50" s="33" t="s">
        <v>55</v>
      </c>
      <c r="K50" s="49">
        <v>24161</v>
      </c>
      <c r="L50" s="146" t="s">
        <v>53</v>
      </c>
      <c r="M50" s="149">
        <f t="shared" si="0"/>
        <v>-2190.1439999999998</v>
      </c>
      <c r="N50" s="88" t="str">
        <f>VLOOKUP(C50,'Trips&amp;Operators'!$C$1:$E$99999,3,FALSE)</f>
        <v>PUGH</v>
      </c>
      <c r="O50" s="170" t="s">
        <v>86</v>
      </c>
      <c r="P50" s="10"/>
      <c r="Q50" s="33"/>
      <c r="R50" s="104" t="str">
        <f>VLOOKUP(C50,'Train Runs'!$A$13:$AE$10006,31,0)</f>
        <v>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 &amp; aws s3 cp s3://rtdc.mdm.uploadarchive.raw/RTDC4019/ "%USERPROFILE%\AppData\Local\Temp\OnboardLogs"\RTDC4019\2016-10-04 --exclude "*" --recursive --include "*20161004*" &amp; "%USERPROFILE%\Documents\GitHub\mrs-test-scripts\Headless Mode &amp; Sideloading\WalkAndUnGZ.bat" "%USERPROFILE%\AppData\Local\Temp\OnboardLogs"\RTDC4019\2016-10-04</v>
      </c>
      <c r="S50" s="107" t="str">
        <f>VLOOKUP(C50,'Train Runs'!$A$13:$AE$10006,22,0)</f>
        <v>https://search-rtdc-monitor-bjffxe2xuh6vdkpspy63sjmuny.us-east-1.es.amazonaws.com/_plugin/kibana/#/discover/Steve-Slow-Train-Analysis-(2080s-and-2083s)?_g=(refreshInterval:(display:Off,section:0,value:0),time:(from:'2016-10-03 17:02:39-0600',mode:absolute,to:'2016-10-03 19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0" s="109" t="str">
        <f t="shared" si="1"/>
        <v>"C:\Program Files (x86)\AstroGrep\AstroGrep.exe" /spath="%USERPROFILE%\AppData\Local\Temp\OnboardLogs" /stypes="*4019*201610040*" /stext=" 00:.+((SYSTEM_STATE.+slice.+state.+changed )|(ment ac)|(system.+state.+changed )|(\[timeout)|(PRM\|1\|D)|(kpr)|(kdp)|(\|lc)|(penalty))" /e /r /s</v>
      </c>
      <c r="U50" s="9" t="str">
        <f t="shared" si="2"/>
        <v>4019</v>
      </c>
      <c r="V50" s="38">
        <f t="shared" si="3"/>
        <v>42647.004074074073</v>
      </c>
      <c r="W50" s="52" t="str">
        <f t="shared" si="4"/>
        <v>Other</v>
      </c>
      <c r="X50" s="52" t="str">
        <f t="shared" si="5"/>
        <v>KEEP</v>
      </c>
      <c r="Y50" s="130" t="str">
        <f t="shared" si="6"/>
        <v>echo {"issue":{"subject":"","project_id":79,"tracker_id":40,"status_id":1,"priority_id":2,"assigned_to_id":23,"start_date":"2016-10-03","description":"","custom_fields":[{"id":1,"name":"Subdivision","value":"Other"},{"id":4,"name":"Milepost","value":"2.4161"},{"id":17,"name":"Train ID","value":"56-03"},{"id":16,"name":"Locomotive ID","value":"4019"},{"id":130,"name":"Impact","value":""},{"id":150,"name":"Time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 t="shared" si="7"/>
        <v>grep -hSE -A100 "Enforcement Action" "%USERPROFILE%\AppData\Local\Temp\OnboardLogs"\RTDC4019\*4019*201610040* | grep -SE "((Enforcement Ac)|(PRM))" -</v>
      </c>
    </row>
    <row r="51" spans="1:29" x14ac:dyDescent="0.25">
      <c r="A51" s="38">
        <v>42646.754861111112</v>
      </c>
      <c r="B51" s="33" t="s">
        <v>161</v>
      </c>
      <c r="C51" s="33" t="s">
        <v>621</v>
      </c>
      <c r="D51" s="33" t="s">
        <v>105</v>
      </c>
      <c r="E51" s="33" t="s">
        <v>54</v>
      </c>
      <c r="F51" s="49">
        <v>200</v>
      </c>
      <c r="G51" s="49">
        <v>255</v>
      </c>
      <c r="H51" s="49">
        <v>19081</v>
      </c>
      <c r="I51" s="49">
        <v>18386</v>
      </c>
      <c r="J51" s="33" t="s">
        <v>55</v>
      </c>
      <c r="K51" s="49">
        <v>24161</v>
      </c>
      <c r="L51" s="146" t="s">
        <v>53</v>
      </c>
      <c r="M51" s="149">
        <f t="shared" si="0"/>
        <v>-3049.2</v>
      </c>
      <c r="N51" s="88" t="str">
        <f>VLOOKUP(C51,'Trips&amp;Operators'!$C$1:$E$99999,3,FALSE)</f>
        <v>PUGH</v>
      </c>
      <c r="O51" s="170" t="s">
        <v>86</v>
      </c>
      <c r="P51" s="10"/>
      <c r="Q51" s="33"/>
      <c r="R51" s="104" t="str">
        <f>VLOOKUP(C51,'Train Runs'!$A$13:$AE$10006,31,0)</f>
        <v>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 &amp; aws s3 cp s3://rtdc.mdm.uploadarchive.raw/RTDC4019/ "%USERPROFILE%\AppData\Local\Temp\OnboardLogs"\RTDC4019\2016-10-04 --exclude "*" --recursive --include "*20161004*" &amp; "%USERPROFILE%\Documents\GitHub\mrs-test-scripts\Headless Mode &amp; Sideloading\WalkAndUnGZ.bat" "%USERPROFILE%\AppData\Local\Temp\OnboardLogs"\RTDC4019\2016-10-04</v>
      </c>
      <c r="S51" s="107" t="str">
        <f>VLOOKUP(C51,'Train Runs'!$A$13:$AE$10006,22,0)</f>
        <v>https://search-rtdc-monitor-bjffxe2xuh6vdkpspy63sjmuny.us-east-1.es.amazonaws.com/_plugin/kibana/#/discover/Steve-Slow-Train-Analysis-(2080s-and-2083s)?_g=(refreshInterval:(display:Off,section:0,value:0),time:(from:'2016-10-03 17:02:39-0600',mode:absolute,to:'2016-10-03 19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1" s="109" t="str">
        <f t="shared" si="1"/>
        <v>"C:\Program Files (x86)\AstroGrep\AstroGrep.exe" /spath="%USERPROFILE%\AppData\Local\Temp\OnboardLogs" /stypes="*4019*201610040*" /stext=" 00:.+((SYSTEM_STATE.+slice.+state.+changed )|(ment ac)|(system.+state.+changed )|(\[timeout)|(PRM\|1\|D)|(kpr)|(kdp)|(\|lc)|(penalty))" /e /r /s</v>
      </c>
      <c r="U51" s="9" t="str">
        <f t="shared" si="2"/>
        <v>4019</v>
      </c>
      <c r="V51" s="38">
        <f t="shared" si="3"/>
        <v>42647.004861111112</v>
      </c>
      <c r="W51" s="52" t="str">
        <f t="shared" si="4"/>
        <v>Other</v>
      </c>
      <c r="X51" s="52" t="str">
        <f t="shared" si="5"/>
        <v>KEEP</v>
      </c>
      <c r="Y51" s="130" t="str">
        <f t="shared" si="6"/>
        <v>echo {"issue":{"subject":"","project_id":79,"tracker_id":40,"status_id":1,"priority_id":2,"assigned_to_id":23,"start_date":"2016-10-03","description":"","custom_fields":[{"id":1,"name":"Subdivision","value":"Other"},{"id":4,"name":"Milepost","value":"2.4161"},{"id":17,"name":"Train ID","value":"56-03"},{"id":16,"name":"Locomotive ID","value":"4019"},{"id":130,"name":"Impact","value":""},{"id":150,"name":"Time of Event (Mountain Time)","value":"18:07:00"},{"id":151,"name":"Denver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1" t="str">
        <f t="shared" si="7"/>
        <v>grep -hSE -A100 "Enforcement Action" "%USERPROFILE%\AppData\Local\Temp\OnboardLogs"\RTDC4019\*4019*201610040* | grep -SE "((Enforcement Ac)|(PRM))" -</v>
      </c>
    </row>
    <row r="52" spans="1:29" x14ac:dyDescent="0.25">
      <c r="A52" s="38">
        <v>42646.430462962962</v>
      </c>
      <c r="B52" s="33" t="s">
        <v>250</v>
      </c>
      <c r="C52" s="33" t="s">
        <v>612</v>
      </c>
      <c r="D52" s="33" t="s">
        <v>105</v>
      </c>
      <c r="E52" s="33" t="s">
        <v>54</v>
      </c>
      <c r="F52" s="49">
        <v>0</v>
      </c>
      <c r="G52" s="49">
        <v>71</v>
      </c>
      <c r="H52" s="49">
        <v>24102</v>
      </c>
      <c r="I52" s="49">
        <v>23993</v>
      </c>
      <c r="J52" s="33" t="s">
        <v>55</v>
      </c>
      <c r="K52" s="49">
        <v>24235</v>
      </c>
      <c r="L52" s="146" t="s">
        <v>53</v>
      </c>
      <c r="M52" s="149">
        <f t="shared" si="0"/>
        <v>-127.776</v>
      </c>
      <c r="N52" s="88" t="str">
        <f>VLOOKUP(C52,'Trips&amp;Operators'!$C$1:$E$99999,3,FALSE)</f>
        <v>BARTLETT</v>
      </c>
      <c r="O52" s="170" t="s">
        <v>86</v>
      </c>
      <c r="P52" s="10"/>
      <c r="Q52" s="33"/>
      <c r="R52" s="104" t="str">
        <f>VLOOKUP(C52,'Train Runs'!$A$13:$AE$10006,31,0)</f>
        <v>aws s3 cp s3://rtdc.mdm.uploadarchive.raw/RTDC4005/ "%USERPROFILE%\AppData\Local\Temp\OnboardLogs"\RTDC4005\2016-10-03 --exclude "*" --recursive --include "*20161003*" &amp; "%USERPROFILE%\Documents\GitHub\mrs-test-scripts\Headless Mode &amp; Sideloading\WalkAndUnGZ.bat" "%USERPROFILE%\AppData\Local\Temp\OnboardLogs"\RTDC4005\2016-10-03 &amp; aws s3 cp s3://rtdc.mdm.uploadarchive.raw/RTDC4005/ "%USERPROFILE%\AppData\Local\Temp\OnboardLogs"\RTDC4005\2016-10-04 --exclude "*" --recursive --include "*20161004*" &amp; "%USERPROFILE%\Documents\GitHub\mrs-test-scripts\Headless Mode &amp; Sideloading\WalkAndUnGZ.bat" "%USERPROFILE%\AppData\Local\Temp\OnboardLogs"\RTDC4005\2016-10-04</v>
      </c>
      <c r="S52" s="107" t="str">
        <f>VLOOKUP(C52,'Train Runs'!$A$13:$AE$10006,22,0)</f>
        <v>https://search-rtdc-monitor-bjffxe2xuh6vdkpspy63sjmuny.us-east-1.es.amazonaws.com/_plugin/kibana/#/discover/Steve-Slow-Train-Analysis-(2080s-and-2083s)?_g=(refreshInterval:(display:Off,section:0,value:0),time:(from:'2016-10-03 09:17:24-0600',mode:absolute,to:'2016-10-03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52" s="109" t="str">
        <f t="shared" si="1"/>
        <v>"C:\Program Files (x86)\AstroGrep\AstroGrep.exe" /spath="%USERPROFILE%\AppData\Local\Temp\OnboardLogs" /stypes="*4005*201610031*" /stext=" 16:.+((SYSTEM_STATE.+slice.+state.+changed )|(ment ac)|(system.+state.+changed )|(\[timeout)|(PRM\|1\|D)|(kpr)|(kdp)|(\|lc)|(penalty))" /e /r /s</v>
      </c>
      <c r="U52" s="9" t="str">
        <f t="shared" si="2"/>
        <v>4005</v>
      </c>
      <c r="V52" s="38">
        <f t="shared" si="3"/>
        <v>42646.680462962962</v>
      </c>
      <c r="W52" s="52" t="str">
        <f t="shared" si="4"/>
        <v>Other</v>
      </c>
      <c r="X52" s="52" t="str">
        <f t="shared" si="5"/>
        <v>KEEP</v>
      </c>
      <c r="Y52" s="130" t="str">
        <f t="shared" si="6"/>
        <v>echo {"issue":{"subject":"","project_id":79,"tracker_id":40,"status_id":1,"priority_id":2,"assigned_to_id":23,"start_date":"2016-10-03","description":"","custom_fields":[{"id":1,"name":"Subdivision","value":"Other"},{"id":4,"name":"Milepost","value":"2.4235"},{"id":17,"name":"Train ID","value":"50-03"},{"id":16,"name":"Locomotive ID","value":"4005"},{"id":130,"name":"Impact","value":""},{"id":150,"name":"Time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1" t="str">
        <f t="shared" si="7"/>
        <v>grep -hSE -A100 "Enforcement Action" "%USERPROFILE%\AppData\Local\Temp\OnboardLogs"\RTDC4005\*4005*201610031* | grep -SE "((Enforcement Ac)|(PRM))" -</v>
      </c>
    </row>
    <row r="53" spans="1:29" x14ac:dyDescent="0.25">
      <c r="A53" s="38">
        <v>42646.937314814815</v>
      </c>
      <c r="B53" s="33" t="s">
        <v>251</v>
      </c>
      <c r="C53" s="33" t="s">
        <v>627</v>
      </c>
      <c r="D53" s="33" t="s">
        <v>105</v>
      </c>
      <c r="E53" s="33" t="s">
        <v>397</v>
      </c>
      <c r="F53" s="49">
        <v>100</v>
      </c>
      <c r="G53" s="49">
        <v>156</v>
      </c>
      <c r="H53" s="49">
        <v>11283</v>
      </c>
      <c r="I53" s="49">
        <v>11500</v>
      </c>
      <c r="J53" s="33" t="s">
        <v>165</v>
      </c>
      <c r="K53" s="49">
        <v>10701</v>
      </c>
      <c r="L53" s="146" t="s">
        <v>52</v>
      </c>
      <c r="M53" s="149">
        <f t="shared" si="0"/>
        <v>-421.87200000000001</v>
      </c>
      <c r="N53" s="88" t="str">
        <f>VLOOKUP(C53,'Trips&amp;Operators'!$C$1:$E$99999,3,FALSE)</f>
        <v>PUGH</v>
      </c>
      <c r="O53" s="170" t="s">
        <v>86</v>
      </c>
      <c r="P53" s="10"/>
      <c r="Q53" s="33"/>
      <c r="R53" s="104" t="str">
        <f>VLOOKUP(C53,'Train Runs'!$A$13:$AE$10006,31,0)</f>
        <v>aws s3 cp s3://rtdc.mdm.uploadarchive.raw/RTDC4006/ "%USERPROFILE%\AppData\Local\Temp\OnboardLogs"\RTDC4006\2016-10-03 --exclude "*" --recursive --include "*20161003*" &amp; "%USERPROFILE%\Documents\GitHub\mrs-test-scripts\Headless Mode &amp; Sideloading\WalkAndUnGZ.bat" "%USERPROFILE%\AppData\Local\Temp\OnboardLogs"\RTDC4006\2016-10-03 &amp; aws s3 cp s3://rtdc.mdm.uploadarchive.raw/RTDC4006/ "%USERPROFILE%\AppData\Local\Temp\OnboardLogs"\RTDC4006\2016-10-04 --exclude "*" --recursive --include "*20161004*" &amp; "%USERPROFILE%\Documents\GitHub\mrs-test-scripts\Headless Mode &amp; Sideloading\WalkAndUnGZ.bat" "%USERPROFILE%\AppData\Local\Temp\OnboardLogs"\RTDC4006\2016-10-04</v>
      </c>
      <c r="S53" s="107" t="str">
        <f>VLOOKUP(C53,'Train Runs'!$A$13:$AE$10006,22,0)</f>
        <v>https://search-rtdc-monitor-bjffxe2xuh6vdkpspy63sjmuny.us-east-1.es.amazonaws.com/_plugin/kibana/#/discover/Steve-Slow-Train-Analysis-(2080s-and-2083s)?_g=(refreshInterval:(display:Off,section:0,value:0),time:(from:'2016-10-03 21:12:53-0600',mode:absolute,to:'2016-10-03 23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53" s="109" t="str">
        <f t="shared" si="1"/>
        <v>"C:\Program Files (x86)\AstroGrep\AstroGrep.exe" /spath="%USERPROFILE%\AppData\Local\Temp\OnboardLogs" /stypes="*4006*201610040*" /stext=" 04:.+((SYSTEM_STATE.+slice.+state.+changed )|(ment ac)|(system.+state.+changed )|(\[timeout)|(PRM\|1\|D)|(kpr)|(kdp)|(\|lc)|(penalty))" /e /r /s</v>
      </c>
      <c r="U53" s="9" t="str">
        <f t="shared" si="2"/>
        <v>4006</v>
      </c>
      <c r="V53" s="38">
        <f t="shared" si="3"/>
        <v>42647.187314814815</v>
      </c>
      <c r="W53" s="52" t="str">
        <f t="shared" si="4"/>
        <v>Other</v>
      </c>
      <c r="X53" s="52" t="str">
        <f t="shared" si="5"/>
        <v>KEEP</v>
      </c>
      <c r="Y53" s="130" t="str">
        <f t="shared" si="6"/>
        <v>echo {"issue":{"subject":"","project_id":79,"tracker_id":40,"status_id":1,"priority_id":2,"assigned_to_id":23,"start_date":"2016-10-03","description":"","custom_fields":[{"id":1,"name":"Subdivision","value":"Other"},{"id":4,"name":"Milepost","value":"1.0701"},{"id":17,"name":"Train ID","value":"71-03"},{"id":16,"name":"Locomotive ID","value":"4006"},{"id":130,"name":"Impact","value":""},{"id":150,"name":"Time of Event (Mountain Time)","value":"22:29:44"},{"id":151,"name":"Denver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1" t="str">
        <f t="shared" si="7"/>
        <v>grep -hSE -A100 "Enforcement Action" "%USERPROFILE%\AppData\Local\Temp\OnboardLogs"\RTDC4006\*4006*201610040* | grep -SE "((Enforcement Ac)|(PRM))" -</v>
      </c>
    </row>
  </sheetData>
  <autoFilter ref="A6:AC53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53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AB7:AB53</xm:sqref>
        </x14:dataValidation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I16" sqref="I16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6" t="str">
        <f>"Trips that did not appear in PTC Data "&amp;TEXT(Variables!$A$2,"YYYY-mm-dd")</f>
        <v>Trips that did not appear in PTC Data 2016-10-03</v>
      </c>
      <c r="C1" s="186"/>
      <c r="D1" s="186"/>
      <c r="E1" s="186"/>
      <c r="F1" s="186"/>
    </row>
    <row r="2" spans="1:11" s="26" customFormat="1" ht="45" x14ac:dyDescent="0.25">
      <c r="A2" s="166" t="s">
        <v>167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7">
        <v>819</v>
      </c>
      <c r="B3" s="2" t="str">
        <f>A3&amp;"-"&amp;IF(DAY(Variables!$A$2)&lt;10,0,"")&amp;DAY(Variables!$A$2)</f>
        <v>819-03</v>
      </c>
      <c r="C3" s="115"/>
      <c r="D3" s="115"/>
      <c r="E3" s="33" t="s">
        <v>745</v>
      </c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22819-03%22)),sort:!(Time,asc))</v>
      </c>
      <c r="J3" s="23"/>
      <c r="K3" s="23"/>
    </row>
    <row r="4" spans="1:11" x14ac:dyDescent="0.25">
      <c r="A4" s="157">
        <f>A3+1</f>
        <v>820</v>
      </c>
      <c r="B4" s="2" t="str">
        <f>A4&amp;"-"&amp;IF(DAY(Variables!$A$2)&lt;10,0,"")&amp;DAY(Variables!$A$2)</f>
        <v>820-03</v>
      </c>
      <c r="C4" s="115"/>
      <c r="D4" s="115"/>
      <c r="E4" s="33" t="s">
        <v>745</v>
      </c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22820-03%22)),sort:!(Time,asc))</v>
      </c>
      <c r="J4" s="23"/>
      <c r="K4" s="23"/>
    </row>
    <row r="5" spans="1:11" x14ac:dyDescent="0.25">
      <c r="A5" s="157">
        <f t="shared" ref="A5:A13" si="1">A4+1</f>
        <v>821</v>
      </c>
      <c r="B5" s="2" t="str">
        <f>A5&amp;"-"&amp;IF(DAY(Variables!$A$2)&lt;10,0,"")&amp;DAY(Variables!$A$2)</f>
        <v>821-03</v>
      </c>
      <c r="C5" s="115"/>
      <c r="D5" s="115"/>
      <c r="E5" s="33" t="s">
        <v>745</v>
      </c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22821-03%22)),sort:!(Time,asc))</v>
      </c>
      <c r="J5" s="23"/>
      <c r="K5" s="23"/>
    </row>
    <row r="6" spans="1:11" x14ac:dyDescent="0.25">
      <c r="A6" s="157">
        <f t="shared" si="1"/>
        <v>822</v>
      </c>
      <c r="B6" s="2" t="str">
        <f>A6&amp;"-"&amp;IF(DAY(Variables!$A$2)&lt;10,0,"")&amp;DAY(Variables!$A$2)</f>
        <v>822-03</v>
      </c>
      <c r="C6" s="115"/>
      <c r="D6" s="115"/>
      <c r="E6" s="33" t="s">
        <v>745</v>
      </c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22822-03%22)),sort:!(Time,asc))</v>
      </c>
      <c r="J6" s="23"/>
      <c r="K6" s="23"/>
    </row>
    <row r="7" spans="1:11" x14ac:dyDescent="0.25">
      <c r="A7" s="157">
        <f t="shared" si="1"/>
        <v>823</v>
      </c>
      <c r="B7" s="2" t="str">
        <f>A7&amp;"-"&amp;IF(DAY(Variables!$A$2)&lt;10,0,"")&amp;DAY(Variables!$A$2)</f>
        <v>823-03</v>
      </c>
      <c r="C7" s="115"/>
      <c r="D7" s="115"/>
      <c r="E7" s="33" t="s">
        <v>745</v>
      </c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22823-03%22)),sort:!(Time,asc))</v>
      </c>
      <c r="J7" s="23"/>
      <c r="K7" s="23"/>
    </row>
    <row r="8" spans="1:11" x14ac:dyDescent="0.25">
      <c r="A8" s="157">
        <f t="shared" si="1"/>
        <v>824</v>
      </c>
      <c r="B8" s="2" t="str">
        <f>A8&amp;"-"&amp;IF(DAY(Variables!$A$2)&lt;10,0,"")&amp;DAY(Variables!$A$2)</f>
        <v>824-03</v>
      </c>
      <c r="C8" s="115"/>
      <c r="D8" s="115"/>
      <c r="E8" s="33" t="s">
        <v>745</v>
      </c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22824-03%22)),sort:!(Time,asc))</v>
      </c>
      <c r="J8" s="23"/>
      <c r="K8" s="23"/>
    </row>
    <row r="9" spans="1:11" x14ac:dyDescent="0.25">
      <c r="A9" s="157">
        <f t="shared" si="1"/>
        <v>825</v>
      </c>
      <c r="B9" s="2" t="str">
        <f>A9&amp;"-"&amp;IF(DAY(Variables!$A$2)&lt;10,0,"")&amp;DAY(Variables!$A$2)</f>
        <v>825-03</v>
      </c>
      <c r="C9" s="115"/>
      <c r="D9" s="115"/>
      <c r="E9" s="33" t="s">
        <v>745</v>
      </c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22825-03%22)),sort:!(Time,asc))</v>
      </c>
      <c r="J9" s="23"/>
      <c r="K9" s="23"/>
    </row>
    <row r="10" spans="1:11" x14ac:dyDescent="0.25">
      <c r="A10" s="157">
        <f t="shared" si="1"/>
        <v>826</v>
      </c>
      <c r="B10" s="2" t="str">
        <f>A10&amp;"-"&amp;IF(DAY(Variables!$A$2)&lt;10,0,"")&amp;DAY(Variables!$A$2)</f>
        <v>826-03</v>
      </c>
      <c r="C10" s="115"/>
      <c r="D10" s="115"/>
      <c r="E10" s="33" t="s">
        <v>745</v>
      </c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22826-03%22)),sort:!(Time,asc))</v>
      </c>
      <c r="J10" s="23"/>
      <c r="K10" s="23"/>
    </row>
    <row r="11" spans="1:11" x14ac:dyDescent="0.25">
      <c r="A11" s="157">
        <f t="shared" si="1"/>
        <v>827</v>
      </c>
      <c r="B11" s="2" t="str">
        <f>A11&amp;"-"&amp;IF(DAY(Variables!$A$2)&lt;10,0,"")&amp;DAY(Variables!$A$2)</f>
        <v>827-03</v>
      </c>
      <c r="C11" s="115"/>
      <c r="D11" s="115"/>
      <c r="E11" s="33" t="s">
        <v>745</v>
      </c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22827-03%22)),sort:!(Time,asc))</v>
      </c>
      <c r="J11" s="23"/>
      <c r="K11" s="23"/>
    </row>
    <row r="12" spans="1:11" x14ac:dyDescent="0.25">
      <c r="A12" s="157">
        <f t="shared" si="1"/>
        <v>828</v>
      </c>
      <c r="B12" s="2" t="str">
        <f>A12&amp;"-"&amp;IF(DAY(Variables!$A$2)&lt;10,0,"")&amp;DAY(Variables!$A$2)</f>
        <v>828-03</v>
      </c>
      <c r="C12" s="115"/>
      <c r="D12" s="115"/>
      <c r="E12" s="33" t="s">
        <v>745</v>
      </c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22828-03%22)),sort:!(Time,asc))</v>
      </c>
      <c r="J12" s="23"/>
      <c r="K12" s="23"/>
    </row>
    <row r="13" spans="1:11" x14ac:dyDescent="0.25">
      <c r="A13" s="157">
        <f t="shared" si="1"/>
        <v>829</v>
      </c>
      <c r="B13" s="2" t="str">
        <f>A13&amp;"-"&amp;IF(DAY(Variables!$A$2)&lt;10,0,"")&amp;DAY(Variables!$A$2)</f>
        <v>829-03</v>
      </c>
      <c r="C13" s="179"/>
      <c r="D13" s="179"/>
      <c r="E13" s="180" t="s">
        <v>745</v>
      </c>
      <c r="F13" s="181" t="e">
        <f>VLOOKUP(B13,'Trips&amp;Operators'!$C$2:$E$10000,3,FALSE)</f>
        <v>#N/A</v>
      </c>
      <c r="G13" s="181" t="e">
        <f>VLOOKUP(B13,'Trips&amp;Operators'!$C$1:$F$10000,4,FALSE)</f>
        <v>#N/A</v>
      </c>
      <c r="H13" s="182" t="e">
        <f>VLOOKUP(B13,'Trips&amp;Operators'!$C$1:$H$10000,5,FALSE)</f>
        <v>#N/A</v>
      </c>
      <c r="I13" s="183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22829-03%22)),sort:!(Time,asc))</v>
      </c>
      <c r="J13" s="23"/>
      <c r="K13" s="23"/>
    </row>
    <row r="14" spans="1:11" s="23" customFormat="1" x14ac:dyDescent="0.25">
      <c r="A14" s="184">
        <v>831</v>
      </c>
      <c r="B14" s="2" t="str">
        <f>A14&amp;"-"&amp;IF(DAY(Variables!$A$2)&lt;10,0,"")&amp;DAY(Variables!$A$2)</f>
        <v>831-03</v>
      </c>
      <c r="C14" s="179"/>
      <c r="D14" s="179"/>
      <c r="E14" s="180" t="s">
        <v>745</v>
      </c>
      <c r="F14" s="181" t="e">
        <f>VLOOKUP(B14,'Trips&amp;Operators'!$C$2:$E$10000,3,FALSE)</f>
        <v>#N/A</v>
      </c>
      <c r="G14" s="181" t="e">
        <f>VLOOKUP(B14,'Trips&amp;Operators'!$C$1:$F$10000,4,FALSE)</f>
        <v>#N/A</v>
      </c>
      <c r="H14" s="182" t="e">
        <f>VLOOKUP(B14,'Trips&amp;Operators'!$C$1:$H$10000,5,FALSE)</f>
        <v>#N/A</v>
      </c>
      <c r="I14" s="183" t="str">
        <f t="shared" ref="I14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22831-03%22)),sort:!(Time,asc))</v>
      </c>
    </row>
    <row r="15" spans="1:11" x14ac:dyDescent="0.25">
      <c r="A15" s="184">
        <v>223</v>
      </c>
      <c r="B15" s="2" t="str">
        <f>A15&amp;"-"&amp;IF(DAY(Variables!$A$2)&lt;10,0,"")&amp;DAY(Variables!$A$2)</f>
        <v>223-03</v>
      </c>
      <c r="C15" s="115"/>
      <c r="D15" s="115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4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22223-03%22)),sort:!(Time,asc))</v>
      </c>
      <c r="J15" s="23"/>
      <c r="K15" s="23"/>
    </row>
    <row r="16" spans="1:11" x14ac:dyDescent="0.25">
      <c r="A16" s="184">
        <v>842</v>
      </c>
      <c r="B16" s="2" t="str">
        <f>A16&amp;"-"&amp;IF(DAY(Variables!$A$2)&lt;10,0,"")&amp;DAY(Variables!$A$2)</f>
        <v>842-03</v>
      </c>
      <c r="C16" s="115"/>
      <c r="D16" s="115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22842-03%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-03</v>
      </c>
      <c r="C17" s="115"/>
      <c r="D17" s="115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-03</v>
      </c>
      <c r="C18" s="115"/>
      <c r="D18" s="115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-03</v>
      </c>
      <c r="C19" s="115"/>
      <c r="D19" s="115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-03</v>
      </c>
      <c r="C20" s="115"/>
      <c r="D20" s="115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-03</v>
      </c>
      <c r="C21" s="115"/>
      <c r="D21" s="115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-03</v>
      </c>
      <c r="C22" s="115"/>
      <c r="D22" s="115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</row>
    <row r="23" spans="2:11" x14ac:dyDescent="0.25">
      <c r="B23" s="2" t="str">
        <f>A23&amp;"-"&amp;IF(DAY(Variables!$A$2)&lt;10,0,"")&amp;DAY(Variables!$A$2)</f>
        <v>-03</v>
      </c>
      <c r="C23" s="115"/>
      <c r="D23" s="115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</row>
    <row r="24" spans="2:11" x14ac:dyDescent="0.25">
      <c r="B24" s="2" t="str">
        <f>A24&amp;"-"&amp;IF(DAY(Variables!$A$2)&lt;10,0,"")&amp;DAY(Variables!$A$2)</f>
        <v>-03</v>
      </c>
      <c r="C24" s="115"/>
      <c r="D24" s="115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</row>
    <row r="25" spans="2:11" x14ac:dyDescent="0.25">
      <c r="B25" s="2" t="str">
        <f>A25&amp;"-"&amp;IF(DAY(Variables!$A$2)&lt;10,0,"")&amp;DAY(Variables!$A$2)</f>
        <v>-03</v>
      </c>
      <c r="C25" s="115"/>
      <c r="D25" s="115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</row>
    <row r="26" spans="2:11" x14ac:dyDescent="0.25">
      <c r="B26" s="2" t="str">
        <f>A26&amp;"-"&amp;IF(DAY(Variables!$A$2)&lt;10,0,"")&amp;DAY(Variables!$A$2)</f>
        <v>-03</v>
      </c>
      <c r="C26" s="115"/>
      <c r="D26" s="115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</row>
    <row r="27" spans="2:11" x14ac:dyDescent="0.25">
      <c r="B27" s="2" t="str">
        <f>A27&amp;"-"&amp;IF(DAY(Variables!$A$2)&lt;10,0,"")&amp;DAY(Variables!$A$2)</f>
        <v>-03</v>
      </c>
      <c r="C27" s="115"/>
      <c r="D27" s="115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</row>
    <row r="28" spans="2:11" x14ac:dyDescent="0.25">
      <c r="B28" s="2" t="str">
        <f>A28&amp;"-"&amp;IF(DAY(Variables!$A$2)&lt;10,0,"")&amp;DAY(Variables!$A$2)</f>
        <v>-03</v>
      </c>
      <c r="C28" s="115"/>
      <c r="D28" s="115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228</v>
      </c>
      <c r="B1" s="23" t="s">
        <v>229</v>
      </c>
      <c r="C1" s="23" t="s">
        <v>0</v>
      </c>
      <c r="D1" s="23" t="s">
        <v>230</v>
      </c>
      <c r="E1" s="23" t="s">
        <v>231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42646.036666666667</v>
      </c>
      <c r="B2" s="23" t="s">
        <v>327</v>
      </c>
      <c r="C2" s="23" t="s">
        <v>388</v>
      </c>
      <c r="D2" s="23">
        <v>1810000</v>
      </c>
      <c r="E2" s="23" t="s">
        <v>274</v>
      </c>
      <c r="F2" s="23" t="str">
        <f t="shared" ref="F2:F65" si="0">B2</f>
        <v>rtdc.l.rtdc.4054:itc</v>
      </c>
      <c r="G2" s="8">
        <f t="shared" ref="G2:G65" si="1">A2</f>
        <v>42646.036666666667</v>
      </c>
    </row>
    <row r="3" spans="1:7" x14ac:dyDescent="0.25">
      <c r="A3" s="8">
        <v>42646.046319444446</v>
      </c>
      <c r="B3" s="23" t="s">
        <v>174</v>
      </c>
      <c r="C3" s="23" t="s">
        <v>392</v>
      </c>
      <c r="D3" s="23">
        <v>1290000</v>
      </c>
      <c r="E3" s="23" t="s">
        <v>170</v>
      </c>
      <c r="F3" s="23" t="str">
        <f t="shared" si="0"/>
        <v>rtdc.l.rtdc.4042:itc</v>
      </c>
      <c r="G3" s="8">
        <f t="shared" si="1"/>
        <v>42646.046319444446</v>
      </c>
    </row>
    <row r="4" spans="1:7" x14ac:dyDescent="0.25">
      <c r="A4" s="8">
        <v>42646.057488425926</v>
      </c>
      <c r="B4" s="23" t="s">
        <v>249</v>
      </c>
      <c r="C4" s="23" t="s">
        <v>390</v>
      </c>
      <c r="D4" s="23">
        <v>1800000</v>
      </c>
      <c r="E4" s="23" t="s">
        <v>334</v>
      </c>
      <c r="F4" s="23" t="str">
        <f t="shared" si="0"/>
        <v>rtdc.l.rtdc.4013:itc</v>
      </c>
      <c r="G4" s="8">
        <f t="shared" si="1"/>
        <v>42646.057488425926</v>
      </c>
    </row>
    <row r="5" spans="1:7" x14ac:dyDescent="0.25">
      <c r="A5" s="8">
        <v>42646.068206018521</v>
      </c>
      <c r="B5" s="23" t="s">
        <v>330</v>
      </c>
      <c r="C5" s="23" t="s">
        <v>393</v>
      </c>
      <c r="D5" s="23">
        <v>1810000</v>
      </c>
      <c r="E5" s="23" t="s">
        <v>274</v>
      </c>
      <c r="F5" s="23" t="str">
        <f t="shared" si="0"/>
        <v>rtdc.l.rtdc.4053:itc</v>
      </c>
      <c r="G5" s="8">
        <f t="shared" si="1"/>
        <v>42646.068206018521</v>
      </c>
    </row>
    <row r="6" spans="1:7" x14ac:dyDescent="0.25">
      <c r="A6" s="8">
        <v>42646.089363425926</v>
      </c>
      <c r="B6" s="23" t="s">
        <v>226</v>
      </c>
      <c r="C6" s="23" t="s">
        <v>394</v>
      </c>
      <c r="D6" s="23">
        <v>1800000</v>
      </c>
      <c r="E6" s="23" t="s">
        <v>334</v>
      </c>
      <c r="F6" s="23" t="str">
        <f t="shared" si="0"/>
        <v>rtdc.l.rtdc.4014:itc</v>
      </c>
      <c r="G6" s="8">
        <f t="shared" si="1"/>
        <v>42646.089363425926</v>
      </c>
    </row>
    <row r="7" spans="1:7" x14ac:dyDescent="0.25">
      <c r="A7" s="8">
        <v>42646.131898148145</v>
      </c>
      <c r="B7" s="23" t="s">
        <v>717</v>
      </c>
      <c r="C7" s="23" t="s">
        <v>402</v>
      </c>
      <c r="D7" s="23">
        <v>2030000</v>
      </c>
      <c r="E7" s="23" t="s">
        <v>358</v>
      </c>
      <c r="F7" s="23" t="str">
        <f t="shared" si="0"/>
        <v>rtdc.l.rtdc.4040:itc</v>
      </c>
      <c r="G7" s="8">
        <f t="shared" si="1"/>
        <v>42646.131898148145</v>
      </c>
    </row>
    <row r="8" spans="1:7" x14ac:dyDescent="0.25">
      <c r="A8" s="8">
        <v>42646.152384259258</v>
      </c>
      <c r="B8" s="23" t="s">
        <v>233</v>
      </c>
      <c r="C8" s="23" t="s">
        <v>407</v>
      </c>
      <c r="D8" s="23">
        <v>1260000</v>
      </c>
      <c r="E8" s="23" t="s">
        <v>357</v>
      </c>
      <c r="F8" s="23" t="str">
        <f t="shared" si="0"/>
        <v>rtdc.l.rtdc.4029:itc</v>
      </c>
      <c r="G8" s="8">
        <f t="shared" si="1"/>
        <v>42646.152384259258</v>
      </c>
    </row>
    <row r="9" spans="1:7" ht="15.75" thickBot="1" x14ac:dyDescent="0.3">
      <c r="A9" s="27">
        <v>42646.170648148145</v>
      </c>
      <c r="B9" s="23" t="s">
        <v>238</v>
      </c>
      <c r="C9" s="23" t="s">
        <v>405</v>
      </c>
      <c r="D9" s="23">
        <v>2030000</v>
      </c>
      <c r="E9" s="23" t="s">
        <v>358</v>
      </c>
      <c r="F9" s="23" t="str">
        <f t="shared" si="0"/>
        <v>rtdc.l.rtdc.4017:itc</v>
      </c>
      <c r="G9" s="8">
        <f t="shared" si="1"/>
        <v>42646.170648148145</v>
      </c>
    </row>
    <row r="10" spans="1:7" x14ac:dyDescent="0.25">
      <c r="A10" s="8">
        <v>42646.171770833331</v>
      </c>
      <c r="B10" s="23" t="s">
        <v>333</v>
      </c>
      <c r="C10" s="23" t="s">
        <v>412</v>
      </c>
      <c r="D10" s="23">
        <v>1190000</v>
      </c>
      <c r="E10" s="23" t="s">
        <v>721</v>
      </c>
      <c r="F10" s="23" t="str">
        <f t="shared" si="0"/>
        <v>rtdc.l.rtdc.4009:itc</v>
      </c>
      <c r="G10" s="8">
        <f t="shared" si="1"/>
        <v>42646.171770833331</v>
      </c>
    </row>
    <row r="11" spans="1:7" x14ac:dyDescent="0.25">
      <c r="A11" s="8">
        <v>42646.182974537034</v>
      </c>
      <c r="B11" s="23" t="s">
        <v>719</v>
      </c>
      <c r="C11" s="23" t="s">
        <v>414</v>
      </c>
      <c r="D11" s="23">
        <v>1090000</v>
      </c>
      <c r="E11" s="23" t="s">
        <v>722</v>
      </c>
      <c r="F11" s="23" t="str">
        <f t="shared" si="0"/>
        <v>rtdc.l.rtdc.4002:itc</v>
      </c>
      <c r="G11" s="8">
        <f t="shared" si="1"/>
        <v>42646.182974537034</v>
      </c>
    </row>
    <row r="12" spans="1:7" x14ac:dyDescent="0.25">
      <c r="A12" s="8">
        <v>42646.184398148151</v>
      </c>
      <c r="B12" s="23" t="s">
        <v>719</v>
      </c>
      <c r="C12" s="23" t="s">
        <v>414</v>
      </c>
      <c r="D12" s="23">
        <v>1090000</v>
      </c>
      <c r="E12" s="23" t="s">
        <v>722</v>
      </c>
      <c r="F12" s="23" t="str">
        <f t="shared" si="0"/>
        <v>rtdc.l.rtdc.4002:itc</v>
      </c>
      <c r="G12" s="8">
        <f t="shared" si="1"/>
        <v>42646.184398148151</v>
      </c>
    </row>
    <row r="13" spans="1:7" x14ac:dyDescent="0.25">
      <c r="A13" s="8">
        <v>42646.190185185187</v>
      </c>
      <c r="B13" s="23" t="s">
        <v>354</v>
      </c>
      <c r="C13" s="23" t="s">
        <v>416</v>
      </c>
      <c r="D13" s="23">
        <v>1830000</v>
      </c>
      <c r="E13" s="23" t="s">
        <v>272</v>
      </c>
      <c r="F13" s="23" t="str">
        <f t="shared" si="0"/>
        <v>rtdc.l.rtdc.4003:itc</v>
      </c>
      <c r="G13" s="8">
        <f t="shared" si="1"/>
        <v>42646.190185185187</v>
      </c>
    </row>
    <row r="14" spans="1:7" x14ac:dyDescent="0.25">
      <c r="A14" s="8">
        <v>42646.190960648149</v>
      </c>
      <c r="B14" s="23" t="s">
        <v>169</v>
      </c>
      <c r="C14" s="23" t="s">
        <v>410</v>
      </c>
      <c r="D14" s="23">
        <v>1260000</v>
      </c>
      <c r="E14" s="23" t="s">
        <v>357</v>
      </c>
      <c r="F14" s="23" t="str">
        <f t="shared" si="0"/>
        <v>rtdc.l.rtdc.4026:itc</v>
      </c>
      <c r="G14" s="8">
        <f t="shared" si="1"/>
        <v>42646.190960648149</v>
      </c>
    </row>
    <row r="15" spans="1:7" x14ac:dyDescent="0.25">
      <c r="A15" s="8">
        <v>42646.204965277779</v>
      </c>
      <c r="B15" s="23" t="s">
        <v>717</v>
      </c>
      <c r="C15" s="23" t="s">
        <v>418</v>
      </c>
      <c r="D15" s="23">
        <v>1110000</v>
      </c>
      <c r="E15" s="23" t="s">
        <v>399</v>
      </c>
      <c r="F15" s="23" t="str">
        <f t="shared" si="0"/>
        <v>rtdc.l.rtdc.4040:itc</v>
      </c>
      <c r="G15" s="8">
        <f t="shared" si="1"/>
        <v>42646.204965277779</v>
      </c>
    </row>
    <row r="16" spans="1:7" x14ac:dyDescent="0.25">
      <c r="A16" s="8">
        <v>42646.20685185185</v>
      </c>
      <c r="B16" s="23" t="s">
        <v>239</v>
      </c>
      <c r="C16" s="23" t="s">
        <v>421</v>
      </c>
      <c r="D16" s="23">
        <v>2030000</v>
      </c>
      <c r="E16" s="23" t="s">
        <v>358</v>
      </c>
      <c r="F16" s="23" t="str">
        <f t="shared" si="0"/>
        <v>rtdc.l.rtdc.4018:itc</v>
      </c>
      <c r="G16" s="8">
        <f t="shared" si="1"/>
        <v>42646.20685185185</v>
      </c>
    </row>
    <row r="17" spans="1:7" x14ac:dyDescent="0.25">
      <c r="A17" s="8">
        <v>42646.208020833335</v>
      </c>
      <c r="B17" s="23" t="s">
        <v>239</v>
      </c>
      <c r="C17" s="23" t="s">
        <v>421</v>
      </c>
      <c r="D17" s="23">
        <v>2030000</v>
      </c>
      <c r="E17" s="23" t="s">
        <v>358</v>
      </c>
      <c r="F17" s="23" t="str">
        <f t="shared" si="0"/>
        <v>rtdc.l.rtdc.4018:itc</v>
      </c>
      <c r="G17" s="8">
        <f t="shared" si="1"/>
        <v>42646.208020833335</v>
      </c>
    </row>
    <row r="18" spans="1:7" x14ac:dyDescent="0.25">
      <c r="A18" s="8">
        <v>42646.209756944445</v>
      </c>
      <c r="B18" s="23" t="s">
        <v>239</v>
      </c>
      <c r="C18" s="23" t="s">
        <v>421</v>
      </c>
      <c r="D18" s="23">
        <v>2030000</v>
      </c>
      <c r="E18" s="23" t="s">
        <v>358</v>
      </c>
      <c r="F18" s="23" t="str">
        <f t="shared" si="0"/>
        <v>rtdc.l.rtdc.4018:itc</v>
      </c>
      <c r="G18" s="8">
        <f t="shared" si="1"/>
        <v>42646.209756944445</v>
      </c>
    </row>
    <row r="19" spans="1:7" x14ac:dyDescent="0.25">
      <c r="A19" s="8">
        <v>42646.211261574077</v>
      </c>
      <c r="B19" s="23" t="s">
        <v>239</v>
      </c>
      <c r="C19" s="23" t="s">
        <v>421</v>
      </c>
      <c r="D19" s="23">
        <v>2030000</v>
      </c>
      <c r="E19" s="23" t="s">
        <v>358</v>
      </c>
      <c r="F19" s="23" t="str">
        <f t="shared" si="0"/>
        <v>rtdc.l.rtdc.4018:itc</v>
      </c>
      <c r="G19" s="8">
        <f t="shared" si="1"/>
        <v>42646.211261574077</v>
      </c>
    </row>
    <row r="20" spans="1:7" x14ac:dyDescent="0.25">
      <c r="A20" s="8">
        <v>42646.211851851855</v>
      </c>
      <c r="B20" s="23" t="s">
        <v>219</v>
      </c>
      <c r="C20" s="23" t="s">
        <v>723</v>
      </c>
      <c r="D20" s="23">
        <v>1990000</v>
      </c>
      <c r="E20" s="23" t="s">
        <v>398</v>
      </c>
      <c r="F20" s="23" t="str">
        <f t="shared" si="0"/>
        <v>rtdc.l.rtdc.4012:itc</v>
      </c>
      <c r="G20" s="8">
        <f t="shared" si="1"/>
        <v>42646.211851851855</v>
      </c>
    </row>
    <row r="21" spans="1:7" x14ac:dyDescent="0.25">
      <c r="A21" s="8">
        <v>42646.212824074071</v>
      </c>
      <c r="B21" s="23" t="s">
        <v>219</v>
      </c>
      <c r="C21" s="23" t="s">
        <v>723</v>
      </c>
      <c r="D21" s="23">
        <v>1990000</v>
      </c>
      <c r="E21" s="23" t="s">
        <v>398</v>
      </c>
      <c r="F21" s="23" t="str">
        <f t="shared" si="0"/>
        <v>rtdc.l.rtdc.4012:itc</v>
      </c>
      <c r="G21" s="8">
        <f t="shared" si="1"/>
        <v>42646.212824074071</v>
      </c>
    </row>
    <row r="22" spans="1:7" x14ac:dyDescent="0.25">
      <c r="A22" s="29">
        <v>42646.213703703703</v>
      </c>
      <c r="B22" s="23" t="s">
        <v>239</v>
      </c>
      <c r="C22" s="23" t="s">
        <v>421</v>
      </c>
      <c r="D22" s="23">
        <v>2030000</v>
      </c>
      <c r="E22" s="23" t="s">
        <v>358</v>
      </c>
      <c r="F22" s="23" t="str">
        <f t="shared" si="0"/>
        <v>rtdc.l.rtdc.4018:itc</v>
      </c>
      <c r="G22" s="8">
        <f t="shared" si="1"/>
        <v>42646.213703703703</v>
      </c>
    </row>
    <row r="23" spans="1:7" x14ac:dyDescent="0.25">
      <c r="A23" s="8">
        <v>42646.214745370373</v>
      </c>
      <c r="B23" s="23" t="s">
        <v>219</v>
      </c>
      <c r="C23" s="23" t="s">
        <v>723</v>
      </c>
      <c r="D23" s="23">
        <v>1990000</v>
      </c>
      <c r="E23" s="23" t="s">
        <v>398</v>
      </c>
      <c r="F23" s="23" t="str">
        <f t="shared" si="0"/>
        <v>rtdc.l.rtdc.4012:itc</v>
      </c>
      <c r="G23" s="8">
        <f t="shared" si="1"/>
        <v>42646.214745370373</v>
      </c>
    </row>
    <row r="24" spans="1:7" x14ac:dyDescent="0.25">
      <c r="A24" s="8">
        <v>42646.216400462959</v>
      </c>
      <c r="B24" s="23" t="s">
        <v>219</v>
      </c>
      <c r="C24" s="23" t="s">
        <v>723</v>
      </c>
      <c r="D24" s="23">
        <v>1990000</v>
      </c>
      <c r="E24" s="23" t="s">
        <v>398</v>
      </c>
      <c r="F24" s="23" t="str">
        <f t="shared" si="0"/>
        <v>rtdc.l.rtdc.4012:itc</v>
      </c>
      <c r="G24" s="8">
        <f t="shared" si="1"/>
        <v>42646.216400462959</v>
      </c>
    </row>
    <row r="25" spans="1:7" x14ac:dyDescent="0.25">
      <c r="A25" s="8">
        <v>42646.221666666665</v>
      </c>
      <c r="B25" s="23" t="s">
        <v>718</v>
      </c>
      <c r="C25" s="23" t="s">
        <v>415</v>
      </c>
      <c r="D25" s="23">
        <v>1090000</v>
      </c>
      <c r="E25" s="23" t="s">
        <v>722</v>
      </c>
      <c r="F25" s="23" t="str">
        <f t="shared" si="0"/>
        <v>rtdc.l.rtdc.4001:itc</v>
      </c>
      <c r="G25" s="8">
        <f t="shared" si="1"/>
        <v>42646.221666666665</v>
      </c>
    </row>
    <row r="26" spans="1:7" x14ac:dyDescent="0.25">
      <c r="A26" s="8">
        <v>42646.226006944446</v>
      </c>
      <c r="B26" s="23" t="s">
        <v>355</v>
      </c>
      <c r="C26" s="23" t="s">
        <v>417</v>
      </c>
      <c r="D26" s="23">
        <v>1830000</v>
      </c>
      <c r="E26" s="23" t="s">
        <v>272</v>
      </c>
      <c r="F26" s="23" t="str">
        <f t="shared" si="0"/>
        <v>rtdc.l.rtdc.4004:itc</v>
      </c>
      <c r="G26" s="8">
        <f t="shared" si="1"/>
        <v>42646.226006944446</v>
      </c>
    </row>
    <row r="27" spans="1:7" x14ac:dyDescent="0.25">
      <c r="A27" s="8">
        <v>42646.226712962962</v>
      </c>
      <c r="B27" s="23" t="s">
        <v>233</v>
      </c>
      <c r="C27" s="23" t="s">
        <v>425</v>
      </c>
      <c r="D27" s="23">
        <v>1310000</v>
      </c>
      <c r="E27" s="23" t="s">
        <v>271</v>
      </c>
      <c r="F27" s="23" t="str">
        <f t="shared" si="0"/>
        <v>rtdc.l.rtdc.4029:itc</v>
      </c>
      <c r="G27" s="8">
        <f t="shared" si="1"/>
        <v>42646.226712962962</v>
      </c>
    </row>
    <row r="28" spans="1:7" x14ac:dyDescent="0.25">
      <c r="A28" s="8">
        <v>42646.227384259262</v>
      </c>
      <c r="B28" s="23" t="s">
        <v>233</v>
      </c>
      <c r="C28" s="23" t="s">
        <v>425</v>
      </c>
      <c r="D28" s="23">
        <v>1310000</v>
      </c>
      <c r="E28" s="23" t="s">
        <v>271</v>
      </c>
      <c r="F28" s="23" t="str">
        <f t="shared" si="0"/>
        <v>rtdc.l.rtdc.4029:itc</v>
      </c>
      <c r="G28" s="8">
        <f t="shared" si="1"/>
        <v>42646.227384259262</v>
      </c>
    </row>
    <row r="29" spans="1:7" x14ac:dyDescent="0.25">
      <c r="A29" s="8">
        <v>42646.234907407408</v>
      </c>
      <c r="B29" s="23" t="s">
        <v>168</v>
      </c>
      <c r="C29" s="23" t="s">
        <v>429</v>
      </c>
      <c r="D29" s="23">
        <v>1260000</v>
      </c>
      <c r="E29" s="23" t="s">
        <v>357</v>
      </c>
      <c r="F29" s="23" t="str">
        <f t="shared" si="0"/>
        <v>rtdc.l.rtdc.4025:itc</v>
      </c>
      <c r="G29" s="8">
        <f t="shared" si="1"/>
        <v>42646.234907407408</v>
      </c>
    </row>
    <row r="30" spans="1:7" x14ac:dyDescent="0.25">
      <c r="A30" s="8">
        <v>42646.236875000002</v>
      </c>
      <c r="B30" s="23" t="s">
        <v>273</v>
      </c>
      <c r="C30" s="23" t="s">
        <v>630</v>
      </c>
      <c r="D30" s="23">
        <v>1990000</v>
      </c>
      <c r="E30" s="23" t="s">
        <v>398</v>
      </c>
      <c r="F30" s="23" t="str">
        <f t="shared" si="0"/>
        <v>rtdc.l.rtdc.4011:itc</v>
      </c>
      <c r="G30" s="8">
        <f t="shared" si="1"/>
        <v>42646.236875000002</v>
      </c>
    </row>
    <row r="31" spans="1:7" x14ac:dyDescent="0.25">
      <c r="A31" s="8">
        <v>42646.241793981484</v>
      </c>
      <c r="B31" s="23" t="s">
        <v>177</v>
      </c>
      <c r="C31" s="23" t="s">
        <v>431</v>
      </c>
      <c r="D31" s="23">
        <v>1240000</v>
      </c>
      <c r="E31" s="23" t="s">
        <v>724</v>
      </c>
      <c r="F31" s="23" t="str">
        <f t="shared" si="0"/>
        <v>rtdc.l.rtdc.4046:itc</v>
      </c>
      <c r="G31" s="8">
        <f t="shared" si="1"/>
        <v>42646.241793981484</v>
      </c>
    </row>
    <row r="32" spans="1:7" x14ac:dyDescent="0.25">
      <c r="A32" s="8">
        <v>42646.244097222225</v>
      </c>
      <c r="B32" s="23" t="s">
        <v>260</v>
      </c>
      <c r="C32" s="23" t="s">
        <v>420</v>
      </c>
      <c r="D32" s="23">
        <v>1110000</v>
      </c>
      <c r="E32" s="23" t="s">
        <v>399</v>
      </c>
      <c r="F32" s="23" t="str">
        <f t="shared" si="0"/>
        <v>rtdc.l.rtdc.4039:itc</v>
      </c>
      <c r="G32" s="8">
        <f t="shared" si="1"/>
        <v>42646.244097222225</v>
      </c>
    </row>
    <row r="33" spans="1:7" x14ac:dyDescent="0.25">
      <c r="A33" s="8">
        <v>42646.253622685188</v>
      </c>
      <c r="B33" s="23" t="s">
        <v>238</v>
      </c>
      <c r="C33" s="23" t="s">
        <v>424</v>
      </c>
      <c r="D33" s="23">
        <v>2030000</v>
      </c>
      <c r="E33" s="23" t="s">
        <v>358</v>
      </c>
      <c r="F33" s="23" t="str">
        <f t="shared" si="0"/>
        <v>rtdc.l.rtdc.4017:itc</v>
      </c>
      <c r="G33" s="8">
        <f t="shared" si="1"/>
        <v>42646.253622685188</v>
      </c>
    </row>
    <row r="34" spans="1:7" x14ac:dyDescent="0.25">
      <c r="A34" s="8">
        <v>42646.255173611113</v>
      </c>
      <c r="B34" s="23" t="s">
        <v>219</v>
      </c>
      <c r="C34" s="23" t="s">
        <v>633</v>
      </c>
      <c r="D34" s="23">
        <v>1990000</v>
      </c>
      <c r="E34" s="23" t="s">
        <v>398</v>
      </c>
      <c r="F34" s="23" t="str">
        <f t="shared" si="0"/>
        <v>rtdc.l.rtdc.4012:itc</v>
      </c>
      <c r="G34" s="8">
        <f t="shared" si="1"/>
        <v>42646.255173611113</v>
      </c>
    </row>
    <row r="35" spans="1:7" x14ac:dyDescent="0.25">
      <c r="A35" s="8">
        <v>42646.257928240739</v>
      </c>
      <c r="B35" s="23" t="s">
        <v>719</v>
      </c>
      <c r="C35" s="23" t="s">
        <v>433</v>
      </c>
      <c r="D35" s="23">
        <v>1090000</v>
      </c>
      <c r="E35" s="23" t="s">
        <v>722</v>
      </c>
      <c r="F35" s="23" t="str">
        <f t="shared" si="0"/>
        <v>rtdc.l.rtdc.4002:itc</v>
      </c>
      <c r="G35" s="8">
        <f t="shared" si="1"/>
        <v>42646.257928240739</v>
      </c>
    </row>
    <row r="36" spans="1:7" x14ac:dyDescent="0.25">
      <c r="A36" s="8">
        <v>42646.264733796299</v>
      </c>
      <c r="B36" s="23" t="s">
        <v>329</v>
      </c>
      <c r="C36" s="23" t="s">
        <v>636</v>
      </c>
      <c r="D36" s="23">
        <v>900000</v>
      </c>
      <c r="E36" s="23" t="s">
        <v>725</v>
      </c>
      <c r="F36" s="23" t="str">
        <f t="shared" si="0"/>
        <v>rtdc.l.rtdc.4031:itc</v>
      </c>
      <c r="G36" s="8">
        <f t="shared" si="1"/>
        <v>42646.264733796299</v>
      </c>
    </row>
    <row r="37" spans="1:7" x14ac:dyDescent="0.25">
      <c r="A37" s="8">
        <v>42646.265648148146</v>
      </c>
      <c r="B37" s="23" t="s">
        <v>354</v>
      </c>
      <c r="C37" s="23" t="s">
        <v>436</v>
      </c>
      <c r="D37" s="23">
        <v>1830000</v>
      </c>
      <c r="E37" s="23" t="s">
        <v>272</v>
      </c>
      <c r="F37" s="23" t="str">
        <f t="shared" si="0"/>
        <v>rtdc.l.rtdc.4003:itc</v>
      </c>
      <c r="G37" s="8">
        <f t="shared" si="1"/>
        <v>42646.265648148146</v>
      </c>
    </row>
    <row r="38" spans="1:7" x14ac:dyDescent="0.25">
      <c r="A38" s="8">
        <v>42646.267187500001</v>
      </c>
      <c r="B38" s="23" t="s">
        <v>356</v>
      </c>
      <c r="C38" s="23" t="s">
        <v>426</v>
      </c>
      <c r="D38" s="23">
        <v>1310000</v>
      </c>
      <c r="E38" s="23" t="s">
        <v>271</v>
      </c>
      <c r="F38" s="23" t="str">
        <f t="shared" si="0"/>
        <v>rtdc.l.rtdc.4030:itc</v>
      </c>
      <c r="G38" s="8">
        <f t="shared" si="1"/>
        <v>42646.267187500001</v>
      </c>
    </row>
    <row r="39" spans="1:7" x14ac:dyDescent="0.25">
      <c r="A39" s="8">
        <v>42646.273020833331</v>
      </c>
      <c r="B39" s="23" t="s">
        <v>169</v>
      </c>
      <c r="C39" s="23" t="s">
        <v>430</v>
      </c>
      <c r="D39" s="23">
        <v>1260000</v>
      </c>
      <c r="E39" s="23" t="s">
        <v>357</v>
      </c>
      <c r="F39" s="23" t="str">
        <f t="shared" si="0"/>
        <v>rtdc.l.rtdc.4026:itc</v>
      </c>
      <c r="G39" s="8">
        <f t="shared" si="1"/>
        <v>42646.273020833331</v>
      </c>
    </row>
    <row r="40" spans="1:7" x14ac:dyDescent="0.25">
      <c r="A40" s="8">
        <v>42646.276400462964</v>
      </c>
      <c r="B40" s="28" t="s">
        <v>328</v>
      </c>
      <c r="C40" s="23" t="s">
        <v>638</v>
      </c>
      <c r="D40" s="23">
        <v>900000</v>
      </c>
      <c r="E40" s="23" t="s">
        <v>725</v>
      </c>
      <c r="F40" s="23" t="str">
        <f t="shared" si="0"/>
        <v>rtdc.l.rtdc.4032:itc</v>
      </c>
      <c r="G40" s="8">
        <f t="shared" si="1"/>
        <v>42646.276400462964</v>
      </c>
    </row>
    <row r="41" spans="1:7" x14ac:dyDescent="0.25">
      <c r="A41" s="8">
        <v>42646.278657407405</v>
      </c>
      <c r="B41" s="23" t="s">
        <v>248</v>
      </c>
      <c r="C41" s="23" t="s">
        <v>432</v>
      </c>
      <c r="D41" s="23">
        <v>1240000</v>
      </c>
      <c r="E41" s="23" t="s">
        <v>724</v>
      </c>
      <c r="F41" s="23" t="str">
        <f t="shared" si="0"/>
        <v>rtdc.l.rtdc.4045:itc</v>
      </c>
      <c r="G41" s="8">
        <f t="shared" si="1"/>
        <v>42646.278657407405</v>
      </c>
    </row>
    <row r="42" spans="1:7" x14ac:dyDescent="0.25">
      <c r="A42" s="8">
        <v>42646.279328703706</v>
      </c>
      <c r="B42" s="23" t="s">
        <v>717</v>
      </c>
      <c r="C42" s="23" t="s">
        <v>441</v>
      </c>
      <c r="D42" s="23">
        <v>1110000</v>
      </c>
      <c r="E42" s="23" t="s">
        <v>399</v>
      </c>
      <c r="F42" s="23" t="str">
        <f t="shared" si="0"/>
        <v>rtdc.l.rtdc.4040:itc</v>
      </c>
      <c r="G42" s="8">
        <f t="shared" si="1"/>
        <v>42646.279328703706</v>
      </c>
    </row>
    <row r="43" spans="1:7" x14ac:dyDescent="0.25">
      <c r="A43" s="8">
        <v>42646.279675925929</v>
      </c>
      <c r="B43" s="23" t="s">
        <v>248</v>
      </c>
      <c r="C43" s="23" t="s">
        <v>432</v>
      </c>
      <c r="D43" s="23">
        <v>1240000</v>
      </c>
      <c r="E43" s="23" t="s">
        <v>724</v>
      </c>
      <c r="F43" s="23" t="str">
        <f t="shared" si="0"/>
        <v>rtdc.l.rtdc.4045:itc</v>
      </c>
      <c r="G43" s="8">
        <f t="shared" si="1"/>
        <v>42646.279675925929</v>
      </c>
    </row>
    <row r="44" spans="1:7" x14ac:dyDescent="0.25">
      <c r="A44" s="8">
        <v>42646.283935185187</v>
      </c>
      <c r="B44" s="23" t="s">
        <v>273</v>
      </c>
      <c r="C44" s="23" t="s">
        <v>641</v>
      </c>
      <c r="D44" s="23">
        <v>1990000</v>
      </c>
      <c r="E44" s="23" t="s">
        <v>398</v>
      </c>
      <c r="F44" s="23" t="str">
        <f t="shared" si="0"/>
        <v>rtdc.l.rtdc.4011:itc</v>
      </c>
      <c r="G44" s="8">
        <f t="shared" si="1"/>
        <v>42646.283935185187</v>
      </c>
    </row>
    <row r="45" spans="1:7" x14ac:dyDescent="0.25">
      <c r="A45" s="8">
        <v>42646.28769675926</v>
      </c>
      <c r="B45" s="23" t="s">
        <v>239</v>
      </c>
      <c r="C45" s="23" t="s">
        <v>726</v>
      </c>
      <c r="D45" s="23">
        <v>2030000</v>
      </c>
      <c r="E45" s="23" t="s">
        <v>358</v>
      </c>
      <c r="F45" s="23" t="str">
        <f t="shared" si="0"/>
        <v>rtdc.l.rtdc.4018:itc</v>
      </c>
      <c r="G45" s="8">
        <f t="shared" si="1"/>
        <v>42646.28769675926</v>
      </c>
    </row>
    <row r="46" spans="1:7" x14ac:dyDescent="0.25">
      <c r="A46" s="8">
        <v>42646.294270833336</v>
      </c>
      <c r="B46" s="23" t="s">
        <v>718</v>
      </c>
      <c r="C46" s="23" t="s">
        <v>435</v>
      </c>
      <c r="D46" s="23">
        <v>1090000</v>
      </c>
      <c r="E46" s="23" t="s">
        <v>722</v>
      </c>
      <c r="F46" s="23" t="str">
        <f t="shared" si="0"/>
        <v>rtdc.l.rtdc.4001:itc</v>
      </c>
      <c r="G46" s="8">
        <f t="shared" si="1"/>
        <v>42646.294270833336</v>
      </c>
    </row>
    <row r="47" spans="1:7" x14ac:dyDescent="0.25">
      <c r="A47" s="8">
        <v>42646.297013888892</v>
      </c>
      <c r="B47" s="23" t="s">
        <v>219</v>
      </c>
      <c r="C47" s="23" t="s">
        <v>644</v>
      </c>
      <c r="D47" s="23">
        <v>1990000</v>
      </c>
      <c r="E47" s="23" t="s">
        <v>398</v>
      </c>
      <c r="F47" s="23" t="str">
        <f t="shared" si="0"/>
        <v>rtdc.l.rtdc.4012:itc</v>
      </c>
      <c r="G47" s="8">
        <f t="shared" si="1"/>
        <v>42646.297013888892</v>
      </c>
    </row>
    <row r="48" spans="1:7" x14ac:dyDescent="0.25">
      <c r="A48" s="8">
        <v>42646.298715277779</v>
      </c>
      <c r="B48" s="23" t="s">
        <v>355</v>
      </c>
      <c r="C48" s="23" t="s">
        <v>438</v>
      </c>
      <c r="D48" s="23">
        <v>1830000</v>
      </c>
      <c r="E48" s="23" t="s">
        <v>272</v>
      </c>
      <c r="F48" s="23" t="str">
        <f t="shared" si="0"/>
        <v>rtdc.l.rtdc.4004:itc</v>
      </c>
      <c r="G48" s="8">
        <f t="shared" si="1"/>
        <v>42646.298715277779</v>
      </c>
    </row>
    <row r="49" spans="1:7" x14ac:dyDescent="0.25">
      <c r="A49" s="8">
        <v>42646.300625000003</v>
      </c>
      <c r="B49" s="23" t="s">
        <v>233</v>
      </c>
      <c r="C49" s="23" t="s">
        <v>447</v>
      </c>
      <c r="D49" s="23">
        <v>1310000</v>
      </c>
      <c r="E49" s="23" t="s">
        <v>271</v>
      </c>
      <c r="F49" s="23" t="str">
        <f t="shared" si="0"/>
        <v>rtdc.l.rtdc.4029:itc</v>
      </c>
      <c r="G49" s="8">
        <f t="shared" si="1"/>
        <v>42646.300625000003</v>
      </c>
    </row>
    <row r="50" spans="1:7" x14ac:dyDescent="0.25">
      <c r="A50" s="8">
        <v>42646.305532407408</v>
      </c>
      <c r="B50" s="23" t="s">
        <v>329</v>
      </c>
      <c r="C50" s="23" t="s">
        <v>647</v>
      </c>
      <c r="D50" s="23">
        <v>900000</v>
      </c>
      <c r="E50" s="23" t="s">
        <v>725</v>
      </c>
      <c r="F50" s="23" t="str">
        <f t="shared" si="0"/>
        <v>rtdc.l.rtdc.4031:itc</v>
      </c>
      <c r="G50" s="8">
        <f t="shared" si="1"/>
        <v>42646.305532407408</v>
      </c>
    </row>
    <row r="51" spans="1:7" x14ac:dyDescent="0.25">
      <c r="A51" s="8">
        <v>42646.308506944442</v>
      </c>
      <c r="B51" s="23" t="s">
        <v>168</v>
      </c>
      <c r="C51" s="23" t="s">
        <v>449</v>
      </c>
      <c r="D51" s="23">
        <v>1260000</v>
      </c>
      <c r="E51" s="23" t="s">
        <v>357</v>
      </c>
      <c r="F51" s="23" t="str">
        <f t="shared" si="0"/>
        <v>rtdc.l.rtdc.4025:itc</v>
      </c>
      <c r="G51" s="8">
        <f t="shared" si="1"/>
        <v>42646.308506944442</v>
      </c>
    </row>
    <row r="52" spans="1:7" x14ac:dyDescent="0.25">
      <c r="A52" s="8">
        <v>42646.317118055558</v>
      </c>
      <c r="B52" s="23" t="s">
        <v>328</v>
      </c>
      <c r="C52" s="23" t="s">
        <v>648</v>
      </c>
      <c r="D52" s="23">
        <v>900000</v>
      </c>
      <c r="E52" s="23" t="s">
        <v>725</v>
      </c>
      <c r="F52" s="23" t="str">
        <f t="shared" si="0"/>
        <v>rtdc.l.rtdc.4032:itc</v>
      </c>
      <c r="G52" s="8">
        <f t="shared" si="1"/>
        <v>42646.317118055558</v>
      </c>
    </row>
    <row r="53" spans="1:7" x14ac:dyDescent="0.25">
      <c r="A53" s="8">
        <v>42646.317557870374</v>
      </c>
      <c r="B53" s="23" t="s">
        <v>260</v>
      </c>
      <c r="C53" s="23" t="s">
        <v>442</v>
      </c>
      <c r="D53" s="23">
        <v>1110000</v>
      </c>
      <c r="E53" s="23" t="s">
        <v>399</v>
      </c>
      <c r="F53" s="23" t="str">
        <f t="shared" si="0"/>
        <v>rtdc.l.rtdc.4039:itc</v>
      </c>
      <c r="G53" s="8">
        <f t="shared" si="1"/>
        <v>42646.317557870374</v>
      </c>
    </row>
    <row r="54" spans="1:7" x14ac:dyDescent="0.25">
      <c r="A54" s="8">
        <v>42646.318067129629</v>
      </c>
      <c r="B54" s="23" t="s">
        <v>177</v>
      </c>
      <c r="C54" s="23" t="s">
        <v>452</v>
      </c>
      <c r="D54" s="23">
        <v>1190000</v>
      </c>
      <c r="E54" s="23" t="s">
        <v>721</v>
      </c>
      <c r="F54" s="23" t="str">
        <f t="shared" si="0"/>
        <v>rtdc.l.rtdc.4046:itc</v>
      </c>
      <c r="G54" s="8">
        <f t="shared" si="1"/>
        <v>42646.318067129629</v>
      </c>
    </row>
    <row r="55" spans="1:7" x14ac:dyDescent="0.25">
      <c r="A55" s="8">
        <v>42646.325752314813</v>
      </c>
      <c r="B55" s="23" t="s">
        <v>238</v>
      </c>
      <c r="C55" s="23" t="s">
        <v>446</v>
      </c>
      <c r="D55" s="23">
        <v>2030000</v>
      </c>
      <c r="E55" s="23" t="s">
        <v>358</v>
      </c>
      <c r="F55" s="23" t="str">
        <f t="shared" si="0"/>
        <v>rtdc.l.rtdc.4017:itc</v>
      </c>
      <c r="G55" s="8">
        <f t="shared" si="1"/>
        <v>42646.325752314813</v>
      </c>
    </row>
    <row r="56" spans="1:7" x14ac:dyDescent="0.25">
      <c r="A56" s="8">
        <v>42646.325937499998</v>
      </c>
      <c r="B56" s="23" t="s">
        <v>273</v>
      </c>
      <c r="C56" s="23" t="s">
        <v>651</v>
      </c>
      <c r="D56" s="23">
        <v>1990000</v>
      </c>
      <c r="E56" s="23" t="s">
        <v>398</v>
      </c>
      <c r="F56" s="23" t="str">
        <f t="shared" si="0"/>
        <v>rtdc.l.rtdc.4011:itc</v>
      </c>
      <c r="G56" s="8">
        <f t="shared" si="1"/>
        <v>42646.325937499998</v>
      </c>
    </row>
    <row r="57" spans="1:7" x14ac:dyDescent="0.25">
      <c r="A57" s="8">
        <v>42646.331030092595</v>
      </c>
      <c r="B57" s="23" t="s">
        <v>719</v>
      </c>
      <c r="C57" s="23" t="s">
        <v>454</v>
      </c>
      <c r="D57" s="23">
        <v>1090000</v>
      </c>
      <c r="E57" s="23" t="s">
        <v>722</v>
      </c>
      <c r="F57" s="23" t="str">
        <f t="shared" si="0"/>
        <v>rtdc.l.rtdc.4002:itc</v>
      </c>
      <c r="G57" s="8">
        <f t="shared" si="1"/>
        <v>42646.331030092595</v>
      </c>
    </row>
    <row r="58" spans="1:7" x14ac:dyDescent="0.25">
      <c r="A58" s="8">
        <v>42646.338287037041</v>
      </c>
      <c r="B58" s="23" t="s">
        <v>219</v>
      </c>
      <c r="C58" s="23" t="s">
        <v>654</v>
      </c>
      <c r="D58" s="23">
        <v>1990000</v>
      </c>
      <c r="E58" s="23" t="s">
        <v>398</v>
      </c>
      <c r="F58" s="23" t="str">
        <f t="shared" si="0"/>
        <v>rtdc.l.rtdc.4012:itc</v>
      </c>
      <c r="G58" s="8">
        <f t="shared" si="1"/>
        <v>42646.338287037041</v>
      </c>
    </row>
    <row r="59" spans="1:7" x14ac:dyDescent="0.25">
      <c r="A59" s="8">
        <v>42646.340011574073</v>
      </c>
      <c r="B59" s="23" t="s">
        <v>356</v>
      </c>
      <c r="C59" s="23" t="s">
        <v>448</v>
      </c>
      <c r="D59" s="23">
        <v>1310000</v>
      </c>
      <c r="E59" s="23" t="s">
        <v>271</v>
      </c>
      <c r="F59" s="23" t="str">
        <f t="shared" si="0"/>
        <v>rtdc.l.rtdc.4030:itc</v>
      </c>
      <c r="G59" s="8">
        <f t="shared" si="1"/>
        <v>42646.340011574073</v>
      </c>
    </row>
    <row r="60" spans="1:7" x14ac:dyDescent="0.25">
      <c r="A60" s="8">
        <v>42646.340486111112</v>
      </c>
      <c r="B60" s="23" t="s">
        <v>354</v>
      </c>
      <c r="C60" s="23" t="s">
        <v>459</v>
      </c>
      <c r="D60" s="23">
        <v>1830000</v>
      </c>
      <c r="E60" s="23" t="s">
        <v>272</v>
      </c>
      <c r="F60" s="23" t="str">
        <f t="shared" si="0"/>
        <v>rtdc.l.rtdc.4003:itc</v>
      </c>
      <c r="G60" s="8">
        <f t="shared" si="1"/>
        <v>42646.340486111112</v>
      </c>
    </row>
    <row r="61" spans="1:7" x14ac:dyDescent="0.25">
      <c r="A61" s="8">
        <v>42646.346724537034</v>
      </c>
      <c r="B61" s="23" t="s">
        <v>169</v>
      </c>
      <c r="C61" s="23" t="s">
        <v>450</v>
      </c>
      <c r="D61" s="23">
        <v>1260000</v>
      </c>
      <c r="E61" s="23" t="s">
        <v>357</v>
      </c>
      <c r="F61" s="23" t="str">
        <f t="shared" si="0"/>
        <v>rtdc.l.rtdc.4026:itc</v>
      </c>
      <c r="G61" s="8">
        <f t="shared" si="1"/>
        <v>42646.346724537034</v>
      </c>
    </row>
    <row r="62" spans="1:7" x14ac:dyDescent="0.25">
      <c r="A62" s="8">
        <v>42646.347314814811</v>
      </c>
      <c r="B62" s="23" t="s">
        <v>329</v>
      </c>
      <c r="C62" s="23" t="s">
        <v>657</v>
      </c>
      <c r="D62" s="23">
        <v>900000</v>
      </c>
      <c r="E62" s="23" t="s">
        <v>725</v>
      </c>
      <c r="F62" s="23" t="str">
        <f t="shared" si="0"/>
        <v>rtdc.l.rtdc.4031:itc</v>
      </c>
      <c r="G62" s="8">
        <f t="shared" si="1"/>
        <v>42646.347314814811</v>
      </c>
    </row>
    <row r="63" spans="1:7" x14ac:dyDescent="0.25">
      <c r="A63" s="8">
        <v>42646.350659722222</v>
      </c>
      <c r="B63" s="23" t="s">
        <v>719</v>
      </c>
      <c r="C63" s="23" t="s">
        <v>454</v>
      </c>
      <c r="D63" s="23">
        <v>1090000</v>
      </c>
      <c r="E63" s="23" t="s">
        <v>722</v>
      </c>
      <c r="F63" s="23" t="str">
        <f t="shared" si="0"/>
        <v>rtdc.l.rtdc.4002:itc</v>
      </c>
      <c r="G63" s="8">
        <f t="shared" si="1"/>
        <v>42646.350659722222</v>
      </c>
    </row>
    <row r="64" spans="1:7" x14ac:dyDescent="0.25">
      <c r="A64" s="29">
        <v>42646.351331018515</v>
      </c>
      <c r="B64" s="23" t="s">
        <v>260</v>
      </c>
      <c r="C64" s="23" t="s">
        <v>442</v>
      </c>
      <c r="D64" s="23">
        <v>1110000</v>
      </c>
      <c r="E64" s="23" t="s">
        <v>399</v>
      </c>
      <c r="F64" s="23" t="str">
        <f t="shared" si="0"/>
        <v>rtdc.l.rtdc.4039:itc</v>
      </c>
      <c r="G64" s="8">
        <f t="shared" si="1"/>
        <v>42646.351331018515</v>
      </c>
    </row>
    <row r="65" spans="1:7" x14ac:dyDescent="0.25">
      <c r="A65" s="8">
        <v>42646.357870370368</v>
      </c>
      <c r="B65" s="23" t="s">
        <v>717</v>
      </c>
      <c r="C65" s="23" t="s">
        <v>441</v>
      </c>
      <c r="D65" s="23">
        <v>1110000</v>
      </c>
      <c r="E65" s="23" t="s">
        <v>399</v>
      </c>
      <c r="F65" s="23" t="str">
        <f t="shared" si="0"/>
        <v>rtdc.l.rtdc.4040:itc</v>
      </c>
      <c r="G65" s="8">
        <f t="shared" si="1"/>
        <v>42646.357870370368</v>
      </c>
    </row>
    <row r="66" spans="1:7" x14ac:dyDescent="0.25">
      <c r="A66" s="8">
        <v>42646.359363425923</v>
      </c>
      <c r="B66" s="23" t="s">
        <v>328</v>
      </c>
      <c r="C66" s="23" t="s">
        <v>660</v>
      </c>
      <c r="D66" s="23">
        <v>900000</v>
      </c>
      <c r="E66" s="23" t="s">
        <v>725</v>
      </c>
      <c r="F66" s="23" t="str">
        <f t="shared" ref="F66:F129" si="2">B66</f>
        <v>rtdc.l.rtdc.4032:itc</v>
      </c>
      <c r="G66" s="8">
        <f t="shared" ref="G66:G129" si="3">A66</f>
        <v>42646.359363425923</v>
      </c>
    </row>
    <row r="67" spans="1:7" x14ac:dyDescent="0.25">
      <c r="A67" s="8">
        <v>42646.360520833332</v>
      </c>
      <c r="B67" s="23" t="s">
        <v>248</v>
      </c>
      <c r="C67" s="23" t="s">
        <v>453</v>
      </c>
      <c r="D67" s="23">
        <v>1190000</v>
      </c>
      <c r="E67" s="23" t="s">
        <v>721</v>
      </c>
      <c r="F67" s="23" t="str">
        <f t="shared" si="2"/>
        <v>rtdc.l.rtdc.4045:itc</v>
      </c>
      <c r="G67" s="8">
        <f t="shared" si="3"/>
        <v>42646.360520833332</v>
      </c>
    </row>
    <row r="68" spans="1:7" x14ac:dyDescent="0.25">
      <c r="A68" s="8">
        <v>42646.364756944444</v>
      </c>
      <c r="B68" s="23" t="s">
        <v>239</v>
      </c>
      <c r="C68" s="23" t="s">
        <v>465</v>
      </c>
      <c r="D68" s="23">
        <v>2030000</v>
      </c>
      <c r="E68" s="23" t="s">
        <v>358</v>
      </c>
      <c r="F68" s="23" t="str">
        <f t="shared" si="2"/>
        <v>rtdc.l.rtdc.4018:itc</v>
      </c>
      <c r="G68" s="8">
        <f t="shared" si="3"/>
        <v>42646.364756944444</v>
      </c>
    </row>
    <row r="69" spans="1:7" x14ac:dyDescent="0.25">
      <c r="A69" s="8">
        <v>42646.369756944441</v>
      </c>
      <c r="B69" s="23" t="s">
        <v>239</v>
      </c>
      <c r="C69" s="23" t="s">
        <v>465</v>
      </c>
      <c r="D69" s="23">
        <v>2030000</v>
      </c>
      <c r="E69" s="23" t="s">
        <v>358</v>
      </c>
      <c r="F69" s="23" t="str">
        <f t="shared" si="2"/>
        <v>rtdc.l.rtdc.4018:itc</v>
      </c>
      <c r="G69" s="8">
        <f t="shared" si="3"/>
        <v>42646.369756944441</v>
      </c>
    </row>
    <row r="70" spans="1:7" x14ac:dyDescent="0.25">
      <c r="A70" s="8">
        <v>42646.372372685182</v>
      </c>
      <c r="B70" s="23" t="s">
        <v>718</v>
      </c>
      <c r="C70" s="23" t="s">
        <v>458</v>
      </c>
      <c r="D70" s="23">
        <v>1090000</v>
      </c>
      <c r="E70" s="23" t="s">
        <v>722</v>
      </c>
      <c r="F70" s="23" t="str">
        <f t="shared" si="2"/>
        <v>rtdc.l.rtdc.4001:itc</v>
      </c>
      <c r="G70" s="8">
        <f t="shared" si="3"/>
        <v>42646.372372685182</v>
      </c>
    </row>
    <row r="71" spans="1:7" x14ac:dyDescent="0.25">
      <c r="A71" s="8">
        <v>42646.375532407408</v>
      </c>
      <c r="B71" s="23" t="s">
        <v>233</v>
      </c>
      <c r="C71" s="23" t="s">
        <v>471</v>
      </c>
      <c r="D71" s="23">
        <v>1310000</v>
      </c>
      <c r="E71" s="23" t="s">
        <v>271</v>
      </c>
      <c r="F71" s="23" t="str">
        <f t="shared" si="2"/>
        <v>rtdc.l.rtdc.4029:itc</v>
      </c>
      <c r="G71" s="8">
        <f t="shared" si="3"/>
        <v>42646.375532407408</v>
      </c>
    </row>
    <row r="72" spans="1:7" x14ac:dyDescent="0.25">
      <c r="A72" s="8">
        <v>42646.378171296295</v>
      </c>
      <c r="B72" s="23" t="s">
        <v>355</v>
      </c>
      <c r="C72" s="23" t="s">
        <v>460</v>
      </c>
      <c r="D72" s="23">
        <v>1830000</v>
      </c>
      <c r="E72" s="23" t="s">
        <v>272</v>
      </c>
      <c r="F72" s="23" t="str">
        <f t="shared" si="2"/>
        <v>rtdc.l.rtdc.4004:itc</v>
      </c>
      <c r="G72" s="8">
        <f t="shared" si="3"/>
        <v>42646.378171296295</v>
      </c>
    </row>
    <row r="73" spans="1:7" x14ac:dyDescent="0.25">
      <c r="A73" s="8">
        <v>42646.384363425925</v>
      </c>
      <c r="B73" s="23" t="s">
        <v>329</v>
      </c>
      <c r="C73" s="23" t="s">
        <v>663</v>
      </c>
      <c r="D73" s="23">
        <v>310000</v>
      </c>
      <c r="E73" s="23" t="s">
        <v>727</v>
      </c>
      <c r="F73" s="23" t="str">
        <f t="shared" si="2"/>
        <v>rtdc.l.rtdc.4031:itc</v>
      </c>
      <c r="G73" s="8">
        <f t="shared" si="3"/>
        <v>42646.384363425925</v>
      </c>
    </row>
    <row r="74" spans="1:7" x14ac:dyDescent="0.25">
      <c r="A74" s="8">
        <v>42646.384768518517</v>
      </c>
      <c r="B74" s="23" t="s">
        <v>168</v>
      </c>
      <c r="C74" s="23" t="s">
        <v>474</v>
      </c>
      <c r="D74" s="23">
        <v>1260000</v>
      </c>
      <c r="E74" s="23" t="s">
        <v>357</v>
      </c>
      <c r="F74" s="23" t="str">
        <f t="shared" si="2"/>
        <v>rtdc.l.rtdc.4025:itc</v>
      </c>
      <c r="G74" s="8">
        <f t="shared" si="3"/>
        <v>42646.384768518517</v>
      </c>
    </row>
    <row r="75" spans="1:7" x14ac:dyDescent="0.25">
      <c r="A75" s="8">
        <v>42646.391851851855</v>
      </c>
      <c r="B75" s="23" t="s">
        <v>260</v>
      </c>
      <c r="C75" s="23" t="s">
        <v>462</v>
      </c>
      <c r="D75" s="23">
        <v>1110000</v>
      </c>
      <c r="E75" s="23" t="s">
        <v>399</v>
      </c>
      <c r="F75" s="23" t="str">
        <f t="shared" si="2"/>
        <v>rtdc.l.rtdc.4039:itc</v>
      </c>
      <c r="G75" s="8">
        <f t="shared" si="3"/>
        <v>42646.391851851855</v>
      </c>
    </row>
    <row r="76" spans="1:7" x14ac:dyDescent="0.25">
      <c r="A76" s="8">
        <v>42646.394745370373</v>
      </c>
      <c r="B76" s="23" t="s">
        <v>177</v>
      </c>
      <c r="C76" s="23" t="s">
        <v>477</v>
      </c>
      <c r="D76" s="23">
        <v>1190000</v>
      </c>
      <c r="E76" s="23" t="s">
        <v>721</v>
      </c>
      <c r="F76" s="23" t="str">
        <f t="shared" si="2"/>
        <v>rtdc.l.rtdc.4046:itc</v>
      </c>
      <c r="G76" s="8">
        <f t="shared" si="3"/>
        <v>42646.394745370373</v>
      </c>
    </row>
    <row r="77" spans="1:7" x14ac:dyDescent="0.25">
      <c r="A77" s="8">
        <v>42646.403067129628</v>
      </c>
      <c r="B77" s="23" t="s">
        <v>238</v>
      </c>
      <c r="C77" s="23" t="s">
        <v>469</v>
      </c>
      <c r="D77" s="23">
        <v>2030000</v>
      </c>
      <c r="E77" s="23" t="s">
        <v>358</v>
      </c>
      <c r="F77" s="23" t="str">
        <f t="shared" si="2"/>
        <v>rtdc.l.rtdc.4017:itc</v>
      </c>
      <c r="G77" s="8">
        <f t="shared" si="3"/>
        <v>42646.403067129628</v>
      </c>
    </row>
    <row r="78" spans="1:7" x14ac:dyDescent="0.25">
      <c r="A78" s="8">
        <v>42646.403969907406</v>
      </c>
      <c r="B78" s="23" t="s">
        <v>328</v>
      </c>
      <c r="C78" s="23" t="s">
        <v>666</v>
      </c>
      <c r="D78" s="23">
        <v>310000</v>
      </c>
      <c r="E78" s="23" t="s">
        <v>727</v>
      </c>
      <c r="F78" s="23" t="str">
        <f t="shared" si="2"/>
        <v>rtdc.l.rtdc.4032:itc</v>
      </c>
      <c r="G78" s="8">
        <f t="shared" si="3"/>
        <v>42646.403969907406</v>
      </c>
    </row>
    <row r="79" spans="1:7" x14ac:dyDescent="0.25">
      <c r="A79" s="8">
        <v>42646.405069444445</v>
      </c>
      <c r="B79" s="23" t="s">
        <v>719</v>
      </c>
      <c r="C79" s="23" t="s">
        <v>480</v>
      </c>
      <c r="D79" s="23">
        <v>1090000</v>
      </c>
      <c r="E79" s="23" t="s">
        <v>722</v>
      </c>
      <c r="F79" s="23" t="str">
        <f t="shared" si="2"/>
        <v>rtdc.l.rtdc.4002:itc</v>
      </c>
      <c r="G79" s="8">
        <f t="shared" si="3"/>
        <v>42646.405069444445</v>
      </c>
    </row>
    <row r="80" spans="1:7" x14ac:dyDescent="0.25">
      <c r="A80" s="8">
        <v>42646.412395833337</v>
      </c>
      <c r="B80" s="23" t="s">
        <v>356</v>
      </c>
      <c r="C80" s="23" t="s">
        <v>473</v>
      </c>
      <c r="D80" s="23">
        <v>1310000</v>
      </c>
      <c r="E80" s="23" t="s">
        <v>271</v>
      </c>
      <c r="F80" s="23" t="str">
        <f t="shared" si="2"/>
        <v>rtdc.l.rtdc.4030:itc</v>
      </c>
      <c r="G80" s="8">
        <f t="shared" si="3"/>
        <v>42646.412395833337</v>
      </c>
    </row>
    <row r="81" spans="1:7" x14ac:dyDescent="0.25">
      <c r="A81" s="8">
        <v>42646.415231481478</v>
      </c>
      <c r="B81" s="23" t="s">
        <v>354</v>
      </c>
      <c r="C81" s="23" t="s">
        <v>483</v>
      </c>
      <c r="D81" s="23">
        <v>1830000</v>
      </c>
      <c r="E81" s="23" t="s">
        <v>272</v>
      </c>
      <c r="F81" s="23" t="str">
        <f t="shared" si="2"/>
        <v>rtdc.l.rtdc.4003:itc</v>
      </c>
      <c r="G81" s="8">
        <f t="shared" si="3"/>
        <v>42646.415231481478</v>
      </c>
    </row>
    <row r="82" spans="1:7" x14ac:dyDescent="0.25">
      <c r="A82" s="8">
        <v>42646.420740740738</v>
      </c>
      <c r="B82" s="23" t="s">
        <v>260</v>
      </c>
      <c r="C82" s="23" t="s">
        <v>462</v>
      </c>
      <c r="D82" s="23">
        <v>1110000</v>
      </c>
      <c r="E82" s="23" t="s">
        <v>399</v>
      </c>
      <c r="F82" s="23" t="str">
        <f t="shared" si="2"/>
        <v>rtdc.l.rtdc.4039:itc</v>
      </c>
      <c r="G82" s="8">
        <f t="shared" si="3"/>
        <v>42646.420740740738</v>
      </c>
    </row>
    <row r="83" spans="1:7" x14ac:dyDescent="0.25">
      <c r="A83" s="8">
        <v>42646.420960648145</v>
      </c>
      <c r="B83" s="23" t="s">
        <v>169</v>
      </c>
      <c r="C83" s="23" t="s">
        <v>475</v>
      </c>
      <c r="D83" s="23">
        <v>1260000</v>
      </c>
      <c r="E83" s="23" t="s">
        <v>357</v>
      </c>
      <c r="F83" s="23" t="str">
        <f t="shared" si="2"/>
        <v>rtdc.l.rtdc.4026:itc</v>
      </c>
      <c r="G83" s="8">
        <f t="shared" si="3"/>
        <v>42646.420960648145</v>
      </c>
    </row>
    <row r="84" spans="1:7" x14ac:dyDescent="0.25">
      <c r="A84" s="8">
        <v>42646.429606481484</v>
      </c>
      <c r="B84" s="23" t="s">
        <v>250</v>
      </c>
      <c r="C84" s="23" t="s">
        <v>612</v>
      </c>
      <c r="D84" s="23">
        <v>1280000</v>
      </c>
      <c r="E84" s="23" t="s">
        <v>359</v>
      </c>
      <c r="F84" s="23" t="str">
        <f t="shared" si="2"/>
        <v>rtdc.l.rtdc.4005:itc</v>
      </c>
      <c r="G84" s="8">
        <f t="shared" si="3"/>
        <v>42646.429606481484</v>
      </c>
    </row>
    <row r="85" spans="1:7" x14ac:dyDescent="0.25">
      <c r="A85" s="8">
        <v>42646.430613425924</v>
      </c>
      <c r="B85" s="23" t="s">
        <v>329</v>
      </c>
      <c r="C85" s="23" t="s">
        <v>669</v>
      </c>
      <c r="D85" s="23">
        <v>900000</v>
      </c>
      <c r="E85" s="23" t="s">
        <v>725</v>
      </c>
      <c r="F85" s="23" t="str">
        <f t="shared" si="2"/>
        <v>rtdc.l.rtdc.4031:itc</v>
      </c>
      <c r="G85" s="8">
        <f t="shared" si="3"/>
        <v>42646.430613425924</v>
      </c>
    </row>
    <row r="86" spans="1:7" x14ac:dyDescent="0.25">
      <c r="A86" s="8">
        <v>42646.431747685187</v>
      </c>
      <c r="B86" s="23" t="s">
        <v>248</v>
      </c>
      <c r="C86" s="23" t="s">
        <v>479</v>
      </c>
      <c r="D86" s="23">
        <v>1190000</v>
      </c>
      <c r="E86" s="23" t="s">
        <v>721</v>
      </c>
      <c r="F86" s="23" t="str">
        <f t="shared" si="2"/>
        <v>rtdc.l.rtdc.4045:itc</v>
      </c>
      <c r="G86" s="8">
        <f t="shared" si="3"/>
        <v>42646.431747685187</v>
      </c>
    </row>
    <row r="87" spans="1:7" x14ac:dyDescent="0.25">
      <c r="A87" s="8">
        <v>42646.432372685187</v>
      </c>
      <c r="B87" s="23" t="s">
        <v>717</v>
      </c>
      <c r="C87" s="23" t="s">
        <v>485</v>
      </c>
      <c r="D87" s="23">
        <v>310000</v>
      </c>
      <c r="E87" s="23" t="s">
        <v>727</v>
      </c>
      <c r="F87" s="23" t="str">
        <f t="shared" si="2"/>
        <v>rtdc.l.rtdc.4040:itc</v>
      </c>
      <c r="G87" s="8">
        <f t="shared" si="3"/>
        <v>42646.432372685187</v>
      </c>
    </row>
    <row r="88" spans="1:7" x14ac:dyDescent="0.25">
      <c r="A88" s="8">
        <v>42646.433923611112</v>
      </c>
      <c r="B88" s="23" t="s">
        <v>169</v>
      </c>
      <c r="C88" s="23" t="s">
        <v>475</v>
      </c>
      <c r="D88" s="23">
        <v>1260000</v>
      </c>
      <c r="E88" s="23" t="s">
        <v>357</v>
      </c>
      <c r="F88" s="23" t="str">
        <f t="shared" si="2"/>
        <v>rtdc.l.rtdc.4026:itc</v>
      </c>
      <c r="G88" s="8">
        <f t="shared" si="3"/>
        <v>42646.433923611112</v>
      </c>
    </row>
    <row r="89" spans="1:7" x14ac:dyDescent="0.25">
      <c r="A89" s="8">
        <v>42646.438067129631</v>
      </c>
      <c r="B89" s="23" t="s">
        <v>239</v>
      </c>
      <c r="C89" s="23" t="s">
        <v>488</v>
      </c>
      <c r="D89" s="23">
        <v>1990000</v>
      </c>
      <c r="E89" s="23" t="s">
        <v>398</v>
      </c>
      <c r="F89" s="23" t="str">
        <f t="shared" si="2"/>
        <v>rtdc.l.rtdc.4018:itc</v>
      </c>
      <c r="G89" s="8">
        <f t="shared" si="3"/>
        <v>42646.438067129631</v>
      </c>
    </row>
    <row r="90" spans="1:7" x14ac:dyDescent="0.25">
      <c r="A90" s="8">
        <v>42646.440439814818</v>
      </c>
      <c r="B90" s="23" t="s">
        <v>718</v>
      </c>
      <c r="C90" s="23" t="s">
        <v>482</v>
      </c>
      <c r="D90" s="23">
        <v>1090000</v>
      </c>
      <c r="E90" s="23" t="s">
        <v>722</v>
      </c>
      <c r="F90" s="23" t="str">
        <f t="shared" si="2"/>
        <v>rtdc.l.rtdc.4001:itc</v>
      </c>
      <c r="G90" s="8">
        <f t="shared" si="3"/>
        <v>42646.440439814818</v>
      </c>
    </row>
    <row r="91" spans="1:7" x14ac:dyDescent="0.25">
      <c r="A91" s="8">
        <v>42646.443032407406</v>
      </c>
      <c r="B91" s="23" t="s">
        <v>328</v>
      </c>
      <c r="C91" s="23" t="s">
        <v>672</v>
      </c>
      <c r="D91" s="23">
        <v>900000</v>
      </c>
      <c r="E91" s="23" t="s">
        <v>725</v>
      </c>
      <c r="F91" s="23" t="str">
        <f t="shared" si="2"/>
        <v>rtdc.l.rtdc.4032:itc</v>
      </c>
      <c r="G91" s="8">
        <f t="shared" si="3"/>
        <v>42646.443032407406</v>
      </c>
    </row>
    <row r="92" spans="1:7" x14ac:dyDescent="0.25">
      <c r="A92" s="8">
        <v>42646.44394675926</v>
      </c>
      <c r="B92" s="23" t="s">
        <v>355</v>
      </c>
      <c r="C92" s="23" t="s">
        <v>484</v>
      </c>
      <c r="D92" s="23">
        <v>1830000</v>
      </c>
      <c r="E92" s="23" t="s">
        <v>272</v>
      </c>
      <c r="F92" s="23" t="str">
        <f t="shared" si="2"/>
        <v>rtdc.l.rtdc.4004:itc</v>
      </c>
      <c r="G92" s="8">
        <f t="shared" si="3"/>
        <v>42646.44394675926</v>
      </c>
    </row>
    <row r="93" spans="1:7" x14ac:dyDescent="0.25">
      <c r="A93" s="8">
        <v>42646.446331018517</v>
      </c>
      <c r="B93" s="23" t="s">
        <v>233</v>
      </c>
      <c r="C93" s="23" t="s">
        <v>490</v>
      </c>
      <c r="D93" s="23">
        <v>1310000</v>
      </c>
      <c r="E93" s="23" t="s">
        <v>271</v>
      </c>
      <c r="F93" s="23" t="str">
        <f t="shared" si="2"/>
        <v>rtdc.l.rtdc.4029:itc</v>
      </c>
      <c r="G93" s="8">
        <f t="shared" si="3"/>
        <v>42646.446331018517</v>
      </c>
    </row>
    <row r="94" spans="1:7" x14ac:dyDescent="0.25">
      <c r="A94" s="8">
        <v>42646.458148148151</v>
      </c>
      <c r="B94" s="23" t="s">
        <v>728</v>
      </c>
      <c r="C94" s="23" t="s">
        <v>615</v>
      </c>
      <c r="D94" s="23">
        <v>930000</v>
      </c>
      <c r="E94" s="23" t="s">
        <v>332</v>
      </c>
      <c r="F94" s="23" t="str">
        <f t="shared" si="2"/>
        <v>rtdc.l.rtdc.4021:itc</v>
      </c>
      <c r="G94" s="8">
        <f t="shared" si="3"/>
        <v>42646.458148148151</v>
      </c>
    </row>
    <row r="95" spans="1:7" x14ac:dyDescent="0.25">
      <c r="A95" s="8">
        <v>42646.461018518516</v>
      </c>
      <c r="B95" s="23" t="s">
        <v>168</v>
      </c>
      <c r="C95" s="23" t="s">
        <v>492</v>
      </c>
      <c r="D95" s="23">
        <v>880000</v>
      </c>
      <c r="E95" s="23" t="s">
        <v>331</v>
      </c>
      <c r="F95" s="23" t="str">
        <f t="shared" si="2"/>
        <v>rtdc.l.rtdc.4025:itc</v>
      </c>
      <c r="G95" s="8">
        <f t="shared" si="3"/>
        <v>42646.461018518516</v>
      </c>
    </row>
    <row r="96" spans="1:7" x14ac:dyDescent="0.25">
      <c r="A96" s="8">
        <v>42646.466122685182</v>
      </c>
      <c r="B96" s="23" t="s">
        <v>260</v>
      </c>
      <c r="C96" s="23" t="s">
        <v>487</v>
      </c>
      <c r="D96" s="23">
        <v>310000</v>
      </c>
      <c r="E96" s="23" t="s">
        <v>727</v>
      </c>
      <c r="F96" s="23" t="str">
        <f t="shared" si="2"/>
        <v>rtdc.l.rtdc.4039:itc</v>
      </c>
      <c r="G96" s="8">
        <f t="shared" si="3"/>
        <v>42646.466122685182</v>
      </c>
    </row>
    <row r="97" spans="1:7" x14ac:dyDescent="0.25">
      <c r="A97" s="8">
        <v>42646.468599537038</v>
      </c>
      <c r="B97" s="23" t="s">
        <v>177</v>
      </c>
      <c r="C97" s="23" t="s">
        <v>494</v>
      </c>
      <c r="D97" s="23">
        <v>1280000</v>
      </c>
      <c r="E97" s="23" t="s">
        <v>359</v>
      </c>
      <c r="F97" s="23" t="str">
        <f t="shared" si="2"/>
        <v>rtdc.l.rtdc.4046:itc</v>
      </c>
      <c r="G97" s="8">
        <f t="shared" si="3"/>
        <v>42646.468599537038</v>
      </c>
    </row>
    <row r="98" spans="1:7" x14ac:dyDescent="0.25">
      <c r="A98" s="8">
        <v>42646.469270833331</v>
      </c>
      <c r="B98" s="23" t="s">
        <v>329</v>
      </c>
      <c r="C98" s="23" t="s">
        <v>674</v>
      </c>
      <c r="D98" s="23">
        <v>900000</v>
      </c>
      <c r="E98" s="23" t="s">
        <v>725</v>
      </c>
      <c r="F98" s="23" t="str">
        <f t="shared" si="2"/>
        <v>rtdc.l.rtdc.4031:itc</v>
      </c>
      <c r="G98" s="8">
        <f t="shared" si="3"/>
        <v>42646.469270833331</v>
      </c>
    </row>
    <row r="99" spans="1:7" x14ac:dyDescent="0.25">
      <c r="A99" s="8">
        <v>42646.471956018519</v>
      </c>
      <c r="B99" s="23" t="s">
        <v>238</v>
      </c>
      <c r="C99" s="23" t="s">
        <v>489</v>
      </c>
      <c r="D99" s="23">
        <v>1990000</v>
      </c>
      <c r="E99" s="23" t="s">
        <v>398</v>
      </c>
      <c r="F99" s="23" t="str">
        <f t="shared" si="2"/>
        <v>rtdc.l.rtdc.4017:itc</v>
      </c>
      <c r="G99" s="8">
        <f t="shared" si="3"/>
        <v>42646.471956018519</v>
      </c>
    </row>
    <row r="100" spans="1:7" x14ac:dyDescent="0.25">
      <c r="A100" s="8">
        <v>42646.476782407408</v>
      </c>
      <c r="B100" s="23" t="s">
        <v>729</v>
      </c>
      <c r="C100" s="23" t="s">
        <v>618</v>
      </c>
      <c r="D100" s="23">
        <v>1240000</v>
      </c>
      <c r="E100" s="23" t="s">
        <v>724</v>
      </c>
      <c r="F100" s="23" t="str">
        <f t="shared" si="2"/>
        <v>rtdc.l.rtdc.4022:itc</v>
      </c>
      <c r="G100" s="8">
        <f t="shared" si="3"/>
        <v>42646.476782407408</v>
      </c>
    </row>
    <row r="101" spans="1:7" x14ac:dyDescent="0.25">
      <c r="A101" s="8">
        <v>42646.477118055554</v>
      </c>
      <c r="B101" s="23" t="s">
        <v>719</v>
      </c>
      <c r="C101" s="23" t="s">
        <v>497</v>
      </c>
      <c r="D101" s="23">
        <v>940000</v>
      </c>
      <c r="E101" s="23" t="s">
        <v>730</v>
      </c>
      <c r="F101" s="23" t="str">
        <f t="shared" si="2"/>
        <v>rtdc.l.rtdc.4002:itc</v>
      </c>
      <c r="G101" s="8">
        <f t="shared" si="3"/>
        <v>42646.477118055554</v>
      </c>
    </row>
    <row r="102" spans="1:7" x14ac:dyDescent="0.25">
      <c r="A102" s="8">
        <v>42646.477418981478</v>
      </c>
      <c r="B102" s="23" t="s">
        <v>729</v>
      </c>
      <c r="C102" s="23" t="s">
        <v>618</v>
      </c>
      <c r="D102" s="23">
        <v>1240000</v>
      </c>
      <c r="E102" s="23" t="s">
        <v>724</v>
      </c>
      <c r="F102" s="23" t="str">
        <f t="shared" si="2"/>
        <v>rtdc.l.rtdc.4022:itc</v>
      </c>
      <c r="G102" s="8">
        <f t="shared" si="3"/>
        <v>42646.477418981478</v>
      </c>
    </row>
    <row r="103" spans="1:7" x14ac:dyDescent="0.25">
      <c r="A103" s="8">
        <v>42646.48542824074</v>
      </c>
      <c r="B103" s="23" t="s">
        <v>328</v>
      </c>
      <c r="C103" s="23" t="s">
        <v>677</v>
      </c>
      <c r="D103" s="23">
        <v>900000</v>
      </c>
      <c r="E103" s="23" t="s">
        <v>725</v>
      </c>
      <c r="F103" s="23" t="str">
        <f t="shared" si="2"/>
        <v>rtdc.l.rtdc.4032:itc</v>
      </c>
      <c r="G103" s="8">
        <f t="shared" si="3"/>
        <v>42646.48542824074</v>
      </c>
    </row>
    <row r="104" spans="1:7" x14ac:dyDescent="0.25">
      <c r="A104" s="8">
        <v>42646.485879629632</v>
      </c>
      <c r="B104" s="23" t="s">
        <v>356</v>
      </c>
      <c r="C104" s="23" t="s">
        <v>491</v>
      </c>
      <c r="D104" s="23">
        <v>1310000</v>
      </c>
      <c r="E104" s="23" t="s">
        <v>271</v>
      </c>
      <c r="F104" s="23" t="str">
        <f t="shared" si="2"/>
        <v>rtdc.l.rtdc.4030:itc</v>
      </c>
      <c r="G104" s="8">
        <f t="shared" si="3"/>
        <v>42646.485879629632</v>
      </c>
    </row>
    <row r="105" spans="1:7" x14ac:dyDescent="0.25">
      <c r="A105" s="8">
        <v>42646.491643518515</v>
      </c>
      <c r="B105" s="23" t="s">
        <v>354</v>
      </c>
      <c r="C105" s="23" t="s">
        <v>501</v>
      </c>
      <c r="D105" s="23">
        <v>930000</v>
      </c>
      <c r="E105" s="23" t="s">
        <v>332</v>
      </c>
      <c r="F105" s="23" t="str">
        <f t="shared" si="2"/>
        <v>rtdc.l.rtdc.4003:itc</v>
      </c>
      <c r="G105" s="8">
        <f t="shared" si="3"/>
        <v>42646.491643518515</v>
      </c>
    </row>
    <row r="106" spans="1:7" x14ac:dyDescent="0.25">
      <c r="A106" s="8">
        <v>42646.496527777781</v>
      </c>
      <c r="B106" s="23" t="s">
        <v>169</v>
      </c>
      <c r="C106" s="23" t="s">
        <v>493</v>
      </c>
      <c r="D106" s="23">
        <v>880000</v>
      </c>
      <c r="E106" s="23" t="s">
        <v>331</v>
      </c>
      <c r="F106" s="23" t="str">
        <f t="shared" si="2"/>
        <v>rtdc.l.rtdc.4026:itc</v>
      </c>
      <c r="G106" s="8">
        <f t="shared" si="3"/>
        <v>42646.496527777781</v>
      </c>
    </row>
    <row r="107" spans="1:7" x14ac:dyDescent="0.25">
      <c r="A107" s="8">
        <v>42646.502615740741</v>
      </c>
      <c r="B107" s="23" t="s">
        <v>717</v>
      </c>
      <c r="C107" s="23" t="s">
        <v>504</v>
      </c>
      <c r="D107" s="23">
        <v>1140000</v>
      </c>
      <c r="E107" s="23" t="s">
        <v>400</v>
      </c>
      <c r="F107" s="23" t="str">
        <f t="shared" si="2"/>
        <v>rtdc.l.rtdc.4040:itc</v>
      </c>
      <c r="G107" s="8">
        <f t="shared" si="3"/>
        <v>42646.502615740741</v>
      </c>
    </row>
    <row r="108" spans="1:7" x14ac:dyDescent="0.25">
      <c r="A108" s="8">
        <v>42646.506620370368</v>
      </c>
      <c r="B108" s="23" t="s">
        <v>248</v>
      </c>
      <c r="C108" s="23" t="s">
        <v>496</v>
      </c>
      <c r="D108" s="23">
        <v>1280000</v>
      </c>
      <c r="E108" s="23" t="s">
        <v>359</v>
      </c>
      <c r="F108" s="23" t="str">
        <f t="shared" si="2"/>
        <v>rtdc.l.rtdc.4045:itc</v>
      </c>
      <c r="G108" s="8">
        <f t="shared" si="3"/>
        <v>42646.506620370368</v>
      </c>
    </row>
    <row r="109" spans="1:7" x14ac:dyDescent="0.25">
      <c r="A109" s="8">
        <v>42646.509166666663</v>
      </c>
      <c r="B109" s="23" t="s">
        <v>239</v>
      </c>
      <c r="C109" s="23" t="s">
        <v>506</v>
      </c>
      <c r="D109" s="23">
        <v>1540000</v>
      </c>
      <c r="E109" s="23" t="s">
        <v>731</v>
      </c>
      <c r="F109" s="23" t="str">
        <f t="shared" si="2"/>
        <v>rtdc.l.rtdc.4018:itc</v>
      </c>
      <c r="G109" s="8">
        <f t="shared" si="3"/>
        <v>42646.509166666663</v>
      </c>
    </row>
    <row r="110" spans="1:7" x14ac:dyDescent="0.25">
      <c r="A110" s="8">
        <v>42646.513402777775</v>
      </c>
      <c r="B110" s="23" t="s">
        <v>718</v>
      </c>
      <c r="C110" s="23" t="s">
        <v>499</v>
      </c>
      <c r="D110" s="23">
        <v>940000</v>
      </c>
      <c r="E110" s="23" t="s">
        <v>730</v>
      </c>
      <c r="F110" s="23" t="str">
        <f t="shared" si="2"/>
        <v>rtdc.l.rtdc.4001:itc</v>
      </c>
      <c r="G110" s="8">
        <f t="shared" si="3"/>
        <v>42646.513402777775</v>
      </c>
    </row>
    <row r="111" spans="1:7" x14ac:dyDescent="0.25">
      <c r="A111" s="8">
        <v>42646.521203703705</v>
      </c>
      <c r="B111" s="23" t="s">
        <v>233</v>
      </c>
      <c r="C111" s="23" t="s">
        <v>508</v>
      </c>
      <c r="D111" s="23">
        <v>2020000</v>
      </c>
      <c r="E111" s="23" t="s">
        <v>275</v>
      </c>
      <c r="F111" s="23" t="str">
        <f t="shared" si="2"/>
        <v>rtdc.l.rtdc.4029:itc</v>
      </c>
      <c r="G111" s="8">
        <f t="shared" si="3"/>
        <v>42646.521203703705</v>
      </c>
    </row>
    <row r="112" spans="1:7" x14ac:dyDescent="0.25">
      <c r="A112" s="8">
        <v>42646.526736111111</v>
      </c>
      <c r="B112" s="23" t="s">
        <v>355</v>
      </c>
      <c r="C112" s="23" t="s">
        <v>502</v>
      </c>
      <c r="D112" s="23">
        <v>930000</v>
      </c>
      <c r="E112" s="23" t="s">
        <v>332</v>
      </c>
      <c r="F112" s="23" t="str">
        <f t="shared" si="2"/>
        <v>rtdc.l.rtdc.4004:itc</v>
      </c>
      <c r="G112" s="8">
        <f t="shared" si="3"/>
        <v>42646.526736111111</v>
      </c>
    </row>
    <row r="113" spans="1:7" x14ac:dyDescent="0.25">
      <c r="A113" s="8">
        <v>42646.532164351855</v>
      </c>
      <c r="B113" s="23" t="s">
        <v>168</v>
      </c>
      <c r="C113" s="23" t="s">
        <v>511</v>
      </c>
      <c r="D113" s="23">
        <v>880000</v>
      </c>
      <c r="E113" s="23" t="s">
        <v>331</v>
      </c>
      <c r="F113" s="23" t="str">
        <f t="shared" si="2"/>
        <v>rtdc.l.rtdc.4025:itc</v>
      </c>
      <c r="G113" s="8">
        <f t="shared" si="3"/>
        <v>42646.532164351855</v>
      </c>
    </row>
    <row r="114" spans="1:7" x14ac:dyDescent="0.25">
      <c r="A114" s="8">
        <v>42646.535324074073</v>
      </c>
      <c r="B114" s="23" t="s">
        <v>260</v>
      </c>
      <c r="C114" s="23" t="s">
        <v>505</v>
      </c>
      <c r="D114" s="23">
        <v>1140000</v>
      </c>
      <c r="E114" s="23" t="s">
        <v>400</v>
      </c>
      <c r="F114" s="23" t="str">
        <f t="shared" si="2"/>
        <v>rtdc.l.rtdc.4039:itc</v>
      </c>
      <c r="G114" s="8">
        <f t="shared" si="3"/>
        <v>42646.535324074073</v>
      </c>
    </row>
    <row r="115" spans="1:7" x14ac:dyDescent="0.25">
      <c r="A115" s="8">
        <v>42646.536990740744</v>
      </c>
      <c r="B115" s="23" t="s">
        <v>177</v>
      </c>
      <c r="C115" s="23" t="s">
        <v>515</v>
      </c>
      <c r="D115" s="23">
        <v>1280000</v>
      </c>
      <c r="E115" s="23" t="s">
        <v>359</v>
      </c>
      <c r="F115" s="23" t="str">
        <f t="shared" si="2"/>
        <v>rtdc.l.rtdc.4046:itc</v>
      </c>
      <c r="G115" s="8">
        <f t="shared" si="3"/>
        <v>42646.536990740744</v>
      </c>
    </row>
    <row r="116" spans="1:7" x14ac:dyDescent="0.25">
      <c r="A116" s="8">
        <v>42646.547615740739</v>
      </c>
      <c r="B116" s="23" t="s">
        <v>719</v>
      </c>
      <c r="C116" s="23" t="s">
        <v>517</v>
      </c>
      <c r="D116" s="23">
        <v>940000</v>
      </c>
      <c r="E116" s="23" t="s">
        <v>730</v>
      </c>
      <c r="F116" s="23" t="str">
        <f t="shared" si="2"/>
        <v>rtdc.l.rtdc.4002:itc</v>
      </c>
      <c r="G116" s="8">
        <f t="shared" si="3"/>
        <v>42646.547615740739</v>
      </c>
    </row>
    <row r="117" spans="1:7" x14ac:dyDescent="0.25">
      <c r="A117" s="8">
        <v>42646.548125000001</v>
      </c>
      <c r="B117" s="23" t="s">
        <v>238</v>
      </c>
      <c r="C117" s="23" t="s">
        <v>507</v>
      </c>
      <c r="D117" s="23">
        <v>1540000</v>
      </c>
      <c r="E117" s="23" t="s">
        <v>731</v>
      </c>
      <c r="F117" s="23" t="str">
        <f t="shared" si="2"/>
        <v>rtdc.l.rtdc.4017:itc</v>
      </c>
      <c r="G117" s="8">
        <f t="shared" si="3"/>
        <v>42646.548125000001</v>
      </c>
    </row>
    <row r="118" spans="1:7" x14ac:dyDescent="0.25">
      <c r="A118" s="8">
        <v>42646.557175925926</v>
      </c>
      <c r="B118" s="23" t="s">
        <v>356</v>
      </c>
      <c r="C118" s="23" t="s">
        <v>509</v>
      </c>
      <c r="D118" s="23">
        <v>2020000</v>
      </c>
      <c r="E118" s="23" t="s">
        <v>275</v>
      </c>
      <c r="F118" s="23" t="str">
        <f t="shared" si="2"/>
        <v>rtdc.l.rtdc.4030:itc</v>
      </c>
      <c r="G118" s="8">
        <f t="shared" si="3"/>
        <v>42646.557175925926</v>
      </c>
    </row>
    <row r="119" spans="1:7" x14ac:dyDescent="0.25">
      <c r="A119" s="8">
        <v>42646.560555555552</v>
      </c>
      <c r="B119" s="23" t="s">
        <v>354</v>
      </c>
      <c r="C119" s="23" t="s">
        <v>519</v>
      </c>
      <c r="D119" s="23">
        <v>930000</v>
      </c>
      <c r="E119" s="23" t="s">
        <v>332</v>
      </c>
      <c r="F119" s="23" t="str">
        <f t="shared" si="2"/>
        <v>rtdc.l.rtdc.4003:itc</v>
      </c>
      <c r="G119" s="8">
        <f t="shared" si="3"/>
        <v>42646.560555555552</v>
      </c>
    </row>
    <row r="120" spans="1:7" x14ac:dyDescent="0.25">
      <c r="A120" s="8">
        <v>42646.568298611113</v>
      </c>
      <c r="B120" s="23" t="s">
        <v>169</v>
      </c>
      <c r="C120" s="23" t="s">
        <v>513</v>
      </c>
      <c r="D120" s="23">
        <v>880000</v>
      </c>
      <c r="E120" s="23" t="s">
        <v>331</v>
      </c>
      <c r="F120" s="23" t="str">
        <f t="shared" si="2"/>
        <v>rtdc.l.rtdc.4026:itc</v>
      </c>
      <c r="G120" s="8">
        <f t="shared" si="3"/>
        <v>42646.568298611113</v>
      </c>
    </row>
    <row r="121" spans="1:7" x14ac:dyDescent="0.25">
      <c r="A121" s="8">
        <v>42646.569432870368</v>
      </c>
      <c r="B121" s="23" t="s">
        <v>717</v>
      </c>
      <c r="C121" s="23" t="s">
        <v>522</v>
      </c>
      <c r="D121" s="23">
        <v>1140000</v>
      </c>
      <c r="E121" s="23" t="s">
        <v>400</v>
      </c>
      <c r="F121" s="23" t="str">
        <f t="shared" si="2"/>
        <v>rtdc.l.rtdc.4040:itc</v>
      </c>
      <c r="G121" s="8">
        <f t="shared" si="3"/>
        <v>42646.569432870368</v>
      </c>
    </row>
    <row r="122" spans="1:7" x14ac:dyDescent="0.25">
      <c r="A122" s="8">
        <v>42646.571446759262</v>
      </c>
      <c r="B122" s="28" t="s">
        <v>248</v>
      </c>
      <c r="C122" s="23" t="s">
        <v>516</v>
      </c>
      <c r="D122" s="23">
        <v>1280000</v>
      </c>
      <c r="E122" s="23" t="s">
        <v>359</v>
      </c>
      <c r="F122" s="23" t="str">
        <f t="shared" si="2"/>
        <v>rtdc.l.rtdc.4045:itc</v>
      </c>
      <c r="G122" s="8">
        <f t="shared" si="3"/>
        <v>42646.571446759262</v>
      </c>
    </row>
    <row r="123" spans="1:7" x14ac:dyDescent="0.25">
      <c r="A123" s="8">
        <v>42646.579687500001</v>
      </c>
      <c r="B123" s="23" t="s">
        <v>239</v>
      </c>
      <c r="C123" s="23" t="s">
        <v>525</v>
      </c>
      <c r="D123" s="23">
        <v>1540000</v>
      </c>
      <c r="E123" s="23" t="s">
        <v>731</v>
      </c>
      <c r="F123" s="23" t="str">
        <f t="shared" si="2"/>
        <v>rtdc.l.rtdc.4018:itc</v>
      </c>
      <c r="G123" s="8">
        <f t="shared" si="3"/>
        <v>42646.579687500001</v>
      </c>
    </row>
    <row r="124" spans="1:7" x14ac:dyDescent="0.25">
      <c r="A124" s="8">
        <v>42646.583356481482</v>
      </c>
      <c r="B124" s="23" t="s">
        <v>718</v>
      </c>
      <c r="C124" s="23" t="s">
        <v>518</v>
      </c>
      <c r="D124" s="23">
        <v>940000</v>
      </c>
      <c r="E124" s="23" t="s">
        <v>730</v>
      </c>
      <c r="F124" s="23" t="str">
        <f t="shared" si="2"/>
        <v>rtdc.l.rtdc.4001:itc</v>
      </c>
      <c r="G124" s="8">
        <f t="shared" si="3"/>
        <v>42646.583356481482</v>
      </c>
    </row>
    <row r="125" spans="1:7" x14ac:dyDescent="0.25">
      <c r="A125" s="8">
        <v>42646.589247685188</v>
      </c>
      <c r="B125" s="23" t="s">
        <v>233</v>
      </c>
      <c r="C125" s="23" t="s">
        <v>528</v>
      </c>
      <c r="D125" s="23">
        <v>2020000</v>
      </c>
      <c r="E125" s="23" t="s">
        <v>275</v>
      </c>
      <c r="F125" s="23" t="str">
        <f t="shared" si="2"/>
        <v>rtdc.l.rtdc.4029:itc</v>
      </c>
      <c r="G125" s="8">
        <f t="shared" si="3"/>
        <v>42646.589247685188</v>
      </c>
    </row>
    <row r="126" spans="1:7" x14ac:dyDescent="0.25">
      <c r="A126" s="8">
        <v>42646.598182870373</v>
      </c>
      <c r="B126" s="23" t="s">
        <v>355</v>
      </c>
      <c r="C126" s="23" t="s">
        <v>520</v>
      </c>
      <c r="D126" s="23">
        <v>930000</v>
      </c>
      <c r="E126" s="23" t="s">
        <v>332</v>
      </c>
      <c r="F126" s="23" t="str">
        <f t="shared" si="2"/>
        <v>rtdc.l.rtdc.4004:itc</v>
      </c>
      <c r="G126" s="8">
        <f t="shared" si="3"/>
        <v>42646.598182870373</v>
      </c>
    </row>
    <row r="127" spans="1:7" x14ac:dyDescent="0.25">
      <c r="A127" s="8">
        <v>42646.601458333331</v>
      </c>
      <c r="B127" s="23" t="s">
        <v>168</v>
      </c>
      <c r="C127" s="23" t="s">
        <v>532</v>
      </c>
      <c r="D127" s="23">
        <v>880000</v>
      </c>
      <c r="E127" s="23" t="s">
        <v>331</v>
      </c>
      <c r="F127" s="23" t="str">
        <f t="shared" si="2"/>
        <v>rtdc.l.rtdc.4025:itc</v>
      </c>
      <c r="G127" s="8">
        <f t="shared" si="3"/>
        <v>42646.601458333331</v>
      </c>
    </row>
    <row r="128" spans="1:7" x14ac:dyDescent="0.25">
      <c r="A128" s="8">
        <v>42646.608877314815</v>
      </c>
      <c r="B128" s="23" t="s">
        <v>260</v>
      </c>
      <c r="C128" s="23" t="s">
        <v>524</v>
      </c>
      <c r="D128" s="23">
        <v>1140000</v>
      </c>
      <c r="E128" s="23" t="s">
        <v>400</v>
      </c>
      <c r="F128" s="23" t="str">
        <f t="shared" si="2"/>
        <v>rtdc.l.rtdc.4039:itc</v>
      </c>
      <c r="G128" s="8">
        <f t="shared" si="3"/>
        <v>42646.608877314815</v>
      </c>
    </row>
    <row r="129" spans="1:7" x14ac:dyDescent="0.25">
      <c r="A129" s="8">
        <v>42646.610532407409</v>
      </c>
      <c r="B129" s="23" t="s">
        <v>177</v>
      </c>
      <c r="C129" s="23" t="s">
        <v>534</v>
      </c>
      <c r="D129" s="23">
        <v>1280000</v>
      </c>
      <c r="E129" s="23" t="s">
        <v>359</v>
      </c>
      <c r="F129" s="23" t="str">
        <f t="shared" si="2"/>
        <v>rtdc.l.rtdc.4046:itc</v>
      </c>
      <c r="G129" s="8">
        <f t="shared" si="3"/>
        <v>42646.610532407409</v>
      </c>
    </row>
    <row r="130" spans="1:7" x14ac:dyDescent="0.25">
      <c r="A130" s="8">
        <v>42646.620254629626</v>
      </c>
      <c r="B130" s="23" t="s">
        <v>238</v>
      </c>
      <c r="C130" s="23" t="s">
        <v>527</v>
      </c>
      <c r="D130" s="23">
        <v>1540000</v>
      </c>
      <c r="E130" s="23" t="s">
        <v>731</v>
      </c>
      <c r="F130" s="23" t="str">
        <f t="shared" ref="F130:F193" si="4">B130</f>
        <v>rtdc.l.rtdc.4017:itc</v>
      </c>
      <c r="G130" s="8">
        <f t="shared" ref="G130:G193" si="5">A130</f>
        <v>42646.620254629626</v>
      </c>
    </row>
    <row r="131" spans="1:7" x14ac:dyDescent="0.25">
      <c r="A131" s="8">
        <v>42646.621458333335</v>
      </c>
      <c r="B131" s="23" t="s">
        <v>719</v>
      </c>
      <c r="C131" s="23" t="s">
        <v>536</v>
      </c>
      <c r="D131" s="23">
        <v>940000</v>
      </c>
      <c r="E131" s="23" t="s">
        <v>730</v>
      </c>
      <c r="F131" s="23" t="str">
        <f t="shared" si="4"/>
        <v>rtdc.l.rtdc.4002:itc</v>
      </c>
      <c r="G131" s="8">
        <f t="shared" si="5"/>
        <v>42646.621458333335</v>
      </c>
    </row>
    <row r="132" spans="1:7" x14ac:dyDescent="0.25">
      <c r="A132" s="8">
        <v>42646.628148148149</v>
      </c>
      <c r="B132" s="23" t="s">
        <v>356</v>
      </c>
      <c r="C132" s="23" t="s">
        <v>530</v>
      </c>
      <c r="D132" s="23">
        <v>2020000</v>
      </c>
      <c r="E132" s="23" t="s">
        <v>275</v>
      </c>
      <c r="F132" s="23" t="str">
        <f t="shared" si="4"/>
        <v>rtdc.l.rtdc.4030:itc</v>
      </c>
      <c r="G132" s="8">
        <f t="shared" si="5"/>
        <v>42646.628148148149</v>
      </c>
    </row>
    <row r="133" spans="1:7" x14ac:dyDescent="0.25">
      <c r="A133" s="8">
        <v>42646.638935185183</v>
      </c>
      <c r="B133" s="23" t="s">
        <v>169</v>
      </c>
      <c r="C133" s="23" t="s">
        <v>533</v>
      </c>
      <c r="D133" s="23">
        <v>880000</v>
      </c>
      <c r="E133" s="23" t="s">
        <v>331</v>
      </c>
      <c r="F133" s="23" t="str">
        <f t="shared" si="4"/>
        <v>rtdc.l.rtdc.4026:itc</v>
      </c>
      <c r="G133" s="8">
        <f t="shared" si="5"/>
        <v>42646.638935185183</v>
      </c>
    </row>
    <row r="134" spans="1:7" x14ac:dyDescent="0.25">
      <c r="A134" s="8">
        <v>42646.639328703706</v>
      </c>
      <c r="B134" s="23" t="s">
        <v>354</v>
      </c>
      <c r="C134" s="23" t="s">
        <v>540</v>
      </c>
      <c r="D134" s="23">
        <v>930000</v>
      </c>
      <c r="E134" s="23" t="s">
        <v>332</v>
      </c>
      <c r="F134" s="23" t="str">
        <f t="shared" si="4"/>
        <v>rtdc.l.rtdc.4003:itc</v>
      </c>
      <c r="G134" s="8">
        <f t="shared" si="5"/>
        <v>42646.639328703706</v>
      </c>
    </row>
    <row r="135" spans="1:7" x14ac:dyDescent="0.25">
      <c r="A135" s="8">
        <v>42646.647291666668</v>
      </c>
      <c r="B135" s="23" t="s">
        <v>717</v>
      </c>
      <c r="C135" s="23" t="s">
        <v>543</v>
      </c>
      <c r="D135" s="23">
        <v>1140000</v>
      </c>
      <c r="E135" s="23" t="s">
        <v>400</v>
      </c>
      <c r="F135" s="23" t="str">
        <f t="shared" si="4"/>
        <v>rtdc.l.rtdc.4040:itc</v>
      </c>
      <c r="G135" s="8">
        <f t="shared" si="5"/>
        <v>42646.647291666668</v>
      </c>
    </row>
    <row r="136" spans="1:7" x14ac:dyDescent="0.25">
      <c r="A136" s="8">
        <v>42646.651990740742</v>
      </c>
      <c r="B136" s="23" t="s">
        <v>248</v>
      </c>
      <c r="C136" s="23" t="s">
        <v>535</v>
      </c>
      <c r="D136" s="23">
        <v>1280000</v>
      </c>
      <c r="E136" s="23" t="s">
        <v>359</v>
      </c>
      <c r="F136" s="23" t="str">
        <f t="shared" si="4"/>
        <v>rtdc.l.rtdc.4045:itc</v>
      </c>
      <c r="G136" s="8">
        <f t="shared" si="5"/>
        <v>42646.651990740742</v>
      </c>
    </row>
    <row r="137" spans="1:7" x14ac:dyDescent="0.25">
      <c r="A137" s="8">
        <v>42646.658020833333</v>
      </c>
      <c r="B137" s="23" t="s">
        <v>718</v>
      </c>
      <c r="C137" s="23" t="s">
        <v>537</v>
      </c>
      <c r="D137" s="23">
        <v>940000</v>
      </c>
      <c r="E137" s="23" t="s">
        <v>730</v>
      </c>
      <c r="F137" s="23" t="str">
        <f t="shared" si="4"/>
        <v>rtdc.l.rtdc.4001:itc</v>
      </c>
      <c r="G137" s="8">
        <f t="shared" si="5"/>
        <v>42646.658020833333</v>
      </c>
    </row>
    <row r="138" spans="1:7" x14ac:dyDescent="0.25">
      <c r="A138" s="8">
        <v>42646.65898148148</v>
      </c>
      <c r="B138" s="23" t="s">
        <v>239</v>
      </c>
      <c r="C138" s="23" t="s">
        <v>545</v>
      </c>
      <c r="D138" s="23">
        <v>1540000</v>
      </c>
      <c r="E138" s="23" t="s">
        <v>731</v>
      </c>
      <c r="F138" s="23" t="str">
        <f t="shared" si="4"/>
        <v>rtdc.l.rtdc.4018:itc</v>
      </c>
      <c r="G138" s="8">
        <f t="shared" si="5"/>
        <v>42646.65898148148</v>
      </c>
    </row>
    <row r="139" spans="1:7" x14ac:dyDescent="0.25">
      <c r="A139" s="8">
        <v>42646.661365740743</v>
      </c>
      <c r="B139" s="23" t="s">
        <v>718</v>
      </c>
      <c r="C139" s="23" t="s">
        <v>537</v>
      </c>
      <c r="D139" s="23">
        <v>940000</v>
      </c>
      <c r="E139" s="23" t="s">
        <v>730</v>
      </c>
      <c r="F139" s="23" t="str">
        <f t="shared" si="4"/>
        <v>rtdc.l.rtdc.4001:itc</v>
      </c>
      <c r="G139" s="8">
        <f t="shared" si="5"/>
        <v>42646.661365740743</v>
      </c>
    </row>
    <row r="140" spans="1:7" x14ac:dyDescent="0.25">
      <c r="A140" s="8">
        <v>42646.664664351854</v>
      </c>
      <c r="B140" s="23" t="s">
        <v>233</v>
      </c>
      <c r="C140" s="23" t="s">
        <v>547</v>
      </c>
      <c r="D140" s="23">
        <v>2020000</v>
      </c>
      <c r="E140" s="23" t="s">
        <v>275</v>
      </c>
      <c r="F140" s="23" t="str">
        <f t="shared" si="4"/>
        <v>rtdc.l.rtdc.4029:itc</v>
      </c>
      <c r="G140" s="8">
        <f t="shared" si="5"/>
        <v>42646.664664351854</v>
      </c>
    </row>
    <row r="141" spans="1:7" x14ac:dyDescent="0.25">
      <c r="A141" s="8">
        <v>42646.674409722225</v>
      </c>
      <c r="B141" s="23" t="s">
        <v>355</v>
      </c>
      <c r="C141" s="23" t="s">
        <v>542</v>
      </c>
      <c r="D141" s="23">
        <v>930000</v>
      </c>
      <c r="E141" s="23" t="s">
        <v>332</v>
      </c>
      <c r="F141" s="23" t="str">
        <f t="shared" si="4"/>
        <v>rtdc.l.rtdc.4004:itc</v>
      </c>
      <c r="G141" s="8">
        <f t="shared" si="5"/>
        <v>42646.674409722225</v>
      </c>
    </row>
    <row r="142" spans="1:7" x14ac:dyDescent="0.25">
      <c r="A142" s="8">
        <v>42646.67633101852</v>
      </c>
      <c r="B142" s="23" t="s">
        <v>718</v>
      </c>
      <c r="C142" s="23" t="s">
        <v>537</v>
      </c>
      <c r="D142" s="23">
        <v>940000</v>
      </c>
      <c r="E142" s="23" t="s">
        <v>730</v>
      </c>
      <c r="F142" s="23" t="str">
        <f t="shared" si="4"/>
        <v>rtdc.l.rtdc.4001:itc</v>
      </c>
      <c r="G142" s="8">
        <f t="shared" si="5"/>
        <v>42646.67633101852</v>
      </c>
    </row>
    <row r="143" spans="1:7" x14ac:dyDescent="0.25">
      <c r="A143" s="8">
        <v>42646.678703703707</v>
      </c>
      <c r="B143" s="23" t="s">
        <v>168</v>
      </c>
      <c r="C143" s="23" t="s">
        <v>550</v>
      </c>
      <c r="D143" s="23">
        <v>880000</v>
      </c>
      <c r="E143" s="23" t="s">
        <v>331</v>
      </c>
      <c r="F143" s="23" t="str">
        <f t="shared" si="4"/>
        <v>rtdc.l.rtdc.4025:itc</v>
      </c>
      <c r="G143" s="8">
        <f t="shared" si="5"/>
        <v>42646.678703703707</v>
      </c>
    </row>
    <row r="144" spans="1:7" x14ac:dyDescent="0.25">
      <c r="A144" s="8">
        <v>42646.683506944442</v>
      </c>
      <c r="B144" s="23" t="s">
        <v>260</v>
      </c>
      <c r="C144" s="23" t="s">
        <v>544</v>
      </c>
      <c r="D144" s="23">
        <v>1140000</v>
      </c>
      <c r="E144" s="23" t="s">
        <v>400</v>
      </c>
      <c r="F144" s="23" t="str">
        <f t="shared" si="4"/>
        <v>rtdc.l.rtdc.4039:itc</v>
      </c>
      <c r="G144" s="8">
        <f t="shared" si="5"/>
        <v>42646.683506944442</v>
      </c>
    </row>
    <row r="145" spans="1:7" x14ac:dyDescent="0.25">
      <c r="A145" s="8">
        <v>42646.684791666667</v>
      </c>
      <c r="B145" s="23" t="s">
        <v>177</v>
      </c>
      <c r="C145" s="23" t="s">
        <v>554</v>
      </c>
      <c r="D145" s="23">
        <v>1280000</v>
      </c>
      <c r="E145" s="23" t="s">
        <v>359</v>
      </c>
      <c r="F145" s="23" t="str">
        <f t="shared" si="4"/>
        <v>rtdc.l.rtdc.4046:itc</v>
      </c>
      <c r="G145" s="8">
        <f t="shared" si="5"/>
        <v>42646.684791666667</v>
      </c>
    </row>
    <row r="146" spans="1:7" x14ac:dyDescent="0.25">
      <c r="A146" s="8">
        <v>42646.685393518521</v>
      </c>
      <c r="B146" s="23" t="s">
        <v>177</v>
      </c>
      <c r="C146" s="23" t="s">
        <v>552</v>
      </c>
      <c r="D146" s="23">
        <v>1280000</v>
      </c>
      <c r="E146" s="23" t="s">
        <v>359</v>
      </c>
      <c r="F146" s="23" t="str">
        <f t="shared" si="4"/>
        <v>rtdc.l.rtdc.4046:itc</v>
      </c>
      <c r="G146" s="8">
        <f t="shared" si="5"/>
        <v>42646.685393518521</v>
      </c>
    </row>
    <row r="147" spans="1:7" x14ac:dyDescent="0.25">
      <c r="A147" s="8">
        <v>42646.693067129629</v>
      </c>
      <c r="B147" s="23" t="s">
        <v>238</v>
      </c>
      <c r="C147" s="23" t="s">
        <v>546</v>
      </c>
      <c r="D147" s="23">
        <v>1540000</v>
      </c>
      <c r="E147" s="23" t="s">
        <v>731</v>
      </c>
      <c r="F147" s="23" t="str">
        <f t="shared" si="4"/>
        <v>rtdc.l.rtdc.4017:itc</v>
      </c>
      <c r="G147" s="8">
        <f t="shared" si="5"/>
        <v>42646.693067129629</v>
      </c>
    </row>
    <row r="148" spans="1:7" x14ac:dyDescent="0.25">
      <c r="A148" s="8">
        <v>42646.700914351852</v>
      </c>
      <c r="B148" s="23" t="s">
        <v>719</v>
      </c>
      <c r="C148" s="23" t="s">
        <v>555</v>
      </c>
      <c r="D148" s="23">
        <v>940000</v>
      </c>
      <c r="E148" s="23" t="s">
        <v>730</v>
      </c>
      <c r="F148" s="23" t="str">
        <f t="shared" si="4"/>
        <v>rtdc.l.rtdc.4002:itc</v>
      </c>
      <c r="G148" s="8">
        <f t="shared" si="5"/>
        <v>42646.700914351852</v>
      </c>
    </row>
    <row r="149" spans="1:7" x14ac:dyDescent="0.25">
      <c r="A149" s="8">
        <v>42646.703229166669</v>
      </c>
      <c r="B149" s="23" t="s">
        <v>356</v>
      </c>
      <c r="C149" s="23" t="s">
        <v>732</v>
      </c>
      <c r="D149" s="23">
        <v>2020000</v>
      </c>
      <c r="E149" s="23" t="s">
        <v>275</v>
      </c>
      <c r="F149" s="23" t="str">
        <f t="shared" si="4"/>
        <v>rtdc.l.rtdc.4030:itc</v>
      </c>
      <c r="G149" s="8">
        <f t="shared" si="5"/>
        <v>42646.703229166669</v>
      </c>
    </row>
    <row r="150" spans="1:7" x14ac:dyDescent="0.25">
      <c r="A150" s="8">
        <v>42646.70349537037</v>
      </c>
      <c r="B150" s="23" t="s">
        <v>328</v>
      </c>
      <c r="C150" s="23" t="s">
        <v>679</v>
      </c>
      <c r="D150" s="23">
        <v>2280000</v>
      </c>
      <c r="E150" s="23" t="s">
        <v>733</v>
      </c>
      <c r="F150" s="23" t="str">
        <f t="shared" si="4"/>
        <v>rtdc.l.rtdc.4032:itc</v>
      </c>
      <c r="G150" s="8">
        <f t="shared" si="5"/>
        <v>42646.70349537037</v>
      </c>
    </row>
    <row r="151" spans="1:7" x14ac:dyDescent="0.25">
      <c r="A151" s="8">
        <v>42646.709456018521</v>
      </c>
      <c r="B151" s="23" t="s">
        <v>273</v>
      </c>
      <c r="C151" s="23" t="s">
        <v>624</v>
      </c>
      <c r="D151" s="23">
        <v>1290000</v>
      </c>
      <c r="E151" s="23" t="s">
        <v>170</v>
      </c>
      <c r="F151" s="23" t="str">
        <f t="shared" si="4"/>
        <v>rtdc.l.rtdc.4011:itc</v>
      </c>
      <c r="G151" s="8">
        <f t="shared" si="5"/>
        <v>42646.709456018521</v>
      </c>
    </row>
    <row r="152" spans="1:7" x14ac:dyDescent="0.25">
      <c r="A152" s="8">
        <v>42646.714826388888</v>
      </c>
      <c r="B152" s="23" t="s">
        <v>169</v>
      </c>
      <c r="C152" s="23" t="s">
        <v>551</v>
      </c>
      <c r="D152" s="23">
        <v>880000</v>
      </c>
      <c r="E152" s="23" t="s">
        <v>331</v>
      </c>
      <c r="F152" s="23" t="str">
        <f t="shared" si="4"/>
        <v>rtdc.l.rtdc.4026:itc</v>
      </c>
      <c r="G152" s="8">
        <f t="shared" si="5"/>
        <v>42646.714826388888</v>
      </c>
    </row>
    <row r="153" spans="1:7" x14ac:dyDescent="0.25">
      <c r="A153" s="8">
        <v>42646.715520833335</v>
      </c>
      <c r="B153" s="23" t="s">
        <v>354</v>
      </c>
      <c r="C153" s="23" t="s">
        <v>558</v>
      </c>
      <c r="D153" s="23">
        <v>930000</v>
      </c>
      <c r="E153" s="23" t="s">
        <v>332</v>
      </c>
      <c r="F153" s="23" t="str">
        <f t="shared" si="4"/>
        <v>rtdc.l.rtdc.4003:itc</v>
      </c>
      <c r="G153" s="8">
        <f t="shared" si="5"/>
        <v>42646.715520833335</v>
      </c>
    </row>
    <row r="154" spans="1:7" x14ac:dyDescent="0.25">
      <c r="A154" s="8">
        <v>42646.720752314817</v>
      </c>
      <c r="B154" s="23" t="s">
        <v>219</v>
      </c>
      <c r="C154" s="23" t="s">
        <v>681</v>
      </c>
      <c r="D154" s="23">
        <v>1290000</v>
      </c>
      <c r="E154" s="23" t="s">
        <v>170</v>
      </c>
      <c r="F154" s="23" t="str">
        <f t="shared" si="4"/>
        <v>rtdc.l.rtdc.4012:itc</v>
      </c>
      <c r="G154" s="8">
        <f t="shared" si="5"/>
        <v>42646.720752314817</v>
      </c>
    </row>
    <row r="155" spans="1:7" x14ac:dyDescent="0.25">
      <c r="A155" s="8">
        <v>42646.721145833333</v>
      </c>
      <c r="B155" s="23" t="s">
        <v>356</v>
      </c>
      <c r="C155" s="23" t="s">
        <v>732</v>
      </c>
      <c r="D155" s="23">
        <v>2020000</v>
      </c>
      <c r="E155" s="23" t="s">
        <v>275</v>
      </c>
      <c r="F155" s="23" t="str">
        <f t="shared" si="4"/>
        <v>rtdc.l.rtdc.4030:itc</v>
      </c>
      <c r="G155" s="8">
        <f t="shared" si="5"/>
        <v>42646.721145833333</v>
      </c>
    </row>
    <row r="156" spans="1:7" x14ac:dyDescent="0.25">
      <c r="A156" s="8">
        <v>42646.721805555557</v>
      </c>
      <c r="B156" s="23" t="s">
        <v>248</v>
      </c>
      <c r="C156" s="23" t="s">
        <v>554</v>
      </c>
      <c r="D156" s="23">
        <v>1280000</v>
      </c>
      <c r="E156" s="23" t="s">
        <v>359</v>
      </c>
      <c r="F156" s="23" t="str">
        <f t="shared" si="4"/>
        <v>rtdc.l.rtdc.4045:itc</v>
      </c>
      <c r="G156" s="8">
        <f t="shared" si="5"/>
        <v>42646.721805555557</v>
      </c>
    </row>
    <row r="157" spans="1:7" x14ac:dyDescent="0.25">
      <c r="A157" s="8">
        <v>42646.72451388889</v>
      </c>
      <c r="B157" s="23" t="s">
        <v>329</v>
      </c>
      <c r="C157" s="23" t="s">
        <v>683</v>
      </c>
      <c r="D157" s="23">
        <v>2280000</v>
      </c>
      <c r="E157" s="23" t="s">
        <v>733</v>
      </c>
      <c r="F157" s="23" t="str">
        <f t="shared" si="4"/>
        <v>rtdc.l.rtdc.4031:itc</v>
      </c>
      <c r="G157" s="8">
        <f t="shared" si="5"/>
        <v>42646.72451388889</v>
      </c>
    </row>
    <row r="158" spans="1:7" x14ac:dyDescent="0.25">
      <c r="A158" s="8">
        <v>42646.724733796298</v>
      </c>
      <c r="B158" s="23" t="s">
        <v>717</v>
      </c>
      <c r="C158" s="23" t="s">
        <v>562</v>
      </c>
      <c r="D158" s="23">
        <v>1180000</v>
      </c>
      <c r="E158" s="23" t="s">
        <v>244</v>
      </c>
      <c r="F158" s="23" t="str">
        <f t="shared" si="4"/>
        <v>rtdc.l.rtdc.4040:itc</v>
      </c>
      <c r="G158" s="8">
        <f t="shared" si="5"/>
        <v>42646.724733796298</v>
      </c>
    </row>
    <row r="159" spans="1:7" x14ac:dyDescent="0.25">
      <c r="A159" s="8">
        <v>42646.729305555556</v>
      </c>
      <c r="B159" s="23" t="s">
        <v>239</v>
      </c>
      <c r="C159" s="23" t="s">
        <v>564</v>
      </c>
      <c r="D159" s="23">
        <v>1140000</v>
      </c>
      <c r="E159" s="23" t="s">
        <v>400</v>
      </c>
      <c r="F159" s="23" t="str">
        <f t="shared" si="4"/>
        <v>rtdc.l.rtdc.4018:itc</v>
      </c>
      <c r="G159" s="8">
        <f t="shared" si="5"/>
        <v>42646.729305555556</v>
      </c>
    </row>
    <row r="160" spans="1:7" x14ac:dyDescent="0.25">
      <c r="A160" s="8">
        <v>42646.735578703701</v>
      </c>
      <c r="B160" s="23" t="s">
        <v>718</v>
      </c>
      <c r="C160" s="23" t="s">
        <v>557</v>
      </c>
      <c r="D160" s="23">
        <v>940000</v>
      </c>
      <c r="E160" s="23" t="s">
        <v>730</v>
      </c>
      <c r="F160" s="23" t="str">
        <f t="shared" si="4"/>
        <v>rtdc.l.rtdc.4001:itc</v>
      </c>
      <c r="G160" s="8">
        <f t="shared" si="5"/>
        <v>42646.735578703701</v>
      </c>
    </row>
    <row r="161" spans="1:7" x14ac:dyDescent="0.25">
      <c r="A161" s="8">
        <v>42646.739259259259</v>
      </c>
      <c r="B161" s="23" t="s">
        <v>328</v>
      </c>
      <c r="C161" s="23" t="s">
        <v>685</v>
      </c>
      <c r="D161" s="23">
        <v>2280000</v>
      </c>
      <c r="E161" s="23" t="s">
        <v>733</v>
      </c>
      <c r="F161" s="23" t="str">
        <f t="shared" si="4"/>
        <v>rtdc.l.rtdc.4032:itc</v>
      </c>
      <c r="G161" s="8">
        <f t="shared" si="5"/>
        <v>42646.739259259259</v>
      </c>
    </row>
    <row r="162" spans="1:7" x14ac:dyDescent="0.25">
      <c r="A162" s="8">
        <v>42646.744074074071</v>
      </c>
      <c r="B162" s="23" t="s">
        <v>273</v>
      </c>
      <c r="C162" s="23" t="s">
        <v>688</v>
      </c>
      <c r="D162" s="23">
        <v>1290000</v>
      </c>
      <c r="E162" s="23" t="s">
        <v>170</v>
      </c>
      <c r="F162" s="23" t="str">
        <f t="shared" si="4"/>
        <v>rtdc.l.rtdc.4011:itc</v>
      </c>
      <c r="G162" s="8">
        <f t="shared" si="5"/>
        <v>42646.744074074071</v>
      </c>
    </row>
    <row r="163" spans="1:7" x14ac:dyDescent="0.25">
      <c r="A163" s="8">
        <v>42646.749085648145</v>
      </c>
      <c r="B163" s="23" t="s">
        <v>168</v>
      </c>
      <c r="C163" s="23" t="s">
        <v>569</v>
      </c>
      <c r="D163" s="23">
        <v>2020000</v>
      </c>
      <c r="E163" s="23" t="s">
        <v>275</v>
      </c>
      <c r="F163" s="23" t="str">
        <f t="shared" si="4"/>
        <v>rtdc.l.rtdc.4025:itc</v>
      </c>
      <c r="G163" s="8">
        <f t="shared" si="5"/>
        <v>42646.749085648145</v>
      </c>
    </row>
    <row r="164" spans="1:7" x14ac:dyDescent="0.25">
      <c r="A164" s="8">
        <v>42646.752326388887</v>
      </c>
      <c r="B164" s="23" t="s">
        <v>161</v>
      </c>
      <c r="C164" s="23" t="s">
        <v>621</v>
      </c>
      <c r="D164" s="23">
        <v>120000</v>
      </c>
      <c r="E164" s="23" t="s">
        <v>734</v>
      </c>
      <c r="F164" s="23" t="str">
        <f t="shared" si="4"/>
        <v>rtdc.l.rtdc.4019:itc</v>
      </c>
      <c r="G164" s="8">
        <f t="shared" si="5"/>
        <v>42646.752326388887</v>
      </c>
    </row>
    <row r="165" spans="1:7" x14ac:dyDescent="0.25">
      <c r="A165" s="8">
        <v>42646.756458333337</v>
      </c>
      <c r="B165" s="23" t="s">
        <v>355</v>
      </c>
      <c r="C165" s="23" t="s">
        <v>559</v>
      </c>
      <c r="D165" s="23">
        <v>930000</v>
      </c>
      <c r="E165" s="23" t="s">
        <v>332</v>
      </c>
      <c r="F165" s="23" t="str">
        <f t="shared" si="4"/>
        <v>rtdc.l.rtdc.4004:itc</v>
      </c>
      <c r="G165" s="8">
        <f t="shared" si="5"/>
        <v>42646.756458333337</v>
      </c>
    </row>
    <row r="166" spans="1:7" x14ac:dyDescent="0.25">
      <c r="A166" s="8">
        <v>42646.757962962962</v>
      </c>
      <c r="B166" s="23" t="s">
        <v>219</v>
      </c>
      <c r="C166" s="23" t="s">
        <v>690</v>
      </c>
      <c r="D166" s="23">
        <v>1290000</v>
      </c>
      <c r="E166" s="23" t="s">
        <v>170</v>
      </c>
      <c r="F166" s="23" t="str">
        <f t="shared" si="4"/>
        <v>rtdc.l.rtdc.4012:itc</v>
      </c>
      <c r="G166" s="8">
        <f t="shared" si="5"/>
        <v>42646.757962962962</v>
      </c>
    </row>
    <row r="167" spans="1:7" x14ac:dyDescent="0.25">
      <c r="A167" s="8">
        <v>42646.760925925926</v>
      </c>
      <c r="B167" s="23" t="s">
        <v>260</v>
      </c>
      <c r="C167" s="23" t="s">
        <v>563</v>
      </c>
      <c r="D167" s="23">
        <v>1180000</v>
      </c>
      <c r="E167" s="23" t="s">
        <v>244</v>
      </c>
      <c r="F167" s="23" t="str">
        <f t="shared" si="4"/>
        <v>rtdc.l.rtdc.4039:itc</v>
      </c>
      <c r="G167" s="8">
        <f t="shared" si="5"/>
        <v>42646.760925925926</v>
      </c>
    </row>
    <row r="168" spans="1:7" x14ac:dyDescent="0.25">
      <c r="A168" s="8">
        <v>42646.767280092594</v>
      </c>
      <c r="B168" s="23" t="s">
        <v>238</v>
      </c>
      <c r="C168" s="23" t="s">
        <v>564</v>
      </c>
      <c r="D168" s="23">
        <v>1140000</v>
      </c>
      <c r="E168" s="23" t="s">
        <v>400</v>
      </c>
      <c r="F168" s="23" t="str">
        <f t="shared" si="4"/>
        <v>rtdc.l.rtdc.4017:itc</v>
      </c>
      <c r="G168" s="8">
        <f t="shared" si="5"/>
        <v>42646.767280092594</v>
      </c>
    </row>
    <row r="169" spans="1:7" x14ac:dyDescent="0.25">
      <c r="A169" s="8">
        <v>42646.768506944441</v>
      </c>
      <c r="B169" s="23" t="s">
        <v>238</v>
      </c>
      <c r="C169" s="23" t="s">
        <v>565</v>
      </c>
      <c r="D169" s="23">
        <v>1140000</v>
      </c>
      <c r="E169" s="23" t="s">
        <v>400</v>
      </c>
      <c r="F169" s="23" t="str">
        <f t="shared" si="4"/>
        <v>rtdc.l.rtdc.4017:itc</v>
      </c>
      <c r="G169" s="8">
        <f t="shared" si="5"/>
        <v>42646.768506944441</v>
      </c>
    </row>
    <row r="170" spans="1:7" x14ac:dyDescent="0.25">
      <c r="A170" s="8">
        <v>42646.768935185188</v>
      </c>
      <c r="B170" s="23" t="s">
        <v>329</v>
      </c>
      <c r="C170" s="23" t="s">
        <v>692</v>
      </c>
      <c r="D170" s="23">
        <v>2280000</v>
      </c>
      <c r="E170" s="23" t="s">
        <v>733</v>
      </c>
      <c r="F170" s="23" t="str">
        <f t="shared" si="4"/>
        <v>rtdc.l.rtdc.4031:itc</v>
      </c>
      <c r="G170" s="8">
        <f t="shared" si="5"/>
        <v>42646.768935185188</v>
      </c>
    </row>
    <row r="171" spans="1:7" x14ac:dyDescent="0.25">
      <c r="A171" s="8">
        <v>42646.770405092589</v>
      </c>
      <c r="B171" s="23" t="s">
        <v>177</v>
      </c>
      <c r="C171" s="23" t="s">
        <v>573</v>
      </c>
      <c r="D171" s="23">
        <v>1800000</v>
      </c>
      <c r="E171" s="23" t="s">
        <v>334</v>
      </c>
      <c r="F171" s="23" t="str">
        <f t="shared" si="4"/>
        <v>rtdc.l.rtdc.4046:itc</v>
      </c>
      <c r="G171" s="8">
        <f t="shared" si="5"/>
        <v>42646.770405092589</v>
      </c>
    </row>
    <row r="172" spans="1:7" x14ac:dyDescent="0.25">
      <c r="A172" s="8">
        <v>42646.773402777777</v>
      </c>
      <c r="B172" s="23" t="s">
        <v>719</v>
      </c>
      <c r="C172" s="23" t="s">
        <v>575</v>
      </c>
      <c r="D172" s="23">
        <v>2230000</v>
      </c>
      <c r="E172" s="23" t="s">
        <v>276</v>
      </c>
      <c r="F172" s="23" t="str">
        <f t="shared" si="4"/>
        <v>rtdc.l.rtdc.4002:itc</v>
      </c>
      <c r="G172" s="8">
        <f t="shared" si="5"/>
        <v>42646.773402777777</v>
      </c>
    </row>
    <row r="173" spans="1:7" x14ac:dyDescent="0.25">
      <c r="A173" s="8">
        <v>42646.773877314816</v>
      </c>
      <c r="B173" s="23" t="s">
        <v>324</v>
      </c>
      <c r="C173" s="23" t="s">
        <v>567</v>
      </c>
      <c r="D173" s="23">
        <v>1810000</v>
      </c>
      <c r="E173" s="23" t="s">
        <v>274</v>
      </c>
      <c r="F173" s="23" t="str">
        <f t="shared" si="4"/>
        <v>rtdc.l.rtdc.4010:itc</v>
      </c>
      <c r="G173" s="8">
        <f t="shared" si="5"/>
        <v>42646.773877314816</v>
      </c>
    </row>
    <row r="174" spans="1:7" x14ac:dyDescent="0.25">
      <c r="A174" s="8">
        <v>42646.784189814818</v>
      </c>
      <c r="B174" s="23" t="s">
        <v>328</v>
      </c>
      <c r="C174" s="23" t="s">
        <v>695</v>
      </c>
      <c r="D174" s="23">
        <v>2280000</v>
      </c>
      <c r="E174" s="23" t="s">
        <v>733</v>
      </c>
      <c r="F174" s="23" t="str">
        <f t="shared" si="4"/>
        <v>rtdc.l.rtdc.4032:itc</v>
      </c>
      <c r="G174" s="8">
        <f t="shared" si="5"/>
        <v>42646.784189814818</v>
      </c>
    </row>
    <row r="175" spans="1:7" x14ac:dyDescent="0.25">
      <c r="A175" s="8">
        <v>42646.787164351852</v>
      </c>
      <c r="B175" s="23" t="s">
        <v>169</v>
      </c>
      <c r="C175" s="23" t="s">
        <v>571</v>
      </c>
      <c r="D175" s="23">
        <v>2020000</v>
      </c>
      <c r="E175" s="23" t="s">
        <v>275</v>
      </c>
      <c r="F175" s="23" t="str">
        <f t="shared" si="4"/>
        <v>rtdc.l.rtdc.4026:itc</v>
      </c>
      <c r="G175" s="8">
        <f t="shared" si="5"/>
        <v>42646.787164351852</v>
      </c>
    </row>
    <row r="176" spans="1:7" x14ac:dyDescent="0.25">
      <c r="A176" s="8">
        <v>42646.787314814814</v>
      </c>
      <c r="B176" s="23" t="s">
        <v>273</v>
      </c>
      <c r="C176" s="23" t="s">
        <v>697</v>
      </c>
      <c r="D176" s="23">
        <v>1290000</v>
      </c>
      <c r="E176" s="23" t="s">
        <v>170</v>
      </c>
      <c r="F176" s="23" t="str">
        <f t="shared" si="4"/>
        <v>rtdc.l.rtdc.4011:itc</v>
      </c>
      <c r="G176" s="8">
        <f t="shared" si="5"/>
        <v>42646.787314814814</v>
      </c>
    </row>
    <row r="177" spans="1:7" x14ac:dyDescent="0.25">
      <c r="A177" s="8">
        <v>42646.796932870369</v>
      </c>
      <c r="B177" s="23" t="s">
        <v>717</v>
      </c>
      <c r="C177" s="23" t="s">
        <v>577</v>
      </c>
      <c r="D177" s="23">
        <v>1180000</v>
      </c>
      <c r="E177" s="23" t="s">
        <v>244</v>
      </c>
      <c r="F177" s="23" t="str">
        <f t="shared" si="4"/>
        <v>rtdc.l.rtdc.4040:itc</v>
      </c>
      <c r="G177" s="8">
        <f t="shared" si="5"/>
        <v>42646.796932870369</v>
      </c>
    </row>
    <row r="178" spans="1:7" x14ac:dyDescent="0.25">
      <c r="A178" s="8">
        <v>42646.798356481479</v>
      </c>
      <c r="B178" s="23" t="s">
        <v>354</v>
      </c>
      <c r="C178" s="23" t="s">
        <v>603</v>
      </c>
      <c r="D178" s="23">
        <v>930000</v>
      </c>
      <c r="E178" s="23" t="s">
        <v>332</v>
      </c>
      <c r="F178" s="23" t="str">
        <f t="shared" si="4"/>
        <v>rtdc.l.rtdc.4003:itc</v>
      </c>
      <c r="G178" s="8">
        <f t="shared" si="5"/>
        <v>42646.798356481479</v>
      </c>
    </row>
    <row r="179" spans="1:7" x14ac:dyDescent="0.25">
      <c r="A179" s="8">
        <v>42646.80232638889</v>
      </c>
      <c r="B179" s="23" t="s">
        <v>219</v>
      </c>
      <c r="C179" s="23" t="s">
        <v>720</v>
      </c>
      <c r="D179" s="23">
        <v>1290000</v>
      </c>
      <c r="E179" s="23" t="s">
        <v>170</v>
      </c>
      <c r="F179" s="23" t="str">
        <f t="shared" si="4"/>
        <v>rtdc.l.rtdc.4012:itc</v>
      </c>
      <c r="G179" s="8">
        <f t="shared" si="5"/>
        <v>42646.80232638889</v>
      </c>
    </row>
    <row r="180" spans="1:7" x14ac:dyDescent="0.25">
      <c r="A180" s="8">
        <v>42646.805590277778</v>
      </c>
      <c r="B180" s="23" t="s">
        <v>248</v>
      </c>
      <c r="C180" s="23" t="s">
        <v>574</v>
      </c>
      <c r="D180" s="23">
        <v>1800000</v>
      </c>
      <c r="E180" s="23" t="s">
        <v>334</v>
      </c>
      <c r="F180" s="23" t="str">
        <f t="shared" si="4"/>
        <v>rtdc.l.rtdc.4045:itc</v>
      </c>
      <c r="G180" s="8">
        <f t="shared" si="5"/>
        <v>42646.805590277778</v>
      </c>
    </row>
    <row r="181" spans="1:7" x14ac:dyDescent="0.25">
      <c r="A181" s="8">
        <v>42646.809062499997</v>
      </c>
      <c r="B181" s="23" t="s">
        <v>329</v>
      </c>
      <c r="C181" s="23" t="s">
        <v>702</v>
      </c>
      <c r="D181" s="23">
        <v>2280000</v>
      </c>
      <c r="E181" s="23" t="s">
        <v>733</v>
      </c>
      <c r="F181" s="23" t="str">
        <f t="shared" si="4"/>
        <v>rtdc.l.rtdc.4031:itc</v>
      </c>
      <c r="G181" s="8">
        <f t="shared" si="5"/>
        <v>42646.809062499997</v>
      </c>
    </row>
    <row r="182" spans="1:7" x14ac:dyDescent="0.25">
      <c r="A182" s="8">
        <v>42646.810694444444</v>
      </c>
      <c r="B182" s="23" t="s">
        <v>718</v>
      </c>
      <c r="C182" s="23" t="s">
        <v>576</v>
      </c>
      <c r="D182" s="23">
        <v>2230000</v>
      </c>
      <c r="E182" s="23" t="s">
        <v>276</v>
      </c>
      <c r="F182" s="23" t="str">
        <f t="shared" si="4"/>
        <v>rtdc.l.rtdc.4001:itc</v>
      </c>
      <c r="G182" s="8">
        <f t="shared" si="5"/>
        <v>42646.810694444444</v>
      </c>
    </row>
    <row r="183" spans="1:7" x14ac:dyDescent="0.25">
      <c r="A183" s="8">
        <v>42646.821226851855</v>
      </c>
      <c r="B183" s="23" t="s">
        <v>168</v>
      </c>
      <c r="C183" s="23" t="s">
        <v>735</v>
      </c>
      <c r="D183" s="23">
        <v>2020000</v>
      </c>
      <c r="E183" s="23" t="s">
        <v>275</v>
      </c>
      <c r="F183" s="23" t="str">
        <f t="shared" si="4"/>
        <v>rtdc.l.rtdc.4025:itc</v>
      </c>
      <c r="G183" s="8">
        <f t="shared" si="5"/>
        <v>42646.821226851855</v>
      </c>
    </row>
    <row r="184" spans="1:7" x14ac:dyDescent="0.25">
      <c r="A184" s="8">
        <v>42646.823831018519</v>
      </c>
      <c r="B184" s="23" t="s">
        <v>328</v>
      </c>
      <c r="C184" s="23" t="s">
        <v>700</v>
      </c>
      <c r="D184" s="23">
        <v>2280000</v>
      </c>
      <c r="E184" s="23" t="s">
        <v>733</v>
      </c>
      <c r="F184" s="23" t="str">
        <f t="shared" si="4"/>
        <v>rtdc.l.rtdc.4032:itc</v>
      </c>
      <c r="G184" s="8">
        <f t="shared" si="5"/>
        <v>42646.823831018519</v>
      </c>
    </row>
    <row r="185" spans="1:7" x14ac:dyDescent="0.25">
      <c r="A185" s="8">
        <v>42646.831666666665</v>
      </c>
      <c r="B185" s="23" t="s">
        <v>260</v>
      </c>
      <c r="C185" s="23" t="s">
        <v>578</v>
      </c>
      <c r="D185" s="23">
        <v>1180000</v>
      </c>
      <c r="E185" s="23" t="s">
        <v>244</v>
      </c>
      <c r="F185" s="23" t="str">
        <f t="shared" si="4"/>
        <v>rtdc.l.rtdc.4039:itc</v>
      </c>
      <c r="G185" s="8">
        <f t="shared" si="5"/>
        <v>42646.831666666665</v>
      </c>
    </row>
    <row r="186" spans="1:7" x14ac:dyDescent="0.25">
      <c r="A186" s="8">
        <v>42646.839745370373</v>
      </c>
      <c r="B186" s="23" t="s">
        <v>177</v>
      </c>
      <c r="C186" s="23" t="s">
        <v>580</v>
      </c>
      <c r="D186" s="23">
        <v>1800000</v>
      </c>
      <c r="E186" s="23" t="s">
        <v>334</v>
      </c>
      <c r="F186" s="23" t="str">
        <f t="shared" si="4"/>
        <v>rtdc.l.rtdc.4046:itc</v>
      </c>
      <c r="G186" s="8">
        <f t="shared" si="5"/>
        <v>42646.839745370373</v>
      </c>
    </row>
    <row r="187" spans="1:7" x14ac:dyDescent="0.25">
      <c r="A187" s="8">
        <v>42646.843194444446</v>
      </c>
      <c r="B187" s="23" t="s">
        <v>329</v>
      </c>
      <c r="C187" s="23" t="s">
        <v>704</v>
      </c>
      <c r="D187" s="23">
        <v>2280000</v>
      </c>
      <c r="E187" s="23" t="s">
        <v>733</v>
      </c>
      <c r="F187" s="23" t="str">
        <f t="shared" si="4"/>
        <v>rtdc.l.rtdc.4031:itc</v>
      </c>
      <c r="G187" s="8">
        <f t="shared" si="5"/>
        <v>42646.843194444446</v>
      </c>
    </row>
    <row r="188" spans="1:7" x14ac:dyDescent="0.25">
      <c r="A188" s="8">
        <v>42646.844375000001</v>
      </c>
      <c r="B188" s="23" t="s">
        <v>719</v>
      </c>
      <c r="C188" s="23" t="s">
        <v>582</v>
      </c>
      <c r="D188" s="23">
        <v>2230000</v>
      </c>
      <c r="E188" s="23" t="s">
        <v>276</v>
      </c>
      <c r="F188" s="23" t="str">
        <f t="shared" si="4"/>
        <v>rtdc.l.rtdc.4002:itc</v>
      </c>
      <c r="G188" s="8">
        <f t="shared" si="5"/>
        <v>42646.844375000001</v>
      </c>
    </row>
    <row r="189" spans="1:7" x14ac:dyDescent="0.25">
      <c r="A189" s="8">
        <v>42646.849004629628</v>
      </c>
      <c r="B189" s="23" t="s">
        <v>324</v>
      </c>
      <c r="C189" s="23" t="s">
        <v>579</v>
      </c>
      <c r="D189" s="23">
        <v>1810000</v>
      </c>
      <c r="E189" s="23" t="s">
        <v>274</v>
      </c>
      <c r="F189" s="23" t="str">
        <f t="shared" si="4"/>
        <v>rtdc.l.rtdc.4010:itc</v>
      </c>
      <c r="G189" s="8">
        <f t="shared" si="5"/>
        <v>42646.849004629628</v>
      </c>
    </row>
    <row r="190" spans="1:7" x14ac:dyDescent="0.25">
      <c r="A190" s="8">
        <v>42646.868020833332</v>
      </c>
      <c r="B190" s="23" t="s">
        <v>717</v>
      </c>
      <c r="C190" s="23" t="s">
        <v>584</v>
      </c>
      <c r="D190" s="23">
        <v>0</v>
      </c>
      <c r="E190" s="23" t="s">
        <v>736</v>
      </c>
      <c r="F190" s="23" t="str">
        <f t="shared" si="4"/>
        <v>rtdc.l.rtdc.4040:itc</v>
      </c>
      <c r="G190" s="8">
        <f t="shared" si="5"/>
        <v>42646.868020833332</v>
      </c>
    </row>
    <row r="191" spans="1:7" x14ac:dyDescent="0.25">
      <c r="A191" s="8">
        <v>42646.871921296297</v>
      </c>
      <c r="B191" s="23" t="s">
        <v>248</v>
      </c>
      <c r="C191" s="23" t="s">
        <v>581</v>
      </c>
      <c r="D191" s="23">
        <v>1800000</v>
      </c>
      <c r="E191" s="23" t="s">
        <v>334</v>
      </c>
      <c r="F191" s="23" t="str">
        <f t="shared" si="4"/>
        <v>rtdc.l.rtdc.4045:itc</v>
      </c>
      <c r="G191" s="8">
        <f t="shared" si="5"/>
        <v>42646.871921296297</v>
      </c>
    </row>
    <row r="192" spans="1:7" x14ac:dyDescent="0.25">
      <c r="A192" s="8">
        <v>42646.881643518522</v>
      </c>
      <c r="B192" s="23" t="s">
        <v>333</v>
      </c>
      <c r="C192" s="23" t="s">
        <v>587</v>
      </c>
      <c r="D192" s="23">
        <v>1810000</v>
      </c>
      <c r="E192" s="23" t="s">
        <v>274</v>
      </c>
      <c r="F192" s="23" t="str">
        <f t="shared" si="4"/>
        <v>rtdc.l.rtdc.4009:itc</v>
      </c>
      <c r="G192" s="8">
        <f t="shared" si="5"/>
        <v>42646.881643518522</v>
      </c>
    </row>
    <row r="193" spans="1:7" x14ac:dyDescent="0.25">
      <c r="A193" s="8">
        <v>42646.887372685182</v>
      </c>
      <c r="B193" s="23" t="s">
        <v>718</v>
      </c>
      <c r="C193" s="23" t="s">
        <v>583</v>
      </c>
      <c r="D193" s="23">
        <v>2230000</v>
      </c>
      <c r="E193" s="23" t="s">
        <v>276</v>
      </c>
      <c r="F193" s="23" t="str">
        <f t="shared" si="4"/>
        <v>rtdc.l.rtdc.4001:itc</v>
      </c>
      <c r="G193" s="8">
        <f t="shared" si="5"/>
        <v>42646.887372685182</v>
      </c>
    </row>
    <row r="194" spans="1:7" x14ac:dyDescent="0.25">
      <c r="A194" s="8">
        <v>42646.898229166669</v>
      </c>
      <c r="B194" s="23" t="s">
        <v>329</v>
      </c>
      <c r="C194" s="23" t="s">
        <v>709</v>
      </c>
      <c r="D194" s="23">
        <v>1290000</v>
      </c>
      <c r="E194" s="23" t="s">
        <v>170</v>
      </c>
      <c r="F194" s="23" t="str">
        <f t="shared" ref="F194:F235" si="6">B194</f>
        <v>rtdc.l.rtdc.4031:itc</v>
      </c>
      <c r="G194" s="8">
        <f t="shared" ref="G194:G235" si="7">A194</f>
        <v>42646.898229166669</v>
      </c>
    </row>
    <row r="195" spans="1:7" x14ac:dyDescent="0.25">
      <c r="A195" s="8">
        <v>42646.908773148149</v>
      </c>
      <c r="B195" s="23" t="s">
        <v>260</v>
      </c>
      <c r="C195" s="23" t="s">
        <v>585</v>
      </c>
      <c r="D195" s="23">
        <v>1180000</v>
      </c>
      <c r="E195" s="23" t="s">
        <v>244</v>
      </c>
      <c r="F195" s="23" t="str">
        <f t="shared" si="6"/>
        <v>rtdc.l.rtdc.4039:itc</v>
      </c>
      <c r="G195" s="8">
        <f t="shared" si="7"/>
        <v>42646.908773148149</v>
      </c>
    </row>
    <row r="196" spans="1:7" x14ac:dyDescent="0.25">
      <c r="A196" s="8">
        <v>42646.911400462966</v>
      </c>
      <c r="B196" s="23" t="s">
        <v>328</v>
      </c>
      <c r="C196" s="23" t="s">
        <v>706</v>
      </c>
      <c r="D196" s="23">
        <v>1290000</v>
      </c>
      <c r="E196" s="23" t="s">
        <v>170</v>
      </c>
      <c r="F196" s="23" t="str">
        <f t="shared" si="6"/>
        <v>rtdc.l.rtdc.4032:itc</v>
      </c>
      <c r="G196" s="8">
        <f t="shared" si="7"/>
        <v>42646.911400462966</v>
      </c>
    </row>
    <row r="197" spans="1:7" x14ac:dyDescent="0.25">
      <c r="A197" s="8">
        <v>42646.914942129632</v>
      </c>
      <c r="B197" s="23" t="s">
        <v>177</v>
      </c>
      <c r="C197" s="23" t="s">
        <v>589</v>
      </c>
      <c r="D197" s="23">
        <v>1800000</v>
      </c>
      <c r="E197" s="23" t="s">
        <v>334</v>
      </c>
      <c r="F197" s="23" t="str">
        <f t="shared" si="6"/>
        <v>rtdc.l.rtdc.4046:itc</v>
      </c>
      <c r="G197" s="8">
        <f t="shared" si="7"/>
        <v>42646.914942129632</v>
      </c>
    </row>
    <row r="198" spans="1:7" x14ac:dyDescent="0.25">
      <c r="A198" s="8">
        <v>42646.926319444443</v>
      </c>
      <c r="B198" s="23" t="s">
        <v>251</v>
      </c>
      <c r="C198" s="23" t="s">
        <v>627</v>
      </c>
      <c r="D198" s="23">
        <v>120000</v>
      </c>
      <c r="E198" s="23" t="s">
        <v>734</v>
      </c>
      <c r="F198" s="23" t="str">
        <f t="shared" si="6"/>
        <v>rtdc.l.rtdc.4006:itc</v>
      </c>
      <c r="G198" s="8">
        <f t="shared" si="7"/>
        <v>42646.926319444443</v>
      </c>
    </row>
    <row r="199" spans="1:7" x14ac:dyDescent="0.25">
      <c r="A199" s="8">
        <v>42646.928472222222</v>
      </c>
      <c r="B199" s="23" t="s">
        <v>329</v>
      </c>
      <c r="C199" s="23" t="s">
        <v>711</v>
      </c>
      <c r="D199" s="23">
        <v>1290000</v>
      </c>
      <c r="E199" s="23" t="s">
        <v>170</v>
      </c>
      <c r="F199" s="23" t="str">
        <f t="shared" si="6"/>
        <v>rtdc.l.rtdc.4031:itc</v>
      </c>
      <c r="G199" s="8">
        <f t="shared" si="7"/>
        <v>42646.928472222222</v>
      </c>
    </row>
    <row r="200" spans="1:7" x14ac:dyDescent="0.25">
      <c r="A200" s="8">
        <v>42646.930219907408</v>
      </c>
      <c r="B200" s="23" t="s">
        <v>719</v>
      </c>
      <c r="C200" s="23" t="s">
        <v>592</v>
      </c>
      <c r="D200" s="23">
        <v>2230000</v>
      </c>
      <c r="E200" s="23" t="s">
        <v>276</v>
      </c>
      <c r="F200" s="23" t="str">
        <f t="shared" si="6"/>
        <v>rtdc.l.rtdc.4002:itc</v>
      </c>
      <c r="G200" s="8">
        <f t="shared" si="7"/>
        <v>42646.930219907408</v>
      </c>
    </row>
    <row r="201" spans="1:7" x14ac:dyDescent="0.25">
      <c r="A201" s="8">
        <v>42646.931180555555</v>
      </c>
      <c r="B201" s="23" t="s">
        <v>324</v>
      </c>
      <c r="C201" s="23" t="s">
        <v>588</v>
      </c>
      <c r="D201" s="23">
        <v>1810000</v>
      </c>
      <c r="E201" s="23" t="s">
        <v>274</v>
      </c>
      <c r="F201" s="23" t="str">
        <f t="shared" si="6"/>
        <v>rtdc.l.rtdc.4010:itc</v>
      </c>
      <c r="G201" s="8">
        <f t="shared" si="7"/>
        <v>42646.931180555555</v>
      </c>
    </row>
    <row r="202" spans="1:7" x14ac:dyDescent="0.25">
      <c r="A202" s="29">
        <v>42646.94195601852</v>
      </c>
      <c r="B202" s="23" t="s">
        <v>328</v>
      </c>
      <c r="C202" s="23" t="s">
        <v>714</v>
      </c>
      <c r="D202" s="23">
        <v>1290000</v>
      </c>
      <c r="E202" s="23" t="s">
        <v>170</v>
      </c>
      <c r="F202" s="23" t="str">
        <f t="shared" si="6"/>
        <v>rtdc.l.rtdc.4032:itc</v>
      </c>
      <c r="G202" s="8">
        <f t="shared" si="7"/>
        <v>42646.94195601852</v>
      </c>
    </row>
    <row r="203" spans="1:7" x14ac:dyDescent="0.25">
      <c r="A203" s="8">
        <v>42646.953900462962</v>
      </c>
      <c r="B203" s="23" t="s">
        <v>248</v>
      </c>
      <c r="C203" s="23" t="s">
        <v>590</v>
      </c>
      <c r="D203" s="23">
        <v>1800000</v>
      </c>
      <c r="E203" s="23" t="s">
        <v>334</v>
      </c>
      <c r="F203" s="23" t="str">
        <f t="shared" si="6"/>
        <v>rtdc.l.rtdc.4045:itc</v>
      </c>
      <c r="G203" s="8">
        <f t="shared" si="7"/>
        <v>42646.953900462962</v>
      </c>
    </row>
    <row r="204" spans="1:7" x14ac:dyDescent="0.25">
      <c r="A204" s="8">
        <v>42646.954340277778</v>
      </c>
      <c r="B204" s="23" t="s">
        <v>717</v>
      </c>
      <c r="C204" s="23" t="s">
        <v>594</v>
      </c>
      <c r="D204" s="23">
        <v>0</v>
      </c>
      <c r="E204" s="23" t="s">
        <v>736</v>
      </c>
      <c r="F204" s="23" t="str">
        <f t="shared" si="6"/>
        <v>rtdc.l.rtdc.4040:itc</v>
      </c>
      <c r="G204" s="8">
        <f t="shared" si="7"/>
        <v>42646.954340277778</v>
      </c>
    </row>
    <row r="205" spans="1:7" x14ac:dyDescent="0.25">
      <c r="A205" s="8">
        <v>42646.968900462962</v>
      </c>
      <c r="B205" s="23" t="s">
        <v>333</v>
      </c>
      <c r="C205" s="23" t="s">
        <v>597</v>
      </c>
      <c r="D205" s="23">
        <v>1810000</v>
      </c>
      <c r="E205" s="23" t="s">
        <v>274</v>
      </c>
      <c r="F205" s="23" t="str">
        <f t="shared" si="6"/>
        <v>rtdc.l.rtdc.4009:itc</v>
      </c>
      <c r="G205" s="8">
        <f t="shared" si="7"/>
        <v>42646.968900462962</v>
      </c>
    </row>
    <row r="206" spans="1:7" x14ac:dyDescent="0.25">
      <c r="A206" s="8">
        <v>42646.971967592595</v>
      </c>
      <c r="B206" s="23" t="s">
        <v>718</v>
      </c>
      <c r="C206" s="23" t="s">
        <v>593</v>
      </c>
      <c r="D206" s="23">
        <v>2230000</v>
      </c>
      <c r="E206" s="23" t="s">
        <v>276</v>
      </c>
      <c r="F206" s="23" t="str">
        <f t="shared" si="6"/>
        <v>rtdc.l.rtdc.4001:itc</v>
      </c>
      <c r="G206" s="8">
        <f t="shared" si="7"/>
        <v>42646.971967592595</v>
      </c>
    </row>
    <row r="207" spans="1:7" x14ac:dyDescent="0.25">
      <c r="A207" s="8">
        <v>42646.994675925926</v>
      </c>
      <c r="B207" s="23" t="s">
        <v>260</v>
      </c>
      <c r="C207" s="23" t="s">
        <v>595</v>
      </c>
      <c r="D207" s="23">
        <v>1180000</v>
      </c>
      <c r="E207" s="23" t="s">
        <v>244</v>
      </c>
      <c r="F207" s="23" t="str">
        <f t="shared" si="6"/>
        <v>rtdc.l.rtdc.4039:itc</v>
      </c>
      <c r="G207" s="8">
        <f t="shared" si="7"/>
        <v>42646.994675925926</v>
      </c>
    </row>
    <row r="208" spans="1:7" x14ac:dyDescent="0.25">
      <c r="A208" s="8">
        <v>42646.997384259259</v>
      </c>
      <c r="B208" s="23" t="s">
        <v>177</v>
      </c>
      <c r="C208" s="23" t="s">
        <v>599</v>
      </c>
      <c r="D208" s="23">
        <v>1800000</v>
      </c>
      <c r="E208" s="23" t="s">
        <v>334</v>
      </c>
      <c r="F208" s="23" t="str">
        <f t="shared" si="6"/>
        <v>rtdc.l.rtdc.4046:itc</v>
      </c>
      <c r="G208" s="8">
        <f t="shared" si="7"/>
        <v>42646.997384259259</v>
      </c>
    </row>
    <row r="209" spans="1:7" x14ac:dyDescent="0.25">
      <c r="A209" s="8">
        <v>42647.006979166668</v>
      </c>
      <c r="B209" s="23" t="s">
        <v>719</v>
      </c>
      <c r="C209" s="23" t="s">
        <v>601</v>
      </c>
      <c r="D209" s="23">
        <v>2230000</v>
      </c>
      <c r="E209" s="23" t="s">
        <v>276</v>
      </c>
      <c r="F209" s="23" t="str">
        <f t="shared" si="6"/>
        <v>rtdc.l.rtdc.4002:itc</v>
      </c>
      <c r="G209" s="8">
        <f t="shared" si="7"/>
        <v>42647.006979166668</v>
      </c>
    </row>
    <row r="210" spans="1:7" x14ac:dyDescent="0.25">
      <c r="A210" s="8">
        <v>42647.016030092593</v>
      </c>
      <c r="B210" s="23" t="s">
        <v>324</v>
      </c>
      <c r="C210" s="23" t="s">
        <v>598</v>
      </c>
      <c r="D210" s="23">
        <v>1810000</v>
      </c>
      <c r="E210" s="23" t="s">
        <v>274</v>
      </c>
      <c r="F210" s="23" t="str">
        <f t="shared" si="6"/>
        <v>rtdc.l.rtdc.4010:itc</v>
      </c>
      <c r="G210" s="8">
        <f t="shared" si="7"/>
        <v>42647.016030092593</v>
      </c>
    </row>
    <row r="211" spans="1:7" x14ac:dyDescent="0.25">
      <c r="A211" s="8">
        <v>42647.028831018521</v>
      </c>
      <c r="B211" s="23" t="s">
        <v>717</v>
      </c>
      <c r="C211" s="23" t="s">
        <v>605</v>
      </c>
      <c r="D211" s="23">
        <v>1180000</v>
      </c>
      <c r="E211" s="23" t="s">
        <v>244</v>
      </c>
      <c r="F211" s="23" t="str">
        <f t="shared" si="6"/>
        <v>rtdc.l.rtdc.4040:itc</v>
      </c>
      <c r="G211" s="8">
        <f t="shared" si="7"/>
        <v>42647.028831018521</v>
      </c>
    </row>
    <row r="212" spans="1:7" x14ac:dyDescent="0.25">
      <c r="A212" s="8">
        <v>42647.036122685182</v>
      </c>
      <c r="B212" s="23" t="s">
        <v>248</v>
      </c>
      <c r="C212" s="23" t="s">
        <v>600</v>
      </c>
      <c r="D212" s="23">
        <v>1800000</v>
      </c>
      <c r="E212" s="23" t="s">
        <v>334</v>
      </c>
      <c r="F212" s="23" t="str">
        <f t="shared" si="6"/>
        <v>rtdc.l.rtdc.4045:itc</v>
      </c>
      <c r="G212" s="8">
        <f t="shared" si="7"/>
        <v>42647.036122685182</v>
      </c>
    </row>
    <row r="213" spans="1:7" x14ac:dyDescent="0.25">
      <c r="A213" s="8">
        <v>42647.047893518517</v>
      </c>
      <c r="B213" s="23" t="s">
        <v>333</v>
      </c>
      <c r="C213" s="23" t="s">
        <v>606</v>
      </c>
      <c r="D213" s="23">
        <v>1810000</v>
      </c>
      <c r="E213" s="23" t="s">
        <v>274</v>
      </c>
      <c r="F213" s="23" t="str">
        <f t="shared" si="6"/>
        <v>rtdc.l.rtdc.4009:itc</v>
      </c>
      <c r="G213" s="8">
        <f t="shared" si="7"/>
        <v>42647.047893518517</v>
      </c>
    </row>
    <row r="214" spans="1:7" x14ac:dyDescent="0.25">
      <c r="A214" s="8">
        <v>42647.054479166669</v>
      </c>
      <c r="B214" s="23" t="s">
        <v>718</v>
      </c>
      <c r="C214" s="23" t="s">
        <v>602</v>
      </c>
      <c r="D214" s="23">
        <v>2230000</v>
      </c>
      <c r="E214" s="23" t="s">
        <v>276</v>
      </c>
      <c r="F214" s="23" t="str">
        <f t="shared" si="6"/>
        <v>rtdc.l.rtdc.4001:itc</v>
      </c>
      <c r="G214" s="8">
        <f t="shared" si="7"/>
        <v>42647.054479166669</v>
      </c>
    </row>
    <row r="215" spans="1:7" x14ac:dyDescent="0.25">
      <c r="A215" s="8">
        <v>42647.055347222224</v>
      </c>
      <c r="B215" s="23" t="s">
        <v>718</v>
      </c>
      <c r="C215" s="23" t="s">
        <v>602</v>
      </c>
      <c r="D215" s="23">
        <v>2230000</v>
      </c>
      <c r="E215" s="23" t="s">
        <v>276</v>
      </c>
      <c r="F215" s="23" t="str">
        <f t="shared" si="6"/>
        <v>rtdc.l.rtdc.4001:itc</v>
      </c>
      <c r="G215" s="8">
        <f t="shared" si="7"/>
        <v>42647.055347222224</v>
      </c>
    </row>
    <row r="216" spans="1:7" x14ac:dyDescent="0.25">
      <c r="A216" s="8">
        <v>42647.069502314815</v>
      </c>
      <c r="B216" s="23" t="s">
        <v>177</v>
      </c>
      <c r="C216" s="23" t="s">
        <v>608</v>
      </c>
      <c r="D216" s="23">
        <v>1800000</v>
      </c>
      <c r="E216" s="23" t="s">
        <v>334</v>
      </c>
      <c r="F216" s="23" t="str">
        <f t="shared" si="6"/>
        <v>rtdc.l.rtdc.4046:itc</v>
      </c>
      <c r="G216" s="8">
        <f t="shared" si="7"/>
        <v>42647.069502314815</v>
      </c>
    </row>
    <row r="217" spans="1:7" x14ac:dyDescent="0.25">
      <c r="A217" s="8">
        <v>42647.089513888888</v>
      </c>
      <c r="B217" s="23" t="s">
        <v>719</v>
      </c>
      <c r="C217" s="23" t="s">
        <v>611</v>
      </c>
      <c r="D217" s="23">
        <v>2230000</v>
      </c>
      <c r="E217" s="23" t="s">
        <v>276</v>
      </c>
      <c r="F217" s="23" t="str">
        <f t="shared" si="6"/>
        <v>rtdc.l.rtdc.4002:itc</v>
      </c>
      <c r="G217" s="8">
        <f t="shared" si="7"/>
        <v>42647.089513888888</v>
      </c>
    </row>
    <row r="218" spans="1:7" x14ac:dyDescent="0.25">
      <c r="B218" s="23"/>
      <c r="C218" s="23"/>
      <c r="D218" s="23"/>
      <c r="E218" s="23"/>
      <c r="F218" s="23">
        <f t="shared" si="6"/>
        <v>0</v>
      </c>
      <c r="G218" s="8">
        <f t="shared" si="7"/>
        <v>0</v>
      </c>
    </row>
    <row r="219" spans="1:7" x14ac:dyDescent="0.25">
      <c r="A219" s="8">
        <v>42643.870405092595</v>
      </c>
      <c r="B219" s="23" t="s">
        <v>169</v>
      </c>
      <c r="C219" s="23" t="s">
        <v>294</v>
      </c>
      <c r="D219" s="23">
        <v>1800000</v>
      </c>
      <c r="E219" s="23" t="s">
        <v>334</v>
      </c>
      <c r="F219" s="23" t="str">
        <f t="shared" si="6"/>
        <v>rtdc.l.rtdc.4026:itc</v>
      </c>
      <c r="G219" s="8">
        <f t="shared" si="7"/>
        <v>42643.870405092595</v>
      </c>
    </row>
    <row r="220" spans="1:7" x14ac:dyDescent="0.25">
      <c r="A220" s="8">
        <v>42643.880983796298</v>
      </c>
      <c r="B220" s="23" t="s">
        <v>326</v>
      </c>
      <c r="C220" s="23" t="s">
        <v>321</v>
      </c>
      <c r="D220" s="23">
        <v>1810000</v>
      </c>
      <c r="E220" s="23" t="s">
        <v>274</v>
      </c>
      <c r="F220" s="23" t="str">
        <f t="shared" si="6"/>
        <v>rtdc.l.rtdc.4016:itc</v>
      </c>
      <c r="G220" s="8">
        <f t="shared" si="7"/>
        <v>42643.880983796298</v>
      </c>
    </row>
    <row r="221" spans="1:7" x14ac:dyDescent="0.25">
      <c r="A221" s="8">
        <v>42643.887685185182</v>
      </c>
      <c r="B221" s="23" t="s">
        <v>328</v>
      </c>
      <c r="C221" s="23" t="s">
        <v>295</v>
      </c>
      <c r="D221" s="23">
        <v>1480000</v>
      </c>
      <c r="E221" s="23" t="s">
        <v>261</v>
      </c>
      <c r="F221" s="23" t="str">
        <f t="shared" si="6"/>
        <v>rtdc.l.rtdc.4032:itc</v>
      </c>
      <c r="G221" s="8">
        <f t="shared" si="7"/>
        <v>42643.887685185182</v>
      </c>
    </row>
    <row r="222" spans="1:7" x14ac:dyDescent="0.25">
      <c r="A222" s="8">
        <v>42643.888877314814</v>
      </c>
      <c r="B222" s="23" t="s">
        <v>162</v>
      </c>
      <c r="C222" s="23" t="s">
        <v>297</v>
      </c>
      <c r="D222" s="23">
        <v>2230000</v>
      </c>
      <c r="E222" s="23" t="s">
        <v>276</v>
      </c>
      <c r="F222" s="23" t="str">
        <f t="shared" si="6"/>
        <v>rtdc.l.rtdc.4020:itc</v>
      </c>
      <c r="G222" s="8">
        <f t="shared" si="7"/>
        <v>42643.888877314814</v>
      </c>
    </row>
    <row r="223" spans="1:7" x14ac:dyDescent="0.25">
      <c r="A223" s="8">
        <v>42643.901226851849</v>
      </c>
      <c r="B223" s="23" t="s">
        <v>325</v>
      </c>
      <c r="C223" s="23" t="s">
        <v>320</v>
      </c>
      <c r="D223" s="23">
        <v>1810000</v>
      </c>
      <c r="E223" s="23" t="s">
        <v>274</v>
      </c>
      <c r="F223" s="23" t="str">
        <f t="shared" si="6"/>
        <v>rtdc.l.rtdc.4015:itc</v>
      </c>
      <c r="G223" s="8">
        <f t="shared" si="7"/>
        <v>42643.901226851849</v>
      </c>
    </row>
    <row r="224" spans="1:7" x14ac:dyDescent="0.25">
      <c r="A224" s="8">
        <v>42643.911793981482</v>
      </c>
      <c r="B224" t="s">
        <v>327</v>
      </c>
      <c r="C224" t="s">
        <v>296</v>
      </c>
      <c r="D224">
        <v>1300000</v>
      </c>
      <c r="E224" t="s">
        <v>121</v>
      </c>
      <c r="F224" s="23" t="str">
        <f t="shared" si="6"/>
        <v>rtdc.l.rtdc.4054:itc</v>
      </c>
      <c r="G224" s="8">
        <f t="shared" si="7"/>
        <v>42643.911793981482</v>
      </c>
    </row>
    <row r="225" spans="1:7" x14ac:dyDescent="0.25">
      <c r="A225" s="8">
        <v>42643.912928240738</v>
      </c>
      <c r="B225" t="s">
        <v>168</v>
      </c>
      <c r="C225" t="s">
        <v>300</v>
      </c>
      <c r="D225">
        <v>1800000</v>
      </c>
      <c r="E225" t="s">
        <v>334</v>
      </c>
      <c r="F225" s="23" t="str">
        <f t="shared" si="6"/>
        <v>rtdc.l.rtdc.4025:itc</v>
      </c>
      <c r="G225" s="8">
        <f t="shared" si="7"/>
        <v>42643.912928240738</v>
      </c>
    </row>
    <row r="226" spans="1:7" x14ac:dyDescent="0.25">
      <c r="A226" s="8">
        <v>42643.91642361111</v>
      </c>
      <c r="B226" t="s">
        <v>326</v>
      </c>
      <c r="C226" t="s">
        <v>322</v>
      </c>
      <c r="D226">
        <v>1810000</v>
      </c>
      <c r="E226" t="s">
        <v>274</v>
      </c>
      <c r="F226" s="23" t="str">
        <f t="shared" si="6"/>
        <v>rtdc.l.rtdc.4016:itc</v>
      </c>
      <c r="G226" s="8">
        <f t="shared" si="7"/>
        <v>42643.91642361111</v>
      </c>
    </row>
    <row r="227" spans="1:7" x14ac:dyDescent="0.25">
      <c r="A227" s="8">
        <v>42643.929907407408</v>
      </c>
      <c r="B227" t="s">
        <v>161</v>
      </c>
      <c r="C227" t="s">
        <v>299</v>
      </c>
      <c r="D227">
        <v>2230000</v>
      </c>
      <c r="E227" t="s">
        <v>276</v>
      </c>
      <c r="F227" s="23" t="str">
        <f t="shared" si="6"/>
        <v>rtdc.l.rtdc.4019:itc</v>
      </c>
      <c r="G227" s="8">
        <f t="shared" si="7"/>
        <v>42643.929907407408</v>
      </c>
    </row>
    <row r="228" spans="1:7" x14ac:dyDescent="0.25">
      <c r="A228" s="8">
        <v>42643.930659722224</v>
      </c>
      <c r="B228" t="s">
        <v>329</v>
      </c>
      <c r="C228" t="s">
        <v>303</v>
      </c>
      <c r="D228">
        <v>1480000</v>
      </c>
      <c r="E228" t="s">
        <v>261</v>
      </c>
      <c r="F228" s="23" t="str">
        <f t="shared" si="6"/>
        <v>rtdc.l.rtdc.4031:itc</v>
      </c>
      <c r="G228" s="8">
        <f t="shared" si="7"/>
        <v>42643.930659722224</v>
      </c>
    </row>
    <row r="229" spans="1:7" x14ac:dyDescent="0.25">
      <c r="A229" s="8">
        <v>42643.942291666666</v>
      </c>
      <c r="B229" t="s">
        <v>325</v>
      </c>
      <c r="C229" t="s">
        <v>323</v>
      </c>
      <c r="D229">
        <v>1810000</v>
      </c>
      <c r="E229" t="s">
        <v>274</v>
      </c>
      <c r="F229" s="23" t="str">
        <f t="shared" si="6"/>
        <v>rtdc.l.rtdc.4015:itc</v>
      </c>
      <c r="G229" s="8">
        <f t="shared" si="7"/>
        <v>42643.942291666666</v>
      </c>
    </row>
    <row r="230" spans="1:7" x14ac:dyDescent="0.25">
      <c r="A230" s="8">
        <v>42643.955347222225</v>
      </c>
      <c r="B230" t="s">
        <v>330</v>
      </c>
      <c r="C230" t="s">
        <v>305</v>
      </c>
      <c r="D230">
        <v>1300000</v>
      </c>
      <c r="E230" t="s">
        <v>121</v>
      </c>
      <c r="F230" s="23" t="str">
        <f t="shared" si="6"/>
        <v>rtdc.l.rtdc.4053:itc</v>
      </c>
      <c r="G230" s="8">
        <f t="shared" si="7"/>
        <v>42643.955347222225</v>
      </c>
    </row>
    <row r="231" spans="1:7" x14ac:dyDescent="0.25">
      <c r="A231" s="8">
        <v>42643.957835648151</v>
      </c>
      <c r="B231" t="s">
        <v>169</v>
      </c>
      <c r="C231" t="s">
        <v>301</v>
      </c>
      <c r="D231">
        <v>1800000</v>
      </c>
      <c r="E231" t="s">
        <v>334</v>
      </c>
      <c r="F231" s="23" t="str">
        <f t="shared" si="6"/>
        <v>rtdc.l.rtdc.4026:itc</v>
      </c>
      <c r="G231" s="8">
        <f t="shared" si="7"/>
        <v>42643.957835648151</v>
      </c>
    </row>
    <row r="232" spans="1:7" x14ac:dyDescent="0.25">
      <c r="A232" s="8">
        <v>42643.969918981478</v>
      </c>
      <c r="B232" t="s">
        <v>328</v>
      </c>
      <c r="C232" t="s">
        <v>304</v>
      </c>
      <c r="D232">
        <v>1480000</v>
      </c>
      <c r="E232" t="s">
        <v>261</v>
      </c>
      <c r="F232" s="23" t="str">
        <f t="shared" si="6"/>
        <v>rtdc.l.rtdc.4032:itc</v>
      </c>
      <c r="G232" s="8">
        <f t="shared" si="7"/>
        <v>42643.969918981478</v>
      </c>
    </row>
    <row r="233" spans="1:7" x14ac:dyDescent="0.25">
      <c r="A233" s="8">
        <v>42643.972881944443</v>
      </c>
      <c r="B233" t="s">
        <v>162</v>
      </c>
      <c r="C233" t="s">
        <v>307</v>
      </c>
      <c r="D233">
        <v>2230000</v>
      </c>
      <c r="E233" t="s">
        <v>276</v>
      </c>
      <c r="F233" s="23" t="str">
        <f t="shared" si="6"/>
        <v>rtdc.l.rtdc.4020:itc</v>
      </c>
      <c r="G233" s="8">
        <f t="shared" si="7"/>
        <v>42643.972881944443</v>
      </c>
    </row>
    <row r="234" spans="1:7" x14ac:dyDescent="0.25">
      <c r="A234" s="8">
        <v>42643.994120370371</v>
      </c>
      <c r="B234" t="s">
        <v>327</v>
      </c>
      <c r="C234" t="s">
        <v>306</v>
      </c>
      <c r="D234">
        <v>1300000</v>
      </c>
      <c r="E234" t="s">
        <v>121</v>
      </c>
      <c r="F234" s="23" t="str">
        <f t="shared" si="6"/>
        <v>rtdc.l.rtdc.4054:itc</v>
      </c>
      <c r="G234" s="8">
        <f t="shared" si="7"/>
        <v>42643.994120370371</v>
      </c>
    </row>
    <row r="235" spans="1:7" x14ac:dyDescent="0.25">
      <c r="A235" s="8">
        <v>42643.998368055552</v>
      </c>
      <c r="B235" t="s">
        <v>168</v>
      </c>
      <c r="C235" t="s">
        <v>309</v>
      </c>
      <c r="D235">
        <v>1800000</v>
      </c>
      <c r="E235" t="s">
        <v>334</v>
      </c>
      <c r="F235" s="23" t="str">
        <f t="shared" si="6"/>
        <v>rtdc.l.rtdc.4025:itc</v>
      </c>
      <c r="G235" s="8">
        <f t="shared" si="7"/>
        <v>42643.998368055552</v>
      </c>
    </row>
    <row r="236" spans="1:7" x14ac:dyDescent="0.25">
      <c r="A236" s="8">
        <v>42644.007615740738</v>
      </c>
      <c r="B236" t="s">
        <v>329</v>
      </c>
      <c r="C236" t="s">
        <v>311</v>
      </c>
      <c r="D236">
        <v>1480000</v>
      </c>
      <c r="E236" t="s">
        <v>261</v>
      </c>
      <c r="F236" s="23" t="str">
        <f t="shared" ref="F236:F265" si="8">B236</f>
        <v>rtdc.l.rtdc.4031:itc</v>
      </c>
      <c r="G236" s="8">
        <f t="shared" ref="G236:G265" si="9">A236</f>
        <v>42644.007615740738</v>
      </c>
    </row>
    <row r="237" spans="1:7" x14ac:dyDescent="0.25">
      <c r="A237" s="8">
        <v>42644.008726851855</v>
      </c>
      <c r="B237" t="s">
        <v>161</v>
      </c>
      <c r="C237" t="s">
        <v>308</v>
      </c>
      <c r="D237">
        <v>2230000</v>
      </c>
      <c r="E237" t="s">
        <v>276</v>
      </c>
      <c r="F237" s="23" t="str">
        <f t="shared" si="8"/>
        <v>rtdc.l.rtdc.4019:itc</v>
      </c>
      <c r="G237" s="8">
        <f t="shared" si="9"/>
        <v>42644.008726851855</v>
      </c>
    </row>
    <row r="238" spans="1:7" x14ac:dyDescent="0.25">
      <c r="A238" s="8">
        <v>42644.036689814813</v>
      </c>
      <c r="B238" t="s">
        <v>330</v>
      </c>
      <c r="C238" t="s">
        <v>313</v>
      </c>
      <c r="D238">
        <v>1300000</v>
      </c>
      <c r="E238" t="s">
        <v>121</v>
      </c>
      <c r="F238" s="23" t="str">
        <f t="shared" si="8"/>
        <v>rtdc.l.rtdc.4053:itc</v>
      </c>
      <c r="G238" s="8">
        <f t="shared" si="9"/>
        <v>42644.036689814813</v>
      </c>
    </row>
    <row r="239" spans="1:7" x14ac:dyDescent="0.25">
      <c r="A239" s="8">
        <v>42644.036990740744</v>
      </c>
      <c r="B239" t="s">
        <v>169</v>
      </c>
      <c r="C239" t="s">
        <v>310</v>
      </c>
      <c r="D239">
        <v>1800000</v>
      </c>
      <c r="E239" t="s">
        <v>334</v>
      </c>
      <c r="F239" s="23" t="str">
        <f t="shared" si="8"/>
        <v>rtdc.l.rtdc.4026:itc</v>
      </c>
      <c r="G239" s="8">
        <f t="shared" si="9"/>
        <v>42644.036990740744</v>
      </c>
    </row>
    <row r="240" spans="1:7" x14ac:dyDescent="0.25">
      <c r="A240" s="8">
        <v>42644.047592592593</v>
      </c>
      <c r="B240" t="s">
        <v>162</v>
      </c>
      <c r="C240" t="s">
        <v>315</v>
      </c>
      <c r="D240">
        <v>2230000</v>
      </c>
      <c r="E240" t="s">
        <v>276</v>
      </c>
      <c r="F240" s="23" t="str">
        <f t="shared" si="8"/>
        <v>rtdc.l.rtdc.4020:itc</v>
      </c>
      <c r="G240" s="8">
        <f t="shared" si="9"/>
        <v>42644.047592592593</v>
      </c>
    </row>
    <row r="241" spans="1:7" x14ac:dyDescent="0.25">
      <c r="A241" s="8">
        <v>42644.054097222222</v>
      </c>
      <c r="B241" t="s">
        <v>328</v>
      </c>
      <c r="C241" t="s">
        <v>312</v>
      </c>
      <c r="D241">
        <v>1480000</v>
      </c>
      <c r="E241" t="s">
        <v>261</v>
      </c>
      <c r="F241" s="23" t="str">
        <f t="shared" si="8"/>
        <v>rtdc.l.rtdc.4032:itc</v>
      </c>
      <c r="G241" s="8">
        <f t="shared" si="9"/>
        <v>42644.054097222222</v>
      </c>
    </row>
    <row r="242" spans="1:7" x14ac:dyDescent="0.25">
      <c r="A242" s="8">
        <v>42644.069421296299</v>
      </c>
      <c r="B242" t="s">
        <v>168</v>
      </c>
      <c r="C242" t="s">
        <v>316</v>
      </c>
      <c r="D242">
        <v>1800000</v>
      </c>
      <c r="E242" t="s">
        <v>334</v>
      </c>
      <c r="F242" s="23" t="str">
        <f t="shared" si="8"/>
        <v>rtdc.l.rtdc.4025:itc</v>
      </c>
      <c r="G242" s="8">
        <f t="shared" si="9"/>
        <v>42644.069421296299</v>
      </c>
    </row>
    <row r="243" spans="1:7" x14ac:dyDescent="0.25">
      <c r="A243" s="8">
        <v>42644.077268518522</v>
      </c>
      <c r="B243" t="s">
        <v>327</v>
      </c>
      <c r="C243" t="s">
        <v>314</v>
      </c>
      <c r="D243">
        <v>1300000</v>
      </c>
      <c r="E243" t="s">
        <v>121</v>
      </c>
      <c r="F243" s="23" t="str">
        <f t="shared" si="8"/>
        <v>rtdc.l.rtdc.4054:itc</v>
      </c>
      <c r="G243" s="8">
        <f t="shared" si="9"/>
        <v>42644.077268518522</v>
      </c>
    </row>
    <row r="244" spans="1:7" x14ac:dyDescent="0.25">
      <c r="A244" s="8">
        <v>42644.090069444443</v>
      </c>
      <c r="B244" t="s">
        <v>329</v>
      </c>
      <c r="C244" t="s">
        <v>317</v>
      </c>
      <c r="D244">
        <v>1480000</v>
      </c>
      <c r="E244" t="s">
        <v>261</v>
      </c>
      <c r="F244" s="23" t="str">
        <f t="shared" si="8"/>
        <v>rtdc.l.rtdc.4031:itc</v>
      </c>
      <c r="G244" s="8">
        <f t="shared" si="9"/>
        <v>42644.090069444443</v>
      </c>
    </row>
    <row r="245" spans="1:7" x14ac:dyDescent="0.25">
      <c r="A245" s="8">
        <v>42644.108842592592</v>
      </c>
      <c r="B245" t="s">
        <v>330</v>
      </c>
      <c r="C245" t="s">
        <v>318</v>
      </c>
      <c r="D245">
        <v>1300000</v>
      </c>
      <c r="E245" t="s">
        <v>121</v>
      </c>
      <c r="F245" s="23" t="str">
        <f t="shared" si="8"/>
        <v>rtdc.l.rtdc.4053:itc</v>
      </c>
      <c r="G245" s="8">
        <f t="shared" si="9"/>
        <v>42644.108842592592</v>
      </c>
    </row>
    <row r="246" spans="1:7" x14ac:dyDescent="0.25">
      <c r="F246" s="23">
        <f t="shared" si="8"/>
        <v>0</v>
      </c>
      <c r="G246" s="8">
        <f t="shared" si="9"/>
        <v>0</v>
      </c>
    </row>
    <row r="247" spans="1:7" x14ac:dyDescent="0.25">
      <c r="A247" s="8">
        <v>42643.031539351854</v>
      </c>
      <c r="B247" t="s">
        <v>174</v>
      </c>
      <c r="C247" t="s">
        <v>277</v>
      </c>
      <c r="D247">
        <v>1180000</v>
      </c>
      <c r="E247" t="s">
        <v>244</v>
      </c>
      <c r="F247" s="23" t="str">
        <f t="shared" si="8"/>
        <v>rtdc.l.rtdc.4042:itc</v>
      </c>
      <c r="G247" s="8">
        <f t="shared" si="9"/>
        <v>42643.031539351854</v>
      </c>
    </row>
    <row r="248" spans="1:7" x14ac:dyDescent="0.25">
      <c r="A248" s="8">
        <v>42643.034259259257</v>
      </c>
      <c r="B248" t="s">
        <v>248</v>
      </c>
      <c r="C248" t="s">
        <v>278</v>
      </c>
      <c r="D248">
        <v>1300000</v>
      </c>
      <c r="E248" t="s">
        <v>121</v>
      </c>
      <c r="F248" s="23" t="str">
        <f t="shared" si="8"/>
        <v>rtdc.l.rtdc.4045:itc</v>
      </c>
      <c r="G248" s="8">
        <f t="shared" si="9"/>
        <v>42643.034259259257</v>
      </c>
    </row>
    <row r="249" spans="1:7" x14ac:dyDescent="0.25">
      <c r="A249" s="8">
        <v>42643.046157407407</v>
      </c>
      <c r="B249" t="s">
        <v>233</v>
      </c>
      <c r="C249" t="s">
        <v>279</v>
      </c>
      <c r="D249">
        <v>1290000</v>
      </c>
      <c r="E249" t="s">
        <v>170</v>
      </c>
      <c r="F249" s="23" t="str">
        <f t="shared" si="8"/>
        <v>rtdc.l.rtdc.4029:itc</v>
      </c>
      <c r="G249" s="8">
        <f t="shared" si="9"/>
        <v>42643.046157407407</v>
      </c>
    </row>
    <row r="250" spans="1:7" x14ac:dyDescent="0.25">
      <c r="A250" s="8">
        <v>42643.051041666666</v>
      </c>
      <c r="B250" t="s">
        <v>260</v>
      </c>
      <c r="C250" t="s">
        <v>280</v>
      </c>
      <c r="D250">
        <v>1480000</v>
      </c>
      <c r="E250" t="s">
        <v>261</v>
      </c>
      <c r="F250" s="23" t="str">
        <f t="shared" si="8"/>
        <v>rtdc.l.rtdc.4039:itc</v>
      </c>
      <c r="G250" s="8">
        <f t="shared" si="9"/>
        <v>42643.051041666666</v>
      </c>
    </row>
    <row r="251" spans="1:7" x14ac:dyDescent="0.25">
      <c r="A251" s="8">
        <v>42643.066979166666</v>
      </c>
      <c r="B251" t="s">
        <v>177</v>
      </c>
      <c r="C251" t="s">
        <v>281</v>
      </c>
      <c r="D251">
        <v>1300000</v>
      </c>
      <c r="E251" t="s">
        <v>121</v>
      </c>
      <c r="F251" s="23" t="str">
        <f t="shared" si="8"/>
        <v>rtdc.l.rtdc.4046:itc</v>
      </c>
      <c r="G251" s="8">
        <f t="shared" si="9"/>
        <v>42643.066979166666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42621.049062500002</v>
      </c>
      <c r="B253" t="s">
        <v>168</v>
      </c>
      <c r="C253" t="s">
        <v>178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173</v>
      </c>
      <c r="C254" t="s">
        <v>180</v>
      </c>
      <c r="D254">
        <v>1290000</v>
      </c>
      <c r="E254" t="s">
        <v>170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172</v>
      </c>
      <c r="C255" t="s">
        <v>181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171</v>
      </c>
      <c r="C256" t="s">
        <v>179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177</v>
      </c>
      <c r="C257" t="s">
        <v>182</v>
      </c>
      <c r="D257">
        <v>1290000</v>
      </c>
      <c r="E257" t="s">
        <v>170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172</v>
      </c>
      <c r="C258" t="s">
        <v>181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/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190</v>
      </c>
      <c r="B1" s="151" t="s">
        <v>193</v>
      </c>
      <c r="C1" s="151" t="s">
        <v>186</v>
      </c>
      <c r="D1" s="151" t="s">
        <v>213</v>
      </c>
      <c r="E1" s="151" t="s">
        <v>187</v>
      </c>
      <c r="F1" s="151" t="s">
        <v>185</v>
      </c>
      <c r="G1" s="151" t="s">
        <v>183</v>
      </c>
      <c r="H1" s="151" t="s">
        <v>196</v>
      </c>
      <c r="I1" s="151" t="s">
        <v>197</v>
      </c>
      <c r="J1" s="151" t="s">
        <v>335</v>
      </c>
      <c r="K1" s="151" t="s">
        <v>191</v>
      </c>
      <c r="L1" s="151" t="s">
        <v>189</v>
      </c>
      <c r="M1" s="151" t="s">
        <v>184</v>
      </c>
      <c r="N1" s="151" t="s">
        <v>194</v>
      </c>
      <c r="O1" s="151" t="s">
        <v>188</v>
      </c>
      <c r="P1" s="151" t="s">
        <v>195</v>
      </c>
      <c r="Q1" s="151" t="s">
        <v>192</v>
      </c>
    </row>
    <row r="2" spans="1:17" x14ac:dyDescent="0.25">
      <c r="A2" s="150">
        <v>59.8</v>
      </c>
      <c r="B2" s="150">
        <v>0.21</v>
      </c>
      <c r="C2" s="150">
        <v>43.71</v>
      </c>
      <c r="D2" s="165">
        <v>42646</v>
      </c>
      <c r="E2" s="150">
        <v>0.55000000000000004</v>
      </c>
      <c r="F2" s="150" t="s">
        <v>236</v>
      </c>
      <c r="G2" s="150">
        <v>259.22000000000003</v>
      </c>
      <c r="H2" s="150">
        <v>1.4E-3</v>
      </c>
      <c r="I2" s="150">
        <v>0.03</v>
      </c>
      <c r="J2" s="150" t="s">
        <v>336</v>
      </c>
      <c r="K2" s="150">
        <v>1008</v>
      </c>
      <c r="L2" s="150" t="s">
        <v>237</v>
      </c>
      <c r="M2" s="150">
        <v>59.8</v>
      </c>
      <c r="N2" s="150">
        <v>1475474400</v>
      </c>
      <c r="O2" s="150">
        <v>9.3000000000000007</v>
      </c>
      <c r="P2" s="150">
        <v>178</v>
      </c>
      <c r="Q2" s="150">
        <v>5.89</v>
      </c>
    </row>
    <row r="3" spans="1:17" x14ac:dyDescent="0.25">
      <c r="A3" s="150">
        <v>57.59</v>
      </c>
      <c r="B3" s="150">
        <v>0.2</v>
      </c>
      <c r="C3" s="150">
        <v>42.3</v>
      </c>
      <c r="D3" s="165">
        <v>42646.041666666664</v>
      </c>
      <c r="E3" s="150">
        <v>0.56999999999999995</v>
      </c>
      <c r="F3" s="150" t="s">
        <v>236</v>
      </c>
      <c r="G3" s="150">
        <v>259.89</v>
      </c>
      <c r="H3" s="150">
        <v>1.1000000000000001E-3</v>
      </c>
      <c r="I3" s="150">
        <v>0.02</v>
      </c>
      <c r="J3" s="150" t="s">
        <v>336</v>
      </c>
      <c r="K3" s="150">
        <v>1007.49</v>
      </c>
      <c r="L3" s="150" t="s">
        <v>237</v>
      </c>
      <c r="M3" s="150">
        <v>57.59</v>
      </c>
      <c r="N3" s="150">
        <v>1475478000</v>
      </c>
      <c r="O3" s="150">
        <v>9.3699999999999992</v>
      </c>
      <c r="P3" s="150">
        <v>167</v>
      </c>
      <c r="Q3" s="150">
        <v>6.13</v>
      </c>
    </row>
    <row r="4" spans="1:17" x14ac:dyDescent="0.25">
      <c r="A4" s="150">
        <v>56.52</v>
      </c>
      <c r="B4" s="150">
        <v>0.17</v>
      </c>
      <c r="C4" s="150">
        <v>41.97</v>
      </c>
      <c r="D4" s="165">
        <v>42646.083333333336</v>
      </c>
      <c r="E4" s="150">
        <v>0.57999999999999996</v>
      </c>
      <c r="F4" s="150" t="s">
        <v>236</v>
      </c>
      <c r="G4" s="150">
        <v>260.56</v>
      </c>
      <c r="H4" s="150">
        <v>0</v>
      </c>
      <c r="I4" s="150">
        <v>0</v>
      </c>
      <c r="K4" s="150">
        <v>1006.86</v>
      </c>
      <c r="L4" s="150" t="s">
        <v>237</v>
      </c>
      <c r="M4" s="150">
        <v>56.52</v>
      </c>
      <c r="N4" s="150">
        <v>1475481600</v>
      </c>
      <c r="O4" s="150">
        <v>9.3699999999999992</v>
      </c>
      <c r="P4" s="150">
        <v>178</v>
      </c>
      <c r="Q4" s="150">
        <v>5.33</v>
      </c>
    </row>
    <row r="5" spans="1:17" x14ac:dyDescent="0.25">
      <c r="A5" s="150">
        <v>54.79</v>
      </c>
      <c r="B5" s="150">
        <v>0.18</v>
      </c>
      <c r="C5" s="150">
        <v>40.74</v>
      </c>
      <c r="D5" s="165">
        <v>42646.125</v>
      </c>
      <c r="E5" s="150">
        <v>0.59</v>
      </c>
      <c r="F5" s="150" t="s">
        <v>236</v>
      </c>
      <c r="G5" s="150">
        <v>261.24</v>
      </c>
      <c r="H5" s="150">
        <v>0</v>
      </c>
      <c r="I5" s="150">
        <v>0</v>
      </c>
      <c r="K5" s="150">
        <v>1006.2</v>
      </c>
      <c r="L5" s="150" t="s">
        <v>237</v>
      </c>
      <c r="M5" s="150">
        <v>54.79</v>
      </c>
      <c r="N5" s="150">
        <v>1475485200</v>
      </c>
      <c r="O5" s="150">
        <v>9.2100000000000009</v>
      </c>
      <c r="P5" s="150">
        <v>188</v>
      </c>
      <c r="Q5" s="150">
        <v>4.62</v>
      </c>
    </row>
    <row r="6" spans="1:17" x14ac:dyDescent="0.25">
      <c r="A6" s="150">
        <v>54.22</v>
      </c>
      <c r="B6" s="150">
        <v>0.34</v>
      </c>
      <c r="C6" s="150">
        <v>40.44</v>
      </c>
      <c r="D6" s="165">
        <v>42646.166666666664</v>
      </c>
      <c r="E6" s="150">
        <v>0.6</v>
      </c>
      <c r="F6" s="150" t="s">
        <v>282</v>
      </c>
      <c r="G6" s="150">
        <v>262.29000000000002</v>
      </c>
      <c r="H6" s="150">
        <v>0</v>
      </c>
      <c r="I6" s="150">
        <v>0</v>
      </c>
      <c r="K6" s="150">
        <v>1005.18</v>
      </c>
      <c r="L6" s="150" t="s">
        <v>259</v>
      </c>
      <c r="M6" s="150">
        <v>54.22</v>
      </c>
      <c r="N6" s="150">
        <v>1475488800</v>
      </c>
      <c r="O6" s="150">
        <v>9.18</v>
      </c>
      <c r="P6" s="150">
        <v>199</v>
      </c>
      <c r="Q6" s="150">
        <v>3.81</v>
      </c>
    </row>
    <row r="7" spans="1:17" x14ac:dyDescent="0.25">
      <c r="A7" s="150">
        <v>54.46</v>
      </c>
      <c r="B7" s="150">
        <v>0.59</v>
      </c>
      <c r="C7" s="150">
        <v>40.65</v>
      </c>
      <c r="D7" s="165">
        <v>42646.208333333336</v>
      </c>
      <c r="E7" s="150">
        <v>0.59</v>
      </c>
      <c r="F7" s="150" t="s">
        <v>282</v>
      </c>
      <c r="G7" s="150">
        <v>263.49</v>
      </c>
      <c r="H7" s="150">
        <v>0</v>
      </c>
      <c r="I7" s="150">
        <v>0</v>
      </c>
      <c r="K7" s="150">
        <v>1004.02</v>
      </c>
      <c r="L7" s="150" t="s">
        <v>259</v>
      </c>
      <c r="M7" s="150">
        <v>54.46</v>
      </c>
      <c r="N7" s="150">
        <v>1475492400</v>
      </c>
      <c r="O7" s="150">
        <v>9.3699999999999992</v>
      </c>
      <c r="P7" s="150">
        <v>196</v>
      </c>
      <c r="Q7" s="150">
        <v>2.13</v>
      </c>
    </row>
    <row r="8" spans="1:17" x14ac:dyDescent="0.25">
      <c r="A8" s="150">
        <v>54.88</v>
      </c>
      <c r="B8" s="150">
        <v>0.68</v>
      </c>
      <c r="C8" s="150">
        <v>40.1</v>
      </c>
      <c r="D8" s="165">
        <v>42646.25</v>
      </c>
      <c r="E8" s="150">
        <v>0.56999999999999995</v>
      </c>
      <c r="F8" s="150" t="s">
        <v>282</v>
      </c>
      <c r="G8" s="150">
        <v>264.63</v>
      </c>
      <c r="H8" s="150">
        <v>0</v>
      </c>
      <c r="I8" s="150">
        <v>0</v>
      </c>
      <c r="K8" s="150">
        <v>1002.97</v>
      </c>
      <c r="L8" s="150" t="s">
        <v>737</v>
      </c>
      <c r="M8" s="150">
        <v>54.88</v>
      </c>
      <c r="N8" s="150">
        <v>1475496000</v>
      </c>
      <c r="O8" s="150">
        <v>8.8699999999999992</v>
      </c>
      <c r="P8" s="150">
        <v>191</v>
      </c>
      <c r="Q8" s="150">
        <v>2.0699999999999998</v>
      </c>
    </row>
    <row r="9" spans="1:17" x14ac:dyDescent="0.25">
      <c r="A9" s="150">
        <v>56.04</v>
      </c>
      <c r="B9" s="150">
        <v>0.52</v>
      </c>
      <c r="C9" s="150">
        <v>38.94</v>
      </c>
      <c r="D9" s="165">
        <v>42646.291666666664</v>
      </c>
      <c r="E9" s="150">
        <v>0.53</v>
      </c>
      <c r="F9" s="150" t="s">
        <v>282</v>
      </c>
      <c r="G9" s="150">
        <v>265.74</v>
      </c>
      <c r="H9" s="150">
        <v>0</v>
      </c>
      <c r="I9" s="150">
        <v>0</v>
      </c>
      <c r="K9" s="150">
        <v>1002.27</v>
      </c>
      <c r="L9" s="150" t="s">
        <v>259</v>
      </c>
      <c r="M9" s="150">
        <v>56.04</v>
      </c>
      <c r="N9" s="150">
        <v>1475499600</v>
      </c>
      <c r="O9" s="150">
        <v>8.43</v>
      </c>
      <c r="P9" s="150">
        <v>221</v>
      </c>
      <c r="Q9" s="150">
        <v>2.58</v>
      </c>
    </row>
    <row r="10" spans="1:17" x14ac:dyDescent="0.25">
      <c r="A10" s="150">
        <v>57.59</v>
      </c>
      <c r="B10" s="150">
        <v>0.28000000000000003</v>
      </c>
      <c r="C10" s="150">
        <v>37.15</v>
      </c>
      <c r="D10" s="165">
        <v>42646.333333333336</v>
      </c>
      <c r="E10" s="150">
        <v>0.46</v>
      </c>
      <c r="F10" s="150" t="s">
        <v>258</v>
      </c>
      <c r="G10" s="150">
        <v>266.77999999999997</v>
      </c>
      <c r="H10" s="150">
        <v>0</v>
      </c>
      <c r="I10" s="150">
        <v>0</v>
      </c>
      <c r="K10" s="150">
        <v>1001.8</v>
      </c>
      <c r="L10" s="150" t="s">
        <v>259</v>
      </c>
      <c r="M10" s="150">
        <v>57.59</v>
      </c>
      <c r="N10" s="150">
        <v>1475503200</v>
      </c>
      <c r="O10" s="150">
        <v>8.17</v>
      </c>
      <c r="P10" s="150">
        <v>211</v>
      </c>
      <c r="Q10" s="150">
        <v>4.6399999999999997</v>
      </c>
    </row>
    <row r="11" spans="1:17" x14ac:dyDescent="0.25">
      <c r="A11" s="150">
        <v>61.95</v>
      </c>
      <c r="B11" s="150">
        <v>0.11</v>
      </c>
      <c r="C11" s="150">
        <v>36.85</v>
      </c>
      <c r="D11" s="165">
        <v>42646.375</v>
      </c>
      <c r="E11" s="150">
        <v>0.39</v>
      </c>
      <c r="F11" s="150" t="s">
        <v>360</v>
      </c>
      <c r="G11" s="150">
        <v>267.45</v>
      </c>
      <c r="H11" s="150">
        <v>0</v>
      </c>
      <c r="I11" s="150">
        <v>0</v>
      </c>
      <c r="K11" s="150">
        <v>1001.01</v>
      </c>
      <c r="L11" s="150" t="s">
        <v>237</v>
      </c>
      <c r="M11" s="150">
        <v>61.95</v>
      </c>
      <c r="N11" s="150">
        <v>1475506800</v>
      </c>
      <c r="O11" s="150">
        <v>8.0500000000000007</v>
      </c>
      <c r="P11" s="150">
        <v>194</v>
      </c>
      <c r="Q11" s="150">
        <v>7.08</v>
      </c>
    </row>
    <row r="12" spans="1:17" x14ac:dyDescent="0.25">
      <c r="A12" s="150">
        <v>65.91</v>
      </c>
      <c r="B12" s="150">
        <v>0.11</v>
      </c>
      <c r="C12" s="150">
        <v>35.74</v>
      </c>
      <c r="D12" s="165">
        <v>42646.416666666664</v>
      </c>
      <c r="E12" s="150">
        <v>0.33</v>
      </c>
      <c r="F12" s="150" t="s">
        <v>360</v>
      </c>
      <c r="G12" s="150">
        <v>267.5</v>
      </c>
      <c r="H12" s="150">
        <v>0</v>
      </c>
      <c r="I12" s="150">
        <v>0</v>
      </c>
      <c r="K12" s="150">
        <v>999.3</v>
      </c>
      <c r="L12" s="150" t="s">
        <v>237</v>
      </c>
      <c r="M12" s="150">
        <v>65.91</v>
      </c>
      <c r="N12" s="150">
        <v>1475510400</v>
      </c>
      <c r="O12" s="150">
        <v>8.0399999999999991</v>
      </c>
      <c r="P12" s="150">
        <v>195</v>
      </c>
      <c r="Q12" s="150">
        <v>7.65</v>
      </c>
    </row>
    <row r="13" spans="1:17" x14ac:dyDescent="0.25">
      <c r="A13" s="150">
        <v>69.87</v>
      </c>
      <c r="B13" s="150">
        <v>0.22</v>
      </c>
      <c r="C13" s="150">
        <v>33.94</v>
      </c>
      <c r="D13" s="165">
        <v>42646.458333333336</v>
      </c>
      <c r="E13" s="150">
        <v>0.27</v>
      </c>
      <c r="F13" s="150" t="s">
        <v>360</v>
      </c>
      <c r="G13" s="150">
        <v>267.17</v>
      </c>
      <c r="H13" s="150">
        <v>0</v>
      </c>
      <c r="I13" s="150">
        <v>0</v>
      </c>
      <c r="K13" s="150">
        <v>997.38</v>
      </c>
      <c r="L13" s="150" t="s">
        <v>237</v>
      </c>
      <c r="M13" s="150">
        <v>69.87</v>
      </c>
      <c r="N13" s="150">
        <v>1475514000</v>
      </c>
      <c r="O13" s="150">
        <v>8.08</v>
      </c>
      <c r="P13" s="150">
        <v>201</v>
      </c>
      <c r="Q13" s="150">
        <v>10.87</v>
      </c>
    </row>
    <row r="14" spans="1:17" x14ac:dyDescent="0.25">
      <c r="A14" s="150">
        <v>72.650000000000006</v>
      </c>
      <c r="B14" s="150">
        <v>0.27</v>
      </c>
      <c r="C14" s="150">
        <v>31.71</v>
      </c>
      <c r="D14" s="165">
        <v>42646.5</v>
      </c>
      <c r="E14" s="150">
        <v>0.22</v>
      </c>
      <c r="F14" s="150" t="s">
        <v>258</v>
      </c>
      <c r="G14" s="150">
        <v>266.85000000000002</v>
      </c>
      <c r="H14" s="150">
        <v>0</v>
      </c>
      <c r="I14" s="150">
        <v>0</v>
      </c>
      <c r="K14" s="150">
        <v>996.1</v>
      </c>
      <c r="L14" s="150" t="s">
        <v>259</v>
      </c>
      <c r="M14" s="150">
        <v>72.650000000000006</v>
      </c>
      <c r="N14" s="150">
        <v>1475517600</v>
      </c>
      <c r="O14" s="150">
        <v>8.15</v>
      </c>
      <c r="P14" s="150">
        <v>212</v>
      </c>
      <c r="Q14" s="150">
        <v>11.79</v>
      </c>
    </row>
    <row r="15" spans="1:17" x14ac:dyDescent="0.25">
      <c r="A15" s="150">
        <v>74.3</v>
      </c>
      <c r="B15" s="150">
        <v>0.33</v>
      </c>
      <c r="C15" s="150">
        <v>30.72</v>
      </c>
      <c r="D15" s="165">
        <v>42646.541666666664</v>
      </c>
      <c r="E15" s="150">
        <v>0.2</v>
      </c>
      <c r="F15" s="150" t="s">
        <v>258</v>
      </c>
      <c r="G15" s="150">
        <v>266.51</v>
      </c>
      <c r="H15" s="150">
        <v>0</v>
      </c>
      <c r="I15" s="150">
        <v>0</v>
      </c>
      <c r="K15" s="150">
        <v>995.37</v>
      </c>
      <c r="L15" s="150" t="s">
        <v>259</v>
      </c>
      <c r="M15" s="150">
        <v>74.3</v>
      </c>
      <c r="N15" s="150">
        <v>1475521200</v>
      </c>
      <c r="O15" s="150">
        <v>8.1999999999999993</v>
      </c>
      <c r="P15" s="150">
        <v>214</v>
      </c>
      <c r="Q15" s="150">
        <v>10.58</v>
      </c>
    </row>
    <row r="16" spans="1:17" x14ac:dyDescent="0.25">
      <c r="A16" s="150">
        <v>74.92</v>
      </c>
      <c r="B16" s="150">
        <v>0.34</v>
      </c>
      <c r="C16" s="150">
        <v>30.55</v>
      </c>
      <c r="D16" s="165">
        <v>42646.583333333336</v>
      </c>
      <c r="E16" s="150">
        <v>0.2</v>
      </c>
      <c r="F16" s="150" t="s">
        <v>258</v>
      </c>
      <c r="G16" s="150">
        <v>266.17</v>
      </c>
      <c r="H16" s="150">
        <v>0</v>
      </c>
      <c r="I16" s="150">
        <v>0</v>
      </c>
      <c r="K16" s="150">
        <v>994.97</v>
      </c>
      <c r="L16" s="150" t="s">
        <v>259</v>
      </c>
      <c r="M16" s="150">
        <v>74.92</v>
      </c>
      <c r="N16" s="150">
        <v>1475524800</v>
      </c>
      <c r="O16" s="150">
        <v>8.2200000000000006</v>
      </c>
      <c r="P16" s="150">
        <v>227</v>
      </c>
      <c r="Q16" s="150">
        <v>10.34</v>
      </c>
    </row>
    <row r="17" spans="1:17" x14ac:dyDescent="0.25">
      <c r="A17" s="150">
        <v>74.13</v>
      </c>
      <c r="B17" s="150">
        <v>0.35</v>
      </c>
      <c r="C17" s="150">
        <v>30.29</v>
      </c>
      <c r="D17" s="165">
        <v>42646.625</v>
      </c>
      <c r="E17" s="150">
        <v>0.2</v>
      </c>
      <c r="F17" s="150" t="s">
        <v>258</v>
      </c>
      <c r="G17" s="150">
        <v>266.36</v>
      </c>
      <c r="H17" s="150">
        <v>0</v>
      </c>
      <c r="I17" s="150">
        <v>0</v>
      </c>
      <c r="K17" s="150">
        <v>995.02</v>
      </c>
      <c r="L17" s="150" t="s">
        <v>259</v>
      </c>
      <c r="M17" s="150">
        <v>74.13</v>
      </c>
      <c r="N17" s="150">
        <v>1475528400</v>
      </c>
      <c r="O17" s="150">
        <v>8.25</v>
      </c>
      <c r="P17" s="150">
        <v>229</v>
      </c>
      <c r="Q17" s="150">
        <v>12.56</v>
      </c>
    </row>
    <row r="18" spans="1:17" x14ac:dyDescent="0.25">
      <c r="A18" s="150">
        <v>72.25</v>
      </c>
      <c r="B18" s="150">
        <v>0.47</v>
      </c>
      <c r="C18" s="150">
        <v>30.83</v>
      </c>
      <c r="D18" s="165">
        <v>42646.666666666664</v>
      </c>
      <c r="E18" s="150">
        <v>0.22</v>
      </c>
      <c r="F18" s="150" t="s">
        <v>258</v>
      </c>
      <c r="G18" s="150">
        <v>267.12</v>
      </c>
      <c r="H18" s="150">
        <v>0</v>
      </c>
      <c r="I18" s="150">
        <v>0</v>
      </c>
      <c r="K18" s="150">
        <v>995.52</v>
      </c>
      <c r="L18" s="150" t="s">
        <v>259</v>
      </c>
      <c r="M18" s="150">
        <v>72.25</v>
      </c>
      <c r="N18" s="150">
        <v>1475532000</v>
      </c>
      <c r="O18" s="150">
        <v>8.2899999999999991</v>
      </c>
      <c r="P18" s="150">
        <v>249</v>
      </c>
      <c r="Q18" s="150">
        <v>14.22</v>
      </c>
    </row>
    <row r="19" spans="1:17" x14ac:dyDescent="0.25">
      <c r="A19" s="150">
        <v>69.739999999999995</v>
      </c>
      <c r="B19" s="150">
        <v>0.57999999999999996</v>
      </c>
      <c r="C19" s="150">
        <v>29.63</v>
      </c>
      <c r="D19" s="165">
        <v>42646.708333333336</v>
      </c>
      <c r="E19" s="150">
        <v>0.22</v>
      </c>
      <c r="F19" s="150" t="s">
        <v>258</v>
      </c>
      <c r="G19" s="150">
        <v>268.39999999999998</v>
      </c>
      <c r="H19" s="150">
        <v>0</v>
      </c>
      <c r="I19" s="150">
        <v>0</v>
      </c>
      <c r="K19" s="150">
        <v>996.42</v>
      </c>
      <c r="L19" s="150" t="s">
        <v>259</v>
      </c>
      <c r="M19" s="150">
        <v>69.739999999999995</v>
      </c>
      <c r="N19" s="150">
        <v>1475535600</v>
      </c>
      <c r="O19" s="150">
        <v>9.4</v>
      </c>
      <c r="P19" s="150">
        <v>258</v>
      </c>
      <c r="Q19" s="150">
        <v>11.47</v>
      </c>
    </row>
    <row r="20" spans="1:17" x14ac:dyDescent="0.25">
      <c r="A20" s="150">
        <v>65.180000000000007</v>
      </c>
      <c r="B20" s="150">
        <v>0.59</v>
      </c>
      <c r="C20" s="150">
        <v>30.07</v>
      </c>
      <c r="D20" s="165">
        <v>42646.75</v>
      </c>
      <c r="E20" s="150">
        <v>0.27</v>
      </c>
      <c r="F20" s="150" t="s">
        <v>258</v>
      </c>
      <c r="G20" s="150">
        <v>270.55</v>
      </c>
      <c r="H20" s="150">
        <v>0</v>
      </c>
      <c r="I20" s="150">
        <v>0</v>
      </c>
      <c r="K20" s="150">
        <v>997.51</v>
      </c>
      <c r="L20" s="150" t="s">
        <v>259</v>
      </c>
      <c r="M20" s="150">
        <v>65.180000000000007</v>
      </c>
      <c r="N20" s="150">
        <v>1475539200</v>
      </c>
      <c r="O20" s="150">
        <v>9.4700000000000006</v>
      </c>
      <c r="P20" s="150">
        <v>278</v>
      </c>
      <c r="Q20" s="150">
        <v>10.74</v>
      </c>
    </row>
    <row r="21" spans="1:17" x14ac:dyDescent="0.25">
      <c r="A21" s="150">
        <v>61.23</v>
      </c>
      <c r="B21" s="150">
        <v>0.56999999999999995</v>
      </c>
      <c r="C21" s="150">
        <v>29.12</v>
      </c>
      <c r="D21" s="165">
        <v>42646.791666666664</v>
      </c>
      <c r="E21" s="150">
        <v>0.28999999999999998</v>
      </c>
      <c r="F21" s="150" t="s">
        <v>282</v>
      </c>
      <c r="G21" s="150">
        <v>274.14999999999998</v>
      </c>
      <c r="H21" s="150">
        <v>0</v>
      </c>
      <c r="I21" s="150">
        <v>0</v>
      </c>
      <c r="K21" s="150">
        <v>998.43</v>
      </c>
      <c r="L21" s="150" t="s">
        <v>259</v>
      </c>
      <c r="M21" s="150">
        <v>61.23</v>
      </c>
      <c r="N21" s="150">
        <v>1475542800</v>
      </c>
      <c r="O21" s="150">
        <v>9.56</v>
      </c>
      <c r="P21" s="150">
        <v>273</v>
      </c>
      <c r="Q21" s="150">
        <v>10.36</v>
      </c>
    </row>
    <row r="22" spans="1:17" x14ac:dyDescent="0.25">
      <c r="A22" s="150">
        <v>58.18</v>
      </c>
      <c r="B22" s="150">
        <v>0.36</v>
      </c>
      <c r="C22" s="150">
        <v>26.68</v>
      </c>
      <c r="D22" s="165">
        <v>42646.833333333336</v>
      </c>
      <c r="E22" s="150">
        <v>0.3</v>
      </c>
      <c r="F22" s="150" t="s">
        <v>282</v>
      </c>
      <c r="G22" s="150">
        <v>278.63</v>
      </c>
      <c r="H22" s="150">
        <v>0</v>
      </c>
      <c r="I22" s="150">
        <v>0</v>
      </c>
      <c r="K22" s="150">
        <v>999.75</v>
      </c>
      <c r="L22" s="150" t="s">
        <v>259</v>
      </c>
      <c r="M22" s="150">
        <v>58.18</v>
      </c>
      <c r="N22" s="150">
        <v>1475546400</v>
      </c>
      <c r="O22" s="150">
        <v>9.68</v>
      </c>
      <c r="P22" s="150">
        <v>273</v>
      </c>
      <c r="Q22" s="150">
        <v>7.02</v>
      </c>
    </row>
    <row r="23" spans="1:17" x14ac:dyDescent="0.25">
      <c r="A23" s="150">
        <v>55.9</v>
      </c>
      <c r="B23" s="150">
        <v>0.24</v>
      </c>
      <c r="C23" s="150">
        <v>24.55</v>
      </c>
      <c r="D23" s="165">
        <v>42646.875</v>
      </c>
      <c r="E23" s="150">
        <v>0.3</v>
      </c>
      <c r="F23" s="150" t="s">
        <v>236</v>
      </c>
      <c r="G23" s="150">
        <v>282.60000000000002</v>
      </c>
      <c r="H23" s="150">
        <v>0</v>
      </c>
      <c r="I23" s="150">
        <v>0</v>
      </c>
      <c r="K23" s="150">
        <v>1000.96</v>
      </c>
      <c r="L23" s="150" t="s">
        <v>237</v>
      </c>
      <c r="M23" s="150">
        <v>55.9</v>
      </c>
      <c r="N23" s="150">
        <v>1475550000</v>
      </c>
      <c r="O23" s="150">
        <v>9.7899999999999991</v>
      </c>
      <c r="P23" s="150">
        <v>268</v>
      </c>
      <c r="Q23" s="150">
        <v>4.91</v>
      </c>
    </row>
    <row r="24" spans="1:17" x14ac:dyDescent="0.25">
      <c r="A24" s="150">
        <v>54.13</v>
      </c>
      <c r="B24" s="150">
        <v>0.28000000000000003</v>
      </c>
      <c r="C24" s="150">
        <v>21.87</v>
      </c>
      <c r="D24" s="165">
        <v>42646.916666666664</v>
      </c>
      <c r="E24" s="150">
        <v>0.28000000000000003</v>
      </c>
      <c r="F24" s="150" t="s">
        <v>282</v>
      </c>
      <c r="G24" s="150">
        <v>285.56</v>
      </c>
      <c r="H24" s="150">
        <v>0</v>
      </c>
      <c r="I24" s="150">
        <v>0</v>
      </c>
      <c r="K24" s="150">
        <v>1001.9</v>
      </c>
      <c r="L24" s="150" t="s">
        <v>259</v>
      </c>
      <c r="M24" s="150">
        <v>54.13</v>
      </c>
      <c r="N24" s="150">
        <v>1475553600</v>
      </c>
      <c r="O24" s="150">
        <v>9.81</v>
      </c>
      <c r="P24" s="150">
        <v>273</v>
      </c>
      <c r="Q24" s="150">
        <v>7.94</v>
      </c>
    </row>
    <row r="25" spans="1:17" x14ac:dyDescent="0.25">
      <c r="A25" s="150">
        <v>52.88</v>
      </c>
      <c r="B25" s="150">
        <v>0.36</v>
      </c>
      <c r="C25" s="150">
        <v>19.84</v>
      </c>
      <c r="D25" s="165">
        <v>42646.958333333336</v>
      </c>
      <c r="E25" s="150">
        <v>0.27</v>
      </c>
      <c r="F25" s="150" t="s">
        <v>282</v>
      </c>
      <c r="G25" s="150">
        <v>288.02999999999997</v>
      </c>
      <c r="H25" s="150">
        <v>0</v>
      </c>
      <c r="I25" s="150">
        <v>0</v>
      </c>
      <c r="K25" s="150">
        <v>1002.68</v>
      </c>
      <c r="L25" s="150" t="s">
        <v>259</v>
      </c>
      <c r="M25" s="150">
        <v>52.88</v>
      </c>
      <c r="N25" s="150">
        <v>1475557200</v>
      </c>
      <c r="O25" s="150">
        <v>9.77</v>
      </c>
      <c r="P25" s="150">
        <v>277</v>
      </c>
      <c r="Q25" s="150">
        <v>8.74</v>
      </c>
    </row>
    <row r="26" spans="1:17" x14ac:dyDescent="0.25">
      <c r="A26" s="150">
        <v>51.2</v>
      </c>
      <c r="B26" s="150">
        <v>0.36</v>
      </c>
      <c r="C26" s="150">
        <v>19.04</v>
      </c>
      <c r="D26" s="165">
        <v>42647</v>
      </c>
      <c r="E26" s="150">
        <v>0.28000000000000003</v>
      </c>
      <c r="F26" s="150" t="s">
        <v>282</v>
      </c>
      <c r="G26" s="150">
        <v>290.19</v>
      </c>
      <c r="H26" s="150">
        <v>0</v>
      </c>
      <c r="I26" s="150">
        <v>0</v>
      </c>
      <c r="K26" s="150">
        <v>1003.31</v>
      </c>
      <c r="L26" s="150" t="s">
        <v>259</v>
      </c>
      <c r="M26" s="150">
        <v>51.2</v>
      </c>
      <c r="N26" s="150">
        <v>1475560800</v>
      </c>
      <c r="O26" s="150">
        <v>9.8000000000000007</v>
      </c>
      <c r="P26" s="150">
        <v>280</v>
      </c>
      <c r="Q26" s="150">
        <v>8.08</v>
      </c>
    </row>
    <row r="27" spans="1:17" x14ac:dyDescent="0.25">
      <c r="A27" s="150">
        <v>46.37</v>
      </c>
      <c r="B27" s="150">
        <v>0.31</v>
      </c>
      <c r="C27" s="150">
        <v>19.350000000000001</v>
      </c>
      <c r="D27" s="165">
        <v>42647.041666666664</v>
      </c>
      <c r="E27" s="150">
        <v>0.3</v>
      </c>
      <c r="F27" s="150" t="s">
        <v>282</v>
      </c>
      <c r="G27" s="150">
        <v>291.82</v>
      </c>
      <c r="H27" s="150">
        <v>0</v>
      </c>
      <c r="I27" s="150">
        <v>0</v>
      </c>
      <c r="K27" s="150">
        <v>1004.11</v>
      </c>
      <c r="L27" s="150" t="s">
        <v>259</v>
      </c>
      <c r="M27" s="150">
        <v>49.46</v>
      </c>
      <c r="N27" s="150">
        <v>1475564400</v>
      </c>
      <c r="O27" s="150">
        <v>9.81</v>
      </c>
      <c r="P27" s="150">
        <v>280</v>
      </c>
      <c r="Q27" s="150">
        <v>7.38</v>
      </c>
    </row>
    <row r="28" spans="1:17" x14ac:dyDescent="0.25">
      <c r="A28" s="150">
        <v>44.93</v>
      </c>
      <c r="B28" s="150">
        <v>0.39</v>
      </c>
      <c r="C28" s="150">
        <v>19.940000000000001</v>
      </c>
      <c r="D28" s="165">
        <v>42647.083333333336</v>
      </c>
      <c r="E28" s="150">
        <v>0.33</v>
      </c>
      <c r="F28" s="150" t="s">
        <v>282</v>
      </c>
      <c r="G28" s="150">
        <v>293.45</v>
      </c>
      <c r="H28" s="150">
        <v>0</v>
      </c>
      <c r="I28" s="150">
        <v>0</v>
      </c>
      <c r="K28" s="150">
        <v>1004.79</v>
      </c>
      <c r="L28" s="150" t="s">
        <v>259</v>
      </c>
      <c r="M28" s="150">
        <v>47.79</v>
      </c>
      <c r="N28" s="150">
        <v>1475568000</v>
      </c>
      <c r="O28" s="150">
        <v>9.8000000000000007</v>
      </c>
      <c r="P28" s="150">
        <v>272</v>
      </c>
      <c r="Q28" s="150">
        <v>6.19</v>
      </c>
    </row>
    <row r="29" spans="1:17" x14ac:dyDescent="0.25">
      <c r="A29" s="150">
        <v>45.11</v>
      </c>
      <c r="B29" s="150">
        <v>0.36</v>
      </c>
      <c r="C29" s="150">
        <v>21.48</v>
      </c>
      <c r="D29" s="165">
        <v>42647.125</v>
      </c>
      <c r="E29" s="150">
        <v>0.37</v>
      </c>
      <c r="F29" s="150" t="s">
        <v>282</v>
      </c>
      <c r="G29" s="150">
        <v>295.08</v>
      </c>
      <c r="H29" s="150">
        <v>0</v>
      </c>
      <c r="I29" s="150">
        <v>0</v>
      </c>
      <c r="K29" s="150">
        <v>1005.29</v>
      </c>
      <c r="L29" s="150" t="s">
        <v>259</v>
      </c>
      <c r="M29" s="150">
        <v>46.35</v>
      </c>
      <c r="N29" s="150">
        <v>1475571600</v>
      </c>
      <c r="O29" s="150">
        <v>9.56</v>
      </c>
      <c r="P29" s="150">
        <v>253</v>
      </c>
      <c r="Q29" s="150">
        <v>3.46</v>
      </c>
    </row>
    <row r="31" spans="1:17" x14ac:dyDescent="0.25">
      <c r="A31" s="150" t="s">
        <v>738</v>
      </c>
    </row>
    <row r="33" spans="1:1" x14ac:dyDescent="0.25">
      <c r="A33" s="150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/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42646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257</v>
      </c>
    </row>
    <row r="21" spans="10:13" x14ac:dyDescent="0.25">
      <c r="J21" s="23" t="s">
        <v>97</v>
      </c>
      <c r="K21" s="23" t="s">
        <v>98</v>
      </c>
      <c r="M21" s="70" t="s">
        <v>269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163</v>
      </c>
      <c r="M25" s="70" t="b">
        <v>1</v>
      </c>
    </row>
    <row r="26" spans="10:13" x14ac:dyDescent="0.25">
      <c r="J26" t="s">
        <v>164</v>
      </c>
      <c r="M26" s="70" t="str">
        <f>"C:\Users\stu\Documents\GitHub\eaglep3-reporting\EC\"&amp;TEXT(A2,"yyyy-mm-dd")&amp;"-refined-times.txt"</f>
        <v>C:\Users\stu\Documents\GitHub\eaglep3-reporting\EC\2016-10-03-refined-times.txt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132</v>
      </c>
      <c r="B1" s="123" t="s">
        <v>133</v>
      </c>
      <c r="C1" s="124" t="s">
        <v>134</v>
      </c>
      <c r="H1" t="s">
        <v>128</v>
      </c>
      <c r="I1" s="125" t="s">
        <v>130</v>
      </c>
      <c r="J1"/>
    </row>
    <row r="2" spans="1:11" x14ac:dyDescent="0.25">
      <c r="A2" s="124" t="s">
        <v>135</v>
      </c>
      <c r="B2" s="124" t="s">
        <v>136</v>
      </c>
      <c r="C2" s="124" t="s">
        <v>137</v>
      </c>
      <c r="H2" t="s">
        <v>129</v>
      </c>
      <c r="I2" s="110" t="s">
        <v>131</v>
      </c>
      <c r="J2"/>
    </row>
    <row r="3" spans="1:11" x14ac:dyDescent="0.25">
      <c r="A3" s="124" t="s">
        <v>138</v>
      </c>
      <c r="B3" s="124" t="s">
        <v>139</v>
      </c>
      <c r="C3" s="124" t="s">
        <v>140</v>
      </c>
      <c r="H3" t="s">
        <v>154</v>
      </c>
      <c r="I3" s="110">
        <v>1</v>
      </c>
      <c r="J3"/>
      <c r="K3" s="70"/>
    </row>
    <row r="4" spans="1:11" x14ac:dyDescent="0.25">
      <c r="A4" s="124" t="s">
        <v>141</v>
      </c>
      <c r="C4" s="124" t="s">
        <v>142</v>
      </c>
      <c r="H4" t="s">
        <v>155</v>
      </c>
      <c r="I4" s="110">
        <v>2</v>
      </c>
      <c r="J4"/>
      <c r="K4" s="70"/>
    </row>
    <row r="5" spans="1:11" x14ac:dyDescent="0.25">
      <c r="A5" s="124" t="s">
        <v>143</v>
      </c>
      <c r="C5" s="124" t="s">
        <v>144</v>
      </c>
      <c r="H5" t="s">
        <v>156</v>
      </c>
      <c r="I5" s="110">
        <v>23</v>
      </c>
      <c r="J5"/>
      <c r="K5" s="70"/>
    </row>
    <row r="6" spans="1:11" x14ac:dyDescent="0.25">
      <c r="A6" s="124" t="s">
        <v>145</v>
      </c>
      <c r="C6" s="124" t="s">
        <v>146</v>
      </c>
      <c r="H6" s="127" t="s">
        <v>157</v>
      </c>
      <c r="I6" s="128" t="s">
        <v>136</v>
      </c>
    </row>
    <row r="7" spans="1:11" x14ac:dyDescent="0.25">
      <c r="A7" s="124" t="s">
        <v>147</v>
      </c>
      <c r="C7" s="124" t="s">
        <v>148</v>
      </c>
    </row>
    <row r="8" spans="1:11" x14ac:dyDescent="0.25">
      <c r="C8" s="124" t="s">
        <v>149</v>
      </c>
    </row>
    <row r="9" spans="1:11" x14ac:dyDescent="0.25">
      <c r="C9" s="127" t="s">
        <v>216</v>
      </c>
    </row>
    <row r="10" spans="1:11" x14ac:dyDescent="0.25">
      <c r="C10" s="124" t="s">
        <v>150</v>
      </c>
    </row>
    <row r="11" spans="1:11" x14ac:dyDescent="0.25">
      <c r="C11" s="124" t="s">
        <v>151</v>
      </c>
    </row>
    <row r="12" spans="1:11" x14ac:dyDescent="0.25">
      <c r="C12" s="124" t="s">
        <v>152</v>
      </c>
    </row>
    <row r="13" spans="1:11" x14ac:dyDescent="0.25">
      <c r="C13" s="124" t="s">
        <v>153</v>
      </c>
    </row>
    <row r="14" spans="1:11" x14ac:dyDescent="0.25">
      <c r="C14" s="127" t="s">
        <v>217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2016-10-04T16:44:19Z</dcterms:modified>
</cp:coreProperties>
</file>