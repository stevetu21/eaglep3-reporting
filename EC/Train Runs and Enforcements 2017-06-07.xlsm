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Enforcements!$A$6:$AC$77</definedName>
    <definedName name="_xlnm._FilterDatabase" localSheetId="2" hidden="1">'Missing Trips'!$A$2:$J$63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7" i="1" l="1"/>
  <c r="X92" i="1"/>
  <c r="X91" i="1"/>
  <c r="X90" i="1"/>
  <c r="X89" i="1"/>
  <c r="X88" i="1"/>
  <c r="X87" i="1"/>
  <c r="X94" i="1"/>
  <c r="K123" i="1"/>
  <c r="L123" i="1"/>
  <c r="M123" i="1"/>
  <c r="P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AN108" i="1"/>
  <c r="AM108" i="1"/>
  <c r="AH108" i="1"/>
  <c r="AF108" i="1"/>
  <c r="AE108" i="1"/>
  <c r="AD108" i="1"/>
  <c r="AG108" i="1" s="1"/>
  <c r="AC108" i="1"/>
  <c r="AB108" i="1"/>
  <c r="Z108" i="1"/>
  <c r="Y108" i="1"/>
  <c r="V108" i="1"/>
  <c r="M108" i="1"/>
  <c r="N108" i="1" s="1"/>
  <c r="K108" i="1"/>
  <c r="AN97" i="1"/>
  <c r="AM97" i="1"/>
  <c r="AH97" i="1"/>
  <c r="AF97" i="1"/>
  <c r="AE97" i="1"/>
  <c r="AD97" i="1"/>
  <c r="AG97" i="1" s="1"/>
  <c r="AC97" i="1"/>
  <c r="AB97" i="1"/>
  <c r="Z97" i="1"/>
  <c r="Y97" i="1"/>
  <c r="V97" i="1"/>
  <c r="M97" i="1"/>
  <c r="L97" i="1"/>
  <c r="K97" i="1"/>
  <c r="K95" i="1"/>
  <c r="L95" i="1"/>
  <c r="M95" i="1"/>
  <c r="V95" i="1"/>
  <c r="Y95" i="1"/>
  <c r="Z95" i="1"/>
  <c r="AA95" i="1" s="1"/>
  <c r="AB95" i="1"/>
  <c r="AC95" i="1"/>
  <c r="AD95" i="1"/>
  <c r="T95" i="1" s="1"/>
  <c r="AE95" i="1"/>
  <c r="AF95" i="1"/>
  <c r="AH95" i="1"/>
  <c r="AM95" i="1"/>
  <c r="AN9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R36" i="3" s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R19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R20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S8" i="3" s="1"/>
  <c r="Y36" i="1"/>
  <c r="Z36" i="1"/>
  <c r="AB36" i="1"/>
  <c r="AC36" i="1"/>
  <c r="AD36" i="1"/>
  <c r="T36" i="1" s="1"/>
  <c r="AE36" i="1"/>
  <c r="R8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12" i="3" s="1"/>
  <c r="Y44" i="1"/>
  <c r="Z44" i="1"/>
  <c r="AB44" i="1"/>
  <c r="AC44" i="1"/>
  <c r="AD44" i="1"/>
  <c r="AE44" i="1"/>
  <c r="R12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R26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S11" i="3" s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I61" i="1" s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I65" i="1" s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S30" i="3" s="1"/>
  <c r="Y69" i="1"/>
  <c r="Z69" i="1"/>
  <c r="AB69" i="1"/>
  <c r="AC69" i="1"/>
  <c r="AD69" i="1"/>
  <c r="AE69" i="1"/>
  <c r="R30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37" i="3" s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R13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P87" i="1" s="1"/>
  <c r="V87" i="1"/>
  <c r="S24" i="3" s="1"/>
  <c r="Y87" i="1"/>
  <c r="Z87" i="1"/>
  <c r="AB87" i="1"/>
  <c r="AC87" i="1"/>
  <c r="AD87" i="1"/>
  <c r="AE87" i="1"/>
  <c r="R24" i="3" s="1"/>
  <c r="AF87" i="1"/>
  <c r="AH87" i="1"/>
  <c r="AM87" i="1"/>
  <c r="AN87" i="1"/>
  <c r="K88" i="1"/>
  <c r="L88" i="1"/>
  <c r="M88" i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S31" i="3" s="1"/>
  <c r="Y92" i="1"/>
  <c r="Z92" i="1"/>
  <c r="AB92" i="1"/>
  <c r="AC92" i="1"/>
  <c r="AD92" i="1"/>
  <c r="AG92" i="1" s="1"/>
  <c r="AE92" i="1"/>
  <c r="R31" i="3" s="1"/>
  <c r="AF92" i="1"/>
  <c r="AH92" i="1"/>
  <c r="AM92" i="1"/>
  <c r="AN92" i="1"/>
  <c r="K93" i="1"/>
  <c r="L93" i="1"/>
  <c r="M93" i="1"/>
  <c r="N93" i="1" s="1"/>
  <c r="V93" i="1"/>
  <c r="S38" i="3" s="1"/>
  <c r="Y93" i="1"/>
  <c r="Z93" i="1"/>
  <c r="AB93" i="1"/>
  <c r="AC93" i="1"/>
  <c r="AD93" i="1"/>
  <c r="X93" i="1" s="1"/>
  <c r="AE93" i="1"/>
  <c r="R38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I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S32" i="3" s="1"/>
  <c r="Y102" i="1"/>
  <c r="Z102" i="1"/>
  <c r="AB102" i="1"/>
  <c r="AC102" i="1"/>
  <c r="AD102" i="1"/>
  <c r="X102" i="1" s="1"/>
  <c r="AE102" i="1"/>
  <c r="R21" i="3" s="1"/>
  <c r="AF102" i="1"/>
  <c r="AH102" i="1"/>
  <c r="AM102" i="1"/>
  <c r="AN102" i="1"/>
  <c r="K103" i="1"/>
  <c r="L103" i="1"/>
  <c r="M103" i="1"/>
  <c r="N103" i="1" s="1"/>
  <c r="V103" i="1"/>
  <c r="Y103" i="1"/>
  <c r="Z103" i="1"/>
  <c r="AI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R39" i="3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I107" i="1" s="1"/>
  <c r="AB107" i="1"/>
  <c r="AC107" i="1"/>
  <c r="AD107" i="1"/>
  <c r="AG107" i="1" s="1"/>
  <c r="AE107" i="1"/>
  <c r="AF107" i="1"/>
  <c r="AH107" i="1"/>
  <c r="AM107" i="1"/>
  <c r="AN107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S40" i="3" s="1"/>
  <c r="Y111" i="1"/>
  <c r="Z111" i="1"/>
  <c r="AB111" i="1"/>
  <c r="AC111" i="1"/>
  <c r="AD111" i="1"/>
  <c r="AE111" i="1"/>
  <c r="R40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S33" i="3" s="1"/>
  <c r="Y116" i="1"/>
  <c r="Z116" i="1"/>
  <c r="AI116" i="1" s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R18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K124" i="1"/>
  <c r="L124" i="1"/>
  <c r="M124" i="1"/>
  <c r="N124" i="1" s="1"/>
  <c r="V124" i="1"/>
  <c r="S15" i="3" s="1"/>
  <c r="Y124" i="1"/>
  <c r="Z124" i="1"/>
  <c r="AB124" i="1"/>
  <c r="AC124" i="1"/>
  <c r="AD124" i="1"/>
  <c r="X124" i="1" s="1"/>
  <c r="AE124" i="1"/>
  <c r="R15" i="3" s="1"/>
  <c r="AF124" i="1"/>
  <c r="AH124" i="1"/>
  <c r="AM124" i="1"/>
  <c r="AN124" i="1"/>
  <c r="K125" i="1"/>
  <c r="L125" i="1"/>
  <c r="M125" i="1"/>
  <c r="N125" i="1" s="1"/>
  <c r="V125" i="1"/>
  <c r="S41" i="3" s="1"/>
  <c r="Y125" i="1"/>
  <c r="Z125" i="1"/>
  <c r="AB125" i="1"/>
  <c r="AC125" i="1"/>
  <c r="AD125" i="1"/>
  <c r="AG125" i="1" s="1"/>
  <c r="AE125" i="1"/>
  <c r="R41" i="3" s="1"/>
  <c r="AF125" i="1"/>
  <c r="AH125" i="1"/>
  <c r="AM125" i="1"/>
  <c r="AN125" i="1"/>
  <c r="K126" i="1"/>
  <c r="L126" i="1"/>
  <c r="M126" i="1"/>
  <c r="N126" i="1" s="1"/>
  <c r="V126" i="1"/>
  <c r="S35" i="3" s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/>
  <c r="V128" i="1"/>
  <c r="Y128" i="1"/>
  <c r="AA128" i="1" s="1"/>
  <c r="Z128" i="1"/>
  <c r="AB128" i="1"/>
  <c r="AC128" i="1"/>
  <c r="AD128" i="1"/>
  <c r="AG128" i="1" s="1"/>
  <c r="AI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16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P133" i="1" s="1"/>
  <c r="V133" i="1"/>
  <c r="S27" i="3" s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S23" i="3" s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S22" i="3" s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S9" i="3" s="1"/>
  <c r="Y146" i="1"/>
  <c r="Z146" i="1"/>
  <c r="AB146" i="1"/>
  <c r="AC146" i="1"/>
  <c r="AD146" i="1"/>
  <c r="AG146" i="1" s="1"/>
  <c r="AE146" i="1"/>
  <c r="R9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S17" i="3" s="1"/>
  <c r="Y148" i="1"/>
  <c r="Z148" i="1"/>
  <c r="AB148" i="1"/>
  <c r="AC148" i="1"/>
  <c r="AD148" i="1"/>
  <c r="AG148" i="1" s="1"/>
  <c r="AE148" i="1"/>
  <c r="R17" i="3" s="1"/>
  <c r="AF148" i="1"/>
  <c r="AH148" i="1"/>
  <c r="AM148" i="1"/>
  <c r="AN148" i="1"/>
  <c r="K149" i="1"/>
  <c r="L149" i="1"/>
  <c r="M149" i="1"/>
  <c r="N149" i="1" s="1"/>
  <c r="V149" i="1"/>
  <c r="S14" i="3" s="1"/>
  <c r="Y149" i="1"/>
  <c r="Z149" i="1"/>
  <c r="AB149" i="1"/>
  <c r="AC149" i="1"/>
  <c r="AD149" i="1"/>
  <c r="AE149" i="1"/>
  <c r="R14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R10" i="3" s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5" i="1"/>
  <c r="AM155" i="1"/>
  <c r="AN15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1" i="1"/>
  <c r="AM171" i="1"/>
  <c r="AN171" i="1"/>
  <c r="K226" i="1"/>
  <c r="L226" i="1"/>
  <c r="M226" i="1"/>
  <c r="N226" i="1" s="1"/>
  <c r="V226" i="1"/>
  <c r="S76" i="3" s="1"/>
  <c r="Y226" i="1"/>
  <c r="Z226" i="1"/>
  <c r="AB226" i="1"/>
  <c r="AC226" i="1"/>
  <c r="AD226" i="1"/>
  <c r="AG226" i="1" s="1"/>
  <c r="AE226" i="1"/>
  <c r="R76" i="3" s="1"/>
  <c r="AF226" i="1"/>
  <c r="AH172" i="1"/>
  <c r="AM172" i="1"/>
  <c r="AN172" i="1"/>
  <c r="K227" i="1"/>
  <c r="L227" i="1"/>
  <c r="M227" i="1"/>
  <c r="V227" i="1"/>
  <c r="S70" i="3" s="1"/>
  <c r="Y227" i="1"/>
  <c r="Z227" i="1"/>
  <c r="AB227" i="1"/>
  <c r="AC227" i="1"/>
  <c r="AD227" i="1"/>
  <c r="AG227" i="1" s="1"/>
  <c r="AE227" i="1"/>
  <c r="R68" i="3" s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S65" i="3" s="1"/>
  <c r="Y230" i="1"/>
  <c r="Z230" i="1"/>
  <c r="AB230" i="1"/>
  <c r="AC230" i="1"/>
  <c r="AD230" i="1"/>
  <c r="AG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7" i="1"/>
  <c r="AM177" i="1"/>
  <c r="AN177" i="1"/>
  <c r="K232" i="1"/>
  <c r="L232" i="1"/>
  <c r="M232" i="1"/>
  <c r="N232" i="1" s="1"/>
  <c r="V232" i="1"/>
  <c r="S62" i="3" s="1"/>
  <c r="Y232" i="1"/>
  <c r="Z232" i="1"/>
  <c r="AB232" i="1"/>
  <c r="AC232" i="1"/>
  <c r="AD232" i="1"/>
  <c r="AE232" i="1"/>
  <c r="R63" i="3" s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5" i="1"/>
  <c r="AM185" i="1"/>
  <c r="AN185" i="1"/>
  <c r="K240" i="1"/>
  <c r="L240" i="1"/>
  <c r="M240" i="1"/>
  <c r="N240" i="1" s="1"/>
  <c r="V240" i="1"/>
  <c r="S77" i="3" s="1"/>
  <c r="Y240" i="1"/>
  <c r="Z240" i="1"/>
  <c r="AB240" i="1"/>
  <c r="AC240" i="1"/>
  <c r="AD240" i="1"/>
  <c r="T240" i="1" s="1"/>
  <c r="AE240" i="1"/>
  <c r="R77" i="3" s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K155" i="1"/>
  <c r="L155" i="1"/>
  <c r="M155" i="1"/>
  <c r="N155" i="1" s="1"/>
  <c r="V155" i="1"/>
  <c r="S45" i="3" s="1"/>
  <c r="Y155" i="1"/>
  <c r="Z155" i="1"/>
  <c r="AB155" i="1"/>
  <c r="AC155" i="1"/>
  <c r="AD155" i="1"/>
  <c r="AG155" i="1" s="1"/>
  <c r="AE155" i="1"/>
  <c r="R45" i="3" s="1"/>
  <c r="AF155" i="1"/>
  <c r="AH188" i="1"/>
  <c r="AM188" i="1"/>
  <c r="AN188" i="1"/>
  <c r="K156" i="1"/>
  <c r="L156" i="1"/>
  <c r="M156" i="1"/>
  <c r="N156" i="1" s="1"/>
  <c r="V156" i="1"/>
  <c r="S46" i="3" s="1"/>
  <c r="Y156" i="1"/>
  <c r="Z156" i="1"/>
  <c r="AB156" i="1"/>
  <c r="AC156" i="1"/>
  <c r="AD156" i="1"/>
  <c r="AE156" i="1"/>
  <c r="R46" i="3" s="1"/>
  <c r="AF156" i="1"/>
  <c r="AH189" i="1"/>
  <c r="AM189" i="1"/>
  <c r="AN189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0" i="1"/>
  <c r="AM190" i="1"/>
  <c r="AN190" i="1"/>
  <c r="K158" i="1"/>
  <c r="L158" i="1"/>
  <c r="M158" i="1"/>
  <c r="N158" i="1" s="1"/>
  <c r="V158" i="1"/>
  <c r="S58" i="3" s="1"/>
  <c r="Y158" i="1"/>
  <c r="Z158" i="1"/>
  <c r="AB158" i="1"/>
  <c r="AC158" i="1"/>
  <c r="AD158" i="1"/>
  <c r="AE158" i="1"/>
  <c r="R58" i="3" s="1"/>
  <c r="AF158" i="1"/>
  <c r="AH191" i="1"/>
  <c r="AM191" i="1"/>
  <c r="AN191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50" i="3" s="1"/>
  <c r="AF159" i="1"/>
  <c r="AH192" i="1"/>
  <c r="AM192" i="1"/>
  <c r="AN192" i="1"/>
  <c r="K160" i="1"/>
  <c r="L160" i="1"/>
  <c r="M160" i="1"/>
  <c r="N160" i="1" s="1"/>
  <c r="V160" i="1"/>
  <c r="S59" i="3" s="1"/>
  <c r="Y160" i="1"/>
  <c r="Z160" i="1"/>
  <c r="AB160" i="1"/>
  <c r="AC160" i="1"/>
  <c r="AD160" i="1"/>
  <c r="AE160" i="1"/>
  <c r="R60" i="3" s="1"/>
  <c r="AF160" i="1"/>
  <c r="AH193" i="1"/>
  <c r="AM193" i="1"/>
  <c r="AN19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4" i="1"/>
  <c r="AM194" i="1"/>
  <c r="AN19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5" i="1"/>
  <c r="AM195" i="1"/>
  <c r="AN1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6" i="1"/>
  <c r="AM196" i="1"/>
  <c r="AN196" i="1"/>
  <c r="K164" i="1"/>
  <c r="L164" i="1"/>
  <c r="M164" i="1"/>
  <c r="N164" i="1" s="1"/>
  <c r="V164" i="1"/>
  <c r="S49" i="3" s="1"/>
  <c r="Y164" i="1"/>
  <c r="Z164" i="1"/>
  <c r="AB164" i="1"/>
  <c r="AC164" i="1"/>
  <c r="AD164" i="1"/>
  <c r="AE164" i="1"/>
  <c r="R42" i="3" s="1"/>
  <c r="AF164" i="1"/>
  <c r="AH197" i="1"/>
  <c r="AM197" i="1"/>
  <c r="AN1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8" i="1"/>
  <c r="AM198" i="1"/>
  <c r="AN1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9" i="1"/>
  <c r="AM199" i="1"/>
  <c r="AN1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0" i="1"/>
  <c r="AM200" i="1"/>
  <c r="AN200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201" i="1"/>
  <c r="AM201" i="1"/>
  <c r="AN201" i="1"/>
  <c r="AH202" i="1"/>
  <c r="AM202" i="1"/>
  <c r="AN20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3" i="1"/>
  <c r="AM203" i="1"/>
  <c r="AN2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4" i="1"/>
  <c r="AM204" i="1"/>
  <c r="AN2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5" i="1"/>
  <c r="AM205" i="1"/>
  <c r="AN205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206" i="1"/>
  <c r="AM206" i="1"/>
  <c r="AN2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7" i="1"/>
  <c r="AM207" i="1"/>
  <c r="AN2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8" i="1"/>
  <c r="AM208" i="1"/>
  <c r="AN2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9" i="1"/>
  <c r="AM209" i="1"/>
  <c r="AN20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0" i="1"/>
  <c r="AM210" i="1"/>
  <c r="AN21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1" i="1"/>
  <c r="AM211" i="1"/>
  <c r="AN211" i="1"/>
  <c r="K178" i="1"/>
  <c r="L178" i="1"/>
  <c r="M178" i="1"/>
  <c r="N178" i="1" s="1"/>
  <c r="V178" i="1"/>
  <c r="AB178" i="1"/>
  <c r="AC178" i="1"/>
  <c r="AD178" i="1"/>
  <c r="T178" i="1" s="1"/>
  <c r="AE178" i="1"/>
  <c r="AF178" i="1"/>
  <c r="AH212" i="1"/>
  <c r="AM212" i="1"/>
  <c r="AN212" i="1"/>
  <c r="K179" i="1"/>
  <c r="L179" i="1"/>
  <c r="M179" i="1"/>
  <c r="N179" i="1" s="1"/>
  <c r="V179" i="1"/>
  <c r="S51" i="3" s="1"/>
  <c r="Y179" i="1"/>
  <c r="Z179" i="1"/>
  <c r="AB179" i="1"/>
  <c r="AC179" i="1"/>
  <c r="AD179" i="1"/>
  <c r="AE179" i="1"/>
  <c r="R51" i="3" s="1"/>
  <c r="AF179" i="1"/>
  <c r="AH213" i="1"/>
  <c r="AM213" i="1"/>
  <c r="AN213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4" i="1"/>
  <c r="AM214" i="1"/>
  <c r="AN21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5" i="1"/>
  <c r="AM215" i="1"/>
  <c r="AN21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6" i="1"/>
  <c r="AM216" i="1"/>
  <c r="AN216" i="1"/>
  <c r="K183" i="1"/>
  <c r="L183" i="1"/>
  <c r="M183" i="1"/>
  <c r="N183" i="1" s="1"/>
  <c r="V183" i="1"/>
  <c r="S52" i="3" s="1"/>
  <c r="Y183" i="1"/>
  <c r="Z183" i="1"/>
  <c r="AB183" i="1"/>
  <c r="AC183" i="1"/>
  <c r="AD183" i="1"/>
  <c r="AE183" i="1"/>
  <c r="R52" i="3" s="1"/>
  <c r="AF183" i="1"/>
  <c r="AH217" i="1"/>
  <c r="AM217" i="1"/>
  <c r="AN21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8" i="1"/>
  <c r="AM218" i="1"/>
  <c r="AN2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9" i="1"/>
  <c r="AM219" i="1"/>
  <c r="AN2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0" i="1"/>
  <c r="AM220" i="1"/>
  <c r="AN220" i="1"/>
  <c r="K187" i="1"/>
  <c r="L187" i="1"/>
  <c r="M187" i="1"/>
  <c r="N187" i="1" s="1"/>
  <c r="V187" i="1"/>
  <c r="S53" i="3" s="1"/>
  <c r="Y187" i="1"/>
  <c r="Z187" i="1"/>
  <c r="AB187" i="1"/>
  <c r="AC187" i="1"/>
  <c r="AD187" i="1"/>
  <c r="AE187" i="1"/>
  <c r="R53" i="3" s="1"/>
  <c r="AF187" i="1"/>
  <c r="AH221" i="1"/>
  <c r="AM221" i="1"/>
  <c r="AN22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2" i="1"/>
  <c r="AM222" i="1"/>
  <c r="AN222" i="1"/>
  <c r="K189" i="1"/>
  <c r="L189" i="1"/>
  <c r="M189" i="1"/>
  <c r="N189" i="1" s="1"/>
  <c r="V189" i="1"/>
  <c r="S54" i="3" s="1"/>
  <c r="Y189" i="1"/>
  <c r="Z189" i="1"/>
  <c r="AB189" i="1"/>
  <c r="AC189" i="1"/>
  <c r="AD189" i="1"/>
  <c r="AE189" i="1"/>
  <c r="R47" i="3" s="1"/>
  <c r="AF189" i="1"/>
  <c r="AH223" i="1"/>
  <c r="AM223" i="1"/>
  <c r="AN223" i="1"/>
  <c r="K190" i="1"/>
  <c r="L190" i="1"/>
  <c r="M190" i="1"/>
  <c r="N190" i="1" s="1"/>
  <c r="V190" i="1"/>
  <c r="S43" i="3" s="1"/>
  <c r="Y190" i="1"/>
  <c r="Z190" i="1"/>
  <c r="AB190" i="1"/>
  <c r="AC190" i="1"/>
  <c r="AD190" i="1"/>
  <c r="T190" i="1" s="1"/>
  <c r="AE190" i="1"/>
  <c r="R43" i="3" s="1"/>
  <c r="AF190" i="1"/>
  <c r="AH224" i="1"/>
  <c r="AM224" i="1"/>
  <c r="AN224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5" i="1"/>
  <c r="AM225" i="1"/>
  <c r="AN22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6" i="1"/>
  <c r="AM226" i="1"/>
  <c r="AN22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7" i="1"/>
  <c r="AM227" i="1"/>
  <c r="AN22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8" i="1"/>
  <c r="AM228" i="1"/>
  <c r="AN228" i="1"/>
  <c r="K195" i="1"/>
  <c r="L195" i="1"/>
  <c r="M195" i="1"/>
  <c r="N195" i="1" s="1"/>
  <c r="V195" i="1"/>
  <c r="S56" i="3" s="1"/>
  <c r="Y195" i="1"/>
  <c r="Z195" i="1"/>
  <c r="AB195" i="1"/>
  <c r="AC195" i="1"/>
  <c r="AD195" i="1"/>
  <c r="AE195" i="1"/>
  <c r="R56" i="3" s="1"/>
  <c r="AF195" i="1"/>
  <c r="AH229" i="1"/>
  <c r="AM229" i="1"/>
  <c r="AN22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0" i="1"/>
  <c r="AM230" i="1"/>
  <c r="AN23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1" i="1"/>
  <c r="AM231" i="1"/>
  <c r="AN23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2" i="1"/>
  <c r="AM232" i="1"/>
  <c r="AN232" i="1"/>
  <c r="K199" i="1"/>
  <c r="L199" i="1"/>
  <c r="M199" i="1"/>
  <c r="N199" i="1" s="1"/>
  <c r="V199" i="1"/>
  <c r="Y199" i="1"/>
  <c r="Z199" i="1"/>
  <c r="AB199" i="1"/>
  <c r="AC199" i="1"/>
  <c r="AD199" i="1"/>
  <c r="AE199" i="1"/>
  <c r="R57" i="3" s="1"/>
  <c r="AF199" i="1"/>
  <c r="AH233" i="1"/>
  <c r="AM233" i="1"/>
  <c r="AN23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4" i="1"/>
  <c r="AM234" i="1"/>
  <c r="AN23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5" i="1"/>
  <c r="AM235" i="1"/>
  <c r="AN235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36" i="1"/>
  <c r="AM236" i="1"/>
  <c r="AN23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7" i="1"/>
  <c r="AM237" i="1"/>
  <c r="AN237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8" i="1"/>
  <c r="AM238" i="1"/>
  <c r="AN238" i="1"/>
  <c r="K221" i="1"/>
  <c r="L221" i="1"/>
  <c r="M221" i="1"/>
  <c r="N221" i="1" s="1"/>
  <c r="V221" i="1"/>
  <c r="S74" i="3" s="1"/>
  <c r="Y221" i="1"/>
  <c r="Z221" i="1"/>
  <c r="AB221" i="1"/>
  <c r="AC221" i="1"/>
  <c r="AD221" i="1"/>
  <c r="T221" i="1" s="1"/>
  <c r="AE221" i="1"/>
  <c r="R74" i="3" s="1"/>
  <c r="AF221" i="1"/>
  <c r="AH239" i="1"/>
  <c r="AM239" i="1"/>
  <c r="AN23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0" i="1"/>
  <c r="AM240" i="1"/>
  <c r="AN240" i="1"/>
  <c r="K223" i="1"/>
  <c r="L223" i="1"/>
  <c r="M223" i="1"/>
  <c r="N223" i="1" s="1"/>
  <c r="V223" i="1"/>
  <c r="S66" i="3" s="1"/>
  <c r="Y223" i="1"/>
  <c r="Z223" i="1"/>
  <c r="AB223" i="1"/>
  <c r="AC223" i="1"/>
  <c r="AD223" i="1"/>
  <c r="T223" i="1" s="1"/>
  <c r="AE223" i="1"/>
  <c r="R66" i="3" s="1"/>
  <c r="AF223" i="1"/>
  <c r="AH241" i="1"/>
  <c r="AM241" i="1"/>
  <c r="AN241" i="1"/>
  <c r="M45" i="3"/>
  <c r="U45" i="3"/>
  <c r="T45" i="3" s="1"/>
  <c r="V45" i="3"/>
  <c r="W45" i="3"/>
  <c r="X45" i="3"/>
  <c r="AC45" i="3"/>
  <c r="M36" i="3"/>
  <c r="S36" i="3"/>
  <c r="U36" i="3"/>
  <c r="V36" i="3"/>
  <c r="W36" i="3"/>
  <c r="X36" i="3"/>
  <c r="M19" i="3"/>
  <c r="S19" i="3"/>
  <c r="U19" i="3"/>
  <c r="AC19" i="3" s="1"/>
  <c r="V19" i="3"/>
  <c r="W19" i="3"/>
  <c r="X19" i="3"/>
  <c r="M46" i="3"/>
  <c r="U46" i="3"/>
  <c r="V46" i="3"/>
  <c r="W46" i="3"/>
  <c r="X46" i="3"/>
  <c r="M20" i="3"/>
  <c r="S20" i="3"/>
  <c r="U20" i="3"/>
  <c r="T20" i="3" s="1"/>
  <c r="V20" i="3"/>
  <c r="W20" i="3"/>
  <c r="X20" i="3"/>
  <c r="M58" i="3"/>
  <c r="U58" i="3"/>
  <c r="V58" i="3"/>
  <c r="W58" i="3"/>
  <c r="X58" i="3"/>
  <c r="M28" i="3"/>
  <c r="R28" i="3"/>
  <c r="S28" i="3"/>
  <c r="U28" i="3"/>
  <c r="AC28" i="3" s="1"/>
  <c r="V28" i="3"/>
  <c r="W28" i="3"/>
  <c r="X28" i="3"/>
  <c r="M50" i="3"/>
  <c r="S50" i="3"/>
  <c r="U50" i="3"/>
  <c r="AD50" i="3" s="1"/>
  <c r="V50" i="3"/>
  <c r="W50" i="3"/>
  <c r="X50" i="3"/>
  <c r="M59" i="3"/>
  <c r="U59" i="3"/>
  <c r="T59" i="3" s="1"/>
  <c r="V59" i="3"/>
  <c r="W59" i="3"/>
  <c r="X59" i="3"/>
  <c r="M60" i="3"/>
  <c r="U60" i="3"/>
  <c r="V60" i="3"/>
  <c r="W60" i="3"/>
  <c r="X60" i="3"/>
  <c r="M42" i="3"/>
  <c r="U42" i="3"/>
  <c r="AC42" i="3" s="1"/>
  <c r="V42" i="3"/>
  <c r="W42" i="3"/>
  <c r="X42" i="3"/>
  <c r="M8" i="3"/>
  <c r="U8" i="3"/>
  <c r="AC8" i="3" s="1"/>
  <c r="V8" i="3"/>
  <c r="W8" i="3"/>
  <c r="X8" i="3"/>
  <c r="M49" i="3"/>
  <c r="U49" i="3"/>
  <c r="T49" i="3" s="1"/>
  <c r="V49" i="3"/>
  <c r="W49" i="3"/>
  <c r="X49" i="3"/>
  <c r="AC49" i="3"/>
  <c r="M12" i="3"/>
  <c r="U12" i="3"/>
  <c r="V12" i="3"/>
  <c r="W12" i="3"/>
  <c r="X12" i="3"/>
  <c r="M26" i="3"/>
  <c r="S26" i="3"/>
  <c r="U26" i="3"/>
  <c r="AC26" i="3" s="1"/>
  <c r="V26" i="3"/>
  <c r="W26" i="3"/>
  <c r="X26" i="3"/>
  <c r="M11" i="3"/>
  <c r="R11" i="3"/>
  <c r="U11" i="3"/>
  <c r="AC11" i="3" s="1"/>
  <c r="V11" i="3"/>
  <c r="W11" i="3"/>
  <c r="X11" i="3"/>
  <c r="M29" i="3"/>
  <c r="R29" i="3"/>
  <c r="U29" i="3"/>
  <c r="T29" i="3" s="1"/>
  <c r="V29" i="3"/>
  <c r="W29" i="3"/>
  <c r="X29" i="3"/>
  <c r="AC29" i="3"/>
  <c r="M76" i="3"/>
  <c r="U76" i="3"/>
  <c r="AD76" i="3" s="1"/>
  <c r="V76" i="3"/>
  <c r="W76" i="3"/>
  <c r="X76" i="3"/>
  <c r="M73" i="3"/>
  <c r="U73" i="3"/>
  <c r="V73" i="3"/>
  <c r="W73" i="3"/>
  <c r="X73" i="3"/>
  <c r="M61" i="3"/>
  <c r="U61" i="3"/>
  <c r="AC61" i="3" s="1"/>
  <c r="V61" i="3"/>
  <c r="W61" i="3"/>
  <c r="X61" i="3"/>
  <c r="M65" i="3"/>
  <c r="R65" i="3"/>
  <c r="U65" i="3"/>
  <c r="T65" i="3" s="1"/>
  <c r="V65" i="3"/>
  <c r="W65" i="3"/>
  <c r="X65" i="3"/>
  <c r="AC65" i="3"/>
  <c r="M30" i="3"/>
  <c r="U30" i="3"/>
  <c r="V30" i="3"/>
  <c r="W30" i="3"/>
  <c r="X30" i="3"/>
  <c r="M37" i="3"/>
  <c r="R37" i="3"/>
  <c r="U37" i="3"/>
  <c r="V37" i="3"/>
  <c r="W37" i="3"/>
  <c r="X37" i="3"/>
  <c r="M62" i="3"/>
  <c r="U62" i="3"/>
  <c r="AC62" i="3" s="1"/>
  <c r="V62" i="3"/>
  <c r="W62" i="3"/>
  <c r="X62" i="3"/>
  <c r="M63" i="3"/>
  <c r="U63" i="3"/>
  <c r="T63" i="3" s="1"/>
  <c r="V63" i="3"/>
  <c r="W63" i="3"/>
  <c r="X63" i="3"/>
  <c r="AC63" i="3"/>
  <c r="M13" i="3"/>
  <c r="S13" i="3"/>
  <c r="U13" i="3"/>
  <c r="V13" i="3"/>
  <c r="W13" i="3"/>
  <c r="X13" i="3"/>
  <c r="AC13" i="3"/>
  <c r="M24" i="3"/>
  <c r="U24" i="3"/>
  <c r="V24" i="3"/>
  <c r="W24" i="3"/>
  <c r="X24" i="3"/>
  <c r="M25" i="3"/>
  <c r="S25" i="3"/>
  <c r="U25" i="3"/>
  <c r="AC25" i="3" s="1"/>
  <c r="V25" i="3"/>
  <c r="W25" i="3"/>
  <c r="X25" i="3"/>
  <c r="M51" i="3"/>
  <c r="U51" i="3"/>
  <c r="AC51" i="3" s="1"/>
  <c r="V51" i="3"/>
  <c r="W51" i="3"/>
  <c r="X51" i="3"/>
  <c r="M38" i="3"/>
  <c r="U38" i="3"/>
  <c r="T38" i="3" s="1"/>
  <c r="V38" i="3"/>
  <c r="W38" i="3"/>
  <c r="X38" i="3"/>
  <c r="M31" i="3"/>
  <c r="U31" i="3"/>
  <c r="AC31" i="3" s="1"/>
  <c r="V31" i="3"/>
  <c r="W31" i="3"/>
  <c r="X31" i="3"/>
  <c r="M74" i="3"/>
  <c r="U74" i="3"/>
  <c r="AC74" i="3" s="1"/>
  <c r="V74" i="3"/>
  <c r="W74" i="3"/>
  <c r="X74" i="3"/>
  <c r="M39" i="3"/>
  <c r="S39" i="3"/>
  <c r="U39" i="3"/>
  <c r="AC39" i="3" s="1"/>
  <c r="V39" i="3"/>
  <c r="W39" i="3"/>
  <c r="X39" i="3"/>
  <c r="M52" i="3"/>
  <c r="U52" i="3"/>
  <c r="V52" i="3"/>
  <c r="W52" i="3"/>
  <c r="X52" i="3"/>
  <c r="M67" i="3"/>
  <c r="R67" i="3"/>
  <c r="U67" i="3"/>
  <c r="AC67" i="3" s="1"/>
  <c r="V67" i="3"/>
  <c r="W67" i="3"/>
  <c r="X67" i="3"/>
  <c r="M21" i="3"/>
  <c r="U21" i="3"/>
  <c r="T21" i="3" s="1"/>
  <c r="V21" i="3"/>
  <c r="W21" i="3"/>
  <c r="X21" i="3"/>
  <c r="M68" i="3"/>
  <c r="U68" i="3"/>
  <c r="AC68" i="3" s="1"/>
  <c r="V68" i="3"/>
  <c r="W68" i="3"/>
  <c r="X68" i="3"/>
  <c r="M69" i="3"/>
  <c r="R69" i="3"/>
  <c r="U69" i="3"/>
  <c r="T69" i="3" s="1"/>
  <c r="V69" i="3"/>
  <c r="W69" i="3"/>
  <c r="X69" i="3"/>
  <c r="M70" i="3"/>
  <c r="U70" i="3"/>
  <c r="AC70" i="3" s="1"/>
  <c r="V70" i="3"/>
  <c r="W70" i="3"/>
  <c r="X70" i="3"/>
  <c r="M75" i="3"/>
  <c r="R75" i="3"/>
  <c r="U75" i="3"/>
  <c r="T75" i="3" s="1"/>
  <c r="V75" i="3"/>
  <c r="W75" i="3"/>
  <c r="X75" i="3"/>
  <c r="AC75" i="3"/>
  <c r="M71" i="3"/>
  <c r="U71" i="3"/>
  <c r="AC71" i="3" s="1"/>
  <c r="V71" i="3"/>
  <c r="W71" i="3"/>
  <c r="X71" i="3"/>
  <c r="M72" i="3"/>
  <c r="U72" i="3"/>
  <c r="V72" i="3"/>
  <c r="W72" i="3"/>
  <c r="X72" i="3"/>
  <c r="M32" i="3"/>
  <c r="U32" i="3"/>
  <c r="AC32" i="3" s="1"/>
  <c r="V32" i="3"/>
  <c r="W32" i="3"/>
  <c r="X32" i="3"/>
  <c r="M40" i="3"/>
  <c r="U40" i="3"/>
  <c r="V40" i="3"/>
  <c r="W40" i="3"/>
  <c r="X40" i="3"/>
  <c r="AC40" i="3"/>
  <c r="M53" i="3"/>
  <c r="U53" i="3"/>
  <c r="AC53" i="3" s="1"/>
  <c r="V53" i="3"/>
  <c r="W53" i="3"/>
  <c r="X53" i="3"/>
  <c r="M48" i="3"/>
  <c r="U48" i="3"/>
  <c r="V48" i="3"/>
  <c r="W48" i="3"/>
  <c r="X48" i="3"/>
  <c r="M47" i="3"/>
  <c r="S47" i="3"/>
  <c r="U47" i="3"/>
  <c r="AC47" i="3" s="1"/>
  <c r="V47" i="3"/>
  <c r="W47" i="3"/>
  <c r="X47" i="3"/>
  <c r="M54" i="3"/>
  <c r="U54" i="3"/>
  <c r="V54" i="3"/>
  <c r="W54" i="3"/>
  <c r="X54" i="3"/>
  <c r="AC54" i="3"/>
  <c r="M55" i="3"/>
  <c r="R55" i="3"/>
  <c r="U55" i="3"/>
  <c r="V55" i="3"/>
  <c r="W55" i="3"/>
  <c r="X55" i="3"/>
  <c r="AC55" i="3"/>
  <c r="M43" i="3"/>
  <c r="U43" i="3"/>
  <c r="AD43" i="3" s="1"/>
  <c r="V43" i="3"/>
  <c r="W43" i="3"/>
  <c r="X43" i="3"/>
  <c r="M77" i="3"/>
  <c r="U77" i="3"/>
  <c r="AC77" i="3" s="1"/>
  <c r="V77" i="3"/>
  <c r="W77" i="3"/>
  <c r="X77" i="3"/>
  <c r="M18" i="3"/>
  <c r="S18" i="3"/>
  <c r="U18" i="3"/>
  <c r="V18" i="3"/>
  <c r="W18" i="3"/>
  <c r="X18" i="3"/>
  <c r="AC18" i="3"/>
  <c r="M33" i="3"/>
  <c r="R33" i="3"/>
  <c r="U33" i="3"/>
  <c r="AC33" i="3" s="1"/>
  <c r="V33" i="3"/>
  <c r="W33" i="3"/>
  <c r="X33" i="3"/>
  <c r="M41" i="3"/>
  <c r="U41" i="3"/>
  <c r="V41" i="3"/>
  <c r="W41" i="3"/>
  <c r="X41" i="3"/>
  <c r="M15" i="3"/>
  <c r="U15" i="3"/>
  <c r="AC15" i="3" s="1"/>
  <c r="V15" i="3"/>
  <c r="W15" i="3"/>
  <c r="X15" i="3"/>
  <c r="M7" i="3"/>
  <c r="S7" i="3"/>
  <c r="U7" i="3"/>
  <c r="T7" i="3" s="1"/>
  <c r="V7" i="3"/>
  <c r="W7" i="3"/>
  <c r="X7" i="3"/>
  <c r="AC7" i="3"/>
  <c r="M34" i="3"/>
  <c r="U34" i="3"/>
  <c r="AC34" i="3" s="1"/>
  <c r="V34" i="3"/>
  <c r="W34" i="3"/>
  <c r="X34" i="3"/>
  <c r="M35" i="3"/>
  <c r="R35" i="3"/>
  <c r="U35" i="3"/>
  <c r="V35" i="3"/>
  <c r="W35" i="3"/>
  <c r="X35" i="3"/>
  <c r="M16" i="3"/>
  <c r="S16" i="3"/>
  <c r="U16" i="3"/>
  <c r="AC16" i="3" s="1"/>
  <c r="V16" i="3"/>
  <c r="W16" i="3"/>
  <c r="X16" i="3"/>
  <c r="M56" i="3"/>
  <c r="U56" i="3"/>
  <c r="T56" i="3" s="1"/>
  <c r="V56" i="3"/>
  <c r="W56" i="3"/>
  <c r="X56" i="3"/>
  <c r="AC56" i="3"/>
  <c r="M27" i="3"/>
  <c r="R27" i="3"/>
  <c r="U27" i="3"/>
  <c r="AC27" i="3" s="1"/>
  <c r="V27" i="3"/>
  <c r="W27" i="3"/>
  <c r="X27" i="3"/>
  <c r="M23" i="3"/>
  <c r="R23" i="3"/>
  <c r="U23" i="3"/>
  <c r="V23" i="3"/>
  <c r="W23" i="3"/>
  <c r="X23" i="3"/>
  <c r="M44" i="3"/>
  <c r="U44" i="3"/>
  <c r="AC44" i="3" s="1"/>
  <c r="V44" i="3"/>
  <c r="W44" i="3"/>
  <c r="X44" i="3"/>
  <c r="M57" i="3"/>
  <c r="U57" i="3"/>
  <c r="V57" i="3"/>
  <c r="W57" i="3"/>
  <c r="X57" i="3"/>
  <c r="AC57" i="3"/>
  <c r="M22" i="3"/>
  <c r="R22" i="3"/>
  <c r="U22" i="3"/>
  <c r="AD72" i="3" s="1"/>
  <c r="V22" i="3"/>
  <c r="W22" i="3"/>
  <c r="X22" i="3"/>
  <c r="M66" i="3"/>
  <c r="U66" i="3"/>
  <c r="AD66" i="3" s="1"/>
  <c r="V66" i="3"/>
  <c r="W66" i="3"/>
  <c r="X66" i="3"/>
  <c r="AC66" i="3"/>
  <c r="M14" i="3"/>
  <c r="U14" i="3"/>
  <c r="AC14" i="3" s="1"/>
  <c r="V14" i="3"/>
  <c r="W14" i="3"/>
  <c r="X14" i="3"/>
  <c r="M9" i="3"/>
  <c r="U9" i="3"/>
  <c r="V9" i="3"/>
  <c r="W9" i="3"/>
  <c r="X9" i="3"/>
  <c r="AC9" i="3"/>
  <c r="M17" i="3"/>
  <c r="U17" i="3"/>
  <c r="AC17" i="3" s="1"/>
  <c r="V17" i="3"/>
  <c r="W17" i="3"/>
  <c r="X17" i="3"/>
  <c r="M10" i="3"/>
  <c r="S10" i="3"/>
  <c r="U10" i="3"/>
  <c r="V10" i="3"/>
  <c r="W10" i="3"/>
  <c r="X10" i="3"/>
  <c r="AC20" i="3" l="1"/>
  <c r="S34" i="3"/>
  <c r="Y19" i="3"/>
  <c r="X173" i="1"/>
  <c r="X171" i="1"/>
  <c r="X169" i="1"/>
  <c r="T146" i="1"/>
  <c r="T66" i="1"/>
  <c r="U66" i="1" s="1"/>
  <c r="S66" i="1" s="1"/>
  <c r="AA64" i="1"/>
  <c r="AI58" i="1"/>
  <c r="AI54" i="1"/>
  <c r="AI52" i="1"/>
  <c r="X96" i="1"/>
  <c r="AG66" i="1"/>
  <c r="AA97" i="1"/>
  <c r="S21" i="3"/>
  <c r="AD69" i="3"/>
  <c r="AI92" i="1"/>
  <c r="X55" i="1"/>
  <c r="Y12" i="3"/>
  <c r="R34" i="3"/>
  <c r="R7" i="3"/>
  <c r="AD59" i="3"/>
  <c r="Y29" i="3"/>
  <c r="AA170" i="1"/>
  <c r="X237" i="1"/>
  <c r="AA213" i="1"/>
  <c r="W213" i="1" s="1"/>
  <c r="T86" i="1"/>
  <c r="U86" i="1" s="1"/>
  <c r="S86" i="1" s="1"/>
  <c r="X16" i="1"/>
  <c r="X170" i="1"/>
  <c r="X99" i="1"/>
  <c r="AA108" i="1"/>
  <c r="X101" i="1"/>
  <c r="X95" i="1"/>
  <c r="X109" i="1"/>
  <c r="R62" i="3"/>
  <c r="S29" i="3"/>
  <c r="AG123" i="1"/>
  <c r="X123" i="1"/>
  <c r="W108" i="1"/>
  <c r="AI108" i="1"/>
  <c r="T108" i="1"/>
  <c r="U108" i="1" s="1"/>
  <c r="S108" i="1" s="1"/>
  <c r="X108" i="1"/>
  <c r="AI97" i="1"/>
  <c r="W97" i="1"/>
  <c r="T97" i="1"/>
  <c r="U97" i="1" s="1"/>
  <c r="S97" i="1" s="1"/>
  <c r="X97" i="1"/>
  <c r="AG95" i="1"/>
  <c r="W95" i="1" s="1"/>
  <c r="AC21" i="3"/>
  <c r="R72" i="3"/>
  <c r="AD42" i="3"/>
  <c r="AA203" i="1"/>
  <c r="AI73" i="1"/>
  <c r="X64" i="1"/>
  <c r="X62" i="1"/>
  <c r="X60" i="1"/>
  <c r="AA20" i="1"/>
  <c r="W20" i="1" s="1"/>
  <c r="AA16" i="1"/>
  <c r="AD75" i="3"/>
  <c r="AC22" i="3"/>
  <c r="S63" i="3"/>
  <c r="AA92" i="1"/>
  <c r="X104" i="1"/>
  <c r="AD71" i="3"/>
  <c r="R71" i="3"/>
  <c r="R54" i="3"/>
  <c r="S48" i="3"/>
  <c r="AD51" i="3"/>
  <c r="Y71" i="3"/>
  <c r="R70" i="3"/>
  <c r="AE69" i="3"/>
  <c r="Y42" i="3"/>
  <c r="AA183" i="1"/>
  <c r="AA232" i="1"/>
  <c r="P83" i="1"/>
  <c r="X103" i="1"/>
  <c r="Y70" i="3"/>
  <c r="Y24" i="3"/>
  <c r="AD26" i="3"/>
  <c r="AA197" i="1"/>
  <c r="AA236" i="1"/>
  <c r="AG70" i="1"/>
  <c r="Y53" i="3"/>
  <c r="Y34" i="3"/>
  <c r="AD77" i="3"/>
  <c r="AE55" i="3"/>
  <c r="AD19" i="3"/>
  <c r="AA194" i="1"/>
  <c r="AA192" i="1"/>
  <c r="AA190" i="1"/>
  <c r="AA164" i="1"/>
  <c r="AA154" i="1"/>
  <c r="AI133" i="1"/>
  <c r="X113" i="1"/>
  <c r="AI47" i="1"/>
  <c r="Y18" i="3"/>
  <c r="R32" i="3"/>
  <c r="AD38" i="3"/>
  <c r="Y38" i="3"/>
  <c r="Y25" i="3"/>
  <c r="R25" i="3"/>
  <c r="Y76" i="3"/>
  <c r="AC59" i="3"/>
  <c r="Y23" i="3"/>
  <c r="Y27" i="3"/>
  <c r="S55" i="3"/>
  <c r="Y69" i="3"/>
  <c r="S42" i="3"/>
  <c r="AA219" i="1"/>
  <c r="AA173" i="1"/>
  <c r="AA169" i="1"/>
  <c r="AA168" i="1"/>
  <c r="AA142" i="1"/>
  <c r="X125" i="1"/>
  <c r="AA121" i="1"/>
  <c r="AA119" i="1"/>
  <c r="AA116" i="1"/>
  <c r="W116" i="1" s="1"/>
  <c r="AA109" i="1"/>
  <c r="AG96" i="1"/>
  <c r="AI96" i="1" s="1"/>
  <c r="AA89" i="1"/>
  <c r="W89" i="1" s="1"/>
  <c r="AI84" i="1"/>
  <c r="AG71" i="1"/>
  <c r="U71" i="1" s="1"/>
  <c r="X70" i="1"/>
  <c r="AG59" i="1"/>
  <c r="U59" i="1" s="1"/>
  <c r="S59" i="1" s="1"/>
  <c r="AG56" i="1"/>
  <c r="AI56" i="1" s="1"/>
  <c r="AA47" i="1"/>
  <c r="AA39" i="1"/>
  <c r="X61" i="1"/>
  <c r="AD68" i="3"/>
  <c r="AD61" i="3"/>
  <c r="T32" i="3"/>
  <c r="S68" i="3"/>
  <c r="S67" i="3"/>
  <c r="AA189" i="1"/>
  <c r="AA187" i="1"/>
  <c r="AA206" i="1"/>
  <c r="AI153" i="1"/>
  <c r="AA148" i="1"/>
  <c r="AA145" i="1"/>
  <c r="AA137" i="1"/>
  <c r="AA100" i="1"/>
  <c r="AG67" i="1"/>
  <c r="AI67" i="1" s="1"/>
  <c r="AA56" i="1"/>
  <c r="AA34" i="1"/>
  <c r="AA31" i="1"/>
  <c r="W31" i="1" s="1"/>
  <c r="AA25" i="1"/>
  <c r="AA21" i="1"/>
  <c r="X63" i="1"/>
  <c r="Y35" i="3"/>
  <c r="Y33" i="3"/>
  <c r="Y43" i="3"/>
  <c r="S69" i="3"/>
  <c r="R49" i="3"/>
  <c r="T55" i="1"/>
  <c r="AA223" i="1"/>
  <c r="AA220" i="1"/>
  <c r="W220" i="1" s="1"/>
  <c r="AA218" i="1"/>
  <c r="AA200" i="1"/>
  <c r="S44" i="3"/>
  <c r="S57" i="3"/>
  <c r="AC46" i="3"/>
  <c r="AD46" i="3"/>
  <c r="AE73" i="3"/>
  <c r="AE71" i="3"/>
  <c r="T57" i="3"/>
  <c r="AE45" i="3"/>
  <c r="AD28" i="3"/>
  <c r="AD30" i="3"/>
  <c r="AC50" i="3"/>
  <c r="AE50" i="3"/>
  <c r="AA140" i="1"/>
  <c r="AG137" i="1"/>
  <c r="AI137" i="1" s="1"/>
  <c r="T137" i="1"/>
  <c r="W92" i="1"/>
  <c r="T62" i="1"/>
  <c r="AG62" i="1"/>
  <c r="AI62" i="1" s="1"/>
  <c r="X59" i="1"/>
  <c r="AD73" i="3"/>
  <c r="T66" i="3"/>
  <c r="AD58" i="3"/>
  <c r="AE58" i="3"/>
  <c r="T93" i="1"/>
  <c r="AG93" i="1"/>
  <c r="AA52" i="1"/>
  <c r="W52" i="1" s="1"/>
  <c r="T45" i="1"/>
  <c r="AG45" i="1"/>
  <c r="AD65" i="3"/>
  <c r="Y54" i="3"/>
  <c r="Y39" i="3"/>
  <c r="Y74" i="3"/>
  <c r="AA185" i="1"/>
  <c r="AA166" i="1"/>
  <c r="X78" i="1"/>
  <c r="AA73" i="1"/>
  <c r="W73" i="1" s="1"/>
  <c r="AA46" i="1"/>
  <c r="AA15" i="1"/>
  <c r="AE75" i="3"/>
  <c r="Y10" i="3"/>
  <c r="Y17" i="3"/>
  <c r="Y66" i="3"/>
  <c r="AE70" i="3"/>
  <c r="Y48" i="3"/>
  <c r="R48" i="3"/>
  <c r="AE38" i="3"/>
  <c r="Y51" i="3"/>
  <c r="Y30" i="3"/>
  <c r="Y65" i="3"/>
  <c r="Y26" i="3"/>
  <c r="Y60" i="3"/>
  <c r="Y58" i="3"/>
  <c r="Y20" i="3"/>
  <c r="Y36" i="3"/>
  <c r="Y45" i="3"/>
  <c r="AA199" i="1"/>
  <c r="AA186" i="1"/>
  <c r="AA184" i="1"/>
  <c r="AA181" i="1"/>
  <c r="AA179" i="1"/>
  <c r="AA158" i="1"/>
  <c r="AA156" i="1"/>
  <c r="AA238" i="1"/>
  <c r="AA228" i="1"/>
  <c r="AA216" i="1"/>
  <c r="X213" i="1"/>
  <c r="X154" i="1"/>
  <c r="X142" i="1"/>
  <c r="X139" i="1"/>
  <c r="AA133" i="1"/>
  <c r="W133" i="1" s="1"/>
  <c r="AA120" i="1"/>
  <c r="AA107" i="1"/>
  <c r="W107" i="1" s="1"/>
  <c r="AA102" i="1"/>
  <c r="AI89" i="1"/>
  <c r="AG82" i="1"/>
  <c r="AI82" i="1" s="1"/>
  <c r="X77" i="1"/>
  <c r="AA74" i="1"/>
  <c r="AA70" i="1"/>
  <c r="W70" i="1" s="1"/>
  <c r="AA67" i="1"/>
  <c r="AG63" i="1"/>
  <c r="U63" i="1" s="1"/>
  <c r="S63" i="1" s="1"/>
  <c r="AA57" i="1"/>
  <c r="AG55" i="1"/>
  <c r="U55" i="1" s="1"/>
  <c r="S55" i="1" s="1"/>
  <c r="AI39" i="1"/>
  <c r="AG36" i="1"/>
  <c r="U36" i="1" s="1"/>
  <c r="S36" i="1" s="1"/>
  <c r="AA35" i="1"/>
  <c r="AA28" i="1"/>
  <c r="AA195" i="1"/>
  <c r="AA239" i="1"/>
  <c r="W239" i="1" s="1"/>
  <c r="AA231" i="1"/>
  <c r="W231" i="1" s="1"/>
  <c r="T153" i="1"/>
  <c r="U153" i="1" s="1"/>
  <c r="S153" i="1" s="1"/>
  <c r="AA138" i="1"/>
  <c r="W128" i="1"/>
  <c r="AA103" i="1"/>
  <c r="W103" i="1" s="1"/>
  <c r="T99" i="1"/>
  <c r="U99" i="1" s="1"/>
  <c r="S99" i="1" s="1"/>
  <c r="T78" i="1"/>
  <c r="U78" i="1" s="1"/>
  <c r="S78" i="1" s="1"/>
  <c r="AI77" i="1"/>
  <c r="T73" i="1"/>
  <c r="U70" i="1"/>
  <c r="S70" i="1" s="1"/>
  <c r="AA68" i="1"/>
  <c r="AA60" i="1"/>
  <c r="W47" i="1"/>
  <c r="AA27" i="1"/>
  <c r="W27" i="1" s="1"/>
  <c r="AA23" i="1"/>
  <c r="AA19" i="1"/>
  <c r="AA235" i="1"/>
  <c r="W235" i="1" s="1"/>
  <c r="AA226" i="1"/>
  <c r="W226" i="1" s="1"/>
  <c r="AA210" i="1"/>
  <c r="AG150" i="1"/>
  <c r="U150" i="1" s="1"/>
  <c r="S150" i="1" s="1"/>
  <c r="AG127" i="1"/>
  <c r="U127" i="1" s="1"/>
  <c r="S127" i="1" s="1"/>
  <c r="X127" i="1"/>
  <c r="AA117" i="1"/>
  <c r="AA104" i="1"/>
  <c r="AG83" i="1"/>
  <c r="U83" i="1" s="1"/>
  <c r="S83" i="1" s="1"/>
  <c r="X83" i="1"/>
  <c r="AA75" i="1"/>
  <c r="W75" i="1" s="1"/>
  <c r="AA69" i="1"/>
  <c r="AA58" i="1"/>
  <c r="W58" i="1" s="1"/>
  <c r="AA54" i="1"/>
  <c r="W54" i="1" s="1"/>
  <c r="AA44" i="1"/>
  <c r="AA42" i="1"/>
  <c r="AG32" i="1"/>
  <c r="U32" i="1" s="1"/>
  <c r="S32" i="1" s="1"/>
  <c r="X32" i="1"/>
  <c r="AA30" i="1"/>
  <c r="AG21" i="1"/>
  <c r="AI21" i="1" s="1"/>
  <c r="X21" i="1"/>
  <c r="AA222" i="1"/>
  <c r="X221" i="1"/>
  <c r="AA198" i="1"/>
  <c r="AA196" i="1"/>
  <c r="AA193" i="1"/>
  <c r="AA191" i="1"/>
  <c r="AA182" i="1"/>
  <c r="AA180" i="1"/>
  <c r="AA177" i="1"/>
  <c r="AA175" i="1"/>
  <c r="AA167" i="1"/>
  <c r="AA165" i="1"/>
  <c r="AA162" i="1"/>
  <c r="AA160" i="1"/>
  <c r="X240" i="1"/>
  <c r="X236" i="1"/>
  <c r="X235" i="1"/>
  <c r="AG229" i="1"/>
  <c r="U229" i="1" s="1"/>
  <c r="S229" i="1" s="1"/>
  <c r="AA224" i="1"/>
  <c r="X215" i="1"/>
  <c r="AG210" i="1"/>
  <c r="AI210" i="1" s="1"/>
  <c r="AA153" i="1"/>
  <c r="W153" i="1" s="1"/>
  <c r="AA149" i="1"/>
  <c r="AA144" i="1"/>
  <c r="W144" i="1" s="1"/>
  <c r="AA136" i="1"/>
  <c r="T134" i="1"/>
  <c r="U134" i="1" s="1"/>
  <c r="S134" i="1" s="1"/>
  <c r="AA126" i="1"/>
  <c r="AA118" i="1"/>
  <c r="T116" i="1"/>
  <c r="U116" i="1" s="1"/>
  <c r="S116" i="1" s="1"/>
  <c r="AG113" i="1"/>
  <c r="U113" i="1" s="1"/>
  <c r="S113" i="1" s="1"/>
  <c r="T107" i="1"/>
  <c r="U107" i="1" s="1"/>
  <c r="S107" i="1" s="1"/>
  <c r="AG101" i="1"/>
  <c r="U101" i="1" s="1"/>
  <c r="S101" i="1" s="1"/>
  <c r="AA99" i="1"/>
  <c r="W99" i="1" s="1"/>
  <c r="AA94" i="1"/>
  <c r="AA93" i="1"/>
  <c r="W93" i="1" s="1"/>
  <c r="T89" i="1"/>
  <c r="U89" i="1" s="1"/>
  <c r="S89" i="1" s="1"/>
  <c r="AA88" i="1"/>
  <c r="W88" i="1" s="1"/>
  <c r="X79" i="1"/>
  <c r="AG78" i="1"/>
  <c r="AI78" i="1" s="1"/>
  <c r="AA178" i="1"/>
  <c r="AA176" i="1"/>
  <c r="AA171" i="1"/>
  <c r="AA163" i="1"/>
  <c r="AA161" i="1"/>
  <c r="AA241" i="1"/>
  <c r="T239" i="1"/>
  <c r="U239" i="1" s="1"/>
  <c r="S239" i="1" s="1"/>
  <c r="AA237" i="1"/>
  <c r="AA217" i="1"/>
  <c r="W217" i="1" s="1"/>
  <c r="AA214" i="1"/>
  <c r="AA209" i="1"/>
  <c r="X151" i="1"/>
  <c r="U146" i="1"/>
  <c r="S146" i="1" s="1"/>
  <c r="AI144" i="1"/>
  <c r="AA127" i="1"/>
  <c r="X126" i="1"/>
  <c r="T125" i="1"/>
  <c r="U125" i="1" s="1"/>
  <c r="S125" i="1" s="1"/>
  <c r="AA111" i="1"/>
  <c r="AA106" i="1"/>
  <c r="T103" i="1"/>
  <c r="AA80" i="1"/>
  <c r="U67" i="1"/>
  <c r="S67" i="1" s="1"/>
  <c r="AA53" i="1"/>
  <c r="AG48" i="1"/>
  <c r="AI48" i="1" s="1"/>
  <c r="AA40" i="1"/>
  <c r="AA36" i="1"/>
  <c r="W36" i="1" s="1"/>
  <c r="AA33" i="1"/>
  <c r="AA26" i="1"/>
  <c r="AG25" i="1"/>
  <c r="AI25" i="1" s="1"/>
  <c r="X25" i="1"/>
  <c r="AG17" i="1"/>
  <c r="AI17" i="1" s="1"/>
  <c r="X17" i="1"/>
  <c r="AA201" i="1"/>
  <c r="AA188" i="1"/>
  <c r="AA174" i="1"/>
  <c r="AA172" i="1"/>
  <c r="AA159" i="1"/>
  <c r="AA157" i="1"/>
  <c r="AA234" i="1"/>
  <c r="W234" i="1" s="1"/>
  <c r="AA230" i="1"/>
  <c r="W230" i="1" s="1"/>
  <c r="U96" i="1"/>
  <c r="S96" i="1" s="1"/>
  <c r="AA82" i="1"/>
  <c r="AG176" i="1"/>
  <c r="T176" i="1"/>
  <c r="T197" i="1"/>
  <c r="X197" i="1"/>
  <c r="AG197" i="1"/>
  <c r="T181" i="1"/>
  <c r="X181" i="1"/>
  <c r="AG181" i="1"/>
  <c r="T166" i="1"/>
  <c r="X166" i="1"/>
  <c r="AG166" i="1"/>
  <c r="AG157" i="1"/>
  <c r="AI157" i="1" s="1"/>
  <c r="T157" i="1"/>
  <c r="U157" i="1" s="1"/>
  <c r="S157" i="1" s="1"/>
  <c r="S73" i="3"/>
  <c r="S61" i="3"/>
  <c r="T224" i="1"/>
  <c r="X224" i="1"/>
  <c r="AG224" i="1"/>
  <c r="X207" i="1"/>
  <c r="T169" i="1"/>
  <c r="AG169" i="1"/>
  <c r="W169" i="1" s="1"/>
  <c r="AG161" i="1"/>
  <c r="T161" i="1"/>
  <c r="T206" i="1"/>
  <c r="AG206" i="1"/>
  <c r="AI206" i="1" s="1"/>
  <c r="AG172" i="1"/>
  <c r="T172" i="1"/>
  <c r="R61" i="3"/>
  <c r="R73" i="3"/>
  <c r="T228" i="1"/>
  <c r="AG228" i="1"/>
  <c r="W228" i="1" s="1"/>
  <c r="X206" i="1"/>
  <c r="AG204" i="1"/>
  <c r="T204" i="1"/>
  <c r="X204" i="1"/>
  <c r="AG141" i="1"/>
  <c r="AI141" i="1" s="1"/>
  <c r="T141" i="1"/>
  <c r="X141" i="1"/>
  <c r="X138" i="1"/>
  <c r="AG138" i="1"/>
  <c r="T201" i="1"/>
  <c r="X201" i="1"/>
  <c r="AG201" i="1"/>
  <c r="AG192" i="1"/>
  <c r="W192" i="1" s="1"/>
  <c r="T192" i="1"/>
  <c r="T185" i="1"/>
  <c r="X185" i="1"/>
  <c r="AG185" i="1"/>
  <c r="T131" i="1"/>
  <c r="X131" i="1"/>
  <c r="AG131" i="1"/>
  <c r="AI131" i="1" s="1"/>
  <c r="AG188" i="1"/>
  <c r="T188" i="1"/>
  <c r="X220" i="1"/>
  <c r="AG200" i="1"/>
  <c r="AI200" i="1" s="1"/>
  <c r="T200" i="1"/>
  <c r="T193" i="1"/>
  <c r="X193" i="1"/>
  <c r="AG193" i="1"/>
  <c r="AG184" i="1"/>
  <c r="T184" i="1"/>
  <c r="T177" i="1"/>
  <c r="X177" i="1"/>
  <c r="AG177" i="1"/>
  <c r="T162" i="1"/>
  <c r="X162" i="1"/>
  <c r="AG162" i="1"/>
  <c r="R44" i="3"/>
  <c r="R59" i="3"/>
  <c r="AG196" i="1"/>
  <c r="T196" i="1"/>
  <c r="T189" i="1"/>
  <c r="X189" i="1"/>
  <c r="AG189" i="1"/>
  <c r="AG180" i="1"/>
  <c r="AI180" i="1" s="1"/>
  <c r="T180" i="1"/>
  <c r="T173" i="1"/>
  <c r="AG173" i="1"/>
  <c r="AG165" i="1"/>
  <c r="T165" i="1"/>
  <c r="T158" i="1"/>
  <c r="X158" i="1"/>
  <c r="AG158" i="1"/>
  <c r="T232" i="1"/>
  <c r="AG232" i="1"/>
  <c r="X229" i="1"/>
  <c r="T225" i="1"/>
  <c r="X225" i="1"/>
  <c r="AG225" i="1"/>
  <c r="X214" i="1"/>
  <c r="AG214" i="1"/>
  <c r="U214" i="1" s="1"/>
  <c r="S214" i="1" s="1"/>
  <c r="T143" i="1"/>
  <c r="X143" i="1"/>
  <c r="AG143" i="1"/>
  <c r="AI143" i="1" s="1"/>
  <c r="AG81" i="1"/>
  <c r="AI81" i="1" s="1"/>
  <c r="T81" i="1"/>
  <c r="AG51" i="1"/>
  <c r="AI51" i="1" s="1"/>
  <c r="X52" i="1"/>
  <c r="T51" i="1"/>
  <c r="T44" i="1"/>
  <c r="AG44" i="1"/>
  <c r="X28" i="1"/>
  <c r="AG28" i="1"/>
  <c r="AI28" i="1" s="1"/>
  <c r="T19" i="1"/>
  <c r="X20" i="1"/>
  <c r="X192" i="1"/>
  <c r="X184" i="1"/>
  <c r="X165" i="1"/>
  <c r="X161" i="1"/>
  <c r="X157" i="1"/>
  <c r="AA155" i="1"/>
  <c r="W155" i="1" s="1"/>
  <c r="AA240" i="1"/>
  <c r="T236" i="1"/>
  <c r="T154" i="1"/>
  <c r="T142" i="1"/>
  <c r="AA130" i="1"/>
  <c r="AG126" i="1"/>
  <c r="AI126" i="1" s="1"/>
  <c r="AG120" i="1"/>
  <c r="AI120" i="1" s="1"/>
  <c r="X120" i="1"/>
  <c r="AG114" i="1"/>
  <c r="T105" i="1"/>
  <c r="AG105" i="1"/>
  <c r="AG104" i="1"/>
  <c r="U104" i="1" s="1"/>
  <c r="S104" i="1" s="1"/>
  <c r="U103" i="1"/>
  <c r="S103" i="1" s="1"/>
  <c r="T92" i="1"/>
  <c r="U92" i="1" s="1"/>
  <c r="S92" i="1" s="1"/>
  <c r="T87" i="1"/>
  <c r="AG87" i="1"/>
  <c r="U87" i="1" s="1"/>
  <c r="S87" i="1" s="1"/>
  <c r="X82" i="1"/>
  <c r="U73" i="1"/>
  <c r="S73" i="1" s="1"/>
  <c r="AG35" i="1"/>
  <c r="W35" i="1" s="1"/>
  <c r="X35" i="1"/>
  <c r="AG100" i="1"/>
  <c r="X196" i="1"/>
  <c r="X188" i="1"/>
  <c r="X180" i="1"/>
  <c r="AA221" i="1"/>
  <c r="T220" i="1"/>
  <c r="U220" i="1" s="1"/>
  <c r="S220" i="1" s="1"/>
  <c r="AG194" i="1"/>
  <c r="W194" i="1" s="1"/>
  <c r="AG190" i="1"/>
  <c r="AG182" i="1"/>
  <c r="AI182" i="1" s="1"/>
  <c r="AG178" i="1"/>
  <c r="AI178" i="1" s="1"/>
  <c r="AG170" i="1"/>
  <c r="AG241" i="1"/>
  <c r="U241" i="1" s="1"/>
  <c r="S241" i="1" s="1"/>
  <c r="X241" i="1"/>
  <c r="T213" i="1"/>
  <c r="U213" i="1" s="1"/>
  <c r="S213" i="1" s="1"/>
  <c r="AG154" i="1"/>
  <c r="W154" i="1" s="1"/>
  <c r="AA146" i="1"/>
  <c r="W146" i="1" s="1"/>
  <c r="X146" i="1"/>
  <c r="AG142" i="1"/>
  <c r="AA134" i="1"/>
  <c r="W134" i="1" s="1"/>
  <c r="AG130" i="1"/>
  <c r="U130" i="1" s="1"/>
  <c r="AG109" i="1"/>
  <c r="U109" i="1" s="1"/>
  <c r="S109" i="1" s="1"/>
  <c r="T100" i="1"/>
  <c r="AG74" i="1"/>
  <c r="U74" i="1" s="1"/>
  <c r="S74" i="1" s="1"/>
  <c r="X74" i="1"/>
  <c r="AG69" i="1"/>
  <c r="T69" i="1"/>
  <c r="AA65" i="1"/>
  <c r="W65" i="1" s="1"/>
  <c r="X47" i="1"/>
  <c r="AG46" i="1"/>
  <c r="AI46" i="1" s="1"/>
  <c r="X45" i="1"/>
  <c r="T40" i="1"/>
  <c r="X40" i="1"/>
  <c r="AG40" i="1"/>
  <c r="X31" i="1"/>
  <c r="T28" i="1"/>
  <c r="X117" i="1"/>
  <c r="AG117" i="1"/>
  <c r="AI117" i="1" s="1"/>
  <c r="AG112" i="1"/>
  <c r="T112" i="1"/>
  <c r="X200" i="1"/>
  <c r="X176" i="1"/>
  <c r="AG218" i="1"/>
  <c r="AI218" i="1" s="1"/>
  <c r="AG198" i="1"/>
  <c r="AG186" i="1"/>
  <c r="W186" i="1" s="1"/>
  <c r="AG174" i="1"/>
  <c r="AG167" i="1"/>
  <c r="AI167" i="1" s="1"/>
  <c r="AG163" i="1"/>
  <c r="AI163" i="1" s="1"/>
  <c r="AG159" i="1"/>
  <c r="AI159" i="1" s="1"/>
  <c r="AG240" i="1"/>
  <c r="U240" i="1" s="1"/>
  <c r="S240" i="1" s="1"/>
  <c r="AG236" i="1"/>
  <c r="AG221" i="1"/>
  <c r="AI239" i="1" s="1"/>
  <c r="T235" i="1"/>
  <c r="U235" i="1" s="1"/>
  <c r="S235" i="1" s="1"/>
  <c r="X233" i="1"/>
  <c r="X231" i="1"/>
  <c r="AA227" i="1"/>
  <c r="W227" i="1" s="1"/>
  <c r="AA225" i="1"/>
  <c r="T217" i="1"/>
  <c r="U217" i="1" s="1"/>
  <c r="S217" i="1" s="1"/>
  <c r="AA215" i="1"/>
  <c r="AA212" i="1"/>
  <c r="AG207" i="1"/>
  <c r="U207" i="1" s="1"/>
  <c r="S207" i="1" s="1"/>
  <c r="AA205" i="1"/>
  <c r="AA204" i="1"/>
  <c r="AA202" i="1"/>
  <c r="AA150" i="1"/>
  <c r="W150" i="1" s="1"/>
  <c r="AG147" i="1"/>
  <c r="AI147" i="1" s="1"/>
  <c r="X147" i="1"/>
  <c r="AA143" i="1"/>
  <c r="AA141" i="1"/>
  <c r="W141" i="1" s="1"/>
  <c r="AA139" i="1"/>
  <c r="X137" i="1"/>
  <c r="AA132" i="1"/>
  <c r="W132" i="1" s="1"/>
  <c r="AA129" i="1"/>
  <c r="T126" i="1"/>
  <c r="U126" i="1" s="1"/>
  <c r="S126" i="1" s="1"/>
  <c r="AA125" i="1"/>
  <c r="W125" i="1" s="1"/>
  <c r="AI125" i="1"/>
  <c r="AA124" i="1"/>
  <c r="AG121" i="1"/>
  <c r="W121" i="1" s="1"/>
  <c r="AA112" i="1"/>
  <c r="AG110" i="1"/>
  <c r="AI110" i="1" s="1"/>
  <c r="AA85" i="1"/>
  <c r="AA77" i="1"/>
  <c r="W77" i="1" s="1"/>
  <c r="AA76" i="1"/>
  <c r="AA61" i="1"/>
  <c r="W61" i="1" s="1"/>
  <c r="AA48" i="1"/>
  <c r="W48" i="1" s="1"/>
  <c r="AA38" i="1"/>
  <c r="X36" i="1"/>
  <c r="T35" i="1"/>
  <c r="AA24" i="1"/>
  <c r="W24" i="1" s="1"/>
  <c r="T52" i="1"/>
  <c r="U52" i="1" s="1"/>
  <c r="S52" i="1" s="1"/>
  <c r="X48" i="1"/>
  <c r="T47" i="1"/>
  <c r="X41" i="1"/>
  <c r="T39" i="1"/>
  <c r="U39" i="1" s="1"/>
  <c r="S39" i="1" s="1"/>
  <c r="T27" i="1"/>
  <c r="U27" i="1" s="1"/>
  <c r="S27" i="1" s="1"/>
  <c r="X24" i="1"/>
  <c r="T16" i="1"/>
  <c r="AA14" i="1"/>
  <c r="X122" i="1"/>
  <c r="AA115" i="1"/>
  <c r="AA113" i="1"/>
  <c r="W113" i="1" s="1"/>
  <c r="AA98" i="1"/>
  <c r="AA96" i="1"/>
  <c r="AA91" i="1"/>
  <c r="AA86" i="1"/>
  <c r="W86" i="1" s="1"/>
  <c r="AA84" i="1"/>
  <c r="W84" i="1" s="1"/>
  <c r="AA83" i="1"/>
  <c r="AA79" i="1"/>
  <c r="AA78" i="1"/>
  <c r="AA72" i="1"/>
  <c r="AA71" i="1"/>
  <c r="AA66" i="1"/>
  <c r="W66" i="1" s="1"/>
  <c r="AA62" i="1"/>
  <c r="AA59" i="1"/>
  <c r="AA55" i="1"/>
  <c r="AA45" i="1"/>
  <c r="W45" i="1" s="1"/>
  <c r="AA43" i="1"/>
  <c r="AA37" i="1"/>
  <c r="AA32" i="1"/>
  <c r="T31" i="1"/>
  <c r="U31" i="1" s="1"/>
  <c r="S31" i="1" s="1"/>
  <c r="AA22" i="1"/>
  <c r="AA18" i="1"/>
  <c r="AA17" i="1"/>
  <c r="AG16" i="1"/>
  <c r="W16" i="1" s="1"/>
  <c r="AA81" i="1"/>
  <c r="W81" i="1" s="1"/>
  <c r="T77" i="1"/>
  <c r="U77" i="1" s="1"/>
  <c r="S77" i="1" s="1"/>
  <c r="T65" i="1"/>
  <c r="U65" i="1" s="1"/>
  <c r="S65" i="1" s="1"/>
  <c r="T61" i="1"/>
  <c r="U61" i="1" s="1"/>
  <c r="S61" i="1" s="1"/>
  <c r="T58" i="1"/>
  <c r="U58" i="1" s="1"/>
  <c r="S58" i="1" s="1"/>
  <c r="T54" i="1"/>
  <c r="U54" i="1" s="1"/>
  <c r="S54" i="1" s="1"/>
  <c r="AA51" i="1"/>
  <c r="AA50" i="1"/>
  <c r="X39" i="1"/>
  <c r="AA29" i="1"/>
  <c r="X27" i="1"/>
  <c r="T24" i="1"/>
  <c r="U24" i="1" s="1"/>
  <c r="S24" i="1" s="1"/>
  <c r="W21" i="1"/>
  <c r="T20" i="1"/>
  <c r="AI234" i="1"/>
  <c r="AI230" i="1"/>
  <c r="AI226" i="1"/>
  <c r="AI152" i="1"/>
  <c r="AG222" i="1"/>
  <c r="AI222" i="1" s="1"/>
  <c r="T233" i="1"/>
  <c r="T212" i="1"/>
  <c r="X212" i="1"/>
  <c r="S71" i="3"/>
  <c r="AG219" i="1"/>
  <c r="AG195" i="1"/>
  <c r="AI195" i="1" s="1"/>
  <c r="X194" i="1"/>
  <c r="AG171" i="1"/>
  <c r="AI171" i="1" s="1"/>
  <c r="AG168" i="1"/>
  <c r="X167" i="1"/>
  <c r="AG164" i="1"/>
  <c r="X163" i="1"/>
  <c r="AG160" i="1"/>
  <c r="AI160" i="1" s="1"/>
  <c r="X159" i="1"/>
  <c r="AG156" i="1"/>
  <c r="T156" i="1"/>
  <c r="X239" i="1"/>
  <c r="T238" i="1"/>
  <c r="X238" i="1"/>
  <c r="T237" i="1"/>
  <c r="AG233" i="1"/>
  <c r="X228" i="1"/>
  <c r="T227" i="1"/>
  <c r="U227" i="1" s="1"/>
  <c r="S227" i="1" s="1"/>
  <c r="AI172" i="1"/>
  <c r="AI170" i="1"/>
  <c r="X217" i="1"/>
  <c r="T216" i="1"/>
  <c r="X216" i="1"/>
  <c r="T215" i="1"/>
  <c r="AG212" i="1"/>
  <c r="AI212" i="1" s="1"/>
  <c r="AG211" i="1"/>
  <c r="AI211" i="1" s="1"/>
  <c r="X211" i="1"/>
  <c r="T203" i="1"/>
  <c r="X203" i="1"/>
  <c r="AG203" i="1"/>
  <c r="X202" i="1"/>
  <c r="AG202" i="1"/>
  <c r="AI202" i="1" s="1"/>
  <c r="X153" i="1"/>
  <c r="T145" i="1"/>
  <c r="X116" i="1"/>
  <c r="T115" i="1"/>
  <c r="X115" i="1"/>
  <c r="AG115" i="1"/>
  <c r="T98" i="1"/>
  <c r="AG98" i="1"/>
  <c r="T234" i="1"/>
  <c r="U234" i="1" s="1"/>
  <c r="S234" i="1" s="1"/>
  <c r="X234" i="1"/>
  <c r="T209" i="1"/>
  <c r="X209" i="1"/>
  <c r="AG209" i="1"/>
  <c r="AI161" i="1"/>
  <c r="T152" i="1"/>
  <c r="U152" i="1" s="1"/>
  <c r="S152" i="1" s="1"/>
  <c r="X152" i="1"/>
  <c r="AG149" i="1"/>
  <c r="X149" i="1"/>
  <c r="T149" i="1"/>
  <c r="X150" i="1"/>
  <c r="AG129" i="1"/>
  <c r="X129" i="1"/>
  <c r="T129" i="1"/>
  <c r="X130" i="1"/>
  <c r="T102" i="1"/>
  <c r="AG102" i="1"/>
  <c r="W102" i="1" s="1"/>
  <c r="S72" i="3"/>
  <c r="AG223" i="1"/>
  <c r="AI223" i="1" s="1"/>
  <c r="X222" i="1"/>
  <c r="X218" i="1"/>
  <c r="AI235" i="1"/>
  <c r="AG199" i="1"/>
  <c r="W199" i="1" s="1"/>
  <c r="X198" i="1"/>
  <c r="AI231" i="1"/>
  <c r="AI227" i="1"/>
  <c r="AG191" i="1"/>
  <c r="X190" i="1"/>
  <c r="AG187" i="1"/>
  <c r="AI187" i="1" s="1"/>
  <c r="X186" i="1"/>
  <c r="AG183" i="1"/>
  <c r="X182" i="1"/>
  <c r="AG179" i="1"/>
  <c r="X178" i="1"/>
  <c r="AG175" i="1"/>
  <c r="AI175" i="1" s="1"/>
  <c r="X174" i="1"/>
  <c r="S75" i="3"/>
  <c r="S60" i="3"/>
  <c r="X223" i="1"/>
  <c r="X219" i="1"/>
  <c r="X199" i="1"/>
  <c r="T199" i="1"/>
  <c r="AI232" i="1"/>
  <c r="X195" i="1"/>
  <c r="T195" i="1"/>
  <c r="X191" i="1"/>
  <c r="T191" i="1"/>
  <c r="AI224" i="1"/>
  <c r="X187" i="1"/>
  <c r="T187" i="1"/>
  <c r="AI220" i="1"/>
  <c r="X183" i="1"/>
  <c r="T183" i="1"/>
  <c r="X179" i="1"/>
  <c r="T179" i="1"/>
  <c r="X175" i="1"/>
  <c r="T175" i="1"/>
  <c r="AI208" i="1"/>
  <c r="T171" i="1"/>
  <c r="T168" i="1"/>
  <c r="X164" i="1"/>
  <c r="T164" i="1"/>
  <c r="X160" i="1"/>
  <c r="T160" i="1"/>
  <c r="X156" i="1"/>
  <c r="T155" i="1"/>
  <c r="U155" i="1" s="1"/>
  <c r="S155" i="1" s="1"/>
  <c r="X155" i="1"/>
  <c r="AG238" i="1"/>
  <c r="AI238" i="1" s="1"/>
  <c r="AG237" i="1"/>
  <c r="X232" i="1"/>
  <c r="T231" i="1"/>
  <c r="U231" i="1" s="1"/>
  <c r="S231" i="1" s="1"/>
  <c r="AA229" i="1"/>
  <c r="X227" i="1"/>
  <c r="T226" i="1"/>
  <c r="U226" i="1" s="1"/>
  <c r="S226" i="1" s="1"/>
  <c r="X226" i="1"/>
  <c r="AG216" i="1"/>
  <c r="AI216" i="1" s="1"/>
  <c r="AG215" i="1"/>
  <c r="AI215" i="1" s="1"/>
  <c r="X210" i="1"/>
  <c r="AA208" i="1"/>
  <c r="W208" i="1" s="1"/>
  <c r="AG151" i="1"/>
  <c r="AI146" i="1"/>
  <c r="X135" i="1"/>
  <c r="AG135" i="1"/>
  <c r="AI132" i="1"/>
  <c r="X112" i="1"/>
  <c r="T111" i="1"/>
  <c r="X111" i="1"/>
  <c r="AG111" i="1"/>
  <c r="AA233" i="1"/>
  <c r="T230" i="1"/>
  <c r="U230" i="1" s="1"/>
  <c r="S230" i="1" s="1"/>
  <c r="X230" i="1"/>
  <c r="AA211" i="1"/>
  <c r="T208" i="1"/>
  <c r="U208" i="1" s="1"/>
  <c r="S208" i="1" s="1"/>
  <c r="X208" i="1"/>
  <c r="AA207" i="1"/>
  <c r="T205" i="1"/>
  <c r="X205" i="1"/>
  <c r="AG205" i="1"/>
  <c r="AA152" i="1"/>
  <c r="W152" i="1" s="1"/>
  <c r="AI148" i="1"/>
  <c r="W148" i="1"/>
  <c r="AG145" i="1"/>
  <c r="X145" i="1"/>
  <c r="T136" i="1"/>
  <c r="X136" i="1"/>
  <c r="AG136" i="1"/>
  <c r="X107" i="1"/>
  <c r="T106" i="1"/>
  <c r="X106" i="1"/>
  <c r="AG106" i="1"/>
  <c r="AG90" i="1"/>
  <c r="T90" i="1"/>
  <c r="T50" i="1"/>
  <c r="X50" i="1"/>
  <c r="AG50" i="1"/>
  <c r="X51" i="1"/>
  <c r="T140" i="1"/>
  <c r="X140" i="1"/>
  <c r="T139" i="1"/>
  <c r="T124" i="1"/>
  <c r="T122" i="1"/>
  <c r="AI114" i="1"/>
  <c r="AI105" i="1"/>
  <c r="T91" i="1"/>
  <c r="AG91" i="1"/>
  <c r="AI86" i="1"/>
  <c r="AG85" i="1"/>
  <c r="X85" i="1"/>
  <c r="T85" i="1"/>
  <c r="X86" i="1"/>
  <c r="AG43" i="1"/>
  <c r="X43" i="1"/>
  <c r="T43" i="1"/>
  <c r="X44" i="1"/>
  <c r="AI31" i="1"/>
  <c r="AA147" i="1"/>
  <c r="W147" i="1" s="1"/>
  <c r="T144" i="1"/>
  <c r="U144" i="1" s="1"/>
  <c r="S144" i="1" s="1"/>
  <c r="X144" i="1"/>
  <c r="AG140" i="1"/>
  <c r="W140" i="1" s="1"/>
  <c r="AG139" i="1"/>
  <c r="X134" i="1"/>
  <c r="T133" i="1"/>
  <c r="U133" i="1" s="1"/>
  <c r="S133" i="1" s="1"/>
  <c r="AA131" i="1"/>
  <c r="T128" i="1"/>
  <c r="U128" i="1" s="1"/>
  <c r="S128" i="1" s="1"/>
  <c r="X128" i="1"/>
  <c r="AG124" i="1"/>
  <c r="AG122" i="1"/>
  <c r="W122" i="1" s="1"/>
  <c r="T118" i="1"/>
  <c r="X118" i="1"/>
  <c r="U114" i="1"/>
  <c r="S114" i="1" s="1"/>
  <c r="U110" i="1"/>
  <c r="S110" i="1" s="1"/>
  <c r="AA151" i="1"/>
  <c r="T148" i="1"/>
  <c r="U148" i="1" s="1"/>
  <c r="S148" i="1" s="1"/>
  <c r="X148" i="1"/>
  <c r="AA135" i="1"/>
  <c r="AI134" i="1"/>
  <c r="X133" i="1"/>
  <c r="T132" i="1"/>
  <c r="U132" i="1" s="1"/>
  <c r="S132" i="1" s="1"/>
  <c r="X132" i="1"/>
  <c r="X121" i="1"/>
  <c r="T120" i="1"/>
  <c r="U120" i="1" s="1"/>
  <c r="S120" i="1" s="1"/>
  <c r="T119" i="1"/>
  <c r="X119" i="1"/>
  <c r="AG119" i="1"/>
  <c r="AG118" i="1"/>
  <c r="AA114" i="1"/>
  <c r="AA110" i="1"/>
  <c r="AA105" i="1"/>
  <c r="AA101" i="1"/>
  <c r="AI88" i="1"/>
  <c r="X114" i="1"/>
  <c r="X110" i="1"/>
  <c r="X105" i="1"/>
  <c r="AI100" i="1"/>
  <c r="T94" i="1"/>
  <c r="X81" i="1"/>
  <c r="T80" i="1"/>
  <c r="X80" i="1"/>
  <c r="T79" i="1"/>
  <c r="W71" i="1"/>
  <c r="X54" i="1"/>
  <c r="X53" i="1"/>
  <c r="T53" i="1"/>
  <c r="AG53" i="1"/>
  <c r="AI32" i="1"/>
  <c r="AG94" i="1"/>
  <c r="AA87" i="1"/>
  <c r="T84" i="1"/>
  <c r="U84" i="1" s="1"/>
  <c r="S84" i="1" s="1"/>
  <c r="X84" i="1"/>
  <c r="AG80" i="1"/>
  <c r="AG79" i="1"/>
  <c r="T75" i="1"/>
  <c r="U75" i="1" s="1"/>
  <c r="S75" i="1" s="1"/>
  <c r="X75" i="1"/>
  <c r="X73" i="1"/>
  <c r="T72" i="1"/>
  <c r="X72" i="1"/>
  <c r="AG72" i="1"/>
  <c r="X69" i="1"/>
  <c r="T68" i="1"/>
  <c r="X68" i="1"/>
  <c r="AG68" i="1"/>
  <c r="X65" i="1"/>
  <c r="T64" i="1"/>
  <c r="AG64" i="1"/>
  <c r="T60" i="1"/>
  <c r="AG60" i="1"/>
  <c r="X58" i="1"/>
  <c r="T57" i="1"/>
  <c r="X57" i="1"/>
  <c r="AG57" i="1"/>
  <c r="W57" i="1" s="1"/>
  <c r="W46" i="1"/>
  <c r="AA90" i="1"/>
  <c r="T88" i="1"/>
  <c r="U88" i="1" s="1"/>
  <c r="T76" i="1"/>
  <c r="X76" i="1"/>
  <c r="AG76" i="1"/>
  <c r="AI75" i="1"/>
  <c r="S71" i="1"/>
  <c r="AI63" i="1"/>
  <c r="X49" i="1"/>
  <c r="AG49" i="1"/>
  <c r="AI45" i="1"/>
  <c r="X71" i="1"/>
  <c r="AI70" i="1"/>
  <c r="X67" i="1"/>
  <c r="AI66" i="1"/>
  <c r="X56" i="1"/>
  <c r="U47" i="1"/>
  <c r="S47" i="1" s="1"/>
  <c r="AA41" i="1"/>
  <c r="AI40" i="1"/>
  <c r="T37" i="1"/>
  <c r="X37" i="1"/>
  <c r="AG37" i="1"/>
  <c r="T29" i="1"/>
  <c r="X29" i="1"/>
  <c r="AG29" i="1"/>
  <c r="T42" i="1"/>
  <c r="X42" i="1"/>
  <c r="T41" i="1"/>
  <c r="AI27" i="1"/>
  <c r="AA49" i="1"/>
  <c r="T46" i="1"/>
  <c r="U46" i="1" s="1"/>
  <c r="S46" i="1" s="1"/>
  <c r="X46" i="1"/>
  <c r="AG42" i="1"/>
  <c r="AG41" i="1"/>
  <c r="W39" i="1"/>
  <c r="T33" i="1"/>
  <c r="X33" i="1"/>
  <c r="AG33" i="1"/>
  <c r="AI24" i="1"/>
  <c r="U20" i="1"/>
  <c r="S20" i="1" s="1"/>
  <c r="AI20" i="1"/>
  <c r="AG38" i="1"/>
  <c r="AG34" i="1"/>
  <c r="AG30" i="1"/>
  <c r="AG26" i="1"/>
  <c r="AG22" i="1"/>
  <c r="AG18" i="1"/>
  <c r="AG14" i="1"/>
  <c r="X38" i="1"/>
  <c r="X34" i="1"/>
  <c r="X30" i="1"/>
  <c r="X26" i="1"/>
  <c r="AG23" i="1"/>
  <c r="X22" i="1"/>
  <c r="AG19" i="1"/>
  <c r="X18" i="1"/>
  <c r="AG15" i="1"/>
  <c r="X23" i="1"/>
  <c r="X19" i="1"/>
  <c r="X15" i="1"/>
  <c r="AE41" i="3"/>
  <c r="AE34" i="3"/>
  <c r="AD25" i="3"/>
  <c r="AD15" i="3"/>
  <c r="T9" i="3"/>
  <c r="Y44" i="3"/>
  <c r="T16" i="3"/>
  <c r="T77" i="3"/>
  <c r="Y72" i="3"/>
  <c r="Y75" i="3"/>
  <c r="AE43" i="3"/>
  <c r="T31" i="3"/>
  <c r="AD34" i="3"/>
  <c r="AD31" i="3"/>
  <c r="AE31" i="3"/>
  <c r="Y73" i="3"/>
  <c r="Y59" i="3"/>
  <c r="AD13" i="3"/>
  <c r="Y46" i="3"/>
  <c r="AD9" i="3"/>
  <c r="Y22" i="3"/>
  <c r="Y16" i="3"/>
  <c r="Y15" i="3"/>
  <c r="Y41" i="3"/>
  <c r="AD57" i="3"/>
  <c r="Y55" i="3"/>
  <c r="AD55" i="3"/>
  <c r="AE53" i="3"/>
  <c r="Y40" i="3"/>
  <c r="AD47" i="3"/>
  <c r="AE47" i="3"/>
  <c r="Y68" i="3"/>
  <c r="Y52" i="3"/>
  <c r="AD39" i="3"/>
  <c r="Y31" i="3"/>
  <c r="T25" i="3"/>
  <c r="Y13" i="3"/>
  <c r="Y37" i="3"/>
  <c r="AD23" i="3"/>
  <c r="Y49" i="3"/>
  <c r="AD17" i="3"/>
  <c r="Y28" i="3"/>
  <c r="AD8" i="3"/>
  <c r="AE8" i="3"/>
  <c r="AD56" i="3"/>
  <c r="AD21" i="3"/>
  <c r="AD11" i="3"/>
  <c r="Y56" i="3"/>
  <c r="AE63" i="3"/>
  <c r="AC10" i="3"/>
  <c r="AE77" i="3"/>
  <c r="Y9" i="3"/>
  <c r="AE74" i="3"/>
  <c r="Y57" i="3"/>
  <c r="AD67" i="3"/>
  <c r="AE67" i="3"/>
  <c r="T35" i="3"/>
  <c r="AD63" i="3"/>
  <c r="T18" i="3"/>
  <c r="Y77" i="3"/>
  <c r="AC43" i="3"/>
  <c r="AE57" i="3"/>
  <c r="T54" i="3"/>
  <c r="T48" i="3"/>
  <c r="T40" i="3"/>
  <c r="Y32" i="3"/>
  <c r="AE49" i="3"/>
  <c r="T70" i="3"/>
  <c r="Y21" i="3"/>
  <c r="AE42" i="3"/>
  <c r="T74" i="3"/>
  <c r="AE37" i="3"/>
  <c r="AD35" i="3"/>
  <c r="AE35" i="3"/>
  <c r="Y63" i="3"/>
  <c r="AE30" i="3"/>
  <c r="AC30" i="3"/>
  <c r="AE26" i="3"/>
  <c r="AC76" i="3"/>
  <c r="AE23" i="3"/>
  <c r="AC12" i="3"/>
  <c r="AE19" i="3"/>
  <c r="AC60" i="3"/>
  <c r="AE15" i="3"/>
  <c r="AC58" i="3"/>
  <c r="AE11" i="3"/>
  <c r="AC36" i="3"/>
  <c r="AD74" i="3"/>
  <c r="AE54" i="3"/>
  <c r="T10" i="3"/>
  <c r="T14" i="3"/>
  <c r="AC35" i="3"/>
  <c r="AE59" i="3"/>
  <c r="T43" i="3"/>
  <c r="AE51" i="3"/>
  <c r="AE46" i="3"/>
  <c r="T67" i="3"/>
  <c r="AE39" i="3"/>
  <c r="AE33" i="3"/>
  <c r="T62" i="3"/>
  <c r="AD27" i="3"/>
  <c r="T61" i="3"/>
  <c r="AD24" i="3"/>
  <c r="T11" i="3"/>
  <c r="AD20" i="3"/>
  <c r="T8" i="3"/>
  <c r="AD16" i="3"/>
  <c r="T50" i="3"/>
  <c r="AD12" i="3"/>
  <c r="T46" i="3"/>
  <c r="Y14" i="3"/>
  <c r="Y7" i="3"/>
  <c r="Y47" i="3"/>
  <c r="Y67" i="3"/>
  <c r="Y62" i="3"/>
  <c r="Y61" i="3"/>
  <c r="Y11" i="3"/>
  <c r="Y8" i="3"/>
  <c r="Y50" i="3"/>
  <c r="AE62" i="3"/>
  <c r="AE61" i="3"/>
  <c r="AD60" i="3"/>
  <c r="AE76" i="3"/>
  <c r="T17" i="3"/>
  <c r="T22" i="3"/>
  <c r="AE72" i="3"/>
  <c r="T44" i="3"/>
  <c r="T23" i="3"/>
  <c r="AE66" i="3"/>
  <c r="AE65" i="3"/>
  <c r="AD62" i="3"/>
  <c r="AC41" i="3"/>
  <c r="T55" i="3"/>
  <c r="AE56" i="3"/>
  <c r="T47" i="3"/>
  <c r="AD48" i="3"/>
  <c r="T71" i="3"/>
  <c r="AE48" i="3"/>
  <c r="AC69" i="3"/>
  <c r="AD45" i="3"/>
  <c r="T52" i="3"/>
  <c r="AD32" i="3"/>
  <c r="T13" i="3"/>
  <c r="AE32" i="3"/>
  <c r="T33" i="3"/>
  <c r="AE60" i="3"/>
  <c r="AD52" i="3"/>
  <c r="T53" i="3"/>
  <c r="AE52" i="3"/>
  <c r="AC72" i="3"/>
  <c r="AD49" i="3"/>
  <c r="AD36" i="3"/>
  <c r="T51" i="3"/>
  <c r="AE36" i="3"/>
  <c r="AC24" i="3"/>
  <c r="AD33" i="3"/>
  <c r="AD70" i="3"/>
  <c r="AC23" i="3"/>
  <c r="T34" i="3"/>
  <c r="T15" i="3"/>
  <c r="T41" i="3"/>
  <c r="AD54" i="3"/>
  <c r="AC48" i="3"/>
  <c r="AD53" i="3"/>
  <c r="T72" i="3"/>
  <c r="AD40" i="3"/>
  <c r="T39" i="3"/>
  <c r="AE40" i="3"/>
  <c r="AC38" i="3"/>
  <c r="AD37" i="3"/>
  <c r="T24" i="3"/>
  <c r="T27" i="3"/>
  <c r="AE68" i="3"/>
  <c r="AD44" i="3"/>
  <c r="T68" i="3"/>
  <c r="AE44" i="3"/>
  <c r="AC52" i="3"/>
  <c r="AD41" i="3"/>
  <c r="AC37" i="3"/>
  <c r="AD29" i="3"/>
  <c r="T37" i="3"/>
  <c r="AE29" i="3"/>
  <c r="AC73" i="3"/>
  <c r="T73" i="3"/>
  <c r="AE22" i="3"/>
  <c r="T26" i="3"/>
  <c r="AE18" i="3"/>
  <c r="T42" i="3"/>
  <c r="AE14" i="3"/>
  <c r="T28" i="3"/>
  <c r="AE10" i="3"/>
  <c r="T19" i="3"/>
  <c r="AE28" i="3"/>
  <c r="T30" i="3"/>
  <c r="AE25" i="3"/>
  <c r="T76" i="3"/>
  <c r="AD22" i="3"/>
  <c r="AE21" i="3"/>
  <c r="T12" i="3"/>
  <c r="AD18" i="3"/>
  <c r="AE17" i="3"/>
  <c r="T60" i="3"/>
  <c r="AD14" i="3"/>
  <c r="AE13" i="3"/>
  <c r="T58" i="3"/>
  <c r="AD10" i="3"/>
  <c r="AE9" i="3"/>
  <c r="T36" i="3"/>
  <c r="AE27" i="3"/>
  <c r="AE24" i="3"/>
  <c r="AE20" i="3"/>
  <c r="AE16" i="3"/>
  <c r="AE12" i="3"/>
  <c r="M64" i="3"/>
  <c r="R64" i="3"/>
  <c r="S64" i="3"/>
  <c r="U64" i="3"/>
  <c r="AC64" i="3" s="1"/>
  <c r="V64" i="3"/>
  <c r="W64" i="3"/>
  <c r="X64" i="3"/>
  <c r="W170" i="1" l="1"/>
  <c r="W105" i="1"/>
  <c r="U105" i="1"/>
  <c r="S105" i="1" s="1"/>
  <c r="U210" i="1"/>
  <c r="S210" i="1" s="1"/>
  <c r="W166" i="1"/>
  <c r="U35" i="1"/>
  <c r="S35" i="1" s="1"/>
  <c r="W110" i="1"/>
  <c r="W229" i="1"/>
  <c r="AI192" i="1"/>
  <c r="AI87" i="1"/>
  <c r="W177" i="1"/>
  <c r="U81" i="1"/>
  <c r="S81" i="1" s="1"/>
  <c r="W87" i="1"/>
  <c r="W131" i="1"/>
  <c r="W43" i="1"/>
  <c r="W191" i="1"/>
  <c r="W94" i="1"/>
  <c r="U186" i="1"/>
  <c r="S186" i="1" s="1"/>
  <c r="W44" i="1"/>
  <c r="W30" i="1"/>
  <c r="AI113" i="1"/>
  <c r="AI207" i="1"/>
  <c r="AI186" i="1"/>
  <c r="W174" i="1"/>
  <c r="W117" i="1"/>
  <c r="U180" i="1"/>
  <c r="S180" i="1" s="1"/>
  <c r="U141" i="1"/>
  <c r="S141" i="1" s="1"/>
  <c r="U218" i="1"/>
  <c r="S218" i="1" s="1"/>
  <c r="W59" i="1"/>
  <c r="W82" i="1"/>
  <c r="W120" i="1"/>
  <c r="W161" i="1"/>
  <c r="W22" i="1"/>
  <c r="AI59" i="1"/>
  <c r="AI127" i="1"/>
  <c r="W184" i="1"/>
  <c r="W188" i="1"/>
  <c r="U204" i="1"/>
  <c r="S204" i="1" s="1"/>
  <c r="W32" i="1"/>
  <c r="AI83" i="1"/>
  <c r="AI44" i="1"/>
  <c r="W212" i="1"/>
  <c r="U170" i="1"/>
  <c r="S170" i="1" s="1"/>
  <c r="W225" i="1"/>
  <c r="W190" i="1"/>
  <c r="W165" i="1"/>
  <c r="AI123" i="1"/>
  <c r="U123" i="1"/>
  <c r="S123" i="1" s="1"/>
  <c r="W123" i="1"/>
  <c r="U95" i="1"/>
  <c r="S95" i="1" s="1"/>
  <c r="AI95" i="1"/>
  <c r="W101" i="1"/>
  <c r="W85" i="1"/>
  <c r="AI101" i="1"/>
  <c r="W83" i="1"/>
  <c r="W40" i="1"/>
  <c r="U82" i="1"/>
  <c r="S82" i="1" s="1"/>
  <c r="W138" i="1"/>
  <c r="U25" i="1"/>
  <c r="S25" i="1" s="1"/>
  <c r="W68" i="1"/>
  <c r="U194" i="1"/>
  <c r="S194" i="1" s="1"/>
  <c r="U147" i="1"/>
  <c r="S147" i="1" s="1"/>
  <c r="W203" i="1"/>
  <c r="AI194" i="1"/>
  <c r="W25" i="1"/>
  <c r="U48" i="1"/>
  <c r="S48" i="1" s="1"/>
  <c r="W196" i="1"/>
  <c r="U56" i="1"/>
  <c r="S56" i="1" s="1"/>
  <c r="W56" i="1"/>
  <c r="U236" i="1"/>
  <c r="S236" i="1" s="1"/>
  <c r="W100" i="1"/>
  <c r="U165" i="1"/>
  <c r="S165" i="1" s="1"/>
  <c r="W181" i="1"/>
  <c r="U167" i="1"/>
  <c r="S167" i="1" s="1"/>
  <c r="U221" i="1"/>
  <c r="S221" i="1" s="1"/>
  <c r="W180" i="1"/>
  <c r="W176" i="1"/>
  <c r="W127" i="1"/>
  <c r="W129" i="1"/>
  <c r="W241" i="1"/>
  <c r="W60" i="1"/>
  <c r="U93" i="1"/>
  <c r="S93" i="1" s="1"/>
  <c r="U45" i="1"/>
  <c r="S45" i="1" s="1"/>
  <c r="W69" i="1"/>
  <c r="W28" i="1"/>
  <c r="U21" i="1"/>
  <c r="S21" i="1" s="1"/>
  <c r="AI35" i="1"/>
  <c r="U62" i="1"/>
  <c r="S62" i="1" s="1"/>
  <c r="AI109" i="1"/>
  <c r="W233" i="1"/>
  <c r="AI236" i="1"/>
  <c r="U159" i="1"/>
  <c r="S159" i="1" s="1"/>
  <c r="W96" i="1"/>
  <c r="W112" i="1"/>
  <c r="W142" i="1"/>
  <c r="W162" i="1"/>
  <c r="U131" i="1"/>
  <c r="S131" i="1" s="1"/>
  <c r="U228" i="1"/>
  <c r="S228" i="1" s="1"/>
  <c r="W172" i="1"/>
  <c r="W211" i="1"/>
  <c r="W34" i="1"/>
  <c r="AI36" i="1"/>
  <c r="AI71" i="1"/>
  <c r="W207" i="1"/>
  <c r="W111" i="1"/>
  <c r="AI228" i="1"/>
  <c r="U178" i="1"/>
  <c r="S178" i="1" s="1"/>
  <c r="W219" i="1"/>
  <c r="W62" i="1"/>
  <c r="W78" i="1"/>
  <c r="AI93" i="1"/>
  <c r="W200" i="1"/>
  <c r="W67" i="1"/>
  <c r="W15" i="1"/>
  <c r="U17" i="1"/>
  <c r="S17" i="1" s="1"/>
  <c r="W53" i="1"/>
  <c r="U137" i="1"/>
  <c r="S137" i="1" s="1"/>
  <c r="W106" i="1"/>
  <c r="AI174" i="1"/>
  <c r="AI204" i="1"/>
  <c r="AI219" i="1"/>
  <c r="U117" i="1"/>
  <c r="S117" i="1" s="1"/>
  <c r="W209" i="1"/>
  <c r="AI214" i="1"/>
  <c r="W204" i="1"/>
  <c r="W218" i="1"/>
  <c r="W206" i="1"/>
  <c r="U188" i="1"/>
  <c r="S188" i="1" s="1"/>
  <c r="W79" i="1"/>
  <c r="W114" i="1"/>
  <c r="AI196" i="1"/>
  <c r="W149" i="1"/>
  <c r="AI188" i="1"/>
  <c r="U196" i="1"/>
  <c r="S196" i="1" s="1"/>
  <c r="W17" i="1"/>
  <c r="W55" i="1"/>
  <c r="W224" i="1"/>
  <c r="AI55" i="1"/>
  <c r="AI74" i="1"/>
  <c r="AI150" i="1"/>
  <c r="U174" i="1"/>
  <c r="S174" i="1" s="1"/>
  <c r="U190" i="1"/>
  <c r="S190" i="1" s="1"/>
  <c r="AI190" i="1"/>
  <c r="U184" i="1"/>
  <c r="S184" i="1" s="1"/>
  <c r="W143" i="1"/>
  <c r="W198" i="1"/>
  <c r="U40" i="1"/>
  <c r="S40" i="1" s="1"/>
  <c r="U232" i="1"/>
  <c r="S232" i="1" s="1"/>
  <c r="U201" i="1"/>
  <c r="S201" i="1" s="1"/>
  <c r="U197" i="1"/>
  <c r="S197" i="1" s="1"/>
  <c r="W63" i="1"/>
  <c r="W137" i="1"/>
  <c r="U193" i="1"/>
  <c r="S193" i="1" s="1"/>
  <c r="U200" i="1"/>
  <c r="S200" i="1" s="1"/>
  <c r="U172" i="1"/>
  <c r="S172" i="1" s="1"/>
  <c r="U161" i="1"/>
  <c r="S161" i="1" s="1"/>
  <c r="W210" i="1"/>
  <c r="U158" i="1"/>
  <c r="S158" i="1" s="1"/>
  <c r="U189" i="1"/>
  <c r="S189" i="1" s="1"/>
  <c r="U192" i="1"/>
  <c r="S192" i="1" s="1"/>
  <c r="U224" i="1"/>
  <c r="S224" i="1" s="1"/>
  <c r="U44" i="1"/>
  <c r="S44" i="1" s="1"/>
  <c r="W178" i="1"/>
  <c r="W50" i="1"/>
  <c r="W202" i="1"/>
  <c r="W109" i="1"/>
  <c r="U173" i="1"/>
  <c r="S173" i="1" s="1"/>
  <c r="AI173" i="1"/>
  <c r="AI104" i="1"/>
  <c r="W151" i="1"/>
  <c r="U176" i="1"/>
  <c r="S176" i="1" s="1"/>
  <c r="W51" i="1"/>
  <c r="U121" i="1"/>
  <c r="S121" i="1" s="1"/>
  <c r="AI121" i="1"/>
  <c r="U154" i="1"/>
  <c r="S154" i="1" s="1"/>
  <c r="AI154" i="1"/>
  <c r="U100" i="1"/>
  <c r="S100" i="1" s="1"/>
  <c r="U143" i="1"/>
  <c r="S143" i="1" s="1"/>
  <c r="U225" i="1"/>
  <c r="S225" i="1" s="1"/>
  <c r="U177" i="1"/>
  <c r="S177" i="1" s="1"/>
  <c r="AI177" i="1"/>
  <c r="W214" i="1"/>
  <c r="W232" i="1"/>
  <c r="W167" i="1"/>
  <c r="U166" i="1"/>
  <c r="S166" i="1" s="1"/>
  <c r="AI166" i="1"/>
  <c r="W157" i="1"/>
  <c r="U112" i="1"/>
  <c r="S112" i="1" s="1"/>
  <c r="AI112" i="1"/>
  <c r="AI130" i="1"/>
  <c r="U198" i="1"/>
  <c r="S198" i="1" s="1"/>
  <c r="AI191" i="1"/>
  <c r="AI199" i="1"/>
  <c r="AI203" i="1"/>
  <c r="U16" i="1"/>
  <c r="S16" i="1" s="1"/>
  <c r="AI16" i="1"/>
  <c r="U142" i="1"/>
  <c r="S142" i="1" s="1"/>
  <c r="AI142" i="1"/>
  <c r="W74" i="1"/>
  <c r="U28" i="1"/>
  <c r="S28" i="1" s="1"/>
  <c r="U162" i="1"/>
  <c r="S162" i="1" s="1"/>
  <c r="W201" i="1"/>
  <c r="W126" i="1"/>
  <c r="W236" i="1"/>
  <c r="W182" i="1"/>
  <c r="U206" i="1"/>
  <c r="S206" i="1" s="1"/>
  <c r="U181" i="1"/>
  <c r="S181" i="1" s="1"/>
  <c r="AI181" i="1"/>
  <c r="W159" i="1"/>
  <c r="W221" i="1"/>
  <c r="W163" i="1"/>
  <c r="U185" i="1"/>
  <c r="S185" i="1" s="1"/>
  <c r="AI185" i="1"/>
  <c r="W130" i="1"/>
  <c r="AI176" i="1"/>
  <c r="W49" i="1"/>
  <c r="U51" i="1"/>
  <c r="S51" i="1" s="1"/>
  <c r="S130" i="1"/>
  <c r="U163" i="1"/>
  <c r="S163" i="1" s="1"/>
  <c r="U182" i="1"/>
  <c r="S182" i="1" s="1"/>
  <c r="AI198" i="1"/>
  <c r="U69" i="1"/>
  <c r="S69" i="1" s="1"/>
  <c r="AI69" i="1"/>
  <c r="W104" i="1"/>
  <c r="W240" i="1"/>
  <c r="W158" i="1"/>
  <c r="W173" i="1"/>
  <c r="W189" i="1"/>
  <c r="W193" i="1"/>
  <c r="W185" i="1"/>
  <c r="U138" i="1"/>
  <c r="S138" i="1" s="1"/>
  <c r="AI138" i="1"/>
  <c r="U169" i="1"/>
  <c r="S169" i="1" s="1"/>
  <c r="AI169" i="1"/>
  <c r="W197" i="1"/>
  <c r="U124" i="1"/>
  <c r="S124" i="1" s="1"/>
  <c r="AI124" i="1"/>
  <c r="AI139" i="1"/>
  <c r="U139" i="1"/>
  <c r="S139" i="1" s="1"/>
  <c r="AI90" i="1"/>
  <c r="U90" i="1"/>
  <c r="S90" i="1" s="1"/>
  <c r="AI183" i="1"/>
  <c r="U237" i="1"/>
  <c r="S237" i="1" s="1"/>
  <c r="AI217" i="1"/>
  <c r="U183" i="1"/>
  <c r="S183" i="1" s="1"/>
  <c r="AI221" i="1"/>
  <c r="U187" i="1"/>
  <c r="S187" i="1" s="1"/>
  <c r="U223" i="1"/>
  <c r="S223" i="1" s="1"/>
  <c r="AI241" i="1"/>
  <c r="AI98" i="1"/>
  <c r="U98" i="1"/>
  <c r="S98" i="1" s="1"/>
  <c r="AI115" i="1"/>
  <c r="U115" i="1"/>
  <c r="S115" i="1" s="1"/>
  <c r="AI229" i="1"/>
  <c r="U195" i="1"/>
  <c r="S195" i="1" s="1"/>
  <c r="AI29" i="1"/>
  <c r="U29" i="1"/>
  <c r="S29" i="1" s="1"/>
  <c r="U119" i="1"/>
  <c r="S119" i="1" s="1"/>
  <c r="AI119" i="1"/>
  <c r="W119" i="1"/>
  <c r="U140" i="1"/>
  <c r="S140" i="1" s="1"/>
  <c r="AI140" i="1"/>
  <c r="AI50" i="1"/>
  <c r="U50" i="1"/>
  <c r="S50" i="1" s="1"/>
  <c r="AI136" i="1"/>
  <c r="U136" i="1"/>
  <c r="S136" i="1" s="1"/>
  <c r="AI111" i="1"/>
  <c r="U111" i="1"/>
  <c r="S111" i="1" s="1"/>
  <c r="AI135" i="1"/>
  <c r="U135" i="1"/>
  <c r="S135" i="1" s="1"/>
  <c r="AI151" i="1"/>
  <c r="U151" i="1"/>
  <c r="S151" i="1" s="1"/>
  <c r="U238" i="1"/>
  <c r="S238" i="1" s="1"/>
  <c r="AI184" i="1"/>
  <c r="AI213" i="1"/>
  <c r="U179" i="1"/>
  <c r="S179" i="1" s="1"/>
  <c r="U129" i="1"/>
  <c r="S129" i="1" s="1"/>
  <c r="AI129" i="1"/>
  <c r="W237" i="1"/>
  <c r="U156" i="1"/>
  <c r="S156" i="1" s="1"/>
  <c r="AI189" i="1"/>
  <c r="AI193" i="1"/>
  <c r="U160" i="1"/>
  <c r="S160" i="1" s="1"/>
  <c r="AI197" i="1"/>
  <c r="U164" i="1"/>
  <c r="S164" i="1" s="1"/>
  <c r="AI201" i="1"/>
  <c r="U168" i="1"/>
  <c r="S168" i="1" s="1"/>
  <c r="AI205" i="1"/>
  <c r="U171" i="1"/>
  <c r="S171" i="1" s="1"/>
  <c r="AI64" i="1"/>
  <c r="U64" i="1"/>
  <c r="S64" i="1" s="1"/>
  <c r="U80" i="1"/>
  <c r="S80" i="1" s="1"/>
  <c r="AI80" i="1"/>
  <c r="AI118" i="1"/>
  <c r="U118" i="1"/>
  <c r="S118" i="1" s="1"/>
  <c r="U205" i="1"/>
  <c r="S205" i="1" s="1"/>
  <c r="AI158" i="1"/>
  <c r="AI156" i="1"/>
  <c r="U203" i="1"/>
  <c r="S203" i="1" s="1"/>
  <c r="AI240" i="1"/>
  <c r="U222" i="1"/>
  <c r="S222" i="1" s="1"/>
  <c r="W223" i="1"/>
  <c r="W29" i="1"/>
  <c r="AI37" i="1"/>
  <c r="U37" i="1"/>
  <c r="S37" i="1" s="1"/>
  <c r="W41" i="1"/>
  <c r="U76" i="1"/>
  <c r="S76" i="1" s="1"/>
  <c r="AI76" i="1"/>
  <c r="W90" i="1"/>
  <c r="AI53" i="1"/>
  <c r="U53" i="1"/>
  <c r="S53" i="1" s="1"/>
  <c r="W76" i="1"/>
  <c r="W98" i="1"/>
  <c r="W115" i="1"/>
  <c r="W135" i="1"/>
  <c r="W37" i="1"/>
  <c r="AI91" i="1"/>
  <c r="U91" i="1"/>
  <c r="S91" i="1" s="1"/>
  <c r="U145" i="1"/>
  <c r="S145" i="1" s="1"/>
  <c r="AI145" i="1"/>
  <c r="W145" i="1"/>
  <c r="AI168" i="1"/>
  <c r="U215" i="1"/>
  <c r="S215" i="1" s="1"/>
  <c r="AI209" i="1"/>
  <c r="U175" i="1"/>
  <c r="S175" i="1" s="1"/>
  <c r="W215" i="1"/>
  <c r="AI155" i="1"/>
  <c r="U202" i="1"/>
  <c r="S202" i="1" s="1"/>
  <c r="AI164" i="1"/>
  <c r="U211" i="1"/>
  <c r="S211" i="1" s="1"/>
  <c r="AI237" i="1"/>
  <c r="U219" i="1"/>
  <c r="S219" i="1" s="1"/>
  <c r="W238" i="1"/>
  <c r="W156" i="1"/>
  <c r="W160" i="1"/>
  <c r="W164" i="1"/>
  <c r="W168" i="1"/>
  <c r="W171" i="1"/>
  <c r="W175" i="1"/>
  <c r="W179" i="1"/>
  <c r="W183" i="1"/>
  <c r="W187" i="1"/>
  <c r="W195" i="1"/>
  <c r="U15" i="1"/>
  <c r="S15" i="1" s="1"/>
  <c r="AI15" i="1"/>
  <c r="U23" i="1"/>
  <c r="S23" i="1" s="1"/>
  <c r="AI23" i="1"/>
  <c r="U26" i="1"/>
  <c r="S26" i="1" s="1"/>
  <c r="W26" i="1"/>
  <c r="AI26" i="1"/>
  <c r="AI57" i="1"/>
  <c r="U57" i="1"/>
  <c r="S57" i="1" s="1"/>
  <c r="AI60" i="1"/>
  <c r="U60" i="1"/>
  <c r="S60" i="1" s="1"/>
  <c r="AI68" i="1"/>
  <c r="U68" i="1"/>
  <c r="S68" i="1" s="1"/>
  <c r="AI72" i="1"/>
  <c r="U72" i="1"/>
  <c r="S72" i="1" s="1"/>
  <c r="U94" i="1"/>
  <c r="S94" i="1" s="1"/>
  <c r="AI94" i="1"/>
  <c r="W64" i="1"/>
  <c r="W72" i="1"/>
  <c r="W80" i="1"/>
  <c r="W139" i="1"/>
  <c r="U149" i="1"/>
  <c r="S149" i="1" s="1"/>
  <c r="AI149" i="1"/>
  <c r="AI14" i="1"/>
  <c r="U14" i="1"/>
  <c r="S14" i="1" s="1"/>
  <c r="U30" i="1"/>
  <c r="S30" i="1" s="1"/>
  <c r="AI30" i="1"/>
  <c r="AI33" i="1"/>
  <c r="U33" i="1"/>
  <c r="S33" i="1" s="1"/>
  <c r="W14" i="1"/>
  <c r="U19" i="1"/>
  <c r="S19" i="1" s="1"/>
  <c r="AI19" i="1"/>
  <c r="AI18" i="1"/>
  <c r="U18" i="1"/>
  <c r="S18" i="1" s="1"/>
  <c r="U34" i="1"/>
  <c r="S34" i="1" s="1"/>
  <c r="AI34" i="1"/>
  <c r="AI41" i="1"/>
  <c r="U41" i="1"/>
  <c r="S41" i="1" s="1"/>
  <c r="W33" i="1"/>
  <c r="AI22" i="1"/>
  <c r="U22" i="1"/>
  <c r="S22" i="1" s="1"/>
  <c r="U38" i="1"/>
  <c r="S38" i="1" s="1"/>
  <c r="AI38" i="1"/>
  <c r="W19" i="1"/>
  <c r="W23" i="1"/>
  <c r="U42" i="1"/>
  <c r="S42" i="1" s="1"/>
  <c r="AI42" i="1"/>
  <c r="W42" i="1"/>
  <c r="W18" i="1"/>
  <c r="AI49" i="1"/>
  <c r="U49" i="1"/>
  <c r="S49" i="1" s="1"/>
  <c r="AI79" i="1"/>
  <c r="U79" i="1"/>
  <c r="S79" i="1" s="1"/>
  <c r="AI122" i="1"/>
  <c r="U122" i="1"/>
  <c r="S122" i="1" s="1"/>
  <c r="W38" i="1"/>
  <c r="U43" i="1"/>
  <c r="S43" i="1" s="1"/>
  <c r="AI43" i="1"/>
  <c r="U85" i="1"/>
  <c r="S85" i="1" s="1"/>
  <c r="AI85" i="1"/>
  <c r="W118" i="1"/>
  <c r="AI106" i="1"/>
  <c r="U106" i="1"/>
  <c r="S106" i="1" s="1"/>
  <c r="W124" i="1"/>
  <c r="W136" i="1"/>
  <c r="U216" i="1"/>
  <c r="S216" i="1" s="1"/>
  <c r="AI225" i="1"/>
  <c r="U191" i="1"/>
  <c r="S191" i="1" s="1"/>
  <c r="AI233" i="1"/>
  <c r="U199" i="1"/>
  <c r="S199" i="1" s="1"/>
  <c r="AI102" i="1"/>
  <c r="U102" i="1"/>
  <c r="S102" i="1" s="1"/>
  <c r="U209" i="1"/>
  <c r="S209" i="1" s="1"/>
  <c r="AI162" i="1"/>
  <c r="AI165" i="1"/>
  <c r="U212" i="1"/>
  <c r="S212" i="1" s="1"/>
  <c r="AI179" i="1"/>
  <c r="U233" i="1"/>
  <c r="S233" i="1" s="1"/>
  <c r="W91" i="1"/>
  <c r="W222" i="1"/>
  <c r="W216" i="1"/>
  <c r="W205" i="1"/>
  <c r="AE64" i="3"/>
  <c r="AD64" i="3"/>
  <c r="Y64" i="3"/>
  <c r="T64" i="3"/>
  <c r="Z13" i="1" l="1"/>
  <c r="Y13" i="1"/>
  <c r="O2" i="3" l="1"/>
  <c r="B3" i="6" l="1"/>
  <c r="M28" i="5"/>
  <c r="B4" i="6" l="1"/>
  <c r="F3" i="6"/>
  <c r="I3" i="6"/>
  <c r="G3" i="6"/>
  <c r="J3" i="6"/>
  <c r="M23" i="5"/>
  <c r="G4" i="6" l="1"/>
  <c r="I4" i="6"/>
  <c r="J4" i="6"/>
  <c r="F4" i="6"/>
  <c r="AD7" i="3"/>
  <c r="AN13" i="1"/>
  <c r="AE7" i="3" l="1"/>
  <c r="K13" i="1" l="1"/>
  <c r="M13" i="1"/>
  <c r="N13" i="1" s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5" i="6" l="1"/>
  <c r="B87" i="9"/>
  <c r="B88" i="9"/>
  <c r="B89" i="9"/>
  <c r="B90" i="9"/>
  <c r="B91" i="9"/>
  <c r="B92" i="9"/>
  <c r="B6" i="6" l="1"/>
  <c r="F5" i="6"/>
  <c r="G5" i="6"/>
  <c r="I5" i="6"/>
  <c r="J5" i="6"/>
  <c r="C88" i="9"/>
  <c r="C92" i="9"/>
  <c r="C93" i="9"/>
  <c r="C90" i="9"/>
  <c r="C89" i="9"/>
  <c r="C91" i="9"/>
  <c r="B7" i="6" l="1"/>
  <c r="G6" i="6"/>
  <c r="I6" i="6"/>
  <c r="J6" i="6"/>
  <c r="F6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7" i="6" l="1"/>
  <c r="G7" i="6"/>
  <c r="I7" i="6"/>
  <c r="J7" i="6"/>
  <c r="B8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8" i="6" l="1"/>
  <c r="F8" i="6"/>
  <c r="G8" i="6"/>
  <c r="J8" i="6"/>
  <c r="B9" i="6"/>
  <c r="B55" i="9"/>
  <c r="B56" i="9"/>
  <c r="B57" i="9"/>
  <c r="B58" i="9"/>
  <c r="B59" i="9"/>
  <c r="B60" i="9"/>
  <c r="B61" i="9"/>
  <c r="B62" i="9"/>
  <c r="C63" i="9" s="1"/>
  <c r="F9" i="6" l="1"/>
  <c r="I9" i="6"/>
  <c r="G9" i="6"/>
  <c r="J9" i="6"/>
  <c r="B10" i="6"/>
  <c r="C61" i="9"/>
  <c r="C57" i="9"/>
  <c r="C59" i="9"/>
  <c r="C62" i="9"/>
  <c r="C60" i="9"/>
  <c r="C58" i="9"/>
  <c r="C56" i="9"/>
  <c r="G10" i="6" l="1"/>
  <c r="I10" i="6"/>
  <c r="J10" i="6"/>
  <c r="F10" i="6"/>
  <c r="B11" i="6"/>
  <c r="B50" i="9"/>
  <c r="B51" i="9"/>
  <c r="B52" i="9"/>
  <c r="B53" i="9"/>
  <c r="B54" i="9"/>
  <c r="F11" i="6" l="1"/>
  <c r="G11" i="6"/>
  <c r="I11" i="6"/>
  <c r="J11" i="6"/>
  <c r="B12" i="6"/>
  <c r="C52" i="9"/>
  <c r="C54" i="9"/>
  <c r="C55" i="9"/>
  <c r="C53" i="9"/>
  <c r="C51" i="9"/>
  <c r="G12" i="6" l="1"/>
  <c r="I12" i="6"/>
  <c r="J12" i="6"/>
  <c r="F12" i="6"/>
  <c r="B13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4" i="6" l="1"/>
  <c r="F13" i="6"/>
  <c r="G13" i="6"/>
  <c r="I13" i="6"/>
  <c r="J13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4" i="6" l="1"/>
  <c r="I14" i="6"/>
  <c r="J14" i="6"/>
  <c r="F14" i="6"/>
  <c r="B15" i="6"/>
  <c r="V13" i="1"/>
  <c r="B31" i="9"/>
  <c r="B32" i="9"/>
  <c r="C33" i="9" s="1"/>
  <c r="F15" i="6" l="1"/>
  <c r="G15" i="6"/>
  <c r="I15" i="6"/>
  <c r="J15" i="6"/>
  <c r="B16" i="6"/>
  <c r="C32" i="9"/>
  <c r="G16" i="6" l="1"/>
  <c r="I16" i="6"/>
  <c r="F16" i="6"/>
  <c r="H16" i="6"/>
  <c r="J16" i="6"/>
  <c r="B17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36" i="3" s="1"/>
  <c r="G28" i="4"/>
  <c r="G29" i="4"/>
  <c r="N45" i="3" s="1"/>
  <c r="G30" i="4"/>
  <c r="G31" i="4"/>
  <c r="G32" i="4"/>
  <c r="G33" i="4"/>
  <c r="G34" i="4"/>
  <c r="N46" i="3" s="1"/>
  <c r="G35" i="4"/>
  <c r="G36" i="4"/>
  <c r="G37" i="4"/>
  <c r="N19" i="3" s="1"/>
  <c r="G38" i="4"/>
  <c r="N28" i="3" s="1"/>
  <c r="G39" i="4"/>
  <c r="N20" i="3" s="1"/>
  <c r="G40" i="4"/>
  <c r="N58" i="3" s="1"/>
  <c r="G41" i="4"/>
  <c r="G42" i="4"/>
  <c r="G43" i="4"/>
  <c r="G44" i="4"/>
  <c r="G45" i="4"/>
  <c r="G46" i="4"/>
  <c r="G47" i="4"/>
  <c r="N50" i="3" s="1"/>
  <c r="G48" i="4"/>
  <c r="G49" i="4"/>
  <c r="G50" i="4"/>
  <c r="G51" i="4"/>
  <c r="G52" i="4"/>
  <c r="G53" i="4"/>
  <c r="G54" i="4"/>
  <c r="G55" i="4"/>
  <c r="G56" i="4"/>
  <c r="N8" i="3" s="1"/>
  <c r="G57" i="4"/>
  <c r="G58" i="4"/>
  <c r="G59" i="4"/>
  <c r="G60" i="4"/>
  <c r="G61" i="4"/>
  <c r="G62" i="4"/>
  <c r="G63" i="4"/>
  <c r="G64" i="4"/>
  <c r="G65" i="4"/>
  <c r="G66" i="4"/>
  <c r="G67" i="4"/>
  <c r="G68" i="4"/>
  <c r="N12" i="3" s="1"/>
  <c r="G69" i="4"/>
  <c r="G70" i="4"/>
  <c r="G71" i="4"/>
  <c r="G72" i="4"/>
  <c r="N26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N76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N30" i="3" s="1"/>
  <c r="G107" i="4"/>
  <c r="G108" i="4"/>
  <c r="G109" i="4"/>
  <c r="G110" i="4"/>
  <c r="G111" i="4"/>
  <c r="G112" i="4"/>
  <c r="G113" i="4"/>
  <c r="G114" i="4"/>
  <c r="N37" i="3" s="1"/>
  <c r="G115" i="4"/>
  <c r="G116" i="4"/>
  <c r="G117" i="4"/>
  <c r="G118" i="4"/>
  <c r="G119" i="4"/>
  <c r="G120" i="4"/>
  <c r="G121" i="4"/>
  <c r="G122" i="4"/>
  <c r="G123" i="4"/>
  <c r="G124" i="4"/>
  <c r="G125" i="4"/>
  <c r="N13" i="3" s="1"/>
  <c r="G126" i="4"/>
  <c r="G127" i="4"/>
  <c r="G128" i="4"/>
  <c r="N24" i="3" s="1"/>
  <c r="G129" i="4"/>
  <c r="G130" i="4"/>
  <c r="G131" i="4"/>
  <c r="G132" i="4"/>
  <c r="G133" i="4"/>
  <c r="G134" i="4"/>
  <c r="G135" i="4"/>
  <c r="G136" i="4"/>
  <c r="G137" i="4"/>
  <c r="G138" i="4"/>
  <c r="G139" i="4"/>
  <c r="N38" i="3" s="1"/>
  <c r="G140" i="4"/>
  <c r="G141" i="4"/>
  <c r="G142" i="4"/>
  <c r="H13" i="6" s="1"/>
  <c r="G143" i="4"/>
  <c r="G144" i="4"/>
  <c r="N31" i="3" s="1"/>
  <c r="G145" i="4"/>
  <c r="G146" i="4"/>
  <c r="N51" i="3" s="1"/>
  <c r="G147" i="4"/>
  <c r="G148" i="4"/>
  <c r="G149" i="4"/>
  <c r="G150" i="4"/>
  <c r="G151" i="4"/>
  <c r="G152" i="4"/>
  <c r="G153" i="4"/>
  <c r="G154" i="4"/>
  <c r="G155" i="4"/>
  <c r="G156" i="4"/>
  <c r="G157" i="4"/>
  <c r="N39" i="3" s="1"/>
  <c r="G158" i="4"/>
  <c r="G159" i="4"/>
  <c r="G160" i="4"/>
  <c r="N74" i="3" s="1"/>
  <c r="G161" i="4"/>
  <c r="G162" i="4"/>
  <c r="G163" i="4"/>
  <c r="G164" i="4"/>
  <c r="G165" i="4"/>
  <c r="G166" i="4"/>
  <c r="G167" i="4"/>
  <c r="G168" i="4"/>
  <c r="G169" i="4"/>
  <c r="G170" i="4"/>
  <c r="N40" i="3" s="1"/>
  <c r="G171" i="4"/>
  <c r="G172" i="4"/>
  <c r="N52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53" i="3" s="1"/>
  <c r="G187" i="4"/>
  <c r="G188" i="4"/>
  <c r="G189" i="4"/>
  <c r="G190" i="4"/>
  <c r="N43" i="3" s="1"/>
  <c r="G191" i="4"/>
  <c r="G192" i="4"/>
  <c r="N33" i="3" s="1"/>
  <c r="G193" i="4"/>
  <c r="N77" i="3" s="1"/>
  <c r="G194" i="4"/>
  <c r="N18" i="3" s="1"/>
  <c r="G195" i="4"/>
  <c r="N41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35" i="3" s="1"/>
  <c r="G209" i="4"/>
  <c r="G210" i="4"/>
  <c r="G211" i="4"/>
  <c r="G212" i="4"/>
  <c r="G213" i="4"/>
  <c r="G214" i="4"/>
  <c r="N16" i="3" s="1"/>
  <c r="G215" i="4"/>
  <c r="G216" i="4"/>
  <c r="N27" i="3" s="1"/>
  <c r="G217" i="4"/>
  <c r="N64" i="3" s="1"/>
  <c r="G218" i="4"/>
  <c r="N56" i="3" s="1"/>
  <c r="G219" i="4"/>
  <c r="G220" i="4"/>
  <c r="G221" i="4"/>
  <c r="G222" i="4"/>
  <c r="G223" i="4"/>
  <c r="G224" i="4"/>
  <c r="G225" i="4"/>
  <c r="G226" i="4"/>
  <c r="G227" i="4"/>
  <c r="G228" i="4"/>
  <c r="N23" i="3" s="1"/>
  <c r="G229" i="4"/>
  <c r="G230" i="4"/>
  <c r="G231" i="4"/>
  <c r="N22" i="3" s="1"/>
  <c r="G232" i="4"/>
  <c r="G233" i="4"/>
  <c r="G234" i="4"/>
  <c r="G235" i="4"/>
  <c r="G236" i="4"/>
  <c r="N66" i="3" s="1"/>
  <c r="G237" i="4"/>
  <c r="G238" i="4"/>
  <c r="G239" i="4"/>
  <c r="N14" i="3" s="1"/>
  <c r="G240" i="4"/>
  <c r="N9" i="3" s="1"/>
  <c r="G241" i="4"/>
  <c r="N17" i="3" s="1"/>
  <c r="G242" i="4"/>
  <c r="G243" i="4"/>
  <c r="G244" i="4"/>
  <c r="G245" i="4"/>
  <c r="G246" i="4"/>
  <c r="N10" i="3" s="1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65" i="3" l="1"/>
  <c r="N48" i="3"/>
  <c r="N47" i="3"/>
  <c r="N54" i="3"/>
  <c r="N55" i="3"/>
  <c r="N34" i="3"/>
  <c r="N15" i="3"/>
  <c r="N7" i="3"/>
  <c r="N62" i="3"/>
  <c r="N63" i="3"/>
  <c r="N49" i="3"/>
  <c r="N42" i="3"/>
  <c r="N59" i="3"/>
  <c r="N60" i="3"/>
  <c r="N21" i="3"/>
  <c r="N32" i="3"/>
  <c r="N25" i="3"/>
  <c r="N68" i="3"/>
  <c r="N69" i="3"/>
  <c r="N75" i="3"/>
  <c r="N67" i="3"/>
  <c r="N70" i="3"/>
  <c r="N72" i="3"/>
  <c r="N71" i="3"/>
  <c r="N44" i="3"/>
  <c r="N57" i="3"/>
  <c r="N73" i="3"/>
  <c r="N61" i="3"/>
  <c r="N11" i="3"/>
  <c r="N29" i="3"/>
  <c r="H4" i="6"/>
  <c r="H7" i="6"/>
  <c r="H3" i="6"/>
  <c r="H15" i="6"/>
  <c r="H10" i="6"/>
  <c r="H14" i="6"/>
  <c r="H8" i="6"/>
  <c r="H5" i="6"/>
  <c r="H6" i="6"/>
  <c r="H11" i="6"/>
  <c r="H12" i="6"/>
  <c r="H9" i="6"/>
  <c r="F17" i="6"/>
  <c r="I17" i="6"/>
  <c r="G17" i="6"/>
  <c r="H17" i="6"/>
  <c r="J17" i="6"/>
  <c r="B18" i="6"/>
  <c r="L13" i="1"/>
  <c r="G18" i="6" l="1"/>
  <c r="I18" i="6"/>
  <c r="J18" i="6"/>
  <c r="F18" i="6"/>
  <c r="H18" i="6"/>
  <c r="B19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9" i="6" l="1"/>
  <c r="G19" i="6"/>
  <c r="I19" i="6"/>
  <c r="J19" i="6"/>
  <c r="H19" i="6"/>
  <c r="B20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0" i="6" l="1"/>
  <c r="H20" i="6"/>
  <c r="J20" i="6"/>
  <c r="I20" i="6"/>
  <c r="F20" i="6"/>
  <c r="B21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2" i="6" l="1"/>
  <c r="F21" i="6"/>
  <c r="G21" i="6"/>
  <c r="I21" i="6"/>
  <c r="H21" i="6"/>
  <c r="J21" i="6"/>
  <c r="M30" i="5"/>
  <c r="M29" i="5"/>
  <c r="M27" i="5"/>
  <c r="G22" i="6" l="1"/>
  <c r="I22" i="6"/>
  <c r="J22" i="6"/>
  <c r="H22" i="6"/>
  <c r="F22" i="6"/>
  <c r="B23" i="6"/>
  <c r="M26" i="5"/>
  <c r="B24" i="6" l="1"/>
  <c r="F23" i="6"/>
  <c r="G23" i="6"/>
  <c r="H23" i="6"/>
  <c r="J23" i="6"/>
  <c r="I23" i="6"/>
  <c r="AH13" i="1"/>
  <c r="J7" i="1"/>
  <c r="G24" i="6" l="1"/>
  <c r="F24" i="6"/>
  <c r="H24" i="6"/>
  <c r="J24" i="6"/>
  <c r="I24" i="6"/>
  <c r="B25" i="6"/>
  <c r="X6" i="1"/>
  <c r="W6" i="1"/>
  <c r="V6" i="1"/>
  <c r="S6" i="1"/>
  <c r="R2" i="1"/>
  <c r="I2" i="1"/>
  <c r="O6" i="1"/>
  <c r="N6" i="1"/>
  <c r="M6" i="1"/>
  <c r="J6" i="1"/>
  <c r="B26" i="6" l="1"/>
  <c r="I25" i="6"/>
  <c r="G25" i="6"/>
  <c r="H25" i="6"/>
  <c r="J25" i="6"/>
  <c r="F25" i="6"/>
  <c r="P3" i="5"/>
  <c r="G26" i="6" l="1"/>
  <c r="I26" i="6"/>
  <c r="J26" i="6"/>
  <c r="F26" i="6"/>
  <c r="H26" i="6"/>
  <c r="B27" i="6"/>
  <c r="M18" i="5"/>
  <c r="B28" i="6" l="1"/>
  <c r="F27" i="6"/>
  <c r="G27" i="6"/>
  <c r="I27" i="6"/>
  <c r="J27" i="6"/>
  <c r="H27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8" i="6" l="1"/>
  <c r="I28" i="6"/>
  <c r="J28" i="6"/>
  <c r="F28" i="6"/>
  <c r="H28" i="6"/>
  <c r="B2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0" i="6" l="1"/>
  <c r="F29" i="6"/>
  <c r="G29" i="6"/>
  <c r="I29" i="6"/>
  <c r="H29" i="6"/>
  <c r="J29" i="6"/>
  <c r="G259" i="4"/>
  <c r="G260" i="4"/>
  <c r="G261" i="4"/>
  <c r="G262" i="4"/>
  <c r="G263" i="4"/>
  <c r="G264" i="4"/>
  <c r="G265" i="4"/>
  <c r="B31" i="6" l="1"/>
  <c r="G30" i="6"/>
  <c r="I30" i="6"/>
  <c r="H30" i="6"/>
  <c r="J30" i="6"/>
  <c r="F30" i="6"/>
  <c r="M14" i="5"/>
  <c r="M13" i="5"/>
  <c r="M12" i="5"/>
  <c r="M11" i="5"/>
  <c r="M10" i="5"/>
  <c r="M9" i="5"/>
  <c r="M8" i="5"/>
  <c r="M7" i="5"/>
  <c r="M6" i="5"/>
  <c r="M5" i="5"/>
  <c r="M4" i="5"/>
  <c r="M3" i="5"/>
  <c r="F31" i="6" l="1"/>
  <c r="G31" i="6"/>
  <c r="I31" i="6"/>
  <c r="J31" i="6"/>
  <c r="H31" i="6"/>
  <c r="B32" i="6"/>
  <c r="U13" i="1"/>
  <c r="S13" i="1" s="1"/>
  <c r="O3" i="3"/>
  <c r="H32" i="6" l="1"/>
  <c r="I32" i="6"/>
  <c r="F32" i="6"/>
  <c r="G32" i="6"/>
  <c r="J32" i="6"/>
  <c r="B3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4" i="6" l="1"/>
  <c r="F34" i="6" s="1"/>
  <c r="F33" i="6"/>
  <c r="G33" i="6"/>
  <c r="I33" i="6"/>
  <c r="H33" i="6"/>
  <c r="J33" i="6"/>
  <c r="J8" i="1"/>
  <c r="J4" i="1"/>
  <c r="S8" i="1"/>
  <c r="S4" i="1"/>
  <c r="J34" i="6" l="1"/>
  <c r="I34" i="6"/>
  <c r="G34" i="6"/>
  <c r="H34" i="6"/>
  <c r="B35" i="6"/>
  <c r="S9" i="1"/>
  <c r="J9" i="1"/>
  <c r="B36" i="6" l="1"/>
  <c r="H35" i="6"/>
  <c r="J35" i="6"/>
  <c r="F35" i="6"/>
  <c r="G35" i="6"/>
  <c r="I35" i="6"/>
  <c r="S11" i="1"/>
  <c r="A11" i="1"/>
  <c r="B37" i="6" l="1"/>
  <c r="F36" i="6"/>
  <c r="I36" i="6"/>
  <c r="J36" i="6"/>
  <c r="G36" i="6"/>
  <c r="H36" i="6"/>
  <c r="B1" i="6"/>
  <c r="A5" i="3"/>
  <c r="B38" i="6" l="1"/>
  <c r="G37" i="6"/>
  <c r="H37" i="6"/>
  <c r="F37" i="6"/>
  <c r="I37" i="6"/>
  <c r="J37" i="6"/>
  <c r="G38" i="6" l="1"/>
  <c r="H38" i="6"/>
  <c r="I38" i="6"/>
  <c r="J38" i="6"/>
  <c r="F38" i="6"/>
  <c r="B39" i="6"/>
  <c r="H39" i="6" l="1"/>
  <c r="F39" i="6"/>
  <c r="G39" i="6"/>
  <c r="I39" i="6"/>
  <c r="J39" i="6"/>
  <c r="B40" i="6"/>
  <c r="B41" i="6" l="1"/>
  <c r="G40" i="6"/>
  <c r="H40" i="6"/>
  <c r="I40" i="6"/>
  <c r="J40" i="6"/>
  <c r="F40" i="6"/>
  <c r="B42" i="6" l="1"/>
  <c r="I41" i="6"/>
  <c r="G41" i="6"/>
  <c r="F41" i="6"/>
  <c r="H41" i="6"/>
  <c r="J41" i="6"/>
  <c r="G42" i="6" l="1"/>
  <c r="F42" i="6"/>
  <c r="H42" i="6"/>
  <c r="I42" i="6"/>
  <c r="J42" i="6"/>
  <c r="B43" i="6"/>
  <c r="H43" i="6" l="1"/>
  <c r="J43" i="6"/>
  <c r="F43" i="6"/>
  <c r="G43" i="6"/>
  <c r="I43" i="6"/>
  <c r="B44" i="6"/>
  <c r="B45" i="6" l="1"/>
  <c r="F44" i="6"/>
  <c r="G44" i="6"/>
  <c r="I44" i="6"/>
  <c r="H44" i="6"/>
  <c r="J44" i="6"/>
  <c r="F45" i="6" l="1"/>
  <c r="G45" i="6"/>
  <c r="J45" i="6"/>
  <c r="H45" i="6"/>
  <c r="I45" i="6"/>
  <c r="B46" i="6"/>
  <c r="G46" i="6" l="1"/>
  <c r="J46" i="6"/>
  <c r="F46" i="6"/>
  <c r="H46" i="6"/>
  <c r="I46" i="6"/>
  <c r="B47" i="6"/>
  <c r="B48" i="6" l="1"/>
  <c r="F47" i="6"/>
  <c r="G47" i="6"/>
  <c r="H47" i="6"/>
  <c r="I47" i="6"/>
  <c r="J47" i="6"/>
  <c r="B49" i="6" l="1"/>
  <c r="J48" i="6"/>
  <c r="F48" i="6"/>
  <c r="I48" i="6"/>
  <c r="G48" i="6"/>
  <c r="H48" i="6"/>
  <c r="B50" i="6" l="1"/>
  <c r="G49" i="6"/>
  <c r="H49" i="6"/>
  <c r="F49" i="6"/>
  <c r="I49" i="6"/>
  <c r="J49" i="6"/>
  <c r="G50" i="6" l="1"/>
  <c r="I50" i="6"/>
  <c r="J50" i="6"/>
  <c r="F50" i="6"/>
  <c r="H50" i="6"/>
  <c r="B51" i="6"/>
  <c r="B52" i="6" l="1"/>
  <c r="J51" i="6"/>
  <c r="F51" i="6"/>
  <c r="H51" i="6"/>
  <c r="G51" i="6"/>
  <c r="I51" i="6"/>
  <c r="B53" i="6" l="1"/>
  <c r="H52" i="6"/>
  <c r="F52" i="6"/>
  <c r="I52" i="6"/>
  <c r="J52" i="6"/>
  <c r="G52" i="6"/>
  <c r="B55" i="6" l="1"/>
  <c r="B54" i="6"/>
  <c r="G53" i="6"/>
  <c r="H53" i="6"/>
  <c r="F53" i="6"/>
  <c r="I53" i="6"/>
  <c r="J53" i="6"/>
  <c r="G54" i="6" l="1"/>
  <c r="H54" i="6"/>
  <c r="I54" i="6"/>
  <c r="J54" i="6"/>
  <c r="F54" i="6"/>
  <c r="H55" i="6"/>
  <c r="J55" i="6"/>
  <c r="G55" i="6"/>
  <c r="I55" i="6"/>
  <c r="F5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<sst xmlns="http://schemas.openxmlformats.org/spreadsheetml/2006/main" count="3154" uniqueCount="1050">
  <si>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</si>
  <si>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</si>
  <si>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</si>
  <si>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</si>
  <si>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</si>
  <si>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</si>
  <si>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</si>
  <si>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</si>
  <si>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</si>
  <si>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</si>
  <si>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</si>
  <si>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</si>
  <si>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</si>
  <si>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</si>
  <si>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</si>
  <si>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</si>
  <si>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</si>
  <si>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</si>
  <si>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</si>
  <si>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</si>
  <si>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</si>
  <si>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</si>
  <si>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</si>
  <si>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</si>
  <si>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</si>
  <si>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</si>
  <si>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</si>
  <si>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</si>
  <si>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</si>
  <si>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</si>
  <si>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</si>
  <si>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</si>
  <si>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</si>
  <si>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</si>
  <si>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</si>
  <si>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</si>
  <si>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</si>
  <si>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</si>
  <si>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</si>
  <si>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</si>
  <si>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</si>
  <si>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</si>
  <si>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</si>
  <si>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</si>
  <si>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</si>
  <si>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</si>
  <si>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</si>
  <si>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</si>
  <si>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</si>
  <si>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</si>
  <si>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</si>
  <si>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</si>
  <si>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</si>
  <si>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</si>
  <si>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</si>
  <si>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</si>
  <si>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</si>
  <si>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</si>
  <si>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</si>
  <si>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</si>
  <si>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</si>
  <si>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</si>
  <si>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</si>
  <si>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</si>
  <si>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</si>
  <si>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</si>
  <si>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</si>
  <si>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</si>
  <si>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</si>
  <si>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</si>
  <si>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</si>
  <si>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</si>
  <si>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</si>
  <si>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</si>
  <si>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</si>
  <si>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</si>
  <si>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</si>
  <si>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</si>
  <si>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</si>
  <si>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</si>
  <si>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</si>
  <si>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</si>
  <si>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</si>
  <si>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</si>
  <si>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</si>
  <si>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</si>
  <si>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</si>
  <si>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</si>
  <si>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</si>
  <si>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</si>
  <si>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</si>
  <si>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</si>
  <si>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</si>
  <si>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</si>
  <si>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</si>
  <si>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</si>
  <si>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</si>
  <si>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</si>
  <si>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</si>
  <si>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</si>
  <si>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</si>
  <si>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</si>
  <si>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</si>
  <si>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</si>
  <si>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</si>
  <si>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</si>
  <si>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</si>
  <si>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</si>
  <si>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</si>
  <si>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</si>
  <si>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</si>
  <si>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</si>
  <si>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</si>
  <si>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</si>
  <si>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</si>
  <si>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</si>
  <si>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</si>
  <si>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</si>
  <si>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</si>
  <si>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</si>
  <si>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</si>
  <si>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</si>
  <si>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</si>
  <si>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</si>
  <si>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</si>
  <si>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</si>
  <si>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</si>
  <si>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</si>
  <si>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</si>
  <si>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</si>
  <si>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</si>
  <si>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</si>
  <si>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</si>
  <si>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</si>
  <si>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</si>
  <si>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</si>
  <si>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</si>
  <si>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</si>
  <si>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</si>
  <si>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</si>
  <si>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</si>
  <si>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</si>
  <si>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</si>
  <si>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</si>
  <si>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</si>
  <si>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</si>
  <si>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</si>
  <si>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</si>
  <si>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</si>
  <si>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</si>
  <si>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</si>
  <si>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</si>
  <si>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</si>
  <si>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</si>
  <si>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</si>
  <si>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</si>
  <si>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</si>
  <si>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</si>
  <si>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</si>
  <si>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</si>
  <si>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</si>
  <si>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</si>
  <si>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</si>
  <si>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</si>
  <si>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</si>
  <si>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</si>
  <si>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</si>
  <si>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</si>
  <si>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</si>
  <si>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</si>
  <si>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</si>
  <si>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</si>
  <si>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</si>
  <si>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</si>
  <si>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</si>
  <si>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</si>
  <si>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</si>
  <si>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</si>
  <si>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</si>
  <si>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</si>
  <si>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</si>
  <si>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</si>
  <si>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</si>
  <si>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</si>
  <si>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</si>
  <si>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</si>
  <si>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</si>
  <si>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</si>
  <si>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</si>
  <si>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</si>
  <si>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</si>
  <si>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</si>
  <si>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</si>
  <si>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</si>
  <si>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</si>
  <si>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</si>
  <si>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</si>
  <si>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</si>
  <si>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</si>
  <si>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</si>
  <si>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</si>
  <si>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</si>
  <si>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</si>
  <si>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</si>
  <si>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</si>
  <si>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</si>
  <si>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</si>
  <si>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</si>
  <si>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</si>
  <si>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</si>
  <si>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</si>
  <si>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</si>
  <si>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</si>
  <si>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</si>
  <si>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</si>
  <si>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</si>
  <si>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</si>
  <si>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</si>
  <si>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</si>
  <si>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</si>
  <si>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</si>
  <si>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</si>
  <si>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</si>
  <si>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</si>
  <si>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</si>
  <si>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</si>
  <si>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</si>
  <si>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</si>
  <si>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</si>
  <si>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</si>
  <si>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</si>
  <si>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</si>
  <si>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</si>
  <si>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</si>
  <si>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</si>
  <si>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</si>
  <si>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</si>
  <si>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</si>
  <si>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</si>
  <si>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</si>
  <si>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</si>
  <si>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</si>
  <si>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</si>
  <si>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</si>
  <si>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</si>
  <si>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</si>
  <si>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</si>
  <si>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</si>
  <si>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</si>
  <si>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</si>
  <si>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</si>
  <si>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</si>
  <si>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</si>
  <si>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</si>
  <si>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</si>
  <si>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</si>
  <si>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</si>
  <si>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</si>
  <si>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</si>
  <si>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</si>
  <si>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</si>
  <si>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</si>
  <si>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</si>
  <si>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</si>
  <si>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</si>
  <si>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</si>
  <si>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</si>
  <si>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</si>
  <si>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</si>
  <si>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</si>
  <si>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</si>
  <si>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</si>
  <si>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</si>
  <si>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</si>
  <si>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</si>
  <si>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</si>
  <si>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</si>
  <si>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</si>
  <si>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</si>
  <si>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</si>
  <si>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</si>
  <si>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</si>
  <si>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</si>
  <si>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</si>
  <si>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</si>
  <si>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</si>
  <si>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</si>
  <si>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</si>
  <si>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</si>
  <si>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</si>
  <si>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</si>
  <si>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</si>
  <si>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</si>
  <si>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</si>
  <si>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</si>
  <si>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</si>
  <si>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</si>
  <si>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</si>
  <si>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</si>
  <si>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</si>
  <si>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</si>
  <si>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</si>
  <si>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</si>
  <si>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</si>
  <si>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</si>
  <si>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</si>
  <si>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</si>
  <si>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</si>
  <si>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</si>
  <si>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</si>
  <si>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</si>
  <si>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</si>
  <si>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</si>
  <si>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</si>
  <si>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</si>
  <si>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</si>
  <si>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</si>
  <si>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</si>
  <si>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</si>
  <si>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</si>
  <si>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</si>
  <si>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</si>
  <si>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</si>
  <si>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</si>
  <si>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</si>
  <si>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</si>
  <si>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</si>
  <si>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</si>
  <si>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</si>
  <si>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</si>
  <si>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</si>
  <si>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</si>
  <si>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</si>
  <si>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</si>
  <si>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</si>
  <si>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</si>
  <si>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</si>
  <si>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</si>
  <si>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</si>
  <si>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</si>
  <si>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</si>
  <si>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</si>
  <si>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</si>
  <si>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</si>
  <si>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</si>
  <si>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</si>
  <si>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</si>
  <si>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</si>
  <si>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</si>
  <si>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</si>
  <si>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</si>
  <si>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</si>
  <si>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</si>
  <si>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</si>
  <si>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</si>
  <si>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</si>
  <si>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</si>
  <si>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</si>
  <si>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</si>
  <si>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</si>
  <si>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</si>
  <si>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</si>
  <si>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</si>
  <si>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</si>
  <si>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</si>
  <si>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</si>
  <si>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</si>
  <si>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</si>
  <si>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</si>
  <si>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</si>
  <si>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</si>
  <si>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</si>
  <si>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</si>
  <si>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</si>
  <si>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</si>
  <si>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</si>
  <si>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</si>
  <si>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</si>
  <si>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</si>
  <si>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</si>
  <si>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</si>
  <si>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</si>
  <si>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</si>
  <si>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</si>
  <si>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</si>
  <si>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</si>
  <si>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</si>
  <si>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</si>
  <si>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</si>
  <si>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</si>
  <si>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</si>
  <si>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</si>
  <si>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</si>
  <si>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</si>
  <si>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</si>
  <si>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</si>
  <si>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</si>
  <si>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</si>
  <si>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</si>
  <si>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</si>
  <si>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</si>
  <si>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</si>
  <si>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</si>
  <si>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</si>
  <si>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</si>
  <si>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</si>
  <si>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</si>
  <si>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</si>
  <si>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</si>
  <si>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</si>
  <si>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</si>
  <si>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</si>
  <si>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</si>
  <si>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</si>
  <si>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</si>
  <si>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</si>
  <si>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</si>
  <si>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</si>
  <si>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</si>
  <si>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</si>
  <si>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</si>
  <si>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</si>
  <si>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</si>
  <si>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</si>
  <si>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</si>
  <si>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</si>
  <si>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</si>
  <si>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</si>
  <si>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</si>
  <si>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</si>
  <si>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</si>
  <si>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</si>
  <si>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</si>
  <si>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</si>
  <si>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</si>
  <si>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</si>
  <si>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</si>
  <si>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</si>
  <si>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</si>
  <si>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</si>
  <si>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</si>
  <si>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</si>
  <si>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</si>
  <si>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</si>
  <si>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</si>
  <si>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</si>
  <si>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</si>
  <si>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</si>
  <si>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</si>
  <si>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</si>
  <si>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</si>
  <si>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</si>
  <si>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</si>
  <si>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</si>
  <si>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</si>
  <si>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</si>
  <si>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</si>
  <si>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</si>
  <si>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204:138</t>
  </si>
  <si>
    <t>204:469</t>
  </si>
  <si>
    <t>204:233309</t>
  </si>
  <si>
    <t>204:233312</t>
  </si>
  <si>
    <t>204:232978</t>
  </si>
  <si>
    <t>rtdc.l.rtdc.4001:itc</t>
  </si>
  <si>
    <t>rtdc.l.rtdc.4002:itc</t>
  </si>
  <si>
    <t>SAFIEF</t>
  </si>
  <si>
    <t>AEIMEN</t>
  </si>
  <si>
    <t>204:163</t>
  </si>
  <si>
    <t>MOSES</t>
  </si>
  <si>
    <t>BRADLEY</t>
  </si>
  <si>
    <t>204:232988</t>
  </si>
  <si>
    <t>204:233289</t>
  </si>
  <si>
    <t>204:165</t>
  </si>
  <si>
    <t>THOMPSON</t>
  </si>
  <si>
    <t>LESTER</t>
  </si>
  <si>
    <t>81-01</t>
  </si>
  <si>
    <t>SUR-02</t>
  </si>
  <si>
    <t>SUR</t>
  </si>
  <si>
    <t>JEREMY</t>
  </si>
  <si>
    <t>313-01</t>
  </si>
  <si>
    <t>204:480</t>
  </si>
  <si>
    <t>204:232993</t>
  </si>
  <si>
    <t>204:444</t>
  </si>
  <si>
    <t>rtdc.l.rtdc.4012:itc</t>
  </si>
  <si>
    <t>MACDONALD</t>
  </si>
  <si>
    <t>BRUDER</t>
  </si>
  <si>
    <t>RICHARD</t>
  </si>
  <si>
    <t>MAELZER</t>
  </si>
  <si>
    <t>KURT</t>
  </si>
  <si>
    <t>204:232991</t>
  </si>
  <si>
    <t>204:233307</t>
  </si>
  <si>
    <t>204:233301</t>
  </si>
  <si>
    <t>204:233310</t>
  </si>
  <si>
    <t>204:233011</t>
  </si>
  <si>
    <t>204:437</t>
  </si>
  <si>
    <t>300:23308</t>
  </si>
  <si>
    <t>rtdc.l.rtdc.4016:itc</t>
  </si>
  <si>
    <t>HAITHCOX</t>
  </si>
  <si>
    <t>partly-cloudy-day</t>
  </si>
  <si>
    <t>Partly Cloudy</t>
  </si>
  <si>
    <t>204:232989</t>
  </si>
  <si>
    <t>204:440</t>
  </si>
  <si>
    <t>204:233053</t>
  </si>
  <si>
    <t>204:233374</t>
  </si>
  <si>
    <t>204:232986</t>
  </si>
  <si>
    <t>204:233364</t>
  </si>
  <si>
    <t>204:477</t>
  </si>
  <si>
    <t>rtdc.l.rtdc.4062:itc</t>
  </si>
  <si>
    <t>rtdc.l.rtdc.4046:itc</t>
  </si>
  <si>
    <t>rtdc.l.rtdc.4045:itc</t>
  </si>
  <si>
    <t>SPECTOR</t>
  </si>
  <si>
    <t>STARKS</t>
  </si>
  <si>
    <t>ANGELINA</t>
  </si>
  <si>
    <t>HELVIE</t>
  </si>
  <si>
    <t>ADAM</t>
  </si>
  <si>
    <t>LOZA</t>
  </si>
  <si>
    <t>FIDEL</t>
  </si>
  <si>
    <t>LEVIN</t>
  </si>
  <si>
    <t>SCOTT</t>
  </si>
  <si>
    <t>311-05</t>
  </si>
  <si>
    <t>313-05</t>
  </si>
  <si>
    <t>precipType</t>
  </si>
  <si>
    <t>partly-cloudy-night</t>
  </si>
  <si>
    <t>rain</t>
  </si>
  <si>
    <t>Mostly Cloudy</t>
  </si>
  <si>
    <t>204:232983</t>
  </si>
  <si>
    <t>204:232975</t>
  </si>
  <si>
    <t>204:233298</t>
  </si>
  <si>
    <t>204:167</t>
  </si>
  <si>
    <t>204:471</t>
  </si>
  <si>
    <t>204:694</t>
  </si>
  <si>
    <t>300:58621</t>
  </si>
  <si>
    <t>204:701</t>
  </si>
  <si>
    <t>300:58624</t>
  </si>
  <si>
    <t>204:985</t>
  </si>
  <si>
    <t>300:58941</t>
  </si>
  <si>
    <t>300:58623</t>
  </si>
  <si>
    <t>204:964</t>
  </si>
  <si>
    <t>204:668</t>
  </si>
  <si>
    <t>300:58640</t>
  </si>
  <si>
    <t>300:58929</t>
  </si>
  <si>
    <t>300:58615</t>
  </si>
  <si>
    <t>300:58926</t>
  </si>
  <si>
    <t>300:58606</t>
  </si>
  <si>
    <t>rtdc.l.rtdc.4055:itc</t>
  </si>
  <si>
    <t>rtdc.l.rtdc.4056:itc</t>
  </si>
  <si>
    <t>rtdc.l.rtdc.4006:itc</t>
  </si>
  <si>
    <t>242-06</t>
  </si>
  <si>
    <t>rtdc.l.rtdc.4004:itc</t>
  </si>
  <si>
    <t>rtdc.l.rtdc.4005:itc</t>
  </si>
  <si>
    <t>YANG</t>
  </si>
  <si>
    <t>JAN</t>
  </si>
  <si>
    <t>STEWART</t>
  </si>
  <si>
    <t>HAUSER</t>
  </si>
  <si>
    <t>309-06</t>
  </si>
  <si>
    <t>244-06</t>
  </si>
  <si>
    <t>311-06</t>
  </si>
  <si>
    <t>313-06</t>
  </si>
  <si>
    <t>Drizzle</t>
  </si>
  <si>
    <t>204:233303</t>
  </si>
  <si>
    <t>204:438</t>
  </si>
  <si>
    <t>204:233342</t>
  </si>
  <si>
    <t>204:232990</t>
  </si>
  <si>
    <t>204:232971</t>
  </si>
  <si>
    <t>204:136</t>
  </si>
  <si>
    <t>204:233028</t>
  </si>
  <si>
    <t>204:233287</t>
  </si>
  <si>
    <t>204:233282</t>
  </si>
  <si>
    <t>204:233329</t>
  </si>
  <si>
    <t>204:433</t>
  </si>
  <si>
    <t>204:233278</t>
  </si>
  <si>
    <t>204:232955</t>
  </si>
  <si>
    <t>204:427</t>
  </si>
  <si>
    <t>204:233378</t>
  </si>
  <si>
    <t>204:233353</t>
  </si>
  <si>
    <t>204:232996</t>
  </si>
  <si>
    <t>204:233376</t>
  </si>
  <si>
    <t>204:486</t>
  </si>
  <si>
    <t>204:233332</t>
  </si>
  <si>
    <t>204:233000</t>
  </si>
  <si>
    <t>204:233015</t>
  </si>
  <si>
    <t>204:475</t>
  </si>
  <si>
    <t>204:1023</t>
  </si>
  <si>
    <t>204:670</t>
  </si>
  <si>
    <t>204:1039</t>
  </si>
  <si>
    <t>300:58628</t>
  </si>
  <si>
    <t>204:675</t>
  </si>
  <si>
    <t>204:958</t>
  </si>
  <si>
    <t>204:965</t>
  </si>
  <si>
    <t>300:58931</t>
  </si>
  <si>
    <t>204:988</t>
  </si>
  <si>
    <t>300:58626</t>
  </si>
  <si>
    <t>204:696</t>
  </si>
  <si>
    <t>300:58937</t>
  </si>
  <si>
    <t>rtdc.l.rtdc.4011:itc</t>
  </si>
  <si>
    <t>306-07</t>
  </si>
  <si>
    <t>rtdc.l.rtdc.4061:itc</t>
  </si>
  <si>
    <t>800-07</t>
  </si>
  <si>
    <t>111-07</t>
  </si>
  <si>
    <t>117-07</t>
  </si>
  <si>
    <t>801-07</t>
  </si>
  <si>
    <t>119-07</t>
  </si>
  <si>
    <t>rtdc.l.rtdc.4010:itc</t>
  </si>
  <si>
    <t>803-07</t>
  </si>
  <si>
    <t>rtdc.l.rtdc.4015:itc</t>
  </si>
  <si>
    <t>112-07</t>
  </si>
  <si>
    <t>rtdc.l.rtdc.4009:itc</t>
  </si>
  <si>
    <t>804-07</t>
  </si>
  <si>
    <t>805-07</t>
  </si>
  <si>
    <t>809-07</t>
  </si>
  <si>
    <t>rtdc.l.rtdc.4031:itc</t>
  </si>
  <si>
    <t>124-07</t>
  </si>
  <si>
    <t>132-07</t>
  </si>
  <si>
    <t>rtdc.l.rtdc.4058:itc</t>
  </si>
  <si>
    <t>141-07</t>
  </si>
  <si>
    <t>144-07</t>
  </si>
  <si>
    <t>52-07</t>
  </si>
  <si>
    <t>64-07</t>
  </si>
  <si>
    <t>56-07</t>
  </si>
  <si>
    <t>158-07</t>
  </si>
  <si>
    <t>167-07</t>
  </si>
  <si>
    <t>57-07</t>
  </si>
  <si>
    <t>173-07</t>
  </si>
  <si>
    <t>175-07</t>
  </si>
  <si>
    <t>172-07</t>
  </si>
  <si>
    <t>824-07</t>
  </si>
  <si>
    <t>183-07</t>
  </si>
  <si>
    <t>182-07</t>
  </si>
  <si>
    <t>904-07</t>
  </si>
  <si>
    <t>195-07</t>
  </si>
  <si>
    <t>828-07</t>
  </si>
  <si>
    <t>53-07</t>
  </si>
  <si>
    <t>192-07</t>
  </si>
  <si>
    <t>201-07</t>
  </si>
  <si>
    <t>832-07</t>
  </si>
  <si>
    <t>834-07</t>
  </si>
  <si>
    <t>835-07</t>
  </si>
  <si>
    <t>70-07</t>
  </si>
  <si>
    <t>208-07</t>
  </si>
  <si>
    <t>206-07</t>
  </si>
  <si>
    <t>215-07</t>
  </si>
  <si>
    <t>rtdc.l.rtdc.4057:itc</t>
  </si>
  <si>
    <t>214-07</t>
  </si>
  <si>
    <t>216-07</t>
  </si>
  <si>
    <t>220-07</t>
  </si>
  <si>
    <t>840-07</t>
  </si>
  <si>
    <t>223-07</t>
  </si>
  <si>
    <t>228-07</t>
  </si>
  <si>
    <t>844-07</t>
  </si>
  <si>
    <t>230-07</t>
  </si>
  <si>
    <t>908-07</t>
  </si>
  <si>
    <t>239-07</t>
  </si>
  <si>
    <t>236-07</t>
  </si>
  <si>
    <t>238-07</t>
  </si>
  <si>
    <t>242-07</t>
  </si>
  <si>
    <t>300-07</t>
  </si>
  <si>
    <t>50-07</t>
  </si>
  <si>
    <t>51-07</t>
  </si>
  <si>
    <t>101-07</t>
  </si>
  <si>
    <t>302-07</t>
  </si>
  <si>
    <t>103-07</t>
  </si>
  <si>
    <t>304-07</t>
  </si>
  <si>
    <t>102-07</t>
  </si>
  <si>
    <t>105-07</t>
  </si>
  <si>
    <t>308-07</t>
  </si>
  <si>
    <t>WENDY</t>
  </si>
  <si>
    <t>107-07</t>
  </si>
  <si>
    <t>104-07</t>
  </si>
  <si>
    <t>rtdc.l.rtdc.4032:itc</t>
  </si>
  <si>
    <t>109-07</t>
  </si>
  <si>
    <t>901-07</t>
  </si>
  <si>
    <t>310-07</t>
  </si>
  <si>
    <t>106-07</t>
  </si>
  <si>
    <t>113-07</t>
  </si>
  <si>
    <t>108-07</t>
  </si>
  <si>
    <t>115-07</t>
  </si>
  <si>
    <t>312-07</t>
  </si>
  <si>
    <t>902-07</t>
  </si>
  <si>
    <t>GEBRETEKLE</t>
  </si>
  <si>
    <t>DAGNEW</t>
  </si>
  <si>
    <t>110-07</t>
  </si>
  <si>
    <t>114-07</t>
  </si>
  <si>
    <t>802-07</t>
  </si>
  <si>
    <t>121-07</t>
  </si>
  <si>
    <t>116-07</t>
  </si>
  <si>
    <t>123-07</t>
  </si>
  <si>
    <t>118-07</t>
  </si>
  <si>
    <t>125-07</t>
  </si>
  <si>
    <t>120-07</t>
  </si>
  <si>
    <t>127-07</t>
  </si>
  <si>
    <t>807-07</t>
  </si>
  <si>
    <t>806-07</t>
  </si>
  <si>
    <t>129-07</t>
  </si>
  <si>
    <t>122-07</t>
  </si>
  <si>
    <t>131-07</t>
  </si>
  <si>
    <t>808-07</t>
  </si>
  <si>
    <t>126-07</t>
  </si>
  <si>
    <t>133-07</t>
  </si>
  <si>
    <t>128-07</t>
  </si>
  <si>
    <t>135-07</t>
  </si>
  <si>
    <t>811-07</t>
  </si>
  <si>
    <t>130-07</t>
  </si>
  <si>
    <t>810-07</t>
  </si>
  <si>
    <t>137-07</t>
  </si>
  <si>
    <t>139-07</t>
  </si>
  <si>
    <t>BONDS</t>
  </si>
  <si>
    <t>REYNALDO</t>
  </si>
  <si>
    <t>903-07</t>
  </si>
  <si>
    <t>812-07</t>
  </si>
  <si>
    <t>134-07</t>
  </si>
  <si>
    <t>136-07</t>
  </si>
  <si>
    <t>143-07</t>
  </si>
  <si>
    <t>813-07</t>
  </si>
  <si>
    <t>145-07</t>
  </si>
  <si>
    <t>138-07</t>
  </si>
  <si>
    <t>140-07</t>
  </si>
  <si>
    <t>142-07</t>
  </si>
  <si>
    <t>147-07</t>
  </si>
  <si>
    <t>814-07</t>
  </si>
  <si>
    <t>149-07</t>
  </si>
  <si>
    <t>151-07</t>
  </si>
  <si>
    <t>815-07</t>
  </si>
  <si>
    <t>146-07</t>
  </si>
  <si>
    <t>148-07</t>
  </si>
  <si>
    <t>153-07</t>
  </si>
  <si>
    <t>155-07</t>
  </si>
  <si>
    <t>816-07</t>
  </si>
  <si>
    <t>150-07</t>
  </si>
  <si>
    <t>157-07</t>
  </si>
  <si>
    <t>SANTIZO</t>
  </si>
  <si>
    <t>D. EDY</t>
  </si>
  <si>
    <t>61-07</t>
  </si>
  <si>
    <t>STORY</t>
  </si>
  <si>
    <t>SAMANTHA</t>
  </si>
  <si>
    <t>152-07</t>
  </si>
  <si>
    <t>817-07</t>
  </si>
  <si>
    <t>159-07</t>
  </si>
  <si>
    <t>161-07</t>
  </si>
  <si>
    <t>154-07</t>
  </si>
  <si>
    <t>156-07</t>
  </si>
  <si>
    <t>163-07</t>
  </si>
  <si>
    <t>DE LA ROSA</t>
  </si>
  <si>
    <t>ALEX</t>
  </si>
  <si>
    <t>55-07</t>
  </si>
  <si>
    <t>818-07</t>
  </si>
  <si>
    <t>165-07</t>
  </si>
  <si>
    <t>160-07</t>
  </si>
  <si>
    <t>819-07</t>
  </si>
  <si>
    <t>HOLCOMB</t>
  </si>
  <si>
    <t>KAMDEN</t>
  </si>
  <si>
    <t>162-07</t>
  </si>
  <si>
    <t>169-07</t>
  </si>
  <si>
    <t>DELGADO</t>
  </si>
  <si>
    <t>DIANAH</t>
  </si>
  <si>
    <t>164-07</t>
  </si>
  <si>
    <t>171-07</t>
  </si>
  <si>
    <t>166-07</t>
  </si>
  <si>
    <t>820-07</t>
  </si>
  <si>
    <t>170-07</t>
  </si>
  <si>
    <t>168-07</t>
  </si>
  <si>
    <t>821-07</t>
  </si>
  <si>
    <t>LOPES</t>
  </si>
  <si>
    <t>KIMBERLY</t>
  </si>
  <si>
    <t>177-07</t>
  </si>
  <si>
    <t>179-07</t>
  </si>
  <si>
    <t>174-07</t>
  </si>
  <si>
    <t>822-07</t>
  </si>
  <si>
    <t>181-07</t>
  </si>
  <si>
    <t>COOLAHAN</t>
  </si>
  <si>
    <t>JOHN</t>
  </si>
  <si>
    <t>823-07</t>
  </si>
  <si>
    <t>65-07</t>
  </si>
  <si>
    <t>180-07</t>
  </si>
  <si>
    <t>189-07</t>
  </si>
  <si>
    <t>191-07</t>
  </si>
  <si>
    <t>184-07</t>
  </si>
  <si>
    <t>193-07</t>
  </si>
  <si>
    <t>186-07</t>
  </si>
  <si>
    <t>825-07</t>
  </si>
  <si>
    <t>188-07</t>
  </si>
  <si>
    <t>BERLING</t>
  </si>
  <si>
    <t>GARY</t>
  </si>
  <si>
    <t>826-07</t>
  </si>
  <si>
    <t>197-07</t>
  </si>
  <si>
    <t>190-07</t>
  </si>
  <si>
    <t>199-07</t>
  </si>
  <si>
    <t>827-07</t>
  </si>
  <si>
    <t>829-07</t>
  </si>
  <si>
    <t>194-07</t>
  </si>
  <si>
    <t>196-07</t>
  </si>
  <si>
    <t>203-07</t>
  </si>
  <si>
    <t>831-07</t>
  </si>
  <si>
    <t>205-07</t>
  </si>
  <si>
    <t>830-07</t>
  </si>
  <si>
    <t>58-07</t>
  </si>
  <si>
    <t>54-07</t>
  </si>
  <si>
    <t>200-07</t>
  </si>
  <si>
    <t>207-07</t>
  </si>
  <si>
    <t>202-07</t>
  </si>
  <si>
    <t>833-07</t>
  </si>
  <si>
    <t>209-07</t>
  </si>
  <si>
    <t>204-07</t>
  </si>
  <si>
    <t>211-07</t>
  </si>
  <si>
    <t>89-07</t>
  </si>
  <si>
    <t>210-07</t>
  </si>
  <si>
    <t>837-07</t>
  </si>
  <si>
    <t>836-07</t>
  </si>
  <si>
    <t>217-07</t>
  </si>
  <si>
    <t>212-07</t>
  </si>
  <si>
    <t>219-07</t>
  </si>
  <si>
    <t>BADERTSCHER</t>
  </si>
  <si>
    <t>DIANE</t>
  </si>
  <si>
    <t>839-07</t>
  </si>
  <si>
    <t>838-07</t>
  </si>
  <si>
    <t>221-07</t>
  </si>
  <si>
    <t>218-07</t>
  </si>
  <si>
    <t>906-07</t>
  </si>
  <si>
    <t>303-07</t>
  </si>
  <si>
    <t>841-07</t>
  </si>
  <si>
    <t>305-07</t>
  </si>
  <si>
    <t>222-07</t>
  </si>
  <si>
    <t>225-07</t>
  </si>
  <si>
    <t>843-07</t>
  </si>
  <si>
    <t>224-07</t>
  </si>
  <si>
    <t>227-07</t>
  </si>
  <si>
    <t>842-07</t>
  </si>
  <si>
    <t>226-07</t>
  </si>
  <si>
    <t>229-07</t>
  </si>
  <si>
    <t>845-07</t>
  </si>
  <si>
    <t>231-07</t>
  </si>
  <si>
    <t>233-07</t>
  </si>
  <si>
    <t>847-07</t>
  </si>
  <si>
    <t>232-07</t>
  </si>
  <si>
    <t>235-07</t>
  </si>
  <si>
    <t>JACKSON</t>
  </si>
  <si>
    <t>WILLIAM</t>
  </si>
  <si>
    <t>234-07</t>
  </si>
  <si>
    <t>237-07</t>
  </si>
  <si>
    <t>241-07</t>
  </si>
  <si>
    <t>240-07</t>
  </si>
  <si>
    <t>243-07</t>
  </si>
  <si>
    <t>307-07</t>
  </si>
  <si>
    <t>309-07</t>
  </si>
  <si>
    <t>244-07</t>
  </si>
  <si>
    <t>311-07</t>
  </si>
  <si>
    <t>313-07</t>
  </si>
  <si>
    <t>clear-night</t>
  </si>
  <si>
    <t>Clear</t>
  </si>
  <si>
    <t>clear-day</t>
  </si>
  <si>
    <t>204:770</t>
  </si>
  <si>
    <t>204:233314</t>
  </si>
  <si>
    <t>204:233304</t>
  </si>
  <si>
    <t>204:232994</t>
  </si>
  <si>
    <t>204:233247</t>
  </si>
  <si>
    <t>204:232940</t>
  </si>
  <si>
    <t>204:233327</t>
  </si>
  <si>
    <t>204:233311</t>
  </si>
  <si>
    <t>204:232973</t>
  </si>
  <si>
    <t>204:233302</t>
  </si>
  <si>
    <t>204:232967</t>
  </si>
  <si>
    <t>204:233306</t>
  </si>
  <si>
    <t>204:170</t>
  </si>
  <si>
    <t>204:429</t>
  </si>
  <si>
    <t>204:232981</t>
  </si>
  <si>
    <t>204:232969</t>
  </si>
  <si>
    <t>204:161</t>
  </si>
  <si>
    <t>204:233330</t>
  </si>
  <si>
    <t>204:232992</t>
  </si>
  <si>
    <t>204:233318</t>
  </si>
  <si>
    <t>204:232985</t>
  </si>
  <si>
    <t>204:232653</t>
  </si>
  <si>
    <t>204:233382</t>
  </si>
  <si>
    <t>204:1173</t>
  </si>
  <si>
    <t>204:87</t>
  </si>
  <si>
    <t>204:233319</t>
  </si>
  <si>
    <t>204:233006</t>
  </si>
  <si>
    <t>204:233321</t>
  </si>
  <si>
    <t>204:232970</t>
  </si>
  <si>
    <t>204:233051</t>
  </si>
  <si>
    <t>204:391</t>
  </si>
  <si>
    <t>204:233077</t>
  </si>
  <si>
    <t>204:64038</t>
  </si>
  <si>
    <t>204:36802</t>
  </si>
  <si>
    <t>204:233048</t>
  </si>
  <si>
    <t>204:233243</t>
  </si>
  <si>
    <t>204:6816</t>
  </si>
  <si>
    <t>204:232965</t>
  </si>
  <si>
    <t>204:125</t>
  </si>
  <si>
    <t>204:232815</t>
  </si>
  <si>
    <t>204:233027</t>
  </si>
  <si>
    <t>204:233272</t>
  </si>
  <si>
    <t>204:232926</t>
  </si>
  <si>
    <t>204:251</t>
  </si>
  <si>
    <t>204:233266</t>
  </si>
  <si>
    <t>204:233005</t>
  </si>
  <si>
    <t>204:233320</t>
  </si>
  <si>
    <t>204:233210</t>
  </si>
  <si>
    <t>204:233340</t>
  </si>
  <si>
    <t>204:233036</t>
  </si>
  <si>
    <t>204:132</t>
  </si>
  <si>
    <t>204:557</t>
  </si>
  <si>
    <t>204:169</t>
  </si>
  <si>
    <t>204:233315</t>
  </si>
  <si>
    <t>204:189692</t>
  </si>
  <si>
    <t>204:233300</t>
  </si>
  <si>
    <t>204:233291</t>
  </si>
  <si>
    <t>204:233280</t>
  </si>
  <si>
    <t>300:23427</t>
  </si>
  <si>
    <t>204:174</t>
  </si>
  <si>
    <t>300:23127</t>
  </si>
  <si>
    <t>204:728</t>
  </si>
  <si>
    <t>300:21846</t>
  </si>
  <si>
    <t>204:478</t>
  </si>
  <si>
    <t>300:23310</t>
  </si>
  <si>
    <t>300:22559</t>
  </si>
  <si>
    <t>300:21538</t>
  </si>
  <si>
    <t>300:22896</t>
  </si>
  <si>
    <t>300:23316</t>
  </si>
  <si>
    <t>300:23383</t>
  </si>
  <si>
    <t>300:23295</t>
  </si>
  <si>
    <t>300:23576</t>
  </si>
  <si>
    <t>204:3227</t>
  </si>
  <si>
    <t>204:1181</t>
  </si>
  <si>
    <t>204:3558</t>
  </si>
  <si>
    <t>300:23205</t>
  </si>
  <si>
    <t>204:1337</t>
  </si>
  <si>
    <t>204:1505</t>
  </si>
  <si>
    <t>204:103388</t>
  </si>
  <si>
    <t>204:1166</t>
  </si>
  <si>
    <t>300:24248</t>
  </si>
  <si>
    <t>300:23279</t>
  </si>
  <si>
    <t>204:1855</t>
  </si>
  <si>
    <t>300:25135</t>
  </si>
  <si>
    <t>300:24464</t>
  </si>
  <si>
    <t>204:1140</t>
  </si>
  <si>
    <t>300:22612</t>
  </si>
  <si>
    <t>204:3223</t>
  </si>
  <si>
    <t>204:109</t>
  </si>
  <si>
    <t>204:1488</t>
  </si>
  <si>
    <t>204:3542</t>
  </si>
  <si>
    <t>204:193457</t>
  </si>
  <si>
    <t>204:993</t>
  </si>
  <si>
    <t>300:5063</t>
  </si>
  <si>
    <t>204:1840</t>
  </si>
  <si>
    <t>204:1177</t>
  </si>
  <si>
    <t>300:5427</t>
  </si>
  <si>
    <t>204:748</t>
  </si>
  <si>
    <t>300:58920</t>
  </si>
  <si>
    <t>300:58598</t>
  </si>
  <si>
    <t>204:754</t>
  </si>
  <si>
    <t>204:972</t>
  </si>
  <si>
    <t>300:58990</t>
  </si>
  <si>
    <t>300:58673</t>
  </si>
  <si>
    <t>204:785</t>
  </si>
  <si>
    <t>204:1055</t>
  </si>
  <si>
    <t>300:58746</t>
  </si>
  <si>
    <t>204:817</t>
  </si>
  <si>
    <t>204:1053</t>
  </si>
  <si>
    <t>300:58986</t>
  </si>
  <si>
    <t>300:58677</t>
  </si>
  <si>
    <t>204:705</t>
  </si>
  <si>
    <t>204:1123</t>
  </si>
  <si>
    <t>300:58952</t>
  </si>
  <si>
    <t>204:743</t>
  </si>
  <si>
    <t>204:986</t>
  </si>
  <si>
    <t>300:58992</t>
  </si>
  <si>
    <t>300:58668</t>
  </si>
  <si>
    <t>204:712</t>
  </si>
  <si>
    <t>300:58960</t>
  </si>
  <si>
    <t>300:58651</t>
  </si>
  <si>
    <t>204:715</t>
  </si>
  <si>
    <t>300:58982</t>
  </si>
  <si>
    <t>300:58658</t>
  </si>
  <si>
    <t>204:710</t>
  </si>
  <si>
    <t>300:58993</t>
  </si>
  <si>
    <t>300:58681</t>
  </si>
  <si>
    <t>204:983</t>
  </si>
  <si>
    <t>300:58670</t>
  </si>
  <si>
    <t>300:58609</t>
  </si>
  <si>
    <t>204:741</t>
  </si>
  <si>
    <t>204:787</t>
  </si>
  <si>
    <t>204:1020</t>
  </si>
  <si>
    <t>204:664</t>
  </si>
  <si>
    <t>204:1067</t>
  </si>
  <si>
    <t>204:734</t>
  </si>
  <si>
    <t>204:957</t>
  </si>
  <si>
    <t>300:58928</t>
  </si>
  <si>
    <t>204:1044</t>
  </si>
  <si>
    <t>300:58630</t>
  </si>
  <si>
    <t>204:981</t>
  </si>
  <si>
    <t>300:58914</t>
  </si>
  <si>
    <t>300:58647</t>
  </si>
  <si>
    <t>204:661</t>
  </si>
  <si>
    <t>204:953</t>
  </si>
  <si>
    <t>300:58956</t>
  </si>
  <si>
    <t>300:58604</t>
  </si>
  <si>
    <t>300:58910</t>
  </si>
  <si>
    <t>300:30097</t>
  </si>
  <si>
    <t>300:58948</t>
  </si>
  <si>
    <t>300:23612</t>
  </si>
  <si>
    <t>204:1035</t>
  </si>
  <si>
    <t>300:24239</t>
  </si>
  <si>
    <t>300:22463</t>
  </si>
  <si>
    <t>300:58560</t>
  </si>
  <si>
    <t>300:21405</t>
  </si>
  <si>
    <t>300:58415</t>
  </si>
  <si>
    <t>start /low /b %USERPROFILE%\Documents\GitHub\eaglep3\Utilities\DownloadLogsFromS3.py --loco 4027 --day 2017-06-07</t>
  </si>
  <si>
    <t>start /low /b %USERPROFILE%\Documents\GitHub\eaglep3\Utilities\DownloadLogsFromS3.py --loco 4013 --day 2017-06-07</t>
  </si>
  <si>
    <t>start /low /b %USERPROFILE%\Documents\GitHub\eaglep3\Utilities\DownloadLogsFromS3.py --loco 4042 --day 2017-06-07</t>
  </si>
  <si>
    <t>start /low /b %USERPROFILE%\Documents\GitHub\eaglep3\Utilities\DownloadLogsFromS3.py --loco 4012 --day 2017-06-07</t>
  </si>
  <si>
    <t>start /low /b %USERPROFILE%\Documents\GitHub\eaglep3\Utilities\DownloadLogsFromS3.py --loco 4015 --day 2017-06-07</t>
  </si>
  <si>
    <t>start /low /b %USERPROFILE%\Documents\GitHub\eaglep3\Utilities\DownloadLogsFromS3.py --loco 4058 --day 2017-06-07</t>
  </si>
  <si>
    <t>start /low /b %USERPROFILE%\Documents\GitHub\eaglep3\Utilities\DownloadLogsFromS3.py --loco 4010 --day 2017-06-07</t>
  </si>
  <si>
    <t>start /low /b %USERPROFILE%\Documents\GitHub\eaglep3\Utilities\DownloadLogsFromS3.py --loco 4057 --day 2017-06-08</t>
  </si>
  <si>
    <t>start /low /b %USERPROFILE%\Documents\GitHub\eaglep3\Utilities\DownloadLogsFromS3.py --loco 4031 --day 2017-06-07</t>
  </si>
  <si>
    <t>start /low /b %USERPROFILE%\Documents\GitHub\eaglep3\Utilities\DownloadLogsFromS3.py --loco 4045 --day 2017-06-08</t>
  </si>
  <si>
    <t>start /low /b %USERPROFILE%\Documents\GitHub\eaglep3\Utilities\DownloadLogsFromS3.py --loco 4015 --day 2017-06-08</t>
  </si>
  <si>
    <t>start /low /b %USERPROFILE%\Documents\GitHub\eaglep3\Utilities\DownloadLogsFromS3.py --loco 4045 --day 2017-06-07</t>
  </si>
  <si>
    <t>start /low /b %USERPROFILE%\Documents\GitHub\eaglep3\Utilities\DownloadLogsFromS3.py --loco 4046 --day 2017-06-07</t>
  </si>
  <si>
    <t>start /low /b %USERPROFILE%\Documents\GitHub\eaglep3\Utilities\DownloadLogsFromS3.py --loco 4058 --day 2017-06-08</t>
  </si>
  <si>
    <t>start /low /b %USERPROFILE%\Documents\GitHub\eaglep3\Utilities\DownloadLogsFromS3.py --loco 4011 --day 2017-06-08</t>
  </si>
  <si>
    <t>start /low /b %USERPROFILE%\Documents\GitHub\eaglep3\Utilities\DownloadLogsFromS3.py --loco 4041 --day 2017-06-08</t>
  </si>
  <si>
    <t>start /low /b %USERPROFILE%\Documents\GitHub\eaglep3\Utilities\DownloadLogsFromS3.py --loco 4028 --day 2017-06-07</t>
  </si>
  <si>
    <t>start /low /b %USERPROFILE%\Documents\GitHub\eaglep3\Utilities\DownloadLogsFromS3.py --loco 4011 --day 2017-06-07</t>
  </si>
  <si>
    <t>start /low /b %USERPROFILE%\Documents\GitHub\eaglep3\Utilities\DownloadLogsFromS3.py --loco 4027 --day 2017-06-08</t>
  </si>
  <si>
    <t>start /low /b %USERPROFILE%\Documents\GitHub\eaglep3\Utilities\DownloadLogsFromS3.py --loco 4016 --day 2017-06-07</t>
  </si>
  <si>
    <t>start /low /b %USERPROFILE%\Documents\GitHub\eaglep3\Utilities\DownloadLogsFromS3.py --loco 4028 --day 2017-06-08</t>
  </si>
  <si>
    <t>start /low /b %USERPROFILE%\Documents\GitHub\eaglep3\Utilities\DownloadLogsFromS3.py --loco 4062 --day 2017-06-07</t>
  </si>
  <si>
    <t>start /low /b %USERPROFILE%\Documents\GitHub\eaglep3\Utilities\DownloadLogsFromS3.py --loco 4009 --day 2017-06-08</t>
  </si>
  <si>
    <t>start /low /b %USERPROFILE%\Documents\GitHub\eaglep3\Utilities\DownloadLogsFromS3.py --loco 4061 --day 2017-06-07</t>
  </si>
  <si>
    <t>start /low /b %USERPROFILE%\Documents\GitHub\eaglep3\Utilities\DownloadLogsFromS3.py --loco 4009 --day 2017-06-07</t>
  </si>
  <si>
    <t>Cancelled due to propulsion issue</t>
  </si>
  <si>
    <t>Bright Switch 3 hardware failure</t>
  </si>
  <si>
    <t>Bright Switch 3 hardware failure (virtual signal at STOP due to traffic)</t>
  </si>
  <si>
    <t>185-07</t>
  </si>
  <si>
    <t>187-07</t>
  </si>
  <si>
    <t>198-07</t>
  </si>
  <si>
    <t>BRUDER RICHARD</t>
  </si>
  <si>
    <t>Ran as trip 58 due to operator swap</t>
  </si>
  <si>
    <t>213-07</t>
  </si>
  <si>
    <t>Extended Wi-MAX data drop</t>
  </si>
  <si>
    <t>Cancelled due to DUS SW 3 issue</t>
  </si>
  <si>
    <t>Overspeed</t>
  </si>
  <si>
    <t>DUS 28S RESTRICTING, cleared after</t>
  </si>
  <si>
    <t>NW0070RH 7-1T 1S RESTRICTING, cleared afterward</t>
  </si>
  <si>
    <t>Minor onboard in-route failure caused Unhealthy crossing banner</t>
  </si>
  <si>
    <t>Ran as trip 65 due to operator swap, delayed by poor GPS at DUS</t>
  </si>
  <si>
    <t>Many Wi-MAX data drops</t>
  </si>
  <si>
    <t>Delayed due to CCROC association issues</t>
  </si>
  <si>
    <t>Unhealthy at Holly due to enforcement at prior crossing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</si>
</sst>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2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topLeftCell="A73" zoomScaleNormal="100" workbookViewId="0">
      <selection activeCell="R86" sqref="R8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42893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42893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140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COUNTIFS($N$13:$N$9322,"&gt;0",$AG$13:$AG$9322,I1)</f>
        <v>134</v>
      </c>
      <c r="K5" s="39"/>
      <c r="L5" s="39"/>
      <c r="M5" s="40">
        <f>AVERAGEIFS($N$13:$N$9322,$AG$13:$AG$9322,I1)</f>
        <v>39.663805970261848</v>
      </c>
      <c r="N5" s="38">
        <f t="array" ref="N5">MIN(IF($AG$13:$AG$9322=I1,IF(ISNUMBER($N$13:$N$9322),IF($N$13:$N$9322&gt;0,$N$13:$N$9322))))</f>
        <v>34.166666669771075</v>
      </c>
      <c r="O5" s="3">
        <f t="array" ref="O5">MAX(IF($AG$13:$AG$9322=I1,IF(ISNUMBER($N$13:$N$9322),IF($N$13:$N$9322&gt;0,$N$13:$N$9322))))</f>
        <v>76.883333326550201</v>
      </c>
      <c r="P5" s="2"/>
      <c r="R5" s="169" t="s">
        <v>17</v>
      </c>
      <c r="S5" s="193">
        <f>COUNTIFS($N$13:$N$9322,"&gt;0",$AG$13:$AG$9322,R1)</f>
        <v>47</v>
      </c>
      <c r="T5" s="194"/>
      <c r="U5" s="194"/>
      <c r="V5" s="190">
        <f>AVERAGEIFS($N$13:$N$9322,$AG$13:$AG$9322,R1)</f>
        <v>14.985106382246546</v>
      </c>
      <c r="W5" s="191">
        <f t="array" ref="W5">MIN(IF($AG$13:$AG$9322=R1,IF(ISNUMBER($N$13:$N$9322),IF($N$13:$N$9322&gt;0,$N$13:$N$9322))))</f>
        <v>13.000000000465661</v>
      </c>
      <c r="X5" s="192">
        <f t="array" ref="X5">MAX(IF($AG$13:$AG$9322=R1,IF(ISNUMBER($N$13:$N$9322),IF($N$13:$N$9322&gt;0,$N$13:$N$9322))))</f>
        <v>17.299999999813735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70" t="s">
        <v>43</v>
      </c>
      <c r="S6" s="193">
        <f>COUNT($O$13:$O$126)</f>
        <v>0</v>
      </c>
      <c r="T6" s="194"/>
      <c r="U6" s="194"/>
      <c r="V6" s="190">
        <f>IFERROR(AVERAGE($O$13:$O$126),0)</f>
        <v>0</v>
      </c>
      <c r="W6" s="191">
        <f>MIN($O$13:$O$126)</f>
        <v>0</v>
      </c>
      <c r="X6" s="192">
        <f>MAX($O$13:$O$126)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COUNTIFS($P$13:$P$9322,"&gt;0",$AG$13:$AG$9322,I1)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COUNTIFS($P$13:$P$9322,"&gt;0",$AG$13:$AG$9322,R1)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134</v>
      </c>
      <c r="K8" s="39"/>
      <c r="L8" s="39"/>
      <c r="M8" s="40">
        <f>M5</f>
        <v>39.663805970261848</v>
      </c>
      <c r="N8" s="38">
        <f>N5</f>
        <v>34.166666669771075</v>
      </c>
      <c r="O8" s="3">
        <f>O5</f>
        <v>76.883333326550201</v>
      </c>
      <c r="P8" s="2"/>
      <c r="R8" s="169" t="s">
        <v>16</v>
      </c>
      <c r="S8" s="193">
        <f>S5</f>
        <v>47</v>
      </c>
      <c r="T8" s="194"/>
      <c r="U8" s="194"/>
      <c r="V8" s="190">
        <f>V5</f>
        <v>14.985106382246546</v>
      </c>
      <c r="W8" s="191">
        <f>W5</f>
        <v>13.000000000465661</v>
      </c>
      <c r="X8" s="192">
        <f>X5</f>
        <v>17.299999999813735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0.95714285714285718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- 2017-06-07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AVERAGE(S13:S98)</f>
        <v>0.95882352941176474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658</v>
      </c>
      <c r="B13" s="7">
        <v>4016</v>
      </c>
      <c r="C13" s="21" t="s">
        <v>204</v>
      </c>
      <c r="D13" s="21" t="s">
        <v>849</v>
      </c>
      <c r="E13" s="13">
        <v>42893.128576388888</v>
      </c>
      <c r="F13" s="13">
        <v>42893.135682870372</v>
      </c>
      <c r="G13" s="7">
        <v>1</v>
      </c>
      <c r="H13" s="21" t="s">
        <v>850</v>
      </c>
      <c r="I13" s="13">
        <v>42893.16233796296</v>
      </c>
      <c r="J13" s="7">
        <v>0</v>
      </c>
      <c r="K13" s="92" t="str">
        <f t="shared" ref="K13:K76" si="0">IF(ISEVEN(B13),(B13-1)&amp;"/"&amp;B13,B13&amp;"/"&amp;(B13+1))</f>
        <v>4015/4016</v>
      </c>
      <c r="L13" s="21" t="str">
        <f>VLOOKUP(A13,'Trips&amp;Operators'!$C$1:$G$99999,5,FALSE)</f>
        <v>THOMPSON LESTER</v>
      </c>
      <c r="M13" s="6">
        <f t="shared" ref="M13:M76" si="1">I13-F13</f>
        <v>2.6655092588043772E-2</v>
      </c>
      <c r="N13" s="7">
        <f t="shared" ref="N13:N44" si="2">24*60*SUM($M13:$M13)</f>
        <v>38.383333326783031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-07T02:05:09-0600',mode:absolute,to:'2017-06-07T04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204" t="str">
        <f t="shared" ref="W13:W58" si="6">IF(AA13&lt;IF(AG13="EC",23,5.65),"Y","N")</f>
        <v>N</v>
      </c>
      <c r="X13" s="204" t="e">
        <f t="shared" ref="X13:X59" si="7">VALUE(LEFT(AD13,4))-VALUE(LEFT(AD12,4))</f>
        <v>#VALUE!</v>
      </c>
      <c r="Y13" s="204">
        <f t="shared" ref="Y13:Y44" si="8">RIGHT(D13,LEN(D13)-4)/10000</f>
        <v>7.6999999999999999E-2</v>
      </c>
      <c r="Z13" s="204">
        <f t="shared" ref="Z13:Z44" si="9">RIGHT(H13,LEN(H13)-4)/10000</f>
        <v>23.331399999999999</v>
      </c>
      <c r="AA13" s="204">
        <f t="shared" ref="AA13:AA76" si="10">ABS(Z13-Y13)</f>
        <v>23.254399999999997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0101-07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/stypes="app*4016*20170607*"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4016 --swversion DE.1.0.9.0 --startMP 204:770 --initTime 2017-06-07T03:05:09 --startdatetime 2017-06-07T03:15:23 --delay 1 --endMP 204:233314 --enddatetime 2017-06-07T03:53:46 --enforcementcount 0 &gt;&gt;C:\Users\stu\Documents\GitHub\eaglep3-reporting\EC\2017-06-07-refined-times.txt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{"issue":{"subject":"","project_id":79,"tracker_id":40,"status_id":1,"priority_id":2,"assigned_to_id":23,"start_date":"2017-06-07","description":"","custom_fields":[{"id":1,"name":"Subdivision","value":"EC"},{"id":4,"name":"Milepost","value":"23.3314"},{"id":17,"name":"Train ID","value":"101-07"},{"id":16,"name":"Locomotive ID","value":"4016"},{"id":130,"name":"Impact","value":""},{"id":150,"name":"Time of Event (Mountain Time)","value":"03:53:46"},{"id":151,"name":"Denver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4016 --day 2017-06-07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09:53:46"},{"id":29,"name":"Sharepoint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662</v>
      </c>
      <c r="B14" s="7">
        <v>4015</v>
      </c>
      <c r="C14" s="21" t="s">
        <v>204</v>
      </c>
      <c r="D14" s="21" t="s">
        <v>489</v>
      </c>
      <c r="E14" s="13">
        <v>42893.169675925928</v>
      </c>
      <c r="F14" s="13">
        <v>42893.175243055557</v>
      </c>
      <c r="G14" s="7">
        <v>1</v>
      </c>
      <c r="H14" s="21" t="s">
        <v>195</v>
      </c>
      <c r="I14" s="13">
        <v>42893.2030787037</v>
      </c>
      <c r="J14" s="7">
        <v>0</v>
      </c>
      <c r="K14" s="92" t="str">
        <f t="shared" si="0"/>
        <v>4015/4016</v>
      </c>
      <c r="L14" s="21" t="str">
        <f>VLOOKUP(A14,'Trips&amp;Operators'!$C$1:$G$99999,5,FALSE)</f>
        <v>THOMPSON LESTER</v>
      </c>
      <c r="M14" s="6">
        <f t="shared" si="1"/>
        <v>2.7835648143081926E-2</v>
      </c>
      <c r="N14" s="7">
        <f t="shared" si="2"/>
        <v>40.083333326037973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-07T03:04:20-0600',mode:absolute,to:'2017-06-07T05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23.299099999999999</v>
      </c>
      <c r="Z14" s="204">
        <f t="shared" si="9"/>
        <v>1.52E-2</v>
      </c>
      <c r="AA14" s="204">
        <f t="shared" si="10"/>
        <v>23.283899999999999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0102-07</v>
      </c>
      <c r="AE14" s="80" t="str">
        <f t="shared" si="12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14" s="77" t="str">
        <f t="shared" si="13"/>
        <v>"C:\Program Files (x86)\AstroGrep\AstroGrep.exe" /e /r /s /spath="%USERPROFILE%\AppData\Local\Temp\OnboardLogs" /stypes="app*4015*20170607*"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4015 --swversion DE.1.0.9.0 --startMP 204:232991 --initTime 2017-06-07T04:04:20 --startdatetime 2017-06-07T04:12:21 --delay 1 --endMP 204:152 --enddatetime 2017-06-07T04:52:26 --enforcementcount 0 &gt;&gt;C:\Users\stu\Documents\GitHub\eaglep3-reporting\EC\2017-06-07-refined-times.txt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{"issue":{"subject":"","project_id":79,"tracker_id":40,"status_id":1,"priority_id":2,"assigned_to_id":23,"start_date":"2017-06-07","description":"","custom_fields":[{"id":1,"name":"Subdivision","value":"EC"},{"id":4,"name":"Milepost","value":"0.0152"},{"id":17,"name":"Train ID","value":"102-07"},{"id":16,"name":"Locomotive ID","value":"4015"},{"id":130,"name":"Impact","value":""},{"id":150,"name":"Time of Event (Mountain Time)","value":"04:52:26"},{"id":151,"name":"Denver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4015 --day 2017-06-07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660</v>
      </c>
      <c r="B15" s="7">
        <v>4014</v>
      </c>
      <c r="C15" s="21" t="s">
        <v>204</v>
      </c>
      <c r="D15" s="21" t="s">
        <v>482</v>
      </c>
      <c r="E15" s="13">
        <v>42893.152997685182</v>
      </c>
      <c r="F15" s="13">
        <v>42893.156481481485</v>
      </c>
      <c r="G15" s="7">
        <v>1</v>
      </c>
      <c r="H15" s="21" t="s">
        <v>561</v>
      </c>
      <c r="I15" s="13">
        <v>42893.182453703703</v>
      </c>
      <c r="J15" s="7">
        <v>0</v>
      </c>
      <c r="K15" s="92" t="str">
        <f t="shared" si="0"/>
        <v>4013/4014</v>
      </c>
      <c r="L15" s="21" t="str">
        <f>VLOOKUP(A15,'Trips&amp;Operators'!$C$1:$G$99999,5,FALSE)</f>
        <v>MAELZER KURT</v>
      </c>
      <c r="M15" s="6">
        <f t="shared" si="1"/>
        <v>2.5972222218115348E-2</v>
      </c>
      <c r="N15" s="7">
        <f t="shared" si="2"/>
        <v>37.399999994086102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-07T02:40:19-0600',mode:absolute,to:'2017-06-07T05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4.4400000000000002E-2</v>
      </c>
      <c r="Z15" s="204">
        <f t="shared" si="9"/>
        <v>23.334199999999999</v>
      </c>
      <c r="AA15" s="204">
        <f t="shared" si="10"/>
        <v>23.2898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0103-07</v>
      </c>
      <c r="AE15" s="80" t="str">
        <f t="shared" si="12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15" s="77" t="str">
        <f t="shared" si="13"/>
        <v>"C:\Program Files (x86)\AstroGrep\AstroGrep.exe" /e /r /s /spath="%USERPROFILE%\AppData\Local\Temp\OnboardLogs" /stypes="app*4014*20170607*"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103-07 --locoid 4014 --swversion DE.1.0.9.0 --startMP 204:444 --initTime 2017-06-07T03:40:19 --startdatetime 2017-06-07T03:45:20 --delay 1 --endMP 204:233342 --enddatetime 2017-06-07T04:22:44 --enforcementcount 0 &gt;&gt;C:\Users\stu\Documents\GitHub\eaglep3-reporting\EC\2017-06-07-refined-times.txt</v>
      </c>
      <c r="AI15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{"issue":{"subject":"","project_id":79,"tracker_id":40,"status_id":1,"priority_id":2,"assigned_to_id":23,"start_date":"2017-06-07","description":"","custom_fields":[{"id":1,"name":"Subdivision","value":"EC"},{"id":4,"name":"Milepost","value":"23.3342"},{"id":17,"name":"Train ID","value":"103-07"},{"id":16,"name":"Locomotive ID","value":"4014"},{"id":130,"name":"Impact","value":""},{"id":150,"name":"Time of Event (Mountain Time)","value":"04:22:44"},{"id":151,"name":"Denver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4014 --day 2017-06-07</v>
      </c>
      <c r="AN15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10:22:44"},{"id":29,"name":"Sharepoint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667</v>
      </c>
      <c r="B16" s="7">
        <v>4013</v>
      </c>
      <c r="C16" s="21" t="s">
        <v>204</v>
      </c>
      <c r="D16" s="21" t="s">
        <v>580</v>
      </c>
      <c r="E16" s="13">
        <v>42893.192974537036</v>
      </c>
      <c r="F16" s="13">
        <v>42893.196099537039</v>
      </c>
      <c r="G16" s="7">
        <v>0</v>
      </c>
      <c r="H16" s="21" t="s">
        <v>364</v>
      </c>
      <c r="I16" s="13">
        <v>42893.222118055557</v>
      </c>
      <c r="J16" s="7">
        <v>0</v>
      </c>
      <c r="K16" s="92" t="str">
        <f t="shared" si="0"/>
        <v>4013/4014</v>
      </c>
      <c r="L16" s="21" t="str">
        <f>VLOOKUP(A16,'Trips&amp;Operators'!$C$1:$G$99999,5,FALSE)</f>
        <v>MAELZER KURT</v>
      </c>
      <c r="M16" s="6">
        <f t="shared" si="1"/>
        <v>2.6018518517958E-2</v>
      </c>
      <c r="N16" s="7">
        <f t="shared" si="2"/>
        <v>37.46666666585952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-07T03:37:53-0600',mode:absolute,to:'2017-06-07T06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23.301500000000001</v>
      </c>
      <c r="Z16" s="204">
        <f t="shared" si="9"/>
        <v>1.47E-2</v>
      </c>
      <c r="AA16" s="204">
        <f t="shared" si="10"/>
        <v>23.286799999999999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0104-07</v>
      </c>
      <c r="AE16" s="80" t="str">
        <f t="shared" si="12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16" s="77" t="str">
        <f t="shared" si="13"/>
        <v>"C:\Program Files (x86)\AstroGrep\AstroGrep.exe" /e /r /s /spath="%USERPROFILE%\AppData\Local\Temp\OnboardLogs" /stypes="app*4013*20170607*"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104-07 --locoid 4013 --swversion DE.1.0.9.0 --startMP 204:233015 --initTime 2017-06-07T04:37:53 --startdatetime 2017-06-07T04:42:23 --delay 0 --endMP 204:147 --enddatetime 2017-06-07T05:19:51 --enforcementcount 0 &gt;&gt;C:\Users\stu\Documents\GitHub\eaglep3-reporting\EC\2017-06-07-refined-times.txt</v>
      </c>
      <c r="AI16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{"issue":{"subject":"","project_id":79,"tracker_id":40,"status_id":1,"priority_id":2,"assigned_to_id":23,"start_date":"2017-06-07","description":"","custom_fields":[{"id":1,"name":"Subdivision","value":"EC"},{"id":4,"name":"Milepost","value":"0.0147"},{"id":17,"name":"Train ID","value":"104-07"},{"id":16,"name":"Locomotive ID","value":"4013"},{"id":130,"name":"Impact","value":""},{"id":150,"name":"Time of Event (Mountain Time)","value":"05:19:51"},{"id":151,"name":"Denver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4013 --day 2017-06-07</v>
      </c>
      <c r="AN16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663</v>
      </c>
      <c r="B17" s="7">
        <v>4028</v>
      </c>
      <c r="C17" s="21" t="s">
        <v>204</v>
      </c>
      <c r="D17" s="21" t="s">
        <v>397</v>
      </c>
      <c r="E17" s="13">
        <v>42893.174432870372</v>
      </c>
      <c r="F17" s="13">
        <v>42893.177372685182</v>
      </c>
      <c r="G17" s="7">
        <v>2</v>
      </c>
      <c r="H17" s="21" t="s">
        <v>491</v>
      </c>
      <c r="I17" s="13">
        <v>42893.202314814815</v>
      </c>
      <c r="J17" s="7">
        <v>0</v>
      </c>
      <c r="K17" s="92" t="str">
        <f t="shared" si="0"/>
        <v>4027/4028</v>
      </c>
      <c r="L17" s="21" t="str">
        <f>VLOOKUP(A17,'Trips&amp;Operators'!$C$1:$G$99999,5,FALSE)</f>
        <v>STARKS ANGELINA</v>
      </c>
      <c r="M17" s="6">
        <f t="shared" si="1"/>
        <v>2.4942129632108845E-2</v>
      </c>
      <c r="N17" s="7">
        <f t="shared" si="2"/>
        <v>35.916666670236737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-07T03:11:11-0600',mode:absolute,to:'2017-06-07T05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4.6199999999999998E-2</v>
      </c>
      <c r="Z17" s="204">
        <f t="shared" si="9"/>
        <v>23.330100000000002</v>
      </c>
      <c r="AA17" s="204">
        <f t="shared" si="10"/>
        <v>23.283900000000003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0105-07</v>
      </c>
      <c r="AE17" s="80" t="str">
        <f t="shared" si="12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17" s="77" t="str">
        <f t="shared" si="13"/>
        <v>"C:\Program Files (x86)\AstroGrep\AstroGrep.exe" /e /r /s /spath="%USERPROFILE%\AppData\Local\Temp\OnboardLogs" /stypes="app*4028*20170607*"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105-07 --locoid 4028 --swversion DE.1.0.9.0 --startMP 204:462 --initTime 2017-06-07T04:11:11 --startdatetime 2017-06-07T04:15:25 --delay 2 --endMP 204:233301 --enddatetime 2017-06-07T04:51:20 --enforcementcount 0 &gt;&gt;C:\Users\stu\Documents\GitHub\eaglep3-reporting\EC\2017-06-07-refined-times.txt</v>
      </c>
      <c r="AI17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{"issue":{"subject":"","project_id":79,"tracker_id":40,"status_id":1,"priority_id":2,"assigned_to_id":23,"start_date":"2017-06-07","description":"","custom_fields":[{"id":1,"name":"Subdivision","value":"EC"},{"id":4,"name":"Milepost","value":"23.3301"},{"id":17,"name":"Train ID","value":"105-07"},{"id":16,"name":"Locomotive ID","value":"4028"},{"id":130,"name":"Impact","value":""},{"id":150,"name":"Time of Event (Mountain Time)","value":"04:51:20"},{"id":151,"name":"Denver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4028 --day 2017-06-07</v>
      </c>
      <c r="AN17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672</v>
      </c>
      <c r="B18" s="7">
        <v>4027</v>
      </c>
      <c r="C18" s="21" t="s">
        <v>204</v>
      </c>
      <c r="D18" s="21" t="s">
        <v>462</v>
      </c>
      <c r="E18" s="13">
        <v>42893.214212962965</v>
      </c>
      <c r="F18" s="13">
        <v>42893.216851851852</v>
      </c>
      <c r="G18" s="7">
        <v>1</v>
      </c>
      <c r="H18" s="21" t="s">
        <v>431</v>
      </c>
      <c r="I18" s="13">
        <v>42893.243958333333</v>
      </c>
      <c r="J18" s="7">
        <v>0</v>
      </c>
      <c r="K18" s="92" t="str">
        <f t="shared" si="0"/>
        <v>4027/4028</v>
      </c>
      <c r="L18" s="21" t="str">
        <f>VLOOKUP(A18,'Trips&amp;Operators'!$C$1:$G$99999,5,FALSE)</f>
        <v>STARKS ANGELINA</v>
      </c>
      <c r="M18" s="6">
        <f t="shared" si="1"/>
        <v>2.7106481480586808E-2</v>
      </c>
      <c r="N18" s="7">
        <f t="shared" si="2"/>
        <v>39.033333332045004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-07T04:08:28-0600',mode:absolute,to:'2017-06-07T06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23.297799999999999</v>
      </c>
      <c r="Z18" s="204">
        <f t="shared" si="9"/>
        <v>1.4500000000000001E-2</v>
      </c>
      <c r="AA18" s="204">
        <f t="shared" si="10"/>
        <v>23.283299999999997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0106-07</v>
      </c>
      <c r="AE18" s="80" t="str">
        <f t="shared" si="12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18" s="77" t="str">
        <f t="shared" si="13"/>
        <v>"C:\Program Files (x86)\AstroGrep\AstroGrep.exe" /e /r /s /spath="%USERPROFILE%\AppData\Local\Temp\OnboardLogs" /stypes="app*4027*20170607*"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106-07 --locoid 4027 --swversion DE.1.0.9.0 --startMP 204:232978 --initTime 2017-06-07T05:08:28 --startdatetime 2017-06-07T05:12:16 --delay 1 --endMP 204:145 --enddatetime 2017-06-07T05:51:18 --enforcementcount 0 &gt;&gt;C:\Users\stu\Documents\GitHub\eaglep3-reporting\EC\2017-06-07-refined-times.txt</v>
      </c>
      <c r="AI18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{"issue":{"subject":"","project_id":79,"tracker_id":40,"status_id":1,"priority_id":2,"assigned_to_id":23,"start_date":"2017-06-07","description":"","custom_fields":[{"id":1,"name":"Subdivision","value":"EC"},{"id":4,"name":"Milepost","value":"0.0145"},{"id":17,"name":"Train ID","value":"106-07"},{"id":16,"name":"Locomotive ID","value":"4027"},{"id":130,"name":"Impact","value":""},{"id":150,"name":"Time of Event (Mountain Time)","value":"05:51:18"},{"id":151,"name":"Denver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4027 --day 2017-06-07</v>
      </c>
      <c r="AN18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666</v>
      </c>
      <c r="B19" s="7">
        <v>4012</v>
      </c>
      <c r="C19" s="21" t="s">
        <v>204</v>
      </c>
      <c r="D19" s="21" t="s">
        <v>200</v>
      </c>
      <c r="E19" s="13">
        <v>42893.185567129629</v>
      </c>
      <c r="F19" s="13">
        <v>42893.187928240739</v>
      </c>
      <c r="G19" s="7">
        <v>1</v>
      </c>
      <c r="H19" s="21" t="s">
        <v>851</v>
      </c>
      <c r="I19" s="13">
        <v>42893.212337962963</v>
      </c>
      <c r="J19" s="7">
        <v>0</v>
      </c>
      <c r="K19" s="92" t="str">
        <f t="shared" si="0"/>
        <v>4011/4012</v>
      </c>
      <c r="L19" s="21" t="str">
        <f>VLOOKUP(A19,'Trips&amp;Operators'!$C$1:$G$99999,5,FALSE)</f>
        <v>HELVIE ADAM</v>
      </c>
      <c r="M19" s="6">
        <f t="shared" si="1"/>
        <v>2.4409722223936114E-2</v>
      </c>
      <c r="N19" s="7">
        <f t="shared" si="2"/>
        <v>35.150000002468005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-07T03:27:13-0600',mode:absolute,to:'2017-06-07T06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4.5699999999999998E-2</v>
      </c>
      <c r="Z19" s="204">
        <f t="shared" si="9"/>
        <v>23.330400000000001</v>
      </c>
      <c r="AA19" s="204">
        <f t="shared" si="10"/>
        <v>23.284700000000001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0107-07</v>
      </c>
      <c r="AE19" s="80" t="str">
        <f t="shared" si="12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19" s="77" t="str">
        <f t="shared" si="13"/>
        <v>"C:\Program Files (x86)\AstroGrep\AstroGrep.exe" /e /r /s /spath="%USERPROFILE%\AppData\Local\Temp\OnboardLogs" /stypes="app*4012*20170607*"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107-07 --locoid 4012 --swversion DE.1.0.9.0 --startMP 204:457 --initTime 2017-06-07T04:27:13 --startdatetime 2017-06-07T04:30:37 --delay 1 --endMP 204:233304 --enddatetime 2017-06-07T05:05:46 --enforcementcount 0 &gt;&gt;C:\Users\stu\Documents\GitHub\eaglep3-reporting\EC\2017-06-07-refined-times.txt</v>
      </c>
      <c r="AI19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{"issue":{"subject":"","project_id":79,"tracker_id":40,"status_id":1,"priority_id":2,"assigned_to_id":23,"start_date":"2017-06-07","description":"","custom_fields":[{"id":1,"name":"Subdivision","value":"EC"},{"id":4,"name":"Milepost","value":"23.3304"},{"id":17,"name":"Train ID","value":"107-07"},{"id":16,"name":"Locomotive ID","value":"4012"},{"id":130,"name":"Impact","value":""},{"id":150,"name":"Time of Event (Mountain Time)","value":"05:05:46"},{"id":151,"name":"Denver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4012 --day 2017-06-07</v>
      </c>
      <c r="AN19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674</v>
      </c>
      <c r="B20" s="7">
        <v>4011</v>
      </c>
      <c r="C20" s="21" t="s">
        <v>204</v>
      </c>
      <c r="D20" s="21" t="s">
        <v>852</v>
      </c>
      <c r="E20" s="13">
        <v>42893.22184027778</v>
      </c>
      <c r="F20" s="13">
        <v>42893.227430555555</v>
      </c>
      <c r="G20" s="7">
        <v>2</v>
      </c>
      <c r="H20" s="21" t="s">
        <v>353</v>
      </c>
      <c r="I20" s="13">
        <v>42893.254131944443</v>
      </c>
      <c r="J20" s="7">
        <v>0</v>
      </c>
      <c r="K20" s="92" t="str">
        <f t="shared" si="0"/>
        <v>4011/4012</v>
      </c>
      <c r="L20" s="21" t="str">
        <f>VLOOKUP(A20,'Trips&amp;Operators'!$C$1:$G$99999,5,FALSE)</f>
        <v>HELVIE ADAM</v>
      </c>
      <c r="M20" s="6">
        <f t="shared" si="1"/>
        <v>2.6701388887886424E-2</v>
      </c>
      <c r="N20" s="7">
        <f t="shared" si="2"/>
        <v>38.44999999855645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-07T04:19:27-0600',mode:absolute,to:'2017-06-07T07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23.299399999999999</v>
      </c>
      <c r="Z20" s="204">
        <f t="shared" si="9"/>
        <v>1.49E-2</v>
      </c>
      <c r="AA20" s="204">
        <f t="shared" si="10"/>
        <v>23.284499999999998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0108-07</v>
      </c>
      <c r="AE20" s="80" t="str">
        <f t="shared" si="12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20" s="77" t="str">
        <f t="shared" si="13"/>
        <v>"C:\Program Files (x86)\AstroGrep\AstroGrep.exe" /e /r /s /spath="%USERPROFILE%\AppData\Local\Temp\OnboardLogs" /stypes="app*4011*20170607*"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108-07 --locoid 4011 --swversion DE.1.0.9.0 --startMP 204:232994 --initTime 2017-06-07T05:19:27 --startdatetime 2017-06-07T05:27:30 --delay 2 --endMP 204:149 --enddatetime 2017-06-07T06:05:57 --enforcementcount 0 &gt;&gt;C:\Users\stu\Documents\GitHub\eaglep3-reporting\EC\2017-06-07-refined-times.txt</v>
      </c>
      <c r="AI20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{"issue":{"subject":"","project_id":79,"tracker_id":40,"status_id":1,"priority_id":2,"assigned_to_id":23,"start_date":"2017-06-07","description":"","custom_fields":[{"id":1,"name":"Subdivision","value":"EC"},{"id":4,"name":"Milepost","value":"0.0149"},{"id":17,"name":"Train ID","value":"108-07"},{"id":16,"name":"Locomotive ID","value":"4011"},{"id":130,"name":"Impact","value":""},{"id":150,"name":"Time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4011 --day 2017-06-07</v>
      </c>
      <c r="AN20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669</v>
      </c>
      <c r="B21" s="7">
        <v>4032</v>
      </c>
      <c r="C21" s="21" t="s">
        <v>204</v>
      </c>
      <c r="D21" s="21" t="s">
        <v>459</v>
      </c>
      <c r="E21" s="13">
        <v>42893.193993055553</v>
      </c>
      <c r="F21" s="13">
        <v>42893.19809027778</v>
      </c>
      <c r="G21" s="7">
        <v>1</v>
      </c>
      <c r="H21" s="21" t="s">
        <v>559</v>
      </c>
      <c r="I21" s="13">
        <v>42893.224618055552</v>
      </c>
      <c r="J21" s="7">
        <v>0</v>
      </c>
      <c r="K21" s="92" t="str">
        <f t="shared" si="0"/>
        <v>4031/4032</v>
      </c>
      <c r="L21" s="21" t="str">
        <f>VLOOKUP(A21,'Trips&amp;Operators'!$C$1:$G$99999,5,FALSE)</f>
        <v>DAVIS WENDY</v>
      </c>
      <c r="M21" s="6">
        <f t="shared" si="1"/>
        <v>2.6527777772571426E-2</v>
      </c>
      <c r="N21" s="7">
        <f t="shared" si="2"/>
        <v>38.199999992502853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-07T03:39:21-0600',mode:absolute,to:'2017-06-07T06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4.6899999999999997E-2</v>
      </c>
      <c r="Z21" s="204">
        <f t="shared" si="9"/>
        <v>23.330300000000001</v>
      </c>
      <c r="AA21" s="204">
        <f t="shared" si="10"/>
        <v>23.2834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0109-07</v>
      </c>
      <c r="AE21" s="80" t="str">
        <f t="shared" si="12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21" s="77" t="str">
        <f t="shared" si="13"/>
        <v>"C:\Program Files (x86)\AstroGrep\AstroGrep.exe" /e /r /s /spath="%USERPROFILE%\AppData\Local\Temp\OnboardLogs" /stypes="app*4032*20170607*"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109-07 --locoid 4032 --swversion DE.1.0.9.0 --startMP 204:469 --initTime 2017-06-07T04:39:21 --startdatetime 2017-06-07T04:45:15 --delay 1 --endMP 204:233303 --enddatetime 2017-06-07T05:23:27 --enforcementcount 0 &gt;&gt;C:\Users\stu\Documents\GitHub\eaglep3-reporting\EC\2017-06-07-refined-times.txt</v>
      </c>
      <c r="AI21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{"issue":{"subject":"","project_id":79,"tracker_id":40,"status_id":1,"priority_id":2,"assigned_to_id":23,"start_date":"2017-06-07","description":"","custom_fields":[{"id":1,"name":"Subdivision","value":"EC"},{"id":4,"name":"Milepost","value":"23.3303"},{"id":17,"name":"Train ID","value":"109-07"},{"id":16,"name":"Locomotive ID","value":"4032"},{"id":130,"name":"Impact","value":""},{"id":150,"name":"Time of Event (Mountain Time)","value":"05:23:27"},{"id":151,"name":"Denver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4032 --day 2017-06-07</v>
      </c>
      <c r="AN21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680</v>
      </c>
      <c r="B22" s="7">
        <v>4031</v>
      </c>
      <c r="C22" s="21" t="s">
        <v>204</v>
      </c>
      <c r="D22" s="21" t="s">
        <v>526</v>
      </c>
      <c r="E22" s="13">
        <v>42893.235243055555</v>
      </c>
      <c r="F22" s="13">
        <v>42893.237696759257</v>
      </c>
      <c r="G22" s="7">
        <v>1</v>
      </c>
      <c r="H22" s="21" t="s">
        <v>431</v>
      </c>
      <c r="I22" s="13">
        <v>42893.265057870369</v>
      </c>
      <c r="J22" s="7">
        <v>0</v>
      </c>
      <c r="K22" s="92" t="str">
        <f t="shared" si="0"/>
        <v>4031/4032</v>
      </c>
      <c r="L22" s="21" t="str">
        <f>VLOOKUP(A22,'Trips&amp;Operators'!$C$1:$G$99999,5,FALSE)</f>
        <v>DAVIS WENDY</v>
      </c>
      <c r="M22" s="6">
        <f t="shared" si="1"/>
        <v>2.73611111115315E-2</v>
      </c>
      <c r="N22" s="7">
        <f t="shared" si="2"/>
        <v>39.40000000060536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-07T04:38:45-0600',mode:absolute,to:'2017-06-07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23.297499999999999</v>
      </c>
      <c r="Z22" s="204">
        <f t="shared" si="9"/>
        <v>1.4500000000000001E-2</v>
      </c>
      <c r="AA22" s="204">
        <f t="shared" si="10"/>
        <v>23.282999999999998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0110-07</v>
      </c>
      <c r="AE22" s="80" t="str">
        <f t="shared" si="12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22" s="77" t="str">
        <f t="shared" si="13"/>
        <v>"C:\Program Files (x86)\AstroGrep\AstroGrep.exe" /e /r /s /spath="%USERPROFILE%\AppData\Local\Temp\OnboardLogs" /stypes="app*4031*20170607*"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110-07 --locoid 4031 --swversion DE.1.0.9.0 --startMP 204:232975 --initTime 2017-06-07T05:38:45 --startdatetime 2017-06-07T05:42:17 --delay 1 --endMP 204:145 --enddatetime 2017-06-07T06:21:41 --enforcementcount 0 &gt;&gt;C:\Users\stu\Documents\GitHub\eaglep3-reporting\EC\2017-06-07-refined-times.txt</v>
      </c>
      <c r="AI22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{"issue":{"subject":"","project_id":79,"tracker_id":40,"status_id":1,"priority_id":2,"assigned_to_id":23,"start_date":"2017-06-07","description":"","custom_fields":[{"id":1,"name":"Subdivision","value":"EC"},{"id":4,"name":"Milepost","value":"0.0145"},{"id":17,"name":"Train ID","value":"110-07"},{"id":16,"name":"Locomotive ID","value":"4031"},{"id":130,"name":"Impact","value":""},{"id":150,"name":"Time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4031 --day 2017-06-07</v>
      </c>
      <c r="AN22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598</v>
      </c>
      <c r="B23" s="7">
        <v>4016</v>
      </c>
      <c r="C23" s="21" t="s">
        <v>204</v>
      </c>
      <c r="D23" s="21" t="s">
        <v>368</v>
      </c>
      <c r="E23" s="13">
        <v>42893.204918981479</v>
      </c>
      <c r="F23" s="13">
        <v>42893.208587962959</v>
      </c>
      <c r="G23" s="7">
        <v>1</v>
      </c>
      <c r="H23" s="21" t="s">
        <v>853</v>
      </c>
      <c r="I23" s="13">
        <v>42893.234317129631</v>
      </c>
      <c r="J23" s="7">
        <v>0</v>
      </c>
      <c r="K23" s="92" t="str">
        <f t="shared" si="0"/>
        <v>4015/4016</v>
      </c>
      <c r="L23" s="21" t="str">
        <f>VLOOKUP(A23,'Trips&amp;Operators'!$C$1:$G$99999,5,FALSE)</f>
        <v>THOMPSON LESTER</v>
      </c>
      <c r="M23" s="6">
        <f t="shared" si="1"/>
        <v>2.5729166671226267E-2</v>
      </c>
      <c r="N23" s="7">
        <f t="shared" si="2"/>
        <v>37.050000006565824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-07T03:55:05-0600',mode:absolute,to:'2017-06-07T06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4.5499999999999999E-2</v>
      </c>
      <c r="Z23" s="204">
        <f t="shared" si="9"/>
        <v>23.3247</v>
      </c>
      <c r="AA23" s="204">
        <f t="shared" si="10"/>
        <v>23.279199999999999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0111-07</v>
      </c>
      <c r="AE23" s="80" t="str">
        <f t="shared" si="12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23" s="77" t="str">
        <f t="shared" si="13"/>
        <v>"C:\Program Files (x86)\AstroGrep\AstroGrep.exe" /e /r /s /spath="%USERPROFILE%\AppData\Local\Temp\OnboardLogs" /stypes="app*4016*20170607*"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111-07 --locoid 4016 --swversion DE.1.0.9.0 --startMP 204:455 --initTime 2017-06-07T04:55:05 --startdatetime 2017-06-07T05:00:22 --delay 1 --endMP 204:233247 --enddatetime 2017-06-07T05:37:25 --enforcementcount 0 &gt;&gt;C:\Users\stu\Documents\GitHub\eaglep3-reporting\EC\2017-06-07-refined-times.txt</v>
      </c>
      <c r="AI23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{"issue":{"subject":"","project_id":79,"tracker_id":40,"status_id":1,"priority_id":2,"assigned_to_id":23,"start_date":"2017-06-07","description":"","custom_fields":[{"id":1,"name":"Subdivision","value":"EC"},{"id":4,"name":"Milepost","value":"23.3247"},{"id":17,"name":"Train ID","value":"111-07"},{"id":16,"name":"Locomotive ID","value":"4016"},{"id":130,"name":"Impact","value":""},{"id":150,"name":"Time of Event (Mountain Time)","value":"05:37:25"},{"id":151,"name":"Denver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4016 --day 2017-06-07</v>
      </c>
      <c r="AN23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605</v>
      </c>
      <c r="B24" s="7">
        <v>4015</v>
      </c>
      <c r="C24" s="21" t="s">
        <v>204</v>
      </c>
      <c r="D24" s="21" t="s">
        <v>854</v>
      </c>
      <c r="E24" s="13">
        <v>42893.243402777778</v>
      </c>
      <c r="F24" s="13">
        <v>42893.248182870368</v>
      </c>
      <c r="G24" s="7">
        <v>0</v>
      </c>
      <c r="H24" s="21" t="s">
        <v>364</v>
      </c>
      <c r="I24" s="13">
        <v>42893.276122685187</v>
      </c>
      <c r="J24" s="7">
        <v>0</v>
      </c>
      <c r="K24" s="92" t="str">
        <f t="shared" si="0"/>
        <v>4015/4016</v>
      </c>
      <c r="L24" s="21" t="str">
        <f>VLOOKUP(A24,'Trips&amp;Operators'!$C$1:$G$99999,5,FALSE)</f>
        <v>THOMPSON LESTER</v>
      </c>
      <c r="M24" s="6">
        <f t="shared" si="1"/>
        <v>2.7939814819546882E-2</v>
      </c>
      <c r="N24" s="7">
        <f t="shared" si="2"/>
        <v>40.23333334014751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-07T04:50:30-0600',mode:absolute,to:'2017-06-07T07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23.294</v>
      </c>
      <c r="Z24" s="204">
        <f t="shared" si="9"/>
        <v>1.47E-2</v>
      </c>
      <c r="AA24" s="204">
        <f t="shared" si="10"/>
        <v>23.279299999999999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0112-07</v>
      </c>
      <c r="AE24" s="80" t="str">
        <f t="shared" si="12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24" s="77" t="str">
        <f t="shared" si="13"/>
        <v>"C:\Program Files (x86)\AstroGrep\AstroGrep.exe" /e /r /s /spath="%USERPROFILE%\AppData\Local\Temp\OnboardLogs" /stypes="app*4015*20170607*"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112-07 --locoid 4015 --swversion DE.1.0.9.0 --startMP 204:232940 --initTime 2017-06-07T05:50:30 --startdatetime 2017-06-07T05:57:23 --delay 0 --endMP 204:147 --enddatetime 2017-06-07T06:37:37 --enforcementcount 0 &gt;&gt;C:\Users\stu\Documents\GitHub\eaglep3-reporting\EC\2017-06-07-refined-times.txt</v>
      </c>
      <c r="AI24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{"issue":{"subject":"","project_id":79,"tracker_id":40,"status_id":1,"priority_id":2,"assigned_to_id":23,"start_date":"2017-06-07","description":"","custom_fields":[{"id":1,"name":"Subdivision","value":"EC"},{"id":4,"name":"Milepost","value":"0.0147"},{"id":17,"name":"Train ID","value":"112-07"},{"id":16,"name":"Locomotive ID","value":"4015"},{"id":130,"name":"Impact","value":""},{"id":150,"name":"Time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4015 --day 2017-06-07</v>
      </c>
      <c r="AN24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673</v>
      </c>
      <c r="B25" s="7">
        <v>4058</v>
      </c>
      <c r="C25" s="21" t="s">
        <v>204</v>
      </c>
      <c r="D25" s="21" t="s">
        <v>397</v>
      </c>
      <c r="E25" s="13">
        <v>42893.214803240742</v>
      </c>
      <c r="F25" s="13">
        <v>42893.218946759262</v>
      </c>
      <c r="G25" s="7">
        <v>2</v>
      </c>
      <c r="H25" s="21" t="s">
        <v>453</v>
      </c>
      <c r="I25" s="13">
        <v>42893.244409722225</v>
      </c>
      <c r="J25" s="7">
        <v>0</v>
      </c>
      <c r="K25" s="92" t="str">
        <f t="shared" si="0"/>
        <v>4057/4058</v>
      </c>
      <c r="L25" s="21" t="str">
        <f>VLOOKUP(A25,'Trips&amp;Operators'!$C$1:$G$99999,5,FALSE)</f>
        <v>LOZA FIDEL</v>
      </c>
      <c r="M25" s="6">
        <f t="shared" si="1"/>
        <v>2.5462962963501923E-2</v>
      </c>
      <c r="N25" s="7">
        <f t="shared" si="2"/>
        <v>36.666666667442769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-07T04:09:19-0600',mode:absolute,to:'2017-06-07T06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4.6199999999999998E-2</v>
      </c>
      <c r="Z25" s="204">
        <f t="shared" si="9"/>
        <v>23.329699999999999</v>
      </c>
      <c r="AA25" s="204">
        <f t="shared" si="10"/>
        <v>23.2835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0113-07</v>
      </c>
      <c r="AE25" s="80" t="str">
        <f t="shared" si="12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25" s="77" t="str">
        <f t="shared" si="13"/>
        <v>"C:\Program Files (x86)\AstroGrep\AstroGrep.exe" /e /r /s /spath="%USERPROFILE%\AppData\Local\Temp\OnboardLogs" /stypes="app*4058*20170607*"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113-07 --locoid 4058 --swversion DE.1.0.9.0 --startMP 204:462 --initTime 2017-06-07T05:09:19 --startdatetime 2017-06-07T05:15:17 --delay 2 --endMP 204:233297 --enddatetime 2017-06-07T05:51:57 --enforcementcount 0 &gt;&gt;C:\Users\stu\Documents\GitHub\eaglep3-reporting\EC\2017-06-07-refined-times.txt</v>
      </c>
      <c r="AI25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{"issue":{"subject":"","project_id":79,"tracker_id":40,"status_id":1,"priority_id":2,"assigned_to_id":23,"start_date":"2017-06-07","description":"","custom_fields":[{"id":1,"name":"Subdivision","value":"EC"},{"id":4,"name":"Milepost","value":"23.3297"},{"id":17,"name":"Train ID","value":"113-07"},{"id":16,"name":"Locomotive ID","value":"4058"},{"id":130,"name":"Impact","value":""},{"id":150,"name":"Time of Event (Mountain Time)","value":"05:51:57"},{"id":151,"name":"Denver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4058 --day 2017-06-07</v>
      </c>
      <c r="AN25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681</v>
      </c>
      <c r="B26" s="7">
        <v>4057</v>
      </c>
      <c r="C26" s="21" t="s">
        <v>204</v>
      </c>
      <c r="D26" s="21" t="s">
        <v>430</v>
      </c>
      <c r="E26" s="13">
        <v>42893.254074074073</v>
      </c>
      <c r="F26" s="13">
        <v>42893.258599537039</v>
      </c>
      <c r="G26" s="7">
        <v>1</v>
      </c>
      <c r="H26" s="21" t="s">
        <v>458</v>
      </c>
      <c r="I26" s="13">
        <v>42893.285509259258</v>
      </c>
      <c r="J26" s="7">
        <v>0</v>
      </c>
      <c r="K26" s="92" t="str">
        <f t="shared" si="0"/>
        <v>4057/4058</v>
      </c>
      <c r="L26" s="21" t="str">
        <f>VLOOKUP(A26,'Trips&amp;Operators'!$C$1:$G$99999,5,FALSE)</f>
        <v>LOZA FIDEL</v>
      </c>
      <c r="M26" s="6">
        <f t="shared" si="1"/>
        <v>2.6909722218988463E-2</v>
      </c>
      <c r="N26" s="7">
        <f t="shared" si="2"/>
        <v>38.749999995343387</v>
      </c>
      <c r="O26" s="7"/>
      <c r="P26" s="7"/>
      <c r="Q26" s="22"/>
      <c r="R26" s="173" t="s">
        <v>1045</v>
      </c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-07T05:05:52-0600',mode:absolute,to:'2017-06-07T07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23.297699999999999</v>
      </c>
      <c r="Z26" s="204">
        <f t="shared" si="9"/>
        <v>1.38E-2</v>
      </c>
      <c r="AA26" s="204">
        <f t="shared" si="10"/>
        <v>23.283899999999999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0114-07</v>
      </c>
      <c r="AE26" s="80" t="str">
        <f t="shared" si="12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26" s="77" t="str">
        <f t="shared" si="13"/>
        <v>"C:\Program Files (x86)\AstroGrep\AstroGrep.exe" /e /r /s /spath="%USERPROFILE%\AppData\Local\Temp\OnboardLogs" /stypes="app*4057*20170607*"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114-07 --locoid 4057 --swversion DE.1.0.9.0 --startMP 204:232977 --initTime 2017-06-07T06:05:52 --startdatetime 2017-06-07T06:12:23 --delay 1 --endMP 204:138 --enddatetime 2017-06-07T06:51:08 --enforcementcount 0 &gt;&gt;C:\Users\stu\Documents\GitHub\eaglep3-reporting\EC\2017-06-07-refined-times.txt</v>
      </c>
      <c r="AI26" s="99" t="str">
        <f t="shared" si="20"/>
        <v>echo {"issue":{"subject":"Minor onboard in-route failure caused Unhealthy crossing banner","project_id":79,"tracker_id":40,"status_id":1,"priority_id":2,"assigned_to_id":23,"start_date":"2017-06-07","description":"","custom_fields":[{"id":1,"name":"Subdivision","value":"EC"},{"id":4,"name":"Milepost","value":"0.0138"},{"id":17,"name":"Train ID","value":"114-07"},{"id":16,"name":"Locomotive ID","value":"4057"},{"id":130,"name":"Impact","value":""},{"id":150,"name":"Time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4057 --day 2017-06-07</v>
      </c>
      <c r="AN26" s="154" t="str">
        <f t="shared" si="22"/>
        <v>echo {"issue":{"subject":"Minor onboard in-route failure caused Unhealthy crossing banner","project_id":30,"tracker_id":4,"status_id":1,"priority_id":1,"assigned_to_id":10,"start_date":"2017-06-07","description":"","custom_fields":[{"id":30,"name":"Category","value":"Issue"},{"id":3,"name":"Functional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675</v>
      </c>
      <c r="B27" s="7">
        <v>4014</v>
      </c>
      <c r="C27" s="21" t="s">
        <v>204</v>
      </c>
      <c r="D27" s="21" t="s">
        <v>355</v>
      </c>
      <c r="E27" s="13">
        <v>42893.224560185183</v>
      </c>
      <c r="F27" s="13">
        <v>42893.229537037034</v>
      </c>
      <c r="G27" s="7">
        <v>1</v>
      </c>
      <c r="H27" s="21" t="s">
        <v>855</v>
      </c>
      <c r="I27" s="13">
        <v>42893.254641203705</v>
      </c>
      <c r="J27" s="7">
        <v>0</v>
      </c>
      <c r="K27" s="92" t="str">
        <f t="shared" si="0"/>
        <v>4013/4014</v>
      </c>
      <c r="L27" s="21" t="str">
        <f>VLOOKUP(A27,'Trips&amp;Operators'!$C$1:$G$99999,5,FALSE)</f>
        <v>MAELZER KURT</v>
      </c>
      <c r="M27" s="6">
        <f t="shared" si="1"/>
        <v>2.510416667064419E-2</v>
      </c>
      <c r="N27" s="7">
        <f t="shared" si="2"/>
        <v>36.150000005727634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-07T04:23:22-0600',mode:absolute,to:'2017-06-07T07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4.6600000000000003E-2</v>
      </c>
      <c r="Z27" s="204">
        <f t="shared" si="9"/>
        <v>23.332699999999999</v>
      </c>
      <c r="AA27" s="204">
        <f t="shared" si="10"/>
        <v>23.286099999999998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0115-07</v>
      </c>
      <c r="AE27" s="80" t="str">
        <f t="shared" si="12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27" s="77" t="str">
        <f t="shared" si="13"/>
        <v>"C:\Program Files (x86)\AstroGrep\AstroGrep.exe" /e /r /s /spath="%USERPROFILE%\AppData\Local\Temp\OnboardLogs" /stypes="app*4014*20170607*"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115-07 --locoid 4014 --swversion DE.1.0.9.0 --startMP 204:466 --initTime 2017-06-07T05:23:22 --startdatetime 2017-06-07T05:30:32 --delay 1 --endMP 204:233327 --enddatetime 2017-06-07T06:06:41 --enforcementcount 0 &gt;&gt;C:\Users\stu\Documents\GitHub\eaglep3-reporting\EC\2017-06-07-refined-times.txt</v>
      </c>
      <c r="AI27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{"issue":{"subject":"","project_id":79,"tracker_id":40,"status_id":1,"priority_id":2,"assigned_to_id":23,"start_date":"2017-06-07","description":"","custom_fields":[{"id":1,"name":"Subdivision","value":"EC"},{"id":4,"name":"Milepost","value":"23.3327"},{"id":17,"name":"Train ID","value":"115-07"},{"id":16,"name":"Locomotive ID","value":"4014"},{"id":130,"name":"Impact","value":""},{"id":150,"name":"Time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4014 --day 2017-06-07</v>
      </c>
      <c r="AN27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684</v>
      </c>
      <c r="B28" s="7">
        <v>4013</v>
      </c>
      <c r="C28" s="21" t="s">
        <v>204</v>
      </c>
      <c r="D28" s="21" t="s">
        <v>493</v>
      </c>
      <c r="E28" s="13">
        <v>42893.263310185182</v>
      </c>
      <c r="F28" s="13">
        <v>42893.26898148148</v>
      </c>
      <c r="G28" s="7">
        <v>1</v>
      </c>
      <c r="H28" s="21" t="s">
        <v>363</v>
      </c>
      <c r="I28" s="13">
        <v>42893.294953703706</v>
      </c>
      <c r="J28" s="7">
        <v>0</v>
      </c>
      <c r="K28" s="92" t="str">
        <f t="shared" si="0"/>
        <v>4013/4014</v>
      </c>
      <c r="L28" s="21" t="str">
        <f>VLOOKUP(A28,'Trips&amp;Operators'!$C$1:$G$99999,5,FALSE)</f>
        <v>MAELZER KURT</v>
      </c>
      <c r="M28" s="6">
        <f t="shared" si="1"/>
        <v>2.5972222225391306E-2</v>
      </c>
      <c r="N28" s="7">
        <f t="shared" si="2"/>
        <v>37.400000004563481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-07T05:19:10-0600',mode:absolute,to:'2017-06-07T08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23.301100000000002</v>
      </c>
      <c r="Z28" s="204">
        <f t="shared" si="9"/>
        <v>1.41E-2</v>
      </c>
      <c r="AA28" s="204">
        <f t="shared" si="10"/>
        <v>23.287000000000003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0116-07</v>
      </c>
      <c r="AE28" s="80" t="str">
        <f t="shared" si="12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28" s="77" t="str">
        <f t="shared" si="13"/>
        <v>"C:\Program Files (x86)\AstroGrep\AstroGrep.exe" /e /r /s /spath="%USERPROFILE%\AppData\Local\Temp\OnboardLogs" /stypes="app*4013*20170607*"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116-07 --locoid 4013 --swversion DE.1.0.9.0 --startMP 204:233011 --initTime 2017-06-07T06:19:10 --startdatetime 2017-06-07T06:27:20 --delay 1 --endMP 204:141 --enddatetime 2017-06-07T07:04:44 --enforcementcount 0 &gt;&gt;C:\Users\stu\Documents\GitHub\eaglep3-reporting\EC\2017-06-07-refined-times.txt</v>
      </c>
      <c r="AI28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{"issue":{"subject":"","project_id":79,"tracker_id":40,"status_id":1,"priority_id":2,"assigned_to_id":23,"start_date":"2017-06-07","description":"","custom_fields":[{"id":1,"name":"Subdivision","value":"EC"},{"id":4,"name":"Milepost","value":"0.0141"},{"id":17,"name":"Train ID","value":"116-07"},{"id":16,"name":"Locomotive ID","value":"4013"},{"id":130,"name":"Impact","value":""},{"id":150,"name":"Time of Event (Mountain Time)","value":"07:04:44"},{"id":151,"name":"Denver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4013 --day 2017-06-07</v>
      </c>
      <c r="AN28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599</v>
      </c>
      <c r="B29" s="7">
        <v>4046</v>
      </c>
      <c r="C29" s="21" t="s">
        <v>204</v>
      </c>
      <c r="D29" s="21" t="s">
        <v>506</v>
      </c>
      <c r="E29" s="13">
        <v>42893.237233796295</v>
      </c>
      <c r="F29" s="13">
        <v>42893.239768518521</v>
      </c>
      <c r="G29" s="7">
        <v>1</v>
      </c>
      <c r="H29" s="21" t="s">
        <v>856</v>
      </c>
      <c r="I29" s="13">
        <v>42893.265856481485</v>
      </c>
      <c r="J29" s="7">
        <v>0</v>
      </c>
      <c r="K29" s="92" t="str">
        <f t="shared" si="0"/>
        <v>4045/4046</v>
      </c>
      <c r="L29" s="21" t="str">
        <f>VLOOKUP(A29,'Trips&amp;Operators'!$C$1:$G$99999,5,FALSE)</f>
        <v>YANG JAN</v>
      </c>
      <c r="M29" s="6">
        <f t="shared" si="1"/>
        <v>2.6087962964083999E-2</v>
      </c>
      <c r="N29" s="7">
        <f t="shared" si="2"/>
        <v>37.566666668280959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-07T04:41:37-0600',mode:absolute,to:'2017-06-07T07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4.7699999999999999E-2</v>
      </c>
      <c r="Z29" s="204">
        <f t="shared" si="9"/>
        <v>23.331099999999999</v>
      </c>
      <c r="AA29" s="204">
        <f t="shared" si="10"/>
        <v>23.2834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0117-07</v>
      </c>
      <c r="AE29" s="80" t="str">
        <f t="shared" si="12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29" s="77" t="str">
        <f t="shared" si="13"/>
        <v>"C:\Program Files (x86)\AstroGrep\AstroGrep.exe" /e /r /s /spath="%USERPROFILE%\AppData\Local\Temp\OnboardLogs" /stypes="app*4046*20170607*"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117-07 --locoid 4046 --swversion DE.1.0.9.0 --startMP 204:477 --initTime 2017-06-07T05:41:37 --startdatetime 2017-06-07T05:45:16 --delay 1 --endMP 204:233311 --enddatetime 2017-06-07T06:22:50 --enforcementcount 0 &gt;&gt;C:\Users\stu\Documents\GitHub\eaglep3-reporting\EC\2017-06-07-refined-times.txt</v>
      </c>
      <c r="AI29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{"issue":{"subject":"","project_id":79,"tracker_id":40,"status_id":1,"priority_id":2,"assigned_to_id":23,"start_date":"2017-06-07","description":"","custom_fields":[{"id":1,"name":"Subdivision","value":"EC"},{"id":4,"name":"Milepost","value":"23.3311"},{"id":17,"name":"Train ID","value":"117-07"},{"id":16,"name":"Locomotive ID","value":"4046"},{"id":130,"name":"Impact","value":""},{"id":150,"name":"Time of Event (Mountain Time)","value":"06:22:50"},{"id":151,"name":"Denver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4046 --day 2017-06-07</v>
      </c>
      <c r="AN29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686</v>
      </c>
      <c r="B30" s="7">
        <v>4045</v>
      </c>
      <c r="C30" s="21" t="s">
        <v>204</v>
      </c>
      <c r="D30" s="21" t="s">
        <v>504</v>
      </c>
      <c r="E30" s="13">
        <v>42893.277141203704</v>
      </c>
      <c r="F30" s="13">
        <v>42893.279432870368</v>
      </c>
      <c r="G30" s="7">
        <v>1</v>
      </c>
      <c r="H30" s="21" t="s">
        <v>361</v>
      </c>
      <c r="I30" s="13">
        <v>42893.306863425925</v>
      </c>
      <c r="J30" s="7">
        <v>0</v>
      </c>
      <c r="K30" s="92" t="str">
        <f t="shared" si="0"/>
        <v>4045/4046</v>
      </c>
      <c r="L30" s="21" t="str">
        <f>VLOOKUP(A30,'Trips&amp;Operators'!$C$1:$G$99999,5,FALSE)</f>
        <v>YANG JAN</v>
      </c>
      <c r="M30" s="6">
        <f t="shared" si="1"/>
        <v>2.7430555557657499E-2</v>
      </c>
      <c r="N30" s="7">
        <f t="shared" si="2"/>
        <v>39.500000003026798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-07T05:39:05-0600',mode:absolute,to:'2017-06-07T08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23.2986</v>
      </c>
      <c r="Z30" s="204">
        <f t="shared" si="9"/>
        <v>1.3899999999999999E-2</v>
      </c>
      <c r="AA30" s="204">
        <f t="shared" si="10"/>
        <v>23.284700000000001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0118-07</v>
      </c>
      <c r="AE30" s="80" t="str">
        <f t="shared" si="12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30" s="77" t="str">
        <f t="shared" si="13"/>
        <v>"C:\Program Files (x86)\AstroGrep\AstroGrep.exe" /e /r /s /spath="%USERPROFILE%\AppData\Local\Temp\OnboardLogs" /stypes="app*4045*20170607*"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118-07 --locoid 4045 --swversion DE.1.0.9.0 --startMP 204:232986 --initTime 2017-06-07T06:39:05 --startdatetime 2017-06-07T06:42:23 --delay 1 --endMP 204:139 --enddatetime 2017-06-07T07:21:53 --enforcementcount 0 &gt;&gt;C:\Users\stu\Documents\GitHub\eaglep3-reporting\EC\2017-06-07-refined-times.txt</v>
      </c>
      <c r="AI30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{"issue":{"subject":"","project_id":79,"tracker_id":40,"status_id":1,"priority_id":2,"assigned_to_id":23,"start_date":"2017-06-07","description":"","custom_fields":[{"id":1,"name":"Subdivision","value":"EC"},{"id":4,"name":"Milepost","value":"0.0139"},{"id":17,"name":"Train ID","value":"118-07"},{"id":16,"name":"Locomotive ID","value":"4045"},{"id":130,"name":"Impact","value":""},{"id":150,"name":"Time of Event (Mountain Time)","value":"07:21:53"},{"id":151,"name":"Denver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4045 --day 2017-06-07</v>
      </c>
      <c r="AN30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601</v>
      </c>
      <c r="B31" s="7">
        <v>4028</v>
      </c>
      <c r="C31" s="21" t="s">
        <v>204</v>
      </c>
      <c r="D31" s="21" t="s">
        <v>356</v>
      </c>
      <c r="E31" s="13">
        <v>42893.245798611111</v>
      </c>
      <c r="F31" s="13">
        <v>42893.250208333331</v>
      </c>
      <c r="G31" s="7">
        <v>1</v>
      </c>
      <c r="H31" s="21" t="s">
        <v>568</v>
      </c>
      <c r="I31" s="13">
        <v>42893.277048611111</v>
      </c>
      <c r="J31" s="7">
        <v>0</v>
      </c>
      <c r="K31" s="92" t="str">
        <f t="shared" si="0"/>
        <v>4027/4028</v>
      </c>
      <c r="L31" s="21" t="str">
        <f>VLOOKUP(A31,'Trips&amp;Operators'!$C$1:$G$99999,5,FALSE)</f>
        <v>STARKS ANGELINA</v>
      </c>
      <c r="M31" s="6">
        <f t="shared" si="1"/>
        <v>2.6840277780138422E-2</v>
      </c>
      <c r="N31" s="7">
        <f t="shared" si="2"/>
        <v>38.650000003399327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-07T04:53:57-0600',mode:absolute,to:'2017-06-07T07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4.5100000000000001E-2</v>
      </c>
      <c r="Z31" s="204">
        <f t="shared" si="9"/>
        <v>23.332899999999999</v>
      </c>
      <c r="AA31" s="204">
        <f t="shared" si="10"/>
        <v>23.287799999999997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0119-07</v>
      </c>
      <c r="AE31" s="80" t="str">
        <f t="shared" si="12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31" s="77" t="str">
        <f t="shared" si="13"/>
        <v>"C:\Program Files (x86)\AstroGrep\AstroGrep.exe" /e /r /s /spath="%USERPROFILE%\AppData\Local\Temp\OnboardLogs" /stypes="app*4028*20170607*"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119-07 --locoid 4028 --swversion DE.1.0.9.0 --startMP 204:451 --initTime 2017-06-07T05:53:57 --startdatetime 2017-06-07T06:00:18 --delay 1 --endMP 204:233329 --enddatetime 2017-06-07T06:38:57 --enforcementcount 0 &gt;&gt;C:\Users\stu\Documents\GitHub\eaglep3-reporting\EC\2017-06-07-refined-times.txt</v>
      </c>
      <c r="AI31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{"issue":{"subject":"","project_id":79,"tracker_id":40,"status_id":1,"priority_id":2,"assigned_to_id":23,"start_date":"2017-06-07","description":"","custom_fields":[{"id":1,"name":"Subdivision","value":"EC"},{"id":4,"name":"Milepost","value":"23.3329"},{"id":17,"name":"Train ID","value":"119-07"},{"id":16,"name":"Locomotive ID","value":"4028"},{"id":130,"name":"Impact","value":""},{"id":150,"name":"Time of Event (Mountain Time)","value":"06:38:57"},{"id":151,"name":"Denver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4028 --day 2017-06-07</v>
      </c>
      <c r="AN31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688</v>
      </c>
      <c r="B32" s="7">
        <v>4027</v>
      </c>
      <c r="C32" s="21" t="s">
        <v>204</v>
      </c>
      <c r="D32" s="21" t="s">
        <v>852</v>
      </c>
      <c r="E32" s="13">
        <v>42893.287314814814</v>
      </c>
      <c r="F32" s="13">
        <v>42893.289768518516</v>
      </c>
      <c r="G32" s="7">
        <v>2</v>
      </c>
      <c r="H32" s="21" t="s">
        <v>195</v>
      </c>
      <c r="I32" s="13">
        <v>42893.318726851852</v>
      </c>
      <c r="J32" s="7">
        <v>0</v>
      </c>
      <c r="K32" s="92" t="str">
        <f t="shared" si="0"/>
        <v>4027/4028</v>
      </c>
      <c r="L32" s="21" t="str">
        <f>VLOOKUP(A32,'Trips&amp;Operators'!$C$1:$G$99999,5,FALSE)</f>
        <v>STARKS ANGELINA</v>
      </c>
      <c r="M32" s="6">
        <f t="shared" si="1"/>
        <v>2.8958333336049691E-2</v>
      </c>
      <c r="N32" s="7">
        <f t="shared" si="2"/>
        <v>41.700000003911555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-07T05:53:44-0600',mode:absolute,to:'2017-06-07T08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23.299399999999999</v>
      </c>
      <c r="Z32" s="204">
        <f t="shared" si="9"/>
        <v>1.52E-2</v>
      </c>
      <c r="AA32" s="204">
        <f t="shared" si="10"/>
        <v>23.284199999999998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0120-07</v>
      </c>
      <c r="AE32" s="80" t="str">
        <f t="shared" si="12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32" s="77" t="str">
        <f t="shared" si="13"/>
        <v>"C:\Program Files (x86)\AstroGrep\AstroGrep.exe" /e /r /s /spath="%USERPROFILE%\AppData\Local\Temp\OnboardLogs" /stypes="app*4027*20170607*"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120-07 --locoid 4027 --swversion DE.1.0.9.0 --startMP 204:232994 --initTime 2017-06-07T06:53:44 --startdatetime 2017-06-07T06:57:16 --delay 2 --endMP 204:152 --enddatetime 2017-06-07T07:38:58 --enforcementcount 0 &gt;&gt;C:\Users\stu\Documents\GitHub\eaglep3-reporting\EC\2017-06-07-refined-times.txt</v>
      </c>
      <c r="AI32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{"issue":{"subject":"","project_id":79,"tracker_id":40,"status_id":1,"priority_id":2,"assigned_to_id":23,"start_date":"2017-06-07","description":"","custom_fields":[{"id":1,"name":"Subdivision","value":"EC"},{"id":4,"name":"Milepost","value":"0.0152"},{"id":17,"name":"Train ID","value":"120-07"},{"id":16,"name":"Locomotive ID","value":"4027"},{"id":130,"name":"Impact","value":""},{"id":150,"name":"Time of Event (Mountain Time)","value":"07:38:58"},{"id":151,"name":"Denver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4027 --day 2017-06-07</v>
      </c>
      <c r="AN32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683</v>
      </c>
      <c r="B33" s="7">
        <v>4012</v>
      </c>
      <c r="C33" s="21" t="s">
        <v>204</v>
      </c>
      <c r="D33" s="21" t="s">
        <v>345</v>
      </c>
      <c r="E33" s="13">
        <v>42893.256597222222</v>
      </c>
      <c r="F33" s="13">
        <v>42893.26085648148</v>
      </c>
      <c r="G33" s="7">
        <v>1</v>
      </c>
      <c r="H33" s="21" t="s">
        <v>559</v>
      </c>
      <c r="I33" s="13">
        <v>42893.28833333333</v>
      </c>
      <c r="J33" s="7">
        <v>0</v>
      </c>
      <c r="K33" s="92" t="str">
        <f t="shared" si="0"/>
        <v>4011/4012</v>
      </c>
      <c r="L33" s="21" t="str">
        <f>VLOOKUP(A33,'Trips&amp;Operators'!$C$1:$G$99999,5,FALSE)</f>
        <v>HELVIE ADAM</v>
      </c>
      <c r="M33" s="6">
        <f t="shared" si="1"/>
        <v>2.7476851850224193E-2</v>
      </c>
      <c r="N33" s="7">
        <f t="shared" si="2"/>
        <v>39.566666664322838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-07T05:09:30-0600',mode:absolute,to:'2017-06-07T07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4.4900000000000002E-2</v>
      </c>
      <c r="Z33" s="204">
        <f t="shared" si="9"/>
        <v>23.330300000000001</v>
      </c>
      <c r="AA33" s="204">
        <f t="shared" si="10"/>
        <v>23.285400000000003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0121-07</v>
      </c>
      <c r="AE33" s="80" t="str">
        <f t="shared" si="12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33" s="77" t="str">
        <f t="shared" si="13"/>
        <v>"C:\Program Files (x86)\AstroGrep\AstroGrep.exe" /e /r /s /spath="%USERPROFILE%\AppData\Local\Temp\OnboardLogs" /stypes="app*4012*20170607*"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121-07 --locoid 4012 --swversion DE.1.0.9.0 --startMP 204:449 --initTime 2017-06-07T06:09:30 --startdatetime 2017-06-07T06:15:38 --delay 1 --endMP 204:233303 --enddatetime 2017-06-07T06:55:12 --enforcementcount 0 &gt;&gt;C:\Users\stu\Documents\GitHub\eaglep3-reporting\EC\2017-06-07-refined-times.txt</v>
      </c>
      <c r="AI33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{"issue":{"subject":"","project_id":79,"tracker_id":40,"status_id":1,"priority_id":2,"assigned_to_id":23,"start_date":"2017-06-07","description":"","custom_fields":[{"id":1,"name":"Subdivision","value":"EC"},{"id":4,"name":"Milepost","value":"23.3303"},{"id":17,"name":"Train ID","value":"121-07"},{"id":16,"name":"Locomotive ID","value":"4012"},{"id":130,"name":"Impact","value":""},{"id":150,"name":"Time of Event (Mountain Time)","value":"06:55:12"},{"id":151,"name":"Denver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4012 --day 2017-06-07</v>
      </c>
      <c r="AN33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693</v>
      </c>
      <c r="B34" s="7">
        <v>4011</v>
      </c>
      <c r="C34" s="21" t="s">
        <v>204</v>
      </c>
      <c r="D34" s="21" t="s">
        <v>857</v>
      </c>
      <c r="E34" s="13">
        <v>42893.29828703704</v>
      </c>
      <c r="F34" s="13">
        <v>42893.300185185188</v>
      </c>
      <c r="G34" s="7">
        <v>1</v>
      </c>
      <c r="H34" s="21" t="s">
        <v>472</v>
      </c>
      <c r="I34" s="13">
        <v>42893.326493055552</v>
      </c>
      <c r="J34" s="7">
        <v>0</v>
      </c>
      <c r="K34" s="92" t="str">
        <f t="shared" si="0"/>
        <v>4011/4012</v>
      </c>
      <c r="L34" s="21" t="str">
        <f>VLOOKUP(A34,'Trips&amp;Operators'!$C$1:$G$99999,5,FALSE)</f>
        <v>HELVIE ADAM</v>
      </c>
      <c r="M34" s="6">
        <f t="shared" si="1"/>
        <v>2.6307870364689734E-2</v>
      </c>
      <c r="N34" s="7">
        <f t="shared" si="2"/>
        <v>37.883333325153217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-07T06:09:32-0600',mode:absolute,to:'2017-06-07T08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23.2973</v>
      </c>
      <c r="Z34" s="204">
        <f t="shared" si="9"/>
        <v>1.6500000000000001E-2</v>
      </c>
      <c r="AA34" s="204">
        <f t="shared" si="10"/>
        <v>23.280799999999999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0122-07</v>
      </c>
      <c r="AE34" s="80" t="str">
        <f t="shared" si="12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34" s="77" t="str">
        <f t="shared" si="13"/>
        <v>"C:\Program Files (x86)\AstroGrep\AstroGrep.exe" /e /r /s /spath="%USERPROFILE%\AppData\Local\Temp\OnboardLogs" /stypes="app*4011*20170607*"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122-07 --locoid 4011 --swversion DE.1.0.9.0 --startMP 204:232973 --initTime 2017-06-07T07:09:32 --startdatetime 2017-06-07T07:12:16 --delay 1 --endMP 204:165 --enddatetime 2017-06-07T07:50:09 --enforcementcount 0 &gt;&gt;C:\Users\stu\Documents\GitHub\eaglep3-reporting\EC\2017-06-07-refined-times.txt</v>
      </c>
      <c r="AI34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{"issue":{"subject":"","project_id":79,"tracker_id":40,"status_id":1,"priority_id":2,"assigned_to_id":23,"start_date":"2017-06-07","description":"","custom_fields":[{"id":1,"name":"Subdivision","value":"EC"},{"id":4,"name":"Milepost","value":"0.0165"},{"id":17,"name":"Train ID","value":"122-07"},{"id":16,"name":"Locomotive ID","value":"4011"},{"id":130,"name":"Impact","value":""},{"id":150,"name":"Time of Event (Mountain Time)","value":"07:50:09"},{"id":151,"name":"Denver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4011 --day 2017-06-07</v>
      </c>
      <c r="AN34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685</v>
      </c>
      <c r="B35" s="7">
        <v>4032</v>
      </c>
      <c r="C35" s="21" t="s">
        <v>204</v>
      </c>
      <c r="D35" s="21" t="s">
        <v>456</v>
      </c>
      <c r="E35" s="13">
        <v>42893.268194444441</v>
      </c>
      <c r="F35" s="13">
        <v>42893.270983796298</v>
      </c>
      <c r="G35" s="7">
        <v>1</v>
      </c>
      <c r="H35" s="21" t="s">
        <v>858</v>
      </c>
      <c r="I35" s="13">
        <v>42893.296875</v>
      </c>
      <c r="J35" s="7">
        <v>0</v>
      </c>
      <c r="K35" s="92" t="str">
        <f t="shared" si="0"/>
        <v>4031/4032</v>
      </c>
      <c r="L35" s="21" t="str">
        <f>VLOOKUP(A35,'Trips&amp;Operators'!$C$1:$G$99999,5,FALSE)</f>
        <v>DAVIS WENDY</v>
      </c>
      <c r="M35" s="6">
        <f t="shared" si="1"/>
        <v>2.5891203702485655E-2</v>
      </c>
      <c r="N35" s="7">
        <f t="shared" si="2"/>
        <v>37.283333331579342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-07T05:26:12-0600',mode:absolute,to:'2017-06-07T08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4.6699999999999998E-2</v>
      </c>
      <c r="Z35" s="204">
        <f t="shared" si="9"/>
        <v>23.330200000000001</v>
      </c>
      <c r="AA35" s="204">
        <f t="shared" si="10"/>
        <v>23.2835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0123-07</v>
      </c>
      <c r="AE35" s="80" t="str">
        <f t="shared" si="12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35" s="77" t="str">
        <f t="shared" si="13"/>
        <v>"C:\Program Files (x86)\AstroGrep\AstroGrep.exe" /e /r /s /spath="%USERPROFILE%\AppData\Local\Temp\OnboardLogs" /stypes="app*4032*20170607*"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123-07 --locoid 4032 --swversion DE.1.0.9.0 --startMP 204:467 --initTime 2017-06-07T06:26:12 --startdatetime 2017-06-07T06:30:13 --delay 1 --endMP 204:233302 --enddatetime 2017-06-07T07:07:30 --enforcementcount 0 &gt;&gt;C:\Users\stu\Documents\GitHub\eaglep3-reporting\EC\2017-06-07-refined-times.txt</v>
      </c>
      <c r="AI35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{"issue":{"subject":"","project_id":79,"tracker_id":40,"status_id":1,"priority_id":2,"assigned_to_id":23,"start_date":"2017-06-07","description":"","custom_fields":[{"id":1,"name":"Subdivision","value":"EC"},{"id":4,"name":"Milepost","value":"23.3302"},{"id":17,"name":"Train ID","value":"123-07"},{"id":16,"name":"Locomotive ID","value":"4032"},{"id":130,"name":"Impact","value":""},{"id":150,"name":"Time of Event (Mountain Time)","value":"07:07:30"},{"id":151,"name":"Denver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4032 --day 2017-06-07</v>
      </c>
      <c r="AN35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611</v>
      </c>
      <c r="B36" s="7">
        <v>4031</v>
      </c>
      <c r="C36" s="21" t="s">
        <v>204</v>
      </c>
      <c r="D36" s="21" t="s">
        <v>481</v>
      </c>
      <c r="E36" s="13">
        <v>42893.30736111111</v>
      </c>
      <c r="F36" s="13">
        <v>42893.310590277775</v>
      </c>
      <c r="G36" s="7">
        <v>0</v>
      </c>
      <c r="H36" s="21" t="s">
        <v>361</v>
      </c>
      <c r="I36" s="13">
        <v>42893.337835648148</v>
      </c>
      <c r="J36" s="7">
        <v>0</v>
      </c>
      <c r="K36" s="92" t="str">
        <f t="shared" si="0"/>
        <v>4031/4032</v>
      </c>
      <c r="L36" s="21" t="str">
        <f>VLOOKUP(A36,'Trips&amp;Operators'!$C$1:$G$99999,5,FALSE)</f>
        <v>DAVIS WENDY</v>
      </c>
      <c r="M36" s="6">
        <f t="shared" si="1"/>
        <v>2.7245370372838806E-2</v>
      </c>
      <c r="N36" s="7">
        <f t="shared" si="2"/>
        <v>39.233333336887881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-07T06:22:36-0600',mode:absolute,to:'2017-06-07T09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23.299299999999999</v>
      </c>
      <c r="Z36" s="204">
        <f t="shared" si="9"/>
        <v>1.3899999999999999E-2</v>
      </c>
      <c r="AA36" s="204">
        <f t="shared" si="10"/>
        <v>23.285399999999999</v>
      </c>
      <c r="AB36" s="57" t="str">
        <f>VLOOKUP(A36,Enforcements!$C$7:$K$13,8,0)</f>
        <v>Bulletin (2)</v>
      </c>
      <c r="AC36" s="53" t="str">
        <f>VLOOKUP(A36,Enforcements!$C$7:$E$13,3,0)</f>
        <v>GRADE CROSSING</v>
      </c>
      <c r="AD36" s="54" t="str">
        <f t="shared" si="11"/>
        <v>0124-07</v>
      </c>
      <c r="AE36" s="80" t="str">
        <f t="shared" si="12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36" s="77" t="str">
        <f t="shared" si="13"/>
        <v>"C:\Program Files (x86)\AstroGrep\AstroGrep.exe" /e /r /s /spath="%USERPROFILE%\AppData\Local\Temp\OnboardLogs" /stypes="app*4031*20170607*"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124-07 --locoid 4031 --swversion DE.1.0.9.0 --startMP 204:232993 --initTime 2017-06-07T07:22:36 --startdatetime 2017-06-07T07:27:15 --delay 0 --endMP 204:139 --enddatetime 2017-06-07T08:06:29 --enforcementcount 0 &gt;&gt;C:\Users\stu\Documents\GitHub\eaglep3-reporting\EC\2017-06-07-refined-times.txt</v>
      </c>
      <c r="AI36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{"issue":{"subject":"","project_id":79,"tracker_id":40,"status_id":1,"priority_id":2,"assigned_to_id":23,"start_date":"2017-06-07","description":"","custom_fields":[{"id":1,"name":"Subdivision","value":"EC"},{"id":4,"name":"Milepost","value":"0.0139"},{"id":17,"name":"Train ID","value":"124-07"},{"id":16,"name":"Locomotive ID","value":"4031"},{"id":130,"name":"Impact","value":""},{"id":150,"name":"Time of Event (Mountain Time)","value":"08:06:29"},{"id":151,"name":"Denver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4031 --day 2017-06-07</v>
      </c>
      <c r="AN36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4016</v>
      </c>
      <c r="C37" s="21" t="s">
        <v>204</v>
      </c>
      <c r="D37" s="21" t="s">
        <v>200</v>
      </c>
      <c r="E37" s="13">
        <v>42893.279340277775</v>
      </c>
      <c r="F37" s="13">
        <v>42893.281574074077</v>
      </c>
      <c r="G37" s="7">
        <v>1</v>
      </c>
      <c r="H37" s="21" t="s">
        <v>567</v>
      </c>
      <c r="I37" s="13">
        <v>42893.31040509259</v>
      </c>
      <c r="J37" s="7">
        <v>0</v>
      </c>
      <c r="K37" s="92" t="str">
        <f t="shared" si="0"/>
        <v>4015/4016</v>
      </c>
      <c r="L37" s="21" t="str">
        <f>VLOOKUP(A37,'Trips&amp;Operators'!$C$1:$G$99999,5,FALSE)</f>
        <v>THOMPSON LESTER</v>
      </c>
      <c r="M37" s="6">
        <f t="shared" si="1"/>
        <v>2.8831018513301387E-2</v>
      </c>
      <c r="N37" s="7">
        <f t="shared" si="2"/>
        <v>41.516666659153998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-07T05:42:15-0600',mode:absolute,to:'2017-06-07T08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4.5699999999999998E-2</v>
      </c>
      <c r="Z37" s="204">
        <f t="shared" si="9"/>
        <v>23.328199999999999</v>
      </c>
      <c r="AA37" s="204">
        <f t="shared" si="10"/>
        <v>23.282499999999999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0125-07</v>
      </c>
      <c r="AE37" s="80" t="str">
        <f t="shared" si="12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37" s="77" t="str">
        <f t="shared" si="13"/>
        <v>"C:\Program Files (x86)\AstroGrep\AstroGrep.exe" /e /r /s /spath="%USERPROFILE%\AppData\Local\Temp\OnboardLogs" /stypes="app*4016*20170607*"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125-07 --locoid 4016 --swversion DE.1.0.9.0 --startMP 204:457 --initTime 2017-06-07T06:42:15 --startdatetime 2017-06-07T06:45:28 --delay 1 --endMP 204:233282 --enddatetime 2017-06-07T07:26:59 --enforcementcount 0 &gt;&gt;C:\Users\stu\Documents\GitHub\eaglep3-reporting\EC\2017-06-07-refined-times.txt</v>
      </c>
      <c r="AI37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{"issue":{"subject":"","project_id":79,"tracker_id":40,"status_id":1,"priority_id":2,"assigned_to_id":23,"start_date":"2017-06-07","description":"","custom_fields":[{"id":1,"name":"Subdivision","value":"EC"},{"id":4,"name":"Milepost","value":"23.3282"},{"id":17,"name":"Train ID","value":"125-07"},{"id":16,"name":"Locomotive ID","value":"4016"},{"id":130,"name":"Impact","value":""},{"id":150,"name":"Time of Event (Mountain Time)","value":"07:26:59"},{"id":151,"name":"Denver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4016 --day 2017-06-07</v>
      </c>
      <c r="AN37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4015</v>
      </c>
      <c r="C38" s="21" t="s">
        <v>204</v>
      </c>
      <c r="D38" s="21" t="s">
        <v>859</v>
      </c>
      <c r="E38" s="13">
        <v>42893.317835648151</v>
      </c>
      <c r="F38" s="13">
        <v>42893.321388888886</v>
      </c>
      <c r="G38" s="7">
        <v>1</v>
      </c>
      <c r="H38" s="21" t="s">
        <v>467</v>
      </c>
      <c r="I38" s="13">
        <v>42893.349710648145</v>
      </c>
      <c r="J38" s="7">
        <v>0</v>
      </c>
      <c r="K38" s="92" t="str">
        <f t="shared" si="0"/>
        <v>4015/4016</v>
      </c>
      <c r="L38" s="21" t="str">
        <f>VLOOKUP(A38,'Trips&amp;Operators'!$C$1:$G$99999,5,FALSE)</f>
        <v>THOMPSON LESTER</v>
      </c>
      <c r="M38" s="6">
        <f t="shared" si="1"/>
        <v>2.8321759258687962E-2</v>
      </c>
      <c r="N38" s="7">
        <f t="shared" si="2"/>
        <v>40.783333332510665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-07T06:37:41-0600',mode:absolute,to:'2017-06-07T09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23.296700000000001</v>
      </c>
      <c r="Z38" s="204">
        <f t="shared" si="9"/>
        <v>1.6299999999999999E-2</v>
      </c>
      <c r="AA38" s="204">
        <f t="shared" si="10"/>
        <v>23.2804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0126-07</v>
      </c>
      <c r="AE38" s="80" t="str">
        <f t="shared" si="12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38" s="77" t="str">
        <f t="shared" si="13"/>
        <v>"C:\Program Files (x86)\AstroGrep\AstroGrep.exe" /e /r /s /spath="%USERPROFILE%\AppData\Local\Temp\OnboardLogs" /stypes="app*4015*20170607*"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126-07 --locoid 4015 --swversion DE.1.0.9.0 --startMP 204:232967 --initTime 2017-06-07T07:37:41 --startdatetime 2017-06-07T07:42:48 --delay 1 --endMP 204:163 --enddatetime 2017-06-07T08:23:35 --enforcementcount 0 &gt;&gt;C:\Users\stu\Documents\GitHub\eaglep3-reporting\EC\2017-06-07-refined-times.txt</v>
      </c>
      <c r="AI38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{"issue":{"subject":"","project_id":79,"tracker_id":40,"status_id":1,"priority_id":2,"assigned_to_id":23,"start_date":"2017-06-07","description":"","custom_fields":[{"id":1,"name":"Subdivision","value":"EC"},{"id":4,"name":"Milepost","value":"0.0163"},{"id":17,"name":"Train ID","value":"126-07"},{"id":16,"name":"Locomotive ID","value":"4015"},{"id":130,"name":"Impact","value":""},{"id":150,"name":"Time of Event (Mountain Time)","value":"08:23:35"},{"id":151,"name":"Denver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4015 --day 2017-06-07</v>
      </c>
      <c r="AN38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689</v>
      </c>
      <c r="B39" s="7">
        <v>4058</v>
      </c>
      <c r="C39" s="21" t="s">
        <v>204</v>
      </c>
      <c r="D39" s="21" t="s">
        <v>200</v>
      </c>
      <c r="E39" s="13">
        <v>42893.288969907408</v>
      </c>
      <c r="F39" s="13">
        <v>42893.291863425926</v>
      </c>
      <c r="G39" s="7">
        <v>1</v>
      </c>
      <c r="H39" s="21" t="s">
        <v>860</v>
      </c>
      <c r="I39" s="13">
        <v>42893.316701388889</v>
      </c>
      <c r="J39" s="7">
        <v>0</v>
      </c>
      <c r="K39" s="92" t="str">
        <f t="shared" si="0"/>
        <v>4057/4058</v>
      </c>
      <c r="L39" s="21" t="str">
        <f>VLOOKUP(A39,'Trips&amp;Operators'!$C$1:$G$99999,5,FALSE)</f>
        <v>LOZA FIDEL</v>
      </c>
      <c r="M39" s="6">
        <f t="shared" si="1"/>
        <v>2.4837962962919846E-2</v>
      </c>
      <c r="N39" s="7">
        <f t="shared" si="2"/>
        <v>35.766666666604578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-07T05:56:07-0600',mode:absolute,to:'2017-06-07T08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4.5699999999999998E-2</v>
      </c>
      <c r="Z39" s="204">
        <f t="shared" si="9"/>
        <v>23.3306</v>
      </c>
      <c r="AA39" s="204">
        <f t="shared" si="10"/>
        <v>23.2849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0127-07</v>
      </c>
      <c r="AE39" s="80" t="str">
        <f t="shared" si="12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39" s="77" t="str">
        <f t="shared" si="13"/>
        <v>"C:\Program Files (x86)\AstroGrep\AstroGrep.exe" /e /r /s /spath="%USERPROFILE%\AppData\Local\Temp\OnboardLogs" /stypes="app*4058*20170607*"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127-07 --locoid 4058 --swversion DE.1.0.9.0 --startMP 204:457 --initTime 2017-06-07T06:56:07 --startdatetime 2017-06-07T07:00:17 --delay 1 --endMP 204:233306 --enddatetime 2017-06-07T07:36:03 --enforcementcount 0 &gt;&gt;C:\Users\stu\Documents\GitHub\eaglep3-reporting\EC\2017-06-07-refined-times.txt</v>
      </c>
      <c r="AI39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{"issue":{"subject":"","project_id":79,"tracker_id":40,"status_id":1,"priority_id":2,"assigned_to_id":23,"start_date":"2017-06-07","description":"","custom_fields":[{"id":1,"name":"Subdivision","value":"EC"},{"id":4,"name":"Milepost","value":"23.3306"},{"id":17,"name":"Train ID","value":"127-07"},{"id":16,"name":"Locomotive ID","value":"4058"},{"id":130,"name":"Impact","value":""},{"id":150,"name":"Time of Event (Mountain Time)","value":"07:36:03"},{"id":151,"name":"Denver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4058 --day 2017-06-07</v>
      </c>
      <c r="AN39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698</v>
      </c>
      <c r="B40" s="7">
        <v>4057</v>
      </c>
      <c r="C40" s="21" t="s">
        <v>204</v>
      </c>
      <c r="D40" s="21" t="s">
        <v>489</v>
      </c>
      <c r="E40" s="13">
        <v>42893.327372685184</v>
      </c>
      <c r="F40" s="13">
        <v>42893.331574074073</v>
      </c>
      <c r="G40" s="7">
        <v>2</v>
      </c>
      <c r="H40" s="21" t="s">
        <v>467</v>
      </c>
      <c r="I40" s="13">
        <v>42893.357511574075</v>
      </c>
      <c r="J40" s="7">
        <v>0</v>
      </c>
      <c r="K40" s="92" t="str">
        <f t="shared" si="0"/>
        <v>4057/4058</v>
      </c>
      <c r="L40" s="21" t="str">
        <f>VLOOKUP(A40,'Trips&amp;Operators'!$C$1:$G$99999,5,FALSE)</f>
        <v>LOZA FIDEL</v>
      </c>
      <c r="M40" s="6">
        <f t="shared" si="1"/>
        <v>2.5937500002328306E-2</v>
      </c>
      <c r="N40" s="7">
        <f t="shared" si="2"/>
        <v>37.350000003352761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-07T06:51:25-0600',mode:absolute,to:'2017-06-07T09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23.299099999999999</v>
      </c>
      <c r="Z40" s="204">
        <f t="shared" si="9"/>
        <v>1.6299999999999999E-2</v>
      </c>
      <c r="AA40" s="204">
        <f t="shared" si="10"/>
        <v>23.282799999999998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0128-07</v>
      </c>
      <c r="AE40" s="80" t="str">
        <f t="shared" si="12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40" s="77" t="str">
        <f t="shared" si="13"/>
        <v>"C:\Program Files (x86)\AstroGrep\AstroGrep.exe" /e /r /s /spath="%USERPROFILE%\AppData\Local\Temp\OnboardLogs" /stypes="app*4057*20170607*"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128-07 --locoid 4057 --swversion DE.1.0.9.0 --startMP 204:232991 --initTime 2017-06-07T07:51:25 --startdatetime 2017-06-07T07:57:28 --delay 2 --endMP 204:163 --enddatetime 2017-06-07T08:34:49 --enforcementcount 0 &gt;&gt;C:\Users\stu\Documents\GitHub\eaglep3-reporting\EC\2017-06-07-refined-times.txt</v>
      </c>
      <c r="AI40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{"issue":{"subject":"","project_id":79,"tracker_id":40,"status_id":1,"priority_id":2,"assigned_to_id":23,"start_date":"2017-06-07","description":"","custom_fields":[{"id":1,"name":"Subdivision","value":"EC"},{"id":4,"name":"Milepost","value":"0.0163"},{"id":17,"name":"Train ID","value":"128-07"},{"id":16,"name":"Locomotive ID","value":"4057"},{"id":130,"name":"Impact","value":""},{"id":150,"name":"Time of Event (Mountain Time)","value":"08:34:49"},{"id":151,"name":"Denver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4057 --day 2017-06-07</v>
      </c>
      <c r="AN40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692</v>
      </c>
      <c r="B41" s="7">
        <v>4014</v>
      </c>
      <c r="C41" s="21" t="s">
        <v>204</v>
      </c>
      <c r="D41" s="21" t="s">
        <v>360</v>
      </c>
      <c r="E41" s="13">
        <v>42893.297418981485</v>
      </c>
      <c r="F41" s="13">
        <v>42893.302303240744</v>
      </c>
      <c r="G41" s="7">
        <v>1</v>
      </c>
      <c r="H41" s="21" t="s">
        <v>453</v>
      </c>
      <c r="I41" s="13">
        <v>42893.327314814815</v>
      </c>
      <c r="J41" s="7">
        <v>0</v>
      </c>
      <c r="K41" s="92" t="str">
        <f t="shared" si="0"/>
        <v>4013/4014</v>
      </c>
      <c r="L41" s="21" t="str">
        <f>VLOOKUP(A41,'Trips&amp;Operators'!$C$1:$G$99999,5,FALSE)</f>
        <v>MAELZER KURT</v>
      </c>
      <c r="M41" s="6">
        <f t="shared" si="1"/>
        <v>2.5011574070958886E-2</v>
      </c>
      <c r="N41" s="7">
        <f t="shared" si="2"/>
        <v>36.016666662180796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-07T06:08:17-0600',mode:absolute,to:'2017-06-07T08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4.4699999999999997E-2</v>
      </c>
      <c r="Z41" s="204">
        <f t="shared" si="9"/>
        <v>23.329699999999999</v>
      </c>
      <c r="AA41" s="204">
        <f t="shared" si="10"/>
        <v>23.285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0129-07</v>
      </c>
      <c r="AE41" s="80" t="str">
        <f t="shared" si="12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41" s="77" t="str">
        <f t="shared" si="13"/>
        <v>"C:\Program Files (x86)\AstroGrep\AstroGrep.exe" /e /r /s /spath="%USERPROFILE%\AppData\Local\Temp\OnboardLogs" /stypes="app*4014*20170607*"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129-07 --locoid 4014 --swversion DE.1.0.9.0 --startMP 204:447 --initTime 2017-06-07T07:08:17 --startdatetime 2017-06-07T07:15:19 --delay 1 --endMP 204:233297 --enddatetime 2017-06-07T07:51:20 --enforcementcount 0 &gt;&gt;C:\Users\stu\Documents\GitHub\eaglep3-reporting\EC\2017-06-07-refined-times.txt</v>
      </c>
      <c r="AI41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{"issue":{"subject":"","project_id":79,"tracker_id":40,"status_id":1,"priority_id":2,"assigned_to_id":23,"start_date":"2017-06-07","description":"","custom_fields":[{"id":1,"name":"Subdivision","value":"EC"},{"id":4,"name":"Milepost","value":"23.3297"},{"id":17,"name":"Train ID","value":"129-07"},{"id":16,"name":"Locomotive ID","value":"4014"},{"id":130,"name":"Impact","value":""},{"id":150,"name":"Time of Event (Mountain Time)","value":"07:51:20"},{"id":151,"name":"Denver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4014 --day 2017-06-07</v>
      </c>
      <c r="AN41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701</v>
      </c>
      <c r="B42" s="7">
        <v>4013</v>
      </c>
      <c r="C42" s="21" t="s">
        <v>204</v>
      </c>
      <c r="D42" s="21" t="s">
        <v>504</v>
      </c>
      <c r="E42" s="13">
        <v>42893.333194444444</v>
      </c>
      <c r="F42" s="13">
        <v>42893.341840277775</v>
      </c>
      <c r="G42" s="7">
        <v>0</v>
      </c>
      <c r="H42" s="21" t="s">
        <v>401</v>
      </c>
      <c r="I42" s="13">
        <v>42893.368298611109</v>
      </c>
      <c r="J42" s="7">
        <v>0</v>
      </c>
      <c r="K42" s="92" t="str">
        <f t="shared" si="0"/>
        <v>4013/4014</v>
      </c>
      <c r="L42" s="21" t="str">
        <f>VLOOKUP(A42,'Trips&amp;Operators'!$C$1:$G$99999,5,FALSE)</f>
        <v>MAELZER KURT</v>
      </c>
      <c r="M42" s="6">
        <f t="shared" si="1"/>
        <v>2.6458333333721384E-2</v>
      </c>
      <c r="N42" s="7">
        <f t="shared" si="2"/>
        <v>38.100000000558794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-07T06:59:48-0600',mode:absolute,to:'2017-06-07T09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23.2986</v>
      </c>
      <c r="Z42" s="204">
        <f t="shared" si="9"/>
        <v>1.54E-2</v>
      </c>
      <c r="AA42" s="204">
        <f t="shared" si="10"/>
        <v>23.283200000000001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0130-07</v>
      </c>
      <c r="AE42" s="80" t="str">
        <f t="shared" si="12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42" s="77" t="str">
        <f t="shared" si="13"/>
        <v>"C:\Program Files (x86)\AstroGrep\AstroGrep.exe" /e /r /s /spath="%USERPROFILE%\AppData\Local\Temp\OnboardLogs" /stypes="app*4013*20170607*"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130-07 --locoid 4013 --swversion DE.1.0.9.0 --startMP 204:232986 --initTime 2017-06-07T07:59:48 --startdatetime 2017-06-07T08:12:15 --delay 0 --endMP 204:154 --enddatetime 2017-06-07T08:50:21 --enforcementcount 0 &gt;&gt;C:\Users\stu\Documents\GitHub\eaglep3-reporting\EC\2017-06-07-refined-times.txt</v>
      </c>
      <c r="AI42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{"issue":{"subject":"","project_id":79,"tracker_id":40,"status_id":1,"priority_id":2,"assigned_to_id":23,"start_date":"2017-06-07","description":"","custom_fields":[{"id":1,"name":"Subdivision","value":"EC"},{"id":4,"name":"Milepost","value":"0.0154"},{"id":17,"name":"Train ID","value":"130-07"},{"id":16,"name":"Locomotive ID","value":"4013"},{"id":130,"name":"Impact","value":""},{"id":150,"name":"Time of Event (Mountain Time)","value":"08:50:21"},{"id":151,"name":"Denver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4013 --day 2017-06-07</v>
      </c>
      <c r="AN42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694</v>
      </c>
      <c r="B43" s="7">
        <v>4046</v>
      </c>
      <c r="C43" s="21" t="s">
        <v>204</v>
      </c>
      <c r="D43" s="21" t="s">
        <v>358</v>
      </c>
      <c r="E43" s="13">
        <v>42893.308611111112</v>
      </c>
      <c r="F43" s="13">
        <v>42893.312696759262</v>
      </c>
      <c r="G43" s="7">
        <v>2</v>
      </c>
      <c r="H43" s="21" t="s">
        <v>850</v>
      </c>
      <c r="I43" s="13">
        <v>42893.33797453704</v>
      </c>
      <c r="J43" s="7">
        <v>0</v>
      </c>
      <c r="K43" s="92" t="str">
        <f t="shared" si="0"/>
        <v>4045/4046</v>
      </c>
      <c r="L43" s="21" t="str">
        <f>VLOOKUP(A43,'Trips&amp;Operators'!$C$1:$G$99999,5,FALSE)</f>
        <v>YANG JAN</v>
      </c>
      <c r="M43" s="6">
        <f t="shared" si="1"/>
        <v>2.527777777868323E-2</v>
      </c>
      <c r="N43" s="7">
        <f t="shared" si="2"/>
        <v>36.400000001303852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-07T06:24:24-0600',mode:absolute,to:'2017-06-07T09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4.6399999999999997E-2</v>
      </c>
      <c r="Z43" s="204">
        <f t="shared" si="9"/>
        <v>23.331399999999999</v>
      </c>
      <c r="AA43" s="204">
        <f t="shared" si="10"/>
        <v>23.285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0131-07</v>
      </c>
      <c r="AE43" s="80" t="str">
        <f t="shared" si="12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43" s="77" t="str">
        <f t="shared" si="13"/>
        <v>"C:\Program Files (x86)\AstroGrep\AstroGrep.exe" /e /r /s /spath="%USERPROFILE%\AppData\Local\Temp\OnboardLogs" /stypes="app*4046*20170607*"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131-07 --locoid 4046 --swversion DE.1.0.9.0 --startMP 204:464 --initTime 2017-06-07T07:24:24 --startdatetime 2017-06-07T07:30:17 --delay 2 --endMP 204:233314 --enddatetime 2017-06-07T08:06:41 --enforcementcount 0 &gt;&gt;C:\Users\stu\Documents\GitHub\eaglep3-reporting\EC\2017-06-07-refined-times.txt</v>
      </c>
      <c r="AI43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{"issue":{"subject":"","project_id":79,"tracker_id":40,"status_id":1,"priority_id":2,"assigned_to_id":23,"start_date":"2017-06-07","description":"","custom_fields":[{"id":1,"name":"Subdivision","value":"EC"},{"id":4,"name":"Milepost","value":"23.3314"},{"id":17,"name":"Train ID","value":"131-07"},{"id":16,"name":"Locomotive ID","value":"4046"},{"id":130,"name":"Impact","value":""},{"id":150,"name":"Time of Event (Mountain Time)","value":"08:06:41"},{"id":151,"name":"Denver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4046 --day 2017-06-07</v>
      </c>
      <c r="AN43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612</v>
      </c>
      <c r="B44" s="7">
        <v>4045</v>
      </c>
      <c r="C44" s="21" t="s">
        <v>204</v>
      </c>
      <c r="D44" s="21" t="s">
        <v>481</v>
      </c>
      <c r="E44" s="13">
        <v>42893.339953703704</v>
      </c>
      <c r="F44" s="13">
        <v>42893.352546296293</v>
      </c>
      <c r="G44" s="7">
        <v>1</v>
      </c>
      <c r="H44" s="21" t="s">
        <v>861</v>
      </c>
      <c r="I44" s="13">
        <v>42893.379305555558</v>
      </c>
      <c r="J44" s="7">
        <v>0</v>
      </c>
      <c r="K44" s="92" t="str">
        <f t="shared" si="0"/>
        <v>4045/4046</v>
      </c>
      <c r="L44" s="21" t="str">
        <f>VLOOKUP(A44,'Trips&amp;Operators'!$C$1:$G$99999,5,FALSE)</f>
        <v>YANG JAN</v>
      </c>
      <c r="M44" s="6">
        <f t="shared" si="1"/>
        <v>2.6759259264508728E-2</v>
      </c>
      <c r="N44" s="7">
        <f t="shared" si="2"/>
        <v>38.533333340892568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-07T07:09:32-0600',mode:absolute,to:'2017-06-07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23.299299999999999</v>
      </c>
      <c r="Z44" s="204">
        <f t="shared" si="9"/>
        <v>1.7000000000000001E-2</v>
      </c>
      <c r="AA44" s="204">
        <f t="shared" si="10"/>
        <v>23.282299999999999</v>
      </c>
      <c r="AB44" s="57" t="str">
        <f>VLOOKUP(A44,Enforcements!$C$7:$K$13,8,0)</f>
        <v>Bulletin (2)</v>
      </c>
      <c r="AC44" s="53" t="str">
        <f>VLOOKUP(A44,Enforcements!$C$7:$E$13,3,0)</f>
        <v>GRADE CROSSING</v>
      </c>
      <c r="AD44" s="54" t="str">
        <f t="shared" si="11"/>
        <v>0132-07</v>
      </c>
      <c r="AE44" s="80" t="str">
        <f t="shared" si="12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44" s="77" t="str">
        <f t="shared" si="13"/>
        <v>"C:\Program Files (x86)\AstroGrep\AstroGrep.exe" /e /r /s /spath="%USERPROFILE%\AppData\Local\Temp\OnboardLogs" /stypes="app*4045*20170607*"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132-07 --locoid 4045 --swversion DE.1.0.9.0 --startMP 204:232993 --initTime 2017-06-07T08:09:32 --startdatetime 2017-06-07T08:27:40 --delay 1 --endMP 204:170 --enddatetime 2017-06-07T09:06:12 --enforcementcount 0 &gt;&gt;C:\Users\stu\Documents\GitHub\eaglep3-reporting\EC\2017-06-07-refined-times.txt</v>
      </c>
      <c r="AI44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{"issue":{"subject":"","project_id":79,"tracker_id":40,"status_id":1,"priority_id":2,"assigned_to_id":23,"start_date":"2017-06-07","description":"","custom_fields":[{"id":1,"name":"Subdivision","value":"EC"},{"id":4,"name":"Milepost","value":"0.017"},{"id":17,"name":"Train ID","value":"132-07"},{"id":16,"name":"Locomotive ID","value":"4045"},{"id":130,"name":"Impact","value":""},{"id":150,"name":"Time of Event (Mountain Time)","value":"09:06:12"},{"id":151,"name":"Denver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4045 --day 2017-06-07</v>
      </c>
      <c r="AN44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697</v>
      </c>
      <c r="B45" s="7">
        <v>4028</v>
      </c>
      <c r="C45" s="21" t="s">
        <v>204</v>
      </c>
      <c r="D45" s="21" t="s">
        <v>862</v>
      </c>
      <c r="E45" s="13">
        <v>42893.320509259262</v>
      </c>
      <c r="F45" s="13">
        <v>42893.323101851849</v>
      </c>
      <c r="G45" s="7">
        <v>1</v>
      </c>
      <c r="H45" s="21" t="s">
        <v>490</v>
      </c>
      <c r="I45" s="13">
        <v>42893.348946759259</v>
      </c>
      <c r="J45" s="7">
        <v>0</v>
      </c>
      <c r="K45" s="92" t="str">
        <f t="shared" si="0"/>
        <v>4027/4028</v>
      </c>
      <c r="L45" s="21" t="str">
        <f>VLOOKUP(A45,'Trips&amp;Operators'!$C$1:$G$99999,5,FALSE)</f>
        <v>STARKS ANGELINA</v>
      </c>
      <c r="M45" s="6">
        <f t="shared" si="1"/>
        <v>2.584490740991896E-2</v>
      </c>
      <c r="N45" s="7">
        <f t="shared" ref="N45:N76" si="23">24*60*SUM($M45:$M45)</f>
        <v>37.216666670283303</v>
      </c>
      <c r="O45" s="7"/>
      <c r="P45" s="7"/>
      <c r="Q45" s="22"/>
      <c r="R45" s="173"/>
      <c r="S45" s="176">
        <f t="shared" ref="S45:S76" si="24">SUM(U45:U45)/IF(AG45="EC",12,1)</f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-07T06:41:32-0600',mode:absolute,to:'2017-06-07T09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204" t="str">
        <f t="shared" si="6"/>
        <v>N</v>
      </c>
      <c r="X45" s="204">
        <f t="shared" si="7"/>
        <v>1</v>
      </c>
      <c r="Y45" s="204">
        <f t="shared" ref="Y45:Y76" si="25">RIGHT(D45,LEN(D45)-4)/10000</f>
        <v>4.2900000000000001E-2</v>
      </c>
      <c r="Z45" s="204">
        <f t="shared" ref="Z45:Z76" si="26">RIGHT(H45,LEN(H45)-4)/10000</f>
        <v>23.3307</v>
      </c>
      <c r="AA45" s="204">
        <f t="shared" si="10"/>
        <v>23.287800000000001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0133-07</v>
      </c>
      <c r="AE45" s="80" t="str">
        <f t="shared" si="12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45" s="77" t="str">
        <f t="shared" si="13"/>
        <v>"C:\Program Files (x86)\AstroGrep\AstroGrep.exe" /e /r /s /spath="%USERPROFILE%\AppData\Local\Temp\OnboardLogs" /stypes="app*4028*20170607*"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133-07 --locoid 4028 --swversion DE.1.0.9.0 --startMP 204:429 --initTime 2017-06-07T07:41:32 --startdatetime 2017-06-07T07:45:16 --delay 1 --endMP 204:233307 --enddatetime 2017-06-07T08:22:29 --enforcementcount 0 &gt;&gt;C:\Users\stu\Documents\GitHub\eaglep3-reporting\EC\2017-06-07-refined-times.txt</v>
      </c>
      <c r="AI45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{"issue":{"subject":"","project_id":79,"tracker_id":40,"status_id":1,"priority_id":2,"assigned_to_id":23,"start_date":"2017-06-07","description":"","custom_fields":[{"id":1,"name":"Subdivision","value":"EC"},{"id":4,"name":"Milepost","value":"23.3307"},{"id":17,"name":"Train ID","value":"133-07"},{"id":16,"name":"Locomotive ID","value":"4028"},{"id":130,"name":"Impact","value":""},{"id":150,"name":"Time of Event (Mountain Time)","value":"08:22:29"},{"id":151,"name":"Denver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4028 --day 2017-06-07</v>
      </c>
      <c r="AN45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709</v>
      </c>
      <c r="B46" s="7">
        <v>4027</v>
      </c>
      <c r="C46" s="21" t="s">
        <v>204</v>
      </c>
      <c r="D46" s="21" t="s">
        <v>430</v>
      </c>
      <c r="E46" s="13">
        <v>42893.360995370371</v>
      </c>
      <c r="F46" s="13">
        <v>42893.362673611111</v>
      </c>
      <c r="G46" s="7">
        <v>1</v>
      </c>
      <c r="H46" s="21" t="s">
        <v>458</v>
      </c>
      <c r="I46" s="13">
        <v>42893.389930555553</v>
      </c>
      <c r="J46" s="7">
        <v>0</v>
      </c>
      <c r="K46" s="92" t="str">
        <f t="shared" si="0"/>
        <v>4027/4028</v>
      </c>
      <c r="L46" s="21" t="str">
        <f>VLOOKUP(A46,'Trips&amp;Operators'!$C$1:$G$99999,5,FALSE)</f>
        <v>STARKS ANGELINA</v>
      </c>
      <c r="M46" s="6">
        <f t="shared" si="1"/>
        <v>2.7256944442342501E-2</v>
      </c>
      <c r="N46" s="7">
        <f t="shared" si="23"/>
        <v>39.249999996973202</v>
      </c>
      <c r="O46" s="7"/>
      <c r="P46" s="7"/>
      <c r="Q46" s="22"/>
      <c r="R46" s="173"/>
      <c r="S46" s="176">
        <f t="shared" si="24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-07T07:39:50-0600',mode:absolute,to:'2017-06-07T10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204" t="str">
        <f t="shared" si="6"/>
        <v>N</v>
      </c>
      <c r="X46" s="204">
        <f t="shared" si="7"/>
        <v>1</v>
      </c>
      <c r="Y46" s="204">
        <f t="shared" si="25"/>
        <v>23.297699999999999</v>
      </c>
      <c r="Z46" s="204">
        <f t="shared" si="26"/>
        <v>1.38E-2</v>
      </c>
      <c r="AA46" s="204">
        <f t="shared" si="10"/>
        <v>23.283899999999999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0134-07</v>
      </c>
      <c r="AE46" s="80" t="str">
        <f t="shared" si="12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46" s="77" t="str">
        <f t="shared" si="13"/>
        <v>"C:\Program Files (x86)\AstroGrep\AstroGrep.exe" /e /r /s /spath="%USERPROFILE%\AppData\Local\Temp\OnboardLogs" /stypes="app*4027*20170607*"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134-07 --locoid 4027 --swversion DE.1.0.9.0 --startMP 204:232977 --initTime 2017-06-07T08:39:50 --startdatetime 2017-06-07T08:42:15 --delay 1 --endMP 204:138 --enddatetime 2017-06-07T09:21:30 --enforcementcount 0 &gt;&gt;C:\Users\stu\Documents\GitHub\eaglep3-reporting\EC\2017-06-07-refined-times.txt</v>
      </c>
      <c r="AI46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{"issue":{"subject":"","project_id":79,"tracker_id":40,"status_id":1,"priority_id":2,"assigned_to_id":23,"start_date":"2017-06-07","description":"","custom_fields":[{"id":1,"name":"Subdivision","value":"EC"},{"id":4,"name":"Milepost","value":"0.0138"},{"id":17,"name":"Train ID","value":"134-07"},{"id":16,"name":"Locomotive ID","value":"4027"},{"id":130,"name":"Impact","value":""},{"id":150,"name":"Time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4027 --day 2017-06-07</v>
      </c>
      <c r="AN46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699</v>
      </c>
      <c r="B47" s="7">
        <v>4012</v>
      </c>
      <c r="C47" s="21" t="s">
        <v>204</v>
      </c>
      <c r="D47" s="21" t="s">
        <v>456</v>
      </c>
      <c r="E47" s="13">
        <v>42893.330509259256</v>
      </c>
      <c r="F47" s="13">
        <v>42893.333773148152</v>
      </c>
      <c r="G47" s="7">
        <v>1</v>
      </c>
      <c r="H47" s="21" t="s">
        <v>398</v>
      </c>
      <c r="I47" s="13">
        <v>42893.358865740738</v>
      </c>
      <c r="J47" s="7">
        <v>0</v>
      </c>
      <c r="K47" s="92" t="str">
        <f t="shared" si="0"/>
        <v>4011/4012</v>
      </c>
      <c r="L47" s="21" t="str">
        <f>VLOOKUP(A47,'Trips&amp;Operators'!$C$1:$G$99999,5,FALSE)</f>
        <v>HELVIE ADAM</v>
      </c>
      <c r="M47" s="6">
        <f t="shared" si="1"/>
        <v>2.509259258658858E-2</v>
      </c>
      <c r="N47" s="7">
        <f t="shared" si="23"/>
        <v>36.133333324687555</v>
      </c>
      <c r="O47" s="7"/>
      <c r="P47" s="7"/>
      <c r="Q47" s="22"/>
      <c r="R47" s="173"/>
      <c r="S47" s="176">
        <f t="shared" si="24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-07T06:55:56-0600',mode:absolute,to:'2017-06-07T09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7" s="204" t="str">
        <f t="shared" si="6"/>
        <v>N</v>
      </c>
      <c r="X47" s="204">
        <f t="shared" si="7"/>
        <v>1</v>
      </c>
      <c r="Y47" s="204">
        <f t="shared" si="25"/>
        <v>4.6699999999999998E-2</v>
      </c>
      <c r="Z47" s="204">
        <f t="shared" si="26"/>
        <v>23.3293</v>
      </c>
      <c r="AA47" s="204">
        <f t="shared" si="10"/>
        <v>23.282599999999999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0135-07</v>
      </c>
      <c r="AE47" s="80" t="str">
        <f t="shared" si="12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47" s="77" t="str">
        <f t="shared" si="13"/>
        <v>"C:\Program Files (x86)\AstroGrep\AstroGrep.exe" /e /r /s /spath="%USERPROFILE%\AppData\Local\Temp\OnboardLogs" /stypes="app*4012*20170607*"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135-07 --locoid 4012 --swversion DE.1.0.9.0 --startMP 204:467 --initTime 2017-06-07T07:55:56 --startdatetime 2017-06-07T08:00:38 --delay 1 --endMP 204:233293 --enddatetime 2017-06-07T08:36:46 --enforcementcount 0 &gt;&gt;C:\Users\stu\Documents\GitHub\eaglep3-reporting\EC\2017-06-07-refined-times.txt</v>
      </c>
      <c r="AI47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{"issue":{"subject":"","project_id":79,"tracker_id":40,"status_id":1,"priority_id":2,"assigned_to_id":23,"start_date":"2017-06-07","description":"","custom_fields":[{"id":1,"name":"Subdivision","value":"EC"},{"id":4,"name":"Milepost","value":"23.3293"},{"id":17,"name":"Train ID","value":"135-07"},{"id":16,"name":"Locomotive ID","value":"4012"},{"id":130,"name":"Impact","value":""},{"id":150,"name":"Time of Event (Mountain Time)","value":"08:36:46"},{"id":151,"name":"Denver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4012 --day 2017-06-07</v>
      </c>
      <c r="AN47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710</v>
      </c>
      <c r="B48" s="7">
        <v>4011</v>
      </c>
      <c r="C48" s="21" t="s">
        <v>204</v>
      </c>
      <c r="D48" s="21" t="s">
        <v>863</v>
      </c>
      <c r="E48" s="13">
        <v>42893.369872685187</v>
      </c>
      <c r="F48" s="13">
        <v>42893.373194444444</v>
      </c>
      <c r="G48" s="7">
        <v>1</v>
      </c>
      <c r="H48" s="21" t="s">
        <v>196</v>
      </c>
      <c r="I48" s="13">
        <v>42893.398761574077</v>
      </c>
      <c r="J48" s="7">
        <v>0</v>
      </c>
      <c r="K48" s="92" t="str">
        <f t="shared" si="0"/>
        <v>4011/4012</v>
      </c>
      <c r="L48" s="21" t="str">
        <f>VLOOKUP(A48,'Trips&amp;Operators'!$C$1:$G$99999,5,FALSE)</f>
        <v>HELVIE ADAM</v>
      </c>
      <c r="M48" s="6">
        <f t="shared" si="1"/>
        <v>2.5567129632690921E-2</v>
      </c>
      <c r="N48" s="7">
        <f t="shared" si="23"/>
        <v>36.816666671074927</v>
      </c>
      <c r="O48" s="7"/>
      <c r="P48" s="7"/>
      <c r="Q48" s="22"/>
      <c r="R48" s="173"/>
      <c r="S48" s="176">
        <f t="shared" si="24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-07T07:52:37-0600',mode:absolute,to:'2017-06-07T10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204" t="str">
        <f t="shared" si="6"/>
        <v>N</v>
      </c>
      <c r="X48" s="204">
        <f t="shared" si="7"/>
        <v>1</v>
      </c>
      <c r="Y48" s="204">
        <f t="shared" si="25"/>
        <v>23.298100000000002</v>
      </c>
      <c r="Z48" s="204">
        <f t="shared" si="26"/>
        <v>1.5800000000000002E-2</v>
      </c>
      <c r="AA48" s="204">
        <f t="shared" si="10"/>
        <v>23.282300000000003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0136-07</v>
      </c>
      <c r="AE48" s="80" t="str">
        <f t="shared" si="12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48" s="77" t="str">
        <f t="shared" si="13"/>
        <v>"C:\Program Files (x86)\AstroGrep\AstroGrep.exe" /e /r /s /spath="%USERPROFILE%\AppData\Local\Temp\OnboardLogs" /stypes="app*4011*20170607*"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136-07 --locoid 4011 --swversion DE.1.0.9.0 --startMP 204:232981 --initTime 2017-06-07T08:52:37 --startdatetime 2017-06-07T08:57:24 --delay 1 --endMP 204:158 --enddatetime 2017-06-07T09:34:13 --enforcementcount 0 &gt;&gt;C:\Users\stu\Documents\GitHub\eaglep3-reporting\EC\2017-06-07-refined-times.txt</v>
      </c>
      <c r="AI48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{"issue":{"subject":"","project_id":79,"tracker_id":40,"status_id":1,"priority_id":2,"assigned_to_id":23,"start_date":"2017-06-07","description":"","custom_fields":[{"id":1,"name":"Subdivision","value":"EC"},{"id":4,"name":"Milepost","value":"0.0158"},{"id":17,"name":"Train ID","value":"136-07"},{"id":16,"name":"Locomotive ID","value":"4011"},{"id":130,"name":"Impact","value":""},{"id":150,"name":"Time of Event (Mountain Time)","value":"09:34:13"},{"id":151,"name":"Denver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4011 --day 2017-06-07</v>
      </c>
      <c r="AN48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703</v>
      </c>
      <c r="B49" s="7">
        <v>4032</v>
      </c>
      <c r="C49" s="21" t="s">
        <v>204</v>
      </c>
      <c r="D49" s="21" t="s">
        <v>456</v>
      </c>
      <c r="E49" s="13">
        <v>42893.339305555557</v>
      </c>
      <c r="F49" s="13">
        <v>42893.343900462962</v>
      </c>
      <c r="G49" s="7">
        <v>1</v>
      </c>
      <c r="H49" s="21" t="s">
        <v>460</v>
      </c>
      <c r="I49" s="13">
        <v>42893.36954861111</v>
      </c>
      <c r="J49" s="7">
        <v>0</v>
      </c>
      <c r="K49" s="92" t="str">
        <f t="shared" si="0"/>
        <v>4031/4032</v>
      </c>
      <c r="L49" s="21" t="str">
        <f>VLOOKUP(A49,'Trips&amp;Operators'!$C$1:$G$99999,5,FALSE)</f>
        <v>DAVIS WENDY</v>
      </c>
      <c r="M49" s="6">
        <f t="shared" si="1"/>
        <v>2.5648148148320615E-2</v>
      </c>
      <c r="N49" s="7">
        <f t="shared" si="23"/>
        <v>36.933333333581686</v>
      </c>
      <c r="O49" s="7"/>
      <c r="P49" s="7"/>
      <c r="Q49" s="22"/>
      <c r="R49" s="173"/>
      <c r="S49" s="176">
        <f t="shared" si="24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-07T07:08:36-0600',mode:absolute,to:'2017-06-07T09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204" t="str">
        <f t="shared" si="6"/>
        <v>N</v>
      </c>
      <c r="X49" s="204">
        <f t="shared" si="7"/>
        <v>1</v>
      </c>
      <c r="Y49" s="204">
        <f t="shared" si="25"/>
        <v>4.6699999999999998E-2</v>
      </c>
      <c r="Z49" s="204">
        <f t="shared" si="26"/>
        <v>23.3309</v>
      </c>
      <c r="AA49" s="204">
        <f t="shared" si="10"/>
        <v>23.284199999999998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0137-07</v>
      </c>
      <c r="AE49" s="80" t="str">
        <f t="shared" si="12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49" s="77" t="str">
        <f t="shared" si="13"/>
        <v>"C:\Program Files (x86)\AstroGrep\AstroGrep.exe" /e /r /s /spath="%USERPROFILE%\AppData\Local\Temp\OnboardLogs" /stypes="app*4032*20170607*"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137-07 --locoid 4032 --swversion DE.1.0.9.0 --startMP 204:467 --initTime 2017-06-07T08:08:36 --startdatetime 2017-06-07T08:15:13 --delay 1 --endMP 204:233309 --enddatetime 2017-06-07T08:52:09 --enforcementcount 0 &gt;&gt;C:\Users\stu\Documents\GitHub\eaglep3-reporting\EC\2017-06-07-refined-times.txt</v>
      </c>
      <c r="AI49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{"issue":{"subject":"","project_id":79,"tracker_id":40,"status_id":1,"priority_id":2,"assigned_to_id":23,"start_date":"2017-06-07","description":"","custom_fields":[{"id":1,"name":"Subdivision","value":"EC"},{"id":4,"name":"Milepost","value":"23.3309"},{"id":17,"name":"Train ID","value":"137-07"},{"id":16,"name":"Locomotive ID","value":"4032"},{"id":130,"name":"Impact","value":""},{"id":150,"name":"Time of Event (Mountain Time)","value":"08:52:09"},{"id":151,"name":"Denver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4032 --day 2017-06-07</v>
      </c>
      <c r="AN49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714</v>
      </c>
      <c r="B50" s="7">
        <v>4031</v>
      </c>
      <c r="C50" s="21" t="s">
        <v>204</v>
      </c>
      <c r="D50" s="21" t="s">
        <v>864</v>
      </c>
      <c r="E50" s="13">
        <v>42893.381192129629</v>
      </c>
      <c r="F50" s="13">
        <v>42893.383506944447</v>
      </c>
      <c r="G50" s="7">
        <v>1</v>
      </c>
      <c r="H50" s="21" t="s">
        <v>350</v>
      </c>
      <c r="I50" s="13">
        <v>42893.411180555559</v>
      </c>
      <c r="J50" s="7">
        <v>0</v>
      </c>
      <c r="K50" s="92" t="str">
        <f t="shared" si="0"/>
        <v>4031/4032</v>
      </c>
      <c r="L50" s="21" t="str">
        <f>VLOOKUP(A50,'Trips&amp;Operators'!$C$1:$G$99999,5,FALSE)</f>
        <v>DAVIS WENDY</v>
      </c>
      <c r="M50" s="6">
        <f t="shared" si="1"/>
        <v>2.7673611111822538E-2</v>
      </c>
      <c r="N50" s="7">
        <f t="shared" si="23"/>
        <v>39.850000001024455</v>
      </c>
      <c r="O50" s="7"/>
      <c r="P50" s="7"/>
      <c r="Q50" s="22"/>
      <c r="R50" s="173"/>
      <c r="S50" s="176">
        <f t="shared" si="24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-07T08:08:55-0600',mode:absolute,to:'2017-06-07T10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204" t="str">
        <f t="shared" si="6"/>
        <v>N</v>
      </c>
      <c r="X50" s="204">
        <f t="shared" si="7"/>
        <v>1</v>
      </c>
      <c r="Y50" s="204">
        <f t="shared" si="25"/>
        <v>23.296900000000001</v>
      </c>
      <c r="Z50" s="204">
        <f t="shared" si="26"/>
        <v>1.6E-2</v>
      </c>
      <c r="AA50" s="204">
        <f t="shared" si="10"/>
        <v>23.280900000000003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0138-07</v>
      </c>
      <c r="AE50" s="80" t="str">
        <f t="shared" si="12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50" s="77" t="str">
        <f t="shared" si="13"/>
        <v>"C:\Program Files (x86)\AstroGrep\AstroGrep.exe" /e /r /s /spath="%USERPROFILE%\AppData\Local\Temp\OnboardLogs" /stypes="app*4031*20170607*"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138-07 --locoid 4031 --swversion DE.1.0.9.0 --startMP 204:232969 --initTime 2017-06-07T09:08:55 --startdatetime 2017-06-07T09:12:15 --delay 1 --endMP 204:160 --enddatetime 2017-06-07T09:52:06 --enforcementcount 0 &gt;&gt;C:\Users\stu\Documents\GitHub\eaglep3-reporting\EC\2017-06-07-refined-times.txt</v>
      </c>
      <c r="AI50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{"issue":{"subject":"","project_id":79,"tracker_id":40,"status_id":1,"priority_id":2,"assigned_to_id":23,"start_date":"2017-06-07","description":"","custom_fields":[{"id":1,"name":"Subdivision","value":"EC"},{"id":4,"name":"Milepost","value":"0.016"},{"id":17,"name":"Train ID","value":"138-07"},{"id":16,"name":"Locomotive ID","value":"4031"},{"id":130,"name":"Impact","value":""},{"id":150,"name":"Time of Event (Mountain Time)","value":"09:52:06"},{"id":151,"name":"Denver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4031 --day 2017-06-07</v>
      </c>
      <c r="AN50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704</v>
      </c>
      <c r="B51" s="7">
        <v>4016</v>
      </c>
      <c r="C51" s="21" t="s">
        <v>204</v>
      </c>
      <c r="D51" s="21" t="s">
        <v>355</v>
      </c>
      <c r="E51" s="13">
        <v>42893.351493055554</v>
      </c>
      <c r="F51" s="13">
        <v>42893.35434027778</v>
      </c>
      <c r="G51" s="7">
        <v>1</v>
      </c>
      <c r="H51" s="21" t="s">
        <v>578</v>
      </c>
      <c r="I51" s="13">
        <v>42893.379745370374</v>
      </c>
      <c r="J51" s="7">
        <v>0</v>
      </c>
      <c r="K51" s="92" t="str">
        <f t="shared" si="0"/>
        <v>4015/4016</v>
      </c>
      <c r="L51" s="21" t="str">
        <f>VLOOKUP(A51,'Trips&amp;Operators'!$C$1:$G$99999,5,FALSE)</f>
        <v>BONDS REYNALDO</v>
      </c>
      <c r="M51" s="6">
        <f t="shared" si="1"/>
        <v>2.5405092594155576E-2</v>
      </c>
      <c r="N51" s="7">
        <f t="shared" si="23"/>
        <v>36.58333333558403</v>
      </c>
      <c r="O51" s="7"/>
      <c r="P51" s="7"/>
      <c r="Q51" s="22"/>
      <c r="R51" s="173"/>
      <c r="S51" s="176">
        <f t="shared" si="24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-07T07:26:09-0600',mode:absolute,to:'2017-06-07T10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204" t="str">
        <f t="shared" si="6"/>
        <v>N</v>
      </c>
      <c r="X51" s="204">
        <f t="shared" si="7"/>
        <v>1</v>
      </c>
      <c r="Y51" s="204">
        <f t="shared" si="25"/>
        <v>4.6600000000000003E-2</v>
      </c>
      <c r="Z51" s="204">
        <f t="shared" si="26"/>
        <v>23.333200000000001</v>
      </c>
      <c r="AA51" s="204">
        <f t="shared" si="10"/>
        <v>23.2866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0139-07</v>
      </c>
      <c r="AE51" s="80" t="str">
        <f t="shared" si="12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51" s="77" t="str">
        <f t="shared" si="13"/>
        <v>"C:\Program Files (x86)\AstroGrep\AstroGrep.exe" /e /r /s /spath="%USERPROFILE%\AppData\Local\Temp\OnboardLogs" /stypes="app*4016*20170607*"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139-07 --locoid 4016 --swversion DE.1.0.9.0 --startMP 204:466 --initTime 2017-06-07T08:26:09 --startdatetime 2017-06-07T08:30:15 --delay 1 --endMP 204:233332 --enddatetime 2017-06-07T09:06:50 --enforcementcount 0 &gt;&gt;C:\Users\stu\Documents\GitHub\eaglep3-reporting\EC\2017-06-07-refined-times.txt</v>
      </c>
      <c r="AI51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{"issue":{"subject":"","project_id":79,"tracker_id":40,"status_id":1,"priority_id":2,"assigned_to_id":23,"start_date":"2017-06-07","description":"","custom_fields":[{"id":1,"name":"Subdivision","value":"EC"},{"id":4,"name":"Milepost","value":"23.3332"},{"id":17,"name":"Train ID","value":"139-07"},{"id":16,"name":"Locomotive ID","value":"4016"},{"id":130,"name":"Impact","value":""},{"id":150,"name":"Time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4016 --day 2017-06-07</v>
      </c>
      <c r="AN51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715</v>
      </c>
      <c r="B52" s="7">
        <v>4015</v>
      </c>
      <c r="C52" s="21" t="s">
        <v>204</v>
      </c>
      <c r="D52" s="21" t="s">
        <v>489</v>
      </c>
      <c r="E52" s="13">
        <v>42893.389791666668</v>
      </c>
      <c r="F52" s="13">
        <v>42893.393958333334</v>
      </c>
      <c r="G52" s="7">
        <v>1</v>
      </c>
      <c r="H52" s="21" t="s">
        <v>865</v>
      </c>
      <c r="I52" s="13">
        <v>42893.420868055553</v>
      </c>
      <c r="J52" s="7">
        <v>0</v>
      </c>
      <c r="K52" s="92" t="str">
        <f t="shared" si="0"/>
        <v>4015/4016</v>
      </c>
      <c r="L52" s="21" t="str">
        <f>VLOOKUP(A52,'Trips&amp;Operators'!$C$1:$G$99999,5,FALSE)</f>
        <v>BONDS REYNALDO</v>
      </c>
      <c r="M52" s="6">
        <f t="shared" si="1"/>
        <v>2.6909722218988463E-2</v>
      </c>
      <c r="N52" s="7">
        <f t="shared" si="23"/>
        <v>38.749999995343387</v>
      </c>
      <c r="O52" s="7"/>
      <c r="P52" s="7"/>
      <c r="Q52" s="22"/>
      <c r="R52" s="173"/>
      <c r="S52" s="176">
        <f t="shared" si="24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-07T08:21:18-0600',mode:absolute,to:'2017-06-07T11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204" t="str">
        <f t="shared" si="6"/>
        <v>N</v>
      </c>
      <c r="X52" s="204">
        <f t="shared" si="7"/>
        <v>1</v>
      </c>
      <c r="Y52" s="204">
        <f t="shared" si="25"/>
        <v>23.299099999999999</v>
      </c>
      <c r="Z52" s="204">
        <f t="shared" si="26"/>
        <v>1.61E-2</v>
      </c>
      <c r="AA52" s="204">
        <f t="shared" si="10"/>
        <v>23.282999999999998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0140-07</v>
      </c>
      <c r="AE52" s="80" t="str">
        <f t="shared" si="12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52" s="77" t="str">
        <f t="shared" si="13"/>
        <v>"C:\Program Files (x86)\AstroGrep\AstroGrep.exe" /e /r /s /spath="%USERPROFILE%\AppData\Local\Temp\OnboardLogs" /stypes="app*4015*20170607*"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140-07 --locoid 4015 --swversion DE.1.0.9.0 --startMP 204:232991 --initTime 2017-06-07T09:21:18 --startdatetime 2017-06-07T09:27:18 --delay 1 --endMP 204:161 --enddatetime 2017-06-07T10:06:03 --enforcementcount 0 &gt;&gt;C:\Users\stu\Documents\GitHub\eaglep3-reporting\EC\2017-06-07-refined-times.txt</v>
      </c>
      <c r="AI52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{"issue":{"subject":"","project_id":79,"tracker_id":40,"status_id":1,"priority_id":2,"assigned_to_id":23,"start_date":"2017-06-07","description":"","custom_fields":[{"id":1,"name":"Subdivision","value":"EC"},{"id":4,"name":"Milepost","value":"0.0161"},{"id":17,"name":"Train ID","value":"140-07"},{"id":16,"name":"Locomotive ID","value":"4015"},{"id":130,"name":"Impact","value":""},{"id":150,"name":"Time of Event (Mountain Time)","value":"10:06:03"},{"id":151,"name":"Denver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4015 --day 2017-06-07</v>
      </c>
      <c r="AN52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614</v>
      </c>
      <c r="B53" s="7">
        <v>4058</v>
      </c>
      <c r="C53" s="21" t="s">
        <v>204</v>
      </c>
      <c r="D53" s="21" t="s">
        <v>200</v>
      </c>
      <c r="E53" s="13">
        <v>42893.360358796293</v>
      </c>
      <c r="F53" s="13">
        <v>42893.364756944444</v>
      </c>
      <c r="G53" s="7">
        <v>1</v>
      </c>
      <c r="H53" s="21" t="s">
        <v>866</v>
      </c>
      <c r="I53" s="13">
        <v>42893.389976851853</v>
      </c>
      <c r="J53" s="7">
        <v>0</v>
      </c>
      <c r="K53" s="92" t="str">
        <f t="shared" si="0"/>
        <v>4057/4058</v>
      </c>
      <c r="L53" s="21" t="str">
        <f>VLOOKUP(A53,'Trips&amp;Operators'!$C$1:$G$99999,5,FALSE)</f>
        <v>LOZA FIDEL</v>
      </c>
      <c r="M53" s="6">
        <f t="shared" si="1"/>
        <v>2.5219907409336884E-2</v>
      </c>
      <c r="N53" s="7">
        <f t="shared" si="23"/>
        <v>36.316666669445112</v>
      </c>
      <c r="O53" s="7"/>
      <c r="P53" s="7"/>
      <c r="Q53" s="22"/>
      <c r="R53" s="173"/>
      <c r="S53" s="176">
        <f t="shared" si="24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-07T07:38:55-0600',mode:absolute,to:'2017-06-07T10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204" t="str">
        <f t="shared" si="6"/>
        <v>N</v>
      </c>
      <c r="X53" s="204">
        <f t="shared" si="7"/>
        <v>1</v>
      </c>
      <c r="Y53" s="204">
        <f t="shared" si="25"/>
        <v>4.5699999999999998E-2</v>
      </c>
      <c r="Z53" s="204">
        <f t="shared" si="26"/>
        <v>23.332999999999998</v>
      </c>
      <c r="AA53" s="204">
        <f t="shared" si="10"/>
        <v>23.287299999999998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0141-07</v>
      </c>
      <c r="AE53" s="80" t="str">
        <f t="shared" si="12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53" s="77" t="str">
        <f t="shared" si="13"/>
        <v>"C:\Program Files (x86)\AstroGrep\AstroGrep.exe" /e /r /s /spath="%USERPROFILE%\AppData\Local\Temp\OnboardLogs" /stypes="app*4058*20170607*"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141-07 --locoid 4058 --swversion DE.1.0.9.0 --startMP 204:457 --initTime 2017-06-07T08:38:55 --startdatetime 2017-06-07T08:45:15 --delay 1 --endMP 204:233330 --enddatetime 2017-06-07T09:21:34 --enforcementcount 0 &gt;&gt;C:\Users\stu\Documents\GitHub\eaglep3-reporting\EC\2017-06-07-refined-times.txt</v>
      </c>
      <c r="AI53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{"issue":{"subject":"","project_id":79,"tracker_id":40,"status_id":1,"priority_id":2,"assigned_to_id":23,"start_date":"2017-06-07","description":"","custom_fields":[{"id":1,"name":"Subdivision","value":"EC"},{"id":4,"name":"Milepost","value":"23.333"},{"id":17,"name":"Train ID","value":"141-07"},{"id":16,"name":"Locomotive ID","value":"4058"},{"id":130,"name":"Impact","value":""},{"id":150,"name":"Time of Event (Mountain Time)","value":"09:21:34"},{"id":151,"name":"Denver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4058 --day 2017-06-07</v>
      </c>
      <c r="AN53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716</v>
      </c>
      <c r="B54" s="7">
        <v>4057</v>
      </c>
      <c r="C54" s="21" t="s">
        <v>204</v>
      </c>
      <c r="D54" s="21" t="s">
        <v>403</v>
      </c>
      <c r="E54" s="13">
        <v>42893.392291666663</v>
      </c>
      <c r="F54" s="13">
        <v>42893.404791666668</v>
      </c>
      <c r="G54" s="7">
        <v>1</v>
      </c>
      <c r="H54" s="21" t="s">
        <v>350</v>
      </c>
      <c r="I54" s="13">
        <v>42893.431921296295</v>
      </c>
      <c r="J54" s="7">
        <v>0</v>
      </c>
      <c r="K54" s="92" t="str">
        <f t="shared" si="0"/>
        <v>4057/4058</v>
      </c>
      <c r="L54" s="21" t="str">
        <f>VLOOKUP(A54,'Trips&amp;Operators'!$C$1:$G$99999,5,FALSE)</f>
        <v>LOZA FIDEL</v>
      </c>
      <c r="M54" s="6">
        <f t="shared" si="1"/>
        <v>2.7129629626870155E-2</v>
      </c>
      <c r="N54" s="7">
        <f t="shared" si="23"/>
        <v>39.066666662693024</v>
      </c>
      <c r="O54" s="7"/>
      <c r="P54" s="7"/>
      <c r="Q54" s="22"/>
      <c r="R54" s="173"/>
      <c r="S54" s="176">
        <f t="shared" si="24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-07T08:24:54-0600',mode:absolute,to:'2017-06-07T11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204" t="str">
        <f t="shared" si="6"/>
        <v>N</v>
      </c>
      <c r="X54" s="204">
        <f t="shared" si="7"/>
        <v>1</v>
      </c>
      <c r="Y54" s="204">
        <f t="shared" si="25"/>
        <v>23.298200000000001</v>
      </c>
      <c r="Z54" s="204">
        <f t="shared" si="26"/>
        <v>1.6E-2</v>
      </c>
      <c r="AA54" s="204">
        <f t="shared" si="10"/>
        <v>23.282200000000003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0142-07</v>
      </c>
      <c r="AE54" s="80" t="str">
        <f t="shared" si="12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54" s="77" t="str">
        <f t="shared" si="13"/>
        <v>"C:\Program Files (x86)\AstroGrep\AstroGrep.exe" /e /r /s /spath="%USERPROFILE%\AppData\Local\Temp\OnboardLogs" /stypes="app*4057*20170607*"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142-07 --locoid 4057 --swversion DE.1.0.9.0 --startMP 204:232982 --initTime 2017-06-07T09:24:54 --startdatetime 2017-06-07T09:42:54 --delay 1 --endMP 204:160 --enddatetime 2017-06-07T10:21:58 --enforcementcount 0 &gt;&gt;C:\Users\stu\Documents\GitHub\eaglep3-reporting\EC\2017-06-07-refined-times.txt</v>
      </c>
      <c r="AI54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{"issue":{"subject":"","project_id":79,"tracker_id":40,"status_id":1,"priority_id":2,"assigned_to_id":23,"start_date":"2017-06-07","description":"","custom_fields":[{"id":1,"name":"Subdivision","value":"EC"},{"id":4,"name":"Milepost","value":"0.016"},{"id":17,"name":"Train ID","value":"142-07"},{"id":16,"name":"Locomotive ID","value":"4057"},{"id":130,"name":"Impact","value":""},{"id":150,"name":"Time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4057 --day 2017-06-07</v>
      </c>
      <c r="AN54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711</v>
      </c>
      <c r="B55" s="7">
        <v>4014</v>
      </c>
      <c r="C55" s="21" t="s">
        <v>204</v>
      </c>
      <c r="D55" s="21" t="s">
        <v>356</v>
      </c>
      <c r="E55" s="13">
        <v>42893.371099537035</v>
      </c>
      <c r="F55" s="13">
        <v>42893.375243055554</v>
      </c>
      <c r="G55" s="7">
        <v>1</v>
      </c>
      <c r="H55" s="21" t="s">
        <v>855</v>
      </c>
      <c r="I55" s="13">
        <v>42893.399837962963</v>
      </c>
      <c r="J55" s="7">
        <v>0</v>
      </c>
      <c r="K55" s="92" t="str">
        <f t="shared" si="0"/>
        <v>4013/4014</v>
      </c>
      <c r="L55" s="21" t="str">
        <f>VLOOKUP(A55,'Trips&amp;Operators'!$C$1:$G$99999,5,FALSE)</f>
        <v>MAELZER KURT</v>
      </c>
      <c r="M55" s="6">
        <f t="shared" si="1"/>
        <v>2.4594907408754807E-2</v>
      </c>
      <c r="N55" s="7">
        <f t="shared" si="23"/>
        <v>35.416666668606922</v>
      </c>
      <c r="O55" s="7"/>
      <c r="P55" s="7"/>
      <c r="Q55" s="22"/>
      <c r="R55" s="173"/>
      <c r="S55" s="176">
        <f t="shared" si="24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-07T07:54:23-0600',mode:absolute,to:'2017-06-07T10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04" t="str">
        <f t="shared" si="6"/>
        <v>N</v>
      </c>
      <c r="X55" s="204">
        <f t="shared" si="7"/>
        <v>1</v>
      </c>
      <c r="Y55" s="204">
        <f t="shared" si="25"/>
        <v>4.5100000000000001E-2</v>
      </c>
      <c r="Z55" s="204">
        <f t="shared" si="26"/>
        <v>23.332699999999999</v>
      </c>
      <c r="AA55" s="204">
        <f t="shared" si="10"/>
        <v>23.287599999999998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0143-07</v>
      </c>
      <c r="AE55" s="80" t="str">
        <f t="shared" si="12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55" s="77" t="str">
        <f t="shared" si="13"/>
        <v>"C:\Program Files (x86)\AstroGrep\AstroGrep.exe" /e /r /s /spath="%USERPROFILE%\AppData\Local\Temp\OnboardLogs" /stypes="app*4014*20170607*"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143-07 --locoid 4014 --swversion DE.1.0.9.0 --startMP 204:451 --initTime 2017-06-07T08:54:23 --startdatetime 2017-06-07T09:00:21 --delay 1 --endMP 204:233327 --enddatetime 2017-06-07T09:35:46 --enforcementcount 0 &gt;&gt;C:\Users\stu\Documents\GitHub\eaglep3-reporting\EC\2017-06-07-refined-times.txt</v>
      </c>
      <c r="AI55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{"issue":{"subject":"","project_id":79,"tracker_id":40,"status_id":1,"priority_id":2,"assigned_to_id":23,"start_date":"2017-06-07","description":"","custom_fields":[{"id":1,"name":"Subdivision","value":"EC"},{"id":4,"name":"Milepost","value":"23.3327"},{"id":17,"name":"Train ID","value":"143-07"},{"id":16,"name":"Locomotive ID","value":"4014"},{"id":130,"name":"Impact","value":""},{"id":150,"name":"Time of Event (Mountain Time)","value":"09:35:46"},{"id":151,"name":"Denver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4014 --day 2017-06-07</v>
      </c>
      <c r="AN55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615</v>
      </c>
      <c r="B56" s="7">
        <v>4013</v>
      </c>
      <c r="C56" s="21" t="s">
        <v>204</v>
      </c>
      <c r="D56" s="21" t="s">
        <v>493</v>
      </c>
      <c r="E56" s="13">
        <v>42893.405347222222</v>
      </c>
      <c r="F56" s="13">
        <v>42893.414814814816</v>
      </c>
      <c r="G56" s="7">
        <v>0</v>
      </c>
      <c r="H56" s="21" t="s">
        <v>431</v>
      </c>
      <c r="I56" s="13">
        <v>42893.444467592592</v>
      </c>
      <c r="J56" s="7">
        <v>0</v>
      </c>
      <c r="K56" s="92" t="str">
        <f t="shared" si="0"/>
        <v>4013/4014</v>
      </c>
      <c r="L56" s="21" t="str">
        <f>VLOOKUP(A56,'Trips&amp;Operators'!$C$1:$G$99999,5,FALSE)</f>
        <v>MAELZER KURT</v>
      </c>
      <c r="M56" s="6">
        <f t="shared" si="1"/>
        <v>2.9652777775481809E-2</v>
      </c>
      <c r="N56" s="7">
        <f t="shared" si="23"/>
        <v>42.699999996693805</v>
      </c>
      <c r="O56" s="7"/>
      <c r="P56" s="7"/>
      <c r="Q56" s="22"/>
      <c r="R56" s="173"/>
      <c r="S56" s="176">
        <f t="shared" si="24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-07T08:43:42-0600',mode:absolute,to:'2017-06-07T11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04" t="str">
        <f t="shared" si="6"/>
        <v>N</v>
      </c>
      <c r="X56" s="204">
        <f t="shared" si="7"/>
        <v>1</v>
      </c>
      <c r="Y56" s="204">
        <f t="shared" si="25"/>
        <v>23.301100000000002</v>
      </c>
      <c r="Z56" s="204">
        <f t="shared" si="26"/>
        <v>1.4500000000000001E-2</v>
      </c>
      <c r="AA56" s="204">
        <f t="shared" si="10"/>
        <v>23.2866</v>
      </c>
      <c r="AB56" s="57" t="str">
        <f>VLOOKUP(A56,Enforcements!$C$7:$K$13,8,0)</f>
        <v>Bulletin (2)</v>
      </c>
      <c r="AC56" s="53" t="str">
        <f>VLOOKUP(A56,Enforcements!$C$7:$E$13,3,0)</f>
        <v>GRADE CROSSING</v>
      </c>
      <c r="AD56" s="54" t="str">
        <f t="shared" si="11"/>
        <v>0144-07</v>
      </c>
      <c r="AE56" s="80" t="str">
        <f t="shared" si="12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56" s="77" t="str">
        <f t="shared" si="13"/>
        <v>"C:\Program Files (x86)\AstroGrep\AstroGrep.exe" /e /r /s /spath="%USERPROFILE%\AppData\Local\Temp\OnboardLogs" /stypes="app*4013*20170607*"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144-07 --locoid 4013 --swversion DE.1.0.9.0 --startMP 204:233011 --initTime 2017-06-07T09:43:42 --startdatetime 2017-06-07T09:57:20 --delay 0 --endMP 204:145 --enddatetime 2017-06-07T10:40:02 --enforcementcount 0 &gt;&gt;C:\Users\stu\Documents\GitHub\eaglep3-reporting\EC\2017-06-07-refined-times.txt</v>
      </c>
      <c r="AI56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{"issue":{"subject":"","project_id":79,"tracker_id":40,"status_id":1,"priority_id":2,"assigned_to_id":23,"start_date":"2017-06-07","description":"","custom_fields":[{"id":1,"name":"Subdivision","value":"EC"},{"id":4,"name":"Milepost","value":"0.0145"},{"id":17,"name":"Train ID","value":"144-07"},{"id":16,"name":"Locomotive ID","value":"4013"},{"id":130,"name":"Impact","value":""},{"id":150,"name":"Time of Event (Mountain Time)","value":"10:40:02"},{"id":151,"name":"Denver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4013 --day 2017-06-07</v>
      </c>
      <c r="AN56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713</v>
      </c>
      <c r="B57" s="7">
        <v>4046</v>
      </c>
      <c r="C57" s="21" t="s">
        <v>204</v>
      </c>
      <c r="D57" s="21" t="s">
        <v>569</v>
      </c>
      <c r="E57" s="13">
        <v>42893.380960648145</v>
      </c>
      <c r="F57" s="13">
        <v>42893.385717592595</v>
      </c>
      <c r="G57" s="7">
        <v>1</v>
      </c>
      <c r="H57" s="21" t="s">
        <v>490</v>
      </c>
      <c r="I57" s="13">
        <v>42893.410543981481</v>
      </c>
      <c r="J57" s="7">
        <v>0</v>
      </c>
      <c r="K57" s="92" t="str">
        <f t="shared" si="0"/>
        <v>4045/4046</v>
      </c>
      <c r="L57" s="21" t="str">
        <f>VLOOKUP(A57,'Trips&amp;Operators'!$C$1:$G$99999,5,FALSE)</f>
        <v>YANG JAN</v>
      </c>
      <c r="M57" s="6">
        <f t="shared" si="1"/>
        <v>2.4826388886140194E-2</v>
      </c>
      <c r="N57" s="7">
        <f t="shared" si="23"/>
        <v>35.749999996041879</v>
      </c>
      <c r="O57" s="7"/>
      <c r="P57" s="7"/>
      <c r="Q57" s="22"/>
      <c r="R57" s="173"/>
      <c r="S57" s="176">
        <f t="shared" si="24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-07T08:08:35-0600',mode:absolute,to:'2017-06-07T10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204" t="str">
        <f t="shared" si="6"/>
        <v>N</v>
      </c>
      <c r="X57" s="204">
        <f t="shared" si="7"/>
        <v>1</v>
      </c>
      <c r="Y57" s="204">
        <f t="shared" si="25"/>
        <v>4.3299999999999998E-2</v>
      </c>
      <c r="Z57" s="204">
        <f t="shared" si="26"/>
        <v>23.3307</v>
      </c>
      <c r="AA57" s="204">
        <f t="shared" si="10"/>
        <v>23.287400000000002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0145-07</v>
      </c>
      <c r="AE57" s="80" t="str">
        <f t="shared" si="12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57" s="77" t="str">
        <f t="shared" si="13"/>
        <v>"C:\Program Files (x86)\AstroGrep\AstroGrep.exe" /e /r /s /spath="%USERPROFILE%\AppData\Local\Temp\OnboardLogs" /stypes="app*4046*20170607*"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145-07 --locoid 4046 --swversion DE.1.0.9.0 --startMP 204:433 --initTime 2017-06-07T09:08:35 --startdatetime 2017-06-07T09:15:26 --delay 1 --endMP 204:233307 --enddatetime 2017-06-07T09:51:11 --enforcementcount 0 &gt;&gt;C:\Users\stu\Documents\GitHub\eaglep3-reporting\EC\2017-06-07-refined-times.txt</v>
      </c>
      <c r="AI57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{"issue":{"subject":"","project_id":79,"tracker_id":40,"status_id":1,"priority_id":2,"assigned_to_id":23,"start_date":"2017-06-07","description":"","custom_fields":[{"id":1,"name":"Subdivision","value":"EC"},{"id":4,"name":"Milepost","value":"23.3307"},{"id":17,"name":"Train ID","value":"145-07"},{"id":16,"name":"Locomotive ID","value":"4046"},{"id":130,"name":"Impact","value":""},{"id":150,"name":"Time of Event (Mountain Time)","value":"09:51:11"},{"id":151,"name":"Denver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4046 --day 2017-06-07</v>
      </c>
      <c r="AN57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722</v>
      </c>
      <c r="B58" s="7">
        <v>4045</v>
      </c>
      <c r="C58" s="21" t="s">
        <v>204</v>
      </c>
      <c r="D58" s="21" t="s">
        <v>867</v>
      </c>
      <c r="E58" s="13">
        <v>42893.421041666668</v>
      </c>
      <c r="F58" s="13">
        <v>42893.425196759257</v>
      </c>
      <c r="G58" s="7">
        <v>1</v>
      </c>
      <c r="H58" s="21" t="s">
        <v>431</v>
      </c>
      <c r="I58" s="13">
        <v>42893.455023148148</v>
      </c>
      <c r="J58" s="7">
        <v>0</v>
      </c>
      <c r="K58" s="92" t="str">
        <f t="shared" si="0"/>
        <v>4045/4046</v>
      </c>
      <c r="L58" s="21" t="str">
        <f>VLOOKUP(A58,'Trips&amp;Operators'!$C$1:$G$99999,5,FALSE)</f>
        <v>YANG JAN</v>
      </c>
      <c r="M58" s="6">
        <f t="shared" si="1"/>
        <v>2.9826388890796807E-2</v>
      </c>
      <c r="N58" s="7">
        <f t="shared" si="23"/>
        <v>42.950000002747402</v>
      </c>
      <c r="O58" s="7"/>
      <c r="P58" s="7"/>
      <c r="Q58" s="22"/>
      <c r="R58" s="173"/>
      <c r="S58" s="176">
        <f t="shared" si="24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-07T09:06:18-0600',mode:absolute,to:'2017-06-07T11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204" t="str">
        <f t="shared" si="6"/>
        <v>N</v>
      </c>
      <c r="X58" s="204">
        <f t="shared" si="7"/>
        <v>1</v>
      </c>
      <c r="Y58" s="204">
        <f t="shared" si="25"/>
        <v>23.299199999999999</v>
      </c>
      <c r="Z58" s="204">
        <f t="shared" si="26"/>
        <v>1.4500000000000001E-2</v>
      </c>
      <c r="AA58" s="204">
        <f t="shared" si="10"/>
        <v>23.284699999999997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0146-07</v>
      </c>
      <c r="AE58" s="80" t="str">
        <f t="shared" si="12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58" s="77" t="str">
        <f t="shared" si="13"/>
        <v>"C:\Program Files (x86)\AstroGrep\AstroGrep.exe" /e /r /s /spath="%USERPROFILE%\AppData\Local\Temp\OnboardLogs" /stypes="app*4045*20170607*"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146-07 --locoid 4045 --swversion DE.1.0.9.0 --startMP 204:232992 --initTime 2017-06-07T10:06:18 --startdatetime 2017-06-07T10:12:17 --delay 1 --endMP 204:145 --enddatetime 2017-06-07T10:55:14 --enforcementcount 0 &gt;&gt;C:\Users\stu\Documents\GitHub\eaglep3-reporting\EC\2017-06-07-refined-times.txt</v>
      </c>
      <c r="AI58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{"issue":{"subject":"","project_id":79,"tracker_id":40,"status_id":1,"priority_id":2,"assigned_to_id":23,"start_date":"2017-06-07","description":"","custom_fields":[{"id":1,"name":"Subdivision","value":"EC"},{"id":4,"name":"Milepost","value":"0.0145"},{"id":17,"name":"Train ID","value":"146-07"},{"id":16,"name":"Locomotive ID","value":"4045"},{"id":130,"name":"Impact","value":""},{"id":150,"name":"Time of Event (Mountain Time)","value":"10:55:14"},{"id":151,"name":"Denver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4045 --day 2017-06-07</v>
      </c>
      <c r="AN58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717</v>
      </c>
      <c r="B59" s="7">
        <v>4028</v>
      </c>
      <c r="C59" s="21" t="s">
        <v>204</v>
      </c>
      <c r="D59" s="21" t="s">
        <v>397</v>
      </c>
      <c r="E59" s="13">
        <v>42893.394375000003</v>
      </c>
      <c r="F59" s="13">
        <v>42893.396041666667</v>
      </c>
      <c r="G59" s="7">
        <v>1</v>
      </c>
      <c r="H59" s="21" t="s">
        <v>461</v>
      </c>
      <c r="I59" s="13">
        <v>42893.421249999999</v>
      </c>
      <c r="J59" s="7">
        <v>0</v>
      </c>
      <c r="K59" s="92" t="str">
        <f t="shared" si="0"/>
        <v>4027/4028</v>
      </c>
      <c r="L59" s="21" t="str">
        <f>VLOOKUP(A59,'Trips&amp;Operators'!$C$1:$G$99999,5,FALSE)</f>
        <v>STARKS ANGELINA</v>
      </c>
      <c r="M59" s="6">
        <f t="shared" si="1"/>
        <v>2.5208333332557231E-2</v>
      </c>
      <c r="N59" s="7">
        <f t="shared" si="23"/>
        <v>36.299999998882413</v>
      </c>
      <c r="O59" s="7"/>
      <c r="P59" s="7"/>
      <c r="Q59" s="22"/>
      <c r="R59" s="173"/>
      <c r="S59" s="176">
        <f t="shared" si="24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-07T08:27:54-0600',mode:absolute,to:'2017-06-07T11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204" t="str">
        <f t="shared" ref="W59:W62" si="27">IF(AA59&lt;IF(AG59="EC",23,5.65),"Y","N")</f>
        <v>N</v>
      </c>
      <c r="X59" s="204">
        <f t="shared" si="7"/>
        <v>1</v>
      </c>
      <c r="Y59" s="204">
        <f t="shared" si="25"/>
        <v>4.6199999999999998E-2</v>
      </c>
      <c r="Z59" s="204">
        <f t="shared" si="26"/>
        <v>23.331199999999999</v>
      </c>
      <c r="AA59" s="204">
        <f t="shared" si="10"/>
        <v>23.285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0147-07</v>
      </c>
      <c r="AE59" s="80" t="str">
        <f t="shared" si="12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59" s="77" t="str">
        <f t="shared" si="13"/>
        <v>"C:\Program Files (x86)\AstroGrep\AstroGrep.exe" /e /r /s /spath="%USERPROFILE%\AppData\Local\Temp\OnboardLogs" /stypes="app*4028*20170607*"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147-07 --locoid 4028 --swversion DE.1.0.9.0 --startMP 204:462 --initTime 2017-06-07T09:27:54 --startdatetime 2017-06-07T09:30:18 --delay 1 --endMP 204:233312 --enddatetime 2017-06-07T10:06:36 --enforcementcount 0 &gt;&gt;C:\Users\stu\Documents\GitHub\eaglep3-reporting\EC\2017-06-07-refined-times.txt</v>
      </c>
      <c r="AI59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{"issue":{"subject":"","project_id":79,"tracker_id":40,"status_id":1,"priority_id":2,"assigned_to_id":23,"start_date":"2017-06-07","description":"","custom_fields":[{"id":1,"name":"Subdivision","value":"EC"},{"id":4,"name":"Milepost","value":"23.3312"},{"id":17,"name":"Train ID","value":"147-07"},{"id":16,"name":"Locomotive ID","value":"4028"},{"id":130,"name":"Impact","value":""},{"id":150,"name":"Time of Event (Mountain Time)","value":"10:06:36"},{"id":151,"name":"Denver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4028 --day 2017-06-07</v>
      </c>
      <c r="AN59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719</v>
      </c>
      <c r="B60" s="7">
        <v>4012</v>
      </c>
      <c r="C60" s="21" t="s">
        <v>204</v>
      </c>
      <c r="D60" s="21" t="s">
        <v>351</v>
      </c>
      <c r="E60" s="13">
        <v>42893.404594907406</v>
      </c>
      <c r="F60" s="13">
        <v>42893.407083333332</v>
      </c>
      <c r="G60" s="7">
        <v>1</v>
      </c>
      <c r="H60" s="21" t="s">
        <v>868</v>
      </c>
      <c r="I60" s="13">
        <v>42893.430810185186</v>
      </c>
      <c r="J60" s="7">
        <v>0</v>
      </c>
      <c r="K60" s="92" t="str">
        <f t="shared" si="0"/>
        <v>4011/4012</v>
      </c>
      <c r="L60" s="21" t="str">
        <f>VLOOKUP(A60,'Trips&amp;Operators'!$C$1:$G$99999,5,FALSE)</f>
        <v>HELVIE ADAM</v>
      </c>
      <c r="M60" s="6">
        <f t="shared" si="1"/>
        <v>2.3726851854007691E-2</v>
      </c>
      <c r="N60" s="7">
        <f t="shared" si="23"/>
        <v>34.166666669771075</v>
      </c>
      <c r="O60" s="7"/>
      <c r="P60" s="7"/>
      <c r="Q60" s="22"/>
      <c r="R60" s="173"/>
      <c r="S60" s="176">
        <f t="shared" si="24"/>
        <v>1</v>
      </c>
      <c r="T60" s="202" t="str">
        <f t="shared" si="4"/>
        <v>NorthBound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-07T08:42:37-0600',mode:absolute,to:'2017-06-07T11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0" s="204" t="str">
        <f t="shared" si="27"/>
        <v>N</v>
      </c>
      <c r="X60" s="204">
        <f t="shared" ref="X60:X64" si="28">VALUE(LEFT(AD60,4))-VALUE(LEFT(AD59,4))</f>
        <v>2</v>
      </c>
      <c r="Y60" s="204">
        <f t="shared" si="25"/>
        <v>4.58E-2</v>
      </c>
      <c r="Z60" s="204">
        <f t="shared" si="26"/>
        <v>23.331800000000001</v>
      </c>
      <c r="AA60" s="204">
        <f t="shared" si="10"/>
        <v>23.286000000000001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0149-07</v>
      </c>
      <c r="AE60" s="80" t="str">
        <f t="shared" si="12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60" s="77" t="str">
        <f t="shared" si="13"/>
        <v>"C:\Program Files (x86)\AstroGrep\AstroGrep.exe" /e /r /s /spath="%USERPROFILE%\AppData\Local\Temp\OnboardLogs" /stypes="app*4012*20170607*"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149-07 --locoid 4012 --swversion DE.1.0.9.0 --startMP 204:458 --initTime 2017-06-07T09:42:37 --startdatetime 2017-06-07T09:46:12 --delay 1 --endMP 204:233318 --enddatetime 2017-06-07T10:20:22 --enforcementcount 0 &gt;&gt;C:\Users\stu\Documents\GitHub\eaglep3-reporting\EC\2017-06-07-refined-times.txt</v>
      </c>
      <c r="AI60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{"issue":{"subject":"","project_id":79,"tracker_id":40,"status_id":1,"priority_id":2,"assigned_to_id":23,"start_date":"2017-06-07","description":"","custom_fields":[{"id":1,"name":"Subdivision","value":"EC"},{"id":4,"name":"Milepost","value":"23.3318"},{"id":17,"name":"Train ID","value":"149-07"},{"id":16,"name":"Locomotive ID","value":"4012"},{"id":130,"name":"Impact","value":""},{"id":150,"name":"Time of Event (Mountain Time)","value":"10:20:22"},{"id":151,"name":"Denver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4012 --day 2017-06-07</v>
      </c>
      <c r="AN60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727</v>
      </c>
      <c r="B61" s="7">
        <v>4011</v>
      </c>
      <c r="C61" s="21" t="s">
        <v>204</v>
      </c>
      <c r="D61" s="21" t="s">
        <v>563</v>
      </c>
      <c r="E61" s="13">
        <v>42893.442696759259</v>
      </c>
      <c r="F61" s="13">
        <v>42893.446412037039</v>
      </c>
      <c r="G61" s="7">
        <v>1</v>
      </c>
      <c r="H61" s="21" t="s">
        <v>350</v>
      </c>
      <c r="I61" s="13">
        <v>42893.474479166667</v>
      </c>
      <c r="J61" s="7">
        <v>0</v>
      </c>
      <c r="K61" s="92" t="str">
        <f t="shared" si="0"/>
        <v>4011/4012</v>
      </c>
      <c r="L61" s="21" t="str">
        <f>VLOOKUP(A61,'Trips&amp;Operators'!$C$1:$G$99999,5,FALSE)</f>
        <v>HELVIE ADAM</v>
      </c>
      <c r="M61" s="6">
        <f t="shared" si="1"/>
        <v>2.806712962774327E-2</v>
      </c>
      <c r="N61" s="7">
        <f t="shared" si="23"/>
        <v>40.416666663950309</v>
      </c>
      <c r="O61" s="7"/>
      <c r="P61" s="7"/>
      <c r="Q61" s="22"/>
      <c r="R61" s="173"/>
      <c r="S61" s="176">
        <f t="shared" si="24"/>
        <v>1</v>
      </c>
      <c r="T61" s="202" t="str">
        <f t="shared" si="4"/>
        <v>Southbound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-07T09:37:29-0600',mode:absolute,to:'2017-06-07T12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204" t="str">
        <f t="shared" si="27"/>
        <v>N</v>
      </c>
      <c r="X61" s="204">
        <f t="shared" si="28"/>
        <v>1</v>
      </c>
      <c r="Y61" s="204">
        <f t="shared" si="25"/>
        <v>23.2971</v>
      </c>
      <c r="Z61" s="204">
        <f t="shared" si="26"/>
        <v>1.6E-2</v>
      </c>
      <c r="AA61" s="204">
        <f t="shared" si="10"/>
        <v>23.281100000000002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0150-07</v>
      </c>
      <c r="AE61" s="80" t="str">
        <f t="shared" si="12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61" s="77" t="str">
        <f t="shared" si="13"/>
        <v>"C:\Program Files (x86)\AstroGrep\AstroGrep.exe" /e /r /s /spath="%USERPROFILE%\AppData\Local\Temp\OnboardLogs" /stypes="app*4011*20170607*" /stext=" 17:.+((SYSTEM_STATE.+slice.+state.+changed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150-07 --locoid 4011 --swversion DE.1.0.9.0 --startMP 204:232971 --initTime 2017-06-07T10:37:29 --startdatetime 2017-06-07T10:42:50 --delay 1 --endMP 204:160 --enddatetime 2017-06-07T11:23:15 --enforcementcount 0 &gt;&gt;C:\Users\stu\Documents\GitHub\eaglep3-reporting\EC\2017-06-07-refined-times.txt</v>
      </c>
      <c r="AI61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{"issue":{"subject":"","project_id":79,"tracker_id":40,"status_id":1,"priority_id":2,"assigned_to_id":23,"start_date":"2017-06-07","description":"","custom_fields":[{"id":1,"name":"Subdivision","value":"EC"},{"id":4,"name":"Milepost","value":"0.016"},{"id":17,"name":"Train ID","value":"150-07"},{"id":16,"name":"Locomotive ID","value":"4011"},{"id":130,"name":"Impact","value":""},{"id":150,"name":"Time of Event (Mountain Time)","value":"11:23:15"},{"id":151,"name":"Denver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4011 --day 2017-06-07</v>
      </c>
      <c r="AN61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720</v>
      </c>
      <c r="B62" s="7">
        <v>4032</v>
      </c>
      <c r="C62" s="21" t="s">
        <v>204</v>
      </c>
      <c r="D62" s="21" t="s">
        <v>201</v>
      </c>
      <c r="E62" s="13">
        <v>42893.415706018517</v>
      </c>
      <c r="F62" s="13">
        <v>42893.416817129626</v>
      </c>
      <c r="G62" s="7">
        <v>0</v>
      </c>
      <c r="H62" s="21" t="s">
        <v>869</v>
      </c>
      <c r="I62" s="13">
        <v>42893.4455787037</v>
      </c>
      <c r="J62" s="7">
        <v>0</v>
      </c>
      <c r="K62" s="92" t="str">
        <f t="shared" si="0"/>
        <v>4031/4032</v>
      </c>
      <c r="L62" s="21" t="str">
        <f>VLOOKUP(A62,'Trips&amp;Operators'!$C$1:$G$99999,5,FALSE)</f>
        <v>DAVIS WENDY</v>
      </c>
      <c r="M62" s="6">
        <f t="shared" si="1"/>
        <v>2.8761574074451346E-2</v>
      </c>
      <c r="N62" s="7">
        <f t="shared" si="23"/>
        <v>41.416666667209938</v>
      </c>
      <c r="O62" s="7"/>
      <c r="P62" s="7"/>
      <c r="Q62" s="22"/>
      <c r="R62" s="173"/>
      <c r="S62" s="176">
        <f t="shared" si="24"/>
        <v>1</v>
      </c>
      <c r="T62" s="202" t="str">
        <f t="shared" si="4"/>
        <v>NorthBound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-07T08:58:37-0600',mode:absolute,to:'2017-06-07T11:41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2" s="204" t="str">
        <f t="shared" si="27"/>
        <v>N</v>
      </c>
      <c r="X62" s="204">
        <f t="shared" si="28"/>
        <v>1</v>
      </c>
      <c r="Y62" s="204">
        <f t="shared" si="25"/>
        <v>4.5999999999999999E-2</v>
      </c>
      <c r="Z62" s="204">
        <f t="shared" si="26"/>
        <v>23.298500000000001</v>
      </c>
      <c r="AA62" s="204">
        <f t="shared" si="10"/>
        <v>23.252500000000001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0151-07</v>
      </c>
      <c r="AE62" s="80" t="str">
        <f t="shared" si="12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62" s="77" t="str">
        <f t="shared" si="13"/>
        <v>"C:\Program Files (x86)\AstroGrep\AstroGrep.exe" /e /r /s /spath="%USERPROFILE%\AppData\Local\Temp\OnboardLogs" /stypes="app*4032*20170607*"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151-07 --locoid 4032 --swversion DE.1.0.9.0 --startMP 204:460 --initTime 2017-06-07T09:58:37 --startdatetime 2017-06-07T10:00:13 --delay 0 --endMP 204:232985 --enddatetime 2017-06-07T10:41:38 --enforcementcount 0 &gt;&gt;C:\Users\stu\Documents\GitHub\eaglep3-reporting\EC\2017-06-07-refined-times.txt</v>
      </c>
      <c r="AI62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{"issue":{"subject":"","project_id":79,"tracker_id":40,"status_id":1,"priority_id":2,"assigned_to_id":23,"start_date":"2017-06-07","description":"","custom_fields":[{"id":1,"name":"Subdivision","value":"EC"},{"id":4,"name":"Milepost","value":"23.2985"},{"id":17,"name":"Train ID","value":"151-07"},{"id":16,"name":"Locomotive ID","value":"4032"},{"id":130,"name":"Impact","value":""},{"id":150,"name":"Time of Event (Mountain Time)","value":"10:41:38"},{"id":151,"name":"Denver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4032 --day 2017-06-07</v>
      </c>
      <c r="AN62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16:41:38"},{"id":29,"name":"Sharepoint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734</v>
      </c>
      <c r="B63" s="7">
        <v>4031</v>
      </c>
      <c r="C63" s="21" t="s">
        <v>204</v>
      </c>
      <c r="D63" s="21" t="s">
        <v>870</v>
      </c>
      <c r="E63" s="13">
        <v>42893.45517361111</v>
      </c>
      <c r="F63" s="13">
        <v>42893.456435185188</v>
      </c>
      <c r="G63" s="7">
        <v>1</v>
      </c>
      <c r="H63" s="21" t="s">
        <v>196</v>
      </c>
      <c r="I63" s="13">
        <v>42893.484479166669</v>
      </c>
      <c r="J63" s="7">
        <v>0</v>
      </c>
      <c r="K63" s="92" t="str">
        <f t="shared" si="0"/>
        <v>4031/4032</v>
      </c>
      <c r="L63" s="21" t="str">
        <f>VLOOKUP(A63,'Trips&amp;Operators'!$C$1:$G$99999,5,FALSE)</f>
        <v>DAVIS WENDY</v>
      </c>
      <c r="M63" s="6">
        <f t="shared" si="1"/>
        <v>2.8043981481459923E-2</v>
      </c>
      <c r="N63" s="7">
        <f t="shared" si="23"/>
        <v>40.383333333302289</v>
      </c>
      <c r="O63" s="7"/>
      <c r="P63" s="7"/>
      <c r="Q63" s="22"/>
      <c r="R63" s="173"/>
      <c r="S63" s="176">
        <f t="shared" si="24"/>
        <v>1</v>
      </c>
      <c r="T63" s="202" t="str">
        <f t="shared" si="4"/>
        <v>Southbound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-07T09:55:27-0600',mode:absolute,to:'2017-06-07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204" t="str">
        <f t="shared" ref="W63:W94" si="29">IF(AA63&lt;IF(AG63="EC",23,5.65),"Y","N")</f>
        <v>N</v>
      </c>
      <c r="X63" s="204">
        <f t="shared" si="28"/>
        <v>1</v>
      </c>
      <c r="Y63" s="204">
        <f t="shared" si="25"/>
        <v>23.2653</v>
      </c>
      <c r="Z63" s="204">
        <f t="shared" si="26"/>
        <v>1.5800000000000002E-2</v>
      </c>
      <c r="AA63" s="204">
        <f t="shared" si="10"/>
        <v>23.249500000000001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0152-07</v>
      </c>
      <c r="AE63" s="80" t="str">
        <f t="shared" si="12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63" s="77" t="str">
        <f t="shared" si="13"/>
        <v>"C:\Program Files (x86)\AstroGrep\AstroGrep.exe" /e /r /s /spath="%USERPROFILE%\AppData\Local\Temp\OnboardLogs" /stypes="app*4031*20170607*" /stext=" 17:.+((SYSTEM_STATE.+slice.+state.+changed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152-07 --locoid 4031 --swversion DE.1.0.9.0 --startMP 204:232653 --initTime 2017-06-07T10:55:27 --startdatetime 2017-06-07T10:57:16 --delay 1 --endMP 204:158 --enddatetime 2017-06-07T11:37:39 --enforcementcount 0 &gt;&gt;C:\Users\stu\Documents\GitHub\eaglep3-reporting\EC\2017-06-07-refined-times.txt</v>
      </c>
      <c r="AI63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{"issue":{"subject":"","project_id":79,"tracker_id":40,"status_id":1,"priority_id":2,"assigned_to_id":23,"start_date":"2017-06-07","description":"","custom_fields":[{"id":1,"name":"Subdivision","value":"EC"},{"id":4,"name":"Milepost","value":"0.0158"},{"id":17,"name":"Train ID","value":"152-07"},{"id":16,"name":"Locomotive ID","value":"4031"},{"id":130,"name":"Impact","value":""},{"id":150,"name":"Time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4031 --day 2017-06-07</v>
      </c>
      <c r="AN63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724</v>
      </c>
      <c r="B64" s="7">
        <v>4016</v>
      </c>
      <c r="C64" s="21" t="s">
        <v>204</v>
      </c>
      <c r="D64" s="21" t="s">
        <v>506</v>
      </c>
      <c r="E64" s="13">
        <v>42893.424537037034</v>
      </c>
      <c r="F64" s="13">
        <v>42893.427430555559</v>
      </c>
      <c r="G64" s="7">
        <v>1</v>
      </c>
      <c r="H64" s="21" t="s">
        <v>871</v>
      </c>
      <c r="I64" s="13">
        <v>42893.453148148146</v>
      </c>
      <c r="J64" s="7">
        <v>0</v>
      </c>
      <c r="K64" s="92" t="str">
        <f t="shared" si="0"/>
        <v>4015/4016</v>
      </c>
      <c r="L64" s="21" t="str">
        <f>VLOOKUP(A64,'Trips&amp;Operators'!$C$1:$G$99999,5,FALSE)</f>
        <v>MACDONALD THOMAS</v>
      </c>
      <c r="M64" s="6">
        <f t="shared" si="1"/>
        <v>2.5717592587170657E-2</v>
      </c>
      <c r="N64" s="7">
        <f t="shared" si="23"/>
        <v>37.033333325525746</v>
      </c>
      <c r="O64" s="7"/>
      <c r="P64" s="7"/>
      <c r="Q64" s="22"/>
      <c r="R64" s="173"/>
      <c r="S64" s="176">
        <f t="shared" si="24"/>
        <v>1</v>
      </c>
      <c r="T64" s="202" t="str">
        <f t="shared" si="4"/>
        <v>NorthBound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-07T09:11:20-0600',mode:absolute,to:'2017-06-07T11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4" s="204" t="str">
        <f t="shared" si="29"/>
        <v>N</v>
      </c>
      <c r="X64" s="204">
        <f t="shared" si="28"/>
        <v>1</v>
      </c>
      <c r="Y64" s="204">
        <f t="shared" si="25"/>
        <v>4.7699999999999999E-2</v>
      </c>
      <c r="Z64" s="204">
        <f t="shared" si="26"/>
        <v>23.338200000000001</v>
      </c>
      <c r="AA64" s="204">
        <f t="shared" si="10"/>
        <v>23.290500000000002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0153-07</v>
      </c>
      <c r="AE64" s="80" t="str">
        <f t="shared" si="12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64" s="77" t="str">
        <f t="shared" si="13"/>
        <v>"C:\Program Files (x86)\AstroGrep\AstroGrep.exe" /e /r /s /spath="%USERPROFILE%\AppData\Local\Temp\OnboardLogs" /stypes="app*4016*20170607*" /stext=" 16:.+((SYSTEM_STATE.+slice.+state.+changed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153-07 --locoid 4016 --swversion DE.1.0.9.0 --startMP 204:477 --initTime 2017-06-07T10:11:20 --startdatetime 2017-06-07T10:15:30 --delay 1 --endMP 204:233382 --enddatetime 2017-06-07T10:52:32 --enforcementcount 0 &gt;&gt;C:\Users\stu\Documents\GitHub\eaglep3-reporting\EC\2017-06-07-refined-times.txt</v>
      </c>
      <c r="AI64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{"issue":{"subject":"","project_id":79,"tracker_id":40,"status_id":1,"priority_id":2,"assigned_to_id":23,"start_date":"2017-06-07","description":"","custom_fields":[{"id":1,"name":"Subdivision","value":"EC"},{"id":4,"name":"Milepost","value":"23.3382"},{"id":17,"name":"Train ID","value":"153-07"},{"id":16,"name":"Locomotive ID","value":"4016"},{"id":130,"name":"Impact","value":""},{"id":150,"name":"Time of Event (Mountain Time)","value":"10:52:32"},{"id":151,"name":"Denver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4016 --day 2017-06-07</v>
      </c>
      <c r="AN64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738</v>
      </c>
      <c r="B65" s="7">
        <v>4015</v>
      </c>
      <c r="C65" s="21" t="s">
        <v>204</v>
      </c>
      <c r="D65" s="21" t="s">
        <v>864</v>
      </c>
      <c r="E65" s="13">
        <v>42893.464398148149</v>
      </c>
      <c r="F65" s="13">
        <v>42893.466851851852</v>
      </c>
      <c r="G65" s="7">
        <v>2</v>
      </c>
      <c r="H65" s="21" t="s">
        <v>467</v>
      </c>
      <c r="I65" s="13">
        <v>42893.498391203706</v>
      </c>
      <c r="J65" s="7">
        <v>0</v>
      </c>
      <c r="K65" s="92" t="str">
        <f t="shared" si="0"/>
        <v>4015/4016</v>
      </c>
      <c r="L65" s="21" t="str">
        <f>VLOOKUP(A65,'Trips&amp;Operators'!$C$1:$G$99999,5,FALSE)</f>
        <v>MACDONALD THOMAS</v>
      </c>
      <c r="M65" s="6">
        <f t="shared" si="1"/>
        <v>3.1539351854007691E-2</v>
      </c>
      <c r="N65" s="7">
        <f t="shared" si="23"/>
        <v>45.416666669771075</v>
      </c>
      <c r="O65" s="7"/>
      <c r="P65" s="7"/>
      <c r="Q65" s="22"/>
      <c r="R65" s="173"/>
      <c r="S65" s="176">
        <f t="shared" si="24"/>
        <v>1</v>
      </c>
      <c r="T65" s="202" t="str">
        <f t="shared" si="4"/>
        <v>Southbound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-07T10:08:44-0600',mode:absolute,to:'2017-06-07T12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204" t="str">
        <f t="shared" si="29"/>
        <v>N</v>
      </c>
      <c r="X65" s="204">
        <f t="shared" ref="X65:X86" si="30">VALUE(LEFT(AD65,4))-VALUE(LEFT(AD64,4))</f>
        <v>1</v>
      </c>
      <c r="Y65" s="204">
        <f t="shared" si="25"/>
        <v>23.296900000000001</v>
      </c>
      <c r="Z65" s="204">
        <f t="shared" si="26"/>
        <v>1.6299999999999999E-2</v>
      </c>
      <c r="AA65" s="204">
        <f t="shared" si="10"/>
        <v>23.2806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0154-07</v>
      </c>
      <c r="AE65" s="80" t="str">
        <f t="shared" si="12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65" s="77" t="str">
        <f t="shared" si="13"/>
        <v>"C:\Program Files (x86)\AstroGrep\AstroGrep.exe" /e /r /s /spath="%USERPROFILE%\AppData\Local\Temp\OnboardLogs" /stypes="app*4015*20170607*" /stext=" 17:.+((SYSTEM_STATE.+slice.+state.+changed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154-07 --locoid 4015 --swversion DE.1.0.9.0 --startMP 204:232969 --initTime 2017-06-07T11:08:44 --startdatetime 2017-06-07T11:12:16 --delay 2 --endMP 204:163 --enddatetime 2017-06-07T11:57:41 --enforcementcount 0 &gt;&gt;C:\Users\stu\Documents\GitHub\eaglep3-reporting\EC\2017-06-07-refined-times.txt</v>
      </c>
      <c r="AI65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{"issue":{"subject":"","project_id":79,"tracker_id":40,"status_id":1,"priority_id":2,"assigned_to_id":23,"start_date":"2017-06-07","description":"","custom_fields":[{"id":1,"name":"Subdivision","value":"EC"},{"id":4,"name":"Milepost","value":"0.0163"},{"id":17,"name":"Train ID","value":"154-07"},{"id":16,"name":"Locomotive ID","value":"4015"},{"id":130,"name":"Impact","value":""},{"id":150,"name":"Time of Event (Mountain Time)","value":"11:57:41"},{"id":151,"name":"Denver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4015 --day 2017-06-07</v>
      </c>
      <c r="AN65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725</v>
      </c>
      <c r="B66" s="7">
        <v>4058</v>
      </c>
      <c r="C66" s="21" t="s">
        <v>204</v>
      </c>
      <c r="D66" s="21" t="s">
        <v>560</v>
      </c>
      <c r="E66" s="13">
        <v>42893.435729166667</v>
      </c>
      <c r="F66" s="13">
        <v>42893.438738425924</v>
      </c>
      <c r="G66" s="7">
        <v>1</v>
      </c>
      <c r="H66" s="21" t="s">
        <v>851</v>
      </c>
      <c r="I66" s="13">
        <v>42893.466331018521</v>
      </c>
      <c r="J66" s="7">
        <v>0</v>
      </c>
      <c r="K66" s="92" t="str">
        <f t="shared" si="0"/>
        <v>4057/4058</v>
      </c>
      <c r="L66" s="21" t="str">
        <f>VLOOKUP(A66,'Trips&amp;Operators'!$C$1:$G$99999,5,FALSE)</f>
        <v>LOZA FIDEL</v>
      </c>
      <c r="M66" s="6">
        <f t="shared" si="1"/>
        <v>2.7592592596192844E-2</v>
      </c>
      <c r="N66" s="7">
        <f t="shared" si="23"/>
        <v>39.733333338517696</v>
      </c>
      <c r="O66" s="7"/>
      <c r="P66" s="7"/>
      <c r="Q66" s="22"/>
      <c r="R66" s="173"/>
      <c r="S66" s="176">
        <f t="shared" si="24"/>
        <v>1</v>
      </c>
      <c r="T66" s="202" t="str">
        <f t="shared" si="4"/>
        <v>NorthBound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-07T09:27:27-0600',mode:absolute,to:'2017-06-07T12:11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6" s="204" t="str">
        <f t="shared" si="29"/>
        <v>N</v>
      </c>
      <c r="X66" s="204">
        <f t="shared" si="30"/>
        <v>1</v>
      </c>
      <c r="Y66" s="204">
        <f t="shared" si="25"/>
        <v>4.3799999999999999E-2</v>
      </c>
      <c r="Z66" s="204">
        <f t="shared" si="26"/>
        <v>23.330400000000001</v>
      </c>
      <c r="AA66" s="204">
        <f t="shared" si="10"/>
        <v>23.2866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0155-07</v>
      </c>
      <c r="AE66" s="80" t="str">
        <f t="shared" si="12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66" s="77" t="str">
        <f t="shared" si="13"/>
        <v>"C:\Program Files (x86)\AstroGrep\AstroGrep.exe" /e /r /s /spath="%USERPROFILE%\AppData\Local\Temp\OnboardLogs" /stypes="app*4058*20170607*"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155-07 --locoid 4058 --swversion DE.1.0.9.0 --startMP 204:438 --initTime 2017-06-07T10:27:27 --startdatetime 2017-06-07T10:31:47 --delay 1 --endMP 204:233304 --enddatetime 2017-06-07T11:11:31 --enforcementcount 0 &gt;&gt;C:\Users\stu\Documents\GitHub\eaglep3-reporting\EC\2017-06-07-refined-times.txt</v>
      </c>
      <c r="AI66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{"issue":{"subject":"","project_id":79,"tracker_id":40,"status_id":1,"priority_id":2,"assigned_to_id":23,"start_date":"2017-06-07","description":"","custom_fields":[{"id":1,"name":"Subdivision","value":"EC"},{"id":4,"name":"Milepost","value":"23.3304"},{"id":17,"name":"Train ID","value":"155-07"},{"id":16,"name":"Locomotive ID","value":"4058"},{"id":130,"name":"Impact","value":""},{"id":150,"name":"Time of Event (Mountain Time)","value":"11:11:31"},{"id":151,"name":"Denver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4058 --day 2017-06-07</v>
      </c>
      <c r="AN66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739</v>
      </c>
      <c r="B67" s="7">
        <v>4057</v>
      </c>
      <c r="C67" s="21" t="s">
        <v>204</v>
      </c>
      <c r="D67" s="21" t="s">
        <v>852</v>
      </c>
      <c r="E67" s="13">
        <v>42893.469039351854</v>
      </c>
      <c r="F67" s="13">
        <v>42893.47760416667</v>
      </c>
      <c r="G67" s="7">
        <v>3</v>
      </c>
      <c r="H67" s="21" t="s">
        <v>872</v>
      </c>
      <c r="I67" s="13">
        <v>42893.505914351852</v>
      </c>
      <c r="J67" s="7">
        <v>0</v>
      </c>
      <c r="K67" s="92" t="str">
        <f t="shared" si="0"/>
        <v>4057/4058</v>
      </c>
      <c r="L67" s="21" t="str">
        <f>VLOOKUP(A67,'Trips&amp;Operators'!$C$1:$G$99999,5,FALSE)</f>
        <v>LOZA FIDEL</v>
      </c>
      <c r="M67" s="6">
        <f t="shared" si="1"/>
        <v>2.8310185181908309E-2</v>
      </c>
      <c r="N67" s="7">
        <f t="shared" si="23"/>
        <v>40.766666661947966</v>
      </c>
      <c r="O67" s="7"/>
      <c r="P67" s="7"/>
      <c r="Q67" s="22"/>
      <c r="R67" s="173"/>
      <c r="S67" s="176">
        <f t="shared" si="24"/>
        <v>1</v>
      </c>
      <c r="T67" s="202" t="str">
        <f t="shared" si="4"/>
        <v>Southbound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-07T10:15:25-0600',mode:absolute,to:'2017-06-07T13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7" s="204" t="str">
        <f t="shared" si="29"/>
        <v>N</v>
      </c>
      <c r="X67" s="204">
        <f t="shared" si="30"/>
        <v>1</v>
      </c>
      <c r="Y67" s="204">
        <f t="shared" si="25"/>
        <v>23.299399999999999</v>
      </c>
      <c r="Z67" s="204">
        <f t="shared" si="26"/>
        <v>0.1173</v>
      </c>
      <c r="AA67" s="204">
        <f t="shared" si="10"/>
        <v>23.182099999999998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0156-07</v>
      </c>
      <c r="AE67" s="80" t="str">
        <f t="shared" si="12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67" s="77" t="str">
        <f t="shared" si="13"/>
        <v>"C:\Program Files (x86)\AstroGrep\AstroGrep.exe" /e /r /s /spath="%USERPROFILE%\AppData\Local\Temp\OnboardLogs" /stypes="app*4057*20170607*" /stext=" 18:.+((SYSTEM_STATE.+slice.+state.+changed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156-07 --locoid 4057 --swversion DE.1.0.9.0 --startMP 204:232994 --initTime 2017-06-07T11:15:25 --startdatetime 2017-06-07T11:27:45 --delay 3 --endMP 204:1173 --enddatetime 2017-06-07T12:08:31 --enforcementcount 0 &gt;&gt;C:\Users\stu\Documents\GitHub\eaglep3-reporting\EC\2017-06-07-refined-times.txt</v>
      </c>
      <c r="AI67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{"issue":{"subject":"","project_id":79,"tracker_id":40,"status_id":1,"priority_id":2,"assigned_to_id":23,"start_date":"2017-06-07","description":"","custom_fields":[{"id":1,"name":"Subdivision","value":"EC"},{"id":4,"name":"Milepost","value":"0.1173"},{"id":17,"name":"Train ID","value":"156-07"},{"id":16,"name":"Locomotive ID","value":"4057"},{"id":130,"name":"Impact","value":""},{"id":150,"name":"Time of Event (Mountain Time)","value":"12:08:31"},{"id":151,"name":"Denver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4057 --day 2017-06-07</v>
      </c>
      <c r="AN67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728</v>
      </c>
      <c r="B68" s="7">
        <v>4014</v>
      </c>
      <c r="C68" s="21" t="s">
        <v>204</v>
      </c>
      <c r="D68" s="21" t="s">
        <v>456</v>
      </c>
      <c r="E68" s="13">
        <v>42893.445949074077</v>
      </c>
      <c r="F68" s="13">
        <v>42893.448287037034</v>
      </c>
      <c r="G68" s="7">
        <v>1</v>
      </c>
      <c r="H68" s="21" t="s">
        <v>866</v>
      </c>
      <c r="I68" s="13">
        <v>42893.472766203704</v>
      </c>
      <c r="J68" s="7">
        <v>0</v>
      </c>
      <c r="K68" s="92" t="str">
        <f t="shared" si="0"/>
        <v>4013/4014</v>
      </c>
      <c r="L68" s="21" t="str">
        <f>VLOOKUP(A68,'Trips&amp;Operators'!$C$1:$G$99999,5,FALSE)</f>
        <v>SANTIZO D. EDY</v>
      </c>
      <c r="M68" s="6">
        <f t="shared" si="1"/>
        <v>2.4479166670062114E-2</v>
      </c>
      <c r="N68" s="7">
        <f t="shared" si="23"/>
        <v>35.250000004889444</v>
      </c>
      <c r="O68" s="7"/>
      <c r="P68" s="7"/>
      <c r="Q68" s="22"/>
      <c r="R68" s="173"/>
      <c r="S68" s="176">
        <f t="shared" si="24"/>
        <v>1</v>
      </c>
      <c r="T68" s="202" t="str">
        <f t="shared" si="4"/>
        <v>NorthBound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-07T09:42:10-0600',mode:absolute,to:'2017-06-07T12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204" t="str">
        <f t="shared" si="29"/>
        <v>N</v>
      </c>
      <c r="X68" s="204">
        <f t="shared" si="30"/>
        <v>1</v>
      </c>
      <c r="Y68" s="204">
        <f t="shared" si="25"/>
        <v>4.6699999999999998E-2</v>
      </c>
      <c r="Z68" s="204">
        <f t="shared" si="26"/>
        <v>23.332999999999998</v>
      </c>
      <c r="AA68" s="204">
        <f t="shared" si="10"/>
        <v>23.286299999999997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0157-07</v>
      </c>
      <c r="AE68" s="80" t="str">
        <f t="shared" si="12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68" s="77" t="str">
        <f t="shared" si="13"/>
        <v>"C:\Program Files (x86)\AstroGrep\AstroGrep.exe" /e /r /s /spath="%USERPROFILE%\AppData\Local\Temp\OnboardLogs" /stypes="app*4014*20170607*"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157-07 --locoid 4014 --swversion DE.1.0.9.0 --startMP 204:467 --initTime 2017-06-07T10:42:10 --startdatetime 2017-06-07T10:45:32 --delay 1 --endMP 204:233330 --enddatetime 2017-06-07T11:20:47 --enforcementcount 0 &gt;&gt;C:\Users\stu\Documents\GitHub\eaglep3-reporting\EC\2017-06-07-refined-times.txt</v>
      </c>
      <c r="AI68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{"issue":{"subject":"","project_id":79,"tracker_id":40,"status_id":1,"priority_id":2,"assigned_to_id":23,"start_date":"2017-06-07","description":"","custom_fields":[{"id":1,"name":"Subdivision","value":"EC"},{"id":4,"name":"Milepost","value":"23.333"},{"id":17,"name":"Train ID","value":"157-07"},{"id":16,"name":"Locomotive ID","value":"4014"},{"id":130,"name":"Impact","value":""},{"id":150,"name":"Time of Event (Mountain Time)","value":"11:20:47"},{"id":151,"name":"Denver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4014 --day 2017-06-07</v>
      </c>
      <c r="AN68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619</v>
      </c>
      <c r="B69" s="7">
        <v>4013</v>
      </c>
      <c r="C69" s="21" t="s">
        <v>204</v>
      </c>
      <c r="D69" s="21" t="s">
        <v>580</v>
      </c>
      <c r="E69" s="13">
        <v>42893.474328703705</v>
      </c>
      <c r="F69" s="13">
        <v>42893.487708333334</v>
      </c>
      <c r="G69" s="7">
        <v>1</v>
      </c>
      <c r="H69" s="21" t="s">
        <v>873</v>
      </c>
      <c r="I69" s="13">
        <v>42893.515902777777</v>
      </c>
      <c r="J69" s="7">
        <v>0</v>
      </c>
      <c r="K69" s="92" t="str">
        <f t="shared" si="0"/>
        <v>4013/4014</v>
      </c>
      <c r="L69" s="21" t="str">
        <f>VLOOKUP(A69,'Trips&amp;Operators'!$C$1:$G$99999,5,FALSE)</f>
        <v>SANTIZO D. EDY</v>
      </c>
      <c r="M69" s="6">
        <f t="shared" si="1"/>
        <v>2.8194444443215616E-2</v>
      </c>
      <c r="N69" s="7">
        <f t="shared" si="23"/>
        <v>40.599999998230487</v>
      </c>
      <c r="O69" s="7"/>
      <c r="P69" s="7"/>
      <c r="Q69" s="22"/>
      <c r="R69" s="173"/>
      <c r="S69" s="176">
        <f t="shared" si="24"/>
        <v>1</v>
      </c>
      <c r="T69" s="202" t="str">
        <f t="shared" si="4"/>
        <v>Southbound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-07T10:23:02-0600',mode:absolute,to:'2017-06-07T13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204" t="str">
        <f t="shared" si="29"/>
        <v>N</v>
      </c>
      <c r="X69" s="204">
        <f t="shared" si="30"/>
        <v>1</v>
      </c>
      <c r="Y69" s="204">
        <f t="shared" si="25"/>
        <v>23.301500000000001</v>
      </c>
      <c r="Z69" s="204">
        <f t="shared" si="26"/>
        <v>8.6999999999999994E-3</v>
      </c>
      <c r="AA69" s="204">
        <f t="shared" si="10"/>
        <v>23.2928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0158-07</v>
      </c>
      <c r="AE69" s="80" t="str">
        <f t="shared" si="12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69" s="77" t="str">
        <f t="shared" si="13"/>
        <v>"C:\Program Files (x86)\AstroGrep\AstroGrep.exe" /e /r /s /spath="%USERPROFILE%\AppData\Local\Temp\OnboardLogs" /stypes="app*4013*20170607*"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158-07 --locoid 4013 --swversion DE.1.0.9.0 --startMP 204:233015 --initTime 2017-06-07T11:23:02 --startdatetime 2017-06-07T11:42:18 --delay 1 --endMP 204:87 --enddatetime 2017-06-07T12:22:54 --enforcementcount 0 &gt;&gt;C:\Users\stu\Documents\GitHub\eaglep3-reporting\EC\2017-06-07-refined-times.txt</v>
      </c>
      <c r="AI69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{"issue":{"subject":"","project_id":79,"tracker_id":40,"status_id":1,"priority_id":2,"assigned_to_id":23,"start_date":"2017-06-07","description":"","custom_fields":[{"id":1,"name":"Subdivision","value":"EC"},{"id":4,"name":"Milepost","value":"0.0087"},{"id":17,"name":"Train ID","value":"158-07"},{"id":16,"name":"Locomotive ID","value":"4013"},{"id":130,"name":"Impact","value":""},{"id":150,"name":"Time of Event (Mountain Time)","value":"12:22:54"},{"id":151,"name":"Denver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4013 --day 2017-06-07</v>
      </c>
      <c r="AN69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736</v>
      </c>
      <c r="B70" s="7">
        <v>4046</v>
      </c>
      <c r="C70" s="21" t="s">
        <v>204</v>
      </c>
      <c r="D70" s="21" t="s">
        <v>345</v>
      </c>
      <c r="E70" s="13">
        <v>42893.456458333334</v>
      </c>
      <c r="F70" s="13">
        <v>42893.459236111114</v>
      </c>
      <c r="G70" s="7">
        <v>1</v>
      </c>
      <c r="H70" s="21" t="s">
        <v>874</v>
      </c>
      <c r="I70" s="13">
        <v>42893.484050925923</v>
      </c>
      <c r="J70" s="7">
        <v>0</v>
      </c>
      <c r="K70" s="92" t="str">
        <f t="shared" si="0"/>
        <v>4045/4046</v>
      </c>
      <c r="L70" s="21" t="str">
        <f>VLOOKUP(A70,'Trips&amp;Operators'!$C$1:$G$99999,5,FALSE)</f>
        <v>YANG JAN</v>
      </c>
      <c r="M70" s="6">
        <f t="shared" si="1"/>
        <v>2.4814814809360541E-2</v>
      </c>
      <c r="N70" s="7">
        <f t="shared" si="23"/>
        <v>35.73333332547918</v>
      </c>
      <c r="O70" s="7"/>
      <c r="P70" s="7"/>
      <c r="Q70" s="22"/>
      <c r="R70" s="173"/>
      <c r="S70" s="176">
        <f t="shared" si="24"/>
        <v>1</v>
      </c>
      <c r="T70" s="202" t="str">
        <f t="shared" si="4"/>
        <v>NorthBound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-07T09:57:18-0600',mode:absolute,to:'2017-06-07T12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204" t="str">
        <f t="shared" si="29"/>
        <v>N</v>
      </c>
      <c r="X70" s="204">
        <f t="shared" si="30"/>
        <v>1</v>
      </c>
      <c r="Y70" s="204">
        <f t="shared" si="25"/>
        <v>4.4900000000000002E-2</v>
      </c>
      <c r="Z70" s="204">
        <f t="shared" si="26"/>
        <v>23.331900000000001</v>
      </c>
      <c r="AA70" s="204">
        <f t="shared" si="10"/>
        <v>23.287000000000003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0159-07</v>
      </c>
      <c r="AE70" s="80" t="str">
        <f t="shared" si="12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70" s="77" t="str">
        <f t="shared" si="13"/>
        <v>"C:\Program Files (x86)\AstroGrep\AstroGrep.exe" /e /r /s /spath="%USERPROFILE%\AppData\Local\Temp\OnboardLogs" /stypes="app*4046*20170607*" /stext=" 17:.+((SYSTEM_STATE.+slice.+state.+changed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159-07 --locoid 4046 --swversion DE.1.0.9.0 --startMP 204:449 --initTime 2017-06-07T10:57:18 --startdatetime 2017-06-07T11:01:18 --delay 1 --endMP 204:233319 --enddatetime 2017-06-07T11:37:02 --enforcementcount 0 &gt;&gt;C:\Users\stu\Documents\GitHub\eaglep3-reporting\EC\2017-06-07-refined-times.txt</v>
      </c>
      <c r="AI70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{"issue":{"subject":"","project_id":79,"tracker_id":40,"status_id":1,"priority_id":2,"assigned_to_id":23,"start_date":"2017-06-07","description":"","custom_fields":[{"id":1,"name":"Subdivision","value":"EC"},{"id":4,"name":"Milepost","value":"23.3319"},{"id":17,"name":"Train ID","value":"159-07"},{"id":16,"name":"Locomotive ID","value":"4046"},{"id":130,"name":"Impact","value":""},{"id":150,"name":"Time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4046 --day 2017-06-07</v>
      </c>
      <c r="AN70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746</v>
      </c>
      <c r="B71" s="7">
        <v>4045</v>
      </c>
      <c r="C71" s="21" t="s">
        <v>204</v>
      </c>
      <c r="D71" s="21" t="s">
        <v>875</v>
      </c>
      <c r="E71" s="13">
        <v>42893.490717592591</v>
      </c>
      <c r="F71" s="13">
        <v>42893.498101851852</v>
      </c>
      <c r="G71" s="7">
        <v>1</v>
      </c>
      <c r="H71" s="21" t="s">
        <v>354</v>
      </c>
      <c r="I71" s="13">
        <v>42893.524583333332</v>
      </c>
      <c r="J71" s="7">
        <v>0</v>
      </c>
      <c r="K71" s="92" t="str">
        <f t="shared" si="0"/>
        <v>4045/4046</v>
      </c>
      <c r="L71" s="21" t="str">
        <f>VLOOKUP(A71,'Trips&amp;Operators'!$C$1:$G$99999,5,FALSE)</f>
        <v>YANG JAN</v>
      </c>
      <c r="M71" s="6">
        <f t="shared" si="1"/>
        <v>2.6481481480004732E-2</v>
      </c>
      <c r="N71" s="7">
        <f t="shared" si="23"/>
        <v>38.133333331206813</v>
      </c>
      <c r="O71" s="7"/>
      <c r="P71" s="7"/>
      <c r="Q71" s="22"/>
      <c r="R71" s="173"/>
      <c r="S71" s="176">
        <f t="shared" si="24"/>
        <v>1</v>
      </c>
      <c r="T71" s="202" t="str">
        <f t="shared" si="4"/>
        <v>Southbound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-07T10:46:38-0600',mode:absolute,to:'2017-06-07T13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204" t="str">
        <f t="shared" si="29"/>
        <v>N</v>
      </c>
      <c r="X71" s="204">
        <f t="shared" si="30"/>
        <v>1</v>
      </c>
      <c r="Y71" s="204">
        <f t="shared" si="25"/>
        <v>23.300599999999999</v>
      </c>
      <c r="Z71" s="204">
        <f t="shared" si="26"/>
        <v>1.43E-2</v>
      </c>
      <c r="AA71" s="204">
        <f t="shared" si="10"/>
        <v>23.286300000000001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0160-07</v>
      </c>
      <c r="AE71" s="80" t="str">
        <f t="shared" si="12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71" s="77" t="str">
        <f t="shared" si="13"/>
        <v>"C:\Program Files (x86)\AstroGrep\AstroGrep.exe" /e /r /s /spath="%USERPROFILE%\AppData\Local\Temp\OnboardLogs" /stypes="app*4045*20170607*" /stext=" 18:.+((SYSTEM_STATE.+slice.+state.+changed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160-07 --locoid 4045 --swversion DE.1.0.9.0 --startMP 204:233006 --initTime 2017-06-07T11:46:38 --startdatetime 2017-06-07T11:57:16 --delay 1 --endMP 204:143 --enddatetime 2017-06-07T12:35:24 --enforcementcount 0 &gt;&gt;C:\Users\stu\Documents\GitHub\eaglep3-reporting\EC\2017-06-07-refined-times.txt</v>
      </c>
      <c r="AI71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{"issue":{"subject":"","project_id":79,"tracker_id":40,"status_id":1,"priority_id":2,"assigned_to_id":23,"start_date":"2017-06-07","description":"","custom_fields":[{"id":1,"name":"Subdivision","value":"EC"},{"id":4,"name":"Milepost","value":"0.0143"},{"id":17,"name":"Train ID","value":"160-07"},{"id":16,"name":"Locomotive ID","value":"4045"},{"id":130,"name":"Impact","value":""},{"id":150,"name":"Time of Event (Mountain Time)","value":"12:35:24"},{"id":151,"name":"Denver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4045 --day 2017-06-07</v>
      </c>
      <c r="AN71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737</v>
      </c>
      <c r="B72" s="7">
        <v>4042</v>
      </c>
      <c r="C72" s="21" t="s">
        <v>204</v>
      </c>
      <c r="D72" s="21" t="s">
        <v>482</v>
      </c>
      <c r="E72" s="13">
        <v>42893.463761574072</v>
      </c>
      <c r="F72" s="13">
        <v>42893.469363425924</v>
      </c>
      <c r="G72" s="7">
        <v>2</v>
      </c>
      <c r="H72" s="21" t="s">
        <v>570</v>
      </c>
      <c r="I72" s="13">
        <v>42893.496122685188</v>
      </c>
      <c r="J72" s="7">
        <v>0</v>
      </c>
      <c r="K72" s="92" t="str">
        <f t="shared" si="0"/>
        <v>4041/4042</v>
      </c>
      <c r="L72" s="21" t="str">
        <f>VLOOKUP(A72,'Trips&amp;Operators'!$C$1:$G$99999,5,FALSE)</f>
        <v>STEWART MICHAEL</v>
      </c>
      <c r="M72" s="6">
        <f t="shared" si="1"/>
        <v>2.6759259264508728E-2</v>
      </c>
      <c r="N72" s="7">
        <f t="shared" si="23"/>
        <v>38.533333340892568</v>
      </c>
      <c r="O72" s="7"/>
      <c r="P72" s="7"/>
      <c r="Q72" s="22"/>
      <c r="R72" s="173"/>
      <c r="S72" s="176">
        <f t="shared" si="24"/>
        <v>1</v>
      </c>
      <c r="T72" s="202" t="str">
        <f t="shared" si="4"/>
        <v>NorthBound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-07T10:07:49-0600',mode:absolute,to:'2017-06-07T12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2" s="204" t="str">
        <f t="shared" si="29"/>
        <v>N</v>
      </c>
      <c r="X72" s="204">
        <f t="shared" si="30"/>
        <v>1</v>
      </c>
      <c r="Y72" s="204">
        <f t="shared" si="25"/>
        <v>4.4400000000000002E-2</v>
      </c>
      <c r="Z72" s="204">
        <f t="shared" si="26"/>
        <v>23.3278</v>
      </c>
      <c r="AA72" s="204">
        <f t="shared" si="10"/>
        <v>23.2834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0161-07</v>
      </c>
      <c r="AE72" s="80" t="str">
        <f t="shared" si="12"/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AF72" s="77" t="str">
        <f t="shared" si="13"/>
        <v>"C:\Program Files (x86)\AstroGrep\AstroGrep.exe" /e /r /s /spath="%USERPROFILE%\AppData\Local\Temp\OnboardLogs" /stypes="app*4042*20170607*" /stext=" 17:.+((SYSTEM_STATE.+slice.+state.+changed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161-07 --locoid 4042 --swversion DE.1.0.9.0 --startMP 204:444 --initTime 2017-06-07T11:07:49 --startdatetime 2017-06-07T11:15:53 --delay 2 --endMP 204:233278 --enddatetime 2017-06-07T11:54:25 --enforcementcount 0 &gt;&gt;C:\Users\stu\Documents\GitHub\eaglep3-reporting\EC\2017-06-07-refined-times.txt</v>
      </c>
      <c r="AI72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{"issue":{"subject":"","project_id":79,"tracker_id":40,"status_id":1,"priority_id":2,"assigned_to_id":23,"start_date":"2017-06-07","description":"","custom_fields":[{"id":1,"name":"Subdivision","value":"EC"},{"id":4,"name":"Milepost","value":"23.3278"},{"id":17,"name":"Train ID","value":"161-07"},{"id":16,"name":"Locomotive ID","value":"4042"},{"id":130,"name":"Impact","value":""},{"id":150,"name":"Time of Event (Mountain Time)","value":"11:54:25"},{"id":151,"name":"Denver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4042 --day 2017-06-07</v>
      </c>
      <c r="AN72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750</v>
      </c>
      <c r="B73" s="7">
        <v>4041</v>
      </c>
      <c r="C73" s="21" t="s">
        <v>204</v>
      </c>
      <c r="D73" s="21" t="s">
        <v>562</v>
      </c>
      <c r="E73" s="13">
        <v>42893.504664351851</v>
      </c>
      <c r="F73" s="13">
        <v>42893.50885416667</v>
      </c>
      <c r="G73" s="7">
        <v>2</v>
      </c>
      <c r="H73" s="21" t="s">
        <v>350</v>
      </c>
      <c r="I73" s="13">
        <v>42893.535891203705</v>
      </c>
      <c r="J73" s="7">
        <v>0</v>
      </c>
      <c r="K73" s="92" t="str">
        <f t="shared" si="0"/>
        <v>4041/4042</v>
      </c>
      <c r="L73" s="21" t="str">
        <f>VLOOKUP(A73,'Trips&amp;Operators'!$C$1:$G$99999,5,FALSE)</f>
        <v>STEWART MICHAEL</v>
      </c>
      <c r="M73" s="6">
        <f t="shared" si="1"/>
        <v>2.7037037034460809E-2</v>
      </c>
      <c r="N73" s="7">
        <f t="shared" si="23"/>
        <v>38.933333329623565</v>
      </c>
      <c r="O73" s="7"/>
      <c r="P73" s="7"/>
      <c r="Q73" s="22"/>
      <c r="R73" s="173"/>
      <c r="S73" s="176">
        <f t="shared" si="24"/>
        <v>1</v>
      </c>
      <c r="T73" s="202" t="str">
        <f t="shared" si="4"/>
        <v>Southbound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-07T11:06:43-0600',mode:absolute,to:'2017-06-07T13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3" s="204" t="str">
        <f t="shared" si="29"/>
        <v>N</v>
      </c>
      <c r="X73" s="204">
        <f t="shared" si="30"/>
        <v>1</v>
      </c>
      <c r="Y73" s="204">
        <f t="shared" si="25"/>
        <v>23.298999999999999</v>
      </c>
      <c r="Z73" s="204">
        <f t="shared" si="26"/>
        <v>1.6E-2</v>
      </c>
      <c r="AA73" s="204">
        <f t="shared" si="10"/>
        <v>23.283000000000001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0162-07</v>
      </c>
      <c r="AE73" s="80" t="str">
        <f t="shared" si="12"/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AF73" s="77" t="str">
        <f t="shared" si="13"/>
        <v>"C:\Program Files (x86)\AstroGrep\AstroGrep.exe" /e /r /s /spath="%USERPROFILE%\AppData\Local\Temp\OnboardLogs" /stypes="app*4041*20170607*" /stext=" 18:.+((SYSTEM_STATE.+slice.+state.+changed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162-07 --locoid 4041 --swversion DE.1.0.9.0 --startMP 204:232990 --initTime 2017-06-07T12:06:43 --startdatetime 2017-06-07T12:12:45 --delay 2 --endMP 204:160 --enddatetime 2017-06-07T12:51:41 --enforcementcount 0 &gt;&gt;C:\Users\stu\Documents\GitHub\eaglep3-reporting\EC\2017-06-07-refined-times.txt</v>
      </c>
      <c r="AI73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{"issue":{"subject":"","project_id":79,"tracker_id":40,"status_id":1,"priority_id":2,"assigned_to_id":23,"start_date":"2017-06-07","description":"","custom_fields":[{"id":1,"name":"Subdivision","value":"EC"},{"id":4,"name":"Milepost","value":"0.016"},{"id":17,"name":"Train ID","value":"162-07"},{"id":16,"name":"Locomotive ID","value":"4041"},{"id":130,"name":"Impact","value":""},{"id":150,"name":"Time of Event (Mountain Time)","value":"12:51:41"},{"id":151,"name":"Denver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4041 --day 2017-06-07</v>
      </c>
      <c r="AN73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740</v>
      </c>
      <c r="B74" s="7">
        <v>4012</v>
      </c>
      <c r="C74" s="21" t="s">
        <v>204</v>
      </c>
      <c r="D74" s="21" t="s">
        <v>356</v>
      </c>
      <c r="E74" s="13">
        <v>42893.476261574076</v>
      </c>
      <c r="F74" s="13">
        <v>42893.479479166665</v>
      </c>
      <c r="G74" s="7">
        <v>1</v>
      </c>
      <c r="H74" s="21" t="s">
        <v>876</v>
      </c>
      <c r="I74" s="13">
        <v>42893.504490740743</v>
      </c>
      <c r="J74" s="7">
        <v>0</v>
      </c>
      <c r="K74" s="92" t="str">
        <f t="shared" si="0"/>
        <v>4011/4012</v>
      </c>
      <c r="L74" s="21" t="str">
        <f>VLOOKUP(A74,'Trips&amp;Operators'!$C$1:$G$99999,5,FALSE)</f>
        <v>DE LA ROSA ALEX</v>
      </c>
      <c r="M74" s="6">
        <f t="shared" si="1"/>
        <v>2.5011574078234844E-2</v>
      </c>
      <c r="N74" s="7">
        <f t="shared" si="23"/>
        <v>36.016666672658175</v>
      </c>
      <c r="O74" s="7"/>
      <c r="P74" s="7"/>
      <c r="Q74" s="22"/>
      <c r="R74" s="173"/>
      <c r="S74" s="176">
        <f t="shared" si="24"/>
        <v>1</v>
      </c>
      <c r="T74" s="202" t="str">
        <f t="shared" si="4"/>
        <v>NorthBound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-07T10:25:49-0600',mode:absolute,to:'2017-06-07T13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204" t="str">
        <f t="shared" si="29"/>
        <v>N</v>
      </c>
      <c r="X74" s="204">
        <f t="shared" si="30"/>
        <v>1</v>
      </c>
      <c r="Y74" s="204">
        <f t="shared" si="25"/>
        <v>4.5100000000000001E-2</v>
      </c>
      <c r="Z74" s="204">
        <f t="shared" si="26"/>
        <v>23.332100000000001</v>
      </c>
      <c r="AA74" s="204">
        <f t="shared" si="10"/>
        <v>23.286999999999999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0163-07</v>
      </c>
      <c r="AE74" s="80" t="str">
        <f t="shared" si="12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74" s="77" t="str">
        <f t="shared" si="13"/>
        <v>"C:\Program Files (x86)\AstroGrep\AstroGrep.exe" /e /r /s /spath="%USERPROFILE%\AppData\Local\Temp\OnboardLogs" /stypes="app*4012*20170607*"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163-07 --locoid 4012 --swversion DE.1.0.9.0 --startMP 204:451 --initTime 2017-06-07T11:25:49 --startdatetime 2017-06-07T11:30:27 --delay 1 --endMP 204:233321 --enddatetime 2017-06-07T12:06:28 --enforcementcount 0 &gt;&gt;C:\Users\stu\Documents\GitHub\eaglep3-reporting\EC\2017-06-07-refined-times.txt</v>
      </c>
      <c r="AI74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{"issue":{"subject":"","project_id":79,"tracker_id":40,"status_id":1,"priority_id":2,"assigned_to_id":23,"start_date":"2017-06-07","description":"","custom_fields":[{"id":1,"name":"Subdivision","value":"EC"},{"id":4,"name":"Milepost","value":"23.3321"},{"id":17,"name":"Train ID","value":"163-07"},{"id":16,"name":"Locomotive ID","value":"4012"},{"id":130,"name":"Impact","value":""},{"id":150,"name":"Time of Event (Mountain Time)","value":"12:06:28"},{"id":151,"name":"Denver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4012 --day 2017-06-07</v>
      </c>
      <c r="AN74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754</v>
      </c>
      <c r="B75" s="7">
        <v>4011</v>
      </c>
      <c r="C75" s="21" t="s">
        <v>204</v>
      </c>
      <c r="D75" s="21" t="s">
        <v>489</v>
      </c>
      <c r="E75" s="13">
        <v>42893.515520833331</v>
      </c>
      <c r="F75" s="13">
        <v>42893.518969907411</v>
      </c>
      <c r="G75" s="7">
        <v>1</v>
      </c>
      <c r="H75" s="21" t="s">
        <v>195</v>
      </c>
      <c r="I75" s="13">
        <v>42893.545335648145</v>
      </c>
      <c r="J75" s="7">
        <v>0</v>
      </c>
      <c r="K75" s="92" t="str">
        <f t="shared" si="0"/>
        <v>4011/4012</v>
      </c>
      <c r="L75" s="21" t="str">
        <f>VLOOKUP(A75,'Trips&amp;Operators'!$C$1:$G$99999,5,FALSE)</f>
        <v>DE LA ROSA ALEX</v>
      </c>
      <c r="M75" s="6">
        <f t="shared" si="1"/>
        <v>2.6365740734036081E-2</v>
      </c>
      <c r="N75" s="7">
        <f t="shared" si="23"/>
        <v>37.966666657011956</v>
      </c>
      <c r="O75" s="7"/>
      <c r="P75" s="7"/>
      <c r="Q75" s="22"/>
      <c r="R75" s="173"/>
      <c r="S75" s="176">
        <f t="shared" si="24"/>
        <v>1</v>
      </c>
      <c r="T75" s="202" t="str">
        <f t="shared" si="4"/>
        <v>Southbound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-07T11:22:21-0600',mode:absolute,to:'2017-06-07T14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204" t="str">
        <f t="shared" si="29"/>
        <v>N</v>
      </c>
      <c r="X75" s="204">
        <f t="shared" si="30"/>
        <v>1</v>
      </c>
      <c r="Y75" s="204">
        <f t="shared" si="25"/>
        <v>23.299099999999999</v>
      </c>
      <c r="Z75" s="204">
        <f t="shared" si="26"/>
        <v>1.52E-2</v>
      </c>
      <c r="AA75" s="204">
        <f t="shared" si="10"/>
        <v>23.283899999999999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0164-07</v>
      </c>
      <c r="AE75" s="80" t="str">
        <f t="shared" si="12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75" s="77" t="str">
        <f t="shared" si="13"/>
        <v>"C:\Program Files (x86)\AstroGrep\AstroGrep.exe" /e /r /s /spath="%USERPROFILE%\AppData\Local\Temp\OnboardLogs" /stypes="app*4011*20170607*" /stext=" 19:.+((SYSTEM_STATE.+slice.+state.+changed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164-07 --locoid 4011 --swversion DE.1.0.9.0 --startMP 204:232991 --initTime 2017-06-07T12:22:21 --startdatetime 2017-06-07T12:27:19 --delay 1 --endMP 204:152 --enddatetime 2017-06-07T13:05:17 --enforcementcount 0 &gt;&gt;C:\Users\stu\Documents\GitHub\eaglep3-reporting\EC\2017-06-07-refined-times.txt</v>
      </c>
      <c r="AI75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{"issue":{"subject":"","project_id":79,"tracker_id":40,"status_id":1,"priority_id":2,"assigned_to_id":23,"start_date":"2017-06-07","description":"","custom_fields":[{"id":1,"name":"Subdivision","value":"EC"},{"id":4,"name":"Milepost","value":"0.0152"},{"id":17,"name":"Train ID","value":"164-07"},{"id":16,"name":"Locomotive ID","value":"4011"},{"id":130,"name":"Impact","value":""},{"id":150,"name":"Time of Event (Mountain Time)","value":"13:05:17"},{"id":151,"name":"Denver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4011 --day 2017-06-07</v>
      </c>
      <c r="AN75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19:05:17"},{"id":29,"name":"Sharepoint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745</v>
      </c>
      <c r="B76" s="7">
        <v>4032</v>
      </c>
      <c r="C76" s="21" t="s">
        <v>204</v>
      </c>
      <c r="D76" s="21" t="s">
        <v>577</v>
      </c>
      <c r="E76" s="13">
        <v>42893.486759259256</v>
      </c>
      <c r="F76" s="13">
        <v>42893.489745370367</v>
      </c>
      <c r="G76" s="7">
        <v>2</v>
      </c>
      <c r="H76" s="21" t="s">
        <v>398</v>
      </c>
      <c r="I76" s="13">
        <v>42893.514328703706</v>
      </c>
      <c r="J76" s="7">
        <v>0</v>
      </c>
      <c r="K76" s="92" t="str">
        <f t="shared" si="0"/>
        <v>4031/4032</v>
      </c>
      <c r="L76" s="21" t="str">
        <f>VLOOKUP(A76,'Trips&amp;Operators'!$C$1:$G$99999,5,FALSE)</f>
        <v>BRUDER RICHARD</v>
      </c>
      <c r="M76" s="6">
        <f t="shared" si="1"/>
        <v>2.4583333339251112E-2</v>
      </c>
      <c r="N76" s="7">
        <f t="shared" si="23"/>
        <v>35.400000008521602</v>
      </c>
      <c r="O76" s="7"/>
      <c r="P76" s="7"/>
      <c r="Q76" s="22"/>
      <c r="R76" s="173"/>
      <c r="S76" s="176">
        <f t="shared" si="24"/>
        <v>1</v>
      </c>
      <c r="T76" s="202" t="str">
        <f t="shared" si="4"/>
        <v>NorthBound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-07T10:40:56-0600',mode:absolute,to:'2017-06-07T13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6" s="204" t="str">
        <f t="shared" si="29"/>
        <v>N</v>
      </c>
      <c r="X76" s="204">
        <f t="shared" si="30"/>
        <v>1</v>
      </c>
      <c r="Y76" s="204">
        <f t="shared" si="25"/>
        <v>4.8599999999999997E-2</v>
      </c>
      <c r="Z76" s="204">
        <f t="shared" si="26"/>
        <v>23.3293</v>
      </c>
      <c r="AA76" s="204">
        <f t="shared" si="10"/>
        <v>23.2807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0165-07</v>
      </c>
      <c r="AE76" s="80" t="str">
        <f t="shared" si="12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76" s="77" t="str">
        <f t="shared" si="13"/>
        <v>"C:\Program Files (x86)\AstroGrep\AstroGrep.exe" /e /r /s /spath="%USERPROFILE%\AppData\Local\Temp\OnboardLogs" /stypes="app*4032*20170607*"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165-07 --locoid 4032 --swversion DE.1.0.9.0 --startMP 204:486 --initTime 2017-06-07T11:40:56 --startdatetime 2017-06-07T11:45:14 --delay 2 --endMP 204:233293 --enddatetime 2017-06-07T12:20:38 --enforcementcount 0 &gt;&gt;C:\Users\stu\Documents\GitHub\eaglep3-reporting\EC\2017-06-07-refined-times.txt</v>
      </c>
      <c r="AI76" s="99" t="str">
        <f t="shared" si="20"/>
        <v>echo {"issue":{"subject":"","project_id":79,"tracker_id":40,"status_id":1,"priority_id":2,"assigned_to_id":23,"start_date":"2017-06-07","description":"","custom_fields":[{"id":1,"name":"Subdivision","value":"EC"},{"id":4,"name":"Milepost","value":"23.3293"},{"id":17,"name":"Train ID","value":"165-07"},{"id":16,"name":"Locomotive ID","value":"4032"},{"id":130,"name":"Impact","value":""},{"id":150,"name":"Time of Event (Mountain Time)","value":"12:20:38"},{"id":151,"name":"Denver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4032 --day 2017-06-07</v>
      </c>
      <c r="AN76" s="154" t="str">
        <f t="shared" si="22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756</v>
      </c>
      <c r="B77" s="7">
        <v>4031</v>
      </c>
      <c r="C77" s="21" t="s">
        <v>204</v>
      </c>
      <c r="D77" s="21" t="s">
        <v>864</v>
      </c>
      <c r="E77" s="13">
        <v>42893.523819444446</v>
      </c>
      <c r="F77" s="13">
        <v>42893.529351851852</v>
      </c>
      <c r="G77" s="7">
        <v>2</v>
      </c>
      <c r="H77" s="21" t="s">
        <v>195</v>
      </c>
      <c r="I77" s="13">
        <v>42893.572638888887</v>
      </c>
      <c r="J77" s="7">
        <v>0</v>
      </c>
      <c r="K77" s="92" t="str">
        <f t="shared" ref="K77:K140" si="31">IF(ISEVEN(B77),(B77-1)&amp;"/"&amp;B77,B77&amp;"/"&amp;(B77+1))</f>
        <v>4031/4032</v>
      </c>
      <c r="L77" s="21" t="str">
        <f>VLOOKUP(A77,'Trips&amp;Operators'!$C$1:$G$99999,5,FALSE)</f>
        <v>BRUDER RICHARD</v>
      </c>
      <c r="M77" s="6">
        <f t="shared" ref="M77:M140" si="32">I77-F77</f>
        <v>4.3287037035042886E-2</v>
      </c>
      <c r="N77" s="7">
        <f t="shared" ref="N77:N82" si="33">24*60*SUM($M77:$M77)</f>
        <v>62.333333330461755</v>
      </c>
      <c r="O77" s="7"/>
      <c r="P77" s="7"/>
      <c r="Q77" s="22"/>
      <c r="R77" s="173" t="s">
        <v>1032</v>
      </c>
      <c r="S77" s="176">
        <f t="shared" ref="S77:S87" si="34">SUM(U77:U77)/IF(AG77="EC",12,1)</f>
        <v>1</v>
      </c>
      <c r="T77" s="202" t="str">
        <f t="shared" ref="T77:T140" si="35">IF(ISEVEN(LEFT(AD77,4)),"Southbound","NorthBound")</f>
        <v>Southbound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-07T11:34:18-0600',mode:absolute,to:'2017-06-07T14:44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204" t="str">
        <f t="shared" si="29"/>
        <v>N</v>
      </c>
      <c r="X77" s="204">
        <f t="shared" si="30"/>
        <v>1</v>
      </c>
      <c r="Y77" s="204">
        <f t="shared" ref="Y77:Y108" si="37">RIGHT(D77,LEN(D77)-4)/10000</f>
        <v>23.296900000000001</v>
      </c>
      <c r="Z77" s="204">
        <f t="shared" ref="Z77:Z108" si="38">RIGHT(H77,LEN(H77)-4)/10000</f>
        <v>1.52E-2</v>
      </c>
      <c r="AA77" s="204">
        <f t="shared" ref="AA77:AA140" si="39">ABS(Z77-Y77)</f>
        <v>23.281700000000001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0">IF(LEN(A77)=6,"0"&amp;A77,A77)</f>
        <v>0166-07</v>
      </c>
      <c r="AE77" s="80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77" s="77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/stypes="app*4031*20170607*" /stext=" 19:.+((SYSTEM_STATE.+slice.+state.+changed )|(ment ac)|(multiple cpu faults)|(system.+state.+changed )|(\[timeout)|(PRM\|1\|D)|(kpr)|(kdp)|(train st.+moving)|(\|lc)|(penalty))"</v>
      </c>
      <c r="AG77" s="1" t="str">
        <f t="shared" ref="AG77:AG140" si="43">IFERROR(IF(VALUE(LEFT(AD77,2))&lt;=2,"EC",IF(OR(VALUE(LEFT(AD77,2))=8,VALUE(LEFT(AD77,2))=18),"NW","Other")),"Other")</f>
        <v>EC</v>
      </c>
      <c r="AH77" s="81" t="str">
        <f t="shared" ref="AH77:AH142" si="4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166-07 --locoid 4031 --swversion DE.1.0.9.0 --startMP 204:232969 --initTime 2017-06-07T12:34:18 --startdatetime 2017-06-07T12:42:16 --delay 2 --endMP 204:152 --enddatetime 2017-06-07T13:44:36 --enforcementcount 0 &gt;&gt;C:\Users\stu\Documents\GitHub\eaglep3-reporting\EC\2017-06-07-refined-times.txt</v>
      </c>
      <c r="AI77" s="99" t="str">
        <f t="shared" ref="AI77:AI142" si="4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{"issue":{"subject":"Bright Switch 3 hardware failure","project_id":79,"tracker_id":40,"status_id":1,"priority_id":2,"assigned_to_id":23,"start_date":"2017-06-07","description":"","custom_fields":[{"id":1,"name":"Subdivision","value":"EC"},{"id":4,"name":"Milepost","value":"0.0152"},{"id":17,"name":"Train ID","value":"166-07"},{"id":16,"name":"Locomotive ID","value":"4031"},{"id":130,"name":"Impact","value":""},{"id":150,"name":"Time of Event (Mountain Time)","value":"13:44:36"},{"id":151,"name":"Denver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2" si="46">"start /low /b "&amp;dls3logs&amp;" --loco "&amp;B77&amp;" --day "&amp;TEXT(F77,"YYYY-MM-DD")</f>
        <v>start /low /b %USERPROFILE%\Documents\GitHub\eaglep3\Utilities\DownloadLogsFromS3.py --loco 4031 --day 2017-06-07</v>
      </c>
      <c r="AN77" s="154" t="str">
        <f t="shared" ref="AN77:AN142" si="47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{"issue":{"subject":"Bright Switch 3 hardware failure","project_id":30,"tracker_id":4,"status_id":1,"priority_id":1,"assigned_to_id":10,"start_date":"2017-06-07","description":"","custom_fields":[{"id":30,"name":"Category","value":"Issue"},{"id":3,"name":"Functional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19:44:36"},{"id":29,"name":"Sharepoint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620</v>
      </c>
      <c r="B78" s="7">
        <v>4028</v>
      </c>
      <c r="C78" s="21" t="s">
        <v>204</v>
      </c>
      <c r="D78" s="21" t="s">
        <v>368</v>
      </c>
      <c r="E78" s="13">
        <v>42893.49664351852</v>
      </c>
      <c r="F78" s="13">
        <v>42893.500162037039</v>
      </c>
      <c r="G78" s="7">
        <v>1</v>
      </c>
      <c r="H78" s="21" t="s">
        <v>471</v>
      </c>
      <c r="I78" s="13">
        <v>42893.525057870371</v>
      </c>
      <c r="J78" s="7">
        <v>0</v>
      </c>
      <c r="K78" s="92" t="str">
        <f t="shared" si="31"/>
        <v>4027/4028</v>
      </c>
      <c r="L78" s="21" t="str">
        <f>VLOOKUP(A78,'Trips&amp;Operators'!$C$1:$G$99999,5,FALSE)</f>
        <v>LEVIN SCOTT</v>
      </c>
      <c r="M78" s="6">
        <f t="shared" si="32"/>
        <v>2.4895833332266193E-2</v>
      </c>
      <c r="N78" s="7">
        <f t="shared" si="33"/>
        <v>35.849999998463318</v>
      </c>
      <c r="O78" s="7"/>
      <c r="P78" s="7"/>
      <c r="Q78" s="22"/>
      <c r="R78" s="173"/>
      <c r="S78" s="176">
        <f t="shared" si="34"/>
        <v>1</v>
      </c>
      <c r="T78" s="202" t="str">
        <f t="shared" si="35"/>
        <v>NorthBound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6"/>
        <v>https://d0f6bd738d7f1b3e5a7ca70fe4ff75f0.us-east-1.aws.found.io/app/kibana#/discover/Steve-Slow-Train-Analysis-(2080s-and-2083s)?_g=(refreshInterval:(display:Off,pause:!f,section:0,value:0),time:(from:'2017-06-07T10:55:10-0600',mode:absolute,to:'2017-06-07T13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8" s="204" t="str">
        <f t="shared" si="29"/>
        <v>N</v>
      </c>
      <c r="X78" s="204">
        <f t="shared" si="30"/>
        <v>1</v>
      </c>
      <c r="Y78" s="204">
        <f t="shared" si="37"/>
        <v>4.5499999999999999E-2</v>
      </c>
      <c r="Z78" s="204">
        <f t="shared" si="38"/>
        <v>23.328900000000001</v>
      </c>
      <c r="AA78" s="204">
        <f t="shared" si="39"/>
        <v>23.2834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0"/>
        <v>0167-07</v>
      </c>
      <c r="AE78" s="80" t="str">
        <f t="shared" si="41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78" s="77" t="str">
        <f t="shared" si="42"/>
        <v>"C:\Program Files (x86)\AstroGrep\AstroGrep.exe" /e /r /s /spath="%USERPROFILE%\AppData\Local\Temp\OnboardLogs" /stypes="app*4028*20170607*" /stext=" 18:.+((SYSTEM_STATE.+slice.+state.+changed )|(ment ac)|(multiple cpu faults)|(system.+state.+changed )|(\[timeout)|(PRM\|1\|D)|(kpr)|(kdp)|(train st.+moving)|(\|lc)|(penalty))"</v>
      </c>
      <c r="AG78" s="1" t="str">
        <f t="shared" si="43"/>
        <v>EC</v>
      </c>
      <c r="AH78" s="81" t="str">
        <f t="shared" si="44"/>
        <v>"%USERPROFILE%\Documents\GitHub\eaglep3\Utilities\RefineRTDCRunTimes.py" --tripid 167-07 --locoid 4028 --swversion DE.1.0.9.0 --startMP 204:455 --initTime 2017-06-07T11:55:10 --startdatetime 2017-06-07T12:00:14 --delay 1 --endMP 204:233289 --enddatetime 2017-06-07T12:36:05 --enforcementcount 0 &gt;&gt;C:\Users\stu\Documents\GitHub\eaglep3-reporting\EC\2017-06-07-refined-times.txt</v>
      </c>
      <c r="AI78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{"issue":{"subject":"","project_id":79,"tracker_id":40,"status_id":1,"priority_id":2,"assigned_to_id":23,"start_date":"2017-06-07","description":"","custom_fields":[{"id":1,"name":"Subdivision","value":"EC"},{"id":4,"name":"Milepost","value":"23.3289"},{"id":17,"name":"Train ID","value":"167-07"},{"id":16,"name":"Locomotive ID","value":"4028"},{"id":130,"name":"Impact","value":""},{"id":150,"name":"Time of Event (Mountain Time)","value":"12:36:05"},{"id":151,"name":"Denver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6"/>
        <v>start /low /b %USERPROFILE%\Documents\GitHub\eaglep3\Utilities\DownloadLogsFromS3.py --loco 4028 --day 2017-06-07</v>
      </c>
      <c r="AN78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759</v>
      </c>
      <c r="B79" s="7">
        <v>4027</v>
      </c>
      <c r="C79" s="21" t="s">
        <v>204</v>
      </c>
      <c r="D79" s="21" t="s">
        <v>877</v>
      </c>
      <c r="E79" s="13">
        <v>42893.538182870368</v>
      </c>
      <c r="F79" s="13">
        <v>42893.539756944447</v>
      </c>
      <c r="G79" s="7">
        <v>1</v>
      </c>
      <c r="H79" s="21" t="s">
        <v>352</v>
      </c>
      <c r="I79" s="13">
        <v>42893.576504629629</v>
      </c>
      <c r="J79" s="7">
        <v>0</v>
      </c>
      <c r="K79" s="92" t="str">
        <f t="shared" si="31"/>
        <v>4027/4028</v>
      </c>
      <c r="L79" s="21" t="str">
        <f>VLOOKUP(A79,'Trips&amp;Operators'!$C$1:$G$99999,5,FALSE)</f>
        <v>LEVIN SCOTT</v>
      </c>
      <c r="M79" s="6">
        <f t="shared" si="32"/>
        <v>3.6747685182490386E-2</v>
      </c>
      <c r="N79" s="7">
        <f t="shared" si="33"/>
        <v>52.916666662786156</v>
      </c>
      <c r="O79" s="7"/>
      <c r="P79" s="7"/>
      <c r="Q79" s="22"/>
      <c r="R79" s="173" t="s">
        <v>1032</v>
      </c>
      <c r="S79" s="176">
        <f t="shared" si="34"/>
        <v>1</v>
      </c>
      <c r="T79" s="202" t="str">
        <f t="shared" si="35"/>
        <v>Southbound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6"/>
        <v>https://d0f6bd738d7f1b3e5a7ca70fe4ff75f0.us-east-1.aws.found.io/app/kibana#/discover/Steve-Slow-Train-Analysis-(2080s-and-2083s)?_g=(refreshInterval:(display:Off,pause:!f,section:0,value:0),time:(from:'2017-06-07T11:54:59-0600',mode:absolute,to:'2017-06-07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204" t="str">
        <f t="shared" si="29"/>
        <v>N</v>
      </c>
      <c r="X79" s="204">
        <f t="shared" si="30"/>
        <v>1</v>
      </c>
      <c r="Y79" s="204">
        <f t="shared" si="37"/>
        <v>23.297000000000001</v>
      </c>
      <c r="Z79" s="204">
        <f t="shared" si="38"/>
        <v>1.4999999999999999E-2</v>
      </c>
      <c r="AA79" s="204">
        <f t="shared" si="39"/>
        <v>23.282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0"/>
        <v>0168-07</v>
      </c>
      <c r="AE79" s="80" t="str">
        <f t="shared" si="41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79" s="77" t="str">
        <f t="shared" si="42"/>
        <v>"C:\Program Files (x86)\AstroGrep\AstroGrep.exe" /e /r /s /spath="%USERPROFILE%\AppData\Local\Temp\OnboardLogs" /stypes="app*4027*20170607*" /stext=" 19:.+((SYSTEM_STATE.+slice.+state.+changed )|(ment ac)|(multiple cpu faults)|(system.+state.+changed )|(\[timeout)|(PRM\|1\|D)|(kpr)|(kdp)|(train st.+moving)|(\|lc)|(penalty))"</v>
      </c>
      <c r="AG79" s="1" t="str">
        <f t="shared" si="43"/>
        <v>EC</v>
      </c>
      <c r="AH79" s="81" t="str">
        <f t="shared" si="44"/>
        <v>"%USERPROFILE%\Documents\GitHub\eaglep3\Utilities\RefineRTDCRunTimes.py" --tripid 168-07 --locoid 4027 --swversion DE.1.0.9.0 --startMP 204:232970 --initTime 2017-06-07T12:54:59 --startdatetime 2017-06-07T12:57:15 --delay 1 --endMP 204:150 --enddatetime 2017-06-07T13:50:10 --enforcementcount 0 &gt;&gt;C:\Users\stu\Documents\GitHub\eaglep3-reporting\EC\2017-06-07-refined-times.txt</v>
      </c>
      <c r="AI79" s="99" t="str">
        <f t="shared" si="45"/>
        <v>echo {"issue":{"subject":"Bright Switch 3 hardware failure","project_id":79,"tracker_id":40,"status_id":1,"priority_id":2,"assigned_to_id":23,"start_date":"2017-06-07","description":"","custom_fields":[{"id":1,"name":"Subdivision","value":"EC"},{"id":4,"name":"Milepost","value":"0.015"},{"id":17,"name":"Train ID","value":"168-07"},{"id":16,"name":"Locomotive ID","value":"4027"},{"id":130,"name":"Impact","value":""},{"id":150,"name":"Time of Event (Mountain Time)","value":"13:50:10"},{"id":151,"name":"Denver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6"/>
        <v>start /low /b %USERPROFILE%\Documents\GitHub\eaglep3\Utilities\DownloadLogsFromS3.py --loco 4027 --day 2017-06-07</v>
      </c>
      <c r="AN79" s="154" t="str">
        <f t="shared" si="47"/>
        <v>echo {"issue":{"subject":"Bright Switch 3 hardware failure","project_id":30,"tracker_id":4,"status_id":1,"priority_id":1,"assigned_to_id":10,"start_date":"2017-06-07","description":"","custom_fields":[{"id":30,"name":"Category","value":"Issue"},{"id":3,"name":"Functional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19:50:10"},{"id":29,"name":"Sharepoint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751</v>
      </c>
      <c r="B80" s="7">
        <v>4016</v>
      </c>
      <c r="C80" s="21" t="s">
        <v>204</v>
      </c>
      <c r="D80" s="21" t="s">
        <v>581</v>
      </c>
      <c r="E80" s="13">
        <v>42893.505833333336</v>
      </c>
      <c r="F80" s="13">
        <v>42893.51059027778</v>
      </c>
      <c r="G80" s="7">
        <v>1</v>
      </c>
      <c r="H80" s="21" t="s">
        <v>871</v>
      </c>
      <c r="I80" s="13">
        <v>42893.534918981481</v>
      </c>
      <c r="J80" s="7">
        <v>0</v>
      </c>
      <c r="K80" s="92" t="str">
        <f t="shared" si="31"/>
        <v>4015/4016</v>
      </c>
      <c r="L80" s="21" t="str">
        <f>VLOOKUP(A80,'Trips&amp;Operators'!$C$1:$G$99999,5,FALSE)</f>
        <v>DELGADO DIANAH</v>
      </c>
      <c r="M80" s="6">
        <f t="shared" si="32"/>
        <v>2.4328703701030463E-2</v>
      </c>
      <c r="N80" s="7">
        <f t="shared" si="33"/>
        <v>35.033333329483867</v>
      </c>
      <c r="O80" s="7"/>
      <c r="P80" s="7"/>
      <c r="Q80" s="22"/>
      <c r="R80" s="173"/>
      <c r="S80" s="176">
        <f t="shared" si="34"/>
        <v>1</v>
      </c>
      <c r="T80" s="202" t="str">
        <f t="shared" si="35"/>
        <v>NorthBound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6"/>
        <v>https://d0f6bd738d7f1b3e5a7ca70fe4ff75f0.us-east-1.aws.found.io/app/kibana#/discover/Steve-Slow-Train-Analysis-(2080s-and-2083s)?_g=(refreshInterval:(display:Off,pause:!f,section:0,value:0),time:(from:'2017-06-07T11:08:24-0600',mode:absolute,to:'2017-06-07T13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0" s="204" t="str">
        <f t="shared" si="29"/>
        <v>N</v>
      </c>
      <c r="X80" s="204">
        <f t="shared" si="30"/>
        <v>1</v>
      </c>
      <c r="Y80" s="204">
        <f t="shared" si="37"/>
        <v>4.7500000000000001E-2</v>
      </c>
      <c r="Z80" s="204">
        <f t="shared" si="38"/>
        <v>23.338200000000001</v>
      </c>
      <c r="AA80" s="204">
        <f t="shared" si="39"/>
        <v>23.290700000000001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0"/>
        <v>0169-07</v>
      </c>
      <c r="AE80" s="80" t="str">
        <f t="shared" si="41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80" s="77" t="str">
        <f t="shared" si="42"/>
        <v>"C:\Program Files (x86)\AstroGrep\AstroGrep.exe" /e /r /s /spath="%USERPROFILE%\AppData\Local\Temp\OnboardLogs" /stypes="app*4016*20170607*" /stext=" 18:.+((SYSTEM_STATE.+slice.+state.+changed )|(ment ac)|(multiple cpu faults)|(system.+state.+changed )|(\[timeout)|(PRM\|1\|D)|(kpr)|(kdp)|(train st.+moving)|(\|lc)|(penalty))"</v>
      </c>
      <c r="AG80" s="1" t="str">
        <f t="shared" si="43"/>
        <v>EC</v>
      </c>
      <c r="AH80" s="81" t="str">
        <f t="shared" si="44"/>
        <v>"%USERPROFILE%\Documents\GitHub\eaglep3\Utilities\RefineRTDCRunTimes.py" --tripid 169-07 --locoid 4016 --swversion DE.1.0.9.0 --startMP 204:475 --initTime 2017-06-07T12:08:24 --startdatetime 2017-06-07T12:15:15 --delay 1 --endMP 204:233382 --enddatetime 2017-06-07T12:50:17 --enforcementcount 0 &gt;&gt;C:\Users\stu\Documents\GitHub\eaglep3-reporting\EC\2017-06-07-refined-times.txt</v>
      </c>
      <c r="AI80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{"issue":{"subject":"","project_id":79,"tracker_id":40,"status_id":1,"priority_id":2,"assigned_to_id":23,"start_date":"2017-06-07","description":"","custom_fields":[{"id":1,"name":"Subdivision","value":"EC"},{"id":4,"name":"Milepost","value":"23.3382"},{"id":17,"name":"Train ID","value":"169-07"},{"id":16,"name":"Locomotive ID","value":"4016"},{"id":130,"name":"Impact","value":""},{"id":150,"name":"Time of Event (Mountain Time)","value":"12:50:17"},{"id":151,"name":"Denver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6"/>
        <v>start /low /b %USERPROFILE%\Documents\GitHub\eaglep3\Utilities\DownloadLogsFromS3.py --loco 4016 --day 2017-06-07</v>
      </c>
      <c r="AN80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758</v>
      </c>
      <c r="B81" s="7">
        <v>4015</v>
      </c>
      <c r="C81" s="21" t="s">
        <v>204</v>
      </c>
      <c r="D81" s="21" t="s">
        <v>878</v>
      </c>
      <c r="E81" s="13">
        <v>42893.537662037037</v>
      </c>
      <c r="F81" s="13">
        <v>42893.55027777778</v>
      </c>
      <c r="G81" s="7">
        <v>5</v>
      </c>
      <c r="H81" s="21" t="s">
        <v>564</v>
      </c>
      <c r="I81" s="13">
        <v>42893.603668981479</v>
      </c>
      <c r="J81" s="7">
        <v>0</v>
      </c>
      <c r="K81" s="92" t="str">
        <f t="shared" si="31"/>
        <v>4015/4016</v>
      </c>
      <c r="L81" s="21" t="str">
        <f>VLOOKUP(A81,'Trips&amp;Operators'!$C$1:$G$99999,5,FALSE)</f>
        <v>DELGADO DIANAH</v>
      </c>
      <c r="M81" s="6">
        <f t="shared" si="32"/>
        <v>5.3391203698993195E-2</v>
      </c>
      <c r="N81" s="7">
        <f t="shared" si="33"/>
        <v>76.883333326550201</v>
      </c>
      <c r="O81" s="7"/>
      <c r="P81" s="7"/>
      <c r="Q81" s="22"/>
      <c r="R81" s="173" t="s">
        <v>1032</v>
      </c>
      <c r="S81" s="176">
        <f t="shared" si="34"/>
        <v>1</v>
      </c>
      <c r="T81" s="202" t="str">
        <f t="shared" si="35"/>
        <v>Southbound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6"/>
        <v>https://d0f6bd738d7f1b3e5a7ca70fe4ff75f0.us-east-1.aws.found.io/app/kibana#/discover/Steve-Slow-Train-Analysis-(2080s-and-2083s)?_g=(refreshInterval:(display:Off,pause:!f,section:0,value:0),time:(from:'2017-06-07T11:54:14-0600',mode:absolute,to:'2017-06-07T15:29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1" s="204" t="str">
        <f t="shared" si="29"/>
        <v>N</v>
      </c>
      <c r="X81" s="204">
        <f t="shared" si="30"/>
        <v>1</v>
      </c>
      <c r="Y81" s="204">
        <f t="shared" si="37"/>
        <v>23.305099999999999</v>
      </c>
      <c r="Z81" s="204">
        <f t="shared" si="38"/>
        <v>1.3599999999999999E-2</v>
      </c>
      <c r="AA81" s="204">
        <f t="shared" si="39"/>
        <v>23.291499999999999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0"/>
        <v>0170-07</v>
      </c>
      <c r="AE81" s="80" t="str">
        <f t="shared" si="41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81" s="77" t="str">
        <f t="shared" si="42"/>
        <v>"C:\Program Files (x86)\AstroGrep\AstroGrep.exe" /e /r /s /spath="%USERPROFILE%\AppData\Local\Temp\OnboardLogs" /stypes="app*4015*20170607*" /stext=" 20:.+((SYSTEM_STATE.+slice.+state.+changed )|(ment ac)|(multiple cpu faults)|(system.+state.+changed )|(\[timeout)|(PRM\|1\|D)|(kpr)|(kdp)|(train st.+moving)|(\|lc)|(penalty))"</v>
      </c>
      <c r="AG81" s="1" t="str">
        <f t="shared" si="43"/>
        <v>EC</v>
      </c>
      <c r="AH81" s="81" t="str">
        <f t="shared" si="44"/>
        <v>"%USERPROFILE%\Documents\GitHub\eaglep3\Utilities\RefineRTDCRunTimes.py" --tripid 170-07 --locoid 4015 --swversion DE.1.0.9.0 --startMP 204:233051 --initTime 2017-06-07T12:54:14 --startdatetime 2017-06-07T13:12:24 --delay 5 --endMP 204:136 --enddatetime 2017-06-07T14:29:17 --enforcementcount 0 &gt;&gt;C:\Users\stu\Documents\GitHub\eaglep3-reporting\EC\2017-06-07-refined-times.txt</v>
      </c>
      <c r="AI81" s="99" t="str">
        <f t="shared" si="45"/>
        <v>echo {"issue":{"subject":"Bright Switch 3 hardware failure","project_id":79,"tracker_id":40,"status_id":1,"priority_id":2,"assigned_to_id":23,"start_date":"2017-06-07","description":"","custom_fields":[{"id":1,"name":"Subdivision","value":"EC"},{"id":4,"name":"Milepost","value":"0.0136"},{"id":17,"name":"Train ID","value":"170-07"},{"id":16,"name":"Locomotive ID","value":"4015"},{"id":130,"name":"Impact","value":""},{"id":150,"name":"Time of Event (Mountain Time)","value":"14:29:17"},{"id":151,"name":"Denver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6"/>
        <v>start /low /b %USERPROFILE%\Documents\GitHub\eaglep3\Utilities\DownloadLogsFromS3.py --loco 4015 --day 2017-06-07</v>
      </c>
      <c r="AN81" s="154" t="str">
        <f t="shared" si="47"/>
        <v>echo {"issue":{"subject":"Bright Switch 3 hardware failure","project_id":30,"tracker_id":4,"status_id":1,"priority_id":1,"assigned_to_id":10,"start_date":"2017-06-07","description":"","custom_fields":[{"id":30,"name":"Category","value":"Issue"},{"id":3,"name":"Functional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20:29:17"},{"id":29,"name":"Sharepoint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755</v>
      </c>
      <c r="B82" s="7">
        <v>4014</v>
      </c>
      <c r="C82" s="21" t="s">
        <v>204</v>
      </c>
      <c r="D82" s="21" t="s">
        <v>879</v>
      </c>
      <c r="E82" s="13">
        <v>42893.51798611111</v>
      </c>
      <c r="F82" s="13">
        <v>42893.521134259259</v>
      </c>
      <c r="G82" s="7">
        <v>2</v>
      </c>
      <c r="H82" s="21" t="s">
        <v>576</v>
      </c>
      <c r="I82" s="13">
        <v>42893.547291666669</v>
      </c>
      <c r="J82" s="7">
        <v>0</v>
      </c>
      <c r="K82" s="92" t="str">
        <f t="shared" si="31"/>
        <v>4013/4014</v>
      </c>
      <c r="L82" s="21" t="str">
        <f>VLOOKUP(A82,'Trips&amp;Operators'!$C$1:$G$99999,5,FALSE)</f>
        <v>DAVIS MICHAEL</v>
      </c>
      <c r="M82" s="6">
        <f t="shared" si="32"/>
        <v>2.6157407410209998E-2</v>
      </c>
      <c r="N82" s="7">
        <f t="shared" si="33"/>
        <v>37.666666670702398</v>
      </c>
      <c r="O82" s="7"/>
      <c r="P82" s="7"/>
      <c r="Q82" s="22"/>
      <c r="R82" s="173"/>
      <c r="S82" s="176">
        <f t="shared" si="34"/>
        <v>1</v>
      </c>
      <c r="T82" s="202" t="str">
        <f t="shared" si="35"/>
        <v>NorthBound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6"/>
        <v>https://d0f6bd738d7f1b3e5a7ca70fe4ff75f0.us-east-1.aws.found.io/app/kibana#/discover/Steve-Slow-Train-Analysis-(2080s-and-2083s)?_g=(refreshInterval:(display:Off,pause:!f,section:0,value:0),time:(from:'2017-06-07T11:25:54-0600',mode:absolute,to:'2017-06-07T14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204" t="str">
        <f t="shared" si="29"/>
        <v>N</v>
      </c>
      <c r="X82" s="204">
        <f t="shared" si="30"/>
        <v>1</v>
      </c>
      <c r="Y82" s="204">
        <f t="shared" si="37"/>
        <v>3.9100000000000003E-2</v>
      </c>
      <c r="Z82" s="204">
        <f t="shared" si="38"/>
        <v>23.337599999999998</v>
      </c>
      <c r="AA82" s="204">
        <f t="shared" si="39"/>
        <v>23.298499999999997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0"/>
        <v>0171-07</v>
      </c>
      <c r="AE82" s="80" t="str">
        <f t="shared" si="41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82" s="77" t="str">
        <f t="shared" si="42"/>
        <v>"C:\Program Files (x86)\AstroGrep\AstroGrep.exe" /e /r /s /spath="%USERPROFILE%\AppData\Local\Temp\OnboardLogs" /stypes="app*4014*20170607*" /stext=" 19:.+((SYSTEM_STATE.+slice.+state.+changed )|(ment ac)|(multiple cpu faults)|(system.+state.+changed )|(\[timeout)|(PRM\|1\|D)|(kpr)|(kdp)|(train st.+moving)|(\|lc)|(penalty))"</v>
      </c>
      <c r="AG82" s="1" t="str">
        <f t="shared" si="43"/>
        <v>EC</v>
      </c>
      <c r="AH82" s="81" t="str">
        <f t="shared" si="44"/>
        <v>"%USERPROFILE%\Documents\GitHub\eaglep3\Utilities\RefineRTDCRunTimes.py" --tripid 171-07 --locoid 4014 --swversion DE.1.0.9.0 --startMP 204:391 --initTime 2017-06-07T12:25:54 --startdatetime 2017-06-07T12:30:26 --delay 2 --endMP 204:233376 --enddatetime 2017-06-07T13:08:06 --enforcementcount 0 &gt;&gt;C:\Users\stu\Documents\GitHub\eaglep3-reporting\EC\2017-06-07-refined-times.txt</v>
      </c>
      <c r="AI82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{"issue":{"subject":"","project_id":79,"tracker_id":40,"status_id":1,"priority_id":2,"assigned_to_id":23,"start_date":"2017-06-07","description":"","custom_fields":[{"id":1,"name":"Subdivision","value":"EC"},{"id":4,"name":"Milepost","value":"23.3376"},{"id":17,"name":"Train ID","value":"171-07"},{"id":16,"name":"Locomotive ID","value":"4014"},{"id":130,"name":"Impact","value":""},{"id":150,"name":"Time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6"/>
        <v>start /low /b %USERPROFILE%\Documents\GitHub\eaglep3\Utilities\DownloadLogsFromS3.py --loco 4014 --day 2017-06-07</v>
      </c>
      <c r="AN82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19:08:06"},{"id":29,"name":"Sharepoint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624</v>
      </c>
      <c r="B83" s="7">
        <v>4013</v>
      </c>
      <c r="C83" s="21" t="s">
        <v>204</v>
      </c>
      <c r="D83" s="21" t="s">
        <v>880</v>
      </c>
      <c r="E83" s="13">
        <v>42893.558518518519</v>
      </c>
      <c r="F83" s="13">
        <v>42893.559884259259</v>
      </c>
      <c r="G83" s="7">
        <v>1</v>
      </c>
      <c r="H83" s="21" t="s">
        <v>881</v>
      </c>
      <c r="I83" s="13">
        <v>42893.600775462961</v>
      </c>
      <c r="J83" s="7">
        <v>2</v>
      </c>
      <c r="K83" s="92" t="str">
        <f t="shared" si="31"/>
        <v>4013/4014</v>
      </c>
      <c r="L83" s="21" t="str">
        <f>VLOOKUP(A83,'Trips&amp;Operators'!$C$1:$G$99999,5,FALSE)</f>
        <v>DAVIS MICHAEL</v>
      </c>
      <c r="M83" s="6">
        <f t="shared" si="32"/>
        <v>4.0891203701903578E-2</v>
      </c>
      <c r="N83" s="7"/>
      <c r="O83" s="7"/>
      <c r="P83" s="7">
        <f>24*60*SUM($M83:$M84)</f>
        <v>71.233333325944841</v>
      </c>
      <c r="Q83" s="22"/>
      <c r="R83" s="173" t="s">
        <v>1033</v>
      </c>
      <c r="S83" s="176">
        <f t="shared" si="34"/>
        <v>0.25</v>
      </c>
      <c r="T83" s="202" t="str">
        <f t="shared" si="35"/>
        <v>Southbound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3</v>
      </c>
      <c r="V83" s="203" t="str">
        <f t="shared" si="36"/>
        <v>https://d0f6bd738d7f1b3e5a7ca70fe4ff75f0.us-east-1.aws.found.io/app/kibana#/discover/Steve-Slow-Train-Analysis-(2080s-and-2083s)?_g=(refreshInterval:(display:Off,pause:!f,section:0,value:0),time:(from:'2017-06-07T12:24:16-0600',mode:absolute,to:'2017-06-07T15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204" t="str">
        <f t="shared" si="29"/>
        <v>Y</v>
      </c>
      <c r="X83" s="204">
        <f t="shared" si="30"/>
        <v>1</v>
      </c>
      <c r="Y83" s="204">
        <f t="shared" si="37"/>
        <v>23.307700000000001</v>
      </c>
      <c r="Z83" s="204">
        <f t="shared" si="38"/>
        <v>6.4038000000000004</v>
      </c>
      <c r="AA83" s="204">
        <f t="shared" si="39"/>
        <v>16.9039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0"/>
        <v>0172-07</v>
      </c>
      <c r="AE83" s="80" t="str">
        <f t="shared" si="41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83" s="77" t="str">
        <f t="shared" si="42"/>
        <v>"C:\Program Files (x86)\AstroGrep\AstroGrep.exe" /e /r /s /spath="%USERPROFILE%\AppData\Local\Temp\OnboardLogs" /stypes="app*4013*20170607*" /stext=" 20:.+((SYSTEM_STATE.+slice.+state.+changed )|(ment ac)|(multiple cpu faults)|(system.+state.+changed )|(\[timeout)|(PRM\|1\|D)|(kpr)|(kdp)|(train st.+moving)|(\|lc)|(penalty))"</v>
      </c>
      <c r="AG83" s="1" t="str">
        <f t="shared" si="43"/>
        <v>EC</v>
      </c>
      <c r="AH83" s="81" t="str">
        <f t="shared" si="44"/>
        <v>"%USERPROFILE%\Documents\GitHub\eaglep3\Utilities\RefineRTDCRunTimes.py" --tripid 172-07 --locoid 4013 --swversion DE.1.0.9.0 --startMP 204:233077 --initTime 2017-06-07T13:24:16 --startdatetime 2017-06-07T13:26:14 --delay 1 --endMP 204:64038 --enddatetime 2017-06-07T14:25:07 --enforcementcount 2 &gt;&gt;C:\Users\stu\Documents\GitHub\eaglep3-reporting\EC\2017-06-07-refined-times.txt</v>
      </c>
      <c r="AI83" s="99" t="str">
        <f t="shared" si="45"/>
        <v>echo {"issue":{"subject":"Bright Switch 3 hardware failure (virtual signal at STOP due to traffic)","project_id":79,"tracker_id":40,"status_id":1,"priority_id":2,"assigned_to_id":23,"start_date":"2017-06-07","description":"","custom_fields":[{"id":1,"name":"Subdivision","value":"EC"},{"id":4,"name":"Milepost","value":"6.4038"},{"id":17,"name":"Train ID","value":"172-07"},{"id":16,"name":"Locomotive ID","value":"4013"},{"id":130,"name":"Impact","value":""},{"id":150,"name":"Time of Event (Mountain Time)","value":"14:25:07"},{"id":151,"name":"Denver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6"/>
        <v>start /low /b %USERPROFILE%\Documents\GitHub\eaglep3\Utilities\DownloadLogsFromS3.py --loco 4013 --day 2017-06-07</v>
      </c>
      <c r="AN83" s="154" t="str">
        <f t="shared" si="47"/>
        <v>echo {"issue":{"subject":"Bright Switch 3 hardware failure (virtual signal at STOP due to traffic)","project_id":30,"tracker_id":4,"status_id":1,"priority_id":1,"assigned_to_id":10,"start_date":"2017-06-07","description":"","custom_fields":[{"id":30,"name":"Category","value":"Issue"},{"id":3,"name":"Functional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624</v>
      </c>
      <c r="B84" s="7">
        <v>4013</v>
      </c>
      <c r="C84" s="21" t="s">
        <v>204</v>
      </c>
      <c r="D84" s="21" t="s">
        <v>882</v>
      </c>
      <c r="E84" s="13">
        <v>42893.605821759258</v>
      </c>
      <c r="F84" s="13">
        <v>42893.606493055559</v>
      </c>
      <c r="G84" s="7">
        <v>0</v>
      </c>
      <c r="H84" s="21" t="s">
        <v>364</v>
      </c>
      <c r="I84" s="13">
        <v>42893.615069444444</v>
      </c>
      <c r="J84" s="7">
        <v>0</v>
      </c>
      <c r="K84" s="92" t="str">
        <f t="shared" si="31"/>
        <v>4013/4014</v>
      </c>
      <c r="L84" s="21" t="str">
        <f>VLOOKUP(A84,'Trips&amp;Operators'!$C$1:$G$99999,5,FALSE)</f>
        <v>DAVIS MICHAEL</v>
      </c>
      <c r="M84" s="6">
        <f t="shared" si="32"/>
        <v>8.5763888855581172E-3</v>
      </c>
      <c r="N84" s="7"/>
      <c r="O84" s="7"/>
      <c r="P84" s="7"/>
      <c r="Q84" s="22"/>
      <c r="R84" s="173"/>
      <c r="S84" s="176">
        <f t="shared" si="34"/>
        <v>0.25</v>
      </c>
      <c r="T84" s="202" t="str">
        <f t="shared" si="35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3</v>
      </c>
      <c r="V84" s="203" t="str">
        <f t="shared" si="36"/>
        <v>https://d0f6bd738d7f1b3e5a7ca70fe4ff75f0.us-east-1.aws.found.io/app/kibana#/discover/Steve-Slow-Train-Analysis-(2080s-and-2083s)?_g=(refreshInterval:(display:Off,pause:!f,section:0,value:0),time:(from:'2017-06-07T13:32:23-0600',mode:absolute,to:'2017-06-07T15:45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204" t="str">
        <f t="shared" si="29"/>
        <v>Y</v>
      </c>
      <c r="X84" s="204">
        <f t="shared" si="30"/>
        <v>0</v>
      </c>
      <c r="Y84" s="204">
        <f t="shared" si="37"/>
        <v>3.6802000000000001</v>
      </c>
      <c r="Z84" s="204">
        <f t="shared" si="38"/>
        <v>1.47E-2</v>
      </c>
      <c r="AA84" s="204">
        <f t="shared" si="39"/>
        <v>3.6655000000000002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0"/>
        <v>0172-07</v>
      </c>
      <c r="AE84" s="80" t="str">
        <f t="shared" si="41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84" s="77" t="str">
        <f t="shared" si="42"/>
        <v>"C:\Program Files (x86)\AstroGrep\AstroGrep.exe" /e /r /s /spath="%USERPROFILE%\AppData\Local\Temp\OnboardLogs" /stypes="app*4013*20170607*" /stext=" 20:.+((SYSTEM_STATE.+slice.+state.+changed )|(ment ac)|(multiple cpu faults)|(system.+state.+changed )|(\[timeout)|(PRM\|1\|D)|(kpr)|(kdp)|(train st.+moving)|(\|lc)|(penalty))"</v>
      </c>
      <c r="AG84" s="1" t="str">
        <f t="shared" si="43"/>
        <v>EC</v>
      </c>
      <c r="AH84" s="81" t="str">
        <f t="shared" si="44"/>
        <v>"%USERPROFILE%\Documents\GitHub\eaglep3\Utilities\RefineRTDCRunTimes.py" --tripid 172-07 --locoid 4013 --swversion DE.1.0.9.0 --startMP 204:36802 --initTime 2017-06-07T14:32:23 --startdatetime 2017-06-07T14:33:21 --delay 0 --endMP 204:147 --enddatetime 2017-06-07T14:45:42 --enforcementcount 0 &gt;&gt;C:\Users\stu\Documents\GitHub\eaglep3-reporting\EC\2017-06-07-refined-times.txt</v>
      </c>
      <c r="AI84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{"issue":{"subject":"","project_id":79,"tracker_id":40,"status_id":1,"priority_id":2,"assigned_to_id":23,"start_date":"2017-06-07","description":"","custom_fields":[{"id":1,"name":"Subdivision","value":"EC"},{"id":4,"name":"Milepost","value":"0.0147"},{"id":17,"name":"Train ID","value":"172-07"},{"id":16,"name":"Locomotive ID","value":"4013"},{"id":130,"name":"Impact","value":""},{"id":150,"name":"Time of Event (Mountain Time)","value":"14:45:42"},{"id":151,"name":"Denver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6"/>
        <v>start /low /b %USERPROFILE%\Documents\GitHub\eaglep3\Utilities\DownloadLogsFromS3.py --loco 4013 --day 2017-06-07</v>
      </c>
      <c r="AN84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20:45:42"},{"id":29,"name":"Sharepoint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622</v>
      </c>
      <c r="B85" s="7">
        <v>4046</v>
      </c>
      <c r="C85" s="21" t="s">
        <v>204</v>
      </c>
      <c r="D85" s="21" t="s">
        <v>349</v>
      </c>
      <c r="E85" s="13">
        <v>42893.528043981481</v>
      </c>
      <c r="F85" s="13">
        <v>42893.531458333331</v>
      </c>
      <c r="G85" s="7">
        <v>1</v>
      </c>
      <c r="H85" s="21" t="s">
        <v>505</v>
      </c>
      <c r="I85" s="13">
        <v>42893.557129629633</v>
      </c>
      <c r="J85" s="7">
        <v>0</v>
      </c>
      <c r="K85" s="92" t="str">
        <f t="shared" si="31"/>
        <v>4045/4046</v>
      </c>
      <c r="L85" s="21" t="str">
        <f>VLOOKUP(A85,'Trips&amp;Operators'!$C$1:$G$99999,5,FALSE)</f>
        <v>HOLCOMB KAMDEN</v>
      </c>
      <c r="M85" s="6">
        <f t="shared" si="32"/>
        <v>2.567129630187992E-2</v>
      </c>
      <c r="N85" s="7">
        <f>24*60*SUM($M85:$M85)</f>
        <v>36.966666674707085</v>
      </c>
      <c r="O85" s="7"/>
      <c r="P85" s="7"/>
      <c r="Q85" s="22"/>
      <c r="R85" s="173"/>
      <c r="S85" s="176">
        <f t="shared" si="34"/>
        <v>1</v>
      </c>
      <c r="T85" s="202" t="str">
        <f t="shared" si="35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6"/>
        <v>https://d0f6bd738d7f1b3e5a7ca70fe4ff75f0.us-east-1.aws.found.io/app/kibana#/discover/Steve-Slow-Train-Analysis-(2080s-and-2083s)?_g=(refreshInterval:(display:Off,pause:!f,section:0,value:0),time:(from:'2017-06-07T11:40:23-0600',mode:absolute,to:'2017-06-07T14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204" t="str">
        <f t="shared" si="29"/>
        <v>N</v>
      </c>
      <c r="X85" s="204">
        <f t="shared" si="30"/>
        <v>1</v>
      </c>
      <c r="Y85" s="204">
        <f t="shared" si="37"/>
        <v>4.4600000000000001E-2</v>
      </c>
      <c r="Z85" s="204">
        <f t="shared" si="38"/>
        <v>23.336400000000001</v>
      </c>
      <c r="AA85" s="204">
        <f t="shared" si="39"/>
        <v>23.291800000000002</v>
      </c>
      <c r="AB85" s="57" t="str">
        <f>VLOOKUP(A85,Enforcements!$C$7:$K$13,8,0)</f>
        <v>Bulletin (2)</v>
      </c>
      <c r="AC85" s="53" t="str">
        <f>VLOOKUP(A85,Enforcements!$C$7:$E$13,3,0)</f>
        <v>GRADE CROSSING</v>
      </c>
      <c r="AD85" s="54" t="str">
        <f t="shared" si="40"/>
        <v>0173-07</v>
      </c>
      <c r="AE85" s="80" t="str">
        <f t="shared" si="41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85" s="77" t="str">
        <f t="shared" si="42"/>
        <v>"C:\Program Files (x86)\AstroGrep\AstroGrep.exe" /e /r /s /spath="%USERPROFILE%\AppData\Local\Temp\OnboardLogs" /stypes="app*4046*20170607*" /stext=" 19:.+((SYSTEM_STATE.+slice.+state.+changed )|(ment ac)|(multiple cpu faults)|(system.+state.+changed )|(\[timeout)|(PRM\|1\|D)|(kpr)|(kdp)|(train st.+moving)|(\|lc)|(penalty))"</v>
      </c>
      <c r="AG85" s="1" t="str">
        <f t="shared" si="43"/>
        <v>EC</v>
      </c>
      <c r="AH85" s="81" t="str">
        <f t="shared" si="44"/>
        <v>"%USERPROFILE%\Documents\GitHub\eaglep3\Utilities\RefineRTDCRunTimes.py" --tripid 173-07 --locoid 4046 --swversion DE.1.0.9.0 --startMP 204:446 --initTime 2017-06-07T12:40:23 --startdatetime 2017-06-07T12:45:18 --delay 1 --endMP 204:233364 --enddatetime 2017-06-07T13:22:16 --enforcementcount 0 &gt;&gt;C:\Users\stu\Documents\GitHub\eaglep3-reporting\EC\2017-06-07-refined-times.txt</v>
      </c>
      <c r="AI85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{"issue":{"subject":"","project_id":79,"tracker_id":40,"status_id":1,"priority_id":2,"assigned_to_id":23,"start_date":"2017-06-07","description":"","custom_fields":[{"id":1,"name":"Subdivision","value":"EC"},{"id":4,"name":"Milepost","value":"23.3364"},{"id":17,"name":"Train ID","value":"173-07"},{"id":16,"name":"Locomotive ID","value":"4046"},{"id":130,"name":"Impact","value":""},{"id":150,"name":"Time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6"/>
        <v>start /low /b %USERPROFILE%\Documents\GitHub\eaglep3\Utilities\DownloadLogsFromS3.py --loco 4046 --day 2017-06-07</v>
      </c>
      <c r="AN85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19:22:16"},{"id":29,"name":"Sharepoint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765</v>
      </c>
      <c r="B86" s="7">
        <v>4045</v>
      </c>
      <c r="C86" s="21" t="s">
        <v>204</v>
      </c>
      <c r="D86" s="21" t="s">
        <v>883</v>
      </c>
      <c r="E86" s="13">
        <v>42893.566446759258</v>
      </c>
      <c r="F86" s="13">
        <v>42893.571828703702</v>
      </c>
      <c r="G86" s="7">
        <v>1</v>
      </c>
      <c r="H86" s="21" t="s">
        <v>457</v>
      </c>
      <c r="I86" s="13">
        <v>42893.619525462964</v>
      </c>
      <c r="J86" s="7">
        <v>0</v>
      </c>
      <c r="K86" s="92" t="str">
        <f t="shared" si="31"/>
        <v>4045/4046</v>
      </c>
      <c r="L86" s="21" t="str">
        <f>VLOOKUP(A86,'Trips&amp;Operators'!$C$1:$G$99999,5,FALSE)</f>
        <v>HOLCOMB KAMDEN</v>
      </c>
      <c r="M86" s="6">
        <f t="shared" si="32"/>
        <v>4.7696759262180422E-2</v>
      </c>
      <c r="N86" s="7">
        <f>24*60*SUM($M86:$M86)</f>
        <v>68.683333337539807</v>
      </c>
      <c r="O86" s="7"/>
      <c r="P86" s="7"/>
      <c r="Q86" s="22"/>
      <c r="R86" s="173" t="s">
        <v>1032</v>
      </c>
      <c r="S86" s="176">
        <f t="shared" si="34"/>
        <v>1</v>
      </c>
      <c r="T86" s="202" t="str">
        <f t="shared" si="35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6"/>
        <v>https://d0f6bd738d7f1b3e5a7ca70fe4ff75f0.us-east-1.aws.found.io/app/kibana#/discover/Steve-Slow-Train-Analysis-(2080s-and-2083s)?_g=(refreshInterval:(display:Off,pause:!f,section:0,value:0),time:(from:'2017-06-07T12:35:41-0600',mode:absolute,to:'2017-06-07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204" t="str">
        <f t="shared" si="29"/>
        <v>N</v>
      </c>
      <c r="X86" s="204">
        <f t="shared" si="30"/>
        <v>1</v>
      </c>
      <c r="Y86" s="204">
        <f t="shared" si="37"/>
        <v>23.3048</v>
      </c>
      <c r="Z86" s="204">
        <f t="shared" si="38"/>
        <v>1.5599999999999999E-2</v>
      </c>
      <c r="AA86" s="204">
        <f t="shared" si="39"/>
        <v>23.289200000000001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0"/>
        <v>0174-07</v>
      </c>
      <c r="AE86" s="80" t="str">
        <f t="shared" si="41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86" s="77" t="str">
        <f t="shared" si="42"/>
        <v>"C:\Program Files (x86)\AstroGrep\AstroGrep.exe" /e /r /s /spath="%USERPROFILE%\AppData\Local\Temp\OnboardLogs" /stypes="app*4045*20170607*" /stext=" 20:.+((SYSTEM_STATE.+slice.+state.+changed )|(ment ac)|(multiple cpu faults)|(system.+state.+changed )|(\[timeout)|(PRM\|1\|D)|(kpr)|(kdp)|(train st.+moving)|(\|lc)|(penalty))"</v>
      </c>
      <c r="AG86" s="1" t="str">
        <f t="shared" si="43"/>
        <v>EC</v>
      </c>
      <c r="AH86" s="81" t="str">
        <f t="shared" si="44"/>
        <v>"%USERPROFILE%\Documents\GitHub\eaglep3\Utilities\RefineRTDCRunTimes.py" --tripid 174-07 --locoid 4045 --swversion DE.1.0.9.0 --startMP 204:233048 --initTime 2017-06-07T13:35:41 --startdatetime 2017-06-07T13:43:26 --delay 1 --endMP 204:156 --enddatetime 2017-06-07T14:52:07 --enforcementcount 0 &gt;&gt;C:\Users\stu\Documents\GitHub\eaglep3-reporting\EC\2017-06-07-refined-times.txt</v>
      </c>
      <c r="AI86" s="99" t="str">
        <f t="shared" si="45"/>
        <v>echo {"issue":{"subject":"Bright Switch 3 hardware failure","project_id":79,"tracker_id":40,"status_id":1,"priority_id":2,"assigned_to_id":23,"start_date":"2017-06-07","description":"","custom_fields":[{"id":1,"name":"Subdivision","value":"EC"},{"id":4,"name":"Milepost","value":"0.0156"},{"id":17,"name":"Train ID","value":"174-07"},{"id":16,"name":"Locomotive ID","value":"4045"},{"id":130,"name":"Impact","value":""},{"id":150,"name":"Time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6"/>
        <v>start /low /b %USERPROFILE%\Documents\GitHub\eaglep3\Utilities\DownloadLogsFromS3.py --loco 4045 --day 2017-06-07</v>
      </c>
      <c r="AN86" s="154" t="str">
        <f t="shared" si="47"/>
        <v>echo {"issue":{"subject":"Bright Switch 3 hardware failure","project_id":30,"tracker_id":4,"status_id":1,"priority_id":1,"assigned_to_id":10,"start_date":"2017-06-07","description":"","custom_fields":[{"id":30,"name":"Category","value":"Issue"},{"id":3,"name":"Functional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623</v>
      </c>
      <c r="B87" s="7">
        <v>4042</v>
      </c>
      <c r="C87" s="21" t="s">
        <v>204</v>
      </c>
      <c r="D87" s="21" t="s">
        <v>459</v>
      </c>
      <c r="E87" s="13">
        <v>42893.538668981484</v>
      </c>
      <c r="F87" s="13">
        <v>42893.541365740741</v>
      </c>
      <c r="G87" s="7">
        <v>3</v>
      </c>
      <c r="H87" s="21" t="s">
        <v>884</v>
      </c>
      <c r="I87" s="13">
        <v>42893.592685185184</v>
      </c>
      <c r="J87" s="7">
        <v>1</v>
      </c>
      <c r="K87" s="92" t="str">
        <f t="shared" si="31"/>
        <v>4041/4042</v>
      </c>
      <c r="L87" s="21" t="str">
        <f>VLOOKUP(A87,'Trips&amp;Operators'!$C$1:$G$99999,5,FALSE)</f>
        <v>STEWART MICHAEL</v>
      </c>
      <c r="M87" s="6">
        <f t="shared" si="32"/>
        <v>5.1319444442924578E-2</v>
      </c>
      <c r="N87" s="7"/>
      <c r="O87" s="7"/>
      <c r="P87" s="7">
        <f>24*60*SUM($M87:$M87)</f>
        <v>73.899999997811392</v>
      </c>
      <c r="Q87" s="22"/>
      <c r="R87" s="173" t="s">
        <v>1033</v>
      </c>
      <c r="S87" s="176">
        <f t="shared" si="34"/>
        <v>1</v>
      </c>
      <c r="T87" s="202" t="str">
        <f t="shared" si="35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6"/>
        <v>https://d0f6bd738d7f1b3e5a7ca70fe4ff75f0.us-east-1.aws.found.io/app/kibana#/discover/Steve-Slow-Train-Analysis-(2080s-and-2083s)?_g=(refreshInterval:(display:Off,pause:!f,section:0,value:0),time:(from:'2017-06-07T11:55:41-0600',mode:absolute,to:'2017-06-07T15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204" t="str">
        <f t="shared" si="29"/>
        <v>N</v>
      </c>
      <c r="X87" s="204">
        <f t="shared" ref="X87:X92" si="48">VALUE(LEFT(AD87,4))-VALUE(LEFT(AD86,4))</f>
        <v>1</v>
      </c>
      <c r="Y87" s="204">
        <f t="shared" si="37"/>
        <v>4.6899999999999997E-2</v>
      </c>
      <c r="Z87" s="204">
        <f t="shared" si="38"/>
        <v>23.324300000000001</v>
      </c>
      <c r="AA87" s="204">
        <f t="shared" si="39"/>
        <v>23.2774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0"/>
        <v>0175-07</v>
      </c>
      <c r="AE87" s="80" t="str">
        <f t="shared" si="41"/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AF87" s="77" t="str">
        <f t="shared" si="42"/>
        <v>"C:\Program Files (x86)\AstroGrep\AstroGrep.exe" /e /r /s /spath="%USERPROFILE%\AppData\Local\Temp\OnboardLogs" /stypes="app*4042*20170607*" /stext=" 20:.+((SYSTEM_STATE.+slice.+state.+changed )|(ment ac)|(multiple cpu faults)|(system.+state.+changed )|(\[timeout)|(PRM\|1\|D)|(kpr)|(kdp)|(train st.+moving)|(\|lc)|(penalty))"</v>
      </c>
      <c r="AG87" s="1" t="str">
        <f t="shared" si="43"/>
        <v>EC</v>
      </c>
      <c r="AH87" s="81" t="str">
        <f t="shared" si="44"/>
        <v>"%USERPROFILE%\Documents\GitHub\eaglep3\Utilities\RefineRTDCRunTimes.py" --tripid 175-07 --locoid 4042 --swversion DE.1.0.9.0 --startMP 204:469 --initTime 2017-06-07T12:55:41 --startdatetime 2017-06-07T12:59:34 --delay 3 --endMP 204:233243 --enddatetime 2017-06-07T14:13:28 --enforcementcount 1 &gt;&gt;C:\Users\stu\Documents\GitHub\eaglep3-reporting\EC\2017-06-07-refined-times.txt</v>
      </c>
      <c r="AI87" s="99" t="str">
        <f t="shared" si="45"/>
        <v>echo {"issue":{"subject":"Bright Switch 3 hardware failure (virtual signal at STOP due to traffic)","project_id":79,"tracker_id":40,"status_id":1,"priority_id":2,"assigned_to_id":23,"start_date":"2017-06-07","description":"","custom_fields":[{"id":1,"name":"Subdivision","value":"EC"},{"id":4,"name":"Milepost","value":"23.3243"},{"id":17,"name":"Train ID","value":"175-07"},{"id":16,"name":"Locomotive ID","value":"4042"},{"id":130,"name":"Impact","value":""},{"id":150,"name":"Time of Event (Mountain Time)","value":"14:13:28"},{"id":151,"name":"Denver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6"/>
        <v>start /low /b %USERPROFILE%\Documents\GitHub\eaglep3\Utilities\DownloadLogsFromS3.py --loco 4042 --day 2017-06-07</v>
      </c>
      <c r="AN87" s="154" t="str">
        <f t="shared" si="47"/>
        <v>echo {"issue":{"subject":"Bright Switch 3 hardware failure (virtual signal at STOP due to traffic)","project_id":30,"tracker_id":4,"status_id":1,"priority_id":1,"assigned_to_id":10,"start_date":"2017-06-07","description":"","custom_fields":[{"id":30,"name":"Category","value":"Issue"},{"id":3,"name":"Functional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623</v>
      </c>
      <c r="B88" s="7">
        <v>4042</v>
      </c>
      <c r="C88" s="21" t="s">
        <v>204</v>
      </c>
      <c r="D88" s="21" t="s">
        <v>885</v>
      </c>
      <c r="E88" s="13">
        <v>42893.564340277779</v>
      </c>
      <c r="F88" s="13">
        <v>42893.565057870372</v>
      </c>
      <c r="G88" s="7">
        <v>1</v>
      </c>
      <c r="H88" s="21" t="s">
        <v>884</v>
      </c>
      <c r="I88" s="13">
        <v>42893.592685185184</v>
      </c>
      <c r="J88" s="7">
        <v>1</v>
      </c>
      <c r="K88" s="92" t="str">
        <f t="shared" si="31"/>
        <v>4041/4042</v>
      </c>
      <c r="L88" s="21" t="str">
        <f>VLOOKUP(A88,'Trips&amp;Operators'!$C$1:$G$99999,5,FALSE)</f>
        <v>STEWART MICHAEL</v>
      </c>
      <c r="M88" s="6">
        <f t="shared" si="32"/>
        <v>2.7627314811979886E-2</v>
      </c>
      <c r="N88" s="7"/>
      <c r="O88" s="7"/>
      <c r="P88" s="7"/>
      <c r="Q88" s="22"/>
      <c r="R88" s="173"/>
      <c r="S88" s="176"/>
      <c r="T88" s="202" t="str">
        <f t="shared" si="35"/>
        <v>NorthBound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6"/>
        <v>https://d0f6bd738d7f1b3e5a7ca70fe4ff75f0.us-east-1.aws.found.io/app/kibana#/discover/Steve-Slow-Train-Analysis-(2080s-and-2083s)?_g=(refreshInterval:(display:Off,pause:!f,section:0,value:0),time:(from:'2017-06-07T12:32:39-0600',mode:absolute,to:'2017-06-07T15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204" t="str">
        <f t="shared" si="29"/>
        <v>Y</v>
      </c>
      <c r="X88" s="204">
        <f t="shared" si="48"/>
        <v>0</v>
      </c>
      <c r="Y88" s="204">
        <f t="shared" si="37"/>
        <v>0.68159999999999998</v>
      </c>
      <c r="Z88" s="204">
        <f t="shared" si="38"/>
        <v>23.324300000000001</v>
      </c>
      <c r="AA88" s="204">
        <f t="shared" si="39"/>
        <v>22.642700000000001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0"/>
        <v>0175-07</v>
      </c>
      <c r="AE88" s="80" t="str">
        <f t="shared" si="41"/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AF88" s="77" t="str">
        <f t="shared" si="42"/>
        <v>"C:\Program Files (x86)\AstroGrep\AstroGrep.exe" /e /r /s /spath="%USERPROFILE%\AppData\Local\Temp\OnboardLogs" /stypes="app*4042*20170607*" /stext=" 20:.+((SYSTEM_STATE.+slice.+state.+changed )|(ment ac)|(multiple cpu faults)|(system.+state.+changed )|(\[timeout)|(PRM\|1\|D)|(kpr)|(kdp)|(train st.+moving)|(\|lc)|(penalty))"</v>
      </c>
      <c r="AG88" s="1" t="str">
        <f t="shared" si="43"/>
        <v>EC</v>
      </c>
      <c r="AH88" s="81" t="str">
        <f t="shared" si="44"/>
        <v>"%USERPROFILE%\Documents\GitHub\eaglep3\Utilities\RefineRTDCRunTimes.py" --tripid 175-07 --locoid 4042 --swversion DE.1.0.9.0 --startMP 204:6816 --initTime 2017-06-07T13:32:39 --startdatetime 2017-06-07T13:33:41 --delay 1 --endMP 204:233243 --enddatetime 2017-06-07T14:13:28 --enforcementcount 1 &gt;&gt;C:\Users\stu\Documents\GitHub\eaglep3-reporting\EC\2017-06-07-refined-times.txt</v>
      </c>
      <c r="AI88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{"issue":{"subject":"","project_id":79,"tracker_id":40,"status_id":1,"priority_id":2,"assigned_to_id":23,"start_date":"2017-06-07","description":"","custom_fields":[{"id":1,"name":"Subdivision","value":"EC"},{"id":4,"name":"Milepost","value":"23.3243"},{"id":17,"name":"Train ID","value":"175-07"},{"id":16,"name":"Locomotive ID","value":"4042"},{"id":130,"name":"Impact","value":""},{"id":150,"name":"Time of Event (Mountain Time)","value":"14:13:28"},{"id":151,"name":"Denver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6"/>
        <v>start /low /b %USERPROFILE%\Documents\GitHub\eaglep3\Utilities\DownloadLogsFromS3.py --loco 4042 --day 2017-06-07</v>
      </c>
      <c r="AN88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764</v>
      </c>
      <c r="B89" s="7">
        <v>4012</v>
      </c>
      <c r="C89" s="21" t="s">
        <v>204</v>
      </c>
      <c r="D89" s="21" t="s">
        <v>356</v>
      </c>
      <c r="E89" s="13">
        <v>42893.566261574073</v>
      </c>
      <c r="F89" s="13">
        <v>42893.567928240744</v>
      </c>
      <c r="G89" s="7">
        <v>0</v>
      </c>
      <c r="H89" s="21" t="s">
        <v>566</v>
      </c>
      <c r="I89" s="13">
        <v>42893.597372685188</v>
      </c>
      <c r="J89" s="7">
        <v>0</v>
      </c>
      <c r="K89" s="92" t="str">
        <f t="shared" si="31"/>
        <v>4011/4012</v>
      </c>
      <c r="L89" s="21" t="str">
        <f>VLOOKUP(A89,'Trips&amp;Operators'!$C$1:$G$99999,5,FALSE)</f>
        <v>DE LA ROSA ALEX</v>
      </c>
      <c r="M89" s="6">
        <f t="shared" si="32"/>
        <v>2.9444444444379769E-2</v>
      </c>
      <c r="N89" s="7">
        <f t="shared" ref="N89:N94" si="49">24*60*SUM($M89:$M89)</f>
        <v>42.399999999906868</v>
      </c>
      <c r="O89" s="7"/>
      <c r="P89" s="7"/>
      <c r="Q89" s="22"/>
      <c r="R89" s="173"/>
      <c r="S89" s="176">
        <f t="shared" ref="S89:S120" si="50">SUM(U89:U89)/IF(AG89="EC",12,1)</f>
        <v>1</v>
      </c>
      <c r="T89" s="202" t="str">
        <f t="shared" si="35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6"/>
        <v>https://d0f6bd738d7f1b3e5a7ca70fe4ff75f0.us-east-1.aws.found.io/app/kibana#/discover/Steve-Slow-Train-Analysis-(2080s-and-2083s)?_g=(refreshInterval:(display:Off,pause:!f,section:0,value:0),time:(from:'2017-06-07T12:35:25-0600',mode:absolute,to:'2017-06-07T15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9" s="204" t="str">
        <f t="shared" si="29"/>
        <v>N</v>
      </c>
      <c r="X89" s="204">
        <f t="shared" si="48"/>
        <v>4</v>
      </c>
      <c r="Y89" s="204">
        <f t="shared" si="37"/>
        <v>4.5100000000000001E-2</v>
      </c>
      <c r="Z89" s="204">
        <f t="shared" si="38"/>
        <v>23.328700000000001</v>
      </c>
      <c r="AA89" s="204">
        <f t="shared" si="39"/>
        <v>23.2836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0"/>
        <v>0179-07</v>
      </c>
      <c r="AE89" s="80" t="str">
        <f t="shared" si="41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89" s="77" t="str">
        <f t="shared" si="42"/>
        <v>"C:\Program Files (x86)\AstroGrep\AstroGrep.exe" /e /r /s /spath="%USERPROFILE%\AppData\Local\Temp\OnboardLogs" /stypes="app*4012*20170607*" /stext=" 20:.+((SYSTEM_STATE.+slice.+state.+changed )|(ment ac)|(multiple cpu faults)|(system.+state.+changed )|(\[timeout)|(PRM\|1\|D)|(kpr)|(kdp)|(train st.+moving)|(\|lc)|(penalty))"</v>
      </c>
      <c r="AG89" s="1" t="str">
        <f t="shared" si="43"/>
        <v>EC</v>
      </c>
      <c r="AH89" s="81" t="str">
        <f t="shared" si="44"/>
        <v>"%USERPROFILE%\Documents\GitHub\eaglep3\Utilities\RefineRTDCRunTimes.py" --tripid 179-07 --locoid 4012 --swversion DE.1.0.9.0 --startMP 204:451 --initTime 2017-06-07T13:35:25 --startdatetime 2017-06-07T13:37:49 --delay 0 --endMP 204:233287 --enddatetime 2017-06-07T14:20:13 --enforcementcount 0 &gt;&gt;C:\Users\stu\Documents\GitHub\eaglep3-reporting\EC\2017-06-07-refined-times.txt</v>
      </c>
      <c r="AI89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{"issue":{"subject":"","project_id":79,"tracker_id":40,"status_id":1,"priority_id":2,"assigned_to_id":23,"start_date":"2017-06-07","description":"","custom_fields":[{"id":1,"name":"Subdivision","value":"EC"},{"id":4,"name":"Milepost","value":"23.3287"},{"id":17,"name":"Train ID","value":"179-07"},{"id":16,"name":"Locomotive ID","value":"4012"},{"id":130,"name":"Impact","value":""},{"id":150,"name":"Time of Event (Mountain Time)","value":"14:20:13"},{"id":151,"name":"Denver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6"/>
        <v>start /low /b %USERPROFILE%\Documents\GitHub\eaglep3\Utilities\DownloadLogsFromS3.py --loco 4012 --day 2017-06-07</v>
      </c>
      <c r="AN89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772</v>
      </c>
      <c r="B90" s="7">
        <v>4041</v>
      </c>
      <c r="C90" s="21" t="s">
        <v>204</v>
      </c>
      <c r="D90" s="21" t="s">
        <v>886</v>
      </c>
      <c r="E90" s="13">
        <v>42893.596909722219</v>
      </c>
      <c r="F90" s="13">
        <v>42893.60229166667</v>
      </c>
      <c r="G90" s="7">
        <v>1</v>
      </c>
      <c r="H90" s="21" t="s">
        <v>887</v>
      </c>
      <c r="I90" s="13">
        <v>42893.630416666667</v>
      </c>
      <c r="J90" s="7">
        <v>0</v>
      </c>
      <c r="K90" s="92" t="str">
        <f t="shared" si="31"/>
        <v>4041/4042</v>
      </c>
      <c r="L90" s="21" t="str">
        <f>VLOOKUP(A90,'Trips&amp;Operators'!$C$1:$G$99999,5,FALSE)</f>
        <v>STEWART MICHAEL</v>
      </c>
      <c r="M90" s="6">
        <f t="shared" si="32"/>
        <v>2.8124999997089617E-2</v>
      </c>
      <c r="N90" s="7">
        <f t="shared" si="49"/>
        <v>40.499999995809048</v>
      </c>
      <c r="O90" s="7"/>
      <c r="P90" s="7"/>
      <c r="Q90" s="22"/>
      <c r="R90" s="173"/>
      <c r="S90" s="176">
        <f t="shared" si="50"/>
        <v>1</v>
      </c>
      <c r="T90" s="202" t="str">
        <f t="shared" si="35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6"/>
        <v>https://d0f6bd738d7f1b3e5a7ca70fe4ff75f0.us-east-1.aws.found.io/app/kibana#/discover/Steve-Slow-Train-Analysis-(2080s-and-2083s)?_g=(refreshInterval:(display:Off,pause:!f,section:0,value:0),time:(from:'2017-06-07T13:19:33-0600',mode:absolute,to:'2017-06-07T16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204" t="str">
        <f t="shared" si="29"/>
        <v>N</v>
      </c>
      <c r="X90" s="204">
        <f t="shared" si="48"/>
        <v>1</v>
      </c>
      <c r="Y90" s="204">
        <f t="shared" si="37"/>
        <v>23.296500000000002</v>
      </c>
      <c r="Z90" s="204">
        <f t="shared" si="38"/>
        <v>1.2500000000000001E-2</v>
      </c>
      <c r="AA90" s="204">
        <f t="shared" si="39"/>
        <v>23.284000000000002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0"/>
        <v>0180-07</v>
      </c>
      <c r="AE90" s="80" t="str">
        <f t="shared" si="41"/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AF90" s="77" t="str">
        <f t="shared" si="42"/>
        <v>"C:\Program Files (x86)\AstroGrep\AstroGrep.exe" /e /r /s /spath="%USERPROFILE%\AppData\Local\Temp\OnboardLogs" /stypes="app*4041*20170607*" /stext=" 21:.+((SYSTEM_STATE.+slice.+state.+changed )|(ment ac)|(multiple cpu faults)|(system.+state.+changed )|(\[timeout)|(PRM\|1\|D)|(kpr)|(kdp)|(train st.+moving)|(\|lc)|(penalty))"</v>
      </c>
      <c r="AG90" s="1" t="str">
        <f t="shared" si="43"/>
        <v>EC</v>
      </c>
      <c r="AH90" s="81" t="str">
        <f t="shared" si="44"/>
        <v>"%USERPROFILE%\Documents\GitHub\eaglep3\Utilities\RefineRTDCRunTimes.py" --tripid 180-07 --locoid 4041 --swversion DE.1.0.9.0 --startMP 204:232965 --initTime 2017-06-07T14:19:33 --startdatetime 2017-06-07T14:27:18 --delay 1 --endMP 204:125 --enddatetime 2017-06-07T15:07:48 --enforcementcount 0 &gt;&gt;C:\Users\stu\Documents\GitHub\eaglep3-reporting\EC\2017-06-07-refined-times.txt</v>
      </c>
      <c r="AI90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{"issue":{"subject":"","project_id":79,"tracker_id":40,"status_id":1,"priority_id":2,"assigned_to_id":23,"start_date":"2017-06-07","description":"","custom_fields":[{"id":1,"name":"Subdivision","value":"EC"},{"id":4,"name":"Milepost","value":"0.0125"},{"id":17,"name":"Train ID","value":"180-07"},{"id":16,"name":"Locomotive ID","value":"4041"},{"id":130,"name":"Impact","value":""},{"id":150,"name":"Time of Event (Mountain Time)","value":"15:07:48"},{"id":151,"name":"Denver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6"/>
        <v>start /low /b %USERPROFILE%\Documents\GitHub\eaglep3\Utilities\DownloadLogsFromS3.py --loco 4041 --day 2017-06-07</v>
      </c>
      <c r="AN90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767</v>
      </c>
      <c r="B91" s="7">
        <v>4032</v>
      </c>
      <c r="C91" s="21" t="s">
        <v>204</v>
      </c>
      <c r="D91" s="21" t="s">
        <v>581</v>
      </c>
      <c r="E91" s="13">
        <v>42893.573263888888</v>
      </c>
      <c r="F91" s="13">
        <v>42893.574675925927</v>
      </c>
      <c r="G91" s="7">
        <v>1</v>
      </c>
      <c r="H91" s="21" t="s">
        <v>453</v>
      </c>
      <c r="I91" s="13">
        <v>42893.621041666665</v>
      </c>
      <c r="J91" s="7">
        <v>0</v>
      </c>
      <c r="K91" s="92" t="str">
        <f t="shared" si="31"/>
        <v>4031/4032</v>
      </c>
      <c r="L91" s="21" t="str">
        <f>VLOOKUP(A91,'Trips&amp;Operators'!$C$1:$G$99999,5,FALSE)</f>
        <v>COOLAHAN JOHN</v>
      </c>
      <c r="M91" s="6">
        <f t="shared" si="32"/>
        <v>4.6365740738110617E-2</v>
      </c>
      <c r="N91" s="7">
        <f t="shared" si="49"/>
        <v>66.766666662879288</v>
      </c>
      <c r="O91" s="7"/>
      <c r="P91" s="7"/>
      <c r="Q91" s="22"/>
      <c r="R91" s="173" t="s">
        <v>1032</v>
      </c>
      <c r="S91" s="176">
        <f t="shared" si="50"/>
        <v>1</v>
      </c>
      <c r="T91" s="202" t="str">
        <f t="shared" si="35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6"/>
        <v>https://d0f6bd738d7f1b3e5a7ca70fe4ff75f0.us-east-1.aws.found.io/app/kibana#/discover/Steve-Slow-Train-Analysis-(2080s-and-2083s)?_g=(refreshInterval:(display:Off,pause:!f,section:0,value:0),time:(from:'2017-06-07T12:45:30-0600',mode:absolute,to:'2017-06-07T15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204" t="str">
        <f t="shared" si="29"/>
        <v>N</v>
      </c>
      <c r="X91" s="204">
        <f t="shared" si="48"/>
        <v>1</v>
      </c>
      <c r="Y91" s="204">
        <f t="shared" si="37"/>
        <v>4.7500000000000001E-2</v>
      </c>
      <c r="Z91" s="204">
        <f t="shared" si="38"/>
        <v>23.329699999999999</v>
      </c>
      <c r="AA91" s="204">
        <f t="shared" si="39"/>
        <v>23.2822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0"/>
        <v>0181-07</v>
      </c>
      <c r="AE91" s="80" t="str">
        <f t="shared" si="41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91" s="77" t="str">
        <f t="shared" si="42"/>
        <v>"C:\Program Files (x86)\AstroGrep\AstroGrep.exe" /e /r /s /spath="%USERPROFILE%\AppData\Local\Temp\OnboardLogs" /stypes="app*4032*20170607*" /stext=" 20:.+((SYSTEM_STATE.+slice.+state.+changed )|(ment ac)|(multiple cpu faults)|(system.+state.+changed )|(\[timeout)|(PRM\|1\|D)|(kpr)|(kdp)|(train st.+moving)|(\|lc)|(penalty))"</v>
      </c>
      <c r="AG91" s="1" t="str">
        <f t="shared" si="43"/>
        <v>EC</v>
      </c>
      <c r="AH91" s="81" t="str">
        <f t="shared" si="44"/>
        <v>"%USERPROFILE%\Documents\GitHub\eaglep3\Utilities\RefineRTDCRunTimes.py" --tripid 181-07 --locoid 4032 --swversion DE.1.0.9.0 --startMP 204:475 --initTime 2017-06-07T13:45:30 --startdatetime 2017-06-07T13:47:32 --delay 1 --endMP 204:233297 --enddatetime 2017-06-07T14:54:18 --enforcementcount 0 &gt;&gt;C:\Users\stu\Documents\GitHub\eaglep3-reporting\EC\2017-06-07-refined-times.txt</v>
      </c>
      <c r="AI91" s="99" t="str">
        <f t="shared" si="45"/>
        <v>echo {"issue":{"subject":"Bright Switch 3 hardware failure","project_id":79,"tracker_id":40,"status_id":1,"priority_id":2,"assigned_to_id":23,"start_date":"2017-06-07","description":"","custom_fields":[{"id":1,"name":"Subdivision","value":"EC"},{"id":4,"name":"Milepost","value":"23.3297"},{"id":17,"name":"Train ID","value":"181-07"},{"id":16,"name":"Locomotive ID","value":"4032"},{"id":130,"name":"Impact","value":""},{"id":150,"name":"Time of Event (Mountain Time)","value":"14:54:18"},{"id":151,"name":"Denver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6"/>
        <v>start /low /b %USERPROFILE%\Documents\GitHub\eaglep3\Utilities\DownloadLogsFromS3.py --loco 4032 --day 2017-06-07</v>
      </c>
      <c r="AN91" s="154" t="str">
        <f t="shared" si="47"/>
        <v>echo {"issue":{"subject":"Bright Switch 3 hardware failure","project_id":30,"tracker_id":4,"status_id":1,"priority_id":1,"assigned_to_id":10,"start_date":"2017-06-07","description":"","custom_fields":[{"id":30,"name":"Category","value":"Issue"},{"id":3,"name":"Functional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627</v>
      </c>
      <c r="B92" s="7">
        <v>4011</v>
      </c>
      <c r="C92" s="21" t="s">
        <v>204</v>
      </c>
      <c r="D92" s="21" t="s">
        <v>481</v>
      </c>
      <c r="E92" s="13">
        <v>42893.610659722224</v>
      </c>
      <c r="F92" s="13">
        <v>42893.612835648149</v>
      </c>
      <c r="G92" s="7">
        <v>1</v>
      </c>
      <c r="H92" s="21" t="s">
        <v>457</v>
      </c>
      <c r="I92" s="13">
        <v>42893.640983796293</v>
      </c>
      <c r="J92" s="7">
        <v>0</v>
      </c>
      <c r="K92" s="92" t="str">
        <f t="shared" si="31"/>
        <v>4011/4012</v>
      </c>
      <c r="L92" s="21" t="str">
        <f>VLOOKUP(A92,'Trips&amp;Operators'!$C$1:$G$99999,5,FALSE)</f>
        <v>DE LA ROSA ALEX</v>
      </c>
      <c r="M92" s="6">
        <f t="shared" si="32"/>
        <v>2.8148148143372964E-2</v>
      </c>
      <c r="N92" s="7">
        <f t="shared" si="49"/>
        <v>40.533333326457068</v>
      </c>
      <c r="O92" s="7"/>
      <c r="P92" s="7"/>
      <c r="Q92" s="22"/>
      <c r="R92" s="173"/>
      <c r="S92" s="176">
        <f t="shared" si="50"/>
        <v>1</v>
      </c>
      <c r="T92" s="202" t="str">
        <f t="shared" si="35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6"/>
        <v>https://d0f6bd738d7f1b3e5a7ca70fe4ff75f0.us-east-1.aws.found.io/app/kibana#/discover/Steve-Slow-Train-Analysis-(2080s-and-2083s)?_g=(refreshInterval:(display:Off,pause:!f,section:0,value:0),time:(from:'2017-06-07T13:39:21-0600',mode:absolute,to:'2017-06-07T16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2" s="204" t="str">
        <f t="shared" si="29"/>
        <v>N</v>
      </c>
      <c r="X92" s="204">
        <f t="shared" si="48"/>
        <v>1</v>
      </c>
      <c r="Y92" s="204">
        <f t="shared" si="37"/>
        <v>23.299299999999999</v>
      </c>
      <c r="Z92" s="204">
        <f t="shared" si="38"/>
        <v>1.5599999999999999E-2</v>
      </c>
      <c r="AA92" s="204">
        <f t="shared" si="39"/>
        <v>23.2837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0"/>
        <v>0182-07</v>
      </c>
      <c r="AE92" s="80" t="str">
        <f t="shared" si="41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92" s="77" t="str">
        <f t="shared" si="42"/>
        <v>"C:\Program Files (x86)\AstroGrep\AstroGrep.exe" /e /r /s /spath="%USERPROFILE%\AppData\Local\Temp\OnboardLogs" /stypes="app*4011*20170607*" /stext=" 21:.+((SYSTEM_STATE.+slice.+state.+changed )|(ment ac)|(multiple cpu faults)|(system.+state.+changed )|(\[timeout)|(PRM\|1\|D)|(kpr)|(kdp)|(train st.+moving)|(\|lc)|(penalty))"</v>
      </c>
      <c r="AG92" s="1" t="str">
        <f t="shared" si="43"/>
        <v>EC</v>
      </c>
      <c r="AH92" s="81" t="str">
        <f t="shared" si="44"/>
        <v>"%USERPROFILE%\Documents\GitHub\eaglep3\Utilities\RefineRTDCRunTimes.py" --tripid 182-07 --locoid 4011 --swversion DE.1.0.9.0 --startMP 204:232993 --initTime 2017-06-07T14:39:21 --startdatetime 2017-06-07T14:42:29 --delay 1 --endMP 204:156 --enddatetime 2017-06-07T15:23:01 --enforcementcount 0 &gt;&gt;C:\Users\stu\Documents\GitHub\eaglep3-reporting\EC\2017-06-07-refined-times.txt</v>
      </c>
      <c r="AI92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{"issue":{"subject":"","project_id":79,"tracker_id":40,"status_id":1,"priority_id":2,"assigned_to_id":23,"start_date":"2017-06-07","description":"","custom_fields":[{"id":1,"name":"Subdivision","value":"EC"},{"id":4,"name":"Milepost","value":"0.0156"},{"id":17,"name":"Train ID","value":"182-07"},{"id":16,"name":"Locomotive ID","value":"4011"},{"id":130,"name":"Impact","value":""},{"id":150,"name":"Time of Event (Mountain Time)","value":"15:23:01"},{"id":151,"name":"Denver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6"/>
        <v>start /low /b %USERPROFILE%\Documents\GitHub\eaglep3\Utilities\DownloadLogsFromS3.py --loco 4011 --day 2017-06-07</v>
      </c>
      <c r="AN92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626</v>
      </c>
      <c r="B93" s="7">
        <v>4028</v>
      </c>
      <c r="C93" s="21" t="s">
        <v>204</v>
      </c>
      <c r="D93" s="21" t="s">
        <v>360</v>
      </c>
      <c r="E93" s="13">
        <v>42893.579502314817</v>
      </c>
      <c r="F93" s="13">
        <v>42893.600497685184</v>
      </c>
      <c r="G93" s="7">
        <v>1</v>
      </c>
      <c r="H93" s="21" t="s">
        <v>574</v>
      </c>
      <c r="I93" s="13">
        <v>42893.627847222226</v>
      </c>
      <c r="J93" s="7">
        <v>0</v>
      </c>
      <c r="K93" s="92" t="str">
        <f t="shared" si="31"/>
        <v>4027/4028</v>
      </c>
      <c r="L93" s="21" t="str">
        <f>VLOOKUP(A93,'Trips&amp;Operators'!$C$1:$G$99999,5,FALSE)</f>
        <v>LEVIN SCOTT</v>
      </c>
      <c r="M93" s="6">
        <f t="shared" si="32"/>
        <v>2.7349537042027805E-2</v>
      </c>
      <c r="N93" s="7">
        <f t="shared" si="49"/>
        <v>39.383333340520039</v>
      </c>
      <c r="O93" s="7"/>
      <c r="P93" s="7"/>
      <c r="Q93" s="22"/>
      <c r="R93" s="173"/>
      <c r="S93" s="176">
        <f t="shared" si="50"/>
        <v>1</v>
      </c>
      <c r="T93" s="202" t="str">
        <f t="shared" si="35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6"/>
        <v>https://d0f6bd738d7f1b3e5a7ca70fe4ff75f0.us-east-1.aws.found.io/app/kibana#/discover/Steve-Slow-Train-Analysis-(2080s-and-2083s)?_g=(refreshInterval:(display:Off,pause:!f,section:0,value:0),time:(from:'2017-06-07T12:54:29-0600',mode:absolute,to:'2017-06-07T16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3" s="204" t="str">
        <f t="shared" si="29"/>
        <v>N</v>
      </c>
      <c r="X93" s="204">
        <f t="shared" ref="X93:X104" si="51">VALUE(LEFT(AD93,4))-VALUE(LEFT(AD92,4))</f>
        <v>1</v>
      </c>
      <c r="Y93" s="204">
        <f t="shared" si="37"/>
        <v>4.4699999999999997E-2</v>
      </c>
      <c r="Z93" s="204">
        <f t="shared" si="38"/>
        <v>23.3353</v>
      </c>
      <c r="AA93" s="204">
        <f t="shared" si="39"/>
        <v>23.290600000000001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0"/>
        <v>0183-07</v>
      </c>
      <c r="AE93" s="80" t="str">
        <f t="shared" si="41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93" s="77" t="str">
        <f t="shared" si="42"/>
        <v>"C:\Program Files (x86)\AstroGrep\AstroGrep.exe" /e /r /s /spath="%USERPROFILE%\AppData\Local\Temp\OnboardLogs" /stypes="app*4028*20170607*" /stext=" 21:.+((SYSTEM_STATE.+slice.+state.+changed )|(ment ac)|(multiple cpu faults)|(system.+state.+changed )|(\[timeout)|(PRM\|1\|D)|(kpr)|(kdp)|(train st.+moving)|(\|lc)|(penalty))"</v>
      </c>
      <c r="AG93" s="1" t="str">
        <f t="shared" si="43"/>
        <v>EC</v>
      </c>
      <c r="AH93" s="81" t="str">
        <f t="shared" si="44"/>
        <v>"%USERPROFILE%\Documents\GitHub\eaglep3\Utilities\RefineRTDCRunTimes.py" --tripid 183-07 --locoid 4028 --swversion DE.1.0.9.0 --startMP 204:447 --initTime 2017-06-07T13:54:29 --startdatetime 2017-06-07T14:24:43 --delay 1 --endMP 204:233353 --enddatetime 2017-06-07T15:04:06 --enforcementcount 0 &gt;&gt;C:\Users\stu\Documents\GitHub\eaglep3-reporting\EC\2017-06-07-refined-times.txt</v>
      </c>
      <c r="AI93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{"issue":{"subject":"","project_id":79,"tracker_id":40,"status_id":1,"priority_id":2,"assigned_to_id":23,"start_date":"2017-06-07","description":"","custom_fields":[{"id":1,"name":"Subdivision","value":"EC"},{"id":4,"name":"Milepost","value":"23.3353"},{"id":17,"name":"Train ID","value":"183-07"},{"id":16,"name":"Locomotive ID","value":"4028"},{"id":130,"name":"Impact","value":""},{"id":150,"name":"Time of Event (Mountain Time)","value":"15:04:06"},{"id":151,"name":"Denver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6"/>
        <v>start /low /b %USERPROFILE%\Documents\GitHub\eaglep3\Utilities\DownloadLogsFromS3.py --loco 4028 --day 2017-06-07</v>
      </c>
      <c r="AN93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775</v>
      </c>
      <c r="B94" s="7">
        <v>4031</v>
      </c>
      <c r="C94" s="21" t="s">
        <v>204</v>
      </c>
      <c r="D94" s="21" t="s">
        <v>888</v>
      </c>
      <c r="E94" s="13">
        <v>42893.622233796297</v>
      </c>
      <c r="F94" s="13">
        <v>42893.624988425923</v>
      </c>
      <c r="G94" s="7">
        <v>4</v>
      </c>
      <c r="H94" s="21" t="s">
        <v>350</v>
      </c>
      <c r="I94" s="13">
        <v>42893.651620370372</v>
      </c>
      <c r="J94" s="7">
        <v>0</v>
      </c>
      <c r="K94" s="92" t="str">
        <f t="shared" si="31"/>
        <v>4031/4032</v>
      </c>
      <c r="L94" s="21" t="str">
        <f>VLOOKUP(A94,'Trips&amp;Operators'!$C$1:$G$99999,5,FALSE)</f>
        <v>COOLAHAN JOHN</v>
      </c>
      <c r="M94" s="6">
        <f t="shared" si="32"/>
        <v>2.6631944449036382E-2</v>
      </c>
      <c r="N94" s="7">
        <f t="shared" si="49"/>
        <v>38.35000000661239</v>
      </c>
      <c r="O94" s="7"/>
      <c r="P94" s="7"/>
      <c r="Q94" s="22"/>
      <c r="R94" s="173"/>
      <c r="S94" s="176">
        <f t="shared" si="50"/>
        <v>1</v>
      </c>
      <c r="T94" s="202" t="str">
        <f t="shared" si="35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6"/>
        <v>https://d0f6bd738d7f1b3e5a7ca70fe4ff75f0.us-east-1.aws.found.io/app/kibana#/discover/Steve-Slow-Train-Analysis-(2080s-and-2083s)?_g=(refreshInterval:(display:Off,pause:!f,section:0,value:0),time:(from:'2017-06-07T13:56:01-0600',mode:absolute,to:'2017-06-07T16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4" s="204" t="str">
        <f t="shared" si="29"/>
        <v>N</v>
      </c>
      <c r="X94" s="204">
        <f t="shared" si="51"/>
        <v>1</v>
      </c>
      <c r="Y94" s="204">
        <f t="shared" si="37"/>
        <v>23.281500000000001</v>
      </c>
      <c r="Z94" s="204">
        <f t="shared" si="38"/>
        <v>1.6E-2</v>
      </c>
      <c r="AA94" s="204">
        <f t="shared" si="39"/>
        <v>23.265500000000003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0"/>
        <v>0184-07</v>
      </c>
      <c r="AE94" s="80" t="str">
        <f t="shared" si="41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94" s="77" t="str">
        <f t="shared" si="42"/>
        <v>"C:\Program Files (x86)\AstroGrep\AstroGrep.exe" /e /r /s /spath="%USERPROFILE%\AppData\Local\Temp\OnboardLogs" /stypes="app*4031*20170607*" /stext=" 21:.+((SYSTEM_STATE.+slice.+state.+changed )|(ment ac)|(multiple cpu faults)|(system.+state.+changed )|(\[timeout)|(PRM\|1\|D)|(kpr)|(kdp)|(train st.+moving)|(\|lc)|(penalty))"</v>
      </c>
      <c r="AG94" s="1" t="str">
        <f t="shared" si="43"/>
        <v>EC</v>
      </c>
      <c r="AH94" s="81" t="str">
        <f t="shared" si="44"/>
        <v>"%USERPROFILE%\Documents\GitHub\eaglep3\Utilities\RefineRTDCRunTimes.py" --tripid 184-07 --locoid 4031 --swversion DE.1.0.9.0 --startMP 204:232815 --initTime 2017-06-07T14:56:01 --startdatetime 2017-06-07T14:59:59 --delay 4 --endMP 204:160 --enddatetime 2017-06-07T15:38:20 --enforcementcount 0 &gt;&gt;C:\Users\stu\Documents\GitHub\eaglep3-reporting\EC\2017-06-07-refined-times.txt</v>
      </c>
      <c r="AI94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{"issue":{"subject":"","project_id":79,"tracker_id":40,"status_id":1,"priority_id":2,"assigned_to_id":23,"start_date":"2017-06-07","description":"","custom_fields":[{"id":1,"name":"Subdivision","value":"EC"},{"id":4,"name":"Milepost","value":"0.016"},{"id":17,"name":"Train ID","value":"184-07"},{"id":16,"name":"Locomotive ID","value":"4031"},{"id":130,"name":"Impact","value":""},{"id":150,"name":"Time of Event (Mountain Time)","value":"15:38:20"},{"id":151,"name":"Denver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6"/>
        <v>start /low /b %USERPROFILE%\Documents\GitHub\eaglep3\Utilities\DownloadLogsFromS3.py --loco 4031 --day 2017-06-07</v>
      </c>
      <c r="AN94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5" spans="1:91" s="20" customFormat="1" x14ac:dyDescent="0.25">
      <c r="A95" s="32" t="s">
        <v>1034</v>
      </c>
      <c r="B95" s="7"/>
      <c r="C95" s="21" t="s">
        <v>204</v>
      </c>
      <c r="D95" s="21" t="s">
        <v>888</v>
      </c>
      <c r="E95" s="13">
        <v>42893.622233796297</v>
      </c>
      <c r="F95" s="13"/>
      <c r="G95" s="7">
        <v>4</v>
      </c>
      <c r="H95" s="21" t="s">
        <v>350</v>
      </c>
      <c r="I95" s="13"/>
      <c r="J95" s="7">
        <v>0</v>
      </c>
      <c r="K95" s="92" t="str">
        <f t="shared" si="31"/>
        <v>-1/</v>
      </c>
      <c r="L95" s="21" t="e">
        <f>VLOOKUP(A95,'Trips&amp;Operators'!$C$1:$G$99999,5,FALSE)</f>
        <v>#N/A</v>
      </c>
      <c r="M95" s="6">
        <f t="shared" si="32"/>
        <v>0</v>
      </c>
      <c r="N95" s="7"/>
      <c r="O95" s="7"/>
      <c r="P95" s="7">
        <v>1</v>
      </c>
      <c r="Q95" s="22"/>
      <c r="R95" s="173" t="s">
        <v>1032</v>
      </c>
      <c r="S95" s="176">
        <f t="shared" si="50"/>
        <v>0</v>
      </c>
      <c r="T95" s="202" t="str">
        <f t="shared" si="35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203" t="str">
        <f t="shared" si="36"/>
        <v>https://d0f6bd738d7f1b3e5a7ca70fe4ff75f0.us-east-1.aws.found.io/app/kibana#/discover/Steve-Slow-Train-Analysis-(2080s-and-2083s)?_g=(refreshInterval:(display:Off,pause:!f,section:0,value:0),time:(from:'2017-06-07T13:56:01-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95" s="204" t="str">
        <f t="shared" ref="W95:W126" si="52">IF(AA95&lt;IF(AG95="EC",23,5.65),"Y","N")</f>
        <v>N</v>
      </c>
      <c r="X95" s="204">
        <f t="shared" si="51"/>
        <v>1</v>
      </c>
      <c r="Y95" s="204">
        <f t="shared" si="37"/>
        <v>23.281500000000001</v>
      </c>
      <c r="Z95" s="204">
        <f t="shared" si="38"/>
        <v>1.6E-2</v>
      </c>
      <c r="AA95" s="204">
        <f t="shared" si="39"/>
        <v>23.265500000000003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0"/>
        <v>0185-07</v>
      </c>
      <c r="AE95" s="80" t="str">
        <f t="shared" si="4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5" s="77" t="str">
        <f t="shared" si="42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95" s="1" t="str">
        <f t="shared" si="43"/>
        <v>EC</v>
      </c>
      <c r="AH95" s="81" t="str">
        <f t="shared" ref="AH95" si="53"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"&amp;J95&amp;IF(outputrefinedruntimes," &gt;&gt;"&amp;RefinedRTDCRunTimesOutputFile,"")</f>
        <v>"%USERPROFILE%\Documents\GitHub\eaglep3\Utilities\RefineRTDCRunTimes.py" --tripid 185-07 --locoid  --swversion DE.1.0.9.0 --startMP 204:232815 --initTime 2017-06-07T14:56:01 --startdatetime 1900-01-00T00:00:00 --delay 4 --endMP 204:160 --enddatetime 1900-01-00T00:00:00 --enforcementcount 0 &gt;&gt;C:\Users\stu\Documents\GitHub\eaglep3-reporting\EC\2017-06-07-refined-times.txt</v>
      </c>
      <c r="AI95" s="99" t="str">
        <f t="shared" ref="AI95" si="54"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Z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-X POST -H ""Content-Type: application/json"" -H ""X-Redmine-API-Key: "&amp;redm_api_key&amp;""" "&amp;redm_url&amp;" --data @-"</f>
        <v>echo {"issue":{"subject":"Bright Switch 3 hardware failure","project_id":79,"tracker_id":40,"status_id":1,"priority_id":2,"assigned_to_id":23,"start_date":"1900-01-00","description":"","custom_fields":[{"id":1,"name":"Subdivision","value":"EC"},{"id":4,"name":"Milepost","value":"0.016"},{"id":17,"name":"Train ID","value":"185-07"},{"id":16,"name":"Locomotive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ref="AM95" si="55">"start /low /b "&amp;dls3logs&amp;" --loco "&amp;B95&amp;" --day "&amp;TEXT(F95,"YYYY-MM-DD")</f>
        <v>start /low /b %USERPROFILE%\Documents\GitHub\eaglep3\Utilities\DownloadLogsFromS3.py --loco  --day 1900-01-00</v>
      </c>
      <c r="AN95" s="154" t="str">
        <f t="shared" ref="AN95" si="56">"echo {""issue"":{""subject"":"""&amp;R95&amp;""",""project_id"":30,""tracker_id"":4,""status_id"":"&amp;redmine_status_wcr&amp;",""priority_id"":"&amp;redmine_priority_wcr&amp;",""assigned_to_id"":"&amp;redmine_assignee_wcr&amp;",""start_date"":"""&amp;TEXT(I95-utc_offset/24,"YYYY-mm-dd")&amp;""",""description"":"""&amp;AJ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{"issue":{"subject":"Bright Switch 3 hardware failure","project_id":30,"tracker_id":4,"status_id":1,"priority_id":1,"assigned_to_id":10,"start_date":"1900-01-00","description":"","custom_fields":[{"id":30,"name":"Category","value":"Issue"},{"id":3,"name":"Functional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2" t="s">
        <v>777</v>
      </c>
      <c r="B96" s="7">
        <v>4027</v>
      </c>
      <c r="C96" s="21" t="s">
        <v>204</v>
      </c>
      <c r="D96" s="21" t="s">
        <v>889</v>
      </c>
      <c r="E96" s="13">
        <v>42893.630613425928</v>
      </c>
      <c r="F96" s="13">
        <v>42893.633564814816</v>
      </c>
      <c r="G96" s="7">
        <v>1</v>
      </c>
      <c r="H96" s="21" t="s">
        <v>431</v>
      </c>
      <c r="I96" s="13">
        <v>42893.661458333336</v>
      </c>
      <c r="J96" s="7">
        <v>0</v>
      </c>
      <c r="K96" s="92" t="str">
        <f t="shared" si="31"/>
        <v>4027/4028</v>
      </c>
      <c r="L96" s="21" t="str">
        <f>VLOOKUP(A96,'Trips&amp;Operators'!$C$1:$G$99999,5,FALSE)</f>
        <v>LEVIN SCOTT</v>
      </c>
      <c r="M96" s="6">
        <f t="shared" si="32"/>
        <v>2.789351851970423E-2</v>
      </c>
      <c r="N96" s="7">
        <f>24*60*SUM($M96:$M96)</f>
        <v>40.166666668374091</v>
      </c>
      <c r="O96" s="7"/>
      <c r="P96" s="7"/>
      <c r="Q96" s="22"/>
      <c r="R96" s="173"/>
      <c r="S96" s="176">
        <f t="shared" si="50"/>
        <v>1</v>
      </c>
      <c r="T96" s="202" t="str">
        <f t="shared" si="35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6"/>
        <v>https://d0f6bd738d7f1b3e5a7ca70fe4ff75f0.us-east-1.aws.found.io/app/kibana#/discover/Steve-Slow-Train-Analysis-(2080s-and-2083s)?_g=(refreshInterval:(display:Off,pause:!f,section:0,value:0),time:(from:'2017-06-07T14:08:05-0600',mode:absolute,to:'2017-06-07T16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204" t="str">
        <f t="shared" si="52"/>
        <v>N</v>
      </c>
      <c r="X96" s="204">
        <f t="shared" si="51"/>
        <v>1</v>
      </c>
      <c r="Y96" s="204">
        <f t="shared" si="37"/>
        <v>23.302700000000002</v>
      </c>
      <c r="Z96" s="204">
        <f t="shared" si="38"/>
        <v>1.4500000000000001E-2</v>
      </c>
      <c r="AA96" s="204">
        <f t="shared" si="39"/>
        <v>23.2882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0"/>
        <v>0186-07</v>
      </c>
      <c r="AE96" s="80" t="str">
        <f t="shared" si="41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96" s="77" t="str">
        <f t="shared" si="42"/>
        <v>"C:\Program Files (x86)\AstroGrep\AstroGrep.exe" /e /r /s /spath="%USERPROFILE%\AppData\Local\Temp\OnboardLogs" /stypes="app*4027*20170607*" /stext=" 21:.+((SYSTEM_STATE.+slice.+state.+changed )|(ment ac)|(multiple cpu faults)|(system.+state.+changed )|(\[timeout)|(PRM\|1\|D)|(kpr)|(kdp)|(train st.+moving)|(\|lc)|(penalty))"</v>
      </c>
      <c r="AG96" s="1" t="str">
        <f t="shared" si="43"/>
        <v>EC</v>
      </c>
      <c r="AH96" s="81" t="str">
        <f t="shared" si="44"/>
        <v>"%USERPROFILE%\Documents\GitHub\eaglep3\Utilities\RefineRTDCRunTimes.py" --tripid 186-07 --locoid 4027 --swversion DE.1.0.9.0 --startMP 204:233027 --initTime 2017-06-07T15:08:05 --startdatetime 2017-06-07T15:12:20 --delay 1 --endMP 204:145 --enddatetime 2017-06-07T15:52:30 --enforcementcount 0 &gt;&gt;C:\Users\stu\Documents\GitHub\eaglep3-reporting\EC\2017-06-07-refined-times.txt</v>
      </c>
      <c r="AI96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{"issue":{"subject":"","project_id":79,"tracker_id":40,"status_id":1,"priority_id":2,"assigned_to_id":23,"start_date":"2017-06-07","description":"","custom_fields":[{"id":1,"name":"Subdivision","value":"EC"},{"id":4,"name":"Milepost","value":"0.0145"},{"id":17,"name":"Train ID","value":"186-07"},{"id":16,"name":"Locomotive ID","value":"4027"},{"id":130,"name":"Impact","value":""},{"id":150,"name":"Time of Event (Mountain Time)","value":"15:52:30"},{"id":151,"name":"Denver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6"/>
        <v>start /low /b %USERPROFILE%\Documents\GitHub\eaglep3\Utilities\DownloadLogsFromS3.py --loco 4027 --day 2017-06-07</v>
      </c>
      <c r="AN96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1035</v>
      </c>
      <c r="B97" s="7"/>
      <c r="C97" s="21" t="s">
        <v>204</v>
      </c>
      <c r="D97" s="21" t="s">
        <v>888</v>
      </c>
      <c r="E97" s="13">
        <v>42893.622233796297</v>
      </c>
      <c r="F97" s="13"/>
      <c r="G97" s="7">
        <v>4</v>
      </c>
      <c r="H97" s="21" t="s">
        <v>350</v>
      </c>
      <c r="I97" s="13"/>
      <c r="J97" s="7">
        <v>0</v>
      </c>
      <c r="K97" s="92" t="str">
        <f t="shared" si="31"/>
        <v>-1/</v>
      </c>
      <c r="L97" s="21" t="e">
        <f>VLOOKUP(A97,'Trips&amp;Operators'!$C$1:$G$99999,5,FALSE)</f>
        <v>#N/A</v>
      </c>
      <c r="M97" s="6">
        <f t="shared" si="32"/>
        <v>0</v>
      </c>
      <c r="N97" s="7"/>
      <c r="O97" s="7"/>
      <c r="P97" s="7">
        <v>1</v>
      </c>
      <c r="Q97" s="22"/>
      <c r="R97" s="173" t="s">
        <v>1032</v>
      </c>
      <c r="S97" s="176">
        <f t="shared" si="50"/>
        <v>0</v>
      </c>
      <c r="T97" s="202" t="str">
        <f t="shared" si="35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203" t="str">
        <f t="shared" si="36"/>
        <v>https://d0f6bd738d7f1b3e5a7ca70fe4ff75f0.us-east-1.aws.found.io/app/kibana#/discover/Steve-Slow-Train-Analysis-(2080s-and-2083s)?_g=(refreshInterval:(display:Off,pause:!f,section:0,value:0),time:(from:'2017-06-07T13:56:01-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97" s="204" t="str">
        <f t="shared" si="52"/>
        <v>N</v>
      </c>
      <c r="X97" s="204">
        <f t="shared" ref="X97:X98" si="57">VALUE(LEFT(AD97,4))-VALUE(LEFT(AD96,4))</f>
        <v>1</v>
      </c>
      <c r="Y97" s="204">
        <f t="shared" si="37"/>
        <v>23.281500000000001</v>
      </c>
      <c r="Z97" s="204">
        <f t="shared" si="38"/>
        <v>1.6E-2</v>
      </c>
      <c r="AA97" s="204">
        <f t="shared" si="39"/>
        <v>23.265500000000003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0"/>
        <v>0187-07</v>
      </c>
      <c r="AE97" s="80" t="str">
        <f t="shared" si="4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7" s="77" t="str">
        <f t="shared" si="42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97" s="1" t="str">
        <f t="shared" si="43"/>
        <v>EC</v>
      </c>
      <c r="AH97" s="81" t="str">
        <f t="shared" si="44"/>
        <v>"%USERPROFILE%\Documents\GitHub\eaglep3\Utilities\RefineRTDCRunTimes.py" --tripid 187-07 --locoid  --swversion DE.1.0.9.0 --startMP 204:232815 --initTime 2017-06-07T14:56:01 --startdatetime 1900-01-00T00:00:00 --delay 4 --endMP 204:160 --enddatetime 1900-01-00T00:00:00 --enforcementcount 0 &gt;&gt;C:\Users\stu\Documents\GitHub\eaglep3-reporting\EC\2017-06-07-refined-times.txt</v>
      </c>
      <c r="AI97" s="99" t="str">
        <f t="shared" si="45"/>
        <v>echo {"issue":{"subject":"Bright Switch 3 hardware failure","project_id":79,"tracker_id":40,"status_id":1,"priority_id":2,"assigned_to_id":23,"start_date":"1900-01-00","description":"","custom_fields":[{"id":1,"name":"Subdivision","value":"EC"},{"id":4,"name":"Milepost","value":"0.016"},{"id":17,"name":"Train ID","value":"187-07"},{"id":16,"name":"Locomotive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6"/>
        <v>start /low /b %USERPROFILE%\Documents\GitHub\eaglep3\Utilities\DownloadLogsFromS3.py --loco  --day 1900-01-00</v>
      </c>
      <c r="AN97" s="154" t="str">
        <f t="shared" si="47"/>
        <v>echo {"issue":{"subject":"Bright Switch 3 hardware failure","project_id":30,"tracker_id":4,"status_id":1,"priority_id":1,"assigned_to_id":10,"start_date":"1900-01-00","description":"","custom_fields":[{"id":30,"name":"Category","value":"Issue"},{"id":3,"name":"Functional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779</v>
      </c>
      <c r="B98" s="7">
        <v>4015</v>
      </c>
      <c r="C98" s="21" t="s">
        <v>204</v>
      </c>
      <c r="D98" s="21" t="s">
        <v>571</v>
      </c>
      <c r="E98" s="13">
        <v>42893.645694444444</v>
      </c>
      <c r="F98" s="13">
        <v>42893.64739583333</v>
      </c>
      <c r="G98" s="7">
        <v>1</v>
      </c>
      <c r="H98" s="21" t="s">
        <v>353</v>
      </c>
      <c r="I98" s="13">
        <v>42893.676041666666</v>
      </c>
      <c r="J98" s="7">
        <v>0</v>
      </c>
      <c r="K98" s="92" t="str">
        <f t="shared" si="31"/>
        <v>4015/4016</v>
      </c>
      <c r="L98" s="21" t="str">
        <f>VLOOKUP(A98,'Trips&amp;Operators'!$C$1:$G$99999,5,FALSE)</f>
        <v>DELGADO DIANAH</v>
      </c>
      <c r="M98" s="6">
        <f t="shared" si="32"/>
        <v>2.8645833335758653E-2</v>
      </c>
      <c r="N98" s="7">
        <f t="shared" ref="N98:N122" si="58">24*60*SUM($M98:$M98)</f>
        <v>41.25000000349246</v>
      </c>
      <c r="O98" s="7"/>
      <c r="P98" s="7"/>
      <c r="Q98" s="22"/>
      <c r="R98" s="173"/>
      <c r="S98" s="176">
        <f t="shared" si="50"/>
        <v>1</v>
      </c>
      <c r="T98" s="202" t="str">
        <f t="shared" si="35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6"/>
        <v>https://d0f6bd738d7f1b3e5a7ca70fe4ff75f0.us-east-1.aws.found.io/app/kibana#/discover/Steve-Slow-Train-Analysis-(2080s-and-2083s)?_g=(refreshInterval:(display:Off,pause:!f,section:0,value:0),time:(from:'2017-06-07T14:29:48-0600',mode:absolute,to:'2017-06-07T17:13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204" t="str">
        <f t="shared" si="52"/>
        <v>N</v>
      </c>
      <c r="X98" s="204">
        <f t="shared" si="57"/>
        <v>1</v>
      </c>
      <c r="Y98" s="204">
        <f t="shared" si="37"/>
        <v>23.295500000000001</v>
      </c>
      <c r="Z98" s="204">
        <f t="shared" si="38"/>
        <v>1.49E-2</v>
      </c>
      <c r="AA98" s="204">
        <f t="shared" si="39"/>
        <v>23.2806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0"/>
        <v>0188-07</v>
      </c>
      <c r="AE98" s="80" t="str">
        <f t="shared" si="41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98" s="77" t="str">
        <f t="shared" si="42"/>
        <v>"C:\Program Files (x86)\AstroGrep\AstroGrep.exe" /e /r /s /spath="%USERPROFILE%\AppData\Local\Temp\OnboardLogs" /stypes="app*4015*20170607*" /stext=" 22:.+((SYSTEM_STATE.+slice.+state.+changed )|(ment ac)|(multiple cpu faults)|(system.+state.+changed )|(\[timeout)|(PRM\|1\|D)|(kpr)|(kdp)|(train st.+moving)|(\|lc)|(penalty))"</v>
      </c>
      <c r="AG98" s="1" t="str">
        <f t="shared" si="43"/>
        <v>EC</v>
      </c>
      <c r="AH98" s="81" t="str">
        <f t="shared" si="44"/>
        <v>"%USERPROFILE%\Documents\GitHub\eaglep3\Utilities\RefineRTDCRunTimes.py" --tripid 188-07 --locoid 4015 --swversion DE.1.0.9.0 --startMP 204:232955 --initTime 2017-06-07T15:29:48 --startdatetime 2017-06-07T15:32:15 --delay 1 --endMP 204:149 --enddatetime 2017-06-07T16:13:30 --enforcementcount 0 &gt;&gt;C:\Users\stu\Documents\GitHub\eaglep3-reporting\EC\2017-06-07-refined-times.txt</v>
      </c>
      <c r="AI98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{"issue":{"subject":"","project_id":79,"tracker_id":40,"status_id":1,"priority_id":2,"assigned_to_id":23,"start_date":"2017-06-07","description":"","custom_fields":[{"id":1,"name":"Subdivision","value":"EC"},{"id":4,"name":"Milepost","value":"0.0149"},{"id":17,"name":"Train ID","value":"188-07"},{"id":16,"name":"Locomotive ID","value":"4015"},{"id":130,"name":"Impact","value":""},{"id":150,"name":"Time of Event (Mountain Time)","value":"16:13:30"},{"id":151,"name":"Denver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6"/>
        <v>start /low /b %USERPROFILE%\Documents\GitHub\eaglep3\Utilities\DownloadLogsFromS3.py --loco 4015 --day 2017-06-07</v>
      </c>
      <c r="AN98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22:13:30"},{"id":29,"name":"Sharepoint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773</v>
      </c>
      <c r="B99" s="7">
        <v>4016</v>
      </c>
      <c r="C99" s="21" t="s">
        <v>204</v>
      </c>
      <c r="D99" s="21" t="s">
        <v>397</v>
      </c>
      <c r="E99" s="13">
        <v>42893.607974537037</v>
      </c>
      <c r="F99" s="13">
        <v>42893.614884259259</v>
      </c>
      <c r="G99" s="7">
        <v>1</v>
      </c>
      <c r="H99" s="21" t="s">
        <v>890</v>
      </c>
      <c r="I99" s="13">
        <v>42893.640185185184</v>
      </c>
      <c r="J99" s="7">
        <v>0</v>
      </c>
      <c r="K99" s="92" t="str">
        <f t="shared" si="31"/>
        <v>4015/4016</v>
      </c>
      <c r="L99" s="21" t="str">
        <f>VLOOKUP(A99,'Trips&amp;Operators'!$C$1:$G$99999,5,FALSE)</f>
        <v>DELGADO DIANAH</v>
      </c>
      <c r="M99" s="6">
        <f t="shared" si="32"/>
        <v>2.5300925924966577E-2</v>
      </c>
      <c r="N99" s="7">
        <f t="shared" si="58"/>
        <v>36.433333331951872</v>
      </c>
      <c r="O99" s="7"/>
      <c r="P99" s="7"/>
      <c r="Q99" s="22"/>
      <c r="R99" s="173"/>
      <c r="S99" s="176">
        <f t="shared" si="50"/>
        <v>1</v>
      </c>
      <c r="T99" s="202" t="str">
        <f t="shared" si="35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6"/>
        <v>https://d0f6bd738d7f1b3e5a7ca70fe4ff75f0.us-east-1.aws.found.io/app/kibana#/discover/Steve-Slow-Train-Analysis-(2080s-and-2083s)?_g=(refreshInterval:(display:Off,pause:!f,section:0,value:0),time:(from:'2017-06-07T13:35:29-0600',mode:absolute,to:'2017-06-07T16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204" t="str">
        <f t="shared" si="52"/>
        <v>N</v>
      </c>
      <c r="X99" s="204">
        <f t="shared" si="51"/>
        <v>1</v>
      </c>
      <c r="Y99" s="204">
        <f t="shared" si="37"/>
        <v>4.6199999999999998E-2</v>
      </c>
      <c r="Z99" s="204">
        <f t="shared" si="38"/>
        <v>23.327200000000001</v>
      </c>
      <c r="AA99" s="204">
        <f t="shared" si="39"/>
        <v>23.281000000000002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0"/>
        <v>0189-07</v>
      </c>
      <c r="AE99" s="80" t="str">
        <f t="shared" si="41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99" s="77" t="str">
        <f t="shared" si="42"/>
        <v>"C:\Program Files (x86)\AstroGrep\AstroGrep.exe" /e /r /s /spath="%USERPROFILE%\AppData\Local\Temp\OnboardLogs" /stypes="app*4016*20170607*" /stext=" 21:.+((SYSTEM_STATE.+slice.+state.+changed )|(ment ac)|(multiple cpu faults)|(system.+state.+changed )|(\[timeout)|(PRM\|1\|D)|(kpr)|(kdp)|(train st.+moving)|(\|lc)|(penalty))"</v>
      </c>
      <c r="AG99" s="1" t="str">
        <f t="shared" si="43"/>
        <v>EC</v>
      </c>
      <c r="AH99" s="81" t="str">
        <f t="shared" si="44"/>
        <v>"%USERPROFILE%\Documents\GitHub\eaglep3\Utilities\RefineRTDCRunTimes.py" --tripid 189-07 --locoid 4016 --swversion DE.1.0.9.0 --startMP 204:462 --initTime 2017-06-07T14:35:29 --startdatetime 2017-06-07T14:45:26 --delay 1 --endMP 204:233272 --enddatetime 2017-06-07T15:21:52 --enforcementcount 0 &gt;&gt;C:\Users\stu\Documents\GitHub\eaglep3-reporting\EC\2017-06-07-refined-times.txt</v>
      </c>
      <c r="AI99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{"issue":{"subject":"","project_id":79,"tracker_id":40,"status_id":1,"priority_id":2,"assigned_to_id":23,"start_date":"2017-06-07","description":"","custom_fields":[{"id":1,"name":"Subdivision","value":"EC"},{"id":4,"name":"Milepost","value":"23.3272"},{"id":17,"name":"Train ID","value":"189-07"},{"id":16,"name":"Locomotive ID","value":"4016"},{"id":130,"name":"Impact","value":""},{"id":150,"name":"Time of Event (Mountain Time)","value":"15:21:52"},{"id":151,"name":"Denver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6"/>
        <v>start /low /b %USERPROFILE%\Documents\GitHub\eaglep3\Utilities\DownloadLogsFromS3.py --loco 4016 --day 2017-06-07</v>
      </c>
      <c r="AN99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784</v>
      </c>
      <c r="B100" s="7">
        <v>4013</v>
      </c>
      <c r="C100" s="21" t="s">
        <v>204</v>
      </c>
      <c r="D100" s="21" t="s">
        <v>430</v>
      </c>
      <c r="E100" s="13">
        <v>42893.656006944446</v>
      </c>
      <c r="F100" s="13">
        <v>42893.658842592595</v>
      </c>
      <c r="G100" s="7">
        <v>2</v>
      </c>
      <c r="H100" s="21" t="s">
        <v>564</v>
      </c>
      <c r="I100" s="13">
        <v>42893.687326388892</v>
      </c>
      <c r="J100" s="7">
        <v>0</v>
      </c>
      <c r="K100" s="92" t="str">
        <f t="shared" si="31"/>
        <v>4013/4014</v>
      </c>
      <c r="L100" s="21" t="str">
        <f>VLOOKUP(A100,'Trips&amp;Operators'!$C$1:$G$99999,5,FALSE)</f>
        <v>DAVIS MICHAEL</v>
      </c>
      <c r="M100" s="6">
        <f t="shared" si="32"/>
        <v>2.8483796297223307E-2</v>
      </c>
      <c r="N100" s="7">
        <f t="shared" si="58"/>
        <v>41.016666668001562</v>
      </c>
      <c r="O100" s="7"/>
      <c r="P100" s="7"/>
      <c r="Q100" s="22"/>
      <c r="R100" s="173"/>
      <c r="S100" s="176">
        <f t="shared" si="50"/>
        <v>1</v>
      </c>
      <c r="T100" s="202" t="str">
        <f t="shared" si="35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6"/>
        <v>https://d0f6bd738d7f1b3e5a7ca70fe4ff75f0.us-east-1.aws.found.io/app/kibana#/discover/Steve-Slow-Train-Analysis-(2080s-and-2083s)?_g=(refreshInterval:(display:Off,pause:!f,section:0,value:0),time:(from:'2017-06-07T14:44:39-0600',mode:absolute,to:'2017-06-07T17:29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204" t="str">
        <f t="shared" si="52"/>
        <v>N</v>
      </c>
      <c r="X100" s="204">
        <f t="shared" si="51"/>
        <v>1</v>
      </c>
      <c r="Y100" s="204">
        <f t="shared" si="37"/>
        <v>23.297699999999999</v>
      </c>
      <c r="Z100" s="204">
        <f t="shared" si="38"/>
        <v>1.3599999999999999E-2</v>
      </c>
      <c r="AA100" s="204">
        <f t="shared" si="39"/>
        <v>23.284099999999999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0"/>
        <v>0190-07</v>
      </c>
      <c r="AE100" s="80" t="str">
        <f t="shared" si="41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100" s="77" t="str">
        <f t="shared" si="42"/>
        <v>"C:\Program Files (x86)\AstroGrep\AstroGrep.exe" /e /r /s /spath="%USERPROFILE%\AppData\Local\Temp\OnboardLogs" /stypes="app*4013*20170607*" /stext=" 22:.+((SYSTEM_STATE.+slice.+state.+changed )|(ment ac)|(multiple cpu faults)|(system.+state.+changed )|(\[timeout)|(PRM\|1\|D)|(kpr)|(kdp)|(train st.+moving)|(\|lc)|(penalty))"</v>
      </c>
      <c r="AG100" s="1" t="str">
        <f t="shared" si="43"/>
        <v>EC</v>
      </c>
      <c r="AH100" s="81" t="str">
        <f t="shared" si="44"/>
        <v>"%USERPROFILE%\Documents\GitHub\eaglep3\Utilities\RefineRTDCRunTimes.py" --tripid 190-07 --locoid 4013 --swversion DE.1.0.9.0 --startMP 204:232977 --initTime 2017-06-07T15:44:39 --startdatetime 2017-06-07T15:48:44 --delay 2 --endMP 204:136 --enddatetime 2017-06-07T16:29:45 --enforcementcount 0 &gt;&gt;C:\Users\stu\Documents\GitHub\eaglep3-reporting\EC\2017-06-07-refined-times.txt</v>
      </c>
      <c r="AI100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{"issue":{"subject":"","project_id":79,"tracker_id":40,"status_id":1,"priority_id":2,"assigned_to_id":23,"start_date":"2017-06-07","description":"","custom_fields":[{"id":1,"name":"Subdivision","value":"EC"},{"id":4,"name":"Milepost","value":"0.0136"},{"id":17,"name":"Train ID","value":"190-07"},{"id":16,"name":"Locomotive ID","value":"4013"},{"id":130,"name":"Impact","value":""},{"id":150,"name":"Time of Event (Mountain Time)","value":"16:29:45"},{"id":151,"name":"Denver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46"/>
        <v>start /low /b %USERPROFILE%\Documents\GitHub\eaglep3\Utilities\DownloadLogsFromS3.py --loco 4013 --day 2017-06-07</v>
      </c>
      <c r="AN100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22:29:45"},{"id":29,"name":"Sharepoint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774</v>
      </c>
      <c r="B101" s="7">
        <v>4014</v>
      </c>
      <c r="C101" s="21" t="s">
        <v>204</v>
      </c>
      <c r="D101" s="21" t="s">
        <v>569</v>
      </c>
      <c r="E101" s="13">
        <v>42893.622002314813</v>
      </c>
      <c r="F101" s="13">
        <v>42893.625254629631</v>
      </c>
      <c r="G101" s="7">
        <v>1</v>
      </c>
      <c r="H101" s="21" t="s">
        <v>858</v>
      </c>
      <c r="I101" s="13">
        <v>42893.651331018518</v>
      </c>
      <c r="J101" s="7">
        <v>0</v>
      </c>
      <c r="K101" s="92" t="str">
        <f t="shared" si="31"/>
        <v>4013/4014</v>
      </c>
      <c r="L101" s="21" t="str">
        <f>VLOOKUP(A101,'Trips&amp;Operators'!$C$1:$G$99999,5,FALSE)</f>
        <v>DAVIS MICHAEL</v>
      </c>
      <c r="M101" s="6">
        <f t="shared" si="32"/>
        <v>2.6076388887304347E-2</v>
      </c>
      <c r="N101" s="7">
        <f t="shared" si="58"/>
        <v>37.54999999771826</v>
      </c>
      <c r="O101" s="7"/>
      <c r="P101" s="7"/>
      <c r="Q101" s="22"/>
      <c r="R101" s="173"/>
      <c r="S101" s="176">
        <f t="shared" si="50"/>
        <v>1</v>
      </c>
      <c r="T101" s="202" t="str">
        <f t="shared" si="35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6"/>
        <v>https://d0f6bd738d7f1b3e5a7ca70fe4ff75f0.us-east-1.aws.found.io/app/kibana#/discover/Steve-Slow-Train-Analysis-(2080s-and-2083s)?_g=(refreshInterval:(display:Off,pause:!f,section:0,value:0),time:(from:'2017-06-07T13:55:41-0600',mode:absolute,to:'2017-06-07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204" t="str">
        <f t="shared" si="52"/>
        <v>N</v>
      </c>
      <c r="X101" s="204">
        <f t="shared" si="51"/>
        <v>1</v>
      </c>
      <c r="Y101" s="204">
        <f t="shared" si="37"/>
        <v>4.3299999999999998E-2</v>
      </c>
      <c r="Z101" s="204">
        <f t="shared" si="38"/>
        <v>23.330200000000001</v>
      </c>
      <c r="AA101" s="204">
        <f t="shared" si="39"/>
        <v>23.286900000000003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0"/>
        <v>0191-07</v>
      </c>
      <c r="AE101" s="80" t="str">
        <f t="shared" si="41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101" s="77" t="str">
        <f t="shared" si="42"/>
        <v>"C:\Program Files (x86)\AstroGrep\AstroGrep.exe" /e /r /s /spath="%USERPROFILE%\AppData\Local\Temp\OnboardLogs" /stypes="app*4014*20170607*" /stext=" 21:.+((SYSTEM_STATE.+slice.+state.+changed )|(ment ac)|(multiple cpu faults)|(system.+state.+changed )|(\[timeout)|(PRM\|1\|D)|(kpr)|(kdp)|(train st.+moving)|(\|lc)|(penalty))"</v>
      </c>
      <c r="AG101" s="1" t="str">
        <f t="shared" si="43"/>
        <v>EC</v>
      </c>
      <c r="AH101" s="81" t="str">
        <f t="shared" si="44"/>
        <v>"%USERPROFILE%\Documents\GitHub\eaglep3\Utilities\RefineRTDCRunTimes.py" --tripid 191-07 --locoid 4014 --swversion DE.1.0.9.0 --startMP 204:433 --initTime 2017-06-07T14:55:41 --startdatetime 2017-06-07T15:00:22 --delay 1 --endMP 204:233302 --enddatetime 2017-06-07T15:37:55 --enforcementcount 0 &gt;&gt;C:\Users\stu\Documents\GitHub\eaglep3-reporting\EC\2017-06-07-refined-times.txt</v>
      </c>
      <c r="AI101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{"issue":{"subject":"","project_id":79,"tracker_id":40,"status_id":1,"priority_id":2,"assigned_to_id":23,"start_date":"2017-06-07","description":"","custom_fields":[{"id":1,"name":"Subdivision","value":"EC"},{"id":4,"name":"Milepost","value":"23.3302"},{"id":17,"name":"Train ID","value":"191-07"},{"id":16,"name":"Locomotive ID","value":"4014"},{"id":130,"name":"Impact","value":""},{"id":150,"name":"Time of Event (Mountain Time)","value":"15:37:55"},{"id":151,"name":"Denver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6"/>
        <v>start /low /b %USERPROFILE%\Documents\GitHub\eaglep3\Utilities\DownloadLogsFromS3.py --loco 4014 --day 2017-06-07</v>
      </c>
      <c r="AN101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632</v>
      </c>
      <c r="B102" s="7">
        <v>4045</v>
      </c>
      <c r="C102" s="21" t="s">
        <v>204</v>
      </c>
      <c r="D102" s="21" t="s">
        <v>575</v>
      </c>
      <c r="E102" s="13">
        <v>42893.663611111115</v>
      </c>
      <c r="F102" s="13">
        <v>42893.665277777778</v>
      </c>
      <c r="G102" s="7">
        <v>1</v>
      </c>
      <c r="H102" s="21" t="s">
        <v>458</v>
      </c>
      <c r="I102" s="13">
        <v>42893.692546296297</v>
      </c>
      <c r="J102" s="7">
        <v>0</v>
      </c>
      <c r="K102" s="92" t="str">
        <f t="shared" si="31"/>
        <v>4045/4046</v>
      </c>
      <c r="L102" s="21" t="str">
        <f>VLOOKUP(A102,'Trips&amp;Operators'!$C$1:$G$99999,5,FALSE)</f>
        <v>HOLCOMB KAMDEN</v>
      </c>
      <c r="M102" s="6">
        <f t="shared" si="32"/>
        <v>2.7268518519122154E-2</v>
      </c>
      <c r="N102" s="7">
        <f t="shared" si="58"/>
        <v>39.266666667535901</v>
      </c>
      <c r="O102" s="7"/>
      <c r="P102" s="7"/>
      <c r="Q102" s="22"/>
      <c r="R102" s="173"/>
      <c r="S102" s="176">
        <f t="shared" si="50"/>
        <v>1</v>
      </c>
      <c r="T102" s="202" t="str">
        <f t="shared" si="35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6"/>
        <v>https://d0f6bd738d7f1b3e5a7ca70fe4ff75f0.us-east-1.aws.found.io/app/kibana#/discover/Steve-Slow-Train-Analysis-(2080s-and-2083s)?_g=(refreshInterval:(display:Off,pause:!f,section:0,value:0),time:(from:'2017-06-07T14:55:36-0600',mode:absolute,to:'2017-06-07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2" s="204" t="str">
        <f t="shared" si="52"/>
        <v>N</v>
      </c>
      <c r="X102" s="204">
        <f t="shared" si="51"/>
        <v>1</v>
      </c>
      <c r="Y102" s="204">
        <f t="shared" si="37"/>
        <v>23.299600000000002</v>
      </c>
      <c r="Z102" s="204">
        <f t="shared" si="38"/>
        <v>1.38E-2</v>
      </c>
      <c r="AA102" s="204">
        <f t="shared" si="39"/>
        <v>23.285800000000002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0"/>
        <v>0192-07</v>
      </c>
      <c r="AE102" s="80" t="str">
        <f t="shared" si="41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102" s="77" t="str">
        <f t="shared" si="42"/>
        <v>"C:\Program Files (x86)\AstroGrep\AstroGrep.exe" /e /r /s /spath="%USERPROFILE%\AppData\Local\Temp\OnboardLogs" /stypes="app*4045*20170607*" /stext=" 22:.+((SYSTEM_STATE.+slice.+state.+changed )|(ment ac)|(multiple cpu faults)|(system.+state.+changed )|(\[timeout)|(PRM\|1\|D)|(kpr)|(kdp)|(train st.+moving)|(\|lc)|(penalty))"</v>
      </c>
      <c r="AG102" s="1" t="str">
        <f t="shared" si="43"/>
        <v>EC</v>
      </c>
      <c r="AH102" s="81" t="str">
        <f t="shared" si="44"/>
        <v>"%USERPROFILE%\Documents\GitHub\eaglep3\Utilities\RefineRTDCRunTimes.py" --tripid 192-07 --locoid 4045 --swversion DE.1.0.9.0 --startMP 204:232996 --initTime 2017-06-07T15:55:36 --startdatetime 2017-06-07T15:58:00 --delay 1 --endMP 204:138 --enddatetime 2017-06-07T16:37:16 --enforcementcount 0 &gt;&gt;C:\Users\stu\Documents\GitHub\eaglep3-reporting\EC\2017-06-07-refined-times.txt</v>
      </c>
      <c r="AI102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{"issue":{"subject":"","project_id":79,"tracker_id":40,"status_id":1,"priority_id":2,"assigned_to_id":23,"start_date":"2017-06-07","description":"","custom_fields":[{"id":1,"name":"Subdivision","value":"EC"},{"id":4,"name":"Milepost","value":"0.0138"},{"id":17,"name":"Train ID","value":"192-07"},{"id":16,"name":"Locomotive ID","value":"4045"},{"id":130,"name":"Impact","value":""},{"id":150,"name":"Time of Event (Mountain Time)","value":"16:37:16"},{"id":151,"name":"Denver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6"/>
        <v>start /low /b %USERPROFILE%\Documents\GitHub\eaglep3\Utilities\DownloadLogsFromS3.py --loco 4045 --day 2017-06-07</v>
      </c>
      <c r="AN102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776</v>
      </c>
      <c r="B103" s="7">
        <v>4046</v>
      </c>
      <c r="C103" s="21" t="s">
        <v>204</v>
      </c>
      <c r="D103" s="21" t="s">
        <v>501</v>
      </c>
      <c r="E103" s="13">
        <v>42893.63177083333</v>
      </c>
      <c r="F103" s="13">
        <v>42893.635706018518</v>
      </c>
      <c r="G103" s="7">
        <v>4</v>
      </c>
      <c r="H103" s="21" t="s">
        <v>850</v>
      </c>
      <c r="I103" s="13">
        <v>42893.661145833335</v>
      </c>
      <c r="J103" s="7">
        <v>0</v>
      </c>
      <c r="K103" s="92" t="str">
        <f t="shared" si="31"/>
        <v>4045/4046</v>
      </c>
      <c r="L103" s="21" t="str">
        <f>VLOOKUP(A103,'Trips&amp;Operators'!$C$1:$G$99999,5,FALSE)</f>
        <v>HOLCOMB KAMDEN</v>
      </c>
      <c r="M103" s="6">
        <f t="shared" si="32"/>
        <v>2.5439814817218576E-2</v>
      </c>
      <c r="N103" s="7">
        <f t="shared" si="58"/>
        <v>36.633333336794749</v>
      </c>
      <c r="O103" s="7"/>
      <c r="P103" s="7"/>
      <c r="Q103" s="22"/>
      <c r="R103" s="173"/>
      <c r="S103" s="176">
        <f t="shared" si="50"/>
        <v>1</v>
      </c>
      <c r="T103" s="202" t="str">
        <f t="shared" si="35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6"/>
        <v>https://d0f6bd738d7f1b3e5a7ca70fe4ff75f0.us-east-1.aws.found.io/app/kibana#/discover/Steve-Slow-Train-Analysis-(2080s-and-2083s)?_g=(refreshInterval:(display:Off,pause:!f,section:0,value:0),time:(from:'2017-06-07T14:09:45-0600',mode:absolute,to:'2017-06-07T16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3" s="204" t="str">
        <f t="shared" si="52"/>
        <v>N</v>
      </c>
      <c r="X103" s="204">
        <f t="shared" si="51"/>
        <v>1</v>
      </c>
      <c r="Y103" s="204">
        <f t="shared" si="37"/>
        <v>4.3999999999999997E-2</v>
      </c>
      <c r="Z103" s="204">
        <f t="shared" si="38"/>
        <v>23.331399999999999</v>
      </c>
      <c r="AA103" s="204">
        <f t="shared" si="39"/>
        <v>23.287399999999998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0"/>
        <v>0193-07</v>
      </c>
      <c r="AE103" s="80" t="str">
        <f t="shared" si="41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103" s="77" t="str">
        <f t="shared" si="42"/>
        <v>"C:\Program Files (x86)\AstroGrep\AstroGrep.exe" /e /r /s /spath="%USERPROFILE%\AppData\Local\Temp\OnboardLogs" /stypes="app*4046*20170607*" /stext=" 21:.+((SYSTEM_STATE.+slice.+state.+changed )|(ment ac)|(multiple cpu faults)|(system.+state.+changed )|(\[timeout)|(PRM\|1\|D)|(kpr)|(kdp)|(train st.+moving)|(\|lc)|(penalty))"</v>
      </c>
      <c r="AG103" s="1" t="str">
        <f t="shared" si="43"/>
        <v>EC</v>
      </c>
      <c r="AH103" s="81" t="str">
        <f t="shared" si="44"/>
        <v>"%USERPROFILE%\Documents\GitHub\eaglep3\Utilities\RefineRTDCRunTimes.py" --tripid 193-07 --locoid 4046 --swversion DE.1.0.9.0 --startMP 204:440 --initTime 2017-06-07T15:09:45 --startdatetime 2017-06-07T15:15:25 --delay 4 --endMP 204:233314 --enddatetime 2017-06-07T15:52:03 --enforcementcount 0 &gt;&gt;C:\Users\stu\Documents\GitHub\eaglep3-reporting\EC\2017-06-07-refined-times.txt</v>
      </c>
      <c r="AI103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{"issue":{"subject":"","project_id":79,"tracker_id":40,"status_id":1,"priority_id":2,"assigned_to_id":23,"start_date":"2017-06-07","description":"","custom_fields":[{"id":1,"name":"Subdivision","value":"EC"},{"id":4,"name":"Milepost","value":"23.3314"},{"id":17,"name":"Train ID","value":"193-07"},{"id":16,"name":"Locomotive ID","value":"4046"},{"id":130,"name":"Impact","value":""},{"id":150,"name":"Time of Event (Mountain Time)","value":"15:52:03"},{"id":151,"name":"Denver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6"/>
        <v>start /low /b %USERPROFILE%\Documents\GitHub\eaglep3\Utilities\DownloadLogsFromS3.py --loco 4046 --day 2017-06-07</v>
      </c>
      <c r="AN103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788</v>
      </c>
      <c r="B104" s="7">
        <v>4041</v>
      </c>
      <c r="C104" s="21" t="s">
        <v>204</v>
      </c>
      <c r="D104" s="21" t="s">
        <v>891</v>
      </c>
      <c r="E104" s="13">
        <v>42893.675532407404</v>
      </c>
      <c r="F104" s="13">
        <v>42893.677581018521</v>
      </c>
      <c r="G104" s="7">
        <v>1</v>
      </c>
      <c r="H104" s="21" t="s">
        <v>892</v>
      </c>
      <c r="I104" s="13">
        <v>42893.704756944448</v>
      </c>
      <c r="J104" s="7">
        <v>0</v>
      </c>
      <c r="K104" s="92" t="str">
        <f t="shared" si="31"/>
        <v>4041/4042</v>
      </c>
      <c r="L104" s="21" t="str">
        <f>VLOOKUP(A104,'Trips&amp;Operators'!$C$1:$G$99999,5,FALSE)</f>
        <v>STEWART MICHAEL</v>
      </c>
      <c r="M104" s="6">
        <f t="shared" si="32"/>
        <v>2.7175925926712807E-2</v>
      </c>
      <c r="N104" s="7">
        <f t="shared" si="58"/>
        <v>39.133333334466442</v>
      </c>
      <c r="O104" s="7"/>
      <c r="P104" s="7"/>
      <c r="Q104" s="22"/>
      <c r="R104" s="173"/>
      <c r="S104" s="176">
        <f t="shared" si="50"/>
        <v>1</v>
      </c>
      <c r="T104" s="202" t="str">
        <f t="shared" si="35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6"/>
        <v>https://d0f6bd738d7f1b3e5a7ca70fe4ff75f0.us-east-1.aws.found.io/app/kibana#/discover/Steve-Slow-Train-Analysis-(2080s-and-2083s)?_g=(refreshInterval:(display:Off,pause:!f,section:0,value:0),time:(from:'2017-06-07T15:12:46-0600',mode:absolute,to:'2017-06-07T17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204" t="str">
        <f t="shared" si="52"/>
        <v>N</v>
      </c>
      <c r="X104" s="204">
        <f t="shared" si="51"/>
        <v>1</v>
      </c>
      <c r="Y104" s="204">
        <f t="shared" si="37"/>
        <v>23.2926</v>
      </c>
      <c r="Z104" s="204">
        <f t="shared" si="38"/>
        <v>2.5100000000000001E-2</v>
      </c>
      <c r="AA104" s="204">
        <f t="shared" si="39"/>
        <v>23.267500000000002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0"/>
        <v>0194-07</v>
      </c>
      <c r="AE104" s="80" t="str">
        <f t="shared" si="41"/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AF104" s="77" t="str">
        <f t="shared" si="42"/>
        <v>"C:\Program Files (x86)\AstroGrep\AstroGrep.exe" /e /r /s /spath="%USERPROFILE%\AppData\Local\Temp\OnboardLogs" /stypes="app*4041*20170607*" /stext=" 22:.+((SYSTEM_STATE.+slice.+state.+changed )|(ment ac)|(multiple cpu faults)|(system.+state.+changed )|(\[timeout)|(PRM\|1\|D)|(kpr)|(kdp)|(train st.+moving)|(\|lc)|(penalty))"</v>
      </c>
      <c r="AG104" s="1" t="str">
        <f t="shared" si="43"/>
        <v>EC</v>
      </c>
      <c r="AH104" s="81" t="str">
        <f t="shared" si="44"/>
        <v>"%USERPROFILE%\Documents\GitHub\eaglep3\Utilities\RefineRTDCRunTimes.py" --tripid 194-07 --locoid 4041 --swversion DE.1.0.9.0 --startMP 204:232926 --initTime 2017-06-07T16:12:46 --startdatetime 2017-06-07T16:15:43 --delay 1 --endMP 204:251 --enddatetime 2017-06-07T16:54:51 --enforcementcount 0 &gt;&gt;C:\Users\stu\Documents\GitHub\eaglep3-reporting\EC\2017-06-07-refined-times.txt</v>
      </c>
      <c r="AI104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{"issue":{"subject":"","project_id":79,"tracker_id":40,"status_id":1,"priority_id":2,"assigned_to_id":23,"start_date":"2017-06-07","description":"","custom_fields":[{"id":1,"name":"Subdivision","value":"EC"},{"id":4,"name":"Milepost","value":"0.0251"},{"id":17,"name":"Train ID","value":"194-07"},{"id":16,"name":"Locomotive ID","value":"4041"},{"id":130,"name":"Impact","value":""},{"id":150,"name":"Time of Event (Mountain Time)","value":"16:54:51"},{"id":151,"name":"Denver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6"/>
        <v>start /low /b %USERPROFILE%\Documents\GitHub\eaglep3\Utilities\DownloadLogsFromS3.py --loco 4041 --day 2017-06-07</v>
      </c>
      <c r="AN104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629</v>
      </c>
      <c r="B105" s="7">
        <v>4042</v>
      </c>
      <c r="C105" s="21" t="s">
        <v>204</v>
      </c>
      <c r="D105" s="21" t="s">
        <v>397</v>
      </c>
      <c r="E105" s="13">
        <v>42893.639710648145</v>
      </c>
      <c r="F105" s="13">
        <v>42893.646018518521</v>
      </c>
      <c r="G105" s="7">
        <v>1</v>
      </c>
      <c r="H105" s="21" t="s">
        <v>893</v>
      </c>
      <c r="I105" s="13">
        <v>42893.672662037039</v>
      </c>
      <c r="J105" s="7">
        <v>0</v>
      </c>
      <c r="K105" s="92" t="str">
        <f t="shared" si="31"/>
        <v>4041/4042</v>
      </c>
      <c r="L105" s="21" t="str">
        <f>VLOOKUP(A105,'Trips&amp;Operators'!$C$1:$G$99999,5,FALSE)</f>
        <v>STEWART MICHAEL</v>
      </c>
      <c r="M105" s="6">
        <f t="shared" si="32"/>
        <v>2.6643518518540077E-2</v>
      </c>
      <c r="N105" s="7">
        <f t="shared" si="58"/>
        <v>38.366666666697711</v>
      </c>
      <c r="O105" s="7"/>
      <c r="P105" s="7"/>
      <c r="Q105" s="22"/>
      <c r="R105" s="173"/>
      <c r="S105" s="176">
        <f t="shared" si="50"/>
        <v>1</v>
      </c>
      <c r="T105" s="202" t="str">
        <f t="shared" si="35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6"/>
        <v>https://d0f6bd738d7f1b3e5a7ca70fe4ff75f0.us-east-1.aws.found.io/app/kibana#/discover/Steve-Slow-Train-Analysis-(2080s-and-2083s)?_g=(refreshInterval:(display:Off,pause:!f,section:0,value:0),time:(from:'2017-06-07T14:21:11-0600',mode:absolute,to:'2017-06-07T17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204" t="str">
        <f t="shared" si="52"/>
        <v>N</v>
      </c>
      <c r="X105" s="204">
        <f t="shared" ref="X105:X136" si="59">VALUE(LEFT(AD105,4))-VALUE(LEFT(AD104,4))</f>
        <v>1</v>
      </c>
      <c r="Y105" s="204">
        <f t="shared" si="37"/>
        <v>4.6199999999999998E-2</v>
      </c>
      <c r="Z105" s="204">
        <f t="shared" si="38"/>
        <v>23.326599999999999</v>
      </c>
      <c r="AA105" s="204">
        <f t="shared" si="39"/>
        <v>23.2804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0"/>
        <v>0195-07</v>
      </c>
      <c r="AE105" s="80" t="str">
        <f t="shared" si="41"/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AF105" s="77" t="str">
        <f t="shared" si="42"/>
        <v>"C:\Program Files (x86)\AstroGrep\AstroGrep.exe" /e /r /s /spath="%USERPROFILE%\AppData\Local\Temp\OnboardLogs" /stypes="app*4042*20170607*" /stext=" 22:.+((SYSTEM_STATE.+slice.+state.+changed )|(ment ac)|(multiple cpu faults)|(system.+state.+changed )|(\[timeout)|(PRM\|1\|D)|(kpr)|(kdp)|(train st.+moving)|(\|lc)|(penalty))"</v>
      </c>
      <c r="AG105" s="1" t="str">
        <f t="shared" si="43"/>
        <v>EC</v>
      </c>
      <c r="AH105" s="81" t="str">
        <f t="shared" si="44"/>
        <v>"%USERPROFILE%\Documents\GitHub\eaglep3\Utilities\RefineRTDCRunTimes.py" --tripid 195-07 --locoid 4042 --swversion DE.1.0.9.0 --startMP 204:462 --initTime 2017-06-07T15:21:11 --startdatetime 2017-06-07T15:30:16 --delay 1 --endMP 204:233266 --enddatetime 2017-06-07T16:08:38 --enforcementcount 0 &gt;&gt;C:\Users\stu\Documents\GitHub\eaglep3-reporting\EC\2017-06-07-refined-times.txt</v>
      </c>
      <c r="AI105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{"issue":{"subject":"","project_id":79,"tracker_id":40,"status_id":1,"priority_id":2,"assigned_to_id":23,"start_date":"2017-06-07","description":"","custom_fields":[{"id":1,"name":"Subdivision","value":"EC"},{"id":4,"name":"Milepost","value":"23.3266"},{"id":17,"name":"Train ID","value":"195-07"},{"id":16,"name":"Locomotive ID","value":"4042"},{"id":130,"name":"Impact","value":""},{"id":150,"name":"Time of Event (Mountain Time)","value":"16:08:38"},{"id":151,"name":"Denver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6"/>
        <v>start /low /b %USERPROFILE%\Documents\GitHub\eaglep3\Utilities\DownloadLogsFromS3.py --loco 4042 --day 2017-06-07</v>
      </c>
      <c r="AN105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789</v>
      </c>
      <c r="B106" s="7">
        <v>4011</v>
      </c>
      <c r="C106" s="21" t="s">
        <v>204</v>
      </c>
      <c r="D106" s="21" t="s">
        <v>894</v>
      </c>
      <c r="E106" s="13">
        <v>42893.684074074074</v>
      </c>
      <c r="F106" s="13">
        <v>42893.686400462961</v>
      </c>
      <c r="G106" s="7">
        <v>1</v>
      </c>
      <c r="H106" s="21" t="s">
        <v>354</v>
      </c>
      <c r="I106" s="13">
        <v>42893.713564814818</v>
      </c>
      <c r="J106" s="7">
        <v>0</v>
      </c>
      <c r="K106" s="92" t="str">
        <f t="shared" si="31"/>
        <v>4011/4012</v>
      </c>
      <c r="L106" s="21" t="str">
        <f>VLOOKUP(A106,'Trips&amp;Operators'!$C$1:$G$99999,5,FALSE)</f>
        <v>DE LA ROSA ALEX</v>
      </c>
      <c r="M106" s="6">
        <f t="shared" si="32"/>
        <v>2.7164351857209112E-2</v>
      </c>
      <c r="N106" s="7">
        <f t="shared" si="58"/>
        <v>39.116666674381122</v>
      </c>
      <c r="O106" s="7"/>
      <c r="P106" s="7"/>
      <c r="Q106" s="22"/>
      <c r="R106" s="173"/>
      <c r="S106" s="176">
        <f t="shared" si="50"/>
        <v>1</v>
      </c>
      <c r="T106" s="202" t="str">
        <f t="shared" si="35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6"/>
        <v>https://d0f6bd738d7f1b3e5a7ca70fe4ff75f0.us-east-1.aws.found.io/app/kibana#/discover/Steve-Slow-Train-Analysis-(2080s-and-2083s)?_g=(refreshInterval:(display:Off,pause:!f,section:0,value:0),time:(from:'2017-06-07T15:25:04-0600',mode:absolute,to:'2017-06-07T18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204" t="str">
        <f t="shared" si="52"/>
        <v>N</v>
      </c>
      <c r="X106" s="204">
        <f t="shared" si="59"/>
        <v>1</v>
      </c>
      <c r="Y106" s="204">
        <f t="shared" si="37"/>
        <v>23.3005</v>
      </c>
      <c r="Z106" s="204">
        <f t="shared" si="38"/>
        <v>1.43E-2</v>
      </c>
      <c r="AA106" s="204">
        <f t="shared" si="39"/>
        <v>23.286200000000001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0"/>
        <v>0196-07</v>
      </c>
      <c r="AE106" s="80" t="str">
        <f t="shared" si="41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106" s="77" t="str">
        <f t="shared" si="42"/>
        <v>"C:\Program Files (x86)\AstroGrep\AstroGrep.exe" /e /r /s /spath="%USERPROFILE%\AppData\Local\Temp\OnboardLogs" /stypes="app*4011*20170607*" /stext=" 23:.+((SYSTEM_STATE.+slice.+state.+changed )|(ment ac)|(multiple cpu faults)|(system.+state.+changed )|(\[timeout)|(PRM\|1\|D)|(kpr)|(kdp)|(train st.+moving)|(\|lc)|(penalty))"</v>
      </c>
      <c r="AG106" s="1" t="str">
        <f t="shared" si="43"/>
        <v>EC</v>
      </c>
      <c r="AH106" s="81" t="str">
        <f t="shared" si="44"/>
        <v>"%USERPROFILE%\Documents\GitHub\eaglep3\Utilities\RefineRTDCRunTimes.py" --tripid 196-07 --locoid 4011 --swversion DE.1.0.9.0 --startMP 204:233005 --initTime 2017-06-07T16:25:04 --startdatetime 2017-06-07T16:28:25 --delay 1 --endMP 204:143 --enddatetime 2017-06-07T17:07:32 --enforcementcount 0 &gt;&gt;C:\Users\stu\Documents\GitHub\eaglep3-reporting\EC\2017-06-07-refined-times.txt</v>
      </c>
      <c r="AI106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{"issue":{"subject":"","project_id":79,"tracker_id":40,"status_id":1,"priority_id":2,"assigned_to_id":23,"start_date":"2017-06-07","description":"","custom_fields":[{"id":1,"name":"Subdivision","value":"EC"},{"id":4,"name":"Milepost","value":"0.0143"},{"id":17,"name":"Train ID","value":"196-07"},{"id":16,"name":"Locomotive ID","value":"4011"},{"id":130,"name":"Impact","value":""},{"id":150,"name":"Time of Event (Mountain Time)","value":"17:07:32"},{"id":151,"name":"Denver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7"/>
      <c r="AL106" s="47"/>
      <c r="AM106" s="145" t="str">
        <f t="shared" si="46"/>
        <v>start /low /b %USERPROFILE%\Documents\GitHub\eaglep3\Utilities\DownloadLogsFromS3.py --loco 4011 --day 2017-06-07</v>
      </c>
      <c r="AN106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783</v>
      </c>
      <c r="B107" s="7">
        <v>4012</v>
      </c>
      <c r="C107" s="21" t="s">
        <v>204</v>
      </c>
      <c r="D107" s="21" t="s">
        <v>456</v>
      </c>
      <c r="E107" s="13">
        <v>42893.652858796297</v>
      </c>
      <c r="F107" s="13">
        <v>42893.657152777778</v>
      </c>
      <c r="G107" s="7">
        <v>1</v>
      </c>
      <c r="H107" s="21" t="s">
        <v>895</v>
      </c>
      <c r="I107" s="13">
        <v>42893.68273148148</v>
      </c>
      <c r="J107" s="7">
        <v>0</v>
      </c>
      <c r="K107" s="92" t="str">
        <f t="shared" si="31"/>
        <v>4011/4012</v>
      </c>
      <c r="L107" s="21" t="str">
        <f>VLOOKUP(A107,'Trips&amp;Operators'!$C$1:$G$99999,5,FALSE)</f>
        <v>DE LA ROSA ALEX</v>
      </c>
      <c r="M107" s="6">
        <f t="shared" si="32"/>
        <v>2.5578703702194616E-2</v>
      </c>
      <c r="N107" s="7">
        <f t="shared" si="58"/>
        <v>36.833333331160247</v>
      </c>
      <c r="O107" s="7"/>
      <c r="P107" s="7"/>
      <c r="Q107" s="22"/>
      <c r="R107" s="173"/>
      <c r="S107" s="176">
        <f t="shared" si="50"/>
        <v>1</v>
      </c>
      <c r="T107" s="202" t="str">
        <f t="shared" si="35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6"/>
        <v>https://d0f6bd738d7f1b3e5a7ca70fe4ff75f0.us-east-1.aws.found.io/app/kibana#/discover/Steve-Slow-Train-Analysis-(2080s-and-2083s)?_g=(refreshInterval:(display:Off,pause:!f,section:0,value:0),time:(from:'2017-06-07T14:40:07-0600',mode:absolute,to:'2017-06-07T17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204" t="str">
        <f t="shared" si="52"/>
        <v>N</v>
      </c>
      <c r="X107" s="204">
        <f t="shared" si="59"/>
        <v>1</v>
      </c>
      <c r="Y107" s="204">
        <f t="shared" si="37"/>
        <v>4.6699999999999998E-2</v>
      </c>
      <c r="Z107" s="204">
        <f t="shared" si="38"/>
        <v>23.332000000000001</v>
      </c>
      <c r="AA107" s="204">
        <f t="shared" si="39"/>
        <v>23.285299999999999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0"/>
        <v>0197-07</v>
      </c>
      <c r="AE107" s="80" t="str">
        <f t="shared" si="41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107" s="77" t="str">
        <f t="shared" si="42"/>
        <v>"C:\Program Files (x86)\AstroGrep\AstroGrep.exe" /e /r /s /spath="%USERPROFILE%\AppData\Local\Temp\OnboardLogs" /stypes="app*4012*20170607*" /stext=" 22:.+((SYSTEM_STATE.+slice.+state.+changed )|(ment ac)|(multiple cpu faults)|(system.+state.+changed )|(\[timeout)|(PRM\|1\|D)|(kpr)|(kdp)|(train st.+moving)|(\|lc)|(penalty))"</v>
      </c>
      <c r="AG107" s="1" t="str">
        <f t="shared" si="43"/>
        <v>EC</v>
      </c>
      <c r="AH107" s="81" t="str">
        <f t="shared" si="44"/>
        <v>"%USERPROFILE%\Documents\GitHub\eaglep3\Utilities\RefineRTDCRunTimes.py" --tripid 197-07 --locoid 4012 --swversion DE.1.0.9.0 --startMP 204:467 --initTime 2017-06-07T15:40:07 --startdatetime 2017-06-07T15:46:18 --delay 1 --endMP 204:233320 --enddatetime 2017-06-07T16:23:08 --enforcementcount 0 &gt;&gt;C:\Users\stu\Documents\GitHub\eaglep3-reporting\EC\2017-06-07-refined-times.txt</v>
      </c>
      <c r="AI107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{"issue":{"subject":"","project_id":79,"tracker_id":40,"status_id":1,"priority_id":2,"assigned_to_id":23,"start_date":"2017-06-07","description":"","custom_fields":[{"id":1,"name":"Subdivision","value":"EC"},{"id":4,"name":"Milepost","value":"23.332"},{"id":17,"name":"Train ID","value":"197-07"},{"id":16,"name":"Locomotive ID","value":"4012"},{"id":130,"name":"Impact","value":""},{"id":150,"name":"Time of Event (Mountain Time)","value":"16:23:08"},{"id":151,"name":"Denver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6"/>
        <v>start /low /b %USERPROFILE%\Documents\GitHub\eaglep3\Utilities\DownloadLogsFromS3.py --loco 4012 --day 2017-06-07</v>
      </c>
      <c r="AN107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1036</v>
      </c>
      <c r="B108" s="7">
        <v>4031</v>
      </c>
      <c r="C108" s="21" t="s">
        <v>204</v>
      </c>
      <c r="D108" s="21" t="s">
        <v>579</v>
      </c>
      <c r="E108" s="13">
        <v>42893.6950462963</v>
      </c>
      <c r="F108" s="13">
        <v>42893.699444444443</v>
      </c>
      <c r="G108" s="7">
        <v>5</v>
      </c>
      <c r="H108" s="21" t="s">
        <v>457</v>
      </c>
      <c r="I108" s="13">
        <v>42893.725613425922</v>
      </c>
      <c r="J108" s="7">
        <v>0</v>
      </c>
      <c r="K108" s="92" t="str">
        <f t="shared" si="31"/>
        <v>4031/4032</v>
      </c>
      <c r="L108" s="21" t="s">
        <v>1037</v>
      </c>
      <c r="M108" s="6">
        <f t="shared" si="32"/>
        <v>2.6168981479713693E-2</v>
      </c>
      <c r="N108" s="7">
        <f t="shared" si="58"/>
        <v>37.683333330787718</v>
      </c>
      <c r="O108" s="7"/>
      <c r="P108" s="7"/>
      <c r="Q108" s="22"/>
      <c r="R108" s="173" t="s">
        <v>1038</v>
      </c>
      <c r="S108" s="176">
        <f t="shared" si="50"/>
        <v>1</v>
      </c>
      <c r="T108" s="202" t="str">
        <f t="shared" si="35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6"/>
        <v>https://d0f6bd738d7f1b3e5a7ca70fe4ff75f0.us-east-1.aws.found.io/app/kibana#/discover/Steve-Slow-Train-Analysis-(2080s-and-2083s)?_g=(refreshInterval:(display:Off,pause:!f,section:0,value:0),time:(from:'2017-06-07T15:40:52-0600',mode:absolute,to:'2017-06-07T18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204" t="str">
        <f t="shared" si="52"/>
        <v>N</v>
      </c>
      <c r="X108" s="204">
        <f t="shared" si="59"/>
        <v>1</v>
      </c>
      <c r="Y108" s="204">
        <f t="shared" si="37"/>
        <v>23.3</v>
      </c>
      <c r="Z108" s="204">
        <f t="shared" si="38"/>
        <v>1.5599999999999999E-2</v>
      </c>
      <c r="AA108" s="204">
        <f t="shared" si="39"/>
        <v>23.284400000000002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0"/>
        <v>0198-07</v>
      </c>
      <c r="AE108" s="80" t="str">
        <f t="shared" si="41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108" s="77" t="str">
        <f t="shared" si="42"/>
        <v>"C:\Program Files (x86)\AstroGrep\AstroGrep.exe" /e /r /s /spath="%USERPROFILE%\AppData\Local\Temp\OnboardLogs" /stypes="app*4031*20170607*" /stext=" 23:.+((SYSTEM_STATE.+slice.+state.+changed )|(ment ac)|(multiple cpu faults)|(system.+state.+changed )|(\[timeout)|(PRM\|1\|D)|(kpr)|(kdp)|(train st.+moving)|(\|lc)|(penalty))"</v>
      </c>
      <c r="AG108" s="1" t="str">
        <f t="shared" si="43"/>
        <v>EC</v>
      </c>
      <c r="AH108" s="81" t="str">
        <f t="shared" si="44"/>
        <v>"%USERPROFILE%\Documents\GitHub\eaglep3\Utilities\RefineRTDCRunTimes.py" --tripid 198-07 --locoid 4031 --swversion DE.1.0.9.0 --startMP 204:233000 --initTime 2017-06-07T16:40:52 --startdatetime 2017-06-07T16:47:12 --delay 5 --endMP 204:156 --enddatetime 2017-06-07T17:24:53 --enforcementcount 0 &gt;&gt;C:\Users\stu\Documents\GitHub\eaglep3-reporting\EC\2017-06-07-refined-times.txt</v>
      </c>
      <c r="AI108" s="99" t="str">
        <f t="shared" si="45"/>
        <v>echo {"issue":{"subject":"Ran as trip 58 due to operator swap","project_id":79,"tracker_id":40,"status_id":1,"priority_id":2,"assigned_to_id":23,"start_date":"2017-06-07","description":"","custom_fields":[{"id":1,"name":"Subdivision","value":"EC"},{"id":4,"name":"Milepost","value":"0.0156"},{"id":17,"name":"Train ID","value":"198-07"},{"id":16,"name":"Locomotive ID","value":"4031"},{"id":130,"name":"Impact","value":""},{"id":150,"name":"Time of Event (Mountain Time)","value":"17:24:53"},{"id":151,"name":"Denver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6"/>
        <v>start /low /b %USERPROFILE%\Documents\GitHub\eaglep3\Utilities\DownloadLogsFromS3.py --loco 4031 --day 2017-06-07</v>
      </c>
      <c r="AN108" s="154" t="str">
        <f t="shared" si="47"/>
        <v>echo {"issue":{"subject":"Ran as trip 58 due to operator swap","project_id":30,"tracker_id":4,"status_id":1,"priority_id":1,"assigned_to_id":10,"start_date":"2017-06-07","description":"","custom_fields":[{"id":30,"name":"Category","value":"Issue"},{"id":3,"name":"Functional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2" t="s">
        <v>785</v>
      </c>
      <c r="B109" s="7">
        <v>4032</v>
      </c>
      <c r="C109" s="21" t="s">
        <v>204</v>
      </c>
      <c r="D109" s="21" t="s">
        <v>360</v>
      </c>
      <c r="E109" s="13">
        <v>42893.657731481479</v>
      </c>
      <c r="F109" s="13">
        <v>42893.66684027778</v>
      </c>
      <c r="G109" s="7">
        <v>1</v>
      </c>
      <c r="H109" s="21" t="s">
        <v>896</v>
      </c>
      <c r="I109" s="13">
        <v>42893.692210648151</v>
      </c>
      <c r="J109" s="7">
        <v>0</v>
      </c>
      <c r="K109" s="92" t="str">
        <f t="shared" si="31"/>
        <v>4031/4032</v>
      </c>
      <c r="L109" s="21" t="str">
        <f>VLOOKUP(A109,'Trips&amp;Operators'!$C$1:$G$99999,5,FALSE)</f>
        <v>BRUDER RICHARD</v>
      </c>
      <c r="M109" s="6">
        <f t="shared" si="32"/>
        <v>2.5370370371092577E-2</v>
      </c>
      <c r="N109" s="7">
        <f t="shared" si="58"/>
        <v>36.53333333437331</v>
      </c>
      <c r="O109" s="7"/>
      <c r="P109" s="7"/>
      <c r="Q109" s="22"/>
      <c r="R109" s="173"/>
      <c r="S109" s="176">
        <f t="shared" si="50"/>
        <v>1</v>
      </c>
      <c r="T109" s="202" t="str">
        <f t="shared" si="35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6"/>
        <v>https://d0f6bd738d7f1b3e5a7ca70fe4ff75f0.us-east-1.aws.found.io/app/kibana#/discover/Steve-Slow-Train-Analysis-(2080s-and-2083s)?_g=(refreshInterval:(display:Off,pause:!f,section:0,value:0),time:(from:'2017-06-07T14:47:08-0600',mode:absolute,to:'2017-06-07T17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9" s="204" t="str">
        <f t="shared" si="52"/>
        <v>N</v>
      </c>
      <c r="X109" s="204">
        <f t="shared" si="59"/>
        <v>1</v>
      </c>
      <c r="Y109" s="204">
        <f t="shared" ref="Y109:Y140" si="60">RIGHT(D109,LEN(D109)-4)/10000</f>
        <v>4.4699999999999997E-2</v>
      </c>
      <c r="Z109" s="204">
        <f t="shared" ref="Z109:Z140" si="61">RIGHT(H109,LEN(H109)-4)/10000</f>
        <v>23.321000000000002</v>
      </c>
      <c r="AA109" s="204">
        <f t="shared" si="39"/>
        <v>23.276300000000003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0"/>
        <v>0199-07</v>
      </c>
      <c r="AE109" s="80" t="str">
        <f t="shared" si="41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109" s="77" t="str">
        <f t="shared" si="42"/>
        <v>"C:\Program Files (x86)\AstroGrep\AstroGrep.exe" /e /r /s /spath="%USERPROFILE%\AppData\Local\Temp\OnboardLogs" /stypes="app*4032*20170607*" /stext=" 22:.+((SYSTEM_STATE.+slice.+state.+changed )|(ment ac)|(multiple cpu faults)|(system.+state.+changed )|(\[timeout)|(PRM\|1\|D)|(kpr)|(kdp)|(train st.+moving)|(\|lc)|(penalty))"</v>
      </c>
      <c r="AG109" s="1" t="str">
        <f t="shared" si="43"/>
        <v>EC</v>
      </c>
      <c r="AH109" s="81" t="str">
        <f t="shared" si="44"/>
        <v>"%USERPROFILE%\Documents\GitHub\eaglep3\Utilities\RefineRTDCRunTimes.py" --tripid 199-07 --locoid 4032 --swversion DE.1.0.9.0 --startMP 204:447 --initTime 2017-06-07T15:47:08 --startdatetime 2017-06-07T16:00:15 --delay 1 --endMP 204:233210 --enddatetime 2017-06-07T16:36:47 --enforcementcount 0 &gt;&gt;C:\Users\stu\Documents\GitHub\eaglep3-reporting\EC\2017-06-07-refined-times.txt</v>
      </c>
      <c r="AI109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{"issue":{"subject":"","project_id":79,"tracker_id":40,"status_id":1,"priority_id":2,"assigned_to_id":23,"start_date":"2017-06-07","description":"","custom_fields":[{"id":1,"name":"Subdivision","value":"EC"},{"id":4,"name":"Milepost","value":"23.321"},{"id":17,"name":"Train ID","value":"199-07"},{"id":16,"name":"Locomotive ID","value":"4032"},{"id":130,"name":"Impact","value":""},{"id":150,"name":"Time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6"/>
        <v>start /low /b %USERPROFILE%\Documents\GitHub\eaglep3\Utilities\DownloadLogsFromS3.py --loco 4032 --day 2017-06-07</v>
      </c>
      <c r="AN109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796</v>
      </c>
      <c r="B110" s="7">
        <v>4057</v>
      </c>
      <c r="C110" s="21" t="s">
        <v>204</v>
      </c>
      <c r="D110" s="21" t="s">
        <v>565</v>
      </c>
      <c r="E110" s="13">
        <v>42893.705312500002</v>
      </c>
      <c r="F110" s="13">
        <v>42893.707314814812</v>
      </c>
      <c r="G110" s="7">
        <v>1</v>
      </c>
      <c r="H110" s="21" t="s">
        <v>353</v>
      </c>
      <c r="I110" s="13">
        <v>42893.733819444446</v>
      </c>
      <c r="J110" s="7">
        <v>0</v>
      </c>
      <c r="K110" s="92" t="str">
        <f t="shared" si="31"/>
        <v>4057/4058</v>
      </c>
      <c r="L110" s="21" t="str">
        <f>VLOOKUP(A110,'Trips&amp;Operators'!$C$1:$G$99999,5,FALSE)</f>
        <v>MOSES BRADLEY</v>
      </c>
      <c r="M110" s="6">
        <f t="shared" si="32"/>
        <v>2.6504629633564036E-2</v>
      </c>
      <c r="N110" s="7">
        <f t="shared" si="58"/>
        <v>38.166666672332212</v>
      </c>
      <c r="O110" s="7"/>
      <c r="P110" s="7"/>
      <c r="Q110" s="22"/>
      <c r="R110" s="173"/>
      <c r="S110" s="176">
        <f t="shared" si="50"/>
        <v>1</v>
      </c>
      <c r="T110" s="202" t="str">
        <f t="shared" si="35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6"/>
        <v>https://d0f6bd738d7f1b3e5a7ca70fe4ff75f0.us-east-1.aws.found.io/app/kibana#/discover/Steve-Slow-Train-Analysis-(2080s-and-2083s)?_g=(refreshInterval:(display:Off,pause:!f,section:0,value:0),time:(from:'2017-06-07T15:55:39-0600',mode:absolute,to:'2017-06-07T18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0" s="204" t="str">
        <f t="shared" si="52"/>
        <v>N</v>
      </c>
      <c r="X110" s="204">
        <f t="shared" si="59"/>
        <v>1</v>
      </c>
      <c r="Y110" s="204">
        <f t="shared" si="60"/>
        <v>23.302800000000001</v>
      </c>
      <c r="Z110" s="204">
        <f t="shared" si="61"/>
        <v>1.49E-2</v>
      </c>
      <c r="AA110" s="204">
        <f t="shared" si="39"/>
        <v>23.2879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0"/>
        <v>0200-07</v>
      </c>
      <c r="AE110" s="80" t="str">
        <f t="shared" si="41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110" s="77" t="str">
        <f t="shared" si="42"/>
        <v>"C:\Program Files (x86)\AstroGrep\AstroGrep.exe" /e /r /s /spath="%USERPROFILE%\AppData\Local\Temp\OnboardLogs" /stypes="app*4057*20170607*" /stext=" 23:.+((SYSTEM_STATE.+slice.+state.+changed )|(ment ac)|(multiple cpu faults)|(system.+state.+changed )|(\[timeout)|(PRM\|1\|D)|(kpr)|(kdp)|(train st.+moving)|(\|lc)|(penalty))"</v>
      </c>
      <c r="AG110" s="1" t="str">
        <f t="shared" si="43"/>
        <v>EC</v>
      </c>
      <c r="AH110" s="81" t="str">
        <f t="shared" si="44"/>
        <v>"%USERPROFILE%\Documents\GitHub\eaglep3\Utilities\RefineRTDCRunTimes.py" --tripid 200-07 --locoid 4057 --swversion DE.1.0.9.0 --startMP 204:233028 --initTime 2017-06-07T16:55:39 --startdatetime 2017-06-07T16:58:32 --delay 1 --endMP 204:149 --enddatetime 2017-06-07T17:36:42 --enforcementcount 0 &gt;&gt;C:\Users\stu\Documents\GitHub\eaglep3-reporting\EC\2017-06-07-refined-times.txt</v>
      </c>
      <c r="AI110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{"issue":{"subject":"","project_id":79,"tracker_id":40,"status_id":1,"priority_id":2,"assigned_to_id":23,"start_date":"2017-06-07","description":"","custom_fields":[{"id":1,"name":"Subdivision","value":"EC"},{"id":4,"name":"Milepost","value":"0.0149"},{"id":17,"name":"Train ID","value":"200-07"},{"id":16,"name":"Locomotive ID","value":"4057"},{"id":130,"name":"Impact","value":""},{"id":150,"name":"Time of Event (Mountain Time)","value":"17:36:42"},{"id":151,"name":"Denver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6"/>
        <v>start /low /b %USERPROFILE%\Documents\GitHub\eaglep3\Utilities\DownloadLogsFromS3.py --loco 4057 --day 2017-06-07</v>
      </c>
      <c r="AN110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633</v>
      </c>
      <c r="B111" s="7">
        <v>4028</v>
      </c>
      <c r="C111" s="21" t="s">
        <v>204</v>
      </c>
      <c r="D111" s="21" t="s">
        <v>529</v>
      </c>
      <c r="E111" s="13">
        <v>42893.669733796298</v>
      </c>
      <c r="F111" s="13">
        <v>42893.677291666667</v>
      </c>
      <c r="G111" s="7">
        <v>1</v>
      </c>
      <c r="H111" s="21" t="s">
        <v>897</v>
      </c>
      <c r="I111" s="13">
        <v>42893.705775462964</v>
      </c>
      <c r="J111" s="7">
        <v>0</v>
      </c>
      <c r="K111" s="92" t="str">
        <f t="shared" si="31"/>
        <v>4027/4028</v>
      </c>
      <c r="L111" s="21" t="str">
        <f>VLOOKUP(A111,'Trips&amp;Operators'!$C$1:$G$99999,5,FALSE)</f>
        <v>LEVIN SCOTT</v>
      </c>
      <c r="M111" s="6">
        <f t="shared" si="32"/>
        <v>2.8483796297223307E-2</v>
      </c>
      <c r="N111" s="7">
        <f t="shared" si="58"/>
        <v>41.016666668001562</v>
      </c>
      <c r="O111" s="7"/>
      <c r="P111" s="7"/>
      <c r="Q111" s="22"/>
      <c r="R111" s="173"/>
      <c r="S111" s="176">
        <f t="shared" si="50"/>
        <v>1</v>
      </c>
      <c r="T111" s="202" t="str">
        <f t="shared" si="35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6"/>
        <v>https://d0f6bd738d7f1b3e5a7ca70fe4ff75f0.us-east-1.aws.found.io/app/kibana#/discover/Steve-Slow-Train-Analysis-(2080s-and-2083s)?_g=(refreshInterval:(display:Off,pause:!f,section:0,value:0),time:(from:'2017-06-07T15:04:25-0600',mode:absolute,to:'2017-06-07T17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1" s="204" t="str">
        <f t="shared" si="52"/>
        <v>N</v>
      </c>
      <c r="X111" s="204">
        <f t="shared" si="59"/>
        <v>1</v>
      </c>
      <c r="Y111" s="204">
        <f t="shared" si="60"/>
        <v>4.7100000000000003E-2</v>
      </c>
      <c r="Z111" s="204">
        <f t="shared" si="61"/>
        <v>23.334</v>
      </c>
      <c r="AA111" s="204">
        <f t="shared" si="39"/>
        <v>23.286899999999999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0"/>
        <v>0201-07</v>
      </c>
      <c r="AE111" s="80" t="str">
        <f t="shared" si="41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111" s="77" t="str">
        <f t="shared" si="42"/>
        <v>"C:\Program Files (x86)\AstroGrep\AstroGrep.exe" /e /r /s /spath="%USERPROFILE%\AppData\Local\Temp\OnboardLogs" /stypes="app*4028*20170607*" /stext=" 22:.+((SYSTEM_STATE.+slice.+state.+changed )|(ment ac)|(multiple cpu faults)|(system.+state.+changed )|(\[timeout)|(PRM\|1\|D)|(kpr)|(kdp)|(train st.+moving)|(\|lc)|(penalty))"</v>
      </c>
      <c r="AG111" s="1" t="str">
        <f t="shared" si="43"/>
        <v>EC</v>
      </c>
      <c r="AH111" s="81" t="str">
        <f t="shared" si="44"/>
        <v>"%USERPROFILE%\Documents\GitHub\eaglep3\Utilities\RefineRTDCRunTimes.py" --tripid 201-07 --locoid 4028 --swversion DE.1.0.9.0 --startMP 204:471 --initTime 2017-06-07T16:04:25 --startdatetime 2017-06-07T16:15:18 --delay 1 --endMP 204:233340 --enddatetime 2017-06-07T16:56:19 --enforcementcount 0 &gt;&gt;C:\Users\stu\Documents\GitHub\eaglep3-reporting\EC\2017-06-07-refined-times.txt</v>
      </c>
      <c r="AI111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{"issue":{"subject":"","project_id":79,"tracker_id":40,"status_id":1,"priority_id":2,"assigned_to_id":23,"start_date":"2017-06-07","description":"","custom_fields":[{"id":1,"name":"Subdivision","value":"EC"},{"id":4,"name":"Milepost","value":"23.334"},{"id":17,"name":"Train ID","value":"201-07"},{"id":16,"name":"Locomotive ID","value":"4028"},{"id":130,"name":"Impact","value":""},{"id":150,"name":"Time of Event (Mountain Time)","value":"16:56:19"},{"id":151,"name":"Denver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6"/>
        <v>start /low /b %USERPROFILE%\Documents\GitHub\eaglep3\Utilities\DownloadLogsFromS3.py --loco 4028 --day 2017-06-07</v>
      </c>
      <c r="AN111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798</v>
      </c>
      <c r="B112" s="7">
        <v>4027</v>
      </c>
      <c r="C112" s="21" t="s">
        <v>204</v>
      </c>
      <c r="D112" s="21" t="s">
        <v>898</v>
      </c>
      <c r="E112" s="13">
        <v>42893.713310185187</v>
      </c>
      <c r="F112" s="13">
        <v>42893.717303240737</v>
      </c>
      <c r="G112" s="7">
        <v>1</v>
      </c>
      <c r="H112" s="21" t="s">
        <v>899</v>
      </c>
      <c r="I112" s="13">
        <v>42893.746030092596</v>
      </c>
      <c r="J112" s="7">
        <v>0</v>
      </c>
      <c r="K112" s="92" t="str">
        <f t="shared" si="31"/>
        <v>4027/4028</v>
      </c>
      <c r="L112" s="21" t="str">
        <f>VLOOKUP(A112,'Trips&amp;Operators'!$C$1:$G$99999,5,FALSE)</f>
        <v>LEVIN SCOTT</v>
      </c>
      <c r="M112" s="6">
        <f t="shared" si="32"/>
        <v>2.8726851858664304E-2</v>
      </c>
      <c r="N112" s="7">
        <f t="shared" si="58"/>
        <v>41.366666676476598</v>
      </c>
      <c r="O112" s="7"/>
      <c r="P112" s="7"/>
      <c r="Q112" s="22"/>
      <c r="R112" s="173"/>
      <c r="S112" s="176">
        <f t="shared" si="50"/>
        <v>1</v>
      </c>
      <c r="T112" s="202" t="str">
        <f t="shared" si="35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6"/>
        <v>https://d0f6bd738d7f1b3e5a7ca70fe4ff75f0.us-east-1.aws.found.io/app/kibana#/discover/Steve-Slow-Train-Analysis-(2080s-and-2083s)?_g=(refreshInterval:(display:Off,pause:!f,section:0,value:0),time:(from:'2017-06-07T16:07:10-0600',mode:absolute,to:'2017-06-07T18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204" t="str">
        <f t="shared" si="52"/>
        <v>N</v>
      </c>
      <c r="X112" s="204">
        <f t="shared" si="59"/>
        <v>1</v>
      </c>
      <c r="Y112" s="204">
        <f t="shared" si="60"/>
        <v>23.303599999999999</v>
      </c>
      <c r="Z112" s="204">
        <f t="shared" si="61"/>
        <v>1.32E-2</v>
      </c>
      <c r="AA112" s="204">
        <f t="shared" si="39"/>
        <v>23.290399999999998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0"/>
        <v>0202-07</v>
      </c>
      <c r="AE112" s="80" t="str">
        <f t="shared" si="41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112" s="77" t="str">
        <f t="shared" si="42"/>
        <v>"C:\Program Files (x86)\AstroGrep\AstroGrep.exe" /e /r /s /spath="%USERPROFILE%\AppData\Local\Temp\OnboardLogs" /stypes="app*4027*20170607*" /stext=" 23:.+((SYSTEM_STATE.+slice.+state.+changed )|(ment ac)|(multiple cpu faults)|(system.+state.+changed )|(\[timeout)|(PRM\|1\|D)|(kpr)|(kdp)|(train st.+moving)|(\|lc)|(penalty))"</v>
      </c>
      <c r="AG112" s="1" t="str">
        <f t="shared" si="43"/>
        <v>EC</v>
      </c>
      <c r="AH112" s="81" t="str">
        <f t="shared" si="44"/>
        <v>"%USERPROFILE%\Documents\GitHub\eaglep3\Utilities\RefineRTDCRunTimes.py" --tripid 202-07 --locoid 4027 --swversion DE.1.0.9.0 --startMP 204:233036 --initTime 2017-06-07T17:07:10 --startdatetime 2017-06-07T17:12:55 --delay 1 --endMP 204:132 --enddatetime 2017-06-07T17:54:17 --enforcementcount 0 &gt;&gt;C:\Users\stu\Documents\GitHub\eaglep3-reporting\EC\2017-06-07-refined-times.txt</v>
      </c>
      <c r="AI112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{"issue":{"subject":"","project_id":79,"tracker_id":40,"status_id":1,"priority_id":2,"assigned_to_id":23,"start_date":"2017-06-07","description":"","custom_fields":[{"id":1,"name":"Subdivision","value":"EC"},{"id":4,"name":"Milepost","value":"0.0132"},{"id":17,"name":"Train ID","value":"202-07"},{"id":16,"name":"Locomotive ID","value":"4027"},{"id":130,"name":"Impact","value":""},{"id":150,"name":"Time of Event (Mountain Time)","value":"17:54:17"},{"id":151,"name":"Denver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6"/>
        <v>start /low /b %USERPROFILE%\Documents\GitHub\eaglep3\Utilities\DownloadLogsFromS3.py --loco 4027 --day 2017-06-07</v>
      </c>
      <c r="AN112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790</v>
      </c>
      <c r="B113" s="7">
        <v>4016</v>
      </c>
      <c r="C113" s="21" t="s">
        <v>204</v>
      </c>
      <c r="D113" s="21" t="s">
        <v>360</v>
      </c>
      <c r="E113" s="13">
        <v>42893.684999999998</v>
      </c>
      <c r="F113" s="13">
        <v>42893.687685185185</v>
      </c>
      <c r="G113" s="7">
        <v>3</v>
      </c>
      <c r="H113" s="21" t="s">
        <v>398</v>
      </c>
      <c r="I113" s="13">
        <v>42893.714166666665</v>
      </c>
      <c r="J113" s="7">
        <v>0</v>
      </c>
      <c r="K113" s="92" t="str">
        <f t="shared" si="31"/>
        <v>4015/4016</v>
      </c>
      <c r="L113" s="21" t="str">
        <f>VLOOKUP(A113,'Trips&amp;Operators'!$C$1:$G$99999,5,FALSE)</f>
        <v>DELGADO DIANAH</v>
      </c>
      <c r="M113" s="6">
        <f t="shared" si="32"/>
        <v>2.6481481480004732E-2</v>
      </c>
      <c r="N113" s="7">
        <f t="shared" si="58"/>
        <v>38.133333331206813</v>
      </c>
      <c r="O113" s="7"/>
      <c r="P113" s="7"/>
      <c r="Q113" s="22"/>
      <c r="R113" s="173"/>
      <c r="S113" s="176">
        <f t="shared" si="50"/>
        <v>1</v>
      </c>
      <c r="T113" s="202" t="str">
        <f t="shared" si="35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6"/>
        <v>https://d0f6bd738d7f1b3e5a7ca70fe4ff75f0.us-east-1.aws.found.io/app/kibana#/discover/Steve-Slow-Train-Analysis-(2080s-and-2083s)?_g=(refreshInterval:(display:Off,pause:!f,section:0,value:0),time:(from:'2017-06-07T15:26:24-0600',mode:absolute,to:'2017-06-07T18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204" t="str">
        <f t="shared" si="52"/>
        <v>N</v>
      </c>
      <c r="X113" s="204">
        <f t="shared" si="59"/>
        <v>1</v>
      </c>
      <c r="Y113" s="204">
        <f t="shared" si="60"/>
        <v>4.4699999999999997E-2</v>
      </c>
      <c r="Z113" s="204">
        <f t="shared" si="61"/>
        <v>23.3293</v>
      </c>
      <c r="AA113" s="204">
        <f t="shared" si="39"/>
        <v>23.284600000000001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0"/>
        <v>0203-07</v>
      </c>
      <c r="AE113" s="80" t="str">
        <f t="shared" si="41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113" s="77" t="str">
        <f t="shared" si="42"/>
        <v>"C:\Program Files (x86)\AstroGrep\AstroGrep.exe" /e /r /s /spath="%USERPROFILE%\AppData\Local\Temp\OnboardLogs" /stypes="app*4016*20170607*" /stext=" 23:.+((SYSTEM_STATE.+slice.+state.+changed )|(ment ac)|(multiple cpu faults)|(system.+state.+changed )|(\[timeout)|(PRM\|1\|D)|(kpr)|(kdp)|(train st.+moving)|(\|lc)|(penalty))"</v>
      </c>
      <c r="AG113" s="1" t="str">
        <f t="shared" si="43"/>
        <v>EC</v>
      </c>
      <c r="AH113" s="81" t="str">
        <f t="shared" si="44"/>
        <v>"%USERPROFILE%\Documents\GitHub\eaglep3\Utilities\RefineRTDCRunTimes.py" --tripid 203-07 --locoid 4016 --swversion DE.1.0.9.0 --startMP 204:447 --initTime 2017-06-07T16:26:24 --startdatetime 2017-06-07T16:30:16 --delay 3 --endMP 204:233293 --enddatetime 2017-06-07T17:08:24 --enforcementcount 0 &gt;&gt;C:\Users\stu\Documents\GitHub\eaglep3-reporting\EC\2017-06-07-refined-times.txt</v>
      </c>
      <c r="AI113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{"issue":{"subject":"","project_id":79,"tracker_id":40,"status_id":1,"priority_id":2,"assigned_to_id":23,"start_date":"2017-06-07","description":"","custom_fields":[{"id":1,"name":"Subdivision","value":"EC"},{"id":4,"name":"Milepost","value":"23.3293"},{"id":17,"name":"Train ID","value":"203-07"},{"id":16,"name":"Locomotive ID","value":"4016"},{"id":130,"name":"Impact","value":""},{"id":150,"name":"Time of Event (Mountain Time)","value":"17:08:24"},{"id":151,"name":"Denver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6"/>
        <v>start /low /b %USERPROFILE%\Documents\GitHub\eaglep3\Utilities\DownloadLogsFromS3.py --loco 4016 --day 2017-06-07</v>
      </c>
      <c r="AN113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801</v>
      </c>
      <c r="B114" s="7">
        <v>4015</v>
      </c>
      <c r="C114" s="21" t="s">
        <v>204</v>
      </c>
      <c r="D114" s="21" t="s">
        <v>462</v>
      </c>
      <c r="E114" s="13">
        <v>42893.718055555553</v>
      </c>
      <c r="F114" s="13">
        <v>42893.727905092594</v>
      </c>
      <c r="G114" s="7">
        <v>1</v>
      </c>
      <c r="H114" s="21" t="s">
        <v>401</v>
      </c>
      <c r="I114" s="13">
        <v>42893.756203703706</v>
      </c>
      <c r="J114" s="7">
        <v>0</v>
      </c>
      <c r="K114" s="92" t="str">
        <f t="shared" si="31"/>
        <v>4015/4016</v>
      </c>
      <c r="L114" s="21" t="str">
        <f>VLOOKUP(A114,'Trips&amp;Operators'!$C$1:$G$99999,5,FALSE)</f>
        <v>DELGADO DIANAH</v>
      </c>
      <c r="M114" s="6">
        <f t="shared" si="32"/>
        <v>2.8298611112404615E-2</v>
      </c>
      <c r="N114" s="7">
        <f t="shared" si="58"/>
        <v>40.750000001862645</v>
      </c>
      <c r="O114" s="7"/>
      <c r="P114" s="7"/>
      <c r="Q114" s="22"/>
      <c r="R114" s="173"/>
      <c r="S114" s="176">
        <f t="shared" si="50"/>
        <v>1</v>
      </c>
      <c r="T114" s="202" t="str">
        <f t="shared" si="35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6"/>
        <v>https://d0f6bd738d7f1b3e5a7ca70fe4ff75f0.us-east-1.aws.found.io/app/kibana#/discover/Steve-Slow-Train-Analysis-(2080s-and-2083s)?_g=(refreshInterval:(display:Off,pause:!f,section:0,value:0),time:(from:'2017-06-07T16:14:00-0600',mode:absolute,to:'2017-06-07T19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204" t="str">
        <f t="shared" si="52"/>
        <v>N</v>
      </c>
      <c r="X114" s="204">
        <f t="shared" si="59"/>
        <v>1</v>
      </c>
      <c r="Y114" s="204">
        <f t="shared" si="60"/>
        <v>23.297799999999999</v>
      </c>
      <c r="Z114" s="204">
        <f t="shared" si="61"/>
        <v>1.54E-2</v>
      </c>
      <c r="AA114" s="204">
        <f t="shared" si="39"/>
        <v>23.282399999999999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0"/>
        <v>0204-07</v>
      </c>
      <c r="AE114" s="80" t="str">
        <f t="shared" si="41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114" s="77" t="str">
        <f t="shared" si="42"/>
        <v>"C:\Program Files (x86)\AstroGrep\AstroGrep.exe" /e /r /s /spath="%USERPROFILE%\AppData\Local\Temp\OnboardLogs" /stypes="app*4015*20170608*" /stext=" 00:.+((SYSTEM_STATE.+slice.+state.+changed )|(ment ac)|(multiple cpu faults)|(system.+state.+changed )|(\[timeout)|(PRM\|1\|D)|(kpr)|(kdp)|(train st.+moving)|(\|lc)|(penalty))"</v>
      </c>
      <c r="AG114" s="1" t="str">
        <f t="shared" si="43"/>
        <v>EC</v>
      </c>
      <c r="AH114" s="81" t="str">
        <f t="shared" si="44"/>
        <v>"%USERPROFILE%\Documents\GitHub\eaglep3\Utilities\RefineRTDCRunTimes.py" --tripid 204-07 --locoid 4015 --swversion DE.1.0.9.0 --startMP 204:232978 --initTime 2017-06-07T17:14:00 --startdatetime 2017-06-07T17:28:11 --delay 1 --endMP 204:154 --enddatetime 2017-06-07T18:08:56 --enforcementcount 0 &gt;&gt;C:\Users\stu\Documents\GitHub\eaglep3-reporting\EC\2017-06-07-refined-times.txt</v>
      </c>
      <c r="AI114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{"issue":{"subject":"","project_id":79,"tracker_id":40,"status_id":1,"priority_id":2,"assigned_to_id":23,"start_date":"2017-06-07","description":"","custom_fields":[{"id":1,"name":"Subdivision","value":"EC"},{"id":4,"name":"Milepost","value":"0.0154"},{"id":17,"name":"Train ID","value":"204-07"},{"id":16,"name":"Locomotive ID","value":"4015"},{"id":130,"name":"Impact","value":""},{"id":150,"name":"Time of Event (Mountain Time)","value":"18:08:56"},{"id":151,"name":"Denver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6"/>
        <v>start /low /b %USERPROFILE%\Documents\GitHub\eaglep3\Utilities\DownloadLogsFromS3.py --loco 4015 --day 2017-06-07</v>
      </c>
      <c r="AN114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792</v>
      </c>
      <c r="B115" s="7">
        <v>4046</v>
      </c>
      <c r="C115" s="21" t="s">
        <v>204</v>
      </c>
      <c r="D115" s="21" t="s">
        <v>200</v>
      </c>
      <c r="E115" s="13">
        <v>42893.693703703706</v>
      </c>
      <c r="F115" s="13">
        <v>42893.698148148149</v>
      </c>
      <c r="G115" s="7">
        <v>1</v>
      </c>
      <c r="H115" s="21" t="s">
        <v>566</v>
      </c>
      <c r="I115" s="13">
        <v>42893.724351851852</v>
      </c>
      <c r="J115" s="7">
        <v>0</v>
      </c>
      <c r="K115" s="92" t="str">
        <f t="shared" si="31"/>
        <v>4045/4046</v>
      </c>
      <c r="L115" s="21" t="str">
        <f>VLOOKUP(A115,'Trips&amp;Operators'!$C$1:$G$99999,5,FALSE)</f>
        <v>HOLCOMB KAMDEN</v>
      </c>
      <c r="M115" s="6">
        <f t="shared" si="32"/>
        <v>2.6203703702776693E-2</v>
      </c>
      <c r="N115" s="7">
        <f t="shared" si="58"/>
        <v>37.733333331998438</v>
      </c>
      <c r="O115" s="7"/>
      <c r="P115" s="7"/>
      <c r="Q115" s="22"/>
      <c r="R115" s="173"/>
      <c r="S115" s="176">
        <f t="shared" si="50"/>
        <v>1</v>
      </c>
      <c r="T115" s="202" t="str">
        <f t="shared" si="35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6"/>
        <v>https://d0f6bd738d7f1b3e5a7ca70fe4ff75f0.us-east-1.aws.found.io/app/kibana#/discover/Steve-Slow-Train-Analysis-(2080s-and-2083s)?_g=(refreshInterval:(display:Off,pause:!f,section:0,value:0),time:(from:'2017-06-07T15:38:56-0600',mode:absolute,to:'2017-06-07T18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5" s="204" t="str">
        <f t="shared" si="52"/>
        <v>N</v>
      </c>
      <c r="X115" s="204">
        <f t="shared" si="59"/>
        <v>1</v>
      </c>
      <c r="Y115" s="204">
        <f t="shared" si="60"/>
        <v>4.5699999999999998E-2</v>
      </c>
      <c r="Z115" s="204">
        <f t="shared" si="61"/>
        <v>23.328700000000001</v>
      </c>
      <c r="AA115" s="204">
        <f t="shared" si="39"/>
        <v>23.283000000000001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0"/>
        <v>0205-07</v>
      </c>
      <c r="AE115" s="80" t="str">
        <f t="shared" si="41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115" s="77" t="str">
        <f t="shared" si="42"/>
        <v>"C:\Program Files (x86)\AstroGrep\AstroGrep.exe" /e /r /s /spath="%USERPROFILE%\AppData\Local\Temp\OnboardLogs" /stypes="app*4046*20170607*" /stext=" 23:.+((SYSTEM_STATE.+slice.+state.+changed )|(ment ac)|(multiple cpu faults)|(system.+state.+changed )|(\[timeout)|(PRM\|1\|D)|(kpr)|(kdp)|(train st.+moving)|(\|lc)|(penalty))"</v>
      </c>
      <c r="AG115" s="1" t="str">
        <f t="shared" si="43"/>
        <v>EC</v>
      </c>
      <c r="AH115" s="81" t="str">
        <f t="shared" si="44"/>
        <v>"%USERPROFILE%\Documents\GitHub\eaglep3\Utilities\RefineRTDCRunTimes.py" --tripid 205-07 --locoid 4046 --swversion DE.1.0.9.0 --startMP 204:457 --initTime 2017-06-07T16:38:56 --startdatetime 2017-06-07T16:45:20 --delay 1 --endMP 204:233287 --enddatetime 2017-06-07T17:23:04 --enforcementcount 0 &gt;&gt;C:\Users\stu\Documents\GitHub\eaglep3-reporting\EC\2017-06-07-refined-times.txt</v>
      </c>
      <c r="AI115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{"issue":{"subject":"","project_id":79,"tracker_id":40,"status_id":1,"priority_id":2,"assigned_to_id":23,"start_date":"2017-06-07","description":"","custom_fields":[{"id":1,"name":"Subdivision","value":"EC"},{"id":4,"name":"Milepost","value":"23.3287"},{"id":17,"name":"Train ID","value":"205-07"},{"id":16,"name":"Locomotive ID","value":"4046"},{"id":130,"name":"Impact","value":""},{"id":150,"name":"Time of Event (Mountain Time)","value":"17:23:04"},{"id":151,"name":"Denver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6"/>
        <v>start /low /b %USERPROFILE%\Documents\GitHub\eaglep3\Utilities\DownloadLogsFromS3.py --loco 4046 --day 2017-06-07</v>
      </c>
      <c r="AN115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639</v>
      </c>
      <c r="B116" s="7">
        <v>4045</v>
      </c>
      <c r="C116" s="21" t="s">
        <v>204</v>
      </c>
      <c r="D116" s="21" t="s">
        <v>500</v>
      </c>
      <c r="E116" s="13">
        <v>42893.737326388888</v>
      </c>
      <c r="F116" s="13">
        <v>42893.738703703704</v>
      </c>
      <c r="G116" s="7">
        <v>1</v>
      </c>
      <c r="H116" s="21" t="s">
        <v>564</v>
      </c>
      <c r="I116" s="13">
        <v>42893.767488425925</v>
      </c>
      <c r="J116" s="7">
        <v>0</v>
      </c>
      <c r="K116" s="92" t="str">
        <f t="shared" si="31"/>
        <v>4045/4046</v>
      </c>
      <c r="L116" s="21" t="str">
        <f>VLOOKUP(A116,'Trips&amp;Operators'!$C$1:$G$99999,5,FALSE)</f>
        <v>HOLCOMB KAMDEN</v>
      </c>
      <c r="M116" s="6">
        <f t="shared" si="32"/>
        <v>2.8784722220734693E-2</v>
      </c>
      <c r="N116" s="7">
        <f t="shared" si="58"/>
        <v>41.449999997857958</v>
      </c>
      <c r="O116" s="7"/>
      <c r="P116" s="7"/>
      <c r="Q116" s="22"/>
      <c r="R116" s="173"/>
      <c r="S116" s="176">
        <f t="shared" si="50"/>
        <v>1</v>
      </c>
      <c r="T116" s="202" t="str">
        <f t="shared" si="35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6"/>
        <v>https://d0f6bd738d7f1b3e5a7ca70fe4ff75f0.us-east-1.aws.found.io/app/kibana#/discover/Steve-Slow-Train-Analysis-(2080s-and-2083s)?_g=(refreshInterval:(display:Off,pause:!f,section:0,value:0),time:(from:'2017-06-07T16:41:45-0600',mode:absolute,to:'2017-06-07T19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6" s="204" t="str">
        <f t="shared" si="52"/>
        <v>N</v>
      </c>
      <c r="X116" s="204">
        <f t="shared" si="59"/>
        <v>1</v>
      </c>
      <c r="Y116" s="204">
        <f t="shared" si="60"/>
        <v>23.2989</v>
      </c>
      <c r="Z116" s="204">
        <f t="shared" si="61"/>
        <v>1.3599999999999999E-2</v>
      </c>
      <c r="AA116" s="204">
        <f t="shared" si="39"/>
        <v>23.285299999999999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0"/>
        <v>0206-07</v>
      </c>
      <c r="AE116" s="80" t="str">
        <f t="shared" si="41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116" s="77" t="str">
        <f t="shared" si="42"/>
        <v>"C:\Program Files (x86)\AstroGrep\AstroGrep.exe" /e /r /s /spath="%USERPROFILE%\AppData\Local\Temp\OnboardLogs" /stypes="app*4045*20170608*" /stext=" 00:.+((SYSTEM_STATE.+slice.+state.+changed )|(ment ac)|(multiple cpu faults)|(system.+state.+changed )|(\[timeout)|(PRM\|1\|D)|(kpr)|(kdp)|(train st.+moving)|(\|lc)|(penalty))"</v>
      </c>
      <c r="AG116" s="1" t="str">
        <f t="shared" si="43"/>
        <v>EC</v>
      </c>
      <c r="AH116" s="81" t="str">
        <f t="shared" si="44"/>
        <v>"%USERPROFILE%\Documents\GitHub\eaglep3\Utilities\RefineRTDCRunTimes.py" --tripid 206-07 --locoid 4045 --swversion DE.1.0.9.0 --startMP 204:232989 --initTime 2017-06-07T17:41:45 --startdatetime 2017-06-07T17:43:44 --delay 1 --endMP 204:136 --enddatetime 2017-06-07T18:25:11 --enforcementcount 0 &gt;&gt;C:\Users\stu\Documents\GitHub\eaglep3-reporting\EC\2017-06-07-refined-times.txt</v>
      </c>
      <c r="AI116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{"issue":{"subject":"","project_id":79,"tracker_id":40,"status_id":1,"priority_id":2,"assigned_to_id":23,"start_date":"2017-06-07","description":"","custom_fields":[{"id":1,"name":"Subdivision","value":"EC"},{"id":4,"name":"Milepost","value":"0.0136"},{"id":17,"name":"Train ID","value":"206-07"},{"id":16,"name":"Locomotive ID","value":"4045"},{"id":130,"name":"Impact","value":""},{"id":150,"name":"Time of Event (Mountain Time)","value":"18:25:11"},{"id":151,"name":"Denver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6"/>
        <v>start /low /b %USERPROFILE%\Documents\GitHub\eaglep3\Utilities\DownloadLogsFromS3.py --loco 4045 --day 2017-06-07</v>
      </c>
      <c r="AN116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797</v>
      </c>
      <c r="B117" s="7">
        <v>4042</v>
      </c>
      <c r="C117" s="21" t="s">
        <v>204</v>
      </c>
      <c r="D117" s="21" t="s">
        <v>900</v>
      </c>
      <c r="E117" s="13">
        <v>42893.708344907405</v>
      </c>
      <c r="F117" s="13">
        <v>42893.71025462963</v>
      </c>
      <c r="G117" s="7">
        <v>1</v>
      </c>
      <c r="H117" s="21" t="s">
        <v>853</v>
      </c>
      <c r="I117" s="13">
        <v>42893.736620370371</v>
      </c>
      <c r="J117" s="7">
        <v>0</v>
      </c>
      <c r="K117" s="92" t="str">
        <f t="shared" si="31"/>
        <v>4041/4042</v>
      </c>
      <c r="L117" s="21" t="str">
        <f>VLOOKUP(A117,'Trips&amp;Operators'!$C$1:$G$99999,5,FALSE)</f>
        <v>STEWART MICHAEL</v>
      </c>
      <c r="M117" s="6">
        <f t="shared" si="32"/>
        <v>2.6365740741312038E-2</v>
      </c>
      <c r="N117" s="7">
        <f t="shared" si="58"/>
        <v>37.966666667489335</v>
      </c>
      <c r="O117" s="7"/>
      <c r="P117" s="7"/>
      <c r="Q117" s="22"/>
      <c r="R117" s="173"/>
      <c r="S117" s="176">
        <f t="shared" si="50"/>
        <v>1</v>
      </c>
      <c r="T117" s="202" t="str">
        <f t="shared" si="35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6"/>
        <v>https://d0f6bd738d7f1b3e5a7ca70fe4ff75f0.us-east-1.aws.found.io/app/kibana#/discover/Steve-Slow-Train-Analysis-(2080s-and-2083s)?_g=(refreshInterval:(display:Off,pause:!f,section:0,value:0),time:(from:'2017-06-07T16:00:01-0600',mode:absolute,to:'2017-06-07T18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204" t="str">
        <f t="shared" si="52"/>
        <v>N</v>
      </c>
      <c r="X117" s="204">
        <f t="shared" si="59"/>
        <v>1</v>
      </c>
      <c r="Y117" s="204">
        <f t="shared" si="60"/>
        <v>5.57E-2</v>
      </c>
      <c r="Z117" s="204">
        <f t="shared" si="61"/>
        <v>23.3247</v>
      </c>
      <c r="AA117" s="204">
        <f t="shared" si="39"/>
        <v>23.268999999999998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0"/>
        <v>0207-07</v>
      </c>
      <c r="AE117" s="80" t="str">
        <f t="shared" si="41"/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AF117" s="77" t="str">
        <f t="shared" si="42"/>
        <v>"C:\Program Files (x86)\AstroGrep\AstroGrep.exe" /e /r /s /spath="%USERPROFILE%\AppData\Local\Temp\OnboardLogs" /stypes="app*4042*20170607*" /stext=" 23:.+((SYSTEM_STATE.+slice.+state.+changed )|(ment ac)|(multiple cpu faults)|(system.+state.+changed )|(\[timeout)|(PRM\|1\|D)|(kpr)|(kdp)|(train st.+moving)|(\|lc)|(penalty))"</v>
      </c>
      <c r="AG117" s="1" t="str">
        <f t="shared" si="43"/>
        <v>EC</v>
      </c>
      <c r="AH117" s="81" t="str">
        <f t="shared" si="44"/>
        <v>"%USERPROFILE%\Documents\GitHub\eaglep3\Utilities\RefineRTDCRunTimes.py" --tripid 207-07 --locoid 4042 --swversion DE.1.0.9.0 --startMP 204:557 --initTime 2017-06-07T17:00:01 --startdatetime 2017-06-07T17:02:46 --delay 1 --endMP 204:233247 --enddatetime 2017-06-07T17:40:44 --enforcementcount 0 &gt;&gt;C:\Users\stu\Documents\GitHub\eaglep3-reporting\EC\2017-06-07-refined-times.txt</v>
      </c>
      <c r="AI117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{"issue":{"subject":"","project_id":79,"tracker_id":40,"status_id":1,"priority_id":2,"assigned_to_id":23,"start_date":"2017-06-07","description":"","custom_fields":[{"id":1,"name":"Subdivision","value":"EC"},{"id":4,"name":"Milepost","value":"23.3247"},{"id":17,"name":"Train ID","value":"207-07"},{"id":16,"name":"Locomotive ID","value":"4042"},{"id":130,"name":"Impact","value":""},{"id":150,"name":"Time of Event (Mountain Time)","value":"17:40:44"},{"id":151,"name":"Denver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6"/>
        <v>start /low /b %USERPROFILE%\Documents\GitHub\eaglep3\Utilities\DownloadLogsFromS3.py --loco 4042 --day 2017-06-07</v>
      </c>
      <c r="AN117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638</v>
      </c>
      <c r="B118" s="7">
        <v>4041</v>
      </c>
      <c r="C118" s="21" t="s">
        <v>204</v>
      </c>
      <c r="D118" s="21" t="s">
        <v>462</v>
      </c>
      <c r="E118" s="13">
        <v>42893.743657407409</v>
      </c>
      <c r="F118" s="13">
        <v>42893.748124999998</v>
      </c>
      <c r="G118" s="7">
        <v>1</v>
      </c>
      <c r="H118" s="21" t="s">
        <v>401</v>
      </c>
      <c r="I118" s="13">
        <v>42893.775960648149</v>
      </c>
      <c r="J118" s="7">
        <v>0</v>
      </c>
      <c r="K118" s="92" t="str">
        <f t="shared" si="31"/>
        <v>4041/4042</v>
      </c>
      <c r="L118" s="21" t="str">
        <f>VLOOKUP(A118,'Trips&amp;Operators'!$C$1:$G$99999,5,FALSE)</f>
        <v>STEWART MICHAEL</v>
      </c>
      <c r="M118" s="6">
        <f t="shared" si="32"/>
        <v>2.7835648150357883E-2</v>
      </c>
      <c r="N118" s="7">
        <f t="shared" si="58"/>
        <v>40.083333336515352</v>
      </c>
      <c r="O118" s="7"/>
      <c r="P118" s="7"/>
      <c r="Q118" s="22"/>
      <c r="R118" s="173"/>
      <c r="S118" s="176">
        <f t="shared" si="50"/>
        <v>1</v>
      </c>
      <c r="T118" s="202" t="str">
        <f t="shared" si="35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6"/>
        <v>https://d0f6bd738d7f1b3e5a7ca70fe4ff75f0.us-east-1.aws.found.io/app/kibana#/discover/Steve-Slow-Train-Analysis-(2080s-and-2083s)?_g=(refreshInterval:(display:Off,pause:!f,section:0,value:0),time:(from:'2017-06-07T16:50:52-0600',mode:absolute,to:'2017-06-07T19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204" t="str">
        <f t="shared" si="52"/>
        <v>N</v>
      </c>
      <c r="X118" s="204">
        <f t="shared" si="59"/>
        <v>1</v>
      </c>
      <c r="Y118" s="204">
        <f t="shared" si="60"/>
        <v>23.297799999999999</v>
      </c>
      <c r="Z118" s="204">
        <f t="shared" si="61"/>
        <v>1.54E-2</v>
      </c>
      <c r="AA118" s="204">
        <f t="shared" si="39"/>
        <v>23.282399999999999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0"/>
        <v>0208-07</v>
      </c>
      <c r="AE118" s="80" t="str">
        <f t="shared" si="41"/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AF118" s="77" t="str">
        <f t="shared" si="42"/>
        <v>"C:\Program Files (x86)\AstroGrep\AstroGrep.exe" /e /r /s /spath="%USERPROFILE%\AppData\Local\Temp\OnboardLogs" /stypes="app*4041*20170608*" /stext=" 00:.+((SYSTEM_STATE.+slice.+state.+changed )|(ment ac)|(multiple cpu faults)|(system.+state.+changed )|(\[timeout)|(PRM\|1\|D)|(kpr)|(kdp)|(train st.+moving)|(\|lc)|(penalty))"</v>
      </c>
      <c r="AG118" s="1" t="str">
        <f t="shared" si="43"/>
        <v>EC</v>
      </c>
      <c r="AH118" s="81" t="str">
        <f t="shared" si="44"/>
        <v>"%USERPROFILE%\Documents\GitHub\eaglep3\Utilities\RefineRTDCRunTimes.py" --tripid 208-07 --locoid 4041 --swversion DE.1.0.9.0 --startMP 204:232978 --initTime 2017-06-07T17:50:52 --startdatetime 2017-06-07T17:57:18 --delay 1 --endMP 204:154 --enddatetime 2017-06-07T18:37:23 --enforcementcount 0 &gt;&gt;C:\Users\stu\Documents\GitHub\eaglep3-reporting\EC\2017-06-07-refined-times.txt</v>
      </c>
      <c r="AI118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{"issue":{"subject":"","project_id":79,"tracker_id":40,"status_id":1,"priority_id":2,"assigned_to_id":23,"start_date":"2017-06-07","description":"","custom_fields":[{"id":1,"name":"Subdivision","value":"EC"},{"id":4,"name":"Milepost","value":"0.0154"},{"id":17,"name":"Train ID","value":"208-07"},{"id":16,"name":"Locomotive ID","value":"4041"},{"id":130,"name":"Impact","value":""},{"id":150,"name":"Time of Event (Mountain Time)","value":"18:37:23"},{"id":151,"name":"Denver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6"/>
        <v>start /low /b %USERPROFILE%\Documents\GitHub\eaglep3\Utilities\DownloadLogsFromS3.py --loco 4041 --day 2017-06-07</v>
      </c>
      <c r="AN118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800</v>
      </c>
      <c r="B119" s="7">
        <v>4012</v>
      </c>
      <c r="C119" s="21" t="s">
        <v>204</v>
      </c>
      <c r="D119" s="21" t="s">
        <v>201</v>
      </c>
      <c r="E119" s="13">
        <v>42893.715567129628</v>
      </c>
      <c r="F119" s="13">
        <v>42893.719027777777</v>
      </c>
      <c r="G119" s="7">
        <v>2</v>
      </c>
      <c r="H119" s="21" t="s">
        <v>492</v>
      </c>
      <c r="I119" s="13">
        <v>42893.744444444441</v>
      </c>
      <c r="J119" s="7">
        <v>0</v>
      </c>
      <c r="K119" s="92" t="str">
        <f t="shared" si="31"/>
        <v>4011/4012</v>
      </c>
      <c r="L119" s="21" t="str">
        <f>VLOOKUP(A119,'Trips&amp;Operators'!$C$1:$G$99999,5,FALSE)</f>
        <v>DE LA ROSA ALEX</v>
      </c>
      <c r="M119" s="6">
        <f t="shared" si="32"/>
        <v>2.5416666663659271E-2</v>
      </c>
      <c r="N119" s="7">
        <f t="shared" si="58"/>
        <v>36.59999999566935</v>
      </c>
      <c r="O119" s="7"/>
      <c r="P119" s="7"/>
      <c r="Q119" s="22"/>
      <c r="R119" s="173"/>
      <c r="S119" s="176">
        <f t="shared" si="50"/>
        <v>1</v>
      </c>
      <c r="T119" s="202" t="str">
        <f t="shared" si="35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6"/>
        <v>https://d0f6bd738d7f1b3e5a7ca70fe4ff75f0.us-east-1.aws.found.io/app/kibana#/discover/Steve-Slow-Train-Analysis-(2080s-and-2083s)?_g=(refreshInterval:(display:Off,pause:!f,section:0,value:0),time:(from:'2017-06-07T16:10:25-0600',mode:absolute,to:'2017-06-07T18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204" t="str">
        <f t="shared" si="52"/>
        <v>N</v>
      </c>
      <c r="X119" s="204">
        <f t="shared" si="59"/>
        <v>1</v>
      </c>
      <c r="Y119" s="204">
        <f t="shared" si="60"/>
        <v>4.5999999999999999E-2</v>
      </c>
      <c r="Z119" s="204">
        <f t="shared" si="61"/>
        <v>23.331</v>
      </c>
      <c r="AA119" s="204">
        <f t="shared" si="39"/>
        <v>23.285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0"/>
        <v>0209-07</v>
      </c>
      <c r="AE119" s="80" t="str">
        <f t="shared" si="41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119" s="77" t="str">
        <f t="shared" si="42"/>
        <v>"C:\Program Files (x86)\AstroGrep\AstroGrep.exe" /e /r /s /spath="%USERPROFILE%\AppData\Local\Temp\OnboardLogs" /stypes="app*4012*20170607*" /stext=" 23:.+((SYSTEM_STATE.+slice.+state.+changed )|(ment ac)|(multiple cpu faults)|(system.+state.+changed )|(\[timeout)|(PRM\|1\|D)|(kpr)|(kdp)|(train st.+moving)|(\|lc)|(penalty))"</v>
      </c>
      <c r="AG119" s="1" t="str">
        <f t="shared" si="43"/>
        <v>EC</v>
      </c>
      <c r="AH119" s="81" t="str">
        <f t="shared" si="44"/>
        <v>"%USERPROFILE%\Documents\GitHub\eaglep3\Utilities\RefineRTDCRunTimes.py" --tripid 209-07 --locoid 4012 --swversion DE.1.0.9.0 --startMP 204:460 --initTime 2017-06-07T17:10:25 --startdatetime 2017-06-07T17:15:24 --delay 2 --endMP 204:233310 --enddatetime 2017-06-07T17:52:00 --enforcementcount 0 &gt;&gt;C:\Users\stu\Documents\GitHub\eaglep3-reporting\EC\2017-06-07-refined-times.txt</v>
      </c>
      <c r="AI119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{"issue":{"subject":"","project_id":79,"tracker_id":40,"status_id":1,"priority_id":2,"assigned_to_id":23,"start_date":"2017-06-07","description":"","custom_fields":[{"id":1,"name":"Subdivision","value":"EC"},{"id":4,"name":"Milepost","value":"23.331"},{"id":17,"name":"Train ID","value":"209-07"},{"id":16,"name":"Locomotive ID","value":"4012"},{"id":130,"name":"Impact","value":""},{"id":150,"name":"Time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6"/>
        <v>start /low /b %USERPROFILE%\Documents\GitHub\eaglep3\Utilities\DownloadLogsFromS3.py --loco 4012 --day 2017-06-07</v>
      </c>
      <c r="AN119" s="154" t="str">
        <f t="shared" si="47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804</v>
      </c>
      <c r="B120" s="7">
        <v>4011</v>
      </c>
      <c r="C120" s="21" t="s">
        <v>204</v>
      </c>
      <c r="D120" s="21" t="s">
        <v>852</v>
      </c>
      <c r="E120" s="13">
        <v>42893.754652777781</v>
      </c>
      <c r="F120" s="13">
        <v>42893.75854166667</v>
      </c>
      <c r="G120" s="7">
        <v>2</v>
      </c>
      <c r="H120" s="21" t="s">
        <v>196</v>
      </c>
      <c r="I120" s="13">
        <v>42893.789039351854</v>
      </c>
      <c r="J120" s="7">
        <v>0</v>
      </c>
      <c r="K120" s="92" t="str">
        <f t="shared" si="31"/>
        <v>4011/4012</v>
      </c>
      <c r="L120" s="21" t="str">
        <f>VLOOKUP(A120,'Trips&amp;Operators'!$C$1:$G$99999,5,FALSE)</f>
        <v>DE LA ROSA ALEX</v>
      </c>
      <c r="M120" s="6">
        <f t="shared" si="32"/>
        <v>3.0497685183945578E-2</v>
      </c>
      <c r="N120" s="7">
        <f t="shared" si="58"/>
        <v>43.916666664881632</v>
      </c>
      <c r="O120" s="7"/>
      <c r="P120" s="7"/>
      <c r="Q120" s="22"/>
      <c r="R120" s="173"/>
      <c r="S120" s="176">
        <f t="shared" si="50"/>
        <v>1</v>
      </c>
      <c r="T120" s="202" t="str">
        <f t="shared" si="35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6"/>
        <v>https://d0f6bd738d7f1b3e5a7ca70fe4ff75f0.us-east-1.aws.found.io/app/kibana#/discover/Steve-Slow-Train-Analysis-(2080s-and-2083s)?_g=(refreshInterval:(display:Off,pause:!f,section:0,value:0),time:(from:'2017-06-07T17:06:42-0600',mode:absolute,to:'2017-06-07T19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204" t="str">
        <f t="shared" si="52"/>
        <v>N</v>
      </c>
      <c r="X120" s="204">
        <f t="shared" si="59"/>
        <v>1</v>
      </c>
      <c r="Y120" s="204">
        <f t="shared" si="60"/>
        <v>23.299399999999999</v>
      </c>
      <c r="Z120" s="204">
        <f t="shared" si="61"/>
        <v>1.5800000000000002E-2</v>
      </c>
      <c r="AA120" s="204">
        <f t="shared" si="39"/>
        <v>23.2836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0"/>
        <v>0210-07</v>
      </c>
      <c r="AE120" s="80" t="str">
        <f t="shared" si="41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120" s="77" t="str">
        <f t="shared" si="42"/>
        <v>"C:\Program Files (x86)\AstroGrep\AstroGrep.exe" /e /r /s /spath="%USERPROFILE%\AppData\Local\Temp\OnboardLogs" /stypes="app*4011*20170608*" /stext=" 00:.+((SYSTEM_STATE.+slice.+state.+changed )|(ment ac)|(multiple cpu faults)|(system.+state.+changed )|(\[timeout)|(PRM\|1\|D)|(kpr)|(kdp)|(train st.+moving)|(\|lc)|(penalty))"</v>
      </c>
      <c r="AG120" s="1" t="str">
        <f t="shared" si="43"/>
        <v>EC</v>
      </c>
      <c r="AH120" s="81" t="str">
        <f t="shared" si="44"/>
        <v>"%USERPROFILE%\Documents\GitHub\eaglep3\Utilities\RefineRTDCRunTimes.py" --tripid 210-07 --locoid 4011 --swversion DE.1.0.9.0 --startMP 204:232994 --initTime 2017-06-07T18:06:42 --startdatetime 2017-06-07T18:12:18 --delay 2 --endMP 204:158 --enddatetime 2017-06-07T18:56:13 --enforcementcount 0 &gt;&gt;C:\Users\stu\Documents\GitHub\eaglep3-reporting\EC\2017-06-07-refined-times.txt</v>
      </c>
      <c r="AI120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{"issue":{"subject":"","project_id":79,"tracker_id":40,"status_id":1,"priority_id":2,"assigned_to_id":23,"start_date":"2017-06-07","description":"","custom_fields":[{"id":1,"name":"Subdivision","value":"EC"},{"id":4,"name":"Milepost","value":"0.0158"},{"id":17,"name":"Train ID","value":"210-07"},{"id":16,"name":"Locomotive ID","value":"4011"},{"id":130,"name":"Impact","value":""},{"id":150,"name":"Time of Event (Mountain Time)","value":"18:56:13"},{"id":151,"name":"Denver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6"/>
        <v>start /low /b %USERPROFILE%\Documents\GitHub\eaglep3\Utilities\DownloadLogsFromS3.py --loco 4011 --day 2017-06-07</v>
      </c>
      <c r="AN120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802</v>
      </c>
      <c r="B121" s="7">
        <v>4032</v>
      </c>
      <c r="C121" s="21" t="s">
        <v>204</v>
      </c>
      <c r="D121" s="21" t="s">
        <v>201</v>
      </c>
      <c r="E121" s="13">
        <v>42893.727037037039</v>
      </c>
      <c r="F121" s="13">
        <v>42893.729571759257</v>
      </c>
      <c r="G121" s="7">
        <v>2</v>
      </c>
      <c r="H121" s="21" t="s">
        <v>559</v>
      </c>
      <c r="I121" s="13">
        <v>42893.754687499997</v>
      </c>
      <c r="J121" s="7">
        <v>0</v>
      </c>
      <c r="K121" s="92" t="str">
        <f t="shared" si="31"/>
        <v>4031/4032</v>
      </c>
      <c r="L121" s="21" t="str">
        <f>VLOOKUP(A121,'Trips&amp;Operators'!$C$1:$G$99999,5,FALSE)</f>
        <v>BRUDER RICHARD</v>
      </c>
      <c r="M121" s="6">
        <f t="shared" si="32"/>
        <v>2.5115740740147885E-2</v>
      </c>
      <c r="N121" s="7">
        <f t="shared" si="58"/>
        <v>36.166666665812954</v>
      </c>
      <c r="O121" s="7"/>
      <c r="P121" s="7"/>
      <c r="Q121" s="22"/>
      <c r="R121" s="173"/>
      <c r="S121" s="176">
        <f t="shared" ref="S121:S152" si="62">SUM(U121:U121)/IF(AG121="EC",12,1)</f>
        <v>1</v>
      </c>
      <c r="T121" s="202" t="str">
        <f t="shared" si="35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6"/>
        <v>https://d0f6bd738d7f1b3e5a7ca70fe4ff75f0.us-east-1.aws.found.io/app/kibana#/discover/Steve-Slow-Train-Analysis-(2080s-and-2083s)?_g=(refreshInterval:(display:Off,pause:!f,section:0,value:0),time:(from:'2017-06-07T16:26:56-0600',mode:absolute,to:'2017-06-07T19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204" t="str">
        <f t="shared" si="52"/>
        <v>N</v>
      </c>
      <c r="X121" s="204">
        <f t="shared" si="59"/>
        <v>1</v>
      </c>
      <c r="Y121" s="204">
        <f t="shared" si="60"/>
        <v>4.5999999999999999E-2</v>
      </c>
      <c r="Z121" s="204">
        <f t="shared" si="61"/>
        <v>23.330300000000001</v>
      </c>
      <c r="AA121" s="204">
        <f t="shared" si="39"/>
        <v>23.284300000000002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0"/>
        <v>0211-07</v>
      </c>
      <c r="AE121" s="80" t="str">
        <f t="shared" si="41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121" s="77" t="str">
        <f t="shared" si="42"/>
        <v>"C:\Program Files (x86)\AstroGrep\AstroGrep.exe" /e /r /s /spath="%USERPROFILE%\AppData\Local\Temp\OnboardLogs" /stypes="app*4032*20170608*" /stext=" 00:.+((SYSTEM_STATE.+slice.+state.+changed )|(ment ac)|(multiple cpu faults)|(system.+state.+changed )|(\[timeout)|(PRM\|1\|D)|(kpr)|(kdp)|(train st.+moving)|(\|lc)|(penalty))"</v>
      </c>
      <c r="AG121" s="1" t="str">
        <f t="shared" si="43"/>
        <v>EC</v>
      </c>
      <c r="AH121" s="81" t="str">
        <f t="shared" si="44"/>
        <v>"%USERPROFILE%\Documents\GitHub\eaglep3\Utilities\RefineRTDCRunTimes.py" --tripid 211-07 --locoid 4032 --swversion DE.1.0.9.0 --startMP 204:460 --initTime 2017-06-07T17:26:56 --startdatetime 2017-06-07T17:30:35 --delay 2 --endMP 204:233303 --enddatetime 2017-06-07T18:06:45 --enforcementcount 0 &gt;&gt;C:\Users\stu\Documents\GitHub\eaglep3-reporting\EC\2017-06-07-refined-times.txt</v>
      </c>
      <c r="AI121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{"issue":{"subject":"","project_id":79,"tracker_id":40,"status_id":1,"priority_id":2,"assigned_to_id":23,"start_date":"2017-06-07","description":"","custom_fields":[{"id":1,"name":"Subdivision","value":"EC"},{"id":4,"name":"Milepost","value":"23.3303"},{"id":17,"name":"Train ID","value":"211-07"},{"id":16,"name":"Locomotive ID","value":"4032"},{"id":130,"name":"Impact","value":""},{"id":150,"name":"Time of Event (Mountain Time)","value":"18:06:45"},{"id":151,"name":"Denver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6"/>
        <v>start /low /b %USERPROFILE%\Documents\GitHub\eaglep3\Utilities\DownloadLogsFromS3.py --loco 4032 --day 2017-06-07</v>
      </c>
      <c r="AN121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808</v>
      </c>
      <c r="B122" s="7">
        <v>4031</v>
      </c>
      <c r="C122" s="21" t="s">
        <v>204</v>
      </c>
      <c r="D122" s="21" t="s">
        <v>470</v>
      </c>
      <c r="E122" s="13">
        <v>42893.762673611112</v>
      </c>
      <c r="F122" s="13">
        <v>42893.768946759257</v>
      </c>
      <c r="G122" s="7">
        <v>1</v>
      </c>
      <c r="H122" s="21" t="s">
        <v>433</v>
      </c>
      <c r="I122" s="13">
        <v>42893.797407407408</v>
      </c>
      <c r="J122" s="7">
        <v>0</v>
      </c>
      <c r="K122" s="92" t="str">
        <f t="shared" si="31"/>
        <v>4031/4032</v>
      </c>
      <c r="L122" s="21" t="str">
        <f>VLOOKUP(A122,'Trips&amp;Operators'!$C$1:$G$99999,5,FALSE)</f>
        <v>BRUDER RICHARD</v>
      </c>
      <c r="M122" s="6">
        <f t="shared" si="32"/>
        <v>2.846064815093996E-2</v>
      </c>
      <c r="N122" s="7">
        <f t="shared" si="58"/>
        <v>40.983333337353542</v>
      </c>
      <c r="O122" s="7"/>
      <c r="P122" s="7"/>
      <c r="Q122" s="22"/>
      <c r="R122" s="173"/>
      <c r="S122" s="176">
        <f t="shared" si="62"/>
        <v>1</v>
      </c>
      <c r="T122" s="202" t="str">
        <f t="shared" si="35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6"/>
        <v>https://d0f6bd738d7f1b3e5a7ca70fe4ff75f0.us-east-1.aws.found.io/app/kibana#/discover/Steve-Slow-Train-Analysis-(2080s-and-2083s)?_g=(refreshInterval:(display:Off,pause:!f,section:0,value:0),time:(from:'2017-06-07T17:18:15-0600',mode:absolute,to:'2017-06-07T20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204" t="str">
        <f t="shared" si="52"/>
        <v>N</v>
      </c>
      <c r="X122" s="204">
        <f t="shared" si="59"/>
        <v>1</v>
      </c>
      <c r="Y122" s="204">
        <f t="shared" si="60"/>
        <v>23.2988</v>
      </c>
      <c r="Z122" s="204">
        <f t="shared" si="61"/>
        <v>4.4200000000000003E-2</v>
      </c>
      <c r="AA122" s="204">
        <f t="shared" si="39"/>
        <v>23.2546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0"/>
        <v>0212-07</v>
      </c>
      <c r="AE122" s="80" t="str">
        <f t="shared" si="41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122" s="77" t="str">
        <f t="shared" si="42"/>
        <v>"C:\Program Files (x86)\AstroGrep\AstroGrep.exe" /e /r /s /spath="%USERPROFILE%\AppData\Local\Temp\OnboardLogs" /stypes="app*4031*20170608*" /stext=" 01:.+((SYSTEM_STATE.+slice.+state.+changed )|(ment ac)|(multiple cpu faults)|(system.+state.+changed )|(\[timeout)|(PRM\|1\|D)|(kpr)|(kdp)|(train st.+moving)|(\|lc)|(penalty))"</v>
      </c>
      <c r="AG122" s="1" t="str">
        <f t="shared" si="43"/>
        <v>EC</v>
      </c>
      <c r="AH122" s="81" t="str">
        <f t="shared" si="44"/>
        <v>"%USERPROFILE%\Documents\GitHub\eaglep3\Utilities\RefineRTDCRunTimes.py" --tripid 212-07 --locoid 4031 --swversion DE.1.0.9.0 --startMP 204:232988 --initTime 2017-06-07T18:18:15 --startdatetime 2017-06-07T18:27:17 --delay 1 --endMP 204:442 --enddatetime 2017-06-07T19:08:16 --enforcementcount 0 &gt;&gt;C:\Users\stu\Documents\GitHub\eaglep3-reporting\EC\2017-06-07-refined-times.txt</v>
      </c>
      <c r="AI122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{"issue":{"subject":"","project_id":79,"tracker_id":40,"status_id":1,"priority_id":2,"assigned_to_id":23,"start_date":"2017-06-07","description":"","custom_fields":[{"id":1,"name":"Subdivision","value":"EC"},{"id":4,"name":"Milepost","value":"0.0442"},{"id":17,"name":"Train ID","value":"212-07"},{"id":16,"name":"Locomotive ID","value":"4031"},{"id":130,"name":"Impact","value":""},{"id":150,"name":"Time of Event (Mountain Time)","value":"19:08:16"},{"id":151,"name":"Denver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6"/>
        <v>start /low /b %USERPROFILE%\Documents\GitHub\eaglep3\Utilities\DownloadLogsFromS3.py --loco 4031 --day 2017-06-07</v>
      </c>
      <c r="AN122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1039</v>
      </c>
      <c r="B123" s="7">
        <v>4058</v>
      </c>
      <c r="C123" s="21" t="s">
        <v>204</v>
      </c>
      <c r="D123" s="21" t="s">
        <v>470</v>
      </c>
      <c r="E123" s="13">
        <v>42893.762673611112</v>
      </c>
      <c r="F123" s="13">
        <v>42893.740277777775</v>
      </c>
      <c r="G123" s="7">
        <v>1</v>
      </c>
      <c r="H123" s="21" t="s">
        <v>433</v>
      </c>
      <c r="I123" s="13">
        <v>42893.740972222222</v>
      </c>
      <c r="J123" s="7">
        <v>0</v>
      </c>
      <c r="K123" s="92" t="str">
        <f t="shared" si="31"/>
        <v>4057/4058</v>
      </c>
      <c r="L123" s="21" t="e">
        <f>VLOOKUP(A123,'Trips&amp;Operators'!$C$1:$G$99999,5,FALSE)</f>
        <v>#N/A</v>
      </c>
      <c r="M123" s="6">
        <f t="shared" si="32"/>
        <v>6.944444467080757E-4</v>
      </c>
      <c r="N123" s="7"/>
      <c r="O123" s="7"/>
      <c r="P123" s="7">
        <f>24*60*SUM($M123:$M123)</f>
        <v>1.000000003259629</v>
      </c>
      <c r="Q123" s="22"/>
      <c r="R123" s="173" t="s">
        <v>1040</v>
      </c>
      <c r="S123" s="176">
        <f t="shared" si="62"/>
        <v>0</v>
      </c>
      <c r="T123" s="202" t="str">
        <f t="shared" si="35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0</v>
      </c>
      <c r="V123" s="203" t="str">
        <f t="shared" si="36"/>
        <v>https://d0f6bd738d7f1b3e5a7ca70fe4ff75f0.us-east-1.aws.found.io/app/kibana#/discover/Steve-Slow-Train-Analysis-(2080s-and-2083s)?_g=(refreshInterval:(display:Off,pause:!f,section:0,value:0),time:(from:'2017-06-07T17:18:15-0600',mode:absolute,to:'2017-06-07T18:47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3" s="204" t="str">
        <f t="shared" si="52"/>
        <v>N</v>
      </c>
      <c r="X123" s="204">
        <f t="shared" si="59"/>
        <v>1</v>
      </c>
      <c r="Y123" s="204">
        <f t="shared" si="60"/>
        <v>23.2988</v>
      </c>
      <c r="Z123" s="204">
        <f t="shared" si="61"/>
        <v>4.4200000000000003E-2</v>
      </c>
      <c r="AA123" s="204">
        <f t="shared" si="39"/>
        <v>23.2546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0"/>
        <v>0213-07</v>
      </c>
      <c r="AE123" s="80" t="str">
        <f t="shared" si="41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123" s="77" t="str">
        <f t="shared" si="42"/>
        <v>"C:\Program Files (x86)\AstroGrep\AstroGrep.exe" /e /r /s /spath="%USERPROFILE%\AppData\Local\Temp\OnboardLogs" /stypes="app*4058*20170607*" /stext=" 23:.+((SYSTEM_STATE.+slice.+state.+changed )|(ment ac)|(multiple cpu faults)|(system.+state.+changed )|(\[timeout)|(PRM\|1\|D)|(kpr)|(kdp)|(train st.+moving)|(\|lc)|(penalty))"</v>
      </c>
      <c r="AG123" s="1" t="str">
        <f t="shared" si="43"/>
        <v>EC</v>
      </c>
      <c r="AH123" s="81" t="str">
        <f t="shared" ref="AH123" si="63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213-07 --locoid 4058 --swversion DE.1.0.9.0 --startMP 204:232988 --initTime 2017-06-07T18:18:15 --startdatetime 2017-06-07T17:46:00 --delay 1 --endMP 204:442 --enddatetime 2017-06-07T17:47:00 --enforcementcount 0 &gt;&gt;C:\Users\stu\Documents\GitHub\eaglep3-reporting\EC\2017-06-07-refined-times.txt</v>
      </c>
      <c r="AI123" s="99" t="str">
        <f t="shared" ref="AI123" si="64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-X POST -H ""Content-Type: application/json"" -H ""X-Redmine-API-Key: "&amp;redm_api_key&amp;""" "&amp;redm_url&amp;" --data @-"</f>
        <v>echo {"issue":{"subject":"Extended Wi-MAX data drop","project_id":79,"tracker_id":40,"status_id":1,"priority_id":2,"assigned_to_id":23,"start_date":"2017-06-07","description":"","custom_fields":[{"id":1,"name":"Subdivision","value":"EC"},{"id":4,"name":"Milepost","value":"0.0442"},{"id":17,"name":"Train ID","value":"213-07"},{"id":16,"name":"Locomotive ID","value":"4058"},{"id":130,"name":"Impact","value":""},{"id":150,"name":"Time of Event (Mountain Time)","value":"17:47:00"},{"id":151,"name":"Denver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ref="AM123" si="65">"start /low /b "&amp;dls3logs&amp;" --loco "&amp;B123&amp;" --day "&amp;TEXT(F123,"YYYY-MM-DD")</f>
        <v>start /low /b %USERPROFILE%\Documents\GitHub\eaglep3\Utilities\DownloadLogsFromS3.py --loco 4058 --day 2017-06-07</v>
      </c>
      <c r="AN123" s="154" t="str">
        <f t="shared" ref="AN123" si="66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23:47:00"},{"id":29,"name":"Sharepoint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4" spans="1:91" s="20" customFormat="1" x14ac:dyDescent="0.25">
      <c r="A124" s="32" t="s">
        <v>642</v>
      </c>
      <c r="B124" s="7">
        <v>4057</v>
      </c>
      <c r="C124" s="21" t="s">
        <v>204</v>
      </c>
      <c r="D124" s="21" t="s">
        <v>481</v>
      </c>
      <c r="E124" s="13">
        <v>42893.775879629633</v>
      </c>
      <c r="F124" s="13">
        <v>42893.779363425929</v>
      </c>
      <c r="G124" s="7">
        <v>1</v>
      </c>
      <c r="H124" s="21" t="s">
        <v>196</v>
      </c>
      <c r="I124" s="13">
        <v>42893.810034722221</v>
      </c>
      <c r="J124" s="7">
        <v>0</v>
      </c>
      <c r="K124" s="92" t="str">
        <f t="shared" si="31"/>
        <v>4057/4058</v>
      </c>
      <c r="L124" s="21" t="str">
        <f>VLOOKUP(A124,'Trips&amp;Operators'!$C$1:$G$99999,5,FALSE)</f>
        <v>HAITHCOX MICHAEL</v>
      </c>
      <c r="M124" s="6">
        <f t="shared" si="32"/>
        <v>3.0671296291984618E-2</v>
      </c>
      <c r="N124" s="7">
        <f t="shared" ref="N124:N132" si="67">24*60*SUM($M124:$M124)</f>
        <v>44.16666666045785</v>
      </c>
      <c r="O124" s="7"/>
      <c r="P124" s="7"/>
      <c r="Q124" s="22"/>
      <c r="R124" s="173"/>
      <c r="S124" s="176">
        <f t="shared" si="62"/>
        <v>1</v>
      </c>
      <c r="T124" s="202" t="str">
        <f t="shared" si="35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6"/>
        <v>https://d0f6bd738d7f1b3e5a7ca70fe4ff75f0.us-east-1.aws.found.io/app/kibana#/discover/Steve-Slow-Train-Analysis-(2080s-and-2083s)?_g=(refreshInterval:(display:Off,pause:!f,section:0,value:0),time:(from:'2017-06-07T17:37:16-0600',mode:absolute,to:'2017-06-07T20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4" s="204" t="str">
        <f t="shared" si="52"/>
        <v>N</v>
      </c>
      <c r="X124" s="204">
        <f t="shared" si="59"/>
        <v>1</v>
      </c>
      <c r="Y124" s="204">
        <f t="shared" si="60"/>
        <v>23.299299999999999</v>
      </c>
      <c r="Z124" s="204">
        <f t="shared" si="61"/>
        <v>1.5800000000000002E-2</v>
      </c>
      <c r="AA124" s="204">
        <f t="shared" si="39"/>
        <v>23.2835</v>
      </c>
      <c r="AB124" s="57" t="str">
        <f>VLOOKUP(A124,Enforcements!$C$7:$K$13,8,0)</f>
        <v>Bulletin (2)</v>
      </c>
      <c r="AC124" s="53" t="str">
        <f>VLOOKUP(A124,Enforcements!$C$7:$E$13,3,0)</f>
        <v>GRADE CROSSING</v>
      </c>
      <c r="AD124" s="54" t="str">
        <f t="shared" si="40"/>
        <v>0214-07</v>
      </c>
      <c r="AE124" s="80" t="str">
        <f t="shared" si="41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124" s="77" t="str">
        <f t="shared" si="42"/>
        <v>"C:\Program Files (x86)\AstroGrep\AstroGrep.exe" /e /r /s /spath="%USERPROFILE%\AppData\Local\Temp\OnboardLogs" /stypes="app*4057*20170608*" /stext=" 01:.+((SYSTEM_STATE.+slice.+state.+changed )|(ment ac)|(multiple cpu faults)|(system.+state.+changed )|(\[timeout)|(PRM\|1\|D)|(kpr)|(kdp)|(train st.+moving)|(\|lc)|(penalty))"</v>
      </c>
      <c r="AG124" s="1" t="str">
        <f t="shared" si="43"/>
        <v>EC</v>
      </c>
      <c r="AH124" s="81" t="str">
        <f t="shared" si="44"/>
        <v>"%USERPROFILE%\Documents\GitHub\eaglep3\Utilities\RefineRTDCRunTimes.py" --tripid 214-07 --locoid 4057 --swversion DE.1.0.9.0 --startMP 204:232993 --initTime 2017-06-07T18:37:16 --startdatetime 2017-06-07T18:42:17 --delay 1 --endMP 204:158 --enddatetime 2017-06-07T19:26:27 --enforcementcount 0 &gt;&gt;C:\Users\stu\Documents\GitHub\eaglep3-reporting\EC\2017-06-07-refined-times.txt</v>
      </c>
      <c r="AI124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{"issue":{"subject":"","project_id":79,"tracker_id":40,"status_id":1,"priority_id":2,"assigned_to_id":23,"start_date":"2017-06-07","description":"","custom_fields":[{"id":1,"name":"Subdivision","value":"EC"},{"id":4,"name":"Milepost","value":"0.0158"},{"id":17,"name":"Train ID","value":"214-07"},{"id":16,"name":"Locomotive ID","value":"4057"},{"id":130,"name":"Impact","value":""},{"id":150,"name":"Time of Event (Mountain Time)","value":"19:26:27"},{"id":151,"name":"Denver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6"/>
        <v>start /low /b %USERPROFILE%\Documents\GitHub\eaglep3\Utilities\DownloadLogsFromS3.py --loco 4057 --day 2017-06-07</v>
      </c>
      <c r="AN124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640</v>
      </c>
      <c r="B125" s="7">
        <v>4028</v>
      </c>
      <c r="C125" s="21" t="s">
        <v>204</v>
      </c>
      <c r="D125" s="21" t="s">
        <v>572</v>
      </c>
      <c r="E125" s="13">
        <v>42893.748287037037</v>
      </c>
      <c r="F125" s="13">
        <v>42893.750162037039</v>
      </c>
      <c r="G125" s="7">
        <v>1</v>
      </c>
      <c r="H125" s="21" t="s">
        <v>573</v>
      </c>
      <c r="I125" s="13">
        <v>42893.776250000003</v>
      </c>
      <c r="J125" s="7">
        <v>0</v>
      </c>
      <c r="K125" s="92" t="str">
        <f t="shared" si="31"/>
        <v>4027/4028</v>
      </c>
      <c r="L125" s="21" t="str">
        <f>VLOOKUP(A125,'Trips&amp;Operators'!$C$1:$G$99999,5,FALSE)</f>
        <v>LEVIN SCOTT</v>
      </c>
      <c r="M125" s="6">
        <f t="shared" si="32"/>
        <v>2.6087962964083999E-2</v>
      </c>
      <c r="N125" s="7">
        <f t="shared" si="67"/>
        <v>37.566666668280959</v>
      </c>
      <c r="O125" s="7"/>
      <c r="P125" s="7"/>
      <c r="Q125" s="22"/>
      <c r="R125" s="173"/>
      <c r="S125" s="176">
        <f t="shared" si="62"/>
        <v>1</v>
      </c>
      <c r="T125" s="202" t="str">
        <f t="shared" si="35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6"/>
        <v>https://d0f6bd738d7f1b3e5a7ca70fe4ff75f0.us-east-1.aws.found.io/app/kibana#/discover/Steve-Slow-Train-Analysis-(2080s-and-2083s)?_g=(refreshInterval:(display:Off,pause:!f,section:0,value:0),time:(from:'2017-06-07T16:57:32-0600',mode:absolute,to:'2017-06-07T19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204" t="str">
        <f t="shared" si="52"/>
        <v>N</v>
      </c>
      <c r="X125" s="204">
        <f t="shared" si="59"/>
        <v>1</v>
      </c>
      <c r="Y125" s="204">
        <f t="shared" si="60"/>
        <v>4.2700000000000002E-2</v>
      </c>
      <c r="Z125" s="204">
        <f t="shared" si="61"/>
        <v>23.337800000000001</v>
      </c>
      <c r="AA125" s="204">
        <f t="shared" si="39"/>
        <v>23.295100000000001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0"/>
        <v>0215-07</v>
      </c>
      <c r="AE125" s="80" t="str">
        <f t="shared" si="41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125" s="77" t="str">
        <f t="shared" si="42"/>
        <v>"C:\Program Files (x86)\AstroGrep\AstroGrep.exe" /e /r /s /spath="%USERPROFILE%\AppData\Local\Temp\OnboardLogs" /stypes="app*4028*20170608*" /stext=" 00:.+((SYSTEM_STATE.+slice.+state.+changed )|(ment ac)|(multiple cpu faults)|(system.+state.+changed )|(\[timeout)|(PRM\|1\|D)|(kpr)|(kdp)|(train st.+moving)|(\|lc)|(penalty))"</v>
      </c>
      <c r="AG125" s="1" t="str">
        <f t="shared" si="43"/>
        <v>EC</v>
      </c>
      <c r="AH125" s="81" t="str">
        <f t="shared" si="44"/>
        <v>"%USERPROFILE%\Documents\GitHub\eaglep3\Utilities\RefineRTDCRunTimes.py" --tripid 215-07 --locoid 4028 --swversion DE.1.0.9.0 --startMP 204:427 --initTime 2017-06-07T17:57:32 --startdatetime 2017-06-07T18:00:14 --delay 1 --endMP 204:233378 --enddatetime 2017-06-07T18:37:48 --enforcementcount 0 &gt;&gt;C:\Users\stu\Documents\GitHub\eaglep3-reporting\EC\2017-06-07-refined-times.txt</v>
      </c>
      <c r="AI125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{"issue":{"subject":"","project_id":79,"tracker_id":40,"status_id":1,"priority_id":2,"assigned_to_id":23,"start_date":"2017-06-07","description":"","custom_fields":[{"id":1,"name":"Subdivision","value":"EC"},{"id":4,"name":"Milepost","value":"23.3378"},{"id":17,"name":"Train ID","value":"215-07"},{"id":16,"name":"Locomotive ID","value":"4028"},{"id":130,"name":"Impact","value":""},{"id":150,"name":"Time of Event (Mountain Time)","value":"18:37:48"},{"id":151,"name":"Denver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6"/>
        <v>start /low /b %USERPROFILE%\Documents\GitHub\eaglep3\Utilities\DownloadLogsFromS3.py --loco 4028 --day 2017-06-07</v>
      </c>
      <c r="AN125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643</v>
      </c>
      <c r="B126" s="7">
        <v>4027</v>
      </c>
      <c r="C126" s="21" t="s">
        <v>204</v>
      </c>
      <c r="D126" s="21" t="s">
        <v>502</v>
      </c>
      <c r="E126" s="13">
        <v>42893.786574074074</v>
      </c>
      <c r="F126" s="13">
        <v>42893.789768518516</v>
      </c>
      <c r="G126" s="7">
        <v>1</v>
      </c>
      <c r="H126" s="21" t="s">
        <v>901</v>
      </c>
      <c r="I126" s="13">
        <v>42893.81554398148</v>
      </c>
      <c r="J126" s="7">
        <v>0</v>
      </c>
      <c r="K126" s="92" t="str">
        <f t="shared" si="31"/>
        <v>4027/4028</v>
      </c>
      <c r="L126" s="21" t="str">
        <f>VLOOKUP(A126,'Trips&amp;Operators'!$C$1:$G$99999,5,FALSE)</f>
        <v>LEVIN SCOTT</v>
      </c>
      <c r="M126" s="6">
        <f t="shared" si="32"/>
        <v>2.5775462963792961E-2</v>
      </c>
      <c r="N126" s="7">
        <f t="shared" si="67"/>
        <v>37.116666667861864</v>
      </c>
      <c r="O126" s="7"/>
      <c r="P126" s="7"/>
      <c r="Q126" s="22"/>
      <c r="R126" s="173"/>
      <c r="S126" s="176">
        <f t="shared" si="62"/>
        <v>1</v>
      </c>
      <c r="T126" s="202" t="str">
        <f t="shared" si="35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6"/>
        <v>https://d0f6bd738d7f1b3e5a7ca70fe4ff75f0.us-east-1.aws.found.io/app/kibana#/discover/Steve-Slow-Train-Analysis-(2080s-and-2083s)?_g=(refreshInterval:(display:Off,pause:!f,section:0,value:0),time:(from:'2017-06-07T17:52:40-0600',mode:absolute,to:'2017-06-07T20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204" t="str">
        <f t="shared" si="52"/>
        <v>N</v>
      </c>
      <c r="X126" s="204">
        <f t="shared" si="59"/>
        <v>1</v>
      </c>
      <c r="Y126" s="204">
        <f t="shared" si="60"/>
        <v>23.305299999999999</v>
      </c>
      <c r="Z126" s="204">
        <f t="shared" si="61"/>
        <v>1.6899999999999998E-2</v>
      </c>
      <c r="AA126" s="204">
        <f t="shared" si="39"/>
        <v>23.288399999999999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0"/>
        <v>0216-07</v>
      </c>
      <c r="AE126" s="80" t="str">
        <f t="shared" si="41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126" s="77" t="str">
        <f t="shared" si="42"/>
        <v>"C:\Program Files (x86)\AstroGrep\AstroGrep.exe" /e /r /s /spath="%USERPROFILE%\AppData\Local\Temp\OnboardLogs" /stypes="app*4027*20170608*" /stext=" 01:.+((SYSTEM_STATE.+slice.+state.+changed )|(ment ac)|(multiple cpu faults)|(system.+state.+changed )|(\[timeout)|(PRM\|1\|D)|(kpr)|(kdp)|(train st.+moving)|(\|lc)|(penalty))"</v>
      </c>
      <c r="AG126" s="1" t="str">
        <f t="shared" si="43"/>
        <v>EC</v>
      </c>
      <c r="AH126" s="81" t="str">
        <f t="shared" si="44"/>
        <v>"%USERPROFILE%\Documents\GitHub\eaglep3\Utilities\RefineRTDCRunTimes.py" --tripid 216-07 --locoid 4027 --swversion DE.1.0.9.0 --startMP 204:233053 --initTime 2017-06-07T18:52:40 --startdatetime 2017-06-07T18:57:16 --delay 1 --endMP 204:169 --enddatetime 2017-06-07T19:34:23 --enforcementcount 0 &gt;&gt;C:\Users\stu\Documents\GitHub\eaglep3-reporting\EC\2017-06-07-refined-times.txt</v>
      </c>
      <c r="AI126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{"issue":{"subject":"","project_id":79,"tracker_id":40,"status_id":1,"priority_id":2,"assigned_to_id":23,"start_date":"2017-06-07","description":"","custom_fields":[{"id":1,"name":"Subdivision","value":"EC"},{"id":4,"name":"Milepost","value":"0.0169"},{"id":17,"name":"Train ID","value":"216-07"},{"id":16,"name":"Locomotive ID","value":"4027"},{"id":130,"name":"Impact","value":""},{"id":150,"name":"Time of Event (Mountain Time)","value":"19:34:23"},{"id":151,"name":"Denver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6"/>
        <v>start /low /b %USERPROFILE%\Documents\GitHub\eaglep3\Utilities\DownloadLogsFromS3.py --loco 4027 --day 2017-06-07</v>
      </c>
      <c r="AN126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807</v>
      </c>
      <c r="B127" s="7">
        <v>4016</v>
      </c>
      <c r="C127" s="21" t="s">
        <v>204</v>
      </c>
      <c r="D127" s="21" t="s">
        <v>351</v>
      </c>
      <c r="E127" s="13">
        <v>42893.762569444443</v>
      </c>
      <c r="F127" s="13">
        <v>42893.763958333337</v>
      </c>
      <c r="G127" s="7">
        <v>1</v>
      </c>
      <c r="H127" s="21" t="s">
        <v>527</v>
      </c>
      <c r="I127" s="13">
        <v>42893.789131944446</v>
      </c>
      <c r="J127" s="7">
        <v>0</v>
      </c>
      <c r="K127" s="92" t="str">
        <f t="shared" si="31"/>
        <v>4015/4016</v>
      </c>
      <c r="L127" s="21" t="str">
        <f>VLOOKUP(A127,'Trips&amp;Operators'!$C$1:$G$99999,5,FALSE)</f>
        <v>SMITH MICHAEL</v>
      </c>
      <c r="M127" s="6">
        <f t="shared" si="32"/>
        <v>2.5173611109494232E-2</v>
      </c>
      <c r="N127" s="7">
        <f t="shared" si="67"/>
        <v>36.249999997671694</v>
      </c>
      <c r="O127" s="7"/>
      <c r="P127" s="7"/>
      <c r="Q127" s="22"/>
      <c r="R127" s="173" t="s">
        <v>1048</v>
      </c>
      <c r="S127" s="176">
        <f t="shared" si="62"/>
        <v>1</v>
      </c>
      <c r="T127" s="202" t="str">
        <f t="shared" si="35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6"/>
        <v>https://d0f6bd738d7f1b3e5a7ca70fe4ff75f0.us-east-1.aws.found.io/app/kibana#/discover/Steve-Slow-Train-Analysis-(2080s-and-2083s)?_g=(refreshInterval:(display:Off,pause:!f,section:0,value:0),time:(from:'2017-06-07T17:18:06-0600',mode:absolute,to:'2017-06-07T19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204" t="str">
        <f t="shared" ref="W127:W158" si="68">IF(AA127&lt;IF(AG127="EC",23,5.65),"Y","N")</f>
        <v>N</v>
      </c>
      <c r="X127" s="204">
        <f t="shared" si="59"/>
        <v>1</v>
      </c>
      <c r="Y127" s="204">
        <f t="shared" si="60"/>
        <v>4.58E-2</v>
      </c>
      <c r="Z127" s="204">
        <f t="shared" si="61"/>
        <v>23.329799999999999</v>
      </c>
      <c r="AA127" s="204">
        <f t="shared" si="39"/>
        <v>23.283999999999999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0"/>
        <v>0217-07</v>
      </c>
      <c r="AE127" s="80" t="str">
        <f t="shared" si="41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127" s="77" t="str">
        <f t="shared" si="42"/>
        <v>"C:\Program Files (x86)\AstroGrep\AstroGrep.exe" /e /r /s /spath="%USERPROFILE%\AppData\Local\Temp\OnboardLogs" /stypes="app*4016*20170608*" /stext=" 00:.+((SYSTEM_STATE.+slice.+state.+changed )|(ment ac)|(multiple cpu faults)|(system.+state.+changed )|(\[timeout)|(PRM\|1\|D)|(kpr)|(kdp)|(train st.+moving)|(\|lc)|(penalty))"</v>
      </c>
      <c r="AG127" s="1" t="str">
        <f t="shared" si="43"/>
        <v>EC</v>
      </c>
      <c r="AH127" s="81" t="str">
        <f t="shared" si="44"/>
        <v>"%USERPROFILE%\Documents\GitHub\eaglep3\Utilities\RefineRTDCRunTimes.py" --tripid 217-07 --locoid 4016 --swversion DE.1.0.9.0 --startMP 204:458 --initTime 2017-06-07T18:18:06 --startdatetime 2017-06-07T18:20:06 --delay 1 --endMP 204:233298 --enddatetime 2017-06-07T18:56:21 --enforcementcount 0 &gt;&gt;C:\Users\stu\Documents\GitHub\eaglep3-reporting\EC\2017-06-07-refined-times.txt</v>
      </c>
      <c r="AI127" s="99" t="str">
        <f t="shared" si="45"/>
        <v>echo {"issue":{"subject":"Delayed due to CCROC association issues","project_id":79,"tracker_id":40,"status_id":1,"priority_id":2,"assigned_to_id":23,"start_date":"2017-06-07","description":"","custom_fields":[{"id":1,"name":"Subdivision","value":"EC"},{"id":4,"name":"Milepost","value":"23.3298"},{"id":17,"name":"Train ID","value":"217-07"},{"id":16,"name":"Locomotive ID","value":"4016"},{"id":130,"name":"Impact","value":""},{"id":150,"name":"Time of Event (Mountain Time)","value":"18:56:21"},{"id":151,"name":"Denver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6"/>
        <v>start /low /b %USERPROFILE%\Documents\GitHub\eaglep3\Utilities\DownloadLogsFromS3.py --loco 4016 --day 2017-06-07</v>
      </c>
      <c r="AN127" s="154" t="str">
        <f t="shared" si="47"/>
        <v>echo {"issue":{"subject":"Delayed due to CCROC association issues","project_id":30,"tracker_id":4,"status_id":1,"priority_id":1,"assigned_to_id":10,"start_date":"2017-06-08","description":"","custom_fields":[{"id":30,"name":"Category","value":"Issue"},{"id":3,"name":"Functional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815</v>
      </c>
      <c r="B128" s="7">
        <v>4015</v>
      </c>
      <c r="C128" s="21" t="s">
        <v>204</v>
      </c>
      <c r="D128" s="21" t="s">
        <v>852</v>
      </c>
      <c r="E128" s="13">
        <v>42893.791886574072</v>
      </c>
      <c r="F128" s="13">
        <v>42893.800335648149</v>
      </c>
      <c r="G128" s="7">
        <v>1</v>
      </c>
      <c r="H128" s="21" t="s">
        <v>364</v>
      </c>
      <c r="I128" s="13">
        <v>42893.828333333331</v>
      </c>
      <c r="J128" s="7">
        <v>0</v>
      </c>
      <c r="K128" s="92" t="str">
        <f t="shared" si="31"/>
        <v>4015/4016</v>
      </c>
      <c r="L128" s="21" t="str">
        <f>VLOOKUP(A128,'Trips&amp;Operators'!$C$1:$G$99999,5,FALSE)</f>
        <v>SMITH MICHAEL</v>
      </c>
      <c r="M128" s="6">
        <f t="shared" si="32"/>
        <v>2.7997685181617271E-2</v>
      </c>
      <c r="N128" s="7">
        <f t="shared" si="67"/>
        <v>40.31666666152887</v>
      </c>
      <c r="O128" s="7"/>
      <c r="P128" s="7"/>
      <c r="Q128" s="22"/>
      <c r="R128" s="173"/>
      <c r="S128" s="176">
        <f t="shared" si="62"/>
        <v>1</v>
      </c>
      <c r="T128" s="202" t="str">
        <f t="shared" si="35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6"/>
        <v>https://d0f6bd738d7f1b3e5a7ca70fe4ff75f0.us-east-1.aws.found.io/app/kibana#/discover/Steve-Slow-Train-Analysis-(2080s-and-2083s)?_g=(refreshInterval:(display:Off,pause:!f,section:0,value:0),time:(from:'2017-06-07T18:00:19-0600',mode:absolute,to:'2017-06-07T20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204" t="str">
        <f t="shared" si="68"/>
        <v>N</v>
      </c>
      <c r="X128" s="204">
        <f t="shared" si="59"/>
        <v>1</v>
      </c>
      <c r="Y128" s="204">
        <f t="shared" si="60"/>
        <v>23.299399999999999</v>
      </c>
      <c r="Z128" s="204">
        <f t="shared" si="61"/>
        <v>1.47E-2</v>
      </c>
      <c r="AA128" s="204">
        <f t="shared" si="39"/>
        <v>23.284699999999997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0"/>
        <v>0218-07</v>
      </c>
      <c r="AE128" s="80" t="str">
        <f t="shared" si="41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128" s="77" t="str">
        <f t="shared" si="42"/>
        <v>"C:\Program Files (x86)\AstroGrep\AstroGrep.exe" /e /r /s /spath="%USERPROFILE%\AppData\Local\Temp\OnboardLogs" /stypes="app*4015*20170608*" /stext=" 01:.+((SYSTEM_STATE.+slice.+state.+changed )|(ment ac)|(multiple cpu faults)|(system.+state.+changed )|(\[timeout)|(PRM\|1\|D)|(kpr)|(kdp)|(train st.+moving)|(\|lc)|(penalty))"</v>
      </c>
      <c r="AG128" s="1" t="str">
        <f t="shared" si="43"/>
        <v>EC</v>
      </c>
      <c r="AH128" s="81" t="str">
        <f t="shared" si="44"/>
        <v>"%USERPROFILE%\Documents\GitHub\eaglep3\Utilities\RefineRTDCRunTimes.py" --tripid 218-07 --locoid 4015 --swversion DE.1.0.9.0 --startMP 204:232994 --initTime 2017-06-07T19:00:19 --startdatetime 2017-06-07T19:12:29 --delay 1 --endMP 204:147 --enddatetime 2017-06-07T19:52:48 --enforcementcount 0 &gt;&gt;C:\Users\stu\Documents\GitHub\eaglep3-reporting\EC\2017-06-07-refined-times.txt</v>
      </c>
      <c r="AI128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{"issue":{"subject":"","project_id":79,"tracker_id":40,"status_id":1,"priority_id":2,"assigned_to_id":23,"start_date":"2017-06-07","description":"","custom_fields":[{"id":1,"name":"Subdivision","value":"EC"},{"id":4,"name":"Milepost","value":"0.0147"},{"id":17,"name":"Train ID","value":"218-07"},{"id":16,"name":"Locomotive ID","value":"4015"},{"id":130,"name":"Impact","value":""},{"id":150,"name":"Time of Event (Mountain Time)","value":"19:52:48"},{"id":151,"name":"Denver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6"/>
        <v>start /low /b %USERPROFILE%\Documents\GitHub\eaglep3\Utilities\DownloadLogsFromS3.py --loco 4015 --day 2017-06-07</v>
      </c>
      <c r="AN128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809</v>
      </c>
      <c r="B129" s="7">
        <v>4046</v>
      </c>
      <c r="C129" s="21" t="s">
        <v>204</v>
      </c>
      <c r="D129" s="21" t="s">
        <v>494</v>
      </c>
      <c r="E129" s="13">
        <v>42893.768935185188</v>
      </c>
      <c r="F129" s="13">
        <v>42893.771261574075</v>
      </c>
      <c r="G129" s="7">
        <v>2</v>
      </c>
      <c r="H129" s="21" t="s">
        <v>850</v>
      </c>
      <c r="I129" s="13">
        <v>42893.797500000001</v>
      </c>
      <c r="J129" s="7">
        <v>0</v>
      </c>
      <c r="K129" s="92" t="str">
        <f t="shared" si="31"/>
        <v>4045/4046</v>
      </c>
      <c r="L129" s="21" t="str">
        <f>VLOOKUP(A129,'Trips&amp;Operators'!$C$1:$G$99999,5,FALSE)</f>
        <v>BADERTSCHER DIANE</v>
      </c>
      <c r="M129" s="6">
        <f t="shared" si="32"/>
        <v>2.6238425925839692E-2</v>
      </c>
      <c r="N129" s="7">
        <f t="shared" si="67"/>
        <v>37.783333333209157</v>
      </c>
      <c r="O129" s="7"/>
      <c r="P129" s="7"/>
      <c r="Q129" s="22"/>
      <c r="R129" s="173"/>
      <c r="S129" s="176">
        <f t="shared" si="62"/>
        <v>1</v>
      </c>
      <c r="T129" s="202" t="str">
        <f t="shared" si="35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6"/>
        <v>https://d0f6bd738d7f1b3e5a7ca70fe4ff75f0.us-east-1.aws.found.io/app/kibana#/discover/Steve-Slow-Train-Analysis-(2080s-and-2083s)?_g=(refreshInterval:(display:Off,pause:!f,section:0,value:0),time:(from:'2017-06-07T17:27:16-0600',mode:absolute,to:'2017-06-07T20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204" t="str">
        <f t="shared" si="68"/>
        <v>N</v>
      </c>
      <c r="X129" s="204">
        <f t="shared" si="59"/>
        <v>1</v>
      </c>
      <c r="Y129" s="204">
        <f t="shared" si="60"/>
        <v>4.3700000000000003E-2</v>
      </c>
      <c r="Z129" s="204">
        <f t="shared" si="61"/>
        <v>23.331399999999999</v>
      </c>
      <c r="AA129" s="204">
        <f t="shared" si="39"/>
        <v>23.287699999999997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0"/>
        <v>0219-07</v>
      </c>
      <c r="AE129" s="80" t="str">
        <f t="shared" si="41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129" s="77" t="str">
        <f t="shared" si="42"/>
        <v>"C:\Program Files (x86)\AstroGrep\AstroGrep.exe" /e /r /s /spath="%USERPROFILE%\AppData\Local\Temp\OnboardLogs" /stypes="app*4046*20170608*" /stext=" 01:.+((SYSTEM_STATE.+slice.+state.+changed )|(ment ac)|(multiple cpu faults)|(system.+state.+changed )|(\[timeout)|(PRM\|1\|D)|(kpr)|(kdp)|(train st.+moving)|(\|lc)|(penalty))"</v>
      </c>
      <c r="AG129" s="1" t="str">
        <f t="shared" si="43"/>
        <v>EC</v>
      </c>
      <c r="AH129" s="81" t="str">
        <f t="shared" si="44"/>
        <v>"%USERPROFILE%\Documents\GitHub\eaglep3\Utilities\RefineRTDCRunTimes.py" --tripid 219-07 --locoid 4046 --swversion DE.1.0.9.0 --startMP 204:437 --initTime 2017-06-07T18:27:16 --startdatetime 2017-06-07T18:30:37 --delay 2 --endMP 204:233314 --enddatetime 2017-06-07T19:08:24 --enforcementcount 0 &gt;&gt;C:\Users\stu\Documents\GitHub\eaglep3-reporting\EC\2017-06-07-refined-times.txt</v>
      </c>
      <c r="AI129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{"issue":{"subject":"","project_id":79,"tracker_id":40,"status_id":1,"priority_id":2,"assigned_to_id":23,"start_date":"2017-06-07","description":"","custom_fields":[{"id":1,"name":"Subdivision","value":"EC"},{"id":4,"name":"Milepost","value":"23.3314"},{"id":17,"name":"Train ID","value":"219-07"},{"id":16,"name":"Locomotive ID","value":"4046"},{"id":130,"name":"Impact","value":""},{"id":150,"name":"Time of Event (Mountain Time)","value":"19:08:24"},{"id":151,"name":"Denver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6"/>
        <v>start /low /b %USERPROFILE%\Documents\GitHub\eaglep3\Utilities\DownloadLogsFromS3.py --loco 4046 --day 2017-06-07</v>
      </c>
      <c r="AN129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644</v>
      </c>
      <c r="B130" s="7">
        <v>4045</v>
      </c>
      <c r="C130" s="21" t="s">
        <v>204</v>
      </c>
      <c r="D130" s="21" t="s">
        <v>493</v>
      </c>
      <c r="E130" s="13">
        <v>42893.806979166664</v>
      </c>
      <c r="F130" s="13">
        <v>42893.810601851852</v>
      </c>
      <c r="G130" s="7">
        <v>1</v>
      </c>
      <c r="H130" s="21" t="s">
        <v>528</v>
      </c>
      <c r="I130" s="13">
        <v>42893.837673611109</v>
      </c>
      <c r="J130" s="7">
        <v>0</v>
      </c>
      <c r="K130" s="92" t="str">
        <f t="shared" si="31"/>
        <v>4045/4046</v>
      </c>
      <c r="L130" s="21" t="str">
        <f>VLOOKUP(A130,'Trips&amp;Operators'!$C$1:$G$99999,5,FALSE)</f>
        <v>BADERTSCHER DIANE</v>
      </c>
      <c r="M130" s="6">
        <f t="shared" si="32"/>
        <v>2.7071759257523809E-2</v>
      </c>
      <c r="N130" s="7">
        <f t="shared" si="67"/>
        <v>38.983333330834284</v>
      </c>
      <c r="O130" s="7"/>
      <c r="P130" s="7"/>
      <c r="Q130" s="22"/>
      <c r="R130" s="173"/>
      <c r="S130" s="176">
        <f t="shared" si="62"/>
        <v>1</v>
      </c>
      <c r="T130" s="202" t="str">
        <f t="shared" si="35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6"/>
        <v>https://d0f6bd738d7f1b3e5a7ca70fe4ff75f0.us-east-1.aws.found.io/app/kibana#/discover/Steve-Slow-Train-Analysis-(2080s-and-2083s)?_g=(refreshInterval:(display:Off,pause:!f,section:0,value:0),time:(from:'2017-06-07T18:22:03-0600',mode:absolute,to:'2017-06-07T21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204" t="str">
        <f t="shared" si="68"/>
        <v>N</v>
      </c>
      <c r="X130" s="204">
        <f t="shared" si="59"/>
        <v>1</v>
      </c>
      <c r="Y130" s="204">
        <f t="shared" si="60"/>
        <v>23.301100000000002</v>
      </c>
      <c r="Z130" s="204">
        <f t="shared" si="61"/>
        <v>1.67E-2</v>
      </c>
      <c r="AA130" s="204">
        <f t="shared" si="39"/>
        <v>23.284400000000002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0"/>
        <v>0220-07</v>
      </c>
      <c r="AE130" s="80" t="str">
        <f t="shared" si="41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130" s="77" t="str">
        <f t="shared" si="42"/>
        <v>"C:\Program Files (x86)\AstroGrep\AstroGrep.exe" /e /r /s /spath="%USERPROFILE%\AppData\Local\Temp\OnboardLogs" /stypes="app*4045*20170608*" /stext=" 02:.+((SYSTEM_STATE.+slice.+state.+changed )|(ment ac)|(multiple cpu faults)|(system.+state.+changed )|(\[timeout)|(PRM\|1\|D)|(kpr)|(kdp)|(train st.+moving)|(\|lc)|(penalty))"</v>
      </c>
      <c r="AG130" s="1" t="str">
        <f t="shared" si="43"/>
        <v>EC</v>
      </c>
      <c r="AH130" s="81" t="str">
        <f t="shared" si="44"/>
        <v>"%USERPROFILE%\Documents\GitHub\eaglep3\Utilities\RefineRTDCRunTimes.py" --tripid 220-07 --locoid 4045 --swversion DE.1.0.9.0 --startMP 204:233011 --initTime 2017-06-07T19:22:03 --startdatetime 2017-06-07T19:27:16 --delay 1 --endMP 204:167 --enddatetime 2017-06-07T20:06:15 --enforcementcount 0 &gt;&gt;C:\Users\stu\Documents\GitHub\eaglep3-reporting\EC\2017-06-07-refined-times.txt</v>
      </c>
      <c r="AI130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{"issue":{"subject":"","project_id":79,"tracker_id":40,"status_id":1,"priority_id":2,"assigned_to_id":23,"start_date":"2017-06-07","description":"","custom_fields":[{"id":1,"name":"Subdivision","value":"EC"},{"id":4,"name":"Milepost","value":"0.0167"},{"id":17,"name":"Train ID","value":"220-07"},{"id":16,"name":"Locomotive ID","value":"4045"},{"id":130,"name":"Impact","value":""},{"id":150,"name":"Time of Event (Mountain Time)","value":"20:06:15"},{"id":151,"name":"Denver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6"/>
        <v>start /low /b %USERPROFILE%\Documents\GitHub\eaglep3\Utilities\DownloadLogsFromS3.py --loco 4045 --day 2017-06-07</v>
      </c>
      <c r="AN130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814</v>
      </c>
      <c r="B131" s="7">
        <v>4012</v>
      </c>
      <c r="C131" s="21" t="s">
        <v>204</v>
      </c>
      <c r="D131" s="21" t="s">
        <v>201</v>
      </c>
      <c r="E131" s="13">
        <v>42893.790439814817</v>
      </c>
      <c r="F131" s="13">
        <v>42893.792372685188</v>
      </c>
      <c r="G131" s="7">
        <v>2</v>
      </c>
      <c r="H131" s="21" t="s">
        <v>902</v>
      </c>
      <c r="I131" s="13">
        <v>42893.817673611113</v>
      </c>
      <c r="J131" s="7">
        <v>0</v>
      </c>
      <c r="K131" s="92" t="str">
        <f t="shared" si="31"/>
        <v>4011/4012</v>
      </c>
      <c r="L131" s="21" t="str">
        <f>VLOOKUP(A131,'Trips&amp;Operators'!$C$1:$G$99999,5,FALSE)</f>
        <v>FORTUNATO FRANK</v>
      </c>
      <c r="M131" s="6">
        <f t="shared" si="32"/>
        <v>2.5300925924966577E-2</v>
      </c>
      <c r="N131" s="7">
        <f t="shared" si="67"/>
        <v>36.433333331951872</v>
      </c>
      <c r="O131" s="7"/>
      <c r="P131" s="7"/>
      <c r="Q131" s="22"/>
      <c r="R131" s="173"/>
      <c r="S131" s="176">
        <f t="shared" si="62"/>
        <v>1</v>
      </c>
      <c r="T131" s="202" t="str">
        <f t="shared" si="35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6"/>
        <v>https://d0f6bd738d7f1b3e5a7ca70fe4ff75f0.us-east-1.aws.found.io/app/kibana#/discover/Steve-Slow-Train-Analysis-(2080s-and-2083s)?_g=(refreshInterval:(display:Off,pause:!f,section:0,value:0),time:(from:'2017-06-07T17:58:14-0600',mode:absolute,to:'2017-06-07T20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204" t="str">
        <f t="shared" si="68"/>
        <v>N</v>
      </c>
      <c r="X131" s="204">
        <f t="shared" si="59"/>
        <v>1</v>
      </c>
      <c r="Y131" s="204">
        <f t="shared" si="60"/>
        <v>4.5999999999999999E-2</v>
      </c>
      <c r="Z131" s="204">
        <f t="shared" si="61"/>
        <v>23.331499999999998</v>
      </c>
      <c r="AA131" s="204">
        <f t="shared" si="39"/>
        <v>23.285499999999999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0"/>
        <v>0221-07</v>
      </c>
      <c r="AE131" s="80" t="str">
        <f t="shared" si="41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131" s="77" t="str">
        <f t="shared" si="42"/>
        <v>"C:\Program Files (x86)\AstroGrep\AstroGrep.exe" /e /r /s /spath="%USERPROFILE%\AppData\Local\Temp\OnboardLogs" /stypes="app*4012*20170608*" /stext=" 01:.+((SYSTEM_STATE.+slice.+state.+changed )|(ment ac)|(multiple cpu faults)|(system.+state.+changed )|(\[timeout)|(PRM\|1\|D)|(kpr)|(kdp)|(train st.+moving)|(\|lc)|(penalty))"</v>
      </c>
      <c r="AG131" s="1" t="str">
        <f t="shared" si="43"/>
        <v>EC</v>
      </c>
      <c r="AH131" s="81" t="str">
        <f t="shared" si="44"/>
        <v>"%USERPROFILE%\Documents\GitHub\eaglep3\Utilities\RefineRTDCRunTimes.py" --tripid 221-07 --locoid 4012 --swversion DE.1.0.9.0 --startMP 204:460 --initTime 2017-06-07T18:58:14 --startdatetime 2017-06-07T19:01:01 --delay 2 --endMP 204:233315 --enddatetime 2017-06-07T19:37:27 --enforcementcount 0 &gt;&gt;C:\Users\stu\Documents\GitHub\eaglep3-reporting\EC\2017-06-07-refined-times.txt</v>
      </c>
      <c r="AI131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{"issue":{"subject":"","project_id":79,"tracker_id":40,"status_id":1,"priority_id":2,"assigned_to_id":23,"start_date":"2017-06-07","description":"","custom_fields":[{"id":1,"name":"Subdivision","value":"EC"},{"id":4,"name":"Milepost","value":"23.3315"},{"id":17,"name":"Train ID","value":"221-07"},{"id":16,"name":"Locomotive ID","value":"4012"},{"id":130,"name":"Impact","value":""},{"id":150,"name":"Time of Event (Mountain Time)","value":"19:37:27"},{"id":151,"name":"Denver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6"/>
        <v>start /low /b %USERPROFILE%\Documents\GitHub\eaglep3\Utilities\DownloadLogsFromS3.py --loco 4012 --day 2017-06-07</v>
      </c>
      <c r="AN131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820</v>
      </c>
      <c r="B132" s="7">
        <v>4011</v>
      </c>
      <c r="C132" s="21" t="s">
        <v>204</v>
      </c>
      <c r="D132" s="21" t="s">
        <v>875</v>
      </c>
      <c r="E132" s="13">
        <v>42893.820324074077</v>
      </c>
      <c r="F132" s="13">
        <v>42893.831423611111</v>
      </c>
      <c r="G132" s="7">
        <v>1</v>
      </c>
      <c r="H132" s="21" t="s">
        <v>361</v>
      </c>
      <c r="I132" s="13">
        <v>42893.859988425924</v>
      </c>
      <c r="J132" s="7">
        <v>0</v>
      </c>
      <c r="K132" s="92" t="str">
        <f t="shared" si="31"/>
        <v>4011/4012</v>
      </c>
      <c r="L132" s="21" t="str">
        <f>VLOOKUP(A132,'Trips&amp;Operators'!$C$1:$G$99999,5,FALSE)</f>
        <v>FORTUNATO FRANK</v>
      </c>
      <c r="M132" s="6">
        <f t="shared" si="32"/>
        <v>2.8564814812853001E-2</v>
      </c>
      <c r="N132" s="7">
        <f t="shared" si="67"/>
        <v>41.133333330508322</v>
      </c>
      <c r="O132" s="7"/>
      <c r="P132" s="7"/>
      <c r="Q132" s="22"/>
      <c r="R132" s="173"/>
      <c r="S132" s="176">
        <f t="shared" si="62"/>
        <v>1</v>
      </c>
      <c r="T132" s="202" t="str">
        <f t="shared" si="35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6"/>
        <v>https://d0f6bd738d7f1b3e5a7ca70fe4ff75f0.us-east-1.aws.found.io/app/kibana#/discover/Steve-Slow-Train-Analysis-(2080s-and-2083s)?_g=(refreshInterval:(display:Off,pause:!f,section:0,value:0),time:(from:'2017-06-07T18:41:16-0600',mode:absolute,to:'2017-06-07T21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204" t="str">
        <f t="shared" si="68"/>
        <v>N</v>
      </c>
      <c r="X132" s="204">
        <f t="shared" si="59"/>
        <v>1</v>
      </c>
      <c r="Y132" s="204">
        <f t="shared" si="60"/>
        <v>23.300599999999999</v>
      </c>
      <c r="Z132" s="204">
        <f t="shared" si="61"/>
        <v>1.3899999999999999E-2</v>
      </c>
      <c r="AA132" s="204">
        <f t="shared" si="39"/>
        <v>23.2867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0"/>
        <v>0222-07</v>
      </c>
      <c r="AE132" s="80" t="str">
        <f t="shared" si="41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132" s="77" t="str">
        <f t="shared" si="42"/>
        <v>"C:\Program Files (x86)\AstroGrep\AstroGrep.exe" /e /r /s /spath="%USERPROFILE%\AppData\Local\Temp\OnboardLogs" /stypes="app*4011*20170608*" /stext=" 02:.+((SYSTEM_STATE.+slice.+state.+changed )|(ment ac)|(multiple cpu faults)|(system.+state.+changed )|(\[timeout)|(PRM\|1\|D)|(kpr)|(kdp)|(train st.+moving)|(\|lc)|(penalty))"</v>
      </c>
      <c r="AG132" s="1" t="str">
        <f t="shared" si="43"/>
        <v>EC</v>
      </c>
      <c r="AH132" s="81" t="str">
        <f t="shared" si="44"/>
        <v>"%USERPROFILE%\Documents\GitHub\eaglep3\Utilities\RefineRTDCRunTimes.py" --tripid 222-07 --locoid 4011 --swversion DE.1.0.9.0 --startMP 204:233006 --initTime 2017-06-07T19:41:16 --startdatetime 2017-06-07T19:57:15 --delay 1 --endMP 204:139 --enddatetime 2017-06-07T20:38:23 --enforcementcount 0 &gt;&gt;C:\Users\stu\Documents\GitHub\eaglep3-reporting\EC\2017-06-07-refined-times.txt</v>
      </c>
      <c r="AI132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{"issue":{"subject":"","project_id":79,"tracker_id":40,"status_id":1,"priority_id":2,"assigned_to_id":23,"start_date":"2017-06-07","description":"","custom_fields":[{"id":1,"name":"Subdivision","value":"EC"},{"id":4,"name":"Milepost","value":"0.0139"},{"id":17,"name":"Train ID","value":"222-07"},{"id":16,"name":"Locomotive ID","value":"4011"},{"id":130,"name":"Impact","value":""},{"id":150,"name":"Time of Event (Mountain Time)","value":"20:38:23"},{"id":151,"name":"Denver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6"/>
        <v>start /low /b %USERPROFILE%\Documents\GitHub\eaglep3\Utilities\DownloadLogsFromS3.py --loco 4011 --day 2017-06-07</v>
      </c>
      <c r="AN132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02:38:23"},{"id":29,"name":"Sharepoint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646</v>
      </c>
      <c r="B133" s="7">
        <v>4058</v>
      </c>
      <c r="C133" s="21" t="s">
        <v>204</v>
      </c>
      <c r="D133" s="21" t="s">
        <v>433</v>
      </c>
      <c r="E133" s="13">
        <v>42893.81013888889</v>
      </c>
      <c r="F133" s="13">
        <v>42893.813171296293</v>
      </c>
      <c r="G133" s="7">
        <v>2</v>
      </c>
      <c r="H133" s="21" t="s">
        <v>903</v>
      </c>
      <c r="I133" s="13">
        <v>42893.835150462961</v>
      </c>
      <c r="J133" s="7">
        <v>0</v>
      </c>
      <c r="K133" s="92" t="str">
        <f t="shared" si="31"/>
        <v>4057/4058</v>
      </c>
      <c r="L133" s="21" t="str">
        <f>VLOOKUP(A133,'Trips&amp;Operators'!$C$1:$G$99999,5,FALSE)</f>
        <v>HAITHCOX MICHAEL</v>
      </c>
      <c r="M133" s="6">
        <f t="shared" si="32"/>
        <v>2.1979166667733807E-2</v>
      </c>
      <c r="N133" s="7"/>
      <c r="O133" s="7"/>
      <c r="P133" s="7">
        <f>24*60*SUM($M133:$M133)</f>
        <v>31.650000001536682</v>
      </c>
      <c r="Q133" s="22"/>
      <c r="R133" s="173" t="s">
        <v>418</v>
      </c>
      <c r="S133" s="176">
        <f t="shared" si="62"/>
        <v>1</v>
      </c>
      <c r="T133" s="202" t="str">
        <f t="shared" si="35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6"/>
        <v>https://d0f6bd738d7f1b3e5a7ca70fe4ff75f0.us-east-1.aws.found.io/app/kibana#/discover/Steve-Slow-Train-Analysis-(2080s-and-2083s)?_g=(refreshInterval:(display:Off,pause:!f,section:0,value:0),time:(from:'2017-06-07T18:26:36-0600',mode:absolute,to:'2017-06-07T21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3" s="204" t="str">
        <f t="shared" si="68"/>
        <v>Y</v>
      </c>
      <c r="X133" s="204">
        <f t="shared" si="59"/>
        <v>1</v>
      </c>
      <c r="Y133" s="204">
        <f t="shared" si="60"/>
        <v>4.4200000000000003E-2</v>
      </c>
      <c r="Z133" s="204">
        <f t="shared" si="61"/>
        <v>18.969200000000001</v>
      </c>
      <c r="AA133" s="204">
        <f t="shared" si="39"/>
        <v>18.925000000000001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0"/>
        <v>0223-07</v>
      </c>
      <c r="AE133" s="80" t="str">
        <f t="shared" si="41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133" s="77" t="str">
        <f t="shared" si="42"/>
        <v>"C:\Program Files (x86)\AstroGrep\AstroGrep.exe" /e /r /s /spath="%USERPROFILE%\AppData\Local\Temp\OnboardLogs" /stypes="app*4058*20170608*" /stext=" 02:.+((SYSTEM_STATE.+slice.+state.+changed )|(ment ac)|(multiple cpu faults)|(system.+state.+changed )|(\[timeout)|(PRM\|1\|D)|(kpr)|(kdp)|(train st.+moving)|(\|lc)|(penalty))"</v>
      </c>
      <c r="AG133" s="1" t="str">
        <f t="shared" si="43"/>
        <v>EC</v>
      </c>
      <c r="AH133" s="81" t="str">
        <f t="shared" si="44"/>
        <v>"%USERPROFILE%\Documents\GitHub\eaglep3\Utilities\RefineRTDCRunTimes.py" --tripid 223-07 --locoid 4058 --swversion DE.1.0.9.0 --startMP 204:442 --initTime 2017-06-07T19:26:36 --startdatetime 2017-06-07T19:30:58 --delay 2 --endMP 204:189692 --enddatetime 2017-06-07T20:02:37 --enforcementcount 0 &gt;&gt;C:\Users\stu\Documents\GitHub\eaglep3-reporting\EC\2017-06-07-refined-times.txt</v>
      </c>
      <c r="AI133" s="99" t="str">
        <f t="shared" si="45"/>
        <v>echo {"issue":{"subject":"Wi-MAX data drop","project_id":79,"tracker_id":40,"status_id":1,"priority_id":2,"assigned_to_id":23,"start_date":"2017-06-07","description":"","custom_fields":[{"id":1,"name":"Subdivision","value":"EC"},{"id":4,"name":"Milepost","value":"18.9692"},{"id":17,"name":"Train ID","value":"223-07"},{"id":16,"name":"Locomotive ID","value":"4058"},{"id":130,"name":"Impact","value":""},{"id":150,"name":"Time of Event (Mountain Time)","value":"20:02:37"},{"id":151,"name":"Denver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6"/>
        <v>start /low /b %USERPROFILE%\Documents\GitHub\eaglep3\Utilities\DownloadLogsFromS3.py --loco 4058 --day 2017-06-07</v>
      </c>
      <c r="AN133" s="154" t="str">
        <f t="shared" si="47"/>
        <v>echo {"issue":{"subject":"Wi-MAX data drop","project_id":30,"tracker_id":4,"status_id":1,"priority_id":1,"assigned_to_id":10,"start_date":"2017-06-08","description":"","custom_fields":[{"id":30,"name":"Category","value":"Issue"},{"id":3,"name":"Functional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02:02:37"},{"id":29,"name":"Sharepoint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823</v>
      </c>
      <c r="B134" s="7">
        <v>4057</v>
      </c>
      <c r="C134" s="21" t="s">
        <v>204</v>
      </c>
      <c r="D134" s="21" t="s">
        <v>462</v>
      </c>
      <c r="E134" s="13">
        <v>42893.84474537037</v>
      </c>
      <c r="F134" s="13">
        <v>42893.852384259262</v>
      </c>
      <c r="G134" s="7">
        <v>1</v>
      </c>
      <c r="H134" s="21" t="s">
        <v>472</v>
      </c>
      <c r="I134" s="13">
        <v>42893.880983796298</v>
      </c>
      <c r="J134" s="7">
        <v>0</v>
      </c>
      <c r="K134" s="92" t="str">
        <f t="shared" si="31"/>
        <v>4057/4058</v>
      </c>
      <c r="L134" s="21" t="str">
        <f>VLOOKUP(A134,'Trips&amp;Operators'!$C$1:$G$99999,5,FALSE)</f>
        <v>HAITHCOX MICHAEL</v>
      </c>
      <c r="M134" s="6">
        <f t="shared" si="32"/>
        <v>2.8599537035916001E-2</v>
      </c>
      <c r="N134" s="7">
        <f t="shared" ref="N134:N165" si="69">24*60*SUM($M134:$M134)</f>
        <v>41.183333331719041</v>
      </c>
      <c r="O134" s="7"/>
      <c r="P134" s="7"/>
      <c r="Q134" s="22"/>
      <c r="R134" s="173"/>
      <c r="S134" s="176">
        <f t="shared" si="62"/>
        <v>1</v>
      </c>
      <c r="T134" s="202" t="str">
        <f t="shared" si="35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6"/>
        <v>https://d0f6bd738d7f1b3e5a7ca70fe4ff75f0.us-east-1.aws.found.io/app/kibana#/discover/Steve-Slow-Train-Analysis-(2080s-and-2083s)?_g=(refreshInterval:(display:Off,pause:!f,section:0,value:0),time:(from:'2017-06-07T19:16:26-0600',mode:absolute,to:'2017-06-07T22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4" s="204" t="str">
        <f t="shared" si="68"/>
        <v>N</v>
      </c>
      <c r="X134" s="204">
        <f t="shared" si="59"/>
        <v>1</v>
      </c>
      <c r="Y134" s="204">
        <f t="shared" si="60"/>
        <v>23.297799999999999</v>
      </c>
      <c r="Z134" s="204">
        <f t="shared" si="61"/>
        <v>1.6500000000000001E-2</v>
      </c>
      <c r="AA134" s="204">
        <f t="shared" si="39"/>
        <v>23.281299999999998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0"/>
        <v>0224-07</v>
      </c>
      <c r="AE134" s="80" t="str">
        <f t="shared" si="41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134" s="77" t="str">
        <f t="shared" si="42"/>
        <v>"C:\Program Files (x86)\AstroGrep\AstroGrep.exe" /e /r /s /spath="%USERPROFILE%\AppData\Local\Temp\OnboardLogs" /stypes="app*4057*20170608*" /stext=" 03:.+((SYSTEM_STATE.+slice.+state.+changed )|(ment ac)|(multiple cpu faults)|(system.+state.+changed )|(\[timeout)|(PRM\|1\|D)|(kpr)|(kdp)|(train st.+moving)|(\|lc)|(penalty))"</v>
      </c>
      <c r="AG134" s="1" t="str">
        <f t="shared" si="43"/>
        <v>EC</v>
      </c>
      <c r="AH134" s="81" t="str">
        <f t="shared" si="44"/>
        <v>"%USERPROFILE%\Documents\GitHub\eaglep3\Utilities\RefineRTDCRunTimes.py" --tripid 224-07 --locoid 4057 --swversion DE.1.0.9.0 --startMP 204:232978 --initTime 2017-06-07T20:16:26 --startdatetime 2017-06-07T20:27:26 --delay 1 --endMP 204:165 --enddatetime 2017-06-07T21:08:37 --enforcementcount 0 &gt;&gt;C:\Users\stu\Documents\GitHub\eaglep3-reporting\EC\2017-06-07-refined-times.txt</v>
      </c>
      <c r="AI134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{"issue":{"subject":"","project_id":79,"tracker_id":40,"status_id":1,"priority_id":2,"assigned_to_id":23,"start_date":"2017-06-07","description":"","custom_fields":[{"id":1,"name":"Subdivision","value":"EC"},{"id":4,"name":"Milepost","value":"0.0165"},{"id":17,"name":"Train ID","value":"224-07"},{"id":16,"name":"Locomotive ID","value":"4057"},{"id":130,"name":"Impact","value":""},{"id":150,"name":"Time of Event (Mountain Time)","value":"21:08:37"},{"id":151,"name":"Denver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6"/>
        <v>start /low /b %USERPROFILE%\Documents\GitHub\eaglep3\Utilities\DownloadLogsFromS3.py --loco 4057 --day 2017-06-07</v>
      </c>
      <c r="AN134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03:08:37"},{"id":29,"name":"Sharepoint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821</v>
      </c>
      <c r="B135" s="7">
        <v>4016</v>
      </c>
      <c r="C135" s="21" t="s">
        <v>204</v>
      </c>
      <c r="D135" s="21" t="s">
        <v>360</v>
      </c>
      <c r="E135" s="13">
        <v>42893.830196759256</v>
      </c>
      <c r="F135" s="13">
        <v>42893.833703703705</v>
      </c>
      <c r="G135" s="7">
        <v>1</v>
      </c>
      <c r="H135" s="21" t="s">
        <v>904</v>
      </c>
      <c r="I135" s="13">
        <v>42893.858900462961</v>
      </c>
      <c r="J135" s="7">
        <v>0</v>
      </c>
      <c r="K135" s="92" t="str">
        <f t="shared" si="31"/>
        <v>4015/4016</v>
      </c>
      <c r="L135" s="21" t="str">
        <f>VLOOKUP(A135,'Trips&amp;Operators'!$C$1:$G$99999,5,FALSE)</f>
        <v>SMITH MICHAEL</v>
      </c>
      <c r="M135" s="6">
        <f t="shared" si="32"/>
        <v>2.5196759255777579E-2</v>
      </c>
      <c r="N135" s="7">
        <f t="shared" si="69"/>
        <v>36.283333328319713</v>
      </c>
      <c r="O135" s="7"/>
      <c r="P135" s="7"/>
      <c r="Q135" s="22"/>
      <c r="R135" s="173"/>
      <c r="S135" s="176">
        <f t="shared" si="62"/>
        <v>1</v>
      </c>
      <c r="T135" s="202" t="str">
        <f t="shared" si="35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6"/>
        <v>https://d0f6bd738d7f1b3e5a7ca70fe4ff75f0.us-east-1.aws.found.io/app/kibana#/discover/Steve-Slow-Train-Analysis-(2080s-and-2083s)?_g=(refreshInterval:(display:Off,pause:!f,section:0,value:0),time:(from:'2017-06-07T18:55:29-0600',mode:absolute,to:'2017-06-07T21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5" s="204" t="str">
        <f t="shared" si="68"/>
        <v>N</v>
      </c>
      <c r="X135" s="204">
        <f t="shared" si="59"/>
        <v>1</v>
      </c>
      <c r="Y135" s="204">
        <f t="shared" si="60"/>
        <v>4.4699999999999997E-2</v>
      </c>
      <c r="Z135" s="204">
        <f t="shared" si="61"/>
        <v>23.33</v>
      </c>
      <c r="AA135" s="204">
        <f t="shared" si="39"/>
        <v>23.285299999999999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0"/>
        <v>0225-07</v>
      </c>
      <c r="AE135" s="80" t="str">
        <f t="shared" si="41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135" s="77" t="str">
        <f t="shared" si="42"/>
        <v>"C:\Program Files (x86)\AstroGrep\AstroGrep.exe" /e /r /s /spath="%USERPROFILE%\AppData\Local\Temp\OnboardLogs" /stypes="app*4016*20170608*" /stext=" 02:.+((SYSTEM_STATE.+slice.+state.+changed )|(ment ac)|(multiple cpu faults)|(system.+state.+changed )|(\[timeout)|(PRM\|1\|D)|(kpr)|(kdp)|(train st.+moving)|(\|lc)|(penalty))"</v>
      </c>
      <c r="AG135" s="1" t="str">
        <f t="shared" si="43"/>
        <v>EC</v>
      </c>
      <c r="AH135" s="81" t="str">
        <f t="shared" si="44"/>
        <v>"%USERPROFILE%\Documents\GitHub\eaglep3\Utilities\RefineRTDCRunTimes.py" --tripid 225-07 --locoid 4016 --swversion DE.1.0.9.0 --startMP 204:447 --initTime 2017-06-07T19:55:29 --startdatetime 2017-06-07T20:00:32 --delay 1 --endMP 204:233300 --enddatetime 2017-06-07T20:36:49 --enforcementcount 0 &gt;&gt;C:\Users\stu\Documents\GitHub\eaglep3-reporting\EC\2017-06-07-refined-times.txt</v>
      </c>
      <c r="AI135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{"issue":{"subject":"","project_id":79,"tracker_id":40,"status_id":1,"priority_id":2,"assigned_to_id":23,"start_date":"2017-06-07","description":"","custom_fields":[{"id":1,"name":"Subdivision","value":"EC"},{"id":4,"name":"Milepost","value":"23.33"},{"id":17,"name":"Train ID","value":"225-07"},{"id":16,"name":"Locomotive ID","value":"4016"},{"id":130,"name":"Impact","value":""},{"id":150,"name":"Time of Event (Mountain Time)","value":"20:36:49"},{"id":151,"name":"Denver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6"/>
        <v>start /low /b %USERPROFILE%\Documents\GitHub\eaglep3\Utilities\DownloadLogsFromS3.py --loco 4016 --day 2017-06-07</v>
      </c>
      <c r="AN135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826</v>
      </c>
      <c r="B136" s="7">
        <v>4015</v>
      </c>
      <c r="C136" s="21" t="s">
        <v>204</v>
      </c>
      <c r="D136" s="21" t="s">
        <v>863</v>
      </c>
      <c r="E136" s="13">
        <v>42893.860682870371</v>
      </c>
      <c r="F136" s="13">
        <v>42893.873217592591</v>
      </c>
      <c r="G136" s="7">
        <v>1</v>
      </c>
      <c r="H136" s="21" t="s">
        <v>458</v>
      </c>
      <c r="I136" s="13">
        <v>42893.900706018518</v>
      </c>
      <c r="J136" s="7">
        <v>0</v>
      </c>
      <c r="K136" s="92" t="str">
        <f t="shared" si="31"/>
        <v>4015/4016</v>
      </c>
      <c r="L136" s="21" t="str">
        <f>VLOOKUP(A136,'Trips&amp;Operators'!$C$1:$G$99999,5,FALSE)</f>
        <v>SMITH MICHAEL</v>
      </c>
      <c r="M136" s="6">
        <f t="shared" si="32"/>
        <v>2.7488425927003846E-2</v>
      </c>
      <c r="N136" s="7">
        <f t="shared" si="69"/>
        <v>39.583333334885538</v>
      </c>
      <c r="O136" s="7"/>
      <c r="P136" s="7"/>
      <c r="Q136" s="22"/>
      <c r="R136" s="173"/>
      <c r="S136" s="176">
        <f t="shared" si="62"/>
        <v>1</v>
      </c>
      <c r="T136" s="202" t="str">
        <f t="shared" si="35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6"/>
        <v>https://d0f6bd738d7f1b3e5a7ca70fe4ff75f0.us-east-1.aws.found.io/app/kibana#/discover/Steve-Slow-Train-Analysis-(2080s-and-2083s)?_g=(refreshInterval:(display:Off,pause:!f,section:0,value:0),time:(from:'2017-06-07T19:39:23-0600',mode:absolute,to:'2017-06-07T22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6" s="204" t="str">
        <f t="shared" si="68"/>
        <v>N</v>
      </c>
      <c r="X136" s="204">
        <f t="shared" si="59"/>
        <v>1</v>
      </c>
      <c r="Y136" s="204">
        <f t="shared" si="60"/>
        <v>23.298100000000002</v>
      </c>
      <c r="Z136" s="204">
        <f t="shared" si="61"/>
        <v>1.38E-2</v>
      </c>
      <c r="AA136" s="204">
        <f t="shared" si="39"/>
        <v>23.284300000000002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0"/>
        <v>0226-07</v>
      </c>
      <c r="AE136" s="80" t="str">
        <f t="shared" si="41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136" s="77" t="str">
        <f t="shared" si="42"/>
        <v>"C:\Program Files (x86)\AstroGrep\AstroGrep.exe" /e /r /s /spath="%USERPROFILE%\AppData\Local\Temp\OnboardLogs" /stypes="app*4015*20170608*" /stext=" 03:.+((SYSTEM_STATE.+slice.+state.+changed )|(ment ac)|(multiple cpu faults)|(system.+state.+changed )|(\[timeout)|(PRM\|1\|D)|(kpr)|(kdp)|(train st.+moving)|(\|lc)|(penalty))"</v>
      </c>
      <c r="AG136" s="1" t="str">
        <f t="shared" si="43"/>
        <v>EC</v>
      </c>
      <c r="AH136" s="81" t="str">
        <f t="shared" si="44"/>
        <v>"%USERPROFILE%\Documents\GitHub\eaglep3\Utilities\RefineRTDCRunTimes.py" --tripid 226-07 --locoid 4015 --swversion DE.1.0.9.0 --startMP 204:232981 --initTime 2017-06-07T20:39:23 --startdatetime 2017-06-07T20:57:26 --delay 1 --endMP 204:138 --enddatetime 2017-06-07T21:37:01 --enforcementcount 0 &gt;&gt;C:\Users\stu\Documents\GitHub\eaglep3-reporting\EC\2017-06-07-refined-times.txt</v>
      </c>
      <c r="AI136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{"issue":{"subject":"","project_id":79,"tracker_id":40,"status_id":1,"priority_id":2,"assigned_to_id":23,"start_date":"2017-06-07","description":"","custom_fields":[{"id":1,"name":"Subdivision","value":"EC"},{"id":4,"name":"Milepost","value":"0.0138"},{"id":17,"name":"Train ID","value":"226-07"},{"id":16,"name":"Locomotive ID","value":"4015"},{"id":130,"name":"Impact","value":""},{"id":150,"name":"Time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6"/>
        <v>start /low /b %USERPROFILE%\Documents\GitHub\eaglep3\Utilities\DownloadLogsFromS3.py --loco 4015 --day 2017-06-07</v>
      </c>
      <c r="AN136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824</v>
      </c>
      <c r="B137" s="7">
        <v>4046</v>
      </c>
      <c r="C137" s="21" t="s">
        <v>204</v>
      </c>
      <c r="D137" s="21" t="s">
        <v>480</v>
      </c>
      <c r="E137" s="13">
        <v>42893.844166666669</v>
      </c>
      <c r="F137" s="13">
        <v>42893.854513888888</v>
      </c>
      <c r="G137" s="7">
        <v>2</v>
      </c>
      <c r="H137" s="21" t="s">
        <v>398</v>
      </c>
      <c r="I137" s="13">
        <v>42893.880150462966</v>
      </c>
      <c r="J137" s="7">
        <v>0</v>
      </c>
      <c r="K137" s="92" t="str">
        <f t="shared" si="31"/>
        <v>4045/4046</v>
      </c>
      <c r="L137" s="21" t="str">
        <f>VLOOKUP(A137,'Trips&amp;Operators'!$C$1:$G$99999,5,FALSE)</f>
        <v>BADERTSCHER DIANE</v>
      </c>
      <c r="M137" s="6">
        <f t="shared" si="32"/>
        <v>2.5636574078816921E-2</v>
      </c>
      <c r="N137" s="7">
        <f t="shared" si="69"/>
        <v>36.916666673496366</v>
      </c>
      <c r="O137" s="7"/>
      <c r="P137" s="7"/>
      <c r="Q137" s="22"/>
      <c r="R137" s="173"/>
      <c r="S137" s="176">
        <f t="shared" si="62"/>
        <v>1</v>
      </c>
      <c r="T137" s="202" t="str">
        <f t="shared" si="35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6"/>
        <v>https://d0f6bd738d7f1b3e5a7ca70fe4ff75f0.us-east-1.aws.found.io/app/kibana#/discover/Steve-Slow-Train-Analysis-(2080s-and-2083s)?_g=(refreshInterval:(display:Off,pause:!f,section:0,value:0),time:(from:'2017-06-07T19:15:36-0600',mode:absolute,to:'2017-06-07T22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7" s="204" t="str">
        <f t="shared" si="68"/>
        <v>N</v>
      </c>
      <c r="X137" s="204">
        <f t="shared" ref="X137:X167" si="70">VALUE(LEFT(AD137,4))-VALUE(LEFT(AD136,4))</f>
        <v>1</v>
      </c>
      <c r="Y137" s="204">
        <f t="shared" si="60"/>
        <v>4.8000000000000001E-2</v>
      </c>
      <c r="Z137" s="204">
        <f t="shared" si="61"/>
        <v>23.3293</v>
      </c>
      <c r="AA137" s="204">
        <f t="shared" si="39"/>
        <v>23.281300000000002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0"/>
        <v>0227-07</v>
      </c>
      <c r="AE137" s="80" t="str">
        <f t="shared" si="41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137" s="77" t="str">
        <f t="shared" si="42"/>
        <v>"C:\Program Files (x86)\AstroGrep\AstroGrep.exe" /e /r /s /spath="%USERPROFILE%\AppData\Local\Temp\OnboardLogs" /stypes="app*4046*20170608*" /stext=" 03:.+((SYSTEM_STATE.+slice.+state.+changed )|(ment ac)|(multiple cpu faults)|(system.+state.+changed )|(\[timeout)|(PRM\|1\|D)|(kpr)|(kdp)|(train st.+moving)|(\|lc)|(penalty))"</v>
      </c>
      <c r="AG137" s="1" t="str">
        <f t="shared" si="43"/>
        <v>EC</v>
      </c>
      <c r="AH137" s="81" t="str">
        <f t="shared" si="44"/>
        <v>"%USERPROFILE%\Documents\GitHub\eaglep3\Utilities\RefineRTDCRunTimes.py" --tripid 227-07 --locoid 4046 --swversion DE.1.0.9.0 --startMP 204:480 --initTime 2017-06-07T20:15:36 --startdatetime 2017-06-07T20:30:30 --delay 2 --endMP 204:233293 --enddatetime 2017-06-07T21:07:25 --enforcementcount 0 &gt;&gt;C:\Users\stu\Documents\GitHub\eaglep3-reporting\EC\2017-06-07-refined-times.txt</v>
      </c>
      <c r="AI137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{"issue":{"subject":"","project_id":79,"tracker_id":40,"status_id":1,"priority_id":2,"assigned_to_id":23,"start_date":"2017-06-07","description":"","custom_fields":[{"id":1,"name":"Subdivision","value":"EC"},{"id":4,"name":"Milepost","value":"23.3293"},{"id":17,"name":"Train ID","value":"227-07"},{"id":16,"name":"Locomotive ID","value":"4046"},{"id":130,"name":"Impact","value":""},{"id":150,"name":"Time of Event (Mountain Time)","value":"21:07:25"},{"id":151,"name":"Denver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6"/>
        <v>start /low /b %USERPROFILE%\Documents\GitHub\eaglep3\Utilities\DownloadLogsFromS3.py --loco 4046 --day 2017-06-07</v>
      </c>
      <c r="AN137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03:07:25"},{"id":29,"name":"Sharepoint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647</v>
      </c>
      <c r="B138" s="7">
        <v>4045</v>
      </c>
      <c r="C138" s="21" t="s">
        <v>204</v>
      </c>
      <c r="D138" s="21" t="s">
        <v>852</v>
      </c>
      <c r="E138" s="13">
        <v>42893.886736111112</v>
      </c>
      <c r="F138" s="13">
        <v>42893.894108796296</v>
      </c>
      <c r="G138" s="7">
        <v>1</v>
      </c>
      <c r="H138" s="21" t="s">
        <v>363</v>
      </c>
      <c r="I138" s="13">
        <v>42893.923483796294</v>
      </c>
      <c r="J138" s="7">
        <v>0</v>
      </c>
      <c r="K138" s="92" t="str">
        <f t="shared" si="31"/>
        <v>4045/4046</v>
      </c>
      <c r="L138" s="21" t="str">
        <f>VLOOKUP(A138,'Trips&amp;Operators'!$C$1:$G$99999,5,FALSE)</f>
        <v>BADERTSCHER DIANE</v>
      </c>
      <c r="M138" s="6">
        <f t="shared" si="32"/>
        <v>2.937499999825377E-2</v>
      </c>
      <c r="N138" s="7">
        <f t="shared" si="69"/>
        <v>42.299999997485429</v>
      </c>
      <c r="O138" s="7"/>
      <c r="P138" s="7"/>
      <c r="Q138" s="22"/>
      <c r="R138" s="173"/>
      <c r="S138" s="176">
        <f t="shared" si="62"/>
        <v>1</v>
      </c>
      <c r="T138" s="202" t="str">
        <f t="shared" si="35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6"/>
        <v>https://d0f6bd738d7f1b3e5a7ca70fe4ff75f0.us-east-1.aws.found.io/app/kibana#/discover/Steve-Slow-Train-Analysis-(2080s-and-2083s)?_g=(refreshInterval:(display:Off,pause:!f,section:0,value:0),time:(from:'2017-06-07T20:16:54-0600',mode:absolute,to:'2017-06-07T23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8" s="204" t="str">
        <f t="shared" si="68"/>
        <v>N</v>
      </c>
      <c r="X138" s="204">
        <f t="shared" si="70"/>
        <v>1</v>
      </c>
      <c r="Y138" s="204">
        <f t="shared" si="60"/>
        <v>23.299399999999999</v>
      </c>
      <c r="Z138" s="204">
        <f t="shared" si="61"/>
        <v>1.41E-2</v>
      </c>
      <c r="AA138" s="204">
        <f t="shared" si="39"/>
        <v>23.285299999999999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0"/>
        <v>0228-07</v>
      </c>
      <c r="AE138" s="80" t="str">
        <f t="shared" si="41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138" s="77" t="str">
        <f t="shared" si="42"/>
        <v>"C:\Program Files (x86)\AstroGrep\AstroGrep.exe" /e /r /s /spath="%USERPROFILE%\AppData\Local\Temp\OnboardLogs" /stypes="app*4045*20170608*" /stext=" 04:.+((SYSTEM_STATE.+slice.+state.+changed )|(ment ac)|(multiple cpu faults)|(system.+state.+changed )|(\[timeout)|(PRM\|1\|D)|(kpr)|(kdp)|(train st.+moving)|(\|lc)|(penalty))"</v>
      </c>
      <c r="AG138" s="1" t="str">
        <f t="shared" si="43"/>
        <v>EC</v>
      </c>
      <c r="AH138" s="81" t="str">
        <f t="shared" si="44"/>
        <v>"%USERPROFILE%\Documents\GitHub\eaglep3\Utilities\RefineRTDCRunTimes.py" --tripid 228-07 --locoid 4045 --swversion DE.1.0.9.0 --startMP 204:232994 --initTime 2017-06-07T21:16:54 --startdatetime 2017-06-07T21:27:31 --delay 1 --endMP 204:141 --enddatetime 2017-06-07T22:09:49 --enforcementcount 0 &gt;&gt;C:\Users\stu\Documents\GitHub\eaglep3-reporting\EC\2017-06-07-refined-times.txt</v>
      </c>
      <c r="AI138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{"issue":{"subject":"","project_id":79,"tracker_id":40,"status_id":1,"priority_id":2,"assigned_to_id":23,"start_date":"2017-06-07","description":"","custom_fields":[{"id":1,"name":"Subdivision","value":"EC"},{"id":4,"name":"Milepost","value":"0.0141"},{"id":17,"name":"Train ID","value":"228-07"},{"id":16,"name":"Locomotive ID","value":"4045"},{"id":130,"name":"Impact","value":""},{"id":150,"name":"Time of Event (Mountain Time)","value":"22:09:49"},{"id":151,"name":"Denver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6"/>
        <v>start /low /b %USERPROFILE%\Documents\GitHub\eaglep3\Utilities\DownloadLogsFromS3.py --loco 4045 --day 2017-06-07</v>
      </c>
      <c r="AN138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04:09:49"},{"id":29,"name":"Sharepoint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827</v>
      </c>
      <c r="B139" s="7">
        <v>4012</v>
      </c>
      <c r="C139" s="21" t="s">
        <v>204</v>
      </c>
      <c r="D139" s="21" t="s">
        <v>359</v>
      </c>
      <c r="E139" s="13">
        <v>42893.861631944441</v>
      </c>
      <c r="F139" s="13">
        <v>42893.875150462962</v>
      </c>
      <c r="G139" s="7">
        <v>1</v>
      </c>
      <c r="H139" s="21" t="s">
        <v>874</v>
      </c>
      <c r="I139" s="13">
        <v>42893.900833333333</v>
      </c>
      <c r="J139" s="7">
        <v>0</v>
      </c>
      <c r="K139" s="92" t="str">
        <f t="shared" si="31"/>
        <v>4011/4012</v>
      </c>
      <c r="L139" s="21" t="str">
        <f>VLOOKUP(A139,'Trips&amp;Operators'!$C$1:$G$99999,5,FALSE)</f>
        <v>FORTUNATO FRANK</v>
      </c>
      <c r="M139" s="6">
        <f t="shared" si="32"/>
        <v>2.5682870371383615E-2</v>
      </c>
      <c r="N139" s="7">
        <f t="shared" si="69"/>
        <v>36.983333334792405</v>
      </c>
      <c r="O139" s="7"/>
      <c r="P139" s="7"/>
      <c r="Q139" s="22"/>
      <c r="R139" s="173"/>
      <c r="S139" s="176">
        <f t="shared" si="62"/>
        <v>1</v>
      </c>
      <c r="T139" s="202" t="str">
        <f t="shared" si="35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6"/>
        <v>https://d0f6bd738d7f1b3e5a7ca70fe4ff75f0.us-east-1.aws.found.io/app/kibana#/discover/Steve-Slow-Train-Analysis-(2080s-and-2083s)?_g=(refreshInterval:(display:Off,pause:!f,section:0,value:0),time:(from:'2017-06-07T19:40:45-0600',mode:absolute,to:'2017-06-07T22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9" s="204" t="str">
        <f t="shared" si="68"/>
        <v>N</v>
      </c>
      <c r="X139" s="204">
        <f t="shared" si="70"/>
        <v>1</v>
      </c>
      <c r="Y139" s="204">
        <f t="shared" si="60"/>
        <v>4.53E-2</v>
      </c>
      <c r="Z139" s="204">
        <f t="shared" si="61"/>
        <v>23.331900000000001</v>
      </c>
      <c r="AA139" s="204">
        <f t="shared" si="39"/>
        <v>23.2866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0"/>
        <v>0229-07</v>
      </c>
      <c r="AE139" s="80" t="str">
        <f t="shared" si="41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139" s="77" t="str">
        <f t="shared" si="42"/>
        <v>"C:\Program Files (x86)\AstroGrep\AstroGrep.exe" /e /r /s /spath="%USERPROFILE%\AppData\Local\Temp\OnboardLogs" /stypes="app*4012*20170608*" /stext=" 03:.+((SYSTEM_STATE.+slice.+state.+changed )|(ment ac)|(multiple cpu faults)|(system.+state.+changed )|(\[timeout)|(PRM\|1\|D)|(kpr)|(kdp)|(train st.+moving)|(\|lc)|(penalty))"</v>
      </c>
      <c r="AG139" s="1" t="str">
        <f t="shared" si="43"/>
        <v>EC</v>
      </c>
      <c r="AH139" s="81" t="str">
        <f t="shared" si="44"/>
        <v>"%USERPROFILE%\Documents\GitHub\eaglep3\Utilities\RefineRTDCRunTimes.py" --tripid 229-07 --locoid 4012 --swversion DE.1.0.9.0 --startMP 204:453 --initTime 2017-06-07T20:40:45 --startdatetime 2017-06-07T21:00:13 --delay 1 --endMP 204:233319 --enddatetime 2017-06-07T21:37:12 --enforcementcount 0 &gt;&gt;C:\Users\stu\Documents\GitHub\eaglep3-reporting\EC\2017-06-07-refined-times.txt</v>
      </c>
      <c r="AI139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{"issue":{"subject":"","project_id":79,"tracker_id":40,"status_id":1,"priority_id":2,"assigned_to_id":23,"start_date":"2017-06-07","description":"","custom_fields":[{"id":1,"name":"Subdivision","value":"EC"},{"id":4,"name":"Milepost","value":"23.3319"},{"id":17,"name":"Train ID","value":"229-07"},{"id":16,"name":"Locomotive ID","value":"4012"},{"id":130,"name":"Impact","value":""},{"id":150,"name":"Time of Event (Mountain Time)","value":"21:37:12"},{"id":151,"name":"Denver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6"/>
        <v>start /low /b %USERPROFILE%\Documents\GitHub\eaglep3\Utilities\DownloadLogsFromS3.py --loco 4012 --day 2017-06-07</v>
      </c>
      <c r="AN139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03:37:12"},{"id":29,"name":"Sharepoint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649</v>
      </c>
      <c r="B140" s="7">
        <v>4011</v>
      </c>
      <c r="C140" s="21" t="s">
        <v>204</v>
      </c>
      <c r="D140" s="21" t="s">
        <v>493</v>
      </c>
      <c r="E140" s="13">
        <v>42893.905949074076</v>
      </c>
      <c r="F140" s="13">
        <v>42893.915682870371</v>
      </c>
      <c r="G140" s="7">
        <v>1</v>
      </c>
      <c r="H140" s="21" t="s">
        <v>354</v>
      </c>
      <c r="I140" s="13">
        <v>42893.943067129629</v>
      </c>
      <c r="J140" s="7">
        <v>0</v>
      </c>
      <c r="K140" s="92" t="str">
        <f t="shared" si="31"/>
        <v>4011/4012</v>
      </c>
      <c r="L140" s="21" t="str">
        <f>VLOOKUP(A140,'Trips&amp;Operators'!$C$1:$G$99999,5,FALSE)</f>
        <v>FORTUNATO FRANK</v>
      </c>
      <c r="M140" s="6">
        <f t="shared" si="32"/>
        <v>2.7384259257814847E-2</v>
      </c>
      <c r="N140" s="7">
        <f t="shared" si="69"/>
        <v>39.43333333125338</v>
      </c>
      <c r="O140" s="7"/>
      <c r="P140" s="7"/>
      <c r="Q140" s="22"/>
      <c r="R140" s="173"/>
      <c r="S140" s="176">
        <f t="shared" si="62"/>
        <v>1</v>
      </c>
      <c r="T140" s="202" t="str">
        <f t="shared" si="35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6"/>
        <v>https://d0f6bd738d7f1b3e5a7ca70fe4ff75f0.us-east-1.aws.found.io/app/kibana#/discover/Steve-Slow-Train-Analysis-(2080s-and-2083s)?_g=(refreshInterval:(display:Off,pause:!f,section:0,value:0),time:(from:'2017-06-07T20:44:34-0600',mode:absolute,to:'2017-06-07T23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0" s="204" t="str">
        <f t="shared" si="68"/>
        <v>N</v>
      </c>
      <c r="X140" s="204">
        <f t="shared" si="70"/>
        <v>1</v>
      </c>
      <c r="Y140" s="204">
        <f t="shared" si="60"/>
        <v>23.301100000000002</v>
      </c>
      <c r="Z140" s="204">
        <f t="shared" si="61"/>
        <v>1.43E-2</v>
      </c>
      <c r="AA140" s="204">
        <f t="shared" si="39"/>
        <v>23.286800000000003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0"/>
        <v>0230-07</v>
      </c>
      <c r="AE140" s="80" t="str">
        <f t="shared" si="41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140" s="77" t="str">
        <f t="shared" si="42"/>
        <v>"C:\Program Files (x86)\AstroGrep\AstroGrep.exe" /e /r /s /spath="%USERPROFILE%\AppData\Local\Temp\OnboardLogs" /stypes="app*4011*20170608*" /stext=" 04:.+((SYSTEM_STATE.+slice.+state.+changed )|(ment ac)|(multiple cpu faults)|(system.+state.+changed )|(\[timeout)|(PRM\|1\|D)|(kpr)|(kdp)|(train st.+moving)|(\|lc)|(penalty))"</v>
      </c>
      <c r="AG140" s="1" t="str">
        <f t="shared" si="43"/>
        <v>EC</v>
      </c>
      <c r="AH140" s="81" t="str">
        <f t="shared" si="44"/>
        <v>"%USERPROFILE%\Documents\GitHub\eaglep3\Utilities\RefineRTDCRunTimes.py" --tripid 230-07 --locoid 4011 --swversion DE.1.0.9.0 --startMP 204:233011 --initTime 2017-06-07T21:44:34 --startdatetime 2017-06-07T21:58:35 --delay 1 --endMP 204:143 --enddatetime 2017-06-07T22:38:01 --enforcementcount 0 &gt;&gt;C:\Users\stu\Documents\GitHub\eaglep3-reporting\EC\2017-06-07-refined-times.txt</v>
      </c>
      <c r="AI140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{"issue":{"subject":"","project_id":79,"tracker_id":40,"status_id":1,"priority_id":2,"assigned_to_id":23,"start_date":"2017-06-07","description":"","custom_fields":[{"id":1,"name":"Subdivision","value":"EC"},{"id":4,"name":"Milepost","value":"0.0143"},{"id":17,"name":"Train ID","value":"230-07"},{"id":16,"name":"Locomotive ID","value":"4011"},{"id":130,"name":"Impact","value":""},{"id":150,"name":"Time of Event (Mountain Time)","value":"22:38:01"},{"id":151,"name":"Denver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6"/>
        <v>start /low /b %USERPROFILE%\Documents\GitHub\eaglep3\Utilities\DownloadLogsFromS3.py --loco 4011 --day 2017-06-07</v>
      </c>
      <c r="AN140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829</v>
      </c>
      <c r="B141" s="7">
        <v>4058</v>
      </c>
      <c r="C141" s="21" t="s">
        <v>204</v>
      </c>
      <c r="D141" s="21" t="s">
        <v>494</v>
      </c>
      <c r="E141" s="13">
        <v>42893.88621527778</v>
      </c>
      <c r="F141" s="13">
        <v>42893.896249999998</v>
      </c>
      <c r="G141" s="7">
        <v>2</v>
      </c>
      <c r="H141" s="21" t="s">
        <v>905</v>
      </c>
      <c r="I141" s="13">
        <v>42893.93340277778</v>
      </c>
      <c r="J141" s="7">
        <v>0</v>
      </c>
      <c r="K141" s="92" t="str">
        <f t="shared" ref="K141:K204" si="71">IF(ISEVEN(B141),(B141-1)&amp;"/"&amp;B141,B141&amp;"/"&amp;(B141+1))</f>
        <v>4057/4058</v>
      </c>
      <c r="L141" s="21" t="str">
        <f>VLOOKUP(A141,'Trips&amp;Operators'!$C$1:$G$99999,5,FALSE)</f>
        <v>HAITHCOX MICHAEL</v>
      </c>
      <c r="M141" s="6">
        <f t="shared" ref="M141:M204" si="72">I141-F141</f>
        <v>3.7152777782466728E-2</v>
      </c>
      <c r="N141" s="7">
        <f t="shared" si="69"/>
        <v>53.500000006752089</v>
      </c>
      <c r="O141" s="7"/>
      <c r="P141" s="7"/>
      <c r="Q141" s="22"/>
      <c r="R141" s="173"/>
      <c r="S141" s="176">
        <f t="shared" si="62"/>
        <v>1</v>
      </c>
      <c r="T141" s="202" t="str">
        <f t="shared" ref="T141:T204" si="73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-07T20:16:09-0600',mode:absolute,to:'2017-06-07T23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1" s="204" t="str">
        <f t="shared" si="68"/>
        <v>N</v>
      </c>
      <c r="X141" s="204">
        <f t="shared" si="70"/>
        <v>1</v>
      </c>
      <c r="Y141" s="204">
        <f t="shared" ref="Y141:Y177" si="75">RIGHT(D141,LEN(D141)-4)/10000</f>
        <v>4.3700000000000003E-2</v>
      </c>
      <c r="Z141" s="204">
        <f t="shared" ref="Z141:Z177" si="76">RIGHT(H141,LEN(H141)-4)/10000</f>
        <v>23.3291</v>
      </c>
      <c r="AA141" s="204">
        <f t="shared" ref="AA141:AA204" si="77">ABS(Z141-Y141)</f>
        <v>23.285399999999999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78">IF(LEN(A141)=6,"0"&amp;A141,A141)</f>
        <v>0231-07</v>
      </c>
      <c r="AE141" s="80" t="str">
        <f t="shared" ref="AE141:AE204" si="7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141" s="77" t="str">
        <f t="shared" ref="AF141:AF204" si="8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/stypes="app*4058*20170608*"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81">IFERROR(IF(VALUE(LEFT(AD141,2))&lt;=2,"EC",IF(OR(VALUE(LEFT(AD141,2))=8,VALUE(LEFT(AD141,2))=18),"NW","Other")),"Other")</f>
        <v>EC</v>
      </c>
      <c r="AH141" s="81" t="str">
        <f t="shared" si="44"/>
        <v>"%USERPROFILE%\Documents\GitHub\eaglep3\Utilities\RefineRTDCRunTimes.py" --tripid 231-07 --locoid 4058 --swversion DE.1.0.9.0 --startMP 204:437 --initTime 2017-06-07T21:16:09 --startdatetime 2017-06-07T21:30:36 --delay 2 --endMP 204:233291 --enddatetime 2017-06-07T22:24:06 --enforcementcount 0 &gt;&gt;C:\Users\stu\Documents\GitHub\eaglep3-reporting\EC\2017-06-07-refined-times.txt</v>
      </c>
      <c r="AI141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{"issue":{"subject":"","project_id":79,"tracker_id":40,"status_id":1,"priority_id":2,"assigned_to_id":23,"start_date":"2017-06-07","description":"","custom_fields":[{"id":1,"name":"Subdivision","value":"EC"},{"id":4,"name":"Milepost","value":"23.3291"},{"id":17,"name":"Train ID","value":"231-07"},{"id":16,"name":"Locomotive ID","value":"4058"},{"id":130,"name":"Impact","value":""},{"id":150,"name":"Time of Event (Mountain Time)","value":"22:24:06"},{"id":151,"name":"Denver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6"/>
        <v>start /low /b %USERPROFILE%\Documents\GitHub\eaglep3\Utilities\DownloadLogsFromS3.py --loco 4058 --day 2017-06-07</v>
      </c>
      <c r="AN141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04:24:06"},{"id":29,"name":"Sharepoint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832</v>
      </c>
      <c r="B142" s="7">
        <v>4057</v>
      </c>
      <c r="C142" s="21" t="s">
        <v>204</v>
      </c>
      <c r="D142" s="21" t="s">
        <v>857</v>
      </c>
      <c r="E142" s="13">
        <v>42893.933692129627</v>
      </c>
      <c r="F142" s="13">
        <v>42893.935659722221</v>
      </c>
      <c r="G142" s="7">
        <v>1</v>
      </c>
      <c r="H142" s="21" t="s">
        <v>528</v>
      </c>
      <c r="I142" s="13">
        <v>42893.964120370372</v>
      </c>
      <c r="J142" s="7">
        <v>0</v>
      </c>
      <c r="K142" s="92" t="str">
        <f t="shared" si="71"/>
        <v>4057/4058</v>
      </c>
      <c r="L142" s="21" t="str">
        <f>VLOOKUP(A142,'Trips&amp;Operators'!$C$1:$G$99999,5,FALSE)</f>
        <v>HAITHCOX MICHAEL</v>
      </c>
      <c r="M142" s="6">
        <f t="shared" si="72"/>
        <v>2.846064815093996E-2</v>
      </c>
      <c r="N142" s="7">
        <f t="shared" si="69"/>
        <v>40.983333337353542</v>
      </c>
      <c r="O142" s="7"/>
      <c r="P142" s="7"/>
      <c r="Q142" s="22"/>
      <c r="R142" s="173"/>
      <c r="S142" s="176">
        <f t="shared" si="62"/>
        <v>1</v>
      </c>
      <c r="T142" s="202" t="str">
        <f t="shared" si="73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74"/>
        <v>https://d0f6bd738d7f1b3e5a7ca70fe4ff75f0.us-east-1.aws.found.io/app/kibana#/discover/Steve-Slow-Train-Analysis-(2080s-and-2083s)?_g=(refreshInterval:(display:Off,pause:!f,section:0,value:0),time:(from:'2017-06-07T21:24:31-0600',mode:absolute,to:'2017-06-08T00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2" s="204" t="str">
        <f t="shared" si="68"/>
        <v>N</v>
      </c>
      <c r="X142" s="204">
        <f t="shared" si="70"/>
        <v>1</v>
      </c>
      <c r="Y142" s="204">
        <f t="shared" si="75"/>
        <v>23.2973</v>
      </c>
      <c r="Z142" s="204">
        <f t="shared" si="76"/>
        <v>1.67E-2</v>
      </c>
      <c r="AA142" s="204">
        <f t="shared" si="77"/>
        <v>23.2806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8"/>
        <v>0232-07</v>
      </c>
      <c r="AE142" s="80" t="str">
        <f t="shared" si="79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142" s="77" t="str">
        <f t="shared" si="80"/>
        <v>"C:\Program Files (x86)\AstroGrep\AstroGrep.exe" /e /r /s /spath="%USERPROFILE%\AppData\Local\Temp\OnboardLogs" /stypes="app*4057*20170608*" /stext=" 05:.+((SYSTEM_STATE.+slice.+state.+changed )|(ment ac)|(multiple cpu faults)|(system.+state.+changed )|(\[timeout)|(PRM\|1\|D)|(kpr)|(kdp)|(train st.+moving)|(\|lc)|(penalty))"</v>
      </c>
      <c r="AG142" s="1" t="str">
        <f t="shared" si="81"/>
        <v>EC</v>
      </c>
      <c r="AH142" s="81" t="str">
        <f t="shared" si="44"/>
        <v>"%USERPROFILE%\Documents\GitHub\eaglep3\Utilities\RefineRTDCRunTimes.py" --tripid 232-07 --locoid 4057 --swversion DE.1.0.9.0 --startMP 204:232973 --initTime 2017-06-07T22:24:31 --startdatetime 2017-06-07T22:27:21 --delay 1 --endMP 204:167 --enddatetime 2017-06-07T23:08:20 --enforcementcount 0 &gt;&gt;C:\Users\stu\Documents\GitHub\eaglep3-reporting\EC\2017-06-07-refined-times.txt</v>
      </c>
      <c r="AI142" s="99" t="str">
        <f t="shared" si="45"/>
        <v>echo {"issue":{"subject":"","project_id":79,"tracker_id":40,"status_id":1,"priority_id":2,"assigned_to_id":23,"start_date":"2017-06-07","description":"","custom_fields":[{"id":1,"name":"Subdivision","value":"EC"},{"id":4,"name":"Milepost","value":"0.0167"},{"id":17,"name":"Train ID","value":"232-07"},{"id":16,"name":"Locomotive ID","value":"4057"},{"id":130,"name":"Impact","value":""},{"id":150,"name":"Time of Event (Mountain Time)","value":"23:08:20"},{"id":151,"name":"Denver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46"/>
        <v>start /low /b %USERPROFILE%\Documents\GitHub\eaglep3\Utilities\DownloadLogsFromS3.py --loco 4057 --day 2017-06-07</v>
      </c>
      <c r="AN142" s="154" t="str">
        <f t="shared" si="47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05:08:20"},{"id":29,"name":"Sharepoint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830</v>
      </c>
      <c r="B143" s="7">
        <v>4016</v>
      </c>
      <c r="C143" s="21" t="s">
        <v>204</v>
      </c>
      <c r="D143" s="21" t="s">
        <v>351</v>
      </c>
      <c r="E143" s="13">
        <v>42893.906087962961</v>
      </c>
      <c r="F143" s="13">
        <v>42893.916944444441</v>
      </c>
      <c r="G143" s="7">
        <v>1</v>
      </c>
      <c r="H143" s="21" t="s">
        <v>503</v>
      </c>
      <c r="I143" s="13">
        <v>42893.942361111112</v>
      </c>
      <c r="J143" s="7">
        <v>0</v>
      </c>
      <c r="K143" s="92" t="str">
        <f t="shared" si="71"/>
        <v>4015/4016</v>
      </c>
      <c r="L143" s="21" t="str">
        <f>VLOOKUP(A143,'Trips&amp;Operators'!$C$1:$G$99999,5,FALSE)</f>
        <v>SMITH MICHAEL</v>
      </c>
      <c r="M143" s="6">
        <f t="shared" si="72"/>
        <v>2.5416666670935228E-2</v>
      </c>
      <c r="N143" s="7">
        <f t="shared" si="69"/>
        <v>36.600000006146729</v>
      </c>
      <c r="O143" s="7"/>
      <c r="P143" s="7"/>
      <c r="Q143" s="22"/>
      <c r="R143" s="173"/>
      <c r="S143" s="176">
        <f t="shared" si="62"/>
        <v>1</v>
      </c>
      <c r="T143" s="202" t="str">
        <f t="shared" si="73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74"/>
        <v>https://d0f6bd738d7f1b3e5a7ca70fe4ff75f0.us-east-1.aws.found.io/app/kibana#/discover/Steve-Slow-Train-Analysis-(2080s-and-2083s)?_g=(refreshInterval:(display:Off,pause:!f,section:0,value:0),time:(from:'2017-06-07T20:44:46-0600',mode:absolute,to:'2017-06-07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3" s="204" t="str">
        <f t="shared" si="68"/>
        <v>N</v>
      </c>
      <c r="X143" s="204">
        <f t="shared" si="70"/>
        <v>1</v>
      </c>
      <c r="Y143" s="204">
        <f t="shared" si="75"/>
        <v>4.58E-2</v>
      </c>
      <c r="Z143" s="204">
        <f t="shared" si="76"/>
        <v>23.337399999999999</v>
      </c>
      <c r="AA143" s="204">
        <f t="shared" si="77"/>
        <v>23.291599999999999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8"/>
        <v>0233-07</v>
      </c>
      <c r="AE143" s="80" t="str">
        <f t="shared" si="79"/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AF143" s="77" t="str">
        <f t="shared" si="80"/>
        <v>"C:\Program Files (x86)\AstroGrep\AstroGrep.exe" /e /r /s /spath="%USERPROFILE%\AppData\Local\Temp\OnboardLogs" /stypes="app*4016*20170608*" /stext=" 04:.+((SYSTEM_STATE.+slice.+state.+changed )|(ment ac)|(multiple cpu faults)|(system.+state.+changed )|(\[timeout)|(PRM\|1\|D)|(kpr)|(kdp)|(train st.+moving)|(\|lc)|(penalty))"</v>
      </c>
      <c r="AG143" s="1" t="str">
        <f t="shared" si="81"/>
        <v>EC</v>
      </c>
      <c r="AH143" s="81" t="str">
        <f t="shared" ref="AH143:AH205" si="8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233-07 --locoid 4016 --swversion DE.1.0.9.0 --startMP 204:458 --initTime 2017-06-07T21:44:46 --startdatetime 2017-06-07T22:00:24 --delay 1 --endMP 204:233374 --enddatetime 2017-06-07T22:37:00 --enforcementcount 0 &gt;&gt;C:\Users\stu\Documents\GitHub\eaglep3-reporting\EC\2017-06-07-refined-times.txt</v>
      </c>
      <c r="AI143" s="99" t="str">
        <f t="shared" ref="AI143:AI205" si="8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{"issue":{"subject":"","project_id":79,"tracker_id":40,"status_id":1,"priority_id":2,"assigned_to_id":23,"start_date":"2017-06-07","description":"","custom_fields":[{"id":1,"name":"Subdivision","value":"EC"},{"id":4,"name":"Milepost","value":"23.3374"},{"id":17,"name":"Train ID","value":"233-07"},{"id":16,"name":"Locomotive ID","value":"4016"},{"id":130,"name":"Impact","value":""},{"id":150,"name":"Time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5" si="84">"start /low /b "&amp;dls3logs&amp;" --loco "&amp;B143&amp;" --day "&amp;TEXT(F143,"YYYY-MM-DD")</f>
        <v>start /low /b %USERPROFILE%\Documents\GitHub\eaglep3\Utilities\DownloadLogsFromS3.py --loco 4016 --day 2017-06-07</v>
      </c>
      <c r="AN143" s="154" t="str">
        <f t="shared" ref="AN143:AN205" si="8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836</v>
      </c>
      <c r="B144" s="7">
        <v>4015</v>
      </c>
      <c r="C144" s="21" t="s">
        <v>204</v>
      </c>
      <c r="D144" s="21" t="s">
        <v>880</v>
      </c>
      <c r="E144" s="13">
        <v>42893.949050925927</v>
      </c>
      <c r="F144" s="13">
        <v>42893.956446759257</v>
      </c>
      <c r="G144" s="7">
        <v>1</v>
      </c>
      <c r="H144" s="21" t="s">
        <v>431</v>
      </c>
      <c r="I144" s="13">
        <v>42893.984756944446</v>
      </c>
      <c r="J144" s="7">
        <v>0</v>
      </c>
      <c r="K144" s="92" t="str">
        <f t="shared" si="71"/>
        <v>4015/4016</v>
      </c>
      <c r="L144" s="21" t="str">
        <f>VLOOKUP(A144,'Trips&amp;Operators'!$C$1:$G$99999,5,FALSE)</f>
        <v>SMITH MICHAEL</v>
      </c>
      <c r="M144" s="6">
        <f t="shared" si="72"/>
        <v>2.8310185189184267E-2</v>
      </c>
      <c r="N144" s="7">
        <f t="shared" si="69"/>
        <v>40.766666672425345</v>
      </c>
      <c r="O144" s="7"/>
      <c r="P144" s="7"/>
      <c r="Q144" s="22"/>
      <c r="R144" s="173"/>
      <c r="S144" s="176">
        <f t="shared" si="62"/>
        <v>1</v>
      </c>
      <c r="T144" s="202" t="str">
        <f t="shared" si="73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74"/>
        <v>https://d0f6bd738d7f1b3e5a7ca70fe4ff75f0.us-east-1.aws.found.io/app/kibana#/discover/Steve-Slow-Train-Analysis-(2080s-and-2083s)?_g=(refreshInterval:(display:Off,pause:!f,section:0,value:0),time:(from:'2017-06-07T21:46:38-0600',mode:absolute,to:'2017-06-08T00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4" s="204" t="str">
        <f t="shared" si="68"/>
        <v>N</v>
      </c>
      <c r="X144" s="204">
        <f t="shared" si="70"/>
        <v>1</v>
      </c>
      <c r="Y144" s="204">
        <f t="shared" si="75"/>
        <v>23.307700000000001</v>
      </c>
      <c r="Z144" s="204">
        <f t="shared" si="76"/>
        <v>1.4500000000000001E-2</v>
      </c>
      <c r="AA144" s="204">
        <f t="shared" si="77"/>
        <v>23.293199999999999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8"/>
        <v>0234-07</v>
      </c>
      <c r="AE144" s="80" t="str">
        <f t="shared" si="79"/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AF144" s="77" t="str">
        <f t="shared" si="80"/>
        <v>"C:\Program Files (x86)\AstroGrep\AstroGrep.exe" /e /r /s /spath="%USERPROFILE%\AppData\Local\Temp\OnboardLogs" /stypes="app*4015*20170608*" /stext=" 05:.+((SYSTEM_STATE.+slice.+state.+changed )|(ment ac)|(multiple cpu faults)|(system.+state.+changed )|(\[timeout)|(PRM\|1\|D)|(kpr)|(kdp)|(train st.+moving)|(\|lc)|(penalty))"</v>
      </c>
      <c r="AG144" s="1" t="str">
        <f t="shared" si="81"/>
        <v>EC</v>
      </c>
      <c r="AH144" s="81" t="str">
        <f t="shared" si="82"/>
        <v>"%USERPROFILE%\Documents\GitHub\eaglep3\Utilities\RefineRTDCRunTimes.py" --tripid 234-07 --locoid 4015 --swversion DE.1.0.9.0 --startMP 204:233077 --initTime 2017-06-07T22:46:38 --startdatetime 2017-06-07T22:57:17 --delay 1 --endMP 204:145 --enddatetime 2017-06-07T23:38:03 --enforcementcount 0 &gt;&gt;C:\Users\stu\Documents\GitHub\eaglep3-reporting\EC\2017-06-07-refined-times.txt</v>
      </c>
      <c r="AI144" s="99" t="str">
        <f t="shared" si="83"/>
        <v>echo {"issue":{"subject":"","project_id":79,"tracker_id":40,"status_id":1,"priority_id":2,"assigned_to_id":23,"start_date":"2017-06-07","description":"","custom_fields":[{"id":1,"name":"Subdivision","value":"EC"},{"id":4,"name":"Milepost","value":"0.0145"},{"id":17,"name":"Train ID","value":"234-07"},{"id":16,"name":"Locomotive ID","value":"4015"},{"id":130,"name":"Impact","value":""},{"id":150,"name":"Time of Event (Mountain Time)","value":"23:38:03"},{"id":151,"name":"Denver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84"/>
        <v>start /low /b %USERPROFILE%\Documents\GitHub\eaglep3\Utilities\DownloadLogsFromS3.py --loco 4015 --day 2017-06-07</v>
      </c>
      <c r="AN144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05:38:03"},{"id":29,"name":"Sharepoint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833</v>
      </c>
      <c r="B145" s="7">
        <v>4046</v>
      </c>
      <c r="C145" s="21" t="s">
        <v>204</v>
      </c>
      <c r="D145" s="21" t="s">
        <v>433</v>
      </c>
      <c r="E145" s="13">
        <v>42893.931643518517</v>
      </c>
      <c r="F145" s="13">
        <v>42893.9378125</v>
      </c>
      <c r="G145" s="7">
        <v>5</v>
      </c>
      <c r="H145" s="21" t="s">
        <v>905</v>
      </c>
      <c r="I145" s="13">
        <v>42893.964432870373</v>
      </c>
      <c r="J145" s="7">
        <v>0</v>
      </c>
      <c r="K145" s="92" t="str">
        <f t="shared" si="71"/>
        <v>4045/4046</v>
      </c>
      <c r="L145" s="21" t="str">
        <f>VLOOKUP(A145,'Trips&amp;Operators'!$C$1:$G$99999,5,FALSE)</f>
        <v>JACKSON WILLIAM</v>
      </c>
      <c r="M145" s="6">
        <f t="shared" si="72"/>
        <v>2.662037037225673E-2</v>
      </c>
      <c r="N145" s="7">
        <f t="shared" si="69"/>
        <v>38.333333336049691</v>
      </c>
      <c r="O145" s="7"/>
      <c r="P145" s="7"/>
      <c r="Q145" s="22"/>
      <c r="R145" s="173"/>
      <c r="S145" s="176">
        <f t="shared" si="62"/>
        <v>1</v>
      </c>
      <c r="T145" s="202" t="str">
        <f t="shared" si="73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74"/>
        <v>https://d0f6bd738d7f1b3e5a7ca70fe4ff75f0.us-east-1.aws.found.io/app/kibana#/discover/Steve-Slow-Train-Analysis-(2080s-and-2083s)?_g=(refreshInterval:(display:Off,pause:!f,section:0,value:0),time:(from:'2017-06-07T21:21:34-0600',mode:absolute,to:'2017-06-08T00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5" s="204" t="str">
        <f t="shared" si="68"/>
        <v>N</v>
      </c>
      <c r="X145" s="204">
        <f t="shared" si="70"/>
        <v>1</v>
      </c>
      <c r="Y145" s="204">
        <f t="shared" si="75"/>
        <v>4.4200000000000003E-2</v>
      </c>
      <c r="Z145" s="204">
        <f t="shared" si="76"/>
        <v>23.3291</v>
      </c>
      <c r="AA145" s="204">
        <f t="shared" si="77"/>
        <v>23.2849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8"/>
        <v>0235-07</v>
      </c>
      <c r="AE145" s="80" t="str">
        <f t="shared" si="79"/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AF145" s="77" t="str">
        <f t="shared" si="80"/>
        <v>"C:\Program Files (x86)\AstroGrep\AstroGrep.exe" /e /r /s /spath="%USERPROFILE%\AppData\Local\Temp\OnboardLogs" /stypes="app*4046*20170608*" /stext=" 05:.+((SYSTEM_STATE.+slice.+state.+changed )|(ment ac)|(multiple cpu faults)|(system.+state.+changed )|(\[timeout)|(PRM\|1\|D)|(kpr)|(kdp)|(train st.+moving)|(\|lc)|(penalty))"</v>
      </c>
      <c r="AG145" s="1" t="str">
        <f t="shared" si="81"/>
        <v>EC</v>
      </c>
      <c r="AH145" s="81" t="str">
        <f t="shared" si="82"/>
        <v>"%USERPROFILE%\Documents\GitHub\eaglep3\Utilities\RefineRTDCRunTimes.py" --tripid 235-07 --locoid 4046 --swversion DE.1.0.9.0 --startMP 204:442 --initTime 2017-06-07T22:21:34 --startdatetime 2017-06-07T22:30:27 --delay 5 --endMP 204:233291 --enddatetime 2017-06-07T23:08:47 --enforcementcount 0 &gt;&gt;C:\Users\stu\Documents\GitHub\eaglep3-reporting\EC\2017-06-07-refined-times.txt</v>
      </c>
      <c r="AI145" s="99" t="str">
        <f t="shared" si="83"/>
        <v>echo {"issue":{"subject":"","project_id":79,"tracker_id":40,"status_id":1,"priority_id":2,"assigned_to_id":23,"start_date":"2017-06-07","description":"","custom_fields":[{"id":1,"name":"Subdivision","value":"EC"},{"id":4,"name":"Milepost","value":"23.3291"},{"id":17,"name":"Train ID","value":"235-07"},{"id":16,"name":"Locomotive ID","value":"4046"},{"id":130,"name":"Impact","value":""},{"id":150,"name":"Time of Event (Mountain Time)","value":"23:08:47"},{"id":151,"name":"Denver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84"/>
        <v>start /low /b %USERPROFILE%\Documents\GitHub\eaglep3\Utilities\DownloadLogsFromS3.py --loco 4046 --day 2017-06-07</v>
      </c>
      <c r="AN145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05:08:47"},{"id":29,"name":"Sharepoint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652</v>
      </c>
      <c r="B146" s="7">
        <v>4045</v>
      </c>
      <c r="C146" s="21" t="s">
        <v>204</v>
      </c>
      <c r="D146" s="21" t="s">
        <v>462</v>
      </c>
      <c r="E146" s="13">
        <v>42893.969201388885</v>
      </c>
      <c r="F146" s="13">
        <v>42893.977418981478</v>
      </c>
      <c r="G146" s="7">
        <v>2</v>
      </c>
      <c r="H146" s="21" t="s">
        <v>363</v>
      </c>
      <c r="I146" s="13">
        <v>42894.005740740744</v>
      </c>
      <c r="J146" s="7">
        <v>0</v>
      </c>
      <c r="K146" s="92" t="str">
        <f t="shared" si="71"/>
        <v>4045/4046</v>
      </c>
      <c r="L146" s="21" t="str">
        <f>VLOOKUP(A146,'Trips&amp;Operators'!$C$1:$G$99999,5,FALSE)</f>
        <v>HAUSER FRANK</v>
      </c>
      <c r="M146" s="6">
        <f t="shared" si="72"/>
        <v>2.8321759265963919E-2</v>
      </c>
      <c r="N146" s="7">
        <f t="shared" si="69"/>
        <v>40.783333342988044</v>
      </c>
      <c r="O146" s="7"/>
      <c r="P146" s="7"/>
      <c r="Q146" s="22"/>
      <c r="R146" s="173"/>
      <c r="S146" s="176">
        <f t="shared" si="62"/>
        <v>1</v>
      </c>
      <c r="T146" s="202" t="str">
        <f t="shared" si="73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74"/>
        <v>https://d0f6bd738d7f1b3e5a7ca70fe4ff75f0.us-east-1.aws.found.io/app/kibana#/discover/Steve-Slow-Train-Analysis-(2080s-and-2083s)?_g=(refreshInterval:(display:Off,pause:!f,section:0,value:0),time:(from:'2017-06-07T22:15:39-0600',mode:absolute,to:'2017-06-08T01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6" s="204" t="str">
        <f t="shared" si="68"/>
        <v>N</v>
      </c>
      <c r="X146" s="204">
        <f t="shared" si="70"/>
        <v>1</v>
      </c>
      <c r="Y146" s="204">
        <f t="shared" si="75"/>
        <v>23.297799999999999</v>
      </c>
      <c r="Z146" s="204">
        <f t="shared" si="76"/>
        <v>1.41E-2</v>
      </c>
      <c r="AA146" s="204">
        <f t="shared" si="77"/>
        <v>23.2837</v>
      </c>
      <c r="AB146" s="57" t="str">
        <f>VLOOKUP(A146,Enforcements!$C$7:$K$13,8,0)</f>
        <v>Bulletin (2)</v>
      </c>
      <c r="AC146" s="53" t="str">
        <f>VLOOKUP(A146,Enforcements!$C$7:$E$13,3,0)</f>
        <v>GRADE CROSSING</v>
      </c>
      <c r="AD146" s="54" t="str">
        <f t="shared" si="78"/>
        <v>0236-07</v>
      </c>
      <c r="AE146" s="80" t="str">
        <f t="shared" si="79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146" s="77" t="str">
        <f t="shared" si="80"/>
        <v>"C:\Program Files (x86)\AstroGrep\AstroGrep.exe" /e /r /s /spath="%USERPROFILE%\AppData\Local\Temp\OnboardLogs" /stypes="app*4045*20170608*" /stext=" 06:.+((SYSTEM_STATE.+slice.+state.+changed )|(ment ac)|(multiple cpu faults)|(system.+state.+changed )|(\[timeout)|(PRM\|1\|D)|(kpr)|(kdp)|(train st.+moving)|(\|lc)|(penalty))"</v>
      </c>
      <c r="AG146" s="1" t="str">
        <f t="shared" si="81"/>
        <v>EC</v>
      </c>
      <c r="AH146" s="81" t="str">
        <f t="shared" si="82"/>
        <v>"%USERPROFILE%\Documents\GitHub\eaglep3\Utilities\RefineRTDCRunTimes.py" --tripid 236-07 --locoid 4045 --swversion DE.1.0.9.0 --startMP 204:232978 --initTime 2017-06-07T23:15:39 --startdatetime 2017-06-07T23:27:29 --delay 2 --endMP 204:141 --enddatetime 2017-06-08T00:08:16 --enforcementcount 0 &gt;&gt;C:\Users\stu\Documents\GitHub\eaglep3-reporting\EC\2017-06-07-refined-times.txt</v>
      </c>
      <c r="AI146" s="99" t="str">
        <f t="shared" si="83"/>
        <v>echo {"issue":{"subject":"","project_id":79,"tracker_id":40,"status_id":1,"priority_id":2,"assigned_to_id":23,"start_date":"2017-06-08","description":"","custom_fields":[{"id":1,"name":"Subdivision","value":"EC"},{"id":4,"name":"Milepost","value":"0.0141"},{"id":17,"name":"Train ID","value":"236-07"},{"id":16,"name":"Locomotive ID","value":"4045"},{"id":130,"name":"Impact","value":""},{"id":150,"name":"Time of Event (Mountain Time)","value":"00:08:16"},{"id":151,"name":"Denver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84"/>
        <v>start /low /b %USERPROFILE%\Documents\GitHub\eaglep3\Utilities\DownloadLogsFromS3.py --loco 4045 --day 2017-06-07</v>
      </c>
      <c r="AN146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06:08:16"},{"id":29,"name":"Sharepoint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837</v>
      </c>
      <c r="B147" s="7">
        <v>4012</v>
      </c>
      <c r="C147" s="21" t="s">
        <v>204</v>
      </c>
      <c r="D147" s="21" t="s">
        <v>459</v>
      </c>
      <c r="E147" s="13">
        <v>42893.944513888891</v>
      </c>
      <c r="F147" s="13">
        <v>42893.958495370367</v>
      </c>
      <c r="G147" s="7">
        <v>13</v>
      </c>
      <c r="H147" s="21" t="s">
        <v>906</v>
      </c>
      <c r="I147" s="13">
        <v>42893.984710648147</v>
      </c>
      <c r="J147" s="7">
        <v>0</v>
      </c>
      <c r="K147" s="92" t="str">
        <f t="shared" si="71"/>
        <v>4011/4012</v>
      </c>
      <c r="L147" s="21" t="str">
        <f>VLOOKUP(A147,'Trips&amp;Operators'!$C$1:$G$99999,5,FALSE)</f>
        <v>FORTUNATO FRANK</v>
      </c>
      <c r="M147" s="6">
        <f t="shared" si="72"/>
        <v>2.6215277779556345E-2</v>
      </c>
      <c r="N147" s="7">
        <f t="shared" si="69"/>
        <v>37.750000002561137</v>
      </c>
      <c r="O147" s="7"/>
      <c r="P147" s="7"/>
      <c r="Q147" s="22"/>
      <c r="R147" s="173"/>
      <c r="S147" s="176">
        <f t="shared" si="62"/>
        <v>1</v>
      </c>
      <c r="T147" s="202" t="str">
        <f t="shared" si="73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74"/>
        <v>https://d0f6bd738d7f1b3e5a7ca70fe4ff75f0.us-east-1.aws.found.io/app/kibana#/discover/Steve-Slow-Train-Analysis-(2080s-and-2083s)?_g=(refreshInterval:(display:Off,pause:!f,section:0,value:0),time:(from:'2017-06-07T21:40:06-0600',mode:absolute,to:'2017-06-08T00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7" s="204" t="str">
        <f t="shared" si="68"/>
        <v>N</v>
      </c>
      <c r="X147" s="204">
        <f t="shared" si="70"/>
        <v>1</v>
      </c>
      <c r="Y147" s="204">
        <f t="shared" si="75"/>
        <v>4.6899999999999997E-2</v>
      </c>
      <c r="Z147" s="204">
        <f t="shared" si="76"/>
        <v>23.327999999999999</v>
      </c>
      <c r="AA147" s="204">
        <f t="shared" si="77"/>
        <v>23.281099999999999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8"/>
        <v>0237-07</v>
      </c>
      <c r="AE147" s="80" t="str">
        <f t="shared" si="79"/>
        <v>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 &amp; 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</v>
      </c>
      <c r="AF147" s="77" t="str">
        <f t="shared" si="80"/>
        <v>"C:\Program Files (x86)\AstroGrep\AstroGrep.exe" /e /r /s /spath="%USERPROFILE%\AppData\Local\Temp\OnboardLogs" /stypes="app*4012*20170608*" /stext=" 05:.+((SYSTEM_STATE.+slice.+state.+changed )|(ment ac)|(multiple cpu faults)|(system.+state.+changed )|(\[timeout)|(PRM\|1\|D)|(kpr)|(kdp)|(train st.+moving)|(\|lc)|(penalty))"</v>
      </c>
      <c r="AG147" s="1" t="str">
        <f t="shared" si="81"/>
        <v>EC</v>
      </c>
      <c r="AH147" s="81" t="str">
        <f t="shared" si="82"/>
        <v>"%USERPROFILE%\Documents\GitHub\eaglep3\Utilities\RefineRTDCRunTimes.py" --tripid 237-07 --locoid 4012 --swversion DE.1.0.9.0 --startMP 204:469 --initTime 2017-06-07T22:40:06 --startdatetime 2017-06-07T23:00:14 --delay 13 --endMP 204:233280 --enddatetime 2017-06-07T23:37:59 --enforcementcount 0 &gt;&gt;C:\Users\stu\Documents\GitHub\eaglep3-reporting\EC\2017-06-07-refined-times.txt</v>
      </c>
      <c r="AI147" s="99" t="str">
        <f t="shared" si="83"/>
        <v>echo {"issue":{"subject":"","project_id":79,"tracker_id":40,"status_id":1,"priority_id":2,"assigned_to_id":23,"start_date":"2017-06-07","description":"","custom_fields":[{"id":1,"name":"Subdivision","value":"EC"},{"id":4,"name":"Milepost","value":"23.328"},{"id":17,"name":"Train ID","value":"237-07"},{"id":16,"name":"Locomotive ID","value":"4012"},{"id":130,"name":"Impact","value":""},{"id":150,"name":"Time of Event (Mountain Time)","value":"23:37:59"},{"id":151,"name":"Denver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84"/>
        <v>start /low /b %USERPROFILE%\Documents\GitHub\eaglep3\Utilities\DownloadLogsFromS3.py --loco 4012 --day 2017-06-07</v>
      </c>
      <c r="AN147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05:37:59"},{"id":29,"name":"Sharepoint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653</v>
      </c>
      <c r="B148" s="7">
        <v>4011</v>
      </c>
      <c r="C148" s="21" t="s">
        <v>204</v>
      </c>
      <c r="D148" s="21" t="s">
        <v>525</v>
      </c>
      <c r="E148" s="13">
        <v>42893.986377314817</v>
      </c>
      <c r="F148" s="13">
        <v>42893.998067129629</v>
      </c>
      <c r="G148" s="7">
        <v>1</v>
      </c>
      <c r="H148" s="21" t="s">
        <v>352</v>
      </c>
      <c r="I148" s="13">
        <v>42894.025937500002</v>
      </c>
      <c r="J148" s="7">
        <v>0</v>
      </c>
      <c r="K148" s="92" t="str">
        <f t="shared" si="71"/>
        <v>4011/4012</v>
      </c>
      <c r="L148" s="21" t="str">
        <f>VLOOKUP(A148,'Trips&amp;Operators'!$C$1:$G$99999,5,FALSE)</f>
        <v>FORTUNATO FRANK</v>
      </c>
      <c r="M148" s="6">
        <f t="shared" si="72"/>
        <v>2.7870370373420883E-2</v>
      </c>
      <c r="N148" s="7">
        <f t="shared" si="69"/>
        <v>40.133333337726071</v>
      </c>
      <c r="O148" s="7"/>
      <c r="P148" s="7"/>
      <c r="Q148" s="22"/>
      <c r="R148" s="173" t="s">
        <v>1049</v>
      </c>
      <c r="S148" s="176">
        <f t="shared" si="62"/>
        <v>1</v>
      </c>
      <c r="T148" s="202" t="str">
        <f t="shared" si="73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74"/>
        <v>https://d0f6bd738d7f1b3e5a7ca70fe4ff75f0.us-east-1.aws.found.io/app/kibana#/discover/Steve-Slow-Train-Analysis-(2080s-and-2083s)?_g=(refreshInterval:(display:Off,pause:!f,section:0,value:0),time:(from:'2017-06-07T22:40:23-0600',mode:absolute,to:'2017-06-08T01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8" s="204" t="str">
        <f t="shared" si="68"/>
        <v>N</v>
      </c>
      <c r="X148" s="204">
        <f t="shared" si="70"/>
        <v>1</v>
      </c>
      <c r="Y148" s="204">
        <f t="shared" si="75"/>
        <v>23.298300000000001</v>
      </c>
      <c r="Z148" s="204">
        <f t="shared" si="76"/>
        <v>1.4999999999999999E-2</v>
      </c>
      <c r="AA148" s="204">
        <f t="shared" si="77"/>
        <v>23.283300000000001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8"/>
        <v>0238-07</v>
      </c>
      <c r="AE148" s="80" t="str">
        <f t="shared" si="79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148" s="77" t="str">
        <f t="shared" si="80"/>
        <v>"C:\Program Files (x86)\AstroGrep\AstroGrep.exe" /e /r /s /spath="%USERPROFILE%\AppData\Local\Temp\OnboardLogs" /stypes="app*4011*20170608*" /stext=" 06:.+((SYSTEM_STATE.+slice.+state.+changed )|(ment ac)|(multiple cpu faults)|(system.+state.+changed )|(\[timeout)|(PRM\|1\|D)|(kpr)|(kdp)|(train st.+moving)|(\|lc)|(penalty))"</v>
      </c>
      <c r="AG148" s="1" t="str">
        <f t="shared" si="81"/>
        <v>EC</v>
      </c>
      <c r="AH148" s="81" t="str">
        <f t="shared" si="82"/>
        <v>"%USERPROFILE%\Documents\GitHub\eaglep3\Utilities\RefineRTDCRunTimes.py" --tripid 238-07 --locoid 4011 --swversion DE.1.0.9.0 --startMP 204:232983 --initTime 2017-06-07T23:40:23 --startdatetime 2017-06-07T23:57:13 --delay 1 --endMP 204:150 --enddatetime 2017-06-08T00:37:21 --enforcementcount 0 &gt;&gt;C:\Users\stu\Documents\GitHub\eaglep3-reporting\EC\2017-06-07-refined-times.txt</v>
      </c>
      <c r="AI148" s="99" t="str">
        <f t="shared" si="83"/>
        <v>echo {"issue":{"subject":"Unhealthy at Holly due to enforcement at prior crossing","project_id":79,"tracker_id":40,"status_id":1,"priority_id":2,"assigned_to_id":23,"start_date":"2017-06-08","description":"","custom_fields":[{"id":1,"name":"Subdivision","value":"EC"},{"id":4,"name":"Milepost","value":"0.015"},{"id":17,"name":"Train ID","value":"238-07"},{"id":16,"name":"Locomotive ID","value":"4011"},{"id":130,"name":"Impact","value":""},{"id":150,"name":"Time of Event (Mountain Time)","value":"00:37:21"},{"id":151,"name":"Denver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84"/>
        <v>start /low /b %USERPROFILE%\Documents\GitHub\eaglep3\Utilities\DownloadLogsFromS3.py --loco 4011 --day 2017-06-07</v>
      </c>
      <c r="AN148" s="154" t="str">
        <f t="shared" si="85"/>
        <v>echo {"issue":{"subject":"Unhealthy at Holly due to enforcement at prior crossing","project_id":30,"tracker_id":4,"status_id":1,"priority_id":1,"assigned_to_id":10,"start_date":"2017-06-08","description":"","custom_fields":[{"id":30,"name":"Category","value":"Issue"},{"id":3,"name":"Functional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06:37:21"},{"id":29,"name":"Sharepoint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651</v>
      </c>
      <c r="B149" s="7">
        <v>4058</v>
      </c>
      <c r="C149" s="21" t="s">
        <v>204</v>
      </c>
      <c r="D149" s="21" t="s">
        <v>577</v>
      </c>
      <c r="E149" s="13">
        <v>42893.965590277781</v>
      </c>
      <c r="F149" s="13">
        <v>42893.979479166665</v>
      </c>
      <c r="G149" s="7">
        <v>1</v>
      </c>
      <c r="H149" s="21" t="s">
        <v>398</v>
      </c>
      <c r="I149" s="13">
        <v>42894.00540509259</v>
      </c>
      <c r="J149" s="7">
        <v>0</v>
      </c>
      <c r="K149" s="92" t="str">
        <f t="shared" si="71"/>
        <v>4057/4058</v>
      </c>
      <c r="L149" s="21" t="str">
        <f>VLOOKUP(A149,'Trips&amp;Operators'!$C$1:$G$99999,5,FALSE)</f>
        <v>HAITHCOX MICHAEL</v>
      </c>
      <c r="M149" s="6">
        <f t="shared" si="72"/>
        <v>2.5925925925548654E-2</v>
      </c>
      <c r="N149" s="7">
        <f t="shared" si="69"/>
        <v>37.333333332790062</v>
      </c>
      <c r="O149" s="7"/>
      <c r="P149" s="7"/>
      <c r="Q149" s="22"/>
      <c r="R149" s="173"/>
      <c r="S149" s="176">
        <f t="shared" si="62"/>
        <v>1</v>
      </c>
      <c r="T149" s="202" t="str">
        <f t="shared" si="73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74"/>
        <v>https://d0f6bd738d7f1b3e5a7ca70fe4ff75f0.us-east-1.aws.found.io/app/kibana#/discover/Steve-Slow-Train-Analysis-(2080s-and-2083s)?_g=(refreshInterval:(display:Off,pause:!f,section:0,value:0),time:(from:'2017-06-07T22:10:27-0600',mode:absolute,to:'2017-06-08T01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9" s="204" t="str">
        <f t="shared" si="68"/>
        <v>N</v>
      </c>
      <c r="X149" s="204">
        <f t="shared" si="70"/>
        <v>1</v>
      </c>
      <c r="Y149" s="204">
        <f t="shared" si="75"/>
        <v>4.8599999999999997E-2</v>
      </c>
      <c r="Z149" s="204">
        <f t="shared" si="76"/>
        <v>23.3293</v>
      </c>
      <c r="AA149" s="204">
        <f t="shared" si="77"/>
        <v>23.2807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8"/>
        <v>0239-07</v>
      </c>
      <c r="AE149" s="80" t="str">
        <f t="shared" si="79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149" s="77" t="str">
        <f t="shared" si="80"/>
        <v>"C:\Program Files (x86)\AstroGrep\AstroGrep.exe" /e /r /s /spath="%USERPROFILE%\AppData\Local\Temp\OnboardLogs" /stypes="app*4058*20170608*" /stext=" 06:.+((SYSTEM_STATE.+slice.+state.+changed )|(ment ac)|(multiple cpu faults)|(system.+state.+changed )|(\[timeout)|(PRM\|1\|D)|(kpr)|(kdp)|(train st.+moving)|(\|lc)|(penalty))"</v>
      </c>
      <c r="AG149" s="1" t="str">
        <f t="shared" si="81"/>
        <v>EC</v>
      </c>
      <c r="AH149" s="81" t="str">
        <f t="shared" si="82"/>
        <v>"%USERPROFILE%\Documents\GitHub\eaglep3\Utilities\RefineRTDCRunTimes.py" --tripid 239-07 --locoid 4058 --swversion DE.1.0.9.0 --startMP 204:486 --initTime 2017-06-07T23:10:27 --startdatetime 2017-06-07T23:30:27 --delay 1 --endMP 204:233293 --enddatetime 2017-06-08T00:07:47 --enforcementcount 0 &gt;&gt;C:\Users\stu\Documents\GitHub\eaglep3-reporting\EC\2017-06-07-refined-times.txt</v>
      </c>
      <c r="AI149" s="99" t="str">
        <f t="shared" si="83"/>
        <v>echo {"issue":{"subject":"","project_id":79,"tracker_id":40,"status_id":1,"priority_id":2,"assigned_to_id":23,"start_date":"2017-06-08","description":"","custom_fields":[{"id":1,"name":"Subdivision","value":"EC"},{"id":4,"name":"Milepost","value":"23.3293"},{"id":17,"name":"Train ID","value":"239-07"},{"id":16,"name":"Locomotive ID","value":"4058"},{"id":130,"name":"Impact","value":""},{"id":150,"name":"Time of Event (Mountain Time)","value":"00:07:47"},{"id":151,"name":"Denver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84"/>
        <v>start /low /b %USERPROFILE%\Documents\GitHub\eaglep3\Utilities\DownloadLogsFromS3.py --loco 4058 --day 2017-06-07</v>
      </c>
      <c r="AN149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06:07:47"},{"id":29,"name":"Sharepoint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839</v>
      </c>
      <c r="B150" s="7">
        <v>4057</v>
      </c>
      <c r="C150" s="21" t="s">
        <v>204</v>
      </c>
      <c r="D150" s="21" t="s">
        <v>563</v>
      </c>
      <c r="E150" s="13">
        <v>42894.006956018522</v>
      </c>
      <c r="F150" s="13">
        <v>42894.018865740742</v>
      </c>
      <c r="G150" s="7">
        <v>1</v>
      </c>
      <c r="H150" s="21" t="s">
        <v>364</v>
      </c>
      <c r="I150" s="13">
        <v>42894.045740740738</v>
      </c>
      <c r="J150" s="7">
        <v>0</v>
      </c>
      <c r="K150" s="92" t="str">
        <f t="shared" si="71"/>
        <v>4057/4058</v>
      </c>
      <c r="L150" s="21" t="str">
        <f>VLOOKUP(A150,'Trips&amp;Operators'!$C$1:$G$99999,5,FALSE)</f>
        <v>HAITHCOX MICHAEL</v>
      </c>
      <c r="M150" s="6">
        <f t="shared" si="72"/>
        <v>2.6874999995925464E-2</v>
      </c>
      <c r="N150" s="7">
        <f t="shared" si="69"/>
        <v>38.699999994132668</v>
      </c>
      <c r="O150" s="7"/>
      <c r="P150" s="7"/>
      <c r="Q150" s="22"/>
      <c r="R150" s="173"/>
      <c r="S150" s="176">
        <f t="shared" si="62"/>
        <v>1</v>
      </c>
      <c r="T150" s="202" t="str">
        <f t="shared" si="73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74"/>
        <v>https://d0f6bd738d7f1b3e5a7ca70fe4ff75f0.us-east-1.aws.found.io/app/kibana#/discover/Steve-Slow-Train-Analysis-(2080s-and-2083s)?_g=(refreshInterval:(display:Off,pause:!f,section:0,value:0),time:(from:'2017-06-07T23:10:01-0600',mode:absolute,to:'2017-06-08T02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0" s="204" t="str">
        <f t="shared" si="68"/>
        <v>N</v>
      </c>
      <c r="X150" s="204">
        <f t="shared" si="70"/>
        <v>1</v>
      </c>
      <c r="Y150" s="204">
        <f t="shared" si="75"/>
        <v>23.2971</v>
      </c>
      <c r="Z150" s="204">
        <f t="shared" si="76"/>
        <v>1.47E-2</v>
      </c>
      <c r="AA150" s="204">
        <f t="shared" si="77"/>
        <v>23.282399999999999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8"/>
        <v>0240-07</v>
      </c>
      <c r="AE150" s="80" t="str">
        <f t="shared" si="79"/>
        <v>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 &amp; aws s3 cp s3://rtdc.mdm.uploadarchive.raw/RTDC4057/ "%USERPROFILE%\AppData\Local\Temp\OnboardLogs"\RTDC4057\2017-06-09 --exclude "*" --recursive --include "*20170609*" &amp; "%USERPROFILE%\Documents\GitHub\mrs-test-scripts\Headless Mode &amp; Sideloading\WalkAndUnGZ.bat" "%USERPROFILE%\AppData\Local\Temp\OnboardLogs"\RTDC4057\2017-06-09</v>
      </c>
      <c r="AF150" s="77" t="str">
        <f t="shared" si="80"/>
        <v>"C:\Program Files (x86)\AstroGrep\AstroGrep.exe" /e /r /s /spath="%USERPROFILE%\AppData\Local\Temp\OnboardLogs" /stypes="app*4057*20170608*" /stext=" 07:.+((SYSTEM_STATE.+slice.+state.+changed )|(ment ac)|(multiple cpu faults)|(system.+state.+changed )|(\[timeout)|(PRM\|1\|D)|(kpr)|(kdp)|(train st.+moving)|(\|lc)|(penalty))"</v>
      </c>
      <c r="AG150" s="1" t="str">
        <f t="shared" si="81"/>
        <v>EC</v>
      </c>
      <c r="AH150" s="81" t="str">
        <f t="shared" si="82"/>
        <v>"%USERPROFILE%\Documents\GitHub\eaglep3\Utilities\RefineRTDCRunTimes.py" --tripid 240-07 --locoid 4057 --swversion DE.1.0.9.0 --startMP 204:232971 --initTime 2017-06-08T00:10:01 --startdatetime 2017-06-08T00:27:10 --delay 1 --endMP 204:147 --enddatetime 2017-06-08T01:05:52 --enforcementcount 0 &gt;&gt;C:\Users\stu\Documents\GitHub\eaglep3-reporting\EC\2017-06-07-refined-times.txt</v>
      </c>
      <c r="AI150" s="99" t="str">
        <f t="shared" si="83"/>
        <v>echo {"issue":{"subject":"","project_id":79,"tracker_id":40,"status_id":1,"priority_id":2,"assigned_to_id":23,"start_date":"2017-06-08","description":"","custom_fields":[{"id":1,"name":"Subdivision","value":"EC"},{"id":4,"name":"Milepost","value":"0.0147"},{"id":17,"name":"Train ID","value":"240-07"},{"id":16,"name":"Locomotive ID","value":"4057"},{"id":130,"name":"Impact","value":""},{"id":150,"name":"Time of Event (Mountain Time)","value":"01:05:52"},{"id":151,"name":"Denver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84"/>
        <v>start /low /b %USERPROFILE%\Documents\GitHub\eaglep3\Utilities\DownloadLogsFromS3.py --loco 4057 --day 2017-06-08</v>
      </c>
      <c r="AN150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07:05:52"},{"id":29,"name":"Sharepoint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838</v>
      </c>
      <c r="B151" s="7">
        <v>4016</v>
      </c>
      <c r="C151" s="21" t="s">
        <v>204</v>
      </c>
      <c r="D151" s="21" t="s">
        <v>359</v>
      </c>
      <c r="E151" s="13">
        <v>42893.986307870371</v>
      </c>
      <c r="F151" s="13">
        <v>42894.000185185185</v>
      </c>
      <c r="G151" s="7">
        <v>1</v>
      </c>
      <c r="H151" s="21" t="s">
        <v>850</v>
      </c>
      <c r="I151" s="13">
        <v>42894.025393518517</v>
      </c>
      <c r="J151" s="7">
        <v>0</v>
      </c>
      <c r="K151" s="92" t="str">
        <f t="shared" si="71"/>
        <v>4015/4016</v>
      </c>
      <c r="L151" s="21" t="str">
        <f>VLOOKUP(A151,'Trips&amp;Operators'!$C$1:$G$99999,5,FALSE)</f>
        <v>SMITH MICHAEL</v>
      </c>
      <c r="M151" s="6">
        <f t="shared" si="72"/>
        <v>2.5208333332557231E-2</v>
      </c>
      <c r="N151" s="7">
        <f t="shared" si="69"/>
        <v>36.299999998882413</v>
      </c>
      <c r="O151" s="7"/>
      <c r="P151" s="7"/>
      <c r="Q151" s="22"/>
      <c r="R151" s="173"/>
      <c r="S151" s="176">
        <f t="shared" si="62"/>
        <v>1</v>
      </c>
      <c r="T151" s="202" t="str">
        <f t="shared" si="73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74"/>
        <v>https://d0f6bd738d7f1b3e5a7ca70fe4ff75f0.us-east-1.aws.found.io/app/kibana#/discover/Steve-Slow-Train-Analysis-(2080s-and-2083s)?_g=(refreshInterval:(display:Off,pause:!f,section:0,value:0),time:(from:'2017-06-07T22:40:17-0600',mode:absolute,to:'2017-06-08T01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1" s="204" t="str">
        <f t="shared" si="68"/>
        <v>N</v>
      </c>
      <c r="X151" s="204">
        <f t="shared" si="70"/>
        <v>1</v>
      </c>
      <c r="Y151" s="204">
        <f t="shared" si="75"/>
        <v>4.53E-2</v>
      </c>
      <c r="Z151" s="204">
        <f t="shared" si="76"/>
        <v>23.331399999999999</v>
      </c>
      <c r="AA151" s="204">
        <f t="shared" si="77"/>
        <v>23.286099999999998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8"/>
        <v>0241-07</v>
      </c>
      <c r="AE151" s="80" t="str">
        <f t="shared" si="79"/>
        <v>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 &amp; 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</v>
      </c>
      <c r="AF151" s="77" t="str">
        <f t="shared" si="80"/>
        <v>"C:\Program Files (x86)\AstroGrep\AstroGrep.exe" /e /r /s /spath="%USERPROFILE%\AppData\Local\Temp\OnboardLogs" /stypes="app*4016*20170608*" /stext=" 06:.+((SYSTEM_STATE.+slice.+state.+changed )|(ment ac)|(multiple cpu faults)|(system.+state.+changed )|(\[timeout)|(PRM\|1\|D)|(kpr)|(kdp)|(train st.+moving)|(\|lc)|(penalty))"</v>
      </c>
      <c r="AG151" s="1" t="str">
        <f t="shared" si="81"/>
        <v>EC</v>
      </c>
      <c r="AH151" s="81" t="str">
        <f t="shared" si="82"/>
        <v>"%USERPROFILE%\Documents\GitHub\eaglep3\Utilities\RefineRTDCRunTimes.py" --tripid 241-07 --locoid 4016 --swversion DE.1.0.9.0 --startMP 204:453 --initTime 2017-06-07T23:40:17 --startdatetime 2017-06-08T00:00:16 --delay 1 --endMP 204:233314 --enddatetime 2017-06-08T00:36:34 --enforcementcount 0 &gt;&gt;C:\Users\stu\Documents\GitHub\eaglep3-reporting\EC\2017-06-07-refined-times.txt</v>
      </c>
      <c r="AI151" s="99" t="str">
        <f t="shared" si="83"/>
        <v>echo {"issue":{"subject":"","project_id":79,"tracker_id":40,"status_id":1,"priority_id":2,"assigned_to_id":23,"start_date":"2017-06-08","description":"","custom_fields":[{"id":1,"name":"Subdivision","value":"EC"},{"id":4,"name":"Milepost","value":"23.3314"},{"id":17,"name":"Train ID","value":"241-07"},{"id":16,"name":"Locomotive ID","value":"4016"},{"id":130,"name":"Impact","value":""},{"id":150,"name":"Time of Event (Mountain Time)","value":"00:36:34"},{"id":151,"name":"Denver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84"/>
        <v>start /low /b %USERPROFILE%\Documents\GitHub\eaglep3\Utilities\DownloadLogsFromS3.py --loco 4016 --day 2017-06-08</v>
      </c>
      <c r="AN151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06:36:34"},{"id":29,"name":"Sharepoint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654</v>
      </c>
      <c r="B152" s="7">
        <v>4015</v>
      </c>
      <c r="C152" s="21" t="s">
        <v>204</v>
      </c>
      <c r="D152" s="21" t="s">
        <v>481</v>
      </c>
      <c r="E152" s="13">
        <v>42894.027569444443</v>
      </c>
      <c r="F152" s="13">
        <v>42894.039768518516</v>
      </c>
      <c r="G152" s="7">
        <v>1</v>
      </c>
      <c r="H152" s="21" t="s">
        <v>865</v>
      </c>
      <c r="I152" s="13">
        <v>42894.06790509259</v>
      </c>
      <c r="J152" s="7">
        <v>0</v>
      </c>
      <c r="K152" s="92" t="str">
        <f t="shared" si="71"/>
        <v>4015/4016</v>
      </c>
      <c r="L152" s="21" t="str">
        <f>VLOOKUP(A152,'Trips&amp;Operators'!$C$1:$G$99999,5,FALSE)</f>
        <v>SMITH MICHAEL</v>
      </c>
      <c r="M152" s="6">
        <f t="shared" si="72"/>
        <v>2.8136574073869269E-2</v>
      </c>
      <c r="N152" s="7">
        <f t="shared" si="69"/>
        <v>40.516666666371748</v>
      </c>
      <c r="O152" s="7"/>
      <c r="P152" s="7"/>
      <c r="Q152" s="22"/>
      <c r="R152" s="173"/>
      <c r="S152" s="176">
        <f t="shared" si="62"/>
        <v>1</v>
      </c>
      <c r="T152" s="202" t="str">
        <f t="shared" si="73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74"/>
        <v>https://d0f6bd738d7f1b3e5a7ca70fe4ff75f0.us-east-1.aws.found.io/app/kibana#/discover/Steve-Slow-Train-Analysis-(2080s-and-2083s)?_g=(refreshInterval:(display:Off,pause:!f,section:0,value:0),time:(from:'2017-06-07T23:39:42-0600',mode:absolute,to:'2017-06-08T02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2" s="204" t="str">
        <f t="shared" si="68"/>
        <v>N</v>
      </c>
      <c r="X152" s="204">
        <f t="shared" si="70"/>
        <v>1</v>
      </c>
      <c r="Y152" s="204">
        <f t="shared" si="75"/>
        <v>23.299299999999999</v>
      </c>
      <c r="Z152" s="204">
        <f t="shared" si="76"/>
        <v>1.61E-2</v>
      </c>
      <c r="AA152" s="204">
        <f t="shared" si="77"/>
        <v>23.283199999999997</v>
      </c>
      <c r="AB152" s="57" t="str">
        <f>VLOOKUP(A152,Enforcements!$C$7:$K$13,8,0)</f>
        <v>Bulletin (2)</v>
      </c>
      <c r="AC152" s="53" t="str">
        <f>VLOOKUP(A152,Enforcements!$C$7:$E$13,3,0)</f>
        <v>GRADE CROSSING</v>
      </c>
      <c r="AD152" s="54" t="str">
        <f t="shared" si="78"/>
        <v>0242-07</v>
      </c>
      <c r="AE152" s="80" t="str">
        <f t="shared" si="79"/>
        <v>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 &amp; 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</v>
      </c>
      <c r="AF152" s="77" t="str">
        <f t="shared" si="80"/>
        <v>"C:\Program Files (x86)\AstroGrep\AstroGrep.exe" /e /r /s /spath="%USERPROFILE%\AppData\Local\Temp\OnboardLogs" /stypes="app*4015*20170608*" /stext=" 07:.+((SYSTEM_STATE.+slice.+state.+changed )|(ment ac)|(multiple cpu faults)|(system.+state.+changed )|(\[timeout)|(PRM\|1\|D)|(kpr)|(kdp)|(train st.+moving)|(\|lc)|(penalty))"</v>
      </c>
      <c r="AG152" s="1" t="str">
        <f t="shared" si="81"/>
        <v>EC</v>
      </c>
      <c r="AH152" s="81" t="str">
        <f t="shared" si="82"/>
        <v>"%USERPROFILE%\Documents\GitHub\eaglep3\Utilities\RefineRTDCRunTimes.py" --tripid 242-07 --locoid 4015 --swversion DE.1.0.9.0 --startMP 204:232993 --initTime 2017-06-08T00:39:42 --startdatetime 2017-06-08T00:57:16 --delay 1 --endMP 204:161 --enddatetime 2017-06-08T01:37:47 --enforcementcount 0 &gt;&gt;C:\Users\stu\Documents\GitHub\eaglep3-reporting\EC\2017-06-07-refined-times.txt</v>
      </c>
      <c r="AI152" s="99" t="str">
        <f t="shared" si="83"/>
        <v>echo {"issue":{"subject":"","project_id":79,"tracker_id":40,"status_id":1,"priority_id":2,"assigned_to_id":23,"start_date":"2017-06-08","description":"","custom_fields":[{"id":1,"name":"Subdivision","value":"EC"},{"id":4,"name":"Milepost","value":"0.0161"},{"id":17,"name":"Train ID","value":"242-07"},{"id":16,"name":"Locomotive ID","value":"4015"},{"id":130,"name":"Impact","value":""},{"id":150,"name":"Time of Event (Mountain Time)","value":"01:37:47"},{"id":151,"name":"Denver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84"/>
        <v>start /low /b %USERPROFILE%\Documents\GitHub\eaglep3\Utilities\DownloadLogsFromS3.py --loco 4015 --day 2017-06-08</v>
      </c>
      <c r="AN152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07:37:47"},{"id":29,"name":"Sharepoint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840</v>
      </c>
      <c r="B153" s="7">
        <v>4046</v>
      </c>
      <c r="C153" s="21" t="s">
        <v>204</v>
      </c>
      <c r="D153" s="21" t="s">
        <v>355</v>
      </c>
      <c r="E153" s="13">
        <v>42894.018773148149</v>
      </c>
      <c r="F153" s="13">
        <v>42894.021261574075</v>
      </c>
      <c r="G153" s="7">
        <v>2</v>
      </c>
      <c r="H153" s="21" t="s">
        <v>460</v>
      </c>
      <c r="I153" s="13">
        <v>42894.0465625</v>
      </c>
      <c r="J153" s="7">
        <v>0</v>
      </c>
      <c r="K153" s="92" t="str">
        <f t="shared" si="71"/>
        <v>4045/4046</v>
      </c>
      <c r="L153" s="21" t="str">
        <f>VLOOKUP(A153,'Trips&amp;Operators'!$C$1:$G$99999,5,FALSE)</f>
        <v>SAFIEF AEIMEN</v>
      </c>
      <c r="M153" s="6">
        <f t="shared" si="72"/>
        <v>2.5300925924966577E-2</v>
      </c>
      <c r="N153" s="7">
        <f t="shared" si="69"/>
        <v>36.433333331951872</v>
      </c>
      <c r="O153" s="7"/>
      <c r="P153" s="7"/>
      <c r="Q153" s="22"/>
      <c r="R153" s="173"/>
      <c r="S153" s="176">
        <f t="shared" ref="S153:S184" si="86">SUM(U153:U153)/IF(AG153="EC",12,1)</f>
        <v>1</v>
      </c>
      <c r="T153" s="202" t="str">
        <f t="shared" si="73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74"/>
        <v>https://d0f6bd738d7f1b3e5a7ca70fe4ff75f0.us-east-1.aws.found.io/app/kibana#/discover/Steve-Slow-Train-Analysis-(2080s-and-2083s)?_g=(refreshInterval:(display:Off,pause:!f,section:0,value:0),time:(from:'2017-06-07T23:27:02-0600',mode:absolute,to:'2017-06-08T02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3" s="204" t="str">
        <f t="shared" si="68"/>
        <v>N</v>
      </c>
      <c r="X153" s="204">
        <f t="shared" si="70"/>
        <v>1</v>
      </c>
      <c r="Y153" s="204">
        <f t="shared" si="75"/>
        <v>4.6600000000000003E-2</v>
      </c>
      <c r="Z153" s="204">
        <f t="shared" si="76"/>
        <v>23.3309</v>
      </c>
      <c r="AA153" s="204">
        <f t="shared" si="77"/>
        <v>23.284299999999998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8"/>
        <v>0243-07</v>
      </c>
      <c r="AE153" s="80" t="str">
        <f t="shared" si="79"/>
        <v>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 &amp; 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</v>
      </c>
      <c r="AF153" s="77" t="str">
        <f t="shared" si="80"/>
        <v>"C:\Program Files (x86)\AstroGrep\AstroGrep.exe" /e /r /s /spath="%USERPROFILE%\AppData\Local\Temp\OnboardLogs" /stypes="app*4046*20170608*" /stext=" 07:.+((SYSTEM_STATE.+slice.+state.+changed )|(ment ac)|(multiple cpu faults)|(system.+state.+changed )|(\[timeout)|(PRM\|1\|D)|(kpr)|(kdp)|(train st.+moving)|(\|lc)|(penalty))"</v>
      </c>
      <c r="AG153" s="1" t="str">
        <f t="shared" si="81"/>
        <v>EC</v>
      </c>
      <c r="AH153" s="81" t="str">
        <f t="shared" si="82"/>
        <v>"%USERPROFILE%\Documents\GitHub\eaglep3\Utilities\RefineRTDCRunTimes.py" --tripid 243-07 --locoid 4046 --swversion DE.1.0.9.0 --startMP 204:466 --initTime 2017-06-08T00:27:02 --startdatetime 2017-06-08T00:30:37 --delay 2 --endMP 204:233309 --enddatetime 2017-06-08T01:07:03 --enforcementcount 0 &gt;&gt;C:\Users\stu\Documents\GitHub\eaglep3-reporting\EC\2017-06-07-refined-times.txt</v>
      </c>
      <c r="AI153" s="99" t="str">
        <f t="shared" si="83"/>
        <v>echo {"issue":{"subject":"","project_id":79,"tracker_id":40,"status_id":1,"priority_id":2,"assigned_to_id":23,"start_date":"2017-06-08","description":"","custom_fields":[{"id":1,"name":"Subdivision","value":"EC"},{"id":4,"name":"Milepost","value":"23.3309"},{"id":17,"name":"Train ID","value":"243-07"},{"id":16,"name":"Locomotive ID","value":"4046"},{"id":130,"name":"Impact","value":""},{"id":150,"name":"Time of Event (Mountain Time)","value":"01:07:03"},{"id":151,"name":"Denver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84"/>
        <v>start /low /b %USERPROFILE%\Documents\GitHub\eaglep3\Utilities\DownloadLogsFromS3.py --loco 4046 --day 2017-06-08</v>
      </c>
      <c r="AN153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07:07:03"},{"id":29,"name":"Sharepoint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843</v>
      </c>
      <c r="B154" s="7">
        <v>4045</v>
      </c>
      <c r="C154" s="21" t="s">
        <v>204</v>
      </c>
      <c r="D154" s="21" t="s">
        <v>432</v>
      </c>
      <c r="E154" s="13">
        <v>42894.05159722222</v>
      </c>
      <c r="F154" s="13">
        <v>42894.060706018521</v>
      </c>
      <c r="G154" s="7">
        <v>1</v>
      </c>
      <c r="H154" s="21" t="s">
        <v>352</v>
      </c>
      <c r="I154" s="13">
        <v>42894.087291666663</v>
      </c>
      <c r="J154" s="7">
        <v>0</v>
      </c>
      <c r="K154" s="92" t="str">
        <f t="shared" si="71"/>
        <v>4045/4046</v>
      </c>
      <c r="L154" s="21" t="str">
        <f>VLOOKUP(A154,'Trips&amp;Operators'!$C$1:$G$99999,5,FALSE)</f>
        <v>SAFIEF AEIMEN</v>
      </c>
      <c r="M154" s="6">
        <f t="shared" si="72"/>
        <v>2.6585648141917773E-2</v>
      </c>
      <c r="N154" s="7">
        <f t="shared" si="69"/>
        <v>38.283333324361593</v>
      </c>
      <c r="O154" s="7"/>
      <c r="P154" s="7"/>
      <c r="Q154" s="22"/>
      <c r="R154" s="173"/>
      <c r="S154" s="176">
        <f t="shared" si="86"/>
        <v>1</v>
      </c>
      <c r="T154" s="202" t="str">
        <f t="shared" si="73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74"/>
        <v>https://d0f6bd738d7f1b3e5a7ca70fe4ff75f0.us-east-1.aws.found.io/app/kibana#/discover/Steve-Slow-Train-Analysis-(2080s-and-2083s)?_g=(refreshInterval:(display:Off,pause:!f,section:0,value:0),time:(from:'2017-06-08T00:14:18-0600',mode:absolute,to:'2017-06-08T03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204" t="str">
        <f t="shared" si="68"/>
        <v>N</v>
      </c>
      <c r="X154" s="204">
        <f t="shared" si="70"/>
        <v>1</v>
      </c>
      <c r="Y154" s="204">
        <f t="shared" si="75"/>
        <v>23.297999999999998</v>
      </c>
      <c r="Z154" s="204">
        <f t="shared" si="76"/>
        <v>1.4999999999999999E-2</v>
      </c>
      <c r="AA154" s="204">
        <f t="shared" si="77"/>
        <v>23.282999999999998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8"/>
        <v>0244-07</v>
      </c>
      <c r="AE154" s="80" t="str">
        <f t="shared" si="79"/>
        <v>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 &amp; aws s3 cp s3://rtdc.mdm.uploadarchive.raw/RTDC4045/ "%USERPROFILE%\AppData\Local\Temp\OnboardLogs"\RTDC4045\2017-06-09 --exclude "*" --recursive --include "*20170609*" &amp; "%USERPROFILE%\Documents\GitHub\mrs-test-scripts\Headless Mode &amp; Sideloading\WalkAndUnGZ.bat" "%USERPROFILE%\AppData\Local\Temp\OnboardLogs"\RTDC4045\2017-06-09</v>
      </c>
      <c r="AF154" s="77" t="str">
        <f t="shared" si="80"/>
        <v>"C:\Program Files (x86)\AstroGrep\AstroGrep.exe" /e /r /s /spath="%USERPROFILE%\AppData\Local\Temp\OnboardLogs" /stypes="app*4045*20170608*" /stext=" 08:.+((SYSTEM_STATE.+slice.+state.+changed )|(ment ac)|(multiple cpu faults)|(system.+state.+changed )|(\[timeout)|(PRM\|1\|D)|(kpr)|(kdp)|(train st.+moving)|(\|lc)|(penalty))"</v>
      </c>
      <c r="AG154" s="1" t="str">
        <f t="shared" si="81"/>
        <v>EC</v>
      </c>
      <c r="AH154" s="81" t="str">
        <f t="shared" si="82"/>
        <v>"%USERPROFILE%\Documents\GitHub\eaglep3\Utilities\RefineRTDCRunTimes.py" --tripid 244-07 --locoid 4045 --swversion DE.1.0.9.0 --startMP 204:232980 --initTime 2017-06-08T01:14:18 --startdatetime 2017-06-08T01:27:25 --delay 1 --endMP 204:150 --enddatetime 2017-06-08T02:05:42 --enforcementcount 0 &gt;&gt;C:\Users\stu\Documents\GitHub\eaglep3-reporting\EC\2017-06-07-refined-times.txt</v>
      </c>
      <c r="AI154" s="99" t="str">
        <f t="shared" si="83"/>
        <v>echo {"issue":{"subject":"","project_id":79,"tracker_id":40,"status_id":1,"priority_id":2,"assigned_to_id":23,"start_date":"2017-06-08","description":"","custom_fields":[{"id":1,"name":"Subdivision","value":"EC"},{"id":4,"name":"Milepost","value":"0.015"},{"id":17,"name":"Train ID","value":"244-07"},{"id":16,"name":"Locomotive ID","value":"4045"},{"id":130,"name":"Impact","value":""},{"id":150,"name":"Time of Event (Mountain Time)","value":"02:05:42"},{"id":151,"name":"Denver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84"/>
        <v>start /low /b %USERPROFILE%\Documents\GitHub\eaglep3\Utilities\DownloadLogsFromS3.py --loco 4045 --day 2017-06-08</v>
      </c>
      <c r="AN154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08:05:42"},{"id":29,"name":"Sharepoint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597</v>
      </c>
      <c r="B155" s="7">
        <v>4061</v>
      </c>
      <c r="C155" s="21" t="s">
        <v>204</v>
      </c>
      <c r="D155" s="21" t="s">
        <v>591</v>
      </c>
      <c r="E155" s="13">
        <v>42893.214317129627</v>
      </c>
      <c r="F155" s="13">
        <v>42893.216111111113</v>
      </c>
      <c r="G155" s="7">
        <v>1</v>
      </c>
      <c r="H155" s="21" t="s">
        <v>946</v>
      </c>
      <c r="I155" s="13">
        <v>42893.225972222222</v>
      </c>
      <c r="J155" s="7">
        <v>0</v>
      </c>
      <c r="K155" s="92" t="str">
        <f t="shared" si="71"/>
        <v>4061/4062</v>
      </c>
      <c r="L155" s="21" t="str">
        <f>VLOOKUP(A155,'Trips&amp;Operators'!$C$1:$G$99999,5,FALSE)</f>
        <v>MACDONALD THOMAS</v>
      </c>
      <c r="M155" s="6">
        <f t="shared" si="72"/>
        <v>9.8611111097852699E-3</v>
      </c>
      <c r="N155" s="7">
        <f t="shared" si="69"/>
        <v>14.199999998090789</v>
      </c>
      <c r="O155" s="7"/>
      <c r="P155" s="7"/>
      <c r="Q155" s="22"/>
      <c r="R155" s="173"/>
      <c r="S155" s="176">
        <f t="shared" si="86"/>
        <v>1</v>
      </c>
      <c r="T155" s="202" t="str">
        <f t="shared" si="73"/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203" t="str">
        <f t="shared" si="74"/>
        <v>https://d0f6bd738d7f1b3e5a7ca70fe4ff75f0.us-east-1.aws.found.io/app/kibana#/discover/Steve-Slow-Train-Analysis-(2080s-and-2083s)?_g=(refreshInterval:(display:Off,pause:!f,section:0,value:0),time:(from:'2017-06-07T04:08:37-0600',mode:absolute,to:'2017-06-07T06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5" s="204" t="str">
        <f t="shared" si="68"/>
        <v>N</v>
      </c>
      <c r="X155" s="204">
        <f t="shared" si="70"/>
        <v>556</v>
      </c>
      <c r="Y155" s="204">
        <f t="shared" si="75"/>
        <v>5.8625999999999996</v>
      </c>
      <c r="Z155" s="204">
        <f t="shared" si="76"/>
        <v>7.4800000000000005E-2</v>
      </c>
      <c r="AA155" s="204">
        <f t="shared" si="77"/>
        <v>5.7877999999999998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8"/>
        <v>0800-07</v>
      </c>
      <c r="AE155" s="80" t="str">
        <f t="shared" si="79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155" s="77" t="str">
        <f t="shared" si="80"/>
        <v>"C:\Program Files (x86)\AstroGrep\AstroGrep.exe" /e /r /s /spath="%USERPROFILE%\AppData\Local\Temp\OnboardLogs" /stypes="app*4061*20170607*" /stext=" 11:.+((SYSTEM_STATE.+slice.+state.+changed )|(ment ac)|(multiple cpu faults)|(system.+state.+changed )|(\[timeout)|(PRM\|1\|D)|(kpr)|(kdp)|(train st.+moving)|(\|lc)|(penalty))"</v>
      </c>
      <c r="AG155" s="1" t="str">
        <f t="shared" si="81"/>
        <v>NW</v>
      </c>
      <c r="AH155" s="81" t="str">
        <f t="shared" si="82"/>
        <v>"%USERPROFILE%\Documents\GitHub\eaglep3\Utilities\RefineRTDCRunTimes.py" --tripid 800-07 --locoid 4061 --swversion DE.1.0.9.0 --startMP 300:58626 --initTime 2017-06-07T05:08:37 --startdatetime 2017-06-07T05:11:12 --delay 1 --endMP 204:748 --enddatetime 2017-06-07T05:25:24 --enforcementcount 0 &gt;&gt;C:\Users\stu\Documents\GitHub\eaglep3-reporting\EC\2017-06-07-refined-times.txt</v>
      </c>
      <c r="AI155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{"issue":{"subject":"","project_id":79,"tracker_id":40,"status_id":1,"priority_id":2,"assigned_to_id":23,"start_date":"2017-06-07","description":"","custom_fields":[{"id":1,"name":"Subdivision","value":"NW"},{"id":4,"name":"Milepost","value":"0.0748"},{"id":17,"name":"Train ID","value":"800-07"},{"id":16,"name":"Locomotive ID","value":"4061"},{"id":130,"name":"Impact","value":""},{"id":150,"name":"Time of Event (Mountain Time)","value":"05:25:24"},{"id":151,"name":"Denver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84"/>
        <v>start /low /b %USERPROFILE%\Documents\GitHub\eaglep3\Utilities\DownloadLogsFromS3.py --loco 4061 --day 2017-06-07</v>
      </c>
      <c r="AN155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600</v>
      </c>
      <c r="B156" s="7">
        <v>4062</v>
      </c>
      <c r="C156" s="21" t="s">
        <v>204</v>
      </c>
      <c r="D156" s="21" t="s">
        <v>584</v>
      </c>
      <c r="E156" s="13">
        <v>42893.22693287037</v>
      </c>
      <c r="F156" s="13">
        <v>42893.244340277779</v>
      </c>
      <c r="G156" s="7">
        <v>1</v>
      </c>
      <c r="H156" s="21" t="s">
        <v>947</v>
      </c>
      <c r="I156" s="13">
        <v>42893.253506944442</v>
      </c>
      <c r="J156" s="7">
        <v>0</v>
      </c>
      <c r="K156" s="92" t="str">
        <f t="shared" si="71"/>
        <v>4061/4062</v>
      </c>
      <c r="L156" s="21" t="str">
        <f>VLOOKUP(A156,'Trips&amp;Operators'!$C$1:$G$99999,5,FALSE)</f>
        <v>MACDONALD THOMAS</v>
      </c>
      <c r="M156" s="6">
        <f t="shared" si="72"/>
        <v>9.1666666630771942E-3</v>
      </c>
      <c r="N156" s="7">
        <f t="shared" si="69"/>
        <v>13.19999999483116</v>
      </c>
      <c r="O156" s="7"/>
      <c r="P156" s="7"/>
      <c r="Q156" s="22"/>
      <c r="R156" s="173"/>
      <c r="S156" s="176">
        <f t="shared" si="86"/>
        <v>1</v>
      </c>
      <c r="T156" s="202" t="str">
        <f t="shared" si="73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203" t="str">
        <f t="shared" si="74"/>
        <v>https://d0f6bd738d7f1b3e5a7ca70fe4ff75f0.us-east-1.aws.found.io/app/kibana#/discover/Steve-Slow-Train-Analysis-(2080s-and-2083s)?_g=(refreshInterval:(display:Off,pause:!f,section:0,value:0),time:(from:'2017-06-07T04:26:47-0600',mode:absolute,to:'2017-06-07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6" s="204" t="str">
        <f t="shared" si="68"/>
        <v>N</v>
      </c>
      <c r="X156" s="204">
        <f t="shared" si="70"/>
        <v>1</v>
      </c>
      <c r="Y156" s="204">
        <f t="shared" si="75"/>
        <v>0.10390000000000001</v>
      </c>
      <c r="Z156" s="204">
        <f t="shared" si="76"/>
        <v>5.8920000000000003</v>
      </c>
      <c r="AA156" s="204">
        <f t="shared" si="77"/>
        <v>5.7881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8"/>
        <v>0801-07</v>
      </c>
      <c r="AE156" s="80" t="str">
        <f t="shared" si="79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156" s="77" t="str">
        <f t="shared" si="80"/>
        <v>"C:\Program Files (x86)\AstroGrep\AstroGrep.exe" /e /r /s /spath="%USERPROFILE%\AppData\Local\Temp\OnboardLogs" /stypes="app*4062*20170607*" /stext=" 12:.+((SYSTEM_STATE.+slice.+state.+changed )|(ment ac)|(multiple cpu faults)|(system.+state.+changed )|(\[timeout)|(PRM\|1\|D)|(kpr)|(kdp)|(train st.+moving)|(\|lc)|(penalty))"</v>
      </c>
      <c r="AG156" s="1" t="str">
        <f t="shared" si="81"/>
        <v>NW</v>
      </c>
      <c r="AH156" s="81" t="str">
        <f t="shared" si="82"/>
        <v>"%USERPROFILE%\Documents\GitHub\eaglep3\Utilities\RefineRTDCRunTimes.py" --tripid 801-07 --locoid 4062 --swversion DE.1.0.9.0 --startMP 204:1039 --initTime 2017-06-07T05:26:47 --startdatetime 2017-06-07T05:51:51 --delay 1 --endMP 300:58920 --enddatetime 2017-06-07T06:05:03 --enforcementcount 0 &gt;&gt;C:\Users\stu\Documents\GitHub\eaglep3-reporting\EC\2017-06-07-refined-times.txt</v>
      </c>
      <c r="AI156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{"issue":{"subject":"","project_id":79,"tracker_id":40,"status_id":1,"priority_id":2,"assigned_to_id":23,"start_date":"2017-06-07","description":"","custom_fields":[{"id":1,"name":"Subdivision","value":"NW"},{"id":4,"name":"Milepost","value":"5.892"},{"id":17,"name":"Train ID","value":"801-07"},{"id":16,"name":"Locomotive ID","value":"4062"},{"id":130,"name":"Impact","value":""},{"id":150,"name":"Time of Event (Mountain Time)","value":"06:05:03"},{"id":151,"name":"Denver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84"/>
        <v>start /low /b %USERPROFILE%\Documents\GitHub\eaglep3\Utilities\DownloadLogsFromS3.py --loco 4062 --day 2017-06-07</v>
      </c>
      <c r="AN156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682</v>
      </c>
      <c r="B157" s="7">
        <v>4061</v>
      </c>
      <c r="C157" s="21" t="s">
        <v>204</v>
      </c>
      <c r="D157" s="21" t="s">
        <v>948</v>
      </c>
      <c r="E157" s="13">
        <v>42893.254212962966</v>
      </c>
      <c r="F157" s="13">
        <v>42893.256145833337</v>
      </c>
      <c r="G157" s="7">
        <v>1</v>
      </c>
      <c r="H157" s="21" t="s">
        <v>949</v>
      </c>
      <c r="I157" s="13">
        <v>42893.26771990741</v>
      </c>
      <c r="J157" s="7">
        <v>0</v>
      </c>
      <c r="K157" s="92" t="str">
        <f t="shared" si="71"/>
        <v>4061/4062</v>
      </c>
      <c r="L157" s="21" t="str">
        <f>VLOOKUP(A157,'Trips&amp;Operators'!$C$1:$G$99999,5,FALSE)</f>
        <v>MACDONALD THOMAS</v>
      </c>
      <c r="M157" s="6">
        <f t="shared" si="72"/>
        <v>1.1574074072996154E-2</v>
      </c>
      <c r="N157" s="7">
        <f t="shared" si="69"/>
        <v>16.666666665114462</v>
      </c>
      <c r="O157" s="7"/>
      <c r="P157" s="7"/>
      <c r="Q157" s="22"/>
      <c r="R157" s="173"/>
      <c r="S157" s="176">
        <f t="shared" si="86"/>
        <v>1</v>
      </c>
      <c r="T157" s="202" t="str">
        <f t="shared" si="73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03" t="str">
        <f t="shared" si="74"/>
        <v>https://d0f6bd738d7f1b3e5a7ca70fe4ff75f0.us-east-1.aws.found.io/app/kibana#/discover/Steve-Slow-Train-Analysis-(2080s-and-2083s)?_g=(refreshInterval:(display:Off,pause:!f,section:0,value:0),time:(from:'2017-06-07T05:06:04-0600',mode:absolute,to:'2017-06-07T07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7" s="204" t="str">
        <f t="shared" si="68"/>
        <v>N</v>
      </c>
      <c r="X157" s="204">
        <f t="shared" si="70"/>
        <v>1</v>
      </c>
      <c r="Y157" s="204">
        <f t="shared" si="75"/>
        <v>5.8597999999999999</v>
      </c>
      <c r="Z157" s="204">
        <f t="shared" si="76"/>
        <v>7.5399999999999995E-2</v>
      </c>
      <c r="AA157" s="204">
        <f t="shared" si="77"/>
        <v>5.7843999999999998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8"/>
        <v>0802-07</v>
      </c>
      <c r="AE157" s="80" t="str">
        <f t="shared" si="79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157" s="77" t="str">
        <f t="shared" si="80"/>
        <v>"C:\Program Files (x86)\AstroGrep\AstroGrep.exe" /e /r /s /spath="%USERPROFILE%\AppData\Local\Temp\OnboardLogs" /stypes="app*4061*20170607*" /stext=" 12:.+((SYSTEM_STATE.+slice.+state.+changed )|(ment ac)|(multiple cpu faults)|(system.+state.+changed )|(\[timeout)|(PRM\|1\|D)|(kpr)|(kdp)|(train st.+moving)|(\|lc)|(penalty))"</v>
      </c>
      <c r="AG157" s="1" t="str">
        <f t="shared" si="81"/>
        <v>NW</v>
      </c>
      <c r="AH157" s="81" t="str">
        <f t="shared" si="82"/>
        <v>"%USERPROFILE%\Documents\GitHub\eaglep3\Utilities\RefineRTDCRunTimes.py" --tripid 802-07 --locoid 4061 --swversion DE.1.0.9.0 --startMP 300:58598 --initTime 2017-06-07T06:06:04 --startdatetime 2017-06-07T06:08:51 --delay 1 --endMP 204:754 --enddatetime 2017-06-07T06:25:31 --enforcementcount 0 &gt;&gt;C:\Users\stu\Documents\GitHub\eaglep3-reporting\EC\2017-06-07-refined-times.txt</v>
      </c>
      <c r="AI157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{"issue":{"subject":"","project_id":79,"tracker_id":40,"status_id":1,"priority_id":2,"assigned_to_id":23,"start_date":"2017-06-07","description":"","custom_fields":[{"id":1,"name":"Subdivision","value":"NW"},{"id":4,"name":"Milepost","value":"0.0754"},{"id":17,"name":"Train ID","value":"802-07"},{"id":16,"name":"Locomotive ID","value":"4061"},{"id":130,"name":"Impact","value":""},{"id":150,"name":"Time of Event (Mountain Time)","value":"06:25:31"},{"id":151,"name":"Denver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84"/>
        <v>start /low /b %USERPROFILE%\Documents\GitHub\eaglep3\Utilities\DownloadLogsFromS3.py --loco 4061 --day 2017-06-07</v>
      </c>
      <c r="AN157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603</v>
      </c>
      <c r="B158" s="7">
        <v>4010</v>
      </c>
      <c r="C158" s="21" t="s">
        <v>204</v>
      </c>
      <c r="D158" s="21" t="s">
        <v>950</v>
      </c>
      <c r="E158" s="13">
        <v>42893.249062499999</v>
      </c>
      <c r="F158" s="13">
        <v>42893.264768518522</v>
      </c>
      <c r="G158" s="7">
        <v>1</v>
      </c>
      <c r="H158" s="21" t="s">
        <v>951</v>
      </c>
      <c r="I158" s="13">
        <v>42893.274363425924</v>
      </c>
      <c r="J158" s="7">
        <v>0</v>
      </c>
      <c r="K158" s="92" t="str">
        <f t="shared" si="71"/>
        <v>4009/4010</v>
      </c>
      <c r="L158" s="21" t="str">
        <f>VLOOKUP(A158,'Trips&amp;Operators'!$C$1:$G$99999,5,FALSE)</f>
        <v>GEBRETEKLE DAGNEW</v>
      </c>
      <c r="M158" s="6">
        <f t="shared" si="72"/>
        <v>9.594907402060926E-3</v>
      </c>
      <c r="N158" s="7">
        <f t="shared" si="69"/>
        <v>13.816666658967733</v>
      </c>
      <c r="O158" s="7"/>
      <c r="P158" s="7"/>
      <c r="Q158" s="22"/>
      <c r="R158" s="173"/>
      <c r="S158" s="176">
        <f t="shared" si="86"/>
        <v>1</v>
      </c>
      <c r="T158" s="202" t="str">
        <f t="shared" si="73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03" t="str">
        <f t="shared" si="74"/>
        <v>https://d0f6bd738d7f1b3e5a7ca70fe4ff75f0.us-east-1.aws.found.io/app/kibana#/discover/Steve-Slow-Train-Analysis-(2080s-and-2083s)?_g=(refreshInterval:(display:Off,pause:!f,section:0,value:0),time:(from:'2017-06-07T04:58:39-0600',mode:absolute,to:'2017-06-07T07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204" t="str">
        <f t="shared" si="68"/>
        <v>N</v>
      </c>
      <c r="X158" s="204">
        <f t="shared" si="70"/>
        <v>1</v>
      </c>
      <c r="Y158" s="204">
        <f t="shared" si="75"/>
        <v>9.7199999999999995E-2</v>
      </c>
      <c r="Z158" s="204">
        <f t="shared" si="76"/>
        <v>5.899</v>
      </c>
      <c r="AA158" s="204">
        <f t="shared" si="77"/>
        <v>5.8018000000000001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8"/>
        <v>0803-07</v>
      </c>
      <c r="AE158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58" s="77" t="str">
        <f t="shared" si="80"/>
        <v>"C:\Program Files (x86)\AstroGrep\AstroGrep.exe" /e /r /s /spath="%USERPROFILE%\AppData\Local\Temp\OnboardLogs" /stypes="app*4010*20170607*" /stext=" 12:.+((SYSTEM_STATE.+slice.+state.+changed )|(ment ac)|(multiple cpu faults)|(system.+state.+changed )|(\[timeout)|(PRM\|1\|D)|(kpr)|(kdp)|(train st.+moving)|(\|lc)|(penalty))"</v>
      </c>
      <c r="AG158" s="1" t="str">
        <f t="shared" si="81"/>
        <v>NW</v>
      </c>
      <c r="AH158" s="81" t="str">
        <f t="shared" si="82"/>
        <v>"%USERPROFILE%\Documents\GitHub\eaglep3\Utilities\RefineRTDCRunTimes.py" --tripid 803-07 --locoid 4010 --swversion DE.1.0.9.0 --startMP 204:972 --initTime 2017-06-07T05:58:39 --startdatetime 2017-06-07T06:21:16 --delay 1 --endMP 300:58990 --enddatetime 2017-06-07T06:35:05 --enforcementcount 0 &gt;&gt;C:\Users\stu\Documents\GitHub\eaglep3-reporting\EC\2017-06-07-refined-times.txt</v>
      </c>
      <c r="AI158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{"issue":{"subject":"","project_id":79,"tracker_id":40,"status_id":1,"priority_id":2,"assigned_to_id":23,"start_date":"2017-06-07","description":"","custom_fields":[{"id":1,"name":"Subdivision","value":"NW"},{"id":4,"name":"Milepost","value":"5.899"},{"id":17,"name":"Train ID","value":"803-07"},{"id":16,"name":"Locomotive ID","value":"4010"},{"id":130,"name":"Impact","value":""},{"id":150,"name":"Time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84"/>
        <v>start /low /b %USERPROFILE%\Documents\GitHub\eaglep3\Utilities\DownloadLogsFromS3.py --loco 4010 --day 2017-06-07</v>
      </c>
      <c r="AN158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607</v>
      </c>
      <c r="B159" s="7">
        <v>4009</v>
      </c>
      <c r="C159" s="21" t="s">
        <v>204</v>
      </c>
      <c r="D159" s="21" t="s">
        <v>952</v>
      </c>
      <c r="E159" s="13">
        <v>42893.27547453704</v>
      </c>
      <c r="F159" s="13">
        <v>42893.276782407411</v>
      </c>
      <c r="G159" s="7">
        <v>0</v>
      </c>
      <c r="H159" s="21" t="s">
        <v>953</v>
      </c>
      <c r="I159" s="13">
        <v>42893.287881944445</v>
      </c>
      <c r="J159" s="7">
        <v>0</v>
      </c>
      <c r="K159" s="92" t="str">
        <f t="shared" si="71"/>
        <v>4009/4010</v>
      </c>
      <c r="L159" s="21" t="str">
        <f>VLOOKUP(A159,'Trips&amp;Operators'!$C$1:$G$99999,5,FALSE)</f>
        <v>GEBRETEKLE DAGNEW</v>
      </c>
      <c r="M159" s="6">
        <f t="shared" si="72"/>
        <v>1.1099537034169771E-2</v>
      </c>
      <c r="N159" s="7">
        <f t="shared" si="69"/>
        <v>15.98333332920447</v>
      </c>
      <c r="O159" s="7"/>
      <c r="P159" s="7"/>
      <c r="Q159" s="22"/>
      <c r="R159" s="173"/>
      <c r="S159" s="176">
        <f t="shared" si="86"/>
        <v>1</v>
      </c>
      <c r="T159" s="202" t="str">
        <f t="shared" si="73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74"/>
        <v>https://d0f6bd738d7f1b3e5a7ca70fe4ff75f0.us-east-1.aws.found.io/app/kibana#/discover/Steve-Slow-Train-Analysis-(2080s-and-2083s)?_g=(refreshInterval:(display:Off,pause:!f,section:0,value:0),time:(from:'2017-06-07T05:36:41-0600',mode:absolute,to:'2017-06-07T07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204" t="str">
        <f t="shared" ref="W159:W190" si="87">IF(AA159&lt;IF(AG159="EC",23,5.65),"Y","N")</f>
        <v>N</v>
      </c>
      <c r="X159" s="204">
        <f t="shared" si="70"/>
        <v>1</v>
      </c>
      <c r="Y159" s="204">
        <f t="shared" si="75"/>
        <v>5.8673000000000002</v>
      </c>
      <c r="Z159" s="204">
        <f t="shared" si="76"/>
        <v>7.85E-2</v>
      </c>
      <c r="AA159" s="204">
        <f t="shared" si="77"/>
        <v>5.7888000000000002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8"/>
        <v>0804-07</v>
      </c>
      <c r="AE159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59" s="77" t="str">
        <f t="shared" si="80"/>
        <v>"C:\Program Files (x86)\AstroGrep\AstroGrep.exe" /e /r /s /spath="%USERPROFILE%\AppData\Local\Temp\OnboardLogs" /stypes="app*4009*20170607*" /stext=" 12:.+((SYSTEM_STATE.+slice.+state.+changed )|(ment ac)|(multiple cpu faults)|(system.+state.+changed )|(\[timeout)|(PRM\|1\|D)|(kpr)|(kdp)|(train st.+moving)|(\|lc)|(penalty))"</v>
      </c>
      <c r="AG159" s="1" t="str">
        <f t="shared" si="81"/>
        <v>NW</v>
      </c>
      <c r="AH159" s="81" t="str">
        <f t="shared" si="82"/>
        <v>"%USERPROFILE%\Documents\GitHub\eaglep3\Utilities\RefineRTDCRunTimes.py" --tripid 804-07 --locoid 4009 --swversion DE.1.0.9.0 --startMP 300:58673 --initTime 2017-06-07T06:36:41 --startdatetime 2017-06-07T06:38:34 --delay 0 --endMP 204:785 --enddatetime 2017-06-07T06:54:33 --enforcementcount 0 &gt;&gt;C:\Users\stu\Documents\GitHub\eaglep3-reporting\EC\2017-06-07-refined-times.txt</v>
      </c>
      <c r="AI159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{"issue":{"subject":"","project_id":79,"tracker_id":40,"status_id":1,"priority_id":2,"assigned_to_id":23,"start_date":"2017-06-07","description":"","custom_fields":[{"id":1,"name":"Subdivision","value":"NW"},{"id":4,"name":"Milepost","value":"0.0785"},{"id":17,"name":"Train ID","value":"804-07"},{"id":16,"name":"Locomotive ID","value":"4009"},{"id":130,"name":"Impact","value":""},{"id":150,"name":"Time of Event (Mountain Time)","value":"06:54:33"},{"id":151,"name":"Denver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84"/>
        <v>start /low /b %USERPROFILE%\Documents\GitHub\eaglep3\Utilities\DownloadLogsFromS3.py --loco 4009 --day 2017-06-07</v>
      </c>
      <c r="AN159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608</v>
      </c>
      <c r="B160" s="7">
        <v>4062</v>
      </c>
      <c r="C160" s="21" t="s">
        <v>204</v>
      </c>
      <c r="D160" s="21" t="s">
        <v>954</v>
      </c>
      <c r="E160" s="13">
        <v>42893.268680555557</v>
      </c>
      <c r="F160" s="13">
        <v>42893.285578703704</v>
      </c>
      <c r="G160" s="7">
        <v>2</v>
      </c>
      <c r="H160" s="21" t="s">
        <v>955</v>
      </c>
      <c r="I160" s="13">
        <v>42893.294756944444</v>
      </c>
      <c r="J160" s="7">
        <v>0</v>
      </c>
      <c r="K160" s="92" t="str">
        <f t="shared" si="71"/>
        <v>4061/4062</v>
      </c>
      <c r="L160" s="21" t="str">
        <f>VLOOKUP(A160,'Trips&amp;Operators'!$C$1:$G$99999,5,FALSE)</f>
        <v>MACDONALD THOMAS</v>
      </c>
      <c r="M160" s="6">
        <f t="shared" si="72"/>
        <v>9.1782407398568466E-3</v>
      </c>
      <c r="N160" s="7">
        <f t="shared" si="69"/>
        <v>13.216666665393859</v>
      </c>
      <c r="O160" s="7"/>
      <c r="P160" s="7"/>
      <c r="Q160" s="22"/>
      <c r="R160" s="173"/>
      <c r="S160" s="176">
        <f t="shared" si="86"/>
        <v>1</v>
      </c>
      <c r="T160" s="202" t="str">
        <f t="shared" si="73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74"/>
        <v>https://d0f6bd738d7f1b3e5a7ca70fe4ff75f0.us-east-1.aws.found.io/app/kibana#/discover/Steve-Slow-Train-Analysis-(2080s-and-2083s)?_g=(refreshInterval:(display:Off,pause:!f,section:0,value:0),time:(from:'2017-06-07T05:26:54-0600',mode:absolute,to:'2017-06-07T08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0" s="204" t="str">
        <f t="shared" si="87"/>
        <v>N</v>
      </c>
      <c r="X160" s="204">
        <f t="shared" si="70"/>
        <v>1</v>
      </c>
      <c r="Y160" s="204">
        <f t="shared" si="75"/>
        <v>0.1055</v>
      </c>
      <c r="Z160" s="204">
        <f t="shared" si="76"/>
        <v>5.8746</v>
      </c>
      <c r="AA160" s="204">
        <f t="shared" si="77"/>
        <v>5.7690999999999999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8"/>
        <v>0805-07</v>
      </c>
      <c r="AE160" s="80" t="str">
        <f t="shared" si="79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160" s="77" t="str">
        <f t="shared" si="80"/>
        <v>"C:\Program Files (x86)\AstroGrep\AstroGrep.exe" /e /r /s /spath="%USERPROFILE%\AppData\Local\Temp\OnboardLogs" /stypes="app*4062*20170607*" /stext=" 13:.+((SYSTEM_STATE.+slice.+state.+changed )|(ment ac)|(multiple cpu faults)|(system.+state.+changed )|(\[timeout)|(PRM\|1\|D)|(kpr)|(kdp)|(train st.+moving)|(\|lc)|(penalty))"</v>
      </c>
      <c r="AG160" s="1" t="str">
        <f t="shared" si="81"/>
        <v>NW</v>
      </c>
      <c r="AH160" s="81" t="str">
        <f t="shared" si="82"/>
        <v>"%USERPROFILE%\Documents\GitHub\eaglep3\Utilities\RefineRTDCRunTimes.py" --tripid 805-07 --locoid 4062 --swversion DE.1.0.9.0 --startMP 204:1055 --initTime 2017-06-07T06:26:54 --startdatetime 2017-06-07T06:51:14 --delay 2 --endMP 300:58746 --enddatetime 2017-06-07T07:04:27 --enforcementcount 0 &gt;&gt;C:\Users\stu\Documents\GitHub\eaglep3-reporting\EC\2017-06-07-refined-times.txt</v>
      </c>
      <c r="AI160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{"issue":{"subject":"","project_id":79,"tracker_id":40,"status_id":1,"priority_id":2,"assigned_to_id":23,"start_date":"2017-06-07","description":"","custom_fields":[{"id":1,"name":"Subdivision","value":"NW"},{"id":4,"name":"Milepost","value":"5.8746"},{"id":17,"name":"Train ID","value":"805-07"},{"id":16,"name":"Locomotive ID","value":"4062"},{"id":130,"name":"Impact","value":""},{"id":150,"name":"Time of Event (Mountain Time)","value":"07:04:27"},{"id":151,"name":"Denver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84"/>
        <v>start /low /b %USERPROFILE%\Documents\GitHub\eaglep3\Utilities\DownloadLogsFromS3.py --loco 4062 --day 2017-06-07</v>
      </c>
      <c r="AN160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691</v>
      </c>
      <c r="B161" s="7">
        <v>4061</v>
      </c>
      <c r="C161" s="21" t="s">
        <v>204</v>
      </c>
      <c r="D161" s="21" t="s">
        <v>541</v>
      </c>
      <c r="E161" s="13">
        <v>42893.296400462961</v>
      </c>
      <c r="F161" s="13">
        <v>42893.297812500001</v>
      </c>
      <c r="G161" s="7">
        <v>1</v>
      </c>
      <c r="H161" s="21" t="s">
        <v>956</v>
      </c>
      <c r="I161" s="13">
        <v>42893.309212962966</v>
      </c>
      <c r="J161" s="7">
        <v>0</v>
      </c>
      <c r="K161" s="92" t="str">
        <f t="shared" si="71"/>
        <v>4061/4062</v>
      </c>
      <c r="L161" s="21" t="str">
        <f>VLOOKUP(A161,'Trips&amp;Operators'!$C$1:$G$99999,5,FALSE)</f>
        <v>MACDONALD THOMAS</v>
      </c>
      <c r="M161" s="6">
        <f t="shared" si="72"/>
        <v>1.1400462964957114E-2</v>
      </c>
      <c r="N161" s="7">
        <f t="shared" si="69"/>
        <v>16.416666669538245</v>
      </c>
      <c r="O161" s="7"/>
      <c r="P161" s="7"/>
      <c r="Q161" s="22"/>
      <c r="R161" s="173"/>
      <c r="S161" s="176">
        <f t="shared" si="86"/>
        <v>1</v>
      </c>
      <c r="T161" s="202" t="str">
        <f t="shared" si="73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74"/>
        <v>https://d0f6bd738d7f1b3e5a7ca70fe4ff75f0.us-east-1.aws.found.io/app/kibana#/discover/Steve-Slow-Train-Analysis-(2080s-and-2083s)?_g=(refreshInterval:(display:Off,pause:!f,section:0,value:0),time:(from:'2017-06-07T06:06:49-0600',mode:absolute,to:'2017-06-07T08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1" s="204" t="str">
        <f t="shared" si="87"/>
        <v>N</v>
      </c>
      <c r="X161" s="204">
        <f t="shared" si="70"/>
        <v>1</v>
      </c>
      <c r="Y161" s="204">
        <f t="shared" si="75"/>
        <v>5.8615000000000004</v>
      </c>
      <c r="Z161" s="204">
        <f t="shared" si="76"/>
        <v>8.1699999999999995E-2</v>
      </c>
      <c r="AA161" s="204">
        <f t="shared" si="77"/>
        <v>5.7798000000000007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8"/>
        <v>0806-07</v>
      </c>
      <c r="AE161" s="80" t="str">
        <f t="shared" si="79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161" s="77" t="str">
        <f t="shared" si="80"/>
        <v>"C:\Program Files (x86)\AstroGrep\AstroGrep.exe" /e /r /s /spath="%USERPROFILE%\AppData\Local\Temp\OnboardLogs" /stypes="app*4061*20170607*" /stext=" 13:.+((SYSTEM_STATE.+slice.+state.+changed )|(ment ac)|(multiple cpu faults)|(system.+state.+changed )|(\[timeout)|(PRM\|1\|D)|(kpr)|(kdp)|(train st.+moving)|(\|lc)|(penalty))"</v>
      </c>
      <c r="AG161" s="1" t="str">
        <f t="shared" si="81"/>
        <v>NW</v>
      </c>
      <c r="AH161" s="81" t="str">
        <f t="shared" si="82"/>
        <v>"%USERPROFILE%\Documents\GitHub\eaglep3\Utilities\RefineRTDCRunTimes.py" --tripid 806-07 --locoid 4061 --swversion DE.1.0.9.0 --startMP 300:58615 --initTime 2017-06-07T07:06:49 --startdatetime 2017-06-07T07:08:51 --delay 1 --endMP 204:817 --enddatetime 2017-06-07T07:25:16 --enforcementcount 0 &gt;&gt;C:\Users\stu\Documents\GitHub\eaglep3-reporting\EC\2017-06-07-refined-times.txt</v>
      </c>
      <c r="AI161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{"issue":{"subject":"","project_id":79,"tracker_id":40,"status_id":1,"priority_id":2,"assigned_to_id":23,"start_date":"2017-06-07","description":"","custom_fields":[{"id":1,"name":"Subdivision","value":"NW"},{"id":4,"name":"Milepost","value":"0.0817"},{"id":17,"name":"Train ID","value":"806-07"},{"id":16,"name":"Locomotive ID","value":"4061"},{"id":130,"name":"Impact","value":""},{"id":150,"name":"Time of Event (Mountain Time)","value":"07:25:16"},{"id":151,"name":"Denver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84"/>
        <v>start /low /b %USERPROFILE%\Documents\GitHub\eaglep3\Utilities\DownloadLogsFromS3.py --loco 4061 --day 2017-06-07</v>
      </c>
      <c r="AN161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690</v>
      </c>
      <c r="B162" s="7">
        <v>4010</v>
      </c>
      <c r="C162" s="21" t="s">
        <v>204</v>
      </c>
      <c r="D162" s="21" t="s">
        <v>957</v>
      </c>
      <c r="E162" s="13">
        <v>42893.289363425924</v>
      </c>
      <c r="F162" s="13">
        <v>42893.306458333333</v>
      </c>
      <c r="G162" s="7">
        <v>0</v>
      </c>
      <c r="H162" s="21" t="s">
        <v>958</v>
      </c>
      <c r="I162" s="13">
        <v>42893.315486111111</v>
      </c>
      <c r="J162" s="7">
        <v>0</v>
      </c>
      <c r="K162" s="92" t="str">
        <f t="shared" si="71"/>
        <v>4009/4010</v>
      </c>
      <c r="L162" s="21" t="str">
        <f>VLOOKUP(A162,'Trips&amp;Operators'!$C$1:$G$99999,5,FALSE)</f>
        <v>GEBRETEKLE DAGNEW</v>
      </c>
      <c r="M162" s="6">
        <f t="shared" si="72"/>
        <v>9.0277777781011537E-3</v>
      </c>
      <c r="N162" s="7">
        <f t="shared" si="69"/>
        <v>13.000000000465661</v>
      </c>
      <c r="O162" s="7"/>
      <c r="P162" s="7"/>
      <c r="Q162" s="22"/>
      <c r="R162" s="173"/>
      <c r="S162" s="176">
        <f t="shared" si="86"/>
        <v>1</v>
      </c>
      <c r="T162" s="202" t="str">
        <f t="shared" si="73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74"/>
        <v>https://d0f6bd738d7f1b3e5a7ca70fe4ff75f0.us-east-1.aws.found.io/app/kibana#/discover/Steve-Slow-Train-Analysis-(2080s-and-2083s)?_g=(refreshInterval:(display:Off,pause:!f,section:0,value:0),time:(from:'2017-06-07T05:56:41-0600',mode:absolute,to:'2017-06-07T08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04" t="str">
        <f t="shared" si="87"/>
        <v>N</v>
      </c>
      <c r="X162" s="204">
        <f t="shared" si="70"/>
        <v>1</v>
      </c>
      <c r="Y162" s="204">
        <f t="shared" si="75"/>
        <v>0.1053</v>
      </c>
      <c r="Z162" s="204">
        <f t="shared" si="76"/>
        <v>5.8986000000000001</v>
      </c>
      <c r="AA162" s="204">
        <f t="shared" si="77"/>
        <v>5.7933000000000003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8"/>
        <v>0807-07</v>
      </c>
      <c r="AE162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62" s="77" t="str">
        <f t="shared" si="80"/>
        <v>"C:\Program Files (x86)\AstroGrep\AstroGrep.exe" /e /r /s /spath="%USERPROFILE%\AppData\Local\Temp\OnboardLogs" /stypes="app*4010*20170607*" /stext=" 13:.+((SYSTEM_STATE.+slice.+state.+changed )|(ment ac)|(multiple cpu faults)|(system.+state.+changed )|(\[timeout)|(PRM\|1\|D)|(kpr)|(kdp)|(train st.+moving)|(\|lc)|(penalty))"</v>
      </c>
      <c r="AG162" s="1" t="str">
        <f t="shared" si="81"/>
        <v>NW</v>
      </c>
      <c r="AH162" s="81" t="str">
        <f t="shared" si="82"/>
        <v>"%USERPROFILE%\Documents\GitHub\eaglep3\Utilities\RefineRTDCRunTimes.py" --tripid 807-07 --locoid 4010 --swversion DE.1.0.9.0 --startMP 204:1053 --initTime 2017-06-07T06:56:41 --startdatetime 2017-06-07T07:21:18 --delay 0 --endMP 300:58986 --enddatetime 2017-06-07T07:34:18 --enforcementcount 0 &gt;&gt;C:\Users\stu\Documents\GitHub\eaglep3-reporting\EC\2017-06-07-refined-times.txt</v>
      </c>
      <c r="AI162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{"issue":{"subject":"","project_id":79,"tracker_id":40,"status_id":1,"priority_id":2,"assigned_to_id":23,"start_date":"2017-06-07","description":"","custom_fields":[{"id":1,"name":"Subdivision","value":"NW"},{"id":4,"name":"Milepost","value":"5.8986"},{"id":17,"name":"Train ID","value":"807-07"},{"id":16,"name":"Locomotive ID","value":"4010"},{"id":130,"name":"Impact","value":""},{"id":150,"name":"Time of Event (Mountain Time)","value":"07:34:18"},{"id":151,"name":"Denver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84"/>
        <v>start /low /b %USERPROFILE%\Documents\GitHub\eaglep3\Utilities\DownloadLogsFromS3.py --loco 4010 --day 2017-06-07</v>
      </c>
      <c r="AN162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695</v>
      </c>
      <c r="B163" s="7">
        <v>4009</v>
      </c>
      <c r="C163" s="21" t="s">
        <v>204</v>
      </c>
      <c r="D163" s="21" t="s">
        <v>959</v>
      </c>
      <c r="E163" s="13">
        <v>42893.316620370373</v>
      </c>
      <c r="F163" s="13">
        <v>42893.318067129629</v>
      </c>
      <c r="G163" s="7">
        <v>1</v>
      </c>
      <c r="H163" s="21" t="s">
        <v>960</v>
      </c>
      <c r="I163" s="13">
        <v>42893.329791666663</v>
      </c>
      <c r="J163" s="7">
        <v>0</v>
      </c>
      <c r="K163" s="92" t="str">
        <f t="shared" si="71"/>
        <v>4009/4010</v>
      </c>
      <c r="L163" s="21" t="str">
        <f>VLOOKUP(A163,'Trips&amp;Operators'!$C$1:$G$99999,5,FALSE)</f>
        <v>GEBRETEKLE DAGNEW</v>
      </c>
      <c r="M163" s="6">
        <f t="shared" si="72"/>
        <v>1.1724537034751847E-2</v>
      </c>
      <c r="N163" s="7">
        <f t="shared" si="69"/>
        <v>16.88333333004266</v>
      </c>
      <c r="O163" s="7"/>
      <c r="P163" s="7"/>
      <c r="Q163" s="22"/>
      <c r="R163" s="173"/>
      <c r="S163" s="176">
        <f t="shared" si="86"/>
        <v>1</v>
      </c>
      <c r="T163" s="202" t="str">
        <f t="shared" si="73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74"/>
        <v>https://d0f6bd738d7f1b3e5a7ca70fe4ff75f0.us-east-1.aws.found.io/app/kibana#/discover/Steve-Slow-Train-Analysis-(2080s-and-2083s)?_g=(refreshInterval:(display:Off,pause:!f,section:0,value:0),time:(from:'2017-06-07T06:35:56-0600',mode:absolute,to:'2017-06-07T08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04" t="str">
        <f t="shared" si="87"/>
        <v>N</v>
      </c>
      <c r="X163" s="204">
        <f t="shared" si="70"/>
        <v>1</v>
      </c>
      <c r="Y163" s="204">
        <f t="shared" si="75"/>
        <v>5.8677000000000001</v>
      </c>
      <c r="Z163" s="204">
        <f t="shared" si="76"/>
        <v>7.0499999999999993E-2</v>
      </c>
      <c r="AA163" s="204">
        <f t="shared" si="77"/>
        <v>5.7972000000000001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8"/>
        <v>0808-07</v>
      </c>
      <c r="AE163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63" s="77" t="str">
        <f t="shared" si="80"/>
        <v>"C:\Program Files (x86)\AstroGrep\AstroGrep.exe" /e /r /s /spath="%USERPROFILE%\AppData\Local\Temp\OnboardLogs" /stypes="app*4009*20170607*" /stext=" 13:.+((SYSTEM_STATE.+slice.+state.+changed )|(ment ac)|(multiple cpu faults)|(system.+state.+changed )|(\[timeout)|(PRM\|1\|D)|(kpr)|(kdp)|(train st.+moving)|(\|lc)|(penalty))"</v>
      </c>
      <c r="AG163" s="1" t="str">
        <f t="shared" si="81"/>
        <v>NW</v>
      </c>
      <c r="AH163" s="81" t="str">
        <f t="shared" si="82"/>
        <v>"%USERPROFILE%\Documents\GitHub\eaglep3\Utilities\RefineRTDCRunTimes.py" --tripid 808-07 --locoid 4009 --swversion DE.1.0.9.0 --startMP 300:58677 --initTime 2017-06-07T07:35:56 --startdatetime 2017-06-07T07:38:01 --delay 1 --endMP 204:705 --enddatetime 2017-06-07T07:54:54 --enforcementcount 0 &gt;&gt;C:\Users\stu\Documents\GitHub\eaglep3-reporting\EC\2017-06-07-refined-times.txt</v>
      </c>
      <c r="AI163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{"issue":{"subject":"","project_id":79,"tracker_id":40,"status_id":1,"priority_id":2,"assigned_to_id":23,"start_date":"2017-06-07","description":"","custom_fields":[{"id":1,"name":"Subdivision","value":"NW"},{"id":4,"name":"Milepost","value":"0.0705"},{"id":17,"name":"Train ID","value":"808-07"},{"id":16,"name":"Locomotive ID","value":"4009"},{"id":130,"name":"Impact","value":""},{"id":150,"name":"Time of Event (Mountain Time)","value":"07:54:54"},{"id":151,"name":"Denver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84"/>
        <v>start /low /b %USERPROFILE%\Documents\GitHub\eaglep3\Utilities\DownloadLogsFromS3.py --loco 4009 --day 2017-06-07</v>
      </c>
      <c r="AN163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609</v>
      </c>
      <c r="B164" s="7">
        <v>4062</v>
      </c>
      <c r="C164" s="21" t="s">
        <v>204</v>
      </c>
      <c r="D164" s="21" t="s">
        <v>961</v>
      </c>
      <c r="E164" s="13">
        <v>42893.310231481482</v>
      </c>
      <c r="F164" s="13">
        <v>42893.327337962961</v>
      </c>
      <c r="G164" s="7">
        <v>1</v>
      </c>
      <c r="H164" s="21" t="s">
        <v>962</v>
      </c>
      <c r="I164" s="13">
        <v>42893.337905092594</v>
      </c>
      <c r="J164" s="7">
        <v>0</v>
      </c>
      <c r="K164" s="92" t="str">
        <f t="shared" si="71"/>
        <v>4061/4062</v>
      </c>
      <c r="L164" s="21" t="str">
        <f>VLOOKUP(A164,'Trips&amp;Operators'!$C$1:$G$99999,5,FALSE)</f>
        <v>MACDONALD THOMAS</v>
      </c>
      <c r="M164" s="6">
        <f t="shared" si="72"/>
        <v>1.0567129633272998E-2</v>
      </c>
      <c r="N164" s="7">
        <f t="shared" si="69"/>
        <v>15.216666671913117</v>
      </c>
      <c r="O164" s="7"/>
      <c r="P164" s="7"/>
      <c r="Q164" s="22"/>
      <c r="R164" s="173"/>
      <c r="S164" s="176">
        <f t="shared" si="86"/>
        <v>1</v>
      </c>
      <c r="T164" s="202" t="str">
        <f t="shared" si="73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74"/>
        <v>https://d0f6bd738d7f1b3e5a7ca70fe4ff75f0.us-east-1.aws.found.io/app/kibana#/discover/Steve-Slow-Train-Analysis-(2080s-and-2083s)?_g=(refreshInterval:(display:Off,pause:!f,section:0,value:0),time:(from:'2017-06-07T06:26:44-0600',mode:absolute,to:'2017-06-07T09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4" s="204" t="str">
        <f t="shared" si="87"/>
        <v>N</v>
      </c>
      <c r="X164" s="204">
        <f t="shared" si="70"/>
        <v>1</v>
      </c>
      <c r="Y164" s="204">
        <f t="shared" si="75"/>
        <v>0.1123</v>
      </c>
      <c r="Z164" s="204">
        <f t="shared" si="76"/>
        <v>5.8952</v>
      </c>
      <c r="AA164" s="204">
        <f t="shared" si="77"/>
        <v>5.7828999999999997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8"/>
        <v>0809-07</v>
      </c>
      <c r="AE164" s="80" t="str">
        <f t="shared" si="79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164" s="77" t="str">
        <f t="shared" si="80"/>
        <v>"C:\Program Files (x86)\AstroGrep\AstroGrep.exe" /e /r /s /spath="%USERPROFILE%\AppData\Local\Temp\OnboardLogs" /stypes="app*4062*20170607*" /stext=" 14:.+((SYSTEM_STATE.+slice.+state.+changed )|(ment ac)|(multiple cpu faults)|(system.+state.+changed )|(\[timeout)|(PRM\|1\|D)|(kpr)|(kdp)|(train st.+moving)|(\|lc)|(penalty))"</v>
      </c>
      <c r="AG164" s="1" t="str">
        <f t="shared" si="81"/>
        <v>NW</v>
      </c>
      <c r="AH164" s="81" t="str">
        <f t="shared" si="82"/>
        <v>"%USERPROFILE%\Documents\GitHub\eaglep3\Utilities\RefineRTDCRunTimes.py" --tripid 809-07 --locoid 4062 --swversion DE.1.0.9.0 --startMP 204:1123 --initTime 2017-06-07T07:26:44 --startdatetime 2017-06-07T07:51:22 --delay 1 --endMP 300:58952 --enddatetime 2017-06-07T08:06:35 --enforcementcount 0 &gt;&gt;C:\Users\stu\Documents\GitHub\eaglep3-reporting\EC\2017-06-07-refined-times.txt</v>
      </c>
      <c r="AI164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{"issue":{"subject":"","project_id":79,"tracker_id":40,"status_id":1,"priority_id":2,"assigned_to_id":23,"start_date":"2017-06-07","description":"","custom_fields":[{"id":1,"name":"Subdivision","value":"NW"},{"id":4,"name":"Milepost","value":"5.8952"},{"id":17,"name":"Train ID","value":"809-07"},{"id":16,"name":"Locomotive ID","value":"4062"},{"id":130,"name":"Impact","value":""},{"id":150,"name":"Time of Event (Mountain Time)","value":"08:06:35"},{"id":151,"name":"Denver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84"/>
        <v>start /low /b %USERPROFILE%\Documents\GitHub\eaglep3\Utilities\DownloadLogsFromS3.py --loco 4062 --day 2017-06-07</v>
      </c>
      <c r="AN164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702</v>
      </c>
      <c r="B165" s="7">
        <v>4061</v>
      </c>
      <c r="C165" s="21" t="s">
        <v>204</v>
      </c>
      <c r="D165" s="21" t="s">
        <v>539</v>
      </c>
      <c r="E165" s="13">
        <v>42893.338888888888</v>
      </c>
      <c r="F165" s="13">
        <v>42893.340069444443</v>
      </c>
      <c r="G165" s="7">
        <v>1</v>
      </c>
      <c r="H165" s="21" t="s">
        <v>963</v>
      </c>
      <c r="I165" s="13">
        <v>42893.351226851853</v>
      </c>
      <c r="J165" s="7">
        <v>0</v>
      </c>
      <c r="K165" s="92" t="str">
        <f t="shared" si="71"/>
        <v>4061/4062</v>
      </c>
      <c r="L165" s="21" t="str">
        <f>VLOOKUP(A165,'Trips&amp;Operators'!$C$1:$G$99999,5,FALSE)</f>
        <v>MACDONALD THOMAS</v>
      </c>
      <c r="M165" s="6">
        <f t="shared" si="72"/>
        <v>1.1157407410792075E-2</v>
      </c>
      <c r="N165" s="7">
        <f t="shared" si="69"/>
        <v>16.066666671540588</v>
      </c>
      <c r="O165" s="7"/>
      <c r="P165" s="7"/>
      <c r="Q165" s="22"/>
      <c r="R165" s="173"/>
      <c r="S165" s="176">
        <f t="shared" si="86"/>
        <v>1</v>
      </c>
      <c r="T165" s="202" t="str">
        <f t="shared" si="73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74"/>
        <v>https://d0f6bd738d7f1b3e5a7ca70fe4ff75f0.us-east-1.aws.found.io/app/kibana#/discover/Steve-Slow-Train-Analysis-(2080s-and-2083s)?_g=(refreshInterval:(display:Off,pause:!f,section:0,value:0),time:(from:'2017-06-07T07:08:00-0600',mode:absolute,to:'2017-06-07T09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5" s="204" t="str">
        <f t="shared" si="87"/>
        <v>N</v>
      </c>
      <c r="X165" s="204">
        <f t="shared" si="70"/>
        <v>1</v>
      </c>
      <c r="Y165" s="204">
        <f t="shared" si="75"/>
        <v>5.8639999999999999</v>
      </c>
      <c r="Z165" s="204">
        <f t="shared" si="76"/>
        <v>7.4300000000000005E-2</v>
      </c>
      <c r="AA165" s="204">
        <f t="shared" si="77"/>
        <v>5.7896999999999998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8"/>
        <v>0810-07</v>
      </c>
      <c r="AE165" s="80" t="str">
        <f t="shared" si="79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165" s="77" t="str">
        <f t="shared" si="80"/>
        <v>"C:\Program Files (x86)\AstroGrep\AstroGrep.exe" /e /r /s /spath="%USERPROFILE%\AppData\Local\Temp\OnboardLogs" /stypes="app*4061*20170607*" /stext=" 14:.+((SYSTEM_STATE.+slice.+state.+changed )|(ment ac)|(multiple cpu faults)|(system.+state.+changed )|(\[timeout)|(PRM\|1\|D)|(kpr)|(kdp)|(train st.+moving)|(\|lc)|(penalty))"</v>
      </c>
      <c r="AG165" s="1" t="str">
        <f t="shared" si="81"/>
        <v>NW</v>
      </c>
      <c r="AH165" s="81" t="str">
        <f t="shared" si="82"/>
        <v>"%USERPROFILE%\Documents\GitHub\eaglep3\Utilities\RefineRTDCRunTimes.py" --tripid 810-07 --locoid 4061 --swversion DE.1.0.9.0 --startMP 300:58640 --initTime 2017-06-07T08:08:00 --startdatetime 2017-06-07T08:09:42 --delay 1 --endMP 204:743 --enddatetime 2017-06-07T08:25:46 --enforcementcount 0 &gt;&gt;C:\Users\stu\Documents\GitHub\eaglep3-reporting\EC\2017-06-07-refined-times.txt</v>
      </c>
      <c r="AI165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{"issue":{"subject":"","project_id":79,"tracker_id":40,"status_id":1,"priority_id":2,"assigned_to_id":23,"start_date":"2017-06-07","description":"","custom_fields":[{"id":1,"name":"Subdivision","value":"NW"},{"id":4,"name":"Milepost","value":"0.0743"},{"id":17,"name":"Train ID","value":"810-07"},{"id":16,"name":"Locomotive ID","value":"4061"},{"id":130,"name":"Impact","value":""},{"id":150,"name":"Time of Event (Mountain Time)","value":"08:25:46"},{"id":151,"name":"Denver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84"/>
        <v>start /low /b %USERPROFILE%\Documents\GitHub\eaglep3\Utilities\DownloadLogsFromS3.py --loco 4061 --day 2017-06-07</v>
      </c>
      <c r="AN165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700</v>
      </c>
      <c r="B166" s="7">
        <v>4010</v>
      </c>
      <c r="C166" s="21" t="s">
        <v>204</v>
      </c>
      <c r="D166" s="21" t="s">
        <v>964</v>
      </c>
      <c r="E166" s="13">
        <v>42893.331076388888</v>
      </c>
      <c r="F166" s="13">
        <v>42893.348090277781</v>
      </c>
      <c r="G166" s="7">
        <v>1</v>
      </c>
      <c r="H166" s="21" t="s">
        <v>965</v>
      </c>
      <c r="I166" s="13">
        <v>42893.357361111113</v>
      </c>
      <c r="J166" s="7">
        <v>0</v>
      </c>
      <c r="K166" s="92" t="str">
        <f t="shared" si="71"/>
        <v>4009/4010</v>
      </c>
      <c r="L166" s="21" t="str">
        <f>VLOOKUP(A166,'Trips&amp;Operators'!$C$1:$G$99999,5,FALSE)</f>
        <v>GEBRETEKLE DAGNEW</v>
      </c>
      <c r="M166" s="6">
        <f t="shared" si="72"/>
        <v>9.2708333322661929E-3</v>
      </c>
      <c r="N166" s="7">
        <f t="shared" ref="N166:N197" si="88">24*60*SUM($M166:$M166)</f>
        <v>13.349999998463318</v>
      </c>
      <c r="O166" s="7"/>
      <c r="P166" s="7"/>
      <c r="Q166" s="22"/>
      <c r="R166" s="173"/>
      <c r="S166" s="176">
        <f t="shared" si="86"/>
        <v>1</v>
      </c>
      <c r="T166" s="202" t="str">
        <f t="shared" si="73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74"/>
        <v>https://d0f6bd738d7f1b3e5a7ca70fe4ff75f0.us-east-1.aws.found.io/app/kibana#/discover/Steve-Slow-Train-Analysis-(2080s-and-2083s)?_g=(refreshInterval:(display:Off,pause:!f,section:0,value:0),time:(from:'2017-06-07T06:56:45-0600',mode:absolute,to:'2017-06-07T09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204" t="str">
        <f t="shared" si="87"/>
        <v>N</v>
      </c>
      <c r="X166" s="204">
        <f t="shared" si="70"/>
        <v>1</v>
      </c>
      <c r="Y166" s="204">
        <f t="shared" si="75"/>
        <v>9.8599999999999993E-2</v>
      </c>
      <c r="Z166" s="204">
        <f t="shared" si="76"/>
        <v>5.8992000000000004</v>
      </c>
      <c r="AA166" s="204">
        <f t="shared" si="77"/>
        <v>5.8006000000000002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8"/>
        <v>0811-07</v>
      </c>
      <c r="AE166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66" s="77" t="str">
        <f t="shared" si="80"/>
        <v>"C:\Program Files (x86)\AstroGrep\AstroGrep.exe" /e /r /s /spath="%USERPROFILE%\AppData\Local\Temp\OnboardLogs" /stypes="app*4010*20170607*" /stext=" 14:.+((SYSTEM_STATE.+slice.+state.+changed )|(ment ac)|(multiple cpu faults)|(system.+state.+changed )|(\[timeout)|(PRM\|1\|D)|(kpr)|(kdp)|(train st.+moving)|(\|lc)|(penalty))"</v>
      </c>
      <c r="AG166" s="1" t="str">
        <f t="shared" si="81"/>
        <v>NW</v>
      </c>
      <c r="AH166" s="81" t="str">
        <f t="shared" si="82"/>
        <v>"%USERPROFILE%\Documents\GitHub\eaglep3\Utilities\RefineRTDCRunTimes.py" --tripid 811-07 --locoid 4010 --swversion DE.1.0.9.0 --startMP 204:986 --initTime 2017-06-07T07:56:45 --startdatetime 2017-06-07T08:21:15 --delay 1 --endMP 300:58992 --enddatetime 2017-06-07T08:34:36 --enforcementcount 0 &gt;&gt;C:\Users\stu\Documents\GitHub\eaglep3-reporting\EC\2017-06-07-refined-times.txt</v>
      </c>
      <c r="AI166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{"issue":{"subject":"","project_id":79,"tracker_id":40,"status_id":1,"priority_id":2,"assigned_to_id":23,"start_date":"2017-06-07","description":"","custom_fields":[{"id":1,"name":"Subdivision","value":"NW"},{"id":4,"name":"Milepost","value":"5.8992"},{"id":17,"name":"Train ID","value":"811-07"},{"id":16,"name":"Locomotive ID","value":"4010"},{"id":130,"name":"Impact","value":""},{"id":150,"name":"Time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84"/>
        <v>start /low /b %USERPROFILE%\Documents\GitHub\eaglep3\Utilities\DownloadLogsFromS3.py --loco 4010 --day 2017-06-07</v>
      </c>
      <c r="AN166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708</v>
      </c>
      <c r="B167" s="7">
        <v>4009</v>
      </c>
      <c r="C167" s="21" t="s">
        <v>204</v>
      </c>
      <c r="D167" s="21" t="s">
        <v>966</v>
      </c>
      <c r="E167" s="13">
        <v>42893.358553240738</v>
      </c>
      <c r="F167" s="13">
        <v>42893.360312500001</v>
      </c>
      <c r="G167" s="7">
        <v>2</v>
      </c>
      <c r="H167" s="21" t="s">
        <v>967</v>
      </c>
      <c r="I167" s="13">
        <v>42893.371342592596</v>
      </c>
      <c r="J167" s="7">
        <v>0</v>
      </c>
      <c r="K167" s="92" t="str">
        <f t="shared" si="71"/>
        <v>4009/4010</v>
      </c>
      <c r="L167" s="21" t="str">
        <f>VLOOKUP(A167,'Trips&amp;Operators'!$C$1:$G$99999,5,FALSE)</f>
        <v>GEBRETEKLE DAGNEW</v>
      </c>
      <c r="M167" s="6">
        <f t="shared" si="72"/>
        <v>1.1030092595319729E-2</v>
      </c>
      <c r="N167" s="7">
        <f t="shared" si="88"/>
        <v>15.88333333726041</v>
      </c>
      <c r="O167" s="7"/>
      <c r="P167" s="7"/>
      <c r="Q167" s="22"/>
      <c r="R167" s="173"/>
      <c r="S167" s="176">
        <f t="shared" si="86"/>
        <v>1</v>
      </c>
      <c r="T167" s="202" t="str">
        <f t="shared" si="73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74"/>
        <v>https://d0f6bd738d7f1b3e5a7ca70fe4ff75f0.us-east-1.aws.found.io/app/kibana#/discover/Steve-Slow-Train-Analysis-(2080s-and-2083s)?_g=(refreshInterval:(display:Off,pause:!f,section:0,value:0),time:(from:'2017-06-07T07:36:19-0600',mode:absolute,to:'2017-06-07T09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204" t="str">
        <f t="shared" si="87"/>
        <v>N</v>
      </c>
      <c r="X167" s="204">
        <f t="shared" si="70"/>
        <v>1</v>
      </c>
      <c r="Y167" s="204">
        <f t="shared" si="75"/>
        <v>5.8667999999999996</v>
      </c>
      <c r="Z167" s="204">
        <f t="shared" si="76"/>
        <v>7.1199999999999999E-2</v>
      </c>
      <c r="AA167" s="204">
        <f t="shared" si="77"/>
        <v>5.7955999999999994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8"/>
        <v>0812-07</v>
      </c>
      <c r="AE167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67" s="77" t="str">
        <f t="shared" si="80"/>
        <v>"C:\Program Files (x86)\AstroGrep\AstroGrep.exe" /e /r /s /spath="%USERPROFILE%\AppData\Local\Temp\OnboardLogs" /stypes="app*4009*20170607*" /stext=" 14:.+((SYSTEM_STATE.+slice.+state.+changed )|(ment ac)|(multiple cpu faults)|(system.+state.+changed )|(\[timeout)|(PRM\|1\|D)|(kpr)|(kdp)|(train st.+moving)|(\|lc)|(penalty))"</v>
      </c>
      <c r="AG167" s="1" t="str">
        <f t="shared" si="81"/>
        <v>NW</v>
      </c>
      <c r="AH167" s="81" t="str">
        <f t="shared" si="82"/>
        <v>"%USERPROFILE%\Documents\GitHub\eaglep3\Utilities\RefineRTDCRunTimes.py" --tripid 812-07 --locoid 4009 --swversion DE.1.0.9.0 --startMP 300:58668 --initTime 2017-06-07T08:36:19 --startdatetime 2017-06-07T08:38:51 --delay 2 --endMP 204:712 --enddatetime 2017-06-07T08:54:44 --enforcementcount 0 &gt;&gt;C:\Users\stu\Documents\GitHub\eaglep3-reporting\EC\2017-06-07-refined-times.txt</v>
      </c>
      <c r="AI167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{"issue":{"subject":"","project_id":79,"tracker_id":40,"status_id":1,"priority_id":2,"assigned_to_id":23,"start_date":"2017-06-07","description":"","custom_fields":[{"id":1,"name":"Subdivision","value":"NW"},{"id":4,"name":"Milepost","value":"0.0712"},{"id":17,"name":"Train ID","value":"812-07"},{"id":16,"name":"Locomotive ID","value":"4009"},{"id":130,"name":"Impact","value":""},{"id":150,"name":"Time of Event (Mountain Time)","value":"08:54:44"},{"id":151,"name":"Denver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84"/>
        <v>start /low /b %USERPROFILE%\Documents\GitHub\eaglep3\Utilities\DownloadLogsFromS3.py --loco 4009 --day 2017-06-07</v>
      </c>
      <c r="AN167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712</v>
      </c>
      <c r="B168" s="7">
        <v>4010</v>
      </c>
      <c r="C168" s="21" t="s">
        <v>204</v>
      </c>
      <c r="D168" s="21" t="s">
        <v>534</v>
      </c>
      <c r="E168" s="13">
        <v>42893.372708333336</v>
      </c>
      <c r="F168" s="13">
        <v>42893.390046296299</v>
      </c>
      <c r="G168" s="7">
        <v>1</v>
      </c>
      <c r="H168" s="21" t="s">
        <v>968</v>
      </c>
      <c r="I168" s="13">
        <v>42893.39984953704</v>
      </c>
      <c r="J168" s="7">
        <v>0</v>
      </c>
      <c r="K168" s="92" t="str">
        <f t="shared" si="71"/>
        <v>4009/4010</v>
      </c>
      <c r="L168" s="21" t="str">
        <f>VLOOKUP(A168,'Trips&amp;Operators'!$C$1:$G$99999,5,FALSE)</f>
        <v>GEBRETEKLE DAGNEW</v>
      </c>
      <c r="M168" s="6">
        <f t="shared" si="72"/>
        <v>9.8032407404389232E-3</v>
      </c>
      <c r="N168" s="7">
        <f t="shared" si="88"/>
        <v>14.116666666232049</v>
      </c>
      <c r="O168" s="7"/>
      <c r="P168" s="7"/>
      <c r="Q168" s="22"/>
      <c r="R168" s="173"/>
      <c r="S168" s="176">
        <f t="shared" si="86"/>
        <v>1</v>
      </c>
      <c r="T168" s="202" t="str">
        <f t="shared" si="73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74"/>
        <v>https://d0f6bd738d7f1b3e5a7ca70fe4ff75f0.us-east-1.aws.found.io/app/kibana#/discover/Steve-Slow-Train-Analysis-(2080s-and-2083s)?_g=(refreshInterval:(display:Off,pause:!f,section:0,value:0),time:(from:'2017-06-07T07:56:42-0600',mode:absolute,to:'2017-06-07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8" s="204" t="str">
        <f t="shared" si="87"/>
        <v>N</v>
      </c>
      <c r="X168" s="204">
        <f t="shared" ref="X168:X173" si="89">VALUE(LEFT(AD168,4))-VALUE(LEFT(AD167,4))</f>
        <v>1</v>
      </c>
      <c r="Y168" s="204">
        <f t="shared" si="75"/>
        <v>9.8500000000000004E-2</v>
      </c>
      <c r="Z168" s="204">
        <f t="shared" si="76"/>
        <v>5.8959999999999999</v>
      </c>
      <c r="AA168" s="204">
        <f t="shared" si="77"/>
        <v>5.7975000000000003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8"/>
        <v>0813-07</v>
      </c>
      <c r="AE168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68" s="77" t="str">
        <f t="shared" si="80"/>
        <v>"C:\Program Files (x86)\AstroGrep\AstroGrep.exe" /e /r /s /spath="%USERPROFILE%\AppData\Local\Temp\OnboardLogs" /stypes="app*4010*20170607*" /stext=" 15:.+((SYSTEM_STATE.+slice.+state.+changed )|(ment ac)|(multiple cpu faults)|(system.+state.+changed )|(\[timeout)|(PRM\|1\|D)|(kpr)|(kdp)|(train st.+moving)|(\|lc)|(penalty))"</v>
      </c>
      <c r="AG168" s="1" t="str">
        <f t="shared" si="81"/>
        <v>NW</v>
      </c>
      <c r="AH168" s="81" t="str">
        <f t="shared" si="82"/>
        <v>"%USERPROFILE%\Documents\GitHub\eaglep3\Utilities\RefineRTDCRunTimes.py" --tripid 813-07 --locoid 4010 --swversion DE.1.0.9.0 --startMP 204:985 --initTime 2017-06-07T08:56:42 --startdatetime 2017-06-07T09:21:40 --delay 1 --endMP 300:58960 --enddatetime 2017-06-07T09:35:47 --enforcementcount 0 &gt;&gt;C:\Users\stu\Documents\GitHub\eaglep3-reporting\EC\2017-06-07-refined-times.txt</v>
      </c>
      <c r="AI168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{"issue":{"subject":"","project_id":79,"tracker_id":40,"status_id":1,"priority_id":2,"assigned_to_id":23,"start_date":"2017-06-07","description":"","custom_fields":[{"id":1,"name":"Subdivision","value":"NW"},{"id":4,"name":"Milepost","value":"5.896"},{"id":17,"name":"Train ID","value":"813-07"},{"id":16,"name":"Locomotive ID","value":"4010"},{"id":130,"name":"Impact","value":""},{"id":150,"name":"Time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84"/>
        <v>start /low /b %USERPROFILE%\Documents\GitHub\eaglep3\Utilities\DownloadLogsFromS3.py --loco 4010 --day 2017-06-07</v>
      </c>
      <c r="AN168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718</v>
      </c>
      <c r="B169" s="7">
        <v>4009</v>
      </c>
      <c r="C169" s="21" t="s">
        <v>204</v>
      </c>
      <c r="D169" s="21" t="s">
        <v>969</v>
      </c>
      <c r="E169" s="13">
        <v>42893.401562500003</v>
      </c>
      <c r="F169" s="13">
        <v>42893.403182870374</v>
      </c>
      <c r="G169" s="7">
        <v>1</v>
      </c>
      <c r="H169" s="21" t="s">
        <v>970</v>
      </c>
      <c r="I169" s="13">
        <v>42893.413634259261</v>
      </c>
      <c r="J169" s="7">
        <v>0</v>
      </c>
      <c r="K169" s="92" t="str">
        <f t="shared" si="71"/>
        <v>4009/4010</v>
      </c>
      <c r="L169" s="21" t="str">
        <f>VLOOKUP(A169,'Trips&amp;Operators'!$C$1:$G$99999,5,FALSE)</f>
        <v>THOMPSON LESTER</v>
      </c>
      <c r="M169" s="6">
        <f t="shared" si="72"/>
        <v>1.0451388887304347E-2</v>
      </c>
      <c r="N169" s="7">
        <f t="shared" si="88"/>
        <v>15.04999999771826</v>
      </c>
      <c r="O169" s="7"/>
      <c r="P169" s="7"/>
      <c r="Q169" s="22"/>
      <c r="R169" s="173"/>
      <c r="S169" s="176">
        <f t="shared" si="86"/>
        <v>1</v>
      </c>
      <c r="T169" s="202" t="str">
        <f t="shared" si="73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74"/>
        <v>https://d0f6bd738d7f1b3e5a7ca70fe4ff75f0.us-east-1.aws.found.io/app/kibana#/discover/Steve-Slow-Train-Analysis-(2080s-and-2083s)?_g=(refreshInterval:(display:Off,pause:!f,section:0,value:0),time:(from:'2017-06-07T08:38:15-0600',mode:absolute,to:'2017-06-07T10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9" s="204" t="str">
        <f t="shared" si="87"/>
        <v>N</v>
      </c>
      <c r="X169" s="204">
        <f t="shared" si="89"/>
        <v>1</v>
      </c>
      <c r="Y169" s="204">
        <f t="shared" si="75"/>
        <v>5.8651</v>
      </c>
      <c r="Z169" s="204">
        <f t="shared" si="76"/>
        <v>7.1499999999999994E-2</v>
      </c>
      <c r="AA169" s="204">
        <f t="shared" si="77"/>
        <v>5.7935999999999996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8"/>
        <v>0814-07</v>
      </c>
      <c r="AE169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69" s="77" t="str">
        <f t="shared" si="80"/>
        <v>"C:\Program Files (x86)\AstroGrep\AstroGrep.exe" /e /r /s /spath="%USERPROFILE%\AppData\Local\Temp\OnboardLogs" /stypes="app*4009*20170607*" /stext=" 15:.+((SYSTEM_STATE.+slice.+state.+changed )|(ment ac)|(multiple cpu faults)|(system.+state.+changed )|(\[timeout)|(PRM\|1\|D)|(kpr)|(kdp)|(train st.+moving)|(\|lc)|(penalty))"</v>
      </c>
      <c r="AG169" s="1" t="str">
        <f t="shared" si="81"/>
        <v>NW</v>
      </c>
      <c r="AH169" s="81" t="str">
        <f t="shared" si="82"/>
        <v>"%USERPROFILE%\Documents\GitHub\eaglep3\Utilities\RefineRTDCRunTimes.py" --tripid 814-07 --locoid 4009 --swversion DE.1.0.9.0 --startMP 300:58651 --initTime 2017-06-07T09:38:15 --startdatetime 2017-06-07T09:40:35 --delay 1 --endMP 204:715 --enddatetime 2017-06-07T09:55:38 --enforcementcount 0 &gt;&gt;C:\Users\stu\Documents\GitHub\eaglep3-reporting\EC\2017-06-07-refined-times.txt</v>
      </c>
      <c r="AI169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{"issue":{"subject":"","project_id":79,"tracker_id":40,"status_id":1,"priority_id":2,"assigned_to_id":23,"start_date":"2017-06-07","description":"","custom_fields":[{"id":1,"name":"Subdivision","value":"NW"},{"id":4,"name":"Milepost","value":"0.0715"},{"id":17,"name":"Train ID","value":"814-07"},{"id":16,"name":"Locomotive ID","value":"4009"},{"id":130,"name":"Impact","value":""},{"id":150,"name":"Time of Event (Mountain Time)","value":"09:55:38"},{"id":151,"name":"Denver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84"/>
        <v>start /low /b %USERPROFILE%\Documents\GitHub\eaglep3\Utilities\DownloadLogsFromS3.py --loco 4009 --day 2017-06-07</v>
      </c>
      <c r="AN169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15:55:38"},{"id":29,"name":"Sharepoint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721</v>
      </c>
      <c r="B170" s="7">
        <v>4010</v>
      </c>
      <c r="C170" s="21" t="s">
        <v>204</v>
      </c>
      <c r="D170" s="21" t="s">
        <v>534</v>
      </c>
      <c r="E170" s="13">
        <v>42893.415509259263</v>
      </c>
      <c r="F170" s="13">
        <v>42893.431481481479</v>
      </c>
      <c r="G170" s="7">
        <v>2</v>
      </c>
      <c r="H170" s="21" t="s">
        <v>971</v>
      </c>
      <c r="I170" s="13">
        <v>42893.440717592595</v>
      </c>
      <c r="J170" s="7">
        <v>0</v>
      </c>
      <c r="K170" s="92" t="str">
        <f t="shared" si="71"/>
        <v>4009/4010</v>
      </c>
      <c r="L170" s="21" t="str">
        <f>VLOOKUP(A170,'Trips&amp;Operators'!$C$1:$G$99999,5,FALSE)</f>
        <v>GEBRETEKLE DAGNEW</v>
      </c>
      <c r="M170" s="6">
        <f t="shared" si="72"/>
        <v>9.236111116479151E-3</v>
      </c>
      <c r="N170" s="7">
        <f t="shared" si="88"/>
        <v>13.300000007729977</v>
      </c>
      <c r="O170" s="7"/>
      <c r="P170" s="7"/>
      <c r="Q170" s="22"/>
      <c r="R170" s="173"/>
      <c r="S170" s="176">
        <f t="shared" si="86"/>
        <v>1</v>
      </c>
      <c r="T170" s="202" t="str">
        <f t="shared" si="73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74"/>
        <v>https://d0f6bd738d7f1b3e5a7ca70fe4ff75f0.us-east-1.aws.found.io/app/kibana#/discover/Steve-Slow-Train-Analysis-(2080s-and-2083s)?_g=(refreshInterval:(display:Off,pause:!f,section:0,value:0),time:(from:'2017-06-07T08:58:20-0600',mode:absolute,to:'2017-06-07T11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204" t="str">
        <f t="shared" si="87"/>
        <v>N</v>
      </c>
      <c r="X170" s="204">
        <f t="shared" si="89"/>
        <v>1</v>
      </c>
      <c r="Y170" s="204">
        <f t="shared" si="75"/>
        <v>9.8500000000000004E-2</v>
      </c>
      <c r="Z170" s="204">
        <f t="shared" si="76"/>
        <v>5.8982000000000001</v>
      </c>
      <c r="AA170" s="204">
        <f t="shared" si="77"/>
        <v>5.7997000000000005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8"/>
        <v>0815-07</v>
      </c>
      <c r="AE170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70" s="77" t="str">
        <f t="shared" si="80"/>
        <v>"C:\Program Files (x86)\AstroGrep\AstroGrep.exe" /e /r /s /spath="%USERPROFILE%\AppData\Local\Temp\OnboardLogs" /stypes="app*4010*20170607*" /stext=" 16:.+((SYSTEM_STATE.+slice.+state.+changed )|(ment ac)|(multiple cpu faults)|(system.+state.+changed )|(\[timeout)|(PRM\|1\|D)|(kpr)|(kdp)|(train st.+moving)|(\|lc)|(penalty))"</v>
      </c>
      <c r="AG170" s="1" t="str">
        <f t="shared" si="81"/>
        <v>NW</v>
      </c>
      <c r="AH170" s="81" t="str">
        <f t="shared" si="82"/>
        <v>"%USERPROFILE%\Documents\GitHub\eaglep3\Utilities\RefineRTDCRunTimes.py" --tripid 815-07 --locoid 4010 --swversion DE.1.0.9.0 --startMP 204:985 --initTime 2017-06-07T09:58:20 --startdatetime 2017-06-07T10:21:20 --delay 2 --endMP 300:58982 --enddatetime 2017-06-07T10:34:38 --enforcementcount 0 &gt;&gt;C:\Users\stu\Documents\GitHub\eaglep3-reporting\EC\2017-06-07-refined-times.txt</v>
      </c>
      <c r="AI170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{"issue":{"subject":"","project_id":79,"tracker_id":40,"status_id":1,"priority_id":2,"assigned_to_id":23,"start_date":"2017-06-07","description":"","custom_fields":[{"id":1,"name":"Subdivision","value":"NW"},{"id":4,"name":"Milepost","value":"5.8982"},{"id":17,"name":"Train ID","value":"815-07"},{"id":16,"name":"Locomotive ID","value":"4010"},{"id":130,"name":"Impact","value":""},{"id":150,"name":"Time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84"/>
        <v>start /low /b %USERPROFILE%\Documents\GitHub\eaglep3\Utilities\DownloadLogsFromS3.py --loco 4010 --day 2017-06-07</v>
      </c>
      <c r="AN170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726</v>
      </c>
      <c r="B171" s="7">
        <v>4009</v>
      </c>
      <c r="C171" s="21" t="s">
        <v>204</v>
      </c>
      <c r="D171" s="21" t="s">
        <v>972</v>
      </c>
      <c r="E171" s="13">
        <v>42893.441967592589</v>
      </c>
      <c r="F171" s="13">
        <v>42893.443564814814</v>
      </c>
      <c r="G171" s="7">
        <v>1</v>
      </c>
      <c r="H171" s="21" t="s">
        <v>973</v>
      </c>
      <c r="I171" s="13">
        <v>42893.454594907409</v>
      </c>
      <c r="J171" s="7">
        <v>0</v>
      </c>
      <c r="K171" s="92" t="str">
        <f t="shared" si="71"/>
        <v>4009/4010</v>
      </c>
      <c r="L171" s="21" t="str">
        <f>VLOOKUP(A171,'Trips&amp;Operators'!$C$1:$G$99999,5,FALSE)</f>
        <v>GEBRETEKLE DAGNEW</v>
      </c>
      <c r="M171" s="6">
        <f t="shared" si="72"/>
        <v>1.1030092595319729E-2</v>
      </c>
      <c r="N171" s="7">
        <f t="shared" si="88"/>
        <v>15.88333333726041</v>
      </c>
      <c r="O171" s="7"/>
      <c r="P171" s="7"/>
      <c r="Q171" s="22"/>
      <c r="R171" s="173"/>
      <c r="S171" s="176">
        <f t="shared" si="86"/>
        <v>1</v>
      </c>
      <c r="T171" s="202" t="str">
        <f t="shared" si="73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74"/>
        <v>https://d0f6bd738d7f1b3e5a7ca70fe4ff75f0.us-east-1.aws.found.io/app/kibana#/discover/Steve-Slow-Train-Analysis-(2080s-and-2083s)?_g=(refreshInterval:(display:Off,pause:!f,section:0,value:0),time:(from:'2017-06-07T09:36:26-0600',mode:absolute,to:'2017-06-07T11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204" t="str">
        <f t="shared" si="87"/>
        <v>N</v>
      </c>
      <c r="X171" s="204">
        <f t="shared" si="89"/>
        <v>1</v>
      </c>
      <c r="Y171" s="204">
        <f t="shared" si="75"/>
        <v>5.8658000000000001</v>
      </c>
      <c r="Z171" s="204">
        <f t="shared" si="76"/>
        <v>7.0999999999999994E-2</v>
      </c>
      <c r="AA171" s="204">
        <f t="shared" si="77"/>
        <v>5.7948000000000004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8"/>
        <v>0816-07</v>
      </c>
      <c r="AE171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71" s="77" t="str">
        <f t="shared" si="80"/>
        <v>"C:\Program Files (x86)\AstroGrep\AstroGrep.exe" /e /r /s /spath="%USERPROFILE%\AppData\Local\Temp\OnboardLogs" /stypes="app*4009*20170607*" /stext=" 16:.+((SYSTEM_STATE.+slice.+state.+changed )|(ment ac)|(multiple cpu faults)|(system.+state.+changed )|(\[timeout)|(PRM\|1\|D)|(kpr)|(kdp)|(train st.+moving)|(\|lc)|(penalty))"</v>
      </c>
      <c r="AG171" s="1" t="str">
        <f t="shared" si="81"/>
        <v>NW</v>
      </c>
      <c r="AH171" s="81" t="str">
        <f t="shared" si="82"/>
        <v>"%USERPROFILE%\Documents\GitHub\eaglep3\Utilities\RefineRTDCRunTimes.py" --tripid 816-07 --locoid 4009 --swversion DE.1.0.9.0 --startMP 300:58658 --initTime 2017-06-07T10:36:26 --startdatetime 2017-06-07T10:38:44 --delay 1 --endMP 204:710 --enddatetime 2017-06-07T10:54:37 --enforcementcount 0 &gt;&gt;C:\Users\stu\Documents\GitHub\eaglep3-reporting\EC\2017-06-07-refined-times.txt</v>
      </c>
      <c r="AI171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{"issue":{"subject":"","project_id":79,"tracker_id":40,"status_id":1,"priority_id":2,"assigned_to_id":23,"start_date":"2017-06-07","description":"","custom_fields":[{"id":1,"name":"Subdivision","value":"NW"},{"id":4,"name":"Milepost","value":"0.071"},{"id":17,"name":"Train ID","value":"816-07"},{"id":16,"name":"Locomotive ID","value":"4009"},{"id":130,"name":"Impact","value":""},{"id":150,"name":"Time of Event (Mountain Time)","value":"10:54:37"},{"id":151,"name":"Denver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84"/>
        <v>start /low /b %USERPROFILE%\Documents\GitHub\eaglep3\Utilities\DownloadLogsFromS3.py --loco 4009 --day 2017-06-07</v>
      </c>
      <c r="AN171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735</v>
      </c>
      <c r="B172" s="7">
        <v>4010</v>
      </c>
      <c r="C172" s="21" t="s">
        <v>204</v>
      </c>
      <c r="D172" s="21" t="s">
        <v>590</v>
      </c>
      <c r="E172" s="13">
        <v>42893.455972222226</v>
      </c>
      <c r="F172" s="13">
        <v>42893.473090277781</v>
      </c>
      <c r="G172" s="7">
        <v>1</v>
      </c>
      <c r="H172" s="21" t="s">
        <v>974</v>
      </c>
      <c r="I172" s="13">
        <v>42893.482314814813</v>
      </c>
      <c r="J172" s="7">
        <v>0</v>
      </c>
      <c r="K172" s="92" t="str">
        <f t="shared" si="71"/>
        <v>4009/4010</v>
      </c>
      <c r="L172" s="21" t="str">
        <f>VLOOKUP(A172,'Trips&amp;Operators'!$C$1:$G$99999,5,FALSE)</f>
        <v>GEBRETEKLE DAGNEW</v>
      </c>
      <c r="M172" s="6">
        <f t="shared" si="72"/>
        <v>9.2245370324235409E-3</v>
      </c>
      <c r="N172" s="7">
        <f t="shared" si="88"/>
        <v>13.283333326689899</v>
      </c>
      <c r="O172" s="7"/>
      <c r="P172" s="7"/>
      <c r="Q172" s="22"/>
      <c r="R172" s="173"/>
      <c r="S172" s="176">
        <f t="shared" si="86"/>
        <v>1</v>
      </c>
      <c r="T172" s="202" t="str">
        <f t="shared" si="73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74"/>
        <v>https://d0f6bd738d7f1b3e5a7ca70fe4ff75f0.us-east-1.aws.found.io/app/kibana#/discover/Steve-Slow-Train-Analysis-(2080s-and-2083s)?_g=(refreshInterval:(display:Off,pause:!f,section:0,value:0),time:(from:'2017-06-07T09:56:36-0600',mode:absolute,to:'2017-06-07T12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204" t="str">
        <f t="shared" si="87"/>
        <v>N</v>
      </c>
      <c r="X172" s="204">
        <f t="shared" si="89"/>
        <v>1</v>
      </c>
      <c r="Y172" s="204">
        <f t="shared" si="75"/>
        <v>9.8799999999999999E-2</v>
      </c>
      <c r="Z172" s="204">
        <f t="shared" si="76"/>
        <v>5.8993000000000002</v>
      </c>
      <c r="AA172" s="204">
        <f t="shared" si="77"/>
        <v>5.8005000000000004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8"/>
        <v>0817-07</v>
      </c>
      <c r="AE172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72" s="77" t="str">
        <f t="shared" si="80"/>
        <v>"C:\Program Files (x86)\AstroGrep\AstroGrep.exe" /e /r /s /spath="%USERPROFILE%\AppData\Local\Temp\OnboardLogs" /stypes="app*4010*20170607*" /stext=" 17:.+((SYSTEM_STATE.+slice.+state.+changed )|(ment ac)|(multiple cpu faults)|(system.+state.+changed )|(\[timeout)|(PRM\|1\|D)|(kpr)|(kdp)|(train st.+moving)|(\|lc)|(penalty))"</v>
      </c>
      <c r="AG172" s="1" t="str">
        <f t="shared" si="81"/>
        <v>NW</v>
      </c>
      <c r="AH172" s="81" t="str">
        <f t="shared" si="82"/>
        <v>"%USERPROFILE%\Documents\GitHub\eaglep3\Utilities\RefineRTDCRunTimes.py" --tripid 817-07 --locoid 4010 --swversion DE.1.0.9.0 --startMP 204:988 --initTime 2017-06-07T10:56:36 --startdatetime 2017-06-07T11:21:15 --delay 1 --endMP 300:58993 --enddatetime 2017-06-07T11:34:32 --enforcementcount 0 &gt;&gt;C:\Users\stu\Documents\GitHub\eaglep3-reporting\EC\2017-06-07-refined-times.txt</v>
      </c>
      <c r="AI172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{"issue":{"subject":"","project_id":79,"tracker_id":40,"status_id":1,"priority_id":2,"assigned_to_id":23,"start_date":"2017-06-07","description":"","custom_fields":[{"id":1,"name":"Subdivision","value":"NW"},{"id":4,"name":"Milepost","value":"5.8993"},{"id":17,"name":"Train ID","value":"817-07"},{"id":16,"name":"Locomotive ID","value":"4010"},{"id":130,"name":"Impact","value":""},{"id":150,"name":"Time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84"/>
        <v>start /low /b %USERPROFILE%\Documents\GitHub\eaglep3\Utilities\DownloadLogsFromS3.py --loco 4010 --day 2017-06-07</v>
      </c>
      <c r="AN172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744</v>
      </c>
      <c r="B173" s="7">
        <v>4009</v>
      </c>
      <c r="C173" s="21" t="s">
        <v>204</v>
      </c>
      <c r="D173" s="21" t="s">
        <v>975</v>
      </c>
      <c r="E173" s="13">
        <v>42893.483368055553</v>
      </c>
      <c r="F173" s="13">
        <v>42893.484733796293</v>
      </c>
      <c r="G173" s="7">
        <v>1</v>
      </c>
      <c r="H173" s="21" t="s">
        <v>973</v>
      </c>
      <c r="I173" s="13">
        <v>42893.496180555558</v>
      </c>
      <c r="J173" s="7">
        <v>0</v>
      </c>
      <c r="K173" s="92" t="str">
        <f t="shared" si="71"/>
        <v>4009/4010</v>
      </c>
      <c r="L173" s="21" t="str">
        <f>VLOOKUP(A173,'Trips&amp;Operators'!$C$1:$G$99999,5,FALSE)</f>
        <v>GEBRETEKLE DAGNEW</v>
      </c>
      <c r="M173" s="6">
        <f t="shared" si="72"/>
        <v>1.1446759264799766E-2</v>
      </c>
      <c r="N173" s="7">
        <f t="shared" si="88"/>
        <v>16.483333341311663</v>
      </c>
      <c r="O173" s="7"/>
      <c r="P173" s="7"/>
      <c r="Q173" s="22"/>
      <c r="R173" s="173"/>
      <c r="S173" s="176">
        <f t="shared" si="86"/>
        <v>1</v>
      </c>
      <c r="T173" s="202" t="str">
        <f t="shared" si="73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74"/>
        <v>https://d0f6bd738d7f1b3e5a7ca70fe4ff75f0.us-east-1.aws.found.io/app/kibana#/discover/Steve-Slow-Train-Analysis-(2080s-and-2083s)?_g=(refreshInterval:(display:Off,pause:!f,section:0,value:0),time:(from:'2017-06-07T10:36:03-0600',mode:absolute,to:'2017-06-07T12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204" t="str">
        <f t="shared" si="87"/>
        <v>N</v>
      </c>
      <c r="X173" s="204">
        <f t="shared" si="89"/>
        <v>1</v>
      </c>
      <c r="Y173" s="204">
        <f t="shared" si="75"/>
        <v>5.8681000000000001</v>
      </c>
      <c r="Z173" s="204">
        <f t="shared" si="76"/>
        <v>7.0999999999999994E-2</v>
      </c>
      <c r="AA173" s="204">
        <f t="shared" si="77"/>
        <v>5.7971000000000004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8"/>
        <v>0818-07</v>
      </c>
      <c r="AE173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73" s="77" t="str">
        <f t="shared" si="80"/>
        <v>"C:\Program Files (x86)\AstroGrep\AstroGrep.exe" /e /r /s /spath="%USERPROFILE%\AppData\Local\Temp\OnboardLogs" /stypes="app*4009*20170607*" /stext=" 17:.+((SYSTEM_STATE.+slice.+state.+changed )|(ment ac)|(multiple cpu faults)|(system.+state.+changed )|(\[timeout)|(PRM\|1\|D)|(kpr)|(kdp)|(train st.+moving)|(\|lc)|(penalty))"</v>
      </c>
      <c r="AG173" s="1" t="str">
        <f t="shared" si="81"/>
        <v>NW</v>
      </c>
      <c r="AH173" s="81" t="str">
        <f t="shared" si="82"/>
        <v>"%USERPROFILE%\Documents\GitHub\eaglep3\Utilities\RefineRTDCRunTimes.py" --tripid 818-07 --locoid 4009 --swversion DE.1.0.9.0 --startMP 300:58681 --initTime 2017-06-07T11:36:03 --startdatetime 2017-06-07T11:38:01 --delay 1 --endMP 204:710 --enddatetime 2017-06-07T11:54:30 --enforcementcount 0 &gt;&gt;C:\Users\stu\Documents\GitHub\eaglep3-reporting\EC\2017-06-07-refined-times.txt</v>
      </c>
      <c r="AI173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{"issue":{"subject":"","project_id":79,"tracker_id":40,"status_id":1,"priority_id":2,"assigned_to_id":23,"start_date":"2017-06-07","description":"","custom_fields":[{"id":1,"name":"Subdivision","value":"NW"},{"id":4,"name":"Milepost","value":"0.071"},{"id":17,"name":"Train ID","value":"818-07"},{"id":16,"name":"Locomotive ID","value":"4009"},{"id":130,"name":"Impact","value":""},{"id":150,"name":"Time of Event (Mountain Time)","value":"11:54:30"},{"id":151,"name":"Denver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84"/>
        <v>start /low /b %USERPROFILE%\Documents\GitHub\eaglep3\Utilities\DownloadLogsFromS3.py --loco 4009 --day 2017-06-07</v>
      </c>
      <c r="AN173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747</v>
      </c>
      <c r="B174" s="7">
        <v>4010</v>
      </c>
      <c r="C174" s="21" t="s">
        <v>204</v>
      </c>
      <c r="D174" s="21" t="s">
        <v>976</v>
      </c>
      <c r="E174" s="13">
        <v>42893.497650462959</v>
      </c>
      <c r="F174" s="13">
        <v>42893.514756944445</v>
      </c>
      <c r="G174" s="7">
        <v>1</v>
      </c>
      <c r="H174" s="21" t="s">
        <v>971</v>
      </c>
      <c r="I174" s="13">
        <v>42893.523865740739</v>
      </c>
      <c r="J174" s="7">
        <v>0</v>
      </c>
      <c r="K174" s="92" t="str">
        <f t="shared" si="71"/>
        <v>4009/4010</v>
      </c>
      <c r="L174" s="21" t="str">
        <f>VLOOKUP(A174,'Trips&amp;Operators'!$C$1:$G$99999,5,FALSE)</f>
        <v>GEBRETEKLE DAGNEW</v>
      </c>
      <c r="M174" s="6">
        <f t="shared" si="72"/>
        <v>9.1087962937308475E-3</v>
      </c>
      <c r="N174" s="7">
        <f t="shared" si="88"/>
        <v>13.11666666297242</v>
      </c>
      <c r="O174" s="7"/>
      <c r="P174" s="7"/>
      <c r="Q174" s="22"/>
      <c r="R174" s="173"/>
      <c r="S174" s="176">
        <f t="shared" si="86"/>
        <v>1</v>
      </c>
      <c r="T174" s="202" t="str">
        <f t="shared" si="73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74"/>
        <v>https://d0f6bd738d7f1b3e5a7ca70fe4ff75f0.us-east-1.aws.found.io/app/kibana#/discover/Steve-Slow-Train-Analysis-(2080s-and-2083s)?_g=(refreshInterval:(display:Off,pause:!f,section:0,value:0),time:(from:'2017-06-07T10:56:37-0600',mode:absolute,to:'2017-06-07T13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204" t="str">
        <f t="shared" si="87"/>
        <v>N</v>
      </c>
      <c r="X174" s="204">
        <f t="shared" ref="X174:X205" si="90">VALUE(LEFT(AD174,4))-VALUE(LEFT(AD173,4))</f>
        <v>1</v>
      </c>
      <c r="Y174" s="204">
        <f t="shared" si="75"/>
        <v>9.8299999999999998E-2</v>
      </c>
      <c r="Z174" s="204">
        <f t="shared" si="76"/>
        <v>5.8982000000000001</v>
      </c>
      <c r="AA174" s="204">
        <f t="shared" si="77"/>
        <v>5.7999000000000001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8"/>
        <v>0819-07</v>
      </c>
      <c r="AE174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74" s="77" t="str">
        <f t="shared" si="80"/>
        <v>"C:\Program Files (x86)\AstroGrep\AstroGrep.exe" /e /r /s /spath="%USERPROFILE%\AppData\Local\Temp\OnboardLogs" /stypes="app*4010*20170607*" /stext=" 18:.+((SYSTEM_STATE.+slice.+state.+changed )|(ment ac)|(multiple cpu faults)|(system.+state.+changed )|(\[timeout)|(PRM\|1\|D)|(kpr)|(kdp)|(train st.+moving)|(\|lc)|(penalty))"</v>
      </c>
      <c r="AG174" s="1" t="str">
        <f t="shared" si="81"/>
        <v>NW</v>
      </c>
      <c r="AH174" s="81" t="str">
        <f t="shared" si="82"/>
        <v>"%USERPROFILE%\Documents\GitHub\eaglep3\Utilities\RefineRTDCRunTimes.py" --tripid 819-07 --locoid 4010 --swversion DE.1.0.9.0 --startMP 204:983 --initTime 2017-06-07T11:56:37 --startdatetime 2017-06-07T12:21:15 --delay 1 --endMP 300:58982 --enddatetime 2017-06-07T12:34:22 --enforcementcount 0 &gt;&gt;C:\Users\stu\Documents\GitHub\eaglep3-reporting\EC\2017-06-07-refined-times.txt</v>
      </c>
      <c r="AI174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{"issue":{"subject":"","project_id":79,"tracker_id":40,"status_id":1,"priority_id":2,"assigned_to_id":23,"start_date":"2017-06-07","description":"","custom_fields":[{"id":1,"name":"Subdivision","value":"NW"},{"id":4,"name":"Milepost","value":"5.8982"},{"id":17,"name":"Train ID","value":"819-07"},{"id":16,"name":"Locomotive ID","value":"4010"},{"id":130,"name":"Impact","value":""},{"id":150,"name":"Time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84"/>
        <v>start /low /b %USERPROFILE%\Documents\GitHub\eaglep3\Utilities\DownloadLogsFromS3.py --loco 4010 --day 2017-06-07</v>
      </c>
      <c r="AN174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757</v>
      </c>
      <c r="B175" s="7">
        <v>4009</v>
      </c>
      <c r="C175" s="21" t="s">
        <v>204</v>
      </c>
      <c r="D175" s="21" t="s">
        <v>977</v>
      </c>
      <c r="E175" s="13">
        <v>42893.525173611109</v>
      </c>
      <c r="F175" s="13">
        <v>42893.526585648149</v>
      </c>
      <c r="G175" s="7">
        <v>1</v>
      </c>
      <c r="H175" s="21" t="s">
        <v>532</v>
      </c>
      <c r="I175" s="13">
        <v>42893.538032407407</v>
      </c>
      <c r="J175" s="7">
        <v>0</v>
      </c>
      <c r="K175" s="92" t="str">
        <f t="shared" si="71"/>
        <v>4009/4010</v>
      </c>
      <c r="L175" s="21" t="str">
        <f>VLOOKUP(A175,'Trips&amp;Operators'!$C$1:$G$99999,5,FALSE)</f>
        <v>GEBRETEKLE DAGNEW</v>
      </c>
      <c r="M175" s="6">
        <f t="shared" si="72"/>
        <v>1.1446759257523809E-2</v>
      </c>
      <c r="N175" s="7">
        <f t="shared" si="88"/>
        <v>16.483333330834284</v>
      </c>
      <c r="O175" s="7"/>
      <c r="P175" s="7"/>
      <c r="Q175" s="22"/>
      <c r="R175" s="173"/>
      <c r="S175" s="176">
        <f t="shared" si="86"/>
        <v>1</v>
      </c>
      <c r="T175" s="202" t="str">
        <f t="shared" si="73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74"/>
        <v>https://d0f6bd738d7f1b3e5a7ca70fe4ff75f0.us-east-1.aws.found.io/app/kibana#/discover/Steve-Slow-Train-Analysis-(2080s-and-2083s)?_g=(refreshInterval:(display:Off,pause:!f,section:0,value:0),time:(from:'2017-06-07T11:36:15-0600',mode:absolute,to:'2017-06-07T13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204" t="str">
        <f t="shared" si="87"/>
        <v>N</v>
      </c>
      <c r="X175" s="204">
        <f t="shared" si="90"/>
        <v>1</v>
      </c>
      <c r="Y175" s="204">
        <f t="shared" si="75"/>
        <v>5.867</v>
      </c>
      <c r="Z175" s="204">
        <f t="shared" si="76"/>
        <v>7.0099999999999996E-2</v>
      </c>
      <c r="AA175" s="204">
        <f t="shared" si="77"/>
        <v>5.7968999999999999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8"/>
        <v>0820-07</v>
      </c>
      <c r="AE175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75" s="77" t="str">
        <f t="shared" si="80"/>
        <v>"C:\Program Files (x86)\AstroGrep\AstroGrep.exe" /e /r /s /spath="%USERPROFILE%\AppData\Local\Temp\OnboardLogs" /stypes="app*4009*20170607*" /stext=" 18:.+((SYSTEM_STATE.+slice.+state.+changed )|(ment ac)|(multiple cpu faults)|(system.+state.+changed )|(\[timeout)|(PRM\|1\|D)|(kpr)|(kdp)|(train st.+moving)|(\|lc)|(penalty))"</v>
      </c>
      <c r="AG175" s="1" t="str">
        <f t="shared" si="81"/>
        <v>NW</v>
      </c>
      <c r="AH175" s="81" t="str">
        <f t="shared" si="82"/>
        <v>"%USERPROFILE%\Documents\GitHub\eaglep3\Utilities\RefineRTDCRunTimes.py" --tripid 820-07 --locoid 4009 --swversion DE.1.0.9.0 --startMP 300:58670 --initTime 2017-06-07T12:36:15 --startdatetime 2017-06-07T12:38:17 --delay 1 --endMP 204:701 --enddatetime 2017-06-07T12:54:46 --enforcementcount 0 &gt;&gt;C:\Users\stu\Documents\GitHub\eaglep3-reporting\EC\2017-06-07-refined-times.txt</v>
      </c>
      <c r="AI175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{"issue":{"subject":"","project_id":79,"tracker_id":40,"status_id":1,"priority_id":2,"assigned_to_id":23,"start_date":"2017-06-07","description":"","custom_fields":[{"id":1,"name":"Subdivision","value":"NW"},{"id":4,"name":"Milepost","value":"0.0701"},{"id":17,"name":"Train ID","value":"820-07"},{"id":16,"name":"Locomotive ID","value":"4009"},{"id":130,"name":"Impact","value":""},{"id":150,"name":"Time of Event (Mountain Time)","value":"12:54:46"},{"id":151,"name":"Denver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84"/>
        <v>start /low /b %USERPROFILE%\Documents\GitHub\eaglep3\Utilities\DownloadLogsFromS3.py --loco 4009 --day 2017-06-07</v>
      </c>
      <c r="AN175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760</v>
      </c>
      <c r="B176" s="7">
        <v>4010</v>
      </c>
      <c r="C176" s="21" t="s">
        <v>204</v>
      </c>
      <c r="D176" s="21" t="s">
        <v>590</v>
      </c>
      <c r="E176" s="13">
        <v>42893.545775462961</v>
      </c>
      <c r="F176" s="13">
        <v>42893.556423611109</v>
      </c>
      <c r="G176" s="7">
        <v>1</v>
      </c>
      <c r="H176" s="21" t="s">
        <v>593</v>
      </c>
      <c r="I176" s="13">
        <v>42893.567372685182</v>
      </c>
      <c r="J176" s="7">
        <v>0</v>
      </c>
      <c r="K176" s="92" t="str">
        <f t="shared" si="71"/>
        <v>4009/4010</v>
      </c>
      <c r="L176" s="21" t="str">
        <f>VLOOKUP(A176,'Trips&amp;Operators'!$C$1:$G$99999,5,FALSE)</f>
        <v>LOPES KIMBERLY</v>
      </c>
      <c r="M176" s="6">
        <f t="shared" si="72"/>
        <v>1.0949074072414078E-2</v>
      </c>
      <c r="N176" s="7">
        <f t="shared" si="88"/>
        <v>15.766666664276272</v>
      </c>
      <c r="O176" s="7"/>
      <c r="P176" s="7"/>
      <c r="Q176" s="22"/>
      <c r="R176" s="173"/>
      <c r="S176" s="176">
        <f t="shared" si="86"/>
        <v>1</v>
      </c>
      <c r="T176" s="202" t="str">
        <f t="shared" si="73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74"/>
        <v>https://d0f6bd738d7f1b3e5a7ca70fe4ff75f0.us-east-1.aws.found.io/app/kibana#/discover/Steve-Slow-Train-Analysis-(2080s-and-2083s)?_g=(refreshInterval:(display:Off,pause:!f,section:0,value:0),time:(from:'2017-06-07T12:05:55-0600',mode:absolute,to:'2017-06-07T14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204" t="str">
        <f t="shared" si="87"/>
        <v>N</v>
      </c>
      <c r="X176" s="204">
        <f t="shared" si="90"/>
        <v>1</v>
      </c>
      <c r="Y176" s="204">
        <f t="shared" si="75"/>
        <v>9.8799999999999999E-2</v>
      </c>
      <c r="Z176" s="204">
        <f t="shared" si="76"/>
        <v>5.8936999999999999</v>
      </c>
      <c r="AA176" s="204">
        <f t="shared" si="77"/>
        <v>5.7949000000000002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8"/>
        <v>0821-07</v>
      </c>
      <c r="AE176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76" s="77" t="str">
        <f t="shared" si="80"/>
        <v>"C:\Program Files (x86)\AstroGrep\AstroGrep.exe" /e /r /s /spath="%USERPROFILE%\AppData\Local\Temp\OnboardLogs" /stypes="app*4010*20170607*" /stext=" 19:.+((SYSTEM_STATE.+slice.+state.+changed )|(ment ac)|(multiple cpu faults)|(system.+state.+changed )|(\[timeout)|(PRM\|1\|D)|(kpr)|(kdp)|(train st.+moving)|(\|lc)|(penalty))"</v>
      </c>
      <c r="AG176" s="1" t="str">
        <f t="shared" si="81"/>
        <v>NW</v>
      </c>
      <c r="AH176" s="81" t="str">
        <f t="shared" si="82"/>
        <v>"%USERPROFILE%\Documents\GitHub\eaglep3\Utilities\RefineRTDCRunTimes.py" --tripid 821-07 --locoid 4010 --swversion DE.1.0.9.0 --startMP 204:988 --initTime 2017-06-07T13:05:55 --startdatetime 2017-06-07T13:21:15 --delay 1 --endMP 300:58937 --enddatetime 2017-06-07T13:37:01 --enforcementcount 0 &gt;&gt;C:\Users\stu\Documents\GitHub\eaglep3-reporting\EC\2017-06-07-refined-times.txt</v>
      </c>
      <c r="AI176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{"issue":{"subject":"","project_id":79,"tracker_id":40,"status_id":1,"priority_id":2,"assigned_to_id":23,"start_date":"2017-06-07","description":"","custom_fields":[{"id":1,"name":"Subdivision","value":"NW"},{"id":4,"name":"Milepost","value":"5.8937"},{"id":17,"name":"Train ID","value":"821-07"},{"id":16,"name":"Locomotive ID","value":"4010"},{"id":130,"name":"Impact","value":""},{"id":150,"name":"Time of Event (Mountain Time)","value":"13:37:01"},{"id":151,"name":"Denver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84"/>
        <v>start /low /b %USERPROFILE%\Documents\GitHub\eaglep3\Utilities\DownloadLogsFromS3.py --loco 4010 --day 2017-06-07</v>
      </c>
      <c r="AN176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19:37:01"},{"id":29,"name":"Sharepoint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766</v>
      </c>
      <c r="B177" s="7">
        <v>4009</v>
      </c>
      <c r="C177" s="21" t="s">
        <v>204</v>
      </c>
      <c r="D177" s="21" t="s">
        <v>533</v>
      </c>
      <c r="E177" s="13">
        <v>42893.568182870367</v>
      </c>
      <c r="F177" s="13">
        <v>42893.569652777776</v>
      </c>
      <c r="G177" s="7">
        <v>1</v>
      </c>
      <c r="H177" s="21" t="s">
        <v>973</v>
      </c>
      <c r="I177" s="13">
        <v>42893.579826388886</v>
      </c>
      <c r="J177" s="7">
        <v>0</v>
      </c>
      <c r="K177" s="92" t="str">
        <f t="shared" si="71"/>
        <v>4009/4010</v>
      </c>
      <c r="L177" s="21" t="str">
        <f>VLOOKUP(A177,'Trips&amp;Operators'!$C$1:$G$99999,5,FALSE)</f>
        <v>LOPES KIMBERLY</v>
      </c>
      <c r="M177" s="6">
        <f t="shared" si="72"/>
        <v>1.0173611110076308E-2</v>
      </c>
      <c r="N177" s="7">
        <f t="shared" si="88"/>
        <v>14.649999998509884</v>
      </c>
      <c r="O177" s="7"/>
      <c r="P177" s="7"/>
      <c r="Q177" s="22"/>
      <c r="R177" s="173"/>
      <c r="S177" s="176">
        <f t="shared" si="86"/>
        <v>1</v>
      </c>
      <c r="T177" s="202" t="str">
        <f t="shared" si="73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74"/>
        <v>https://d0f6bd738d7f1b3e5a7ca70fe4ff75f0.us-east-1.aws.found.io/app/kibana#/discover/Steve-Slow-Train-Analysis-(2080s-and-2083s)?_g=(refreshInterval:(display:Off,pause:!f,section:0,value:0),time:(from:'2017-06-07T12:38:11-0600',mode:absolute,to:'2017-06-07T14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204" t="str">
        <f t="shared" si="87"/>
        <v>N</v>
      </c>
      <c r="X177" s="204">
        <f t="shared" si="90"/>
        <v>1</v>
      </c>
      <c r="Y177" s="204">
        <f t="shared" si="75"/>
        <v>5.8624000000000001</v>
      </c>
      <c r="Z177" s="204">
        <f t="shared" si="76"/>
        <v>7.0999999999999994E-2</v>
      </c>
      <c r="AA177" s="204">
        <f t="shared" si="77"/>
        <v>5.7914000000000003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8"/>
        <v>0822-07</v>
      </c>
      <c r="AE177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77" s="77" t="str">
        <f t="shared" si="80"/>
        <v>"C:\Program Files (x86)\AstroGrep\AstroGrep.exe" /e /r /s /spath="%USERPROFILE%\AppData\Local\Temp\OnboardLogs" /stypes="app*4009*20170607*" /stext=" 19:.+((SYSTEM_STATE.+slice.+state.+changed )|(ment ac)|(multiple cpu faults)|(system.+state.+changed )|(\[timeout)|(PRM\|1\|D)|(kpr)|(kdp)|(train st.+moving)|(\|lc)|(penalty))"</v>
      </c>
      <c r="AG177" s="1" t="str">
        <f t="shared" si="81"/>
        <v>NW</v>
      </c>
      <c r="AH177" s="81" t="str">
        <f t="shared" si="82"/>
        <v>"%USERPROFILE%\Documents\GitHub\eaglep3\Utilities\RefineRTDCRunTimes.py" --tripid 822-07 --locoid 4009 --swversion DE.1.0.9.0 --startMP 300:58624 --initTime 2017-06-07T13:38:11 --startdatetime 2017-06-07T13:40:18 --delay 1 --endMP 204:710 --enddatetime 2017-06-07T13:54:57 --enforcementcount 0 &gt;&gt;C:\Users\stu\Documents\GitHub\eaglep3-reporting\EC\2017-06-07-refined-times.txt</v>
      </c>
      <c r="AI177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{"issue":{"subject":"","project_id":79,"tracker_id":40,"status_id":1,"priority_id":2,"assigned_to_id":23,"start_date":"2017-06-07","description":"","custom_fields":[{"id":1,"name":"Subdivision","value":"NW"},{"id":4,"name":"Milepost","value":"0.071"},{"id":17,"name":"Train ID","value":"822-07"},{"id":16,"name":"Locomotive ID","value":"4009"},{"id":130,"name":"Impact","value":""},{"id":150,"name":"Time of Event (Mountain Time)","value":"13:54:57"},{"id":151,"name":"Denver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84"/>
        <v>start /low /b %USERPROFILE%\Documents\GitHub\eaglep3\Utilities\DownloadLogsFromS3.py --loco 4009 --day 2017-06-07</v>
      </c>
      <c r="AN177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19:54:57"},{"id":29,"name":"Sharepoint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770</v>
      </c>
      <c r="B178" s="7">
        <v>4010</v>
      </c>
      <c r="C178" s="21" t="s">
        <v>204</v>
      </c>
      <c r="D178" s="21" t="s">
        <v>941</v>
      </c>
      <c r="E178" s="13">
        <v>42893.583067129628</v>
      </c>
      <c r="F178" s="13">
        <v>42893.598611111112</v>
      </c>
      <c r="G178" s="7">
        <v>1</v>
      </c>
      <c r="H178" s="21" t="s">
        <v>542</v>
      </c>
      <c r="I178" s="13">
        <v>42893.608020833337</v>
      </c>
      <c r="J178" s="7">
        <v>0</v>
      </c>
      <c r="K178" s="92" t="str">
        <f t="shared" si="71"/>
        <v>4009/4010</v>
      </c>
      <c r="L178" s="21" t="str">
        <f>VLOOKUP(A178,'Trips&amp;Operators'!$C$1:$G$99999,5,FALSE)</f>
        <v>SANTIZO D. EDY</v>
      </c>
      <c r="M178" s="6">
        <f t="shared" si="72"/>
        <v>9.4097222245181911E-3</v>
      </c>
      <c r="N178" s="7">
        <f t="shared" si="88"/>
        <v>13.550000003306195</v>
      </c>
      <c r="O178" s="7"/>
      <c r="P178" s="7"/>
      <c r="Q178" s="22"/>
      <c r="R178" s="173" t="s">
        <v>1046</v>
      </c>
      <c r="S178" s="176">
        <f t="shared" si="86"/>
        <v>1</v>
      </c>
      <c r="T178" s="202" t="str">
        <f t="shared" si="73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74"/>
        <v>https://d0f6bd738d7f1b3e5a7ca70fe4ff75f0.us-east-1.aws.found.io/app/kibana#/discover/Steve-Slow-Train-Analysis-(2080s-and-2083s)?_g=(refreshInterval:(display:Off,pause:!f,section:0,value:0),time:(from:'2017-06-07T12:59:37-0600',mode:absolute,to:'2017-06-07T15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204" t="str">
        <f t="shared" si="87"/>
        <v>N</v>
      </c>
      <c r="X178" s="204">
        <f t="shared" si="90"/>
        <v>1</v>
      </c>
      <c r="Y178" s="204">
        <v>9.8799999999999999E-2</v>
      </c>
      <c r="Z178" s="204">
        <v>5.8936999999999999</v>
      </c>
      <c r="AA178" s="204">
        <f t="shared" si="77"/>
        <v>5.7949000000000002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8"/>
        <v>0823-07</v>
      </c>
      <c r="AE178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78" s="77" t="str">
        <f t="shared" si="80"/>
        <v>"C:\Program Files (x86)\AstroGrep\AstroGrep.exe" /e /r /s /spath="%USERPROFILE%\AppData\Local\Temp\OnboardLogs" /stypes="app*4010*20170607*" /stext=" 20:.+((SYSTEM_STATE.+slice.+state.+changed )|(ment ac)|(multiple cpu faults)|(system.+state.+changed )|(\[timeout)|(PRM\|1\|D)|(kpr)|(kdp)|(train st.+moving)|(\|lc)|(penalty))"</v>
      </c>
      <c r="AG178" s="1" t="str">
        <f t="shared" si="81"/>
        <v>NW</v>
      </c>
      <c r="AH178" s="81" t="str">
        <f t="shared" si="82"/>
        <v>"%USERPROFILE%\Documents\GitHub\eaglep3\Utilities\RefineRTDCRunTimes.py" --tripid 823-07 --locoid 4010 --swversion DE.1.0.9.0 --startMP 204:993 --initTime 2017-06-07T13:59:37 --startdatetime 2017-06-07T14:22:00 --delay 1 --endMP 300:58926 --enddatetime 2017-06-07T14:35:33 --enforcementcount 0 &gt;&gt;C:\Users\stu\Documents\GitHub\eaglep3-reporting\EC\2017-06-07-refined-times.txt</v>
      </c>
      <c r="AI178" s="99" t="str">
        <f t="shared" si="83"/>
        <v>echo {"issue":{"subject":"Ran as trip 65 due to operator swap, delayed by poor GPS at DUS","project_id":79,"tracker_id":40,"status_id":1,"priority_id":2,"assigned_to_id":23,"start_date":"2017-06-07","description":"","custom_fields":[{"id":1,"name":"Subdivision","value":"NW"},{"id":4,"name":"Milepost","value":"5.8937"},{"id":17,"name":"Train ID","value":"823-07"},{"id":16,"name":"Locomotive ID","value":"4010"},{"id":130,"name":"Impact","value":""},{"id":150,"name":"Time of Event (Mountain Time)","value":"14:35:33"},{"id":151,"name":"Denver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84"/>
        <v>start /low /b %USERPROFILE%\Documents\GitHub\eaglep3\Utilities\DownloadLogsFromS3.py --loco 4010 --day 2017-06-07</v>
      </c>
      <c r="AN178" s="154" t="str">
        <f t="shared" si="85"/>
        <v>echo {"issue":{"subject":"Ran as trip 65 due to operator swap, delayed by poor GPS at DUS","project_id":30,"tracker_id":4,"status_id":1,"priority_id":1,"assigned_to_id":10,"start_date":"2017-06-07","description":"","custom_fields":[{"id":30,"name":"Category","value":"Issue"},{"id":3,"name":"Functional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625</v>
      </c>
      <c r="B179" s="7">
        <v>4009</v>
      </c>
      <c r="C179" s="21" t="s">
        <v>204</v>
      </c>
      <c r="D179" s="21" t="s">
        <v>978</v>
      </c>
      <c r="E179" s="13">
        <v>42893.608912037038</v>
      </c>
      <c r="F179" s="13">
        <v>42893.610243055555</v>
      </c>
      <c r="G179" s="7">
        <v>0</v>
      </c>
      <c r="H179" s="21" t="s">
        <v>530</v>
      </c>
      <c r="I179" s="13">
        <v>42893.621793981481</v>
      </c>
      <c r="J179" s="7">
        <v>0</v>
      </c>
      <c r="K179" s="92" t="str">
        <f t="shared" si="71"/>
        <v>4009/4010</v>
      </c>
      <c r="L179" s="21" t="str">
        <f>VLOOKUP(A179,'Trips&amp;Operators'!$C$1:$G$99999,5,FALSE)</f>
        <v>LOPES KIMBERLY</v>
      </c>
      <c r="M179" s="6">
        <f t="shared" si="72"/>
        <v>1.1550925926712807E-2</v>
      </c>
      <c r="N179" s="7">
        <f t="shared" si="88"/>
        <v>16.633333334466442</v>
      </c>
      <c r="O179" s="7"/>
      <c r="P179" s="7"/>
      <c r="Q179" s="22"/>
      <c r="R179" s="173"/>
      <c r="S179" s="176">
        <f t="shared" si="86"/>
        <v>1</v>
      </c>
      <c r="T179" s="202" t="str">
        <f t="shared" si="73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74"/>
        <v>https://d0f6bd738d7f1b3e5a7ca70fe4ff75f0.us-east-1.aws.found.io/app/kibana#/discover/Steve-Slow-Train-Analysis-(2080s-and-2083s)?_g=(refreshInterval:(display:Off,pause:!f,section:0,value:0),time:(from:'2017-06-07T13:36:50-0600',mode:absolute,to:'2017-06-07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204" t="str">
        <f t="shared" si="87"/>
        <v>N</v>
      </c>
      <c r="X179" s="204">
        <f t="shared" si="90"/>
        <v>1</v>
      </c>
      <c r="Y179" s="204">
        <f t="shared" ref="Y179:Y210" si="91">RIGHT(D179,LEN(D179)-4)/10000</f>
        <v>5.8609</v>
      </c>
      <c r="Z179" s="204">
        <f t="shared" ref="Z179:Z210" si="92">RIGHT(H179,LEN(H179)-4)/10000</f>
        <v>6.9400000000000003E-2</v>
      </c>
      <c r="AA179" s="204">
        <f t="shared" si="77"/>
        <v>5.7915000000000001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8"/>
        <v>0824-07</v>
      </c>
      <c r="AE179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79" s="77" t="str">
        <f t="shared" si="80"/>
        <v>"C:\Program Files (x86)\AstroGrep\AstroGrep.exe" /e /r /s /spath="%USERPROFILE%\AppData\Local\Temp\OnboardLogs" /stypes="app*4009*20170607*" /stext=" 20:.+((SYSTEM_STATE.+slice.+state.+changed )|(ment ac)|(multiple cpu faults)|(system.+state.+changed )|(\[timeout)|(PRM\|1\|D)|(kpr)|(kdp)|(train st.+moving)|(\|lc)|(penalty))"</v>
      </c>
      <c r="AG179" s="1" t="str">
        <f t="shared" si="81"/>
        <v>NW</v>
      </c>
      <c r="AH179" s="81" t="str">
        <f t="shared" si="82"/>
        <v>"%USERPROFILE%\Documents\GitHub\eaglep3\Utilities\RefineRTDCRunTimes.py" --tripid 824-07 --locoid 4009 --swversion DE.1.0.9.0 --startMP 300:58609 --initTime 2017-06-07T14:36:50 --startdatetime 2017-06-07T14:38:45 --delay 0 --endMP 204:694 --enddatetime 2017-06-07T14:55:23 --enforcementcount 0 &gt;&gt;C:\Users\stu\Documents\GitHub\eaglep3-reporting\EC\2017-06-07-refined-times.txt</v>
      </c>
      <c r="AI179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{"issue":{"subject":"","project_id":79,"tracker_id":40,"status_id":1,"priority_id":2,"assigned_to_id":23,"start_date":"2017-06-07","description":"","custom_fields":[{"id":1,"name":"Subdivision","value":"NW"},{"id":4,"name":"Milepost","value":"0.0694"},{"id":17,"name":"Train ID","value":"824-07"},{"id":16,"name":"Locomotive ID","value":"4009"},{"id":130,"name":"Impact","value":""},{"id":150,"name":"Time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84"/>
        <v>start /low /b %USERPROFILE%\Documents\GitHub\eaglep3\Utilities\DownloadLogsFromS3.py --loco 4009 --day 2017-06-07</v>
      </c>
      <c r="AN179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778</v>
      </c>
      <c r="B180" s="7">
        <v>4010</v>
      </c>
      <c r="C180" s="21" t="s">
        <v>204</v>
      </c>
      <c r="D180" s="21" t="s">
        <v>950</v>
      </c>
      <c r="E180" s="13">
        <v>42893.63585648148</v>
      </c>
      <c r="F180" s="13">
        <v>42893.639756944445</v>
      </c>
      <c r="G180" s="7">
        <v>1</v>
      </c>
      <c r="H180" s="21" t="s">
        <v>589</v>
      </c>
      <c r="I180" s="13">
        <v>42893.649791666663</v>
      </c>
      <c r="J180" s="7">
        <v>0</v>
      </c>
      <c r="K180" s="92" t="str">
        <f t="shared" si="71"/>
        <v>4009/4010</v>
      </c>
      <c r="L180" s="21" t="str">
        <f>VLOOKUP(A180,'Trips&amp;Operators'!$C$1:$G$99999,5,FALSE)</f>
        <v>LOPES KIMBERLY</v>
      </c>
      <c r="M180" s="6">
        <f t="shared" si="72"/>
        <v>1.003472221782431E-2</v>
      </c>
      <c r="N180" s="7">
        <f t="shared" si="88"/>
        <v>14.449999993667006</v>
      </c>
      <c r="O180" s="7"/>
      <c r="P180" s="7"/>
      <c r="Q180" s="22"/>
      <c r="R180" s="173"/>
      <c r="S180" s="176">
        <f t="shared" si="86"/>
        <v>1</v>
      </c>
      <c r="T180" s="202" t="str">
        <f t="shared" si="73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74"/>
        <v>https://d0f6bd738d7f1b3e5a7ca70fe4ff75f0.us-east-1.aws.found.io/app/kibana#/discover/Steve-Slow-Train-Analysis-(2080s-and-2083s)?_g=(refreshInterval:(display:Off,pause:!f,section:0,value:0),time:(from:'2017-06-07T14:15:38-0600',mode:absolute,to:'2017-06-07T16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204" t="str">
        <f t="shared" si="87"/>
        <v>N</v>
      </c>
      <c r="X180" s="204">
        <f t="shared" si="90"/>
        <v>1</v>
      </c>
      <c r="Y180" s="204">
        <f t="shared" si="91"/>
        <v>9.7199999999999995E-2</v>
      </c>
      <c r="Z180" s="204">
        <f t="shared" si="92"/>
        <v>5.8930999999999996</v>
      </c>
      <c r="AA180" s="204">
        <f t="shared" si="77"/>
        <v>5.7958999999999996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8"/>
        <v>0825-07</v>
      </c>
      <c r="AE180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80" s="77" t="str">
        <f t="shared" si="80"/>
        <v>"C:\Program Files (x86)\AstroGrep\AstroGrep.exe" /e /r /s /spath="%USERPROFILE%\AppData\Local\Temp\OnboardLogs" /stypes="app*4010*20170607*" /stext=" 21:.+((SYSTEM_STATE.+slice.+state.+changed )|(ment ac)|(multiple cpu faults)|(system.+state.+changed )|(\[timeout)|(PRM\|1\|D)|(kpr)|(kdp)|(train st.+moving)|(\|lc)|(penalty))"</v>
      </c>
      <c r="AG180" s="1" t="str">
        <f t="shared" si="81"/>
        <v>NW</v>
      </c>
      <c r="AH180" s="81" t="str">
        <f t="shared" si="82"/>
        <v>"%USERPROFILE%\Documents\GitHub\eaglep3\Utilities\RefineRTDCRunTimes.py" --tripid 825-07 --locoid 4010 --swversion DE.1.0.9.0 --startMP 204:972 --initTime 2017-06-07T15:15:38 --startdatetime 2017-06-07T15:21:15 --delay 1 --endMP 300:58931 --enddatetime 2017-06-07T15:35:42 --enforcementcount 0 &gt;&gt;C:\Users\stu\Documents\GitHub\eaglep3-reporting\EC\2017-06-07-refined-times.txt</v>
      </c>
      <c r="AI180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{"issue":{"subject":"","project_id":79,"tracker_id":40,"status_id":1,"priority_id":2,"assigned_to_id":23,"start_date":"2017-06-07","description":"","custom_fields":[{"id":1,"name":"Subdivision","value":"NW"},{"id":4,"name":"Milepost","value":"5.8931"},{"id":17,"name":"Train ID","value":"825-07"},{"id":16,"name":"Locomotive ID","value":"4010"},{"id":130,"name":"Impact","value":""},{"id":150,"name":"Time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84"/>
        <v>start /low /b %USERPROFILE%\Documents\GitHub\eaglep3\Utilities\DownloadLogsFromS3.py --loco 4010 --day 2017-06-07</v>
      </c>
      <c r="AN180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782</v>
      </c>
      <c r="B181" s="7">
        <v>4009</v>
      </c>
      <c r="C181" s="21" t="s">
        <v>204</v>
      </c>
      <c r="D181" s="21" t="s">
        <v>531</v>
      </c>
      <c r="E181" s="13">
        <v>42893.651192129626</v>
      </c>
      <c r="F181" s="13">
        <v>42893.652812499997</v>
      </c>
      <c r="G181" s="7">
        <v>1</v>
      </c>
      <c r="H181" s="21" t="s">
        <v>979</v>
      </c>
      <c r="I181" s="13">
        <v>42893.664282407408</v>
      </c>
      <c r="J181" s="7">
        <v>0</v>
      </c>
      <c r="K181" s="92" t="str">
        <f t="shared" si="71"/>
        <v>4009/4010</v>
      </c>
      <c r="L181" s="21" t="str">
        <f>VLOOKUP(A181,'Trips&amp;Operators'!$C$1:$G$99999,5,FALSE)</f>
        <v>LOPES KIMBERLY</v>
      </c>
      <c r="M181" s="6">
        <f t="shared" si="72"/>
        <v>1.1469907411083113E-2</v>
      </c>
      <c r="N181" s="7">
        <f t="shared" si="88"/>
        <v>16.516666671959683</v>
      </c>
      <c r="O181" s="7"/>
      <c r="P181" s="7"/>
      <c r="Q181" s="22"/>
      <c r="R181" s="173"/>
      <c r="S181" s="176">
        <f t="shared" si="86"/>
        <v>1</v>
      </c>
      <c r="T181" s="202" t="str">
        <f t="shared" si="73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74"/>
        <v>https://d0f6bd738d7f1b3e5a7ca70fe4ff75f0.us-east-1.aws.found.io/app/kibana#/discover/Steve-Slow-Train-Analysis-(2080s-and-2083s)?_g=(refreshInterval:(display:Off,pause:!f,section:0,value:0),time:(from:'2017-06-07T14:37:43-0600',mode:absolute,to:'2017-06-07T16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204" t="str">
        <f t="shared" si="87"/>
        <v>N</v>
      </c>
      <c r="X181" s="204">
        <f t="shared" si="90"/>
        <v>1</v>
      </c>
      <c r="Y181" s="204">
        <f t="shared" si="91"/>
        <v>5.8620999999999999</v>
      </c>
      <c r="Z181" s="204">
        <f t="shared" si="92"/>
        <v>7.4099999999999999E-2</v>
      </c>
      <c r="AA181" s="204">
        <f t="shared" si="77"/>
        <v>5.7880000000000003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8"/>
        <v>0826-07</v>
      </c>
      <c r="AE181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81" s="77" t="str">
        <f t="shared" si="80"/>
        <v>"C:\Program Files (x86)\AstroGrep\AstroGrep.exe" /e /r /s /spath="%USERPROFILE%\AppData\Local\Temp\OnboardLogs" /stypes="app*4009*20170607*" /stext=" 21:.+((SYSTEM_STATE.+slice.+state.+changed )|(ment ac)|(multiple cpu faults)|(system.+state.+changed )|(\[timeout)|(PRM\|1\|D)|(kpr)|(kdp)|(train st.+moving)|(\|lc)|(penalty))"</v>
      </c>
      <c r="AG181" s="1" t="str">
        <f t="shared" si="81"/>
        <v>NW</v>
      </c>
      <c r="AH181" s="81" t="str">
        <f t="shared" si="82"/>
        <v>"%USERPROFILE%\Documents\GitHub\eaglep3\Utilities\RefineRTDCRunTimes.py" --tripid 826-07 --locoid 4009 --swversion DE.1.0.9.0 --startMP 300:58621 --initTime 2017-06-07T15:37:43 --startdatetime 2017-06-07T15:40:03 --delay 1 --endMP 204:741 --enddatetime 2017-06-07T15:56:34 --enforcementcount 0 &gt;&gt;C:\Users\stu\Documents\GitHub\eaglep3-reporting\EC\2017-06-07-refined-times.txt</v>
      </c>
      <c r="AI181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{"issue":{"subject":"","project_id":79,"tracker_id":40,"status_id":1,"priority_id":2,"assigned_to_id":23,"start_date":"2017-06-07","description":"","custom_fields":[{"id":1,"name":"Subdivision","value":"NW"},{"id":4,"name":"Milepost","value":"0.0741"},{"id":17,"name":"Train ID","value":"826-07"},{"id":16,"name":"Locomotive ID","value":"4009"},{"id":130,"name":"Impact","value":""},{"id":150,"name":"Time of Event (Mountain Time)","value":"15:56:34"},{"id":151,"name":"Denver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84"/>
        <v>start /low /b %USERPROFILE%\Documents\GitHub\eaglep3\Utilities\DownloadLogsFromS3.py --loco 4009 --day 2017-06-07</v>
      </c>
      <c r="AN181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2" t="s">
        <v>786</v>
      </c>
      <c r="B182" s="7">
        <v>4062</v>
      </c>
      <c r="C182" s="21" t="s">
        <v>204</v>
      </c>
      <c r="D182" s="21" t="s">
        <v>587</v>
      </c>
      <c r="E182" s="13">
        <v>42893.659363425926</v>
      </c>
      <c r="F182" s="13">
        <v>42893.661550925928</v>
      </c>
      <c r="G182" s="7">
        <v>1</v>
      </c>
      <c r="H182" s="21" t="s">
        <v>593</v>
      </c>
      <c r="I182" s="13">
        <v>42893.672060185185</v>
      </c>
      <c r="J182" s="7">
        <v>0</v>
      </c>
      <c r="K182" s="92" t="str">
        <f t="shared" si="71"/>
        <v>4061/4062</v>
      </c>
      <c r="L182" s="21" t="str">
        <f>VLOOKUP(A182,'Trips&amp;Operators'!$C$1:$G$99999,5,FALSE)</f>
        <v>BERLING GARY</v>
      </c>
      <c r="M182" s="6">
        <f t="shared" si="72"/>
        <v>1.0509259256650694E-2</v>
      </c>
      <c r="N182" s="7">
        <f t="shared" si="88"/>
        <v>15.133333329576999</v>
      </c>
      <c r="O182" s="7"/>
      <c r="P182" s="7"/>
      <c r="Q182" s="22"/>
      <c r="R182" s="173"/>
      <c r="S182" s="176">
        <f t="shared" si="86"/>
        <v>1</v>
      </c>
      <c r="T182" s="202" t="str">
        <f t="shared" si="73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74"/>
        <v>https://d0f6bd738d7f1b3e5a7ca70fe4ff75f0.us-east-1.aws.found.io/app/kibana#/discover/Steve-Slow-Train-Analysis-(2080s-and-2083s)?_g=(refreshInterval:(display:Off,pause:!f,section:0,value:0),time:(from:'2017-06-07T14:49:29-0600',mode:absolute,to:'2017-06-07T17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2" s="204" t="str">
        <f t="shared" si="87"/>
        <v>N</v>
      </c>
      <c r="X182" s="204">
        <f t="shared" si="90"/>
        <v>1</v>
      </c>
      <c r="Y182" s="204">
        <f t="shared" si="91"/>
        <v>9.5799999999999996E-2</v>
      </c>
      <c r="Z182" s="204">
        <f t="shared" si="92"/>
        <v>5.8936999999999999</v>
      </c>
      <c r="AA182" s="204">
        <f t="shared" si="77"/>
        <v>5.7979000000000003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8"/>
        <v>0827-07</v>
      </c>
      <c r="AE182" s="80" t="str">
        <f t="shared" si="79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182" s="77" t="str">
        <f t="shared" si="80"/>
        <v>"C:\Program Files (x86)\AstroGrep\AstroGrep.exe" /e /r /s /spath="%USERPROFILE%\AppData\Local\Temp\OnboardLogs" /stypes="app*4062*20170607*" /stext=" 22:.+((SYSTEM_STATE.+slice.+state.+changed )|(ment ac)|(multiple cpu faults)|(system.+state.+changed )|(\[timeout)|(PRM\|1\|D)|(kpr)|(kdp)|(train st.+moving)|(\|lc)|(penalty))"</v>
      </c>
      <c r="AG182" s="1" t="str">
        <f t="shared" si="81"/>
        <v>NW</v>
      </c>
      <c r="AH182" s="81" t="str">
        <f t="shared" si="82"/>
        <v>"%USERPROFILE%\Documents\GitHub\eaglep3\Utilities\RefineRTDCRunTimes.py" --tripid 827-07 --locoid 4062 --swversion DE.1.0.9.0 --startMP 204:958 --initTime 2017-06-07T15:49:29 --startdatetime 2017-06-07T15:52:38 --delay 1 --endMP 300:58937 --enddatetime 2017-06-07T16:07:46 --enforcementcount 0 &gt;&gt;C:\Users\stu\Documents\GitHub\eaglep3-reporting\EC\2017-06-07-refined-times.txt</v>
      </c>
      <c r="AI182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{"issue":{"subject":"","project_id":79,"tracker_id":40,"status_id":1,"priority_id":2,"assigned_to_id":23,"start_date":"2017-06-07","description":"","custom_fields":[{"id":1,"name":"Subdivision","value":"NW"},{"id":4,"name":"Milepost","value":"5.8937"},{"id":17,"name":"Train ID","value":"827-07"},{"id":16,"name":"Locomotive ID","value":"4062"},{"id":130,"name":"Impact","value":""},{"id":150,"name":"Time of Event (Mountain Time)","value":"16:07:46"},{"id":151,"name":"Denver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84"/>
        <v>start /low /b %USERPROFILE%\Documents\GitHub\eaglep3\Utilities\DownloadLogsFromS3.py --loco 4062 --day 2017-06-07</v>
      </c>
      <c r="AN182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630</v>
      </c>
      <c r="B183" s="7">
        <v>4061</v>
      </c>
      <c r="C183" s="21" t="s">
        <v>204</v>
      </c>
      <c r="D183" s="21" t="s">
        <v>536</v>
      </c>
      <c r="E183" s="13">
        <v>42893.673217592594</v>
      </c>
      <c r="F183" s="13">
        <v>42893.674363425926</v>
      </c>
      <c r="G183" s="7">
        <v>1</v>
      </c>
      <c r="H183" s="21" t="s">
        <v>980</v>
      </c>
      <c r="I183" s="13">
        <v>42893.684930555559</v>
      </c>
      <c r="J183" s="7">
        <v>0</v>
      </c>
      <c r="K183" s="92" t="str">
        <f t="shared" si="71"/>
        <v>4061/4062</v>
      </c>
      <c r="L183" s="21" t="str">
        <f>VLOOKUP(A183,'Trips&amp;Operators'!$C$1:$G$99999,5,FALSE)</f>
        <v>BERLING GARY</v>
      </c>
      <c r="M183" s="6">
        <f t="shared" si="72"/>
        <v>1.0567129633272998E-2</v>
      </c>
      <c r="N183" s="7">
        <f t="shared" si="88"/>
        <v>15.216666671913117</v>
      </c>
      <c r="O183" s="7"/>
      <c r="P183" s="7"/>
      <c r="Q183" s="22"/>
      <c r="R183" s="173"/>
      <c r="S183" s="176">
        <f t="shared" si="86"/>
        <v>1</v>
      </c>
      <c r="T183" s="202" t="str">
        <f t="shared" si="73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74"/>
        <v>https://d0f6bd738d7f1b3e5a7ca70fe4ff75f0.us-east-1.aws.found.io/app/kibana#/discover/Steve-Slow-Train-Analysis-(2080s-and-2083s)?_g=(refreshInterval:(display:Off,pause:!f,section:0,value:0),time:(from:'2017-06-07T15:09:26-0600',mode:absolute,to:'2017-06-07T17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3" s="204" t="str">
        <f t="shared" si="87"/>
        <v>N</v>
      </c>
      <c r="X183" s="204">
        <f t="shared" si="90"/>
        <v>1</v>
      </c>
      <c r="Y183" s="204">
        <f t="shared" si="91"/>
        <v>5.8623000000000003</v>
      </c>
      <c r="Z183" s="204">
        <f t="shared" si="92"/>
        <v>7.8700000000000006E-2</v>
      </c>
      <c r="AA183" s="204">
        <f t="shared" si="77"/>
        <v>5.7835999999999999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78"/>
        <v>0828-07</v>
      </c>
      <c r="AE183" s="80" t="str">
        <f t="shared" si="79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183" s="77" t="str">
        <f t="shared" si="80"/>
        <v>"C:\Program Files (x86)\AstroGrep\AstroGrep.exe" /e /r /s /spath="%USERPROFILE%\AppData\Local\Temp\OnboardLogs" /stypes="app*4061*20170607*" /stext=" 22:.+((SYSTEM_STATE.+slice.+state.+changed )|(ment ac)|(multiple cpu faults)|(system.+state.+changed )|(\[timeout)|(PRM\|1\|D)|(kpr)|(kdp)|(train st.+moving)|(\|lc)|(penalty))"</v>
      </c>
      <c r="AG183" s="1" t="str">
        <f t="shared" si="81"/>
        <v>NW</v>
      </c>
      <c r="AH183" s="81" t="str">
        <f t="shared" si="82"/>
        <v>"%USERPROFILE%\Documents\GitHub\eaglep3\Utilities\RefineRTDCRunTimes.py" --tripid 828-07 --locoid 4061 --swversion DE.1.0.9.0 --startMP 300:58623 --initTime 2017-06-07T16:09:26 --startdatetime 2017-06-07T16:11:05 --delay 1 --endMP 204:787 --enddatetime 2017-06-07T16:26:18 --enforcementcount 0 &gt;&gt;C:\Users\stu\Documents\GitHub\eaglep3-reporting\EC\2017-06-07-refined-times.txt</v>
      </c>
      <c r="AI183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{"issue":{"subject":"","project_id":79,"tracker_id":40,"status_id":1,"priority_id":2,"assigned_to_id":23,"start_date":"2017-06-07","description":"","custom_fields":[{"id":1,"name":"Subdivision","value":"NW"},{"id":4,"name":"Milepost","value":"0.0787"},{"id":17,"name":"Train ID","value":"828-07"},{"id":16,"name":"Locomotive ID","value":"4061"},{"id":130,"name":"Impact","value":""},{"id":150,"name":"Time of Event (Mountain Time)","value":"16:26:18"},{"id":151,"name":"Denver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84"/>
        <v>start /low /b %USERPROFILE%\Documents\GitHub\eaglep3\Utilities\DownloadLogsFromS3.py --loco 4061 --day 2017-06-07</v>
      </c>
      <c r="AN183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787</v>
      </c>
      <c r="B184" s="7">
        <v>4010</v>
      </c>
      <c r="C184" s="21" t="s">
        <v>204</v>
      </c>
      <c r="D184" s="21" t="s">
        <v>981</v>
      </c>
      <c r="E184" s="13">
        <v>42893.674131944441</v>
      </c>
      <c r="F184" s="13">
        <v>42893.681423611109</v>
      </c>
      <c r="G184" s="7">
        <v>0</v>
      </c>
      <c r="H184" s="21" t="s">
        <v>535</v>
      </c>
      <c r="I184" s="13">
        <v>42893.691099537034</v>
      </c>
      <c r="J184" s="7">
        <v>0</v>
      </c>
      <c r="K184" s="92" t="str">
        <f t="shared" si="71"/>
        <v>4009/4010</v>
      </c>
      <c r="L184" s="21" t="str">
        <f>VLOOKUP(A184,'Trips&amp;Operators'!$C$1:$G$99999,5,FALSE)</f>
        <v>LOPES KIMBERLY</v>
      </c>
      <c r="M184" s="6">
        <f t="shared" si="72"/>
        <v>9.6759259249665774E-3</v>
      </c>
      <c r="N184" s="7">
        <f t="shared" si="88"/>
        <v>13.933333331951872</v>
      </c>
      <c r="O184" s="7"/>
      <c r="P184" s="7"/>
      <c r="Q184" s="22"/>
      <c r="R184" s="173"/>
      <c r="S184" s="176">
        <f t="shared" si="86"/>
        <v>1</v>
      </c>
      <c r="T184" s="202" t="str">
        <f t="shared" si="73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74"/>
        <v>https://d0f6bd738d7f1b3e5a7ca70fe4ff75f0.us-east-1.aws.found.io/app/kibana#/discover/Steve-Slow-Train-Analysis-(2080s-and-2083s)?_g=(refreshInterval:(display:Off,pause:!f,section:0,value:0),time:(from:'2017-06-07T15:10:45-0600',mode:absolute,to:'2017-06-07T17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204" t="str">
        <f t="shared" si="87"/>
        <v>N</v>
      </c>
      <c r="X184" s="204">
        <f t="shared" si="90"/>
        <v>1</v>
      </c>
      <c r="Y184" s="204">
        <f t="shared" si="91"/>
        <v>0.10199999999999999</v>
      </c>
      <c r="Z184" s="204">
        <f t="shared" si="92"/>
        <v>5.8940999999999999</v>
      </c>
      <c r="AA184" s="204">
        <f t="shared" si="77"/>
        <v>5.7920999999999996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78"/>
        <v>0829-07</v>
      </c>
      <c r="AE184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84" s="77" t="str">
        <f t="shared" si="80"/>
        <v>"C:\Program Files (x86)\AstroGrep\AstroGrep.exe" /e /r /s /spath="%USERPROFILE%\AppData\Local\Temp\OnboardLogs" /stypes="app*4010*20170607*" /stext=" 22:.+((SYSTEM_STATE.+slice.+state.+changed )|(ment ac)|(multiple cpu faults)|(system.+state.+changed )|(\[timeout)|(PRM\|1\|D)|(kpr)|(kdp)|(train st.+moving)|(\|lc)|(penalty))"</v>
      </c>
      <c r="AG184" s="1" t="str">
        <f t="shared" si="81"/>
        <v>NW</v>
      </c>
      <c r="AH184" s="81" t="str">
        <f t="shared" si="82"/>
        <v>"%USERPROFILE%\Documents\GitHub\eaglep3\Utilities\RefineRTDCRunTimes.py" --tripid 829-07 --locoid 4010 --swversion DE.1.0.9.0 --startMP 204:1020 --initTime 2017-06-07T16:10:45 --startdatetime 2017-06-07T16:21:15 --delay 0 --endMP 300:58941 --enddatetime 2017-06-07T16:35:11 --enforcementcount 0 &gt;&gt;C:\Users\stu\Documents\GitHub\eaglep3-reporting\EC\2017-06-07-refined-times.txt</v>
      </c>
      <c r="AI184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{"issue":{"subject":"","project_id":79,"tracker_id":40,"status_id":1,"priority_id":2,"assigned_to_id":23,"start_date":"2017-06-07","description":"","custom_fields":[{"id":1,"name":"Subdivision","value":"NW"},{"id":4,"name":"Milepost","value":"5.8941"},{"id":17,"name":"Train ID","value":"829-07"},{"id":16,"name":"Locomotive ID","value":"4010"},{"id":130,"name":"Impact","value":""},{"id":150,"name":"Time of Event (Mountain Time)","value":"16:35:11"},{"id":151,"name":"Denver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84"/>
        <v>start /low /b %USERPROFILE%\Documents\GitHub\eaglep3\Utilities\DownloadLogsFromS3.py --loco 4010 --day 2017-06-07</v>
      </c>
      <c r="AN184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793</v>
      </c>
      <c r="B185" s="7">
        <v>4009</v>
      </c>
      <c r="C185" s="21" t="s">
        <v>204</v>
      </c>
      <c r="D185" s="21" t="s">
        <v>536</v>
      </c>
      <c r="E185" s="13">
        <v>42893.693958333337</v>
      </c>
      <c r="F185" s="13">
        <v>42893.695104166669</v>
      </c>
      <c r="G185" s="7">
        <v>1</v>
      </c>
      <c r="H185" s="21" t="s">
        <v>982</v>
      </c>
      <c r="I185" s="13">
        <v>42893.70517361111</v>
      </c>
      <c r="J185" s="7">
        <v>0</v>
      </c>
      <c r="K185" s="92" t="str">
        <f t="shared" si="71"/>
        <v>4009/4010</v>
      </c>
      <c r="L185" s="21" t="str">
        <f>VLOOKUP(A185,'Trips&amp;Operators'!$C$1:$G$99999,5,FALSE)</f>
        <v>LOPES KIMBERLY</v>
      </c>
      <c r="M185" s="6">
        <f t="shared" si="72"/>
        <v>1.006944444088731E-2</v>
      </c>
      <c r="N185" s="7">
        <f t="shared" si="88"/>
        <v>14.499999994877726</v>
      </c>
      <c r="O185" s="7"/>
      <c r="P185" s="7"/>
      <c r="Q185" s="22"/>
      <c r="R185" s="173"/>
      <c r="S185" s="176">
        <f t="shared" ref="S185:S216" si="93">SUM(U185:U185)/IF(AG185="EC",12,1)</f>
        <v>1</v>
      </c>
      <c r="T185" s="202" t="str">
        <f t="shared" si="73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74"/>
        <v>https://d0f6bd738d7f1b3e5a7ca70fe4ff75f0.us-east-1.aws.found.io/app/kibana#/discover/Steve-Slow-Train-Analysis-(2080s-and-2083s)?_g=(refreshInterval:(display:Off,pause:!f,section:0,value:0),time:(from:'2017-06-07T15:39:18-0600',mode:absolute,to:'2017-06-07T17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204" t="str">
        <f t="shared" si="87"/>
        <v>N</v>
      </c>
      <c r="X185" s="204">
        <f t="shared" si="90"/>
        <v>1</v>
      </c>
      <c r="Y185" s="204">
        <f t="shared" si="91"/>
        <v>5.8623000000000003</v>
      </c>
      <c r="Z185" s="204">
        <f t="shared" si="92"/>
        <v>6.6400000000000001E-2</v>
      </c>
      <c r="AA185" s="204">
        <f t="shared" si="77"/>
        <v>5.7959000000000005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78"/>
        <v>0830-07</v>
      </c>
      <c r="AE185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85" s="77" t="str">
        <f t="shared" si="80"/>
        <v>"C:\Program Files (x86)\AstroGrep\AstroGrep.exe" /e /r /s /spath="%USERPROFILE%\AppData\Local\Temp\OnboardLogs" /stypes="app*4009*20170607*" /stext=" 22:.+((SYSTEM_STATE.+slice.+state.+changed )|(ment ac)|(multiple cpu faults)|(system.+state.+changed )|(\[timeout)|(PRM\|1\|D)|(kpr)|(kdp)|(train st.+moving)|(\|lc)|(penalty))"</v>
      </c>
      <c r="AG185" s="1" t="str">
        <f t="shared" si="81"/>
        <v>NW</v>
      </c>
      <c r="AH185" s="81" t="str">
        <f t="shared" si="82"/>
        <v>"%USERPROFILE%\Documents\GitHub\eaglep3\Utilities\RefineRTDCRunTimes.py" --tripid 830-07 --locoid 4009 --swversion DE.1.0.9.0 --startMP 300:58623 --initTime 2017-06-07T16:39:18 --startdatetime 2017-06-07T16:40:57 --delay 1 --endMP 204:664 --enddatetime 2017-06-07T16:55:27 --enforcementcount 0 &gt;&gt;C:\Users\stu\Documents\GitHub\eaglep3-reporting\EC\2017-06-07-refined-times.txt</v>
      </c>
      <c r="AI185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{"issue":{"subject":"","project_id":79,"tracker_id":40,"status_id":1,"priority_id":2,"assigned_to_id":23,"start_date":"2017-06-07","description":"","custom_fields":[{"id":1,"name":"Subdivision","value":"NW"},{"id":4,"name":"Milepost","value":"0.0664"},{"id":17,"name":"Train ID","value":"830-07"},{"id":16,"name":"Locomotive ID","value":"4009"},{"id":130,"name":"Impact","value":""},{"id":150,"name":"Time of Event (Mountain Time)","value":"16:55:27"},{"id":151,"name":"Denver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84"/>
        <v>start /low /b %USERPROFILE%\Documents\GitHub\eaglep3\Utilities\DownloadLogsFromS3.py --loco 4009 --day 2017-06-07</v>
      </c>
      <c r="AN185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791</v>
      </c>
      <c r="B186" s="7">
        <v>4062</v>
      </c>
      <c r="C186" s="21" t="s">
        <v>204</v>
      </c>
      <c r="D186" s="21" t="s">
        <v>983</v>
      </c>
      <c r="E186" s="13">
        <v>42893.688101851854</v>
      </c>
      <c r="F186" s="13">
        <v>42893.702465277776</v>
      </c>
      <c r="G186" s="7">
        <v>3</v>
      </c>
      <c r="H186" s="21" t="s">
        <v>540</v>
      </c>
      <c r="I186" s="13">
        <v>42893.712951388887</v>
      </c>
      <c r="J186" s="7">
        <v>0</v>
      </c>
      <c r="K186" s="92" t="str">
        <f t="shared" si="71"/>
        <v>4061/4062</v>
      </c>
      <c r="L186" s="21" t="str">
        <f>VLOOKUP(A186,'Trips&amp;Operators'!$C$1:$G$99999,5,FALSE)</f>
        <v>STAMBAUGH JAMES</v>
      </c>
      <c r="M186" s="6">
        <f t="shared" si="72"/>
        <v>1.0486111110367347E-2</v>
      </c>
      <c r="N186" s="7">
        <f t="shared" si="88"/>
        <v>15.099999998928979</v>
      </c>
      <c r="O186" s="7"/>
      <c r="P186" s="7"/>
      <c r="Q186" s="22"/>
      <c r="R186" s="173"/>
      <c r="S186" s="176">
        <f t="shared" si="93"/>
        <v>1</v>
      </c>
      <c r="T186" s="202" t="str">
        <f t="shared" si="73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74"/>
        <v>https://d0f6bd738d7f1b3e5a7ca70fe4ff75f0.us-east-1.aws.found.io/app/kibana#/discover/Steve-Slow-Train-Analysis-(2080s-and-2083s)?_g=(refreshInterval:(display:Off,pause:!f,section:0,value:0),time:(from:'2017-06-07T15:30:52-0600',mode:absolute,to:'2017-06-07T18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6" s="204" t="str">
        <f t="shared" si="87"/>
        <v>N</v>
      </c>
      <c r="X186" s="204">
        <f t="shared" si="90"/>
        <v>1</v>
      </c>
      <c r="Y186" s="204">
        <f t="shared" si="91"/>
        <v>0.1067</v>
      </c>
      <c r="Z186" s="204">
        <f t="shared" si="92"/>
        <v>5.8929</v>
      </c>
      <c r="AA186" s="204">
        <f t="shared" si="77"/>
        <v>5.7862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78"/>
        <v>0831-07</v>
      </c>
      <c r="AE186" s="80" t="str">
        <f t="shared" si="79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186" s="77" t="str">
        <f t="shared" si="80"/>
        <v>"C:\Program Files (x86)\AstroGrep\AstroGrep.exe" /e /r /s /spath="%USERPROFILE%\AppData\Local\Temp\OnboardLogs" /stypes="app*4062*20170607*" /stext=" 23:.+((SYSTEM_STATE.+slice.+state.+changed )|(ment ac)|(multiple cpu faults)|(system.+state.+changed )|(\[timeout)|(PRM\|1\|D)|(kpr)|(kdp)|(train st.+moving)|(\|lc)|(penalty))"</v>
      </c>
      <c r="AG186" s="1" t="str">
        <f t="shared" si="81"/>
        <v>NW</v>
      </c>
      <c r="AH186" s="81" t="str">
        <f t="shared" si="82"/>
        <v>"%USERPROFILE%\Documents\GitHub\eaglep3\Utilities\RefineRTDCRunTimes.py" --tripid 831-07 --locoid 4062 --swversion DE.1.0.9.0 --startMP 204:1067 --initTime 2017-06-07T16:30:52 --startdatetime 2017-06-07T16:51:33 --delay 3 --endMP 300:58929 --enddatetime 2017-06-07T17:06:39 --enforcementcount 0 &gt;&gt;C:\Users\stu\Documents\GitHub\eaglep3-reporting\EC\2017-06-07-refined-times.txt</v>
      </c>
      <c r="AI186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{"issue":{"subject":"","project_id":79,"tracker_id":40,"status_id":1,"priority_id":2,"assigned_to_id":23,"start_date":"2017-06-07","description":"","custom_fields":[{"id":1,"name":"Subdivision","value":"NW"},{"id":4,"name":"Milepost","value":"5.8929"},{"id":17,"name":"Train ID","value":"831-07"},{"id":16,"name":"Locomotive ID","value":"4062"},{"id":130,"name":"Impact","value":""},{"id":150,"name":"Time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84"/>
        <v>start /low /b %USERPROFILE%\Documents\GitHub\eaglep3\Utilities\DownloadLogsFromS3.py --loco 4062 --day 2017-06-07</v>
      </c>
      <c r="AN186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634</v>
      </c>
      <c r="B187" s="7">
        <v>4061</v>
      </c>
      <c r="C187" s="21" t="s">
        <v>204</v>
      </c>
      <c r="D187" s="21" t="s">
        <v>543</v>
      </c>
      <c r="E187" s="13">
        <v>42893.713900462964</v>
      </c>
      <c r="F187" s="13">
        <v>42893.716666666667</v>
      </c>
      <c r="G187" s="7">
        <v>2</v>
      </c>
      <c r="H187" s="21" t="s">
        <v>984</v>
      </c>
      <c r="I187" s="13">
        <v>42893.726712962962</v>
      </c>
      <c r="J187" s="7">
        <v>0</v>
      </c>
      <c r="K187" s="92" t="str">
        <f t="shared" si="71"/>
        <v>4061/4062</v>
      </c>
      <c r="L187" s="21" t="str">
        <f>VLOOKUP(A187,'Trips&amp;Operators'!$C$1:$G$99999,5,FALSE)</f>
        <v>STAMBAUGH JAMES</v>
      </c>
      <c r="M187" s="6">
        <f t="shared" si="72"/>
        <v>1.0046296294603962E-2</v>
      </c>
      <c r="N187" s="7">
        <f t="shared" si="88"/>
        <v>14.466666664229706</v>
      </c>
      <c r="O187" s="7"/>
      <c r="P187" s="7"/>
      <c r="Q187" s="22"/>
      <c r="R187" s="173"/>
      <c r="S187" s="176">
        <f t="shared" si="93"/>
        <v>1</v>
      </c>
      <c r="T187" s="202" t="str">
        <f t="shared" si="73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74"/>
        <v>https://d0f6bd738d7f1b3e5a7ca70fe4ff75f0.us-east-1.aws.found.io/app/kibana#/discover/Steve-Slow-Train-Analysis-(2080s-and-2083s)?_g=(refreshInterval:(display:Off,pause:!f,section:0,value:0),time:(from:'2017-06-07T16:08:01-0600',mode:absolute,to:'2017-06-07T18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7" s="204" t="str">
        <f t="shared" si="87"/>
        <v>N</v>
      </c>
      <c r="X187" s="204">
        <f t="shared" si="90"/>
        <v>1</v>
      </c>
      <c r="Y187" s="204">
        <f t="shared" si="91"/>
        <v>5.8605999999999998</v>
      </c>
      <c r="Z187" s="204">
        <f t="shared" si="92"/>
        <v>7.3400000000000007E-2</v>
      </c>
      <c r="AA187" s="204">
        <f t="shared" si="77"/>
        <v>5.7871999999999995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78"/>
        <v>0832-07</v>
      </c>
      <c r="AE187" s="80" t="str">
        <f t="shared" si="79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187" s="77" t="str">
        <f t="shared" si="80"/>
        <v>"C:\Program Files (x86)\AstroGrep\AstroGrep.exe" /e /r /s /spath="%USERPROFILE%\AppData\Local\Temp\OnboardLogs" /stypes="app*4061*20170607*" /stext=" 23:.+((SYSTEM_STATE.+slice.+state.+changed )|(ment ac)|(multiple cpu faults)|(system.+state.+changed )|(\[timeout)|(PRM\|1\|D)|(kpr)|(kdp)|(train st.+moving)|(\|lc)|(penalty))"</v>
      </c>
      <c r="AG187" s="1" t="str">
        <f t="shared" si="81"/>
        <v>NW</v>
      </c>
      <c r="AH187" s="81" t="str">
        <f t="shared" si="82"/>
        <v>"%USERPROFILE%\Documents\GitHub\eaglep3\Utilities\RefineRTDCRunTimes.py" --tripid 832-07 --locoid 4061 --swversion DE.1.0.9.0 --startMP 300:58606 --initTime 2017-06-07T17:08:01 --startdatetime 2017-06-07T17:12:00 --delay 2 --endMP 204:734 --enddatetime 2017-06-07T17:26:28 --enforcementcount 0 &gt;&gt;C:\Users\stu\Documents\GitHub\eaglep3-reporting\EC\2017-06-07-refined-times.txt</v>
      </c>
      <c r="AI187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{"issue":{"subject":"","project_id":79,"tracker_id":40,"status_id":1,"priority_id":2,"assigned_to_id":23,"start_date":"2017-06-07","description":"","custom_fields":[{"id":1,"name":"Subdivision","value":"NW"},{"id":4,"name":"Milepost","value":"0.0734"},{"id":17,"name":"Train ID","value":"832-07"},{"id":16,"name":"Locomotive ID","value":"4061"},{"id":130,"name":"Impact","value":""},{"id":150,"name":"Time of Event (Mountain Time)","value":"17:26:28"},{"id":151,"name":"Denver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84"/>
        <v>start /low /b %USERPROFILE%\Documents\GitHub\eaglep3\Utilities\DownloadLogsFromS3.py --loco 4061 --day 2017-06-07</v>
      </c>
      <c r="AN187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799</v>
      </c>
      <c r="B188" s="7">
        <v>4010</v>
      </c>
      <c r="C188" s="21" t="s">
        <v>204</v>
      </c>
      <c r="D188" s="21" t="s">
        <v>985</v>
      </c>
      <c r="E188" s="13">
        <v>42893.71361111111</v>
      </c>
      <c r="F188" s="13">
        <v>42893.723113425927</v>
      </c>
      <c r="G188" s="7">
        <v>1</v>
      </c>
      <c r="H188" s="21" t="s">
        <v>986</v>
      </c>
      <c r="I188" s="13">
        <v>42893.732928240737</v>
      </c>
      <c r="J188" s="7">
        <v>0</v>
      </c>
      <c r="K188" s="92" t="str">
        <f t="shared" si="71"/>
        <v>4009/4010</v>
      </c>
      <c r="L188" s="21" t="str">
        <f>VLOOKUP(A188,'Trips&amp;Operators'!$C$1:$G$99999,5,FALSE)</f>
        <v>LOPES KIMBERLY</v>
      </c>
      <c r="M188" s="6">
        <f t="shared" si="72"/>
        <v>9.814814809942618E-3</v>
      </c>
      <c r="N188" s="7">
        <f t="shared" si="88"/>
        <v>14.13333332631737</v>
      </c>
      <c r="O188" s="7"/>
      <c r="P188" s="7"/>
      <c r="Q188" s="22"/>
      <c r="R188" s="173"/>
      <c r="S188" s="176">
        <f t="shared" si="93"/>
        <v>1</v>
      </c>
      <c r="T188" s="202" t="str">
        <f t="shared" si="73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74"/>
        <v>https://d0f6bd738d7f1b3e5a7ca70fe4ff75f0.us-east-1.aws.found.io/app/kibana#/discover/Steve-Slow-Train-Analysis-(2080s-and-2083s)?_g=(refreshInterval:(display:Off,pause:!f,section:0,value:0),time:(from:'2017-06-07T16:07:36-0600',mode:absolute,to:'2017-06-07T18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204" t="str">
        <f t="shared" si="87"/>
        <v>N</v>
      </c>
      <c r="X188" s="204">
        <f t="shared" si="90"/>
        <v>1</v>
      </c>
      <c r="Y188" s="204">
        <f t="shared" si="91"/>
        <v>9.5699999999999993E-2</v>
      </c>
      <c r="Z188" s="204">
        <f t="shared" si="92"/>
        <v>5.8928000000000003</v>
      </c>
      <c r="AA188" s="204">
        <f t="shared" si="77"/>
        <v>5.7971000000000004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78"/>
        <v>0833-07</v>
      </c>
      <c r="AE188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88" s="77" t="str">
        <f t="shared" si="80"/>
        <v>"C:\Program Files (x86)\AstroGrep\AstroGrep.exe" /e /r /s /spath="%USERPROFILE%\AppData\Local\Temp\OnboardLogs" /stypes="app*4010*20170607*" /stext=" 23:.+((SYSTEM_STATE.+slice.+state.+changed )|(ment ac)|(multiple cpu faults)|(system.+state.+changed )|(\[timeout)|(PRM\|1\|D)|(kpr)|(kdp)|(train st.+moving)|(\|lc)|(penalty))"</v>
      </c>
      <c r="AG188" s="1" t="str">
        <f t="shared" si="81"/>
        <v>NW</v>
      </c>
      <c r="AH188" s="81" t="str">
        <f t="shared" si="82"/>
        <v>"%USERPROFILE%\Documents\GitHub\eaglep3\Utilities\RefineRTDCRunTimes.py" --tripid 833-07 --locoid 4010 --swversion DE.1.0.9.0 --startMP 204:957 --initTime 2017-06-07T17:07:36 --startdatetime 2017-06-07T17:21:17 --delay 1 --endMP 300:58928 --enddatetime 2017-06-07T17:35:25 --enforcementcount 0 &gt;&gt;C:\Users\stu\Documents\GitHub\eaglep3-reporting\EC\2017-06-07-refined-times.txt</v>
      </c>
      <c r="AI188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{"issue":{"subject":"","project_id":79,"tracker_id":40,"status_id":1,"priority_id":2,"assigned_to_id":23,"start_date":"2017-06-07","description":"","custom_fields":[{"id":1,"name":"Subdivision","value":"NW"},{"id":4,"name":"Milepost","value":"5.8928"},{"id":17,"name":"Train ID","value":"833-07"},{"id":16,"name":"Locomotive ID","value":"4010"},{"id":130,"name":"Impact","value":""},{"id":150,"name":"Time of Event (Mountain Time)","value":"17:35:25"},{"id":151,"name":"Denver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84"/>
        <v>start /low /b %USERPROFILE%\Documents\GitHub\eaglep3\Utilities\DownloadLogsFromS3.py --loco 4010 --day 2017-06-07</v>
      </c>
      <c r="AN188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635</v>
      </c>
      <c r="B189" s="7">
        <v>4009</v>
      </c>
      <c r="C189" s="21" t="s">
        <v>204</v>
      </c>
      <c r="D189" s="21" t="s">
        <v>541</v>
      </c>
      <c r="E189" s="13">
        <v>42893.734930555554</v>
      </c>
      <c r="F189" s="13">
        <v>42893.736192129632</v>
      </c>
      <c r="G189" s="7">
        <v>1</v>
      </c>
      <c r="H189" s="21" t="s">
        <v>984</v>
      </c>
      <c r="I189" s="13">
        <v>42893.747534722221</v>
      </c>
      <c r="J189" s="7">
        <v>0</v>
      </c>
      <c r="K189" s="92" t="str">
        <f t="shared" si="71"/>
        <v>4009/4010</v>
      </c>
      <c r="L189" s="21" t="str">
        <f>VLOOKUP(A189,'Trips&amp;Operators'!$C$1:$G$99999,5,FALSE)</f>
        <v>LOPES KIMBERLY</v>
      </c>
      <c r="M189" s="6">
        <f t="shared" si="72"/>
        <v>1.134259258833481E-2</v>
      </c>
      <c r="N189" s="7">
        <f t="shared" si="88"/>
        <v>16.333333327202126</v>
      </c>
      <c r="O189" s="7"/>
      <c r="P189" s="7"/>
      <c r="Q189" s="22"/>
      <c r="R189" s="173"/>
      <c r="S189" s="176">
        <f t="shared" si="93"/>
        <v>1</v>
      </c>
      <c r="T189" s="202" t="str">
        <f t="shared" si="73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74"/>
        <v>https://d0f6bd738d7f1b3e5a7ca70fe4ff75f0.us-east-1.aws.found.io/app/kibana#/discover/Steve-Slow-Train-Analysis-(2080s-and-2083s)?_g=(refreshInterval:(display:Off,pause:!f,section:0,value:0),time:(from:'2017-06-07T16:38:18-0600',mode:absolute,to:'2017-06-07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204" t="str">
        <f t="shared" si="87"/>
        <v>N</v>
      </c>
      <c r="X189" s="204">
        <f t="shared" si="90"/>
        <v>1</v>
      </c>
      <c r="Y189" s="204">
        <f t="shared" si="91"/>
        <v>5.8615000000000004</v>
      </c>
      <c r="Z189" s="204">
        <f t="shared" si="92"/>
        <v>7.3400000000000007E-2</v>
      </c>
      <c r="AA189" s="204">
        <f t="shared" si="77"/>
        <v>5.7881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78"/>
        <v>0834-07</v>
      </c>
      <c r="AE189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89" s="77" t="str">
        <f t="shared" si="80"/>
        <v>"C:\Program Files (x86)\AstroGrep\AstroGrep.exe" /e /r /s /spath="%USERPROFILE%\AppData\Local\Temp\OnboardLogs" /stypes="app*4009*20170607*" /stext=" 23:.+((SYSTEM_STATE.+slice.+state.+changed )|(ment ac)|(multiple cpu faults)|(system.+state.+changed )|(\[timeout)|(PRM\|1\|D)|(kpr)|(kdp)|(train st.+moving)|(\|lc)|(penalty))"</v>
      </c>
      <c r="AG189" s="1" t="str">
        <f t="shared" si="81"/>
        <v>NW</v>
      </c>
      <c r="AH189" s="81" t="str">
        <f t="shared" si="82"/>
        <v>"%USERPROFILE%\Documents\GitHub\eaglep3\Utilities\RefineRTDCRunTimes.py" --tripid 834-07 --locoid 4009 --swversion DE.1.0.9.0 --startMP 300:58615 --initTime 2017-06-07T17:38:18 --startdatetime 2017-06-07T17:40:07 --delay 1 --endMP 204:734 --enddatetime 2017-06-07T17:56:27 --enforcementcount 0 &gt;&gt;C:\Users\stu\Documents\GitHub\eaglep3-reporting\EC\2017-06-07-refined-times.txt</v>
      </c>
      <c r="AI189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{"issue":{"subject":"","project_id":79,"tracker_id":40,"status_id":1,"priority_id":2,"assigned_to_id":23,"start_date":"2017-06-07","description":"","custom_fields":[{"id":1,"name":"Subdivision","value":"NW"},{"id":4,"name":"Milepost","value":"0.0734"},{"id":17,"name":"Train ID","value":"834-07"},{"id":16,"name":"Locomotive ID","value":"4009"},{"id":130,"name":"Impact","value":""},{"id":150,"name":"Time of Event (Mountain Time)","value":"17:56:27"},{"id":151,"name":"Denver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84"/>
        <v>start /low /b %USERPROFILE%\Documents\GitHub\eaglep3\Utilities\DownloadLogsFromS3.py --loco 4009 --day 2017-06-07</v>
      </c>
      <c r="AN189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636</v>
      </c>
      <c r="B190" s="7">
        <v>4062</v>
      </c>
      <c r="C190" s="21" t="s">
        <v>204</v>
      </c>
      <c r="D190" s="21" t="s">
        <v>987</v>
      </c>
      <c r="E190" s="13">
        <v>42893.728437500002</v>
      </c>
      <c r="F190" s="13">
        <v>42893.744189814817</v>
      </c>
      <c r="G190" s="7">
        <v>1</v>
      </c>
      <c r="H190" s="21" t="s">
        <v>542</v>
      </c>
      <c r="I190" s="13">
        <v>42893.754675925928</v>
      </c>
      <c r="J190" s="7">
        <v>0</v>
      </c>
      <c r="K190" s="92" t="str">
        <f t="shared" si="71"/>
        <v>4061/4062</v>
      </c>
      <c r="L190" s="21" t="str">
        <f>VLOOKUP(A190,'Trips&amp;Operators'!$C$1:$G$99999,5,FALSE)</f>
        <v>STAMBAUGH JAMES</v>
      </c>
      <c r="M190" s="6">
        <f t="shared" si="72"/>
        <v>1.0486111110367347E-2</v>
      </c>
      <c r="N190" s="7">
        <f t="shared" si="88"/>
        <v>15.099999998928979</v>
      </c>
      <c r="O190" s="7"/>
      <c r="P190" s="7"/>
      <c r="Q190" s="22"/>
      <c r="R190" s="173"/>
      <c r="S190" s="176">
        <f t="shared" si="93"/>
        <v>1</v>
      </c>
      <c r="T190" s="202" t="str">
        <f t="shared" si="73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74"/>
        <v>https://d0f6bd738d7f1b3e5a7ca70fe4ff75f0.us-east-1.aws.found.io/app/kibana#/discover/Steve-Slow-Train-Analysis-(2080s-and-2083s)?_g=(refreshInterval:(display:Off,pause:!f,section:0,value:0),time:(from:'2017-06-07T16:28:57-0600',mode:absolute,to:'2017-06-07T19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0" s="204" t="str">
        <f t="shared" si="87"/>
        <v>N</v>
      </c>
      <c r="X190" s="204">
        <f t="shared" si="90"/>
        <v>1</v>
      </c>
      <c r="Y190" s="204">
        <f t="shared" si="91"/>
        <v>0.10440000000000001</v>
      </c>
      <c r="Z190" s="204">
        <f t="shared" si="92"/>
        <v>5.8925999999999998</v>
      </c>
      <c r="AA190" s="204">
        <f t="shared" si="77"/>
        <v>5.7881999999999998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78"/>
        <v>0835-07</v>
      </c>
      <c r="AE190" s="80" t="str">
        <f t="shared" si="79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190" s="77" t="str">
        <f t="shared" si="80"/>
        <v>"C:\Program Files (x86)\AstroGrep\AstroGrep.exe" /e /r /s /spath="%USERPROFILE%\AppData\Local\Temp\OnboardLogs" /stypes="app*4062*20170608*" /stext=" 00:.+((SYSTEM_STATE.+slice.+state.+changed )|(ment ac)|(multiple cpu faults)|(system.+state.+changed )|(\[timeout)|(PRM\|1\|D)|(kpr)|(kdp)|(train st.+moving)|(\|lc)|(penalty))"</v>
      </c>
      <c r="AG190" s="1" t="str">
        <f t="shared" si="81"/>
        <v>NW</v>
      </c>
      <c r="AH190" s="81" t="str">
        <f t="shared" si="82"/>
        <v>"%USERPROFILE%\Documents\GitHub\eaglep3\Utilities\RefineRTDCRunTimes.py" --tripid 835-07 --locoid 4062 --swversion DE.1.0.9.0 --startMP 204:1044 --initTime 2017-06-07T17:28:57 --startdatetime 2017-06-07T17:51:38 --delay 1 --endMP 300:58926 --enddatetime 2017-06-07T18:06:44 --enforcementcount 0 &gt;&gt;C:\Users\stu\Documents\GitHub\eaglep3-reporting\EC\2017-06-07-refined-times.txt</v>
      </c>
      <c r="AI190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{"issue":{"subject":"","project_id":79,"tracker_id":40,"status_id":1,"priority_id":2,"assigned_to_id":23,"start_date":"2017-06-07","description":"","custom_fields":[{"id":1,"name":"Subdivision","value":"NW"},{"id":4,"name":"Milepost","value":"5.8926"},{"id":17,"name":"Train ID","value":"835-07"},{"id":16,"name":"Locomotive ID","value":"4062"},{"id":130,"name":"Impact","value":""},{"id":150,"name":"Time of Event (Mountain Time)","value":"18:06:44"},{"id":151,"name":"Denver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84"/>
        <v>start /low /b %USERPROFILE%\Documents\GitHub\eaglep3\Utilities\DownloadLogsFromS3.py --loco 4062 --day 2017-06-07</v>
      </c>
      <c r="AN190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806</v>
      </c>
      <c r="B191" s="7">
        <v>4061</v>
      </c>
      <c r="C191" s="21" t="s">
        <v>204</v>
      </c>
      <c r="D191" s="21" t="s">
        <v>978</v>
      </c>
      <c r="E191" s="13">
        <v>42893.755798611113</v>
      </c>
      <c r="F191" s="13">
        <v>42893.757881944446</v>
      </c>
      <c r="G191" s="7">
        <v>2</v>
      </c>
      <c r="H191" s="21" t="s">
        <v>586</v>
      </c>
      <c r="I191" s="13">
        <v>42893.769895833335</v>
      </c>
      <c r="J191" s="7">
        <v>0</v>
      </c>
      <c r="K191" s="92" t="str">
        <f t="shared" si="71"/>
        <v>4061/4062</v>
      </c>
      <c r="L191" s="21" t="str">
        <f>VLOOKUP(A191,'Trips&amp;Operators'!$C$1:$G$99999,5,FALSE)</f>
        <v>STAMBAUGH JAMES</v>
      </c>
      <c r="M191" s="6">
        <f t="shared" si="72"/>
        <v>1.2013888888759539E-2</v>
      </c>
      <c r="N191" s="7">
        <f t="shared" si="88"/>
        <v>17.299999999813735</v>
      </c>
      <c r="O191" s="7"/>
      <c r="P191" s="7"/>
      <c r="Q191" s="22"/>
      <c r="R191" s="173"/>
      <c r="S191" s="176">
        <f t="shared" si="93"/>
        <v>1</v>
      </c>
      <c r="T191" s="202" t="str">
        <f t="shared" si="73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74"/>
        <v>https://d0f6bd738d7f1b3e5a7ca70fe4ff75f0.us-east-1.aws.found.io/app/kibana#/discover/Steve-Slow-Train-Analysis-(2080s-and-2083s)?_g=(refreshInterval:(display:Off,pause:!f,section:0,value:0),time:(from:'2017-06-07T17:08:21-0600',mode:absolute,to:'2017-06-07T19:28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1" s="204" t="str">
        <f t="shared" ref="W191:W222" si="94">IF(AA191&lt;IF(AG191="EC",23,5.65),"Y","N")</f>
        <v>N</v>
      </c>
      <c r="X191" s="204">
        <f t="shared" si="90"/>
        <v>1</v>
      </c>
      <c r="Y191" s="204">
        <f t="shared" si="91"/>
        <v>5.8609</v>
      </c>
      <c r="Z191" s="204">
        <f t="shared" si="92"/>
        <v>6.7500000000000004E-2</v>
      </c>
      <c r="AA191" s="204">
        <f t="shared" si="77"/>
        <v>5.7934000000000001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78"/>
        <v>0836-07</v>
      </c>
      <c r="AE191" s="80" t="str">
        <f t="shared" si="79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191" s="77" t="str">
        <f t="shared" si="80"/>
        <v>"C:\Program Files (x86)\AstroGrep\AstroGrep.exe" /e /r /s /spath="%USERPROFILE%\AppData\Local\Temp\OnboardLogs" /stypes="app*4061*20170608*" /stext=" 00:.+((SYSTEM_STATE.+slice.+state.+changed )|(ment ac)|(multiple cpu faults)|(system.+state.+changed )|(\[timeout)|(PRM\|1\|D)|(kpr)|(kdp)|(train st.+moving)|(\|lc)|(penalty))"</v>
      </c>
      <c r="AG191" s="1" t="str">
        <f t="shared" si="81"/>
        <v>NW</v>
      </c>
      <c r="AH191" s="81" t="str">
        <f t="shared" si="82"/>
        <v>"%USERPROFILE%\Documents\GitHub\eaglep3\Utilities\RefineRTDCRunTimes.py" --tripid 836-07 --locoid 4061 --swversion DE.1.0.9.0 --startMP 300:58609 --initTime 2017-06-07T18:08:21 --startdatetime 2017-06-07T18:11:21 --delay 2 --endMP 204:675 --enddatetime 2017-06-07T18:28:39 --enforcementcount 0 &gt;&gt;C:\Users\stu\Documents\GitHub\eaglep3-reporting\EC\2017-06-07-refined-times.txt</v>
      </c>
      <c r="AI191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{"issue":{"subject":"","project_id":79,"tracker_id":40,"status_id":1,"priority_id":2,"assigned_to_id":23,"start_date":"2017-06-07","description":"","custom_fields":[{"id":1,"name":"Subdivision","value":"NW"},{"id":4,"name":"Milepost","value":"0.0675"},{"id":17,"name":"Train ID","value":"836-07"},{"id":16,"name":"Locomotive ID","value":"4061"},{"id":130,"name":"Impact","value":""},{"id":150,"name":"Time of Event (Mountain Time)","value":"18:28:39"},{"id":151,"name":"Denver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84"/>
        <v>start /low /b %USERPROFILE%\Documents\GitHub\eaglep3\Utilities\DownloadLogsFromS3.py --loco 4061 --day 2017-06-07</v>
      </c>
      <c r="AN191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00:28:39"},{"id":29,"name":"Sharepoint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805</v>
      </c>
      <c r="B192" s="7">
        <v>4010</v>
      </c>
      <c r="C192" s="21" t="s">
        <v>204</v>
      </c>
      <c r="D192" s="21" t="s">
        <v>582</v>
      </c>
      <c r="E192" s="13">
        <v>42893.755312499998</v>
      </c>
      <c r="F192" s="13">
        <v>42893.764756944445</v>
      </c>
      <c r="G192" s="7">
        <v>2</v>
      </c>
      <c r="H192" s="21" t="s">
        <v>593</v>
      </c>
      <c r="I192" s="13">
        <v>42893.774270833332</v>
      </c>
      <c r="J192" s="7">
        <v>0</v>
      </c>
      <c r="K192" s="92" t="str">
        <f t="shared" si="71"/>
        <v>4009/4010</v>
      </c>
      <c r="L192" s="21" t="str">
        <f>VLOOKUP(A192,'Trips&amp;Operators'!$C$1:$G$99999,5,FALSE)</f>
        <v>BERLING GARY</v>
      </c>
      <c r="M192" s="6">
        <f t="shared" si="72"/>
        <v>9.5138888864312321E-3</v>
      </c>
      <c r="N192" s="7">
        <f t="shared" si="88"/>
        <v>13.699999996460974</v>
      </c>
      <c r="O192" s="7"/>
      <c r="P192" s="7"/>
      <c r="Q192" s="22"/>
      <c r="R192" s="173"/>
      <c r="S192" s="176">
        <f t="shared" si="93"/>
        <v>1</v>
      </c>
      <c r="T192" s="202" t="str">
        <f t="shared" si="73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74"/>
        <v>https://d0f6bd738d7f1b3e5a7ca70fe4ff75f0.us-east-1.aws.found.io/app/kibana#/discover/Steve-Slow-Train-Analysis-(2080s-and-2083s)?_g=(refreshInterval:(display:Off,pause:!f,section:0,value:0),time:(from:'2017-06-07T17:07:39-0600',mode:absolute,to:'2017-06-07T19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204" t="str">
        <f t="shared" si="94"/>
        <v>N</v>
      </c>
      <c r="X192" s="204">
        <f t="shared" si="90"/>
        <v>1</v>
      </c>
      <c r="Y192" s="204">
        <f t="shared" si="91"/>
        <v>0.1023</v>
      </c>
      <c r="Z192" s="204">
        <f t="shared" si="92"/>
        <v>5.8936999999999999</v>
      </c>
      <c r="AA192" s="204">
        <f t="shared" si="77"/>
        <v>5.7914000000000003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78"/>
        <v>0837-07</v>
      </c>
      <c r="AE192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92" s="77" t="str">
        <f t="shared" si="80"/>
        <v>"C:\Program Files (x86)\AstroGrep\AstroGrep.exe" /e /r /s /spath="%USERPROFILE%\AppData\Local\Temp\OnboardLogs" /stypes="app*4010*20170608*" /stext=" 00:.+((SYSTEM_STATE.+slice.+state.+changed )|(ment ac)|(multiple cpu faults)|(system.+state.+changed )|(\[timeout)|(PRM\|1\|D)|(kpr)|(kdp)|(train st.+moving)|(\|lc)|(penalty))"</v>
      </c>
      <c r="AG192" s="1" t="str">
        <f t="shared" si="81"/>
        <v>NW</v>
      </c>
      <c r="AH192" s="81" t="str">
        <f t="shared" si="82"/>
        <v>"%USERPROFILE%\Documents\GitHub\eaglep3\Utilities\RefineRTDCRunTimes.py" --tripid 837-07 --locoid 4010 --swversion DE.1.0.9.0 --startMP 204:1023 --initTime 2017-06-07T18:07:39 --startdatetime 2017-06-07T18:21:15 --delay 2 --endMP 300:58937 --enddatetime 2017-06-07T18:34:57 --enforcementcount 0 &gt;&gt;C:\Users\stu\Documents\GitHub\eaglep3-reporting\EC\2017-06-07-refined-times.txt</v>
      </c>
      <c r="AI192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{"issue":{"subject":"","project_id":79,"tracker_id":40,"status_id":1,"priority_id":2,"assigned_to_id":23,"start_date":"2017-06-07","description":"","custom_fields":[{"id":1,"name":"Subdivision","value":"NW"},{"id":4,"name":"Milepost","value":"5.8937"},{"id":17,"name":"Train ID","value":"837-07"},{"id":16,"name":"Locomotive ID","value":"4010"},{"id":130,"name":"Impact","value":""},{"id":150,"name":"Time of Event (Mountain Time)","value":"18:34:57"},{"id":151,"name":"Denver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84"/>
        <v>start /low /b %USERPROFILE%\Documents\GitHub\eaglep3\Utilities\DownloadLogsFromS3.py --loco 4010 --day 2017-06-07</v>
      </c>
      <c r="AN192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813</v>
      </c>
      <c r="B193" s="7">
        <v>4009</v>
      </c>
      <c r="C193" s="21" t="s">
        <v>204</v>
      </c>
      <c r="D193" s="21" t="s">
        <v>988</v>
      </c>
      <c r="E193" s="13">
        <v>42893.775219907409</v>
      </c>
      <c r="F193" s="13">
        <v>42893.77715277778</v>
      </c>
      <c r="G193" s="7">
        <v>1</v>
      </c>
      <c r="H193" s="21" t="s">
        <v>583</v>
      </c>
      <c r="I193" s="13">
        <v>42893.788958333331</v>
      </c>
      <c r="J193" s="7">
        <v>0</v>
      </c>
      <c r="K193" s="92" t="str">
        <f t="shared" si="71"/>
        <v>4009/4010</v>
      </c>
      <c r="L193" s="21" t="str">
        <f>VLOOKUP(A193,'Trips&amp;Operators'!$C$1:$G$99999,5,FALSE)</f>
        <v>BERLING GARY</v>
      </c>
      <c r="M193" s="6">
        <f t="shared" si="72"/>
        <v>1.1805555550381541E-2</v>
      </c>
      <c r="N193" s="7">
        <f t="shared" si="88"/>
        <v>16.999999992549419</v>
      </c>
      <c r="O193" s="7"/>
      <c r="P193" s="7"/>
      <c r="Q193" s="22"/>
      <c r="R193" s="173"/>
      <c r="S193" s="176">
        <f t="shared" si="93"/>
        <v>1</v>
      </c>
      <c r="T193" s="202" t="str">
        <f t="shared" si="73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74"/>
        <v>https://d0f6bd738d7f1b3e5a7ca70fe4ff75f0.us-east-1.aws.found.io/app/kibana#/discover/Steve-Slow-Train-Analysis-(2080s-and-2083s)?_g=(refreshInterval:(display:Off,pause:!f,section:0,value:0),time:(from:'2017-06-07T17:36:19-0600',mode:absolute,to:'2017-06-07T19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204" t="str">
        <f t="shared" si="94"/>
        <v>N</v>
      </c>
      <c r="X193" s="204">
        <f t="shared" si="90"/>
        <v>1</v>
      </c>
      <c r="Y193" s="204">
        <f t="shared" si="91"/>
        <v>5.8630000000000004</v>
      </c>
      <c r="Z193" s="204">
        <f t="shared" si="92"/>
        <v>6.7000000000000004E-2</v>
      </c>
      <c r="AA193" s="204">
        <f t="shared" si="77"/>
        <v>5.7960000000000003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78"/>
        <v>0838-07</v>
      </c>
      <c r="AE193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93" s="77" t="str">
        <f t="shared" si="80"/>
        <v>"C:\Program Files (x86)\AstroGrep\AstroGrep.exe" /e /r /s /spath="%USERPROFILE%\AppData\Local\Temp\OnboardLogs" /stypes="app*4009*20170608*" /stext=" 00:.+((SYSTEM_STATE.+slice.+state.+changed )|(ment ac)|(multiple cpu faults)|(system.+state.+changed )|(\[timeout)|(PRM\|1\|D)|(kpr)|(kdp)|(train st.+moving)|(\|lc)|(penalty))"</v>
      </c>
      <c r="AG193" s="1" t="str">
        <f t="shared" si="81"/>
        <v>NW</v>
      </c>
      <c r="AH193" s="81" t="str">
        <f t="shared" si="82"/>
        <v>"%USERPROFILE%\Documents\GitHub\eaglep3\Utilities\RefineRTDCRunTimes.py" --tripid 838-07 --locoid 4009 --swversion DE.1.0.9.0 --startMP 300:58630 --initTime 2017-06-07T18:36:19 --startdatetime 2017-06-07T18:39:06 --delay 1 --endMP 204:670 --enddatetime 2017-06-07T18:56:06 --enforcementcount 0 &gt;&gt;C:\Users\stu\Documents\GitHub\eaglep3-reporting\EC\2017-06-07-refined-times.txt</v>
      </c>
      <c r="AI193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{"issue":{"subject":"","project_id":79,"tracker_id":40,"status_id":1,"priority_id":2,"assigned_to_id":23,"start_date":"2017-06-07","description":"","custom_fields":[{"id":1,"name":"Subdivision","value":"NW"},{"id":4,"name":"Milepost","value":"0.067"},{"id":17,"name":"Train ID","value":"838-07"},{"id":16,"name":"Locomotive ID","value":"4009"},{"id":130,"name":"Impact","value":""},{"id":150,"name":"Time of Event (Mountain Time)","value":"18:56:06"},{"id":151,"name":"Denver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84"/>
        <v>start /low /b %USERPROFILE%\Documents\GitHub\eaglep3\Utilities\DownloadLogsFromS3.py --loco 4009 --day 2017-06-07</v>
      </c>
      <c r="AN193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812</v>
      </c>
      <c r="B194" s="7">
        <v>4062</v>
      </c>
      <c r="C194" s="21" t="s">
        <v>204</v>
      </c>
      <c r="D194" s="21" t="s">
        <v>989</v>
      </c>
      <c r="E194" s="13">
        <v>42893.771354166667</v>
      </c>
      <c r="F194" s="13">
        <v>42893.78597222222</v>
      </c>
      <c r="G194" s="7">
        <v>14</v>
      </c>
      <c r="H194" s="21" t="s">
        <v>990</v>
      </c>
      <c r="I194" s="13">
        <v>42893.795949074076</v>
      </c>
      <c r="J194" s="7">
        <v>0</v>
      </c>
      <c r="K194" s="92" t="str">
        <f t="shared" si="71"/>
        <v>4061/4062</v>
      </c>
      <c r="L194" s="21" t="str">
        <f>VLOOKUP(A194,'Trips&amp;Operators'!$C$1:$G$99999,5,FALSE)</f>
        <v>STAMBAUGH JAMES</v>
      </c>
      <c r="M194" s="6">
        <f t="shared" si="72"/>
        <v>9.976851855753921E-3</v>
      </c>
      <c r="N194" s="7">
        <f t="shared" si="88"/>
        <v>14.366666672285646</v>
      </c>
      <c r="O194" s="7"/>
      <c r="P194" s="7"/>
      <c r="Q194" s="22"/>
      <c r="R194" s="173"/>
      <c r="S194" s="176">
        <f t="shared" si="93"/>
        <v>1</v>
      </c>
      <c r="T194" s="202" t="str">
        <f t="shared" si="73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74"/>
        <v>https://d0f6bd738d7f1b3e5a7ca70fe4ff75f0.us-east-1.aws.found.io/app/kibana#/discover/Steve-Slow-Train-Analysis-(2080s-and-2083s)?_g=(refreshInterval:(display:Off,pause:!f,section:0,value:0),time:(from:'2017-06-07T17:30:45-0600',mode:absolute,to:'2017-06-07T20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4" s="204" t="str">
        <f t="shared" si="94"/>
        <v>N</v>
      </c>
      <c r="X194" s="204">
        <f t="shared" si="90"/>
        <v>1</v>
      </c>
      <c r="Y194" s="204">
        <f t="shared" si="91"/>
        <v>9.8100000000000007E-2</v>
      </c>
      <c r="Z194" s="204">
        <f t="shared" si="92"/>
        <v>5.8914</v>
      </c>
      <c r="AA194" s="204">
        <f t="shared" si="77"/>
        <v>5.7933000000000003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78"/>
        <v>0839-07</v>
      </c>
      <c r="AE194" s="80" t="str">
        <f t="shared" si="79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194" s="77" t="str">
        <f t="shared" si="80"/>
        <v>"C:\Program Files (x86)\AstroGrep\AstroGrep.exe" /e /r /s /spath="%USERPROFILE%\AppData\Local\Temp\OnboardLogs" /stypes="app*4062*20170608*" /stext=" 01:.+((SYSTEM_STATE.+slice.+state.+changed )|(ment ac)|(multiple cpu faults)|(system.+state.+changed )|(\[timeout)|(PRM\|1\|D)|(kpr)|(kdp)|(train st.+moving)|(\|lc)|(penalty))"</v>
      </c>
      <c r="AG194" s="1" t="str">
        <f t="shared" si="81"/>
        <v>NW</v>
      </c>
      <c r="AH194" s="81" t="str">
        <f t="shared" si="82"/>
        <v>"%USERPROFILE%\Documents\GitHub\eaglep3\Utilities\RefineRTDCRunTimes.py" --tripid 839-07 --locoid 4062 --swversion DE.1.0.9.0 --startMP 204:981 --initTime 2017-06-07T18:30:45 --startdatetime 2017-06-07T18:51:48 --delay 14 --endMP 300:58914 --enddatetime 2017-06-07T19:06:10 --enforcementcount 0 &gt;&gt;C:\Users\stu\Documents\GitHub\eaglep3-reporting\EC\2017-06-07-refined-times.txt</v>
      </c>
      <c r="AI194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{"issue":{"subject":"","project_id":79,"tracker_id":40,"status_id":1,"priority_id":2,"assigned_to_id":23,"start_date":"2017-06-07","description":"","custom_fields":[{"id":1,"name":"Subdivision","value":"NW"},{"id":4,"name":"Milepost","value":"5.8914"},{"id":17,"name":"Train ID","value":"839-07"},{"id":16,"name":"Locomotive ID","value":"4062"},{"id":130,"name":"Impact","value":""},{"id":150,"name":"Time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84"/>
        <v>start /low /b %USERPROFILE%\Documents\GitHub\eaglep3\Utilities\DownloadLogsFromS3.py --loco 4062 --day 2017-06-07</v>
      </c>
      <c r="AN194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645</v>
      </c>
      <c r="B195" s="7">
        <v>4009</v>
      </c>
      <c r="C195" s="21" t="s">
        <v>204</v>
      </c>
      <c r="D195" s="21" t="s">
        <v>991</v>
      </c>
      <c r="E195" s="13">
        <v>42893.81726851852</v>
      </c>
      <c r="F195" s="13">
        <v>42893.818599537037</v>
      </c>
      <c r="G195" s="7">
        <v>1</v>
      </c>
      <c r="H195" s="21" t="s">
        <v>992</v>
      </c>
      <c r="I195" s="13">
        <v>42893.829930555556</v>
      </c>
      <c r="J195" s="7">
        <v>0</v>
      </c>
      <c r="K195" s="92" t="str">
        <f t="shared" si="71"/>
        <v>4009/4010</v>
      </c>
      <c r="L195" s="21" t="str">
        <f>VLOOKUP(A195,'Trips&amp;Operators'!$C$1:$G$99999,5,FALSE)</f>
        <v>LOPES KIMBERLY</v>
      </c>
      <c r="M195" s="6">
        <f t="shared" si="72"/>
        <v>1.1331018518831115E-2</v>
      </c>
      <c r="N195" s="7">
        <f t="shared" si="88"/>
        <v>16.316666667116806</v>
      </c>
      <c r="O195" s="7"/>
      <c r="P195" s="7"/>
      <c r="Q195" s="22"/>
      <c r="R195" s="173"/>
      <c r="S195" s="176">
        <f t="shared" si="93"/>
        <v>1</v>
      </c>
      <c r="T195" s="202" t="str">
        <f t="shared" si="73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74"/>
        <v>https://d0f6bd738d7f1b3e5a7ca70fe4ff75f0.us-east-1.aws.found.io/app/kibana#/discover/Steve-Slow-Train-Analysis-(2080s-and-2083s)?_g=(refreshInterval:(display:Off,pause:!f,section:0,value:0),time:(from:'2017-06-07T18:36:52-0600',mode:absolute,to:'2017-06-07T20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204" t="str">
        <f t="shared" si="94"/>
        <v>N</v>
      </c>
      <c r="X195" s="204">
        <f t="shared" si="90"/>
        <v>1</v>
      </c>
      <c r="Y195" s="204">
        <f t="shared" si="91"/>
        <v>5.8647</v>
      </c>
      <c r="Z195" s="204">
        <f t="shared" si="92"/>
        <v>6.6100000000000006E-2</v>
      </c>
      <c r="AA195" s="204">
        <f t="shared" si="77"/>
        <v>5.7986000000000004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78"/>
        <v>0840-07</v>
      </c>
      <c r="AE195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95" s="77" t="str">
        <f t="shared" si="80"/>
        <v>"C:\Program Files (x86)\AstroGrep\AstroGrep.exe" /e /r /s /spath="%USERPROFILE%\AppData\Local\Temp\OnboardLogs" /stypes="app*4009*20170608*" /stext=" 01:.+((SYSTEM_STATE.+slice.+state.+changed )|(ment ac)|(multiple cpu faults)|(system.+state.+changed )|(\[timeout)|(PRM\|1\|D)|(kpr)|(kdp)|(train st.+moving)|(\|lc)|(penalty))"</v>
      </c>
      <c r="AG195" s="1" t="str">
        <f t="shared" si="81"/>
        <v>NW</v>
      </c>
      <c r="AH195" s="81" t="str">
        <f t="shared" si="82"/>
        <v>"%USERPROFILE%\Documents\GitHub\eaglep3\Utilities\RefineRTDCRunTimes.py" --tripid 840-07 --locoid 4009 --swversion DE.1.0.9.0 --startMP 300:58647 --initTime 2017-06-07T19:36:52 --startdatetime 2017-06-07T19:38:47 --delay 1 --endMP 204:661 --enddatetime 2017-06-07T19:55:06 --enforcementcount 0 &gt;&gt;C:\Users\stu\Documents\GitHub\eaglep3-reporting\EC\2017-06-07-refined-times.txt</v>
      </c>
      <c r="AI195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{"issue":{"subject":"","project_id":79,"tracker_id":40,"status_id":1,"priority_id":2,"assigned_to_id":23,"start_date":"2017-06-07","description":"","custom_fields":[{"id":1,"name":"Subdivision","value":"NW"},{"id":4,"name":"Milepost","value":"0.0661"},{"id":17,"name":"Train ID","value":"840-07"},{"id":16,"name":"Locomotive ID","value":"4009"},{"id":130,"name":"Impact","value":""},{"id":150,"name":"Time of Event (Mountain Time)","value":"19:55:06"},{"id":151,"name":"Denver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84"/>
        <v>start /low /b %USERPROFILE%\Documents\GitHub\eaglep3\Utilities\DownloadLogsFromS3.py --loco 4009 --day 2017-06-07</v>
      </c>
      <c r="AN195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818</v>
      </c>
      <c r="B196" s="7">
        <v>4010</v>
      </c>
      <c r="C196" s="21" t="s">
        <v>204</v>
      </c>
      <c r="D196" s="21" t="s">
        <v>993</v>
      </c>
      <c r="E196" s="13">
        <v>42893.803854166668</v>
      </c>
      <c r="F196" s="13">
        <v>42893.806423611109</v>
      </c>
      <c r="G196" s="7">
        <v>1</v>
      </c>
      <c r="H196" s="21" t="s">
        <v>994</v>
      </c>
      <c r="I196" s="13">
        <v>42893.815949074073</v>
      </c>
      <c r="J196" s="7">
        <v>0</v>
      </c>
      <c r="K196" s="92" t="str">
        <f t="shared" si="71"/>
        <v>4009/4010</v>
      </c>
      <c r="L196" s="21" t="str">
        <f>VLOOKUP(A196,'Trips&amp;Operators'!$C$1:$G$99999,5,FALSE)</f>
        <v>LOPES KIMBERLY</v>
      </c>
      <c r="M196" s="6">
        <f t="shared" si="72"/>
        <v>9.5254629632108845E-3</v>
      </c>
      <c r="N196" s="7">
        <f t="shared" si="88"/>
        <v>13.716666667023674</v>
      </c>
      <c r="O196" s="7"/>
      <c r="P196" s="7"/>
      <c r="Q196" s="22"/>
      <c r="R196" s="173"/>
      <c r="S196" s="176">
        <f t="shared" si="93"/>
        <v>1</v>
      </c>
      <c r="T196" s="202" t="str">
        <f t="shared" si="73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74"/>
        <v>https://d0f6bd738d7f1b3e5a7ca70fe4ff75f0.us-east-1.aws.found.io/app/kibana#/discover/Steve-Slow-Train-Analysis-(2080s-and-2083s)?_g=(refreshInterval:(display:Off,pause:!f,section:0,value:0),time:(from:'2017-06-07T18:17:33-0600',mode:absolute,to:'2017-06-07T20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04" t="str">
        <f t="shared" si="94"/>
        <v>N</v>
      </c>
      <c r="X196" s="204">
        <f t="shared" si="90"/>
        <v>1</v>
      </c>
      <c r="Y196" s="204">
        <f t="shared" si="91"/>
        <v>9.5299999999999996E-2</v>
      </c>
      <c r="Z196" s="204">
        <f t="shared" si="92"/>
        <v>5.8956</v>
      </c>
      <c r="AA196" s="204">
        <f t="shared" si="77"/>
        <v>5.8003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78"/>
        <v>0841-07</v>
      </c>
      <c r="AE196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96" s="77" t="str">
        <f t="shared" si="80"/>
        <v>"C:\Program Files (x86)\AstroGrep\AstroGrep.exe" /e /r /s /spath="%USERPROFILE%\AppData\Local\Temp\OnboardLogs" /stypes="app*4010*20170608*" /stext=" 01:.+((SYSTEM_STATE.+slice.+state.+changed )|(ment ac)|(multiple cpu faults)|(system.+state.+changed )|(\[timeout)|(PRM\|1\|D)|(kpr)|(kdp)|(train st.+moving)|(\|lc)|(penalty))"</v>
      </c>
      <c r="AG196" s="1" t="str">
        <f t="shared" si="81"/>
        <v>NW</v>
      </c>
      <c r="AH196" s="81" t="str">
        <f t="shared" si="82"/>
        <v>"%USERPROFILE%\Documents\GitHub\eaglep3\Utilities\RefineRTDCRunTimes.py" --tripid 841-07 --locoid 4010 --swversion DE.1.0.9.0 --startMP 204:953 --initTime 2017-06-07T19:17:33 --startdatetime 2017-06-07T19:21:15 --delay 1 --endMP 300:58956 --enddatetime 2017-06-07T19:34:58 --enforcementcount 0 &gt;&gt;C:\Users\stu\Documents\GitHub\eaglep3-reporting\EC\2017-06-07-refined-times.txt</v>
      </c>
      <c r="AI196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{"issue":{"subject":"","project_id":79,"tracker_id":40,"status_id":1,"priority_id":2,"assigned_to_id":23,"start_date":"2017-06-07","description":"","custom_fields":[{"id":1,"name":"Subdivision","value":"NW"},{"id":4,"name":"Milepost","value":"5.8956"},{"id":17,"name":"Train ID","value":"841-07"},{"id":16,"name":"Locomotive ID","value":"4010"},{"id":130,"name":"Impact","value":""},{"id":150,"name":"Time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84"/>
        <v>start /low /b %USERPROFILE%\Documents\GitHub\eaglep3\Utilities\DownloadLogsFromS3.py --loco 4010 --day 2017-06-07</v>
      </c>
      <c r="AN196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825</v>
      </c>
      <c r="B197" s="7">
        <v>4009</v>
      </c>
      <c r="C197" s="21" t="s">
        <v>204</v>
      </c>
      <c r="D197" s="21" t="s">
        <v>585</v>
      </c>
      <c r="E197" s="13">
        <v>42893.858969907407</v>
      </c>
      <c r="F197" s="13">
        <v>42893.860555555555</v>
      </c>
      <c r="G197" s="7">
        <v>1</v>
      </c>
      <c r="H197" s="21" t="s">
        <v>982</v>
      </c>
      <c r="I197" s="13">
        <v>42893.871666666666</v>
      </c>
      <c r="J197" s="7">
        <v>0</v>
      </c>
      <c r="K197" s="92" t="str">
        <f t="shared" si="71"/>
        <v>4009/4010</v>
      </c>
      <c r="L197" s="21" t="str">
        <f>VLOOKUP(A197,'Trips&amp;Operators'!$C$1:$G$99999,5,FALSE)</f>
        <v>LOPES KIMBERLY</v>
      </c>
      <c r="M197" s="6">
        <f t="shared" si="72"/>
        <v>1.1111111110949423E-2</v>
      </c>
      <c r="N197" s="7">
        <f t="shared" si="88"/>
        <v>15.999999999767169</v>
      </c>
      <c r="O197" s="7"/>
      <c r="P197" s="7"/>
      <c r="Q197" s="22"/>
      <c r="R197" s="173"/>
      <c r="S197" s="176">
        <f t="shared" si="93"/>
        <v>1</v>
      </c>
      <c r="T197" s="202" t="str">
        <f t="shared" si="73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74"/>
        <v>https://d0f6bd738d7f1b3e5a7ca70fe4ff75f0.us-east-1.aws.found.io/app/kibana#/discover/Steve-Slow-Train-Analysis-(2080s-and-2083s)?_g=(refreshInterval:(display:Off,pause:!f,section:0,value:0),time:(from:'2017-06-07T19:36:55-0600',mode:absolute,to:'2017-06-07T21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204" t="str">
        <f t="shared" si="94"/>
        <v>N</v>
      </c>
      <c r="X197" s="204">
        <f t="shared" si="90"/>
        <v>1</v>
      </c>
      <c r="Y197" s="204">
        <f t="shared" si="91"/>
        <v>5.8628</v>
      </c>
      <c r="Z197" s="204">
        <f t="shared" si="92"/>
        <v>6.6400000000000001E-2</v>
      </c>
      <c r="AA197" s="204">
        <f t="shared" si="77"/>
        <v>5.7964000000000002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78"/>
        <v>0842-07</v>
      </c>
      <c r="AE197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97" s="77" t="str">
        <f t="shared" si="80"/>
        <v>"C:\Program Files (x86)\AstroGrep\AstroGrep.exe" /e /r /s /spath="%USERPROFILE%\AppData\Local\Temp\OnboardLogs" /stypes="app*4009*20170608*" /stext=" 02:.+((SYSTEM_STATE.+slice.+state.+changed )|(ment ac)|(multiple cpu faults)|(system.+state.+changed )|(\[timeout)|(PRM\|1\|D)|(kpr)|(kdp)|(train st.+moving)|(\|lc)|(penalty))"</v>
      </c>
      <c r="AG197" s="1" t="str">
        <f t="shared" si="81"/>
        <v>NW</v>
      </c>
      <c r="AH197" s="81" t="str">
        <f t="shared" si="82"/>
        <v>"%USERPROFILE%\Documents\GitHub\eaglep3\Utilities\RefineRTDCRunTimes.py" --tripid 842-07 --locoid 4009 --swversion DE.1.0.9.0 --startMP 300:58628 --initTime 2017-06-07T20:36:55 --startdatetime 2017-06-07T20:39:12 --delay 1 --endMP 204:664 --enddatetime 2017-06-07T20:55:12 --enforcementcount 0 &gt;&gt;C:\Users\stu\Documents\GitHub\eaglep3-reporting\EC\2017-06-07-refined-times.txt</v>
      </c>
      <c r="AI197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{"issue":{"subject":"","project_id":79,"tracker_id":40,"status_id":1,"priority_id":2,"assigned_to_id":23,"start_date":"2017-06-07","description":"","custom_fields":[{"id":1,"name":"Subdivision","value":"NW"},{"id":4,"name":"Milepost","value":"0.0664"},{"id":17,"name":"Train ID","value":"842-07"},{"id":16,"name":"Locomotive ID","value":"4009"},{"id":130,"name":"Impact","value":""},{"id":150,"name":"Time of Event (Mountain Time)","value":"20:55:12"},{"id":151,"name":"Denver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84"/>
        <v>start /low /b %USERPROFILE%\Documents\GitHub\eaglep3\Utilities\DownloadLogsFromS3.py --loco 4009 --day 2017-06-07</v>
      </c>
      <c r="AN197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822</v>
      </c>
      <c r="B198" s="7">
        <v>4010</v>
      </c>
      <c r="C198" s="21" t="s">
        <v>204</v>
      </c>
      <c r="D198" s="21" t="s">
        <v>588</v>
      </c>
      <c r="E198" s="13">
        <v>42893.842048611114</v>
      </c>
      <c r="F198" s="13">
        <v>42893.848113425927</v>
      </c>
      <c r="G198" s="7">
        <v>1</v>
      </c>
      <c r="H198" s="21" t="s">
        <v>593</v>
      </c>
      <c r="I198" s="13">
        <v>42893.857997685183</v>
      </c>
      <c r="J198" s="7">
        <v>0</v>
      </c>
      <c r="K198" s="92" t="str">
        <f t="shared" si="71"/>
        <v>4009/4010</v>
      </c>
      <c r="L198" s="21" t="str">
        <f>VLOOKUP(A198,'Trips&amp;Operators'!$C$1:$G$99999,5,FALSE)</f>
        <v>LOPES KIMBERLY</v>
      </c>
      <c r="M198" s="6">
        <f t="shared" si="72"/>
        <v>9.8842592560686171E-3</v>
      </c>
      <c r="N198" s="7">
        <f t="shared" ref="N198:N226" si="95">24*60*SUM($M198:$M198)</f>
        <v>14.233333328738809</v>
      </c>
      <c r="O198" s="7"/>
      <c r="P198" s="7"/>
      <c r="Q198" s="22"/>
      <c r="R198" s="173"/>
      <c r="S198" s="176">
        <f t="shared" si="93"/>
        <v>1</v>
      </c>
      <c r="T198" s="202" t="str">
        <f t="shared" si="73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74"/>
        <v>https://d0f6bd738d7f1b3e5a7ca70fe4ff75f0.us-east-1.aws.found.io/app/kibana#/discover/Steve-Slow-Train-Analysis-(2080s-and-2083s)?_g=(refreshInterval:(display:Off,pause:!f,section:0,value:0),time:(from:'2017-06-07T19:12:33-0600',mode:absolute,to:'2017-06-07T21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204" t="str">
        <f t="shared" si="94"/>
        <v>N</v>
      </c>
      <c r="X198" s="204">
        <f t="shared" si="90"/>
        <v>1</v>
      </c>
      <c r="Y198" s="204">
        <f t="shared" si="91"/>
        <v>9.6500000000000002E-2</v>
      </c>
      <c r="Z198" s="204">
        <f t="shared" si="92"/>
        <v>5.8936999999999999</v>
      </c>
      <c r="AA198" s="204">
        <f t="shared" si="77"/>
        <v>5.7972000000000001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78"/>
        <v>0843-07</v>
      </c>
      <c r="AE198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198" s="77" t="str">
        <f t="shared" si="80"/>
        <v>"C:\Program Files (x86)\AstroGrep\AstroGrep.exe" /e /r /s /spath="%USERPROFILE%\AppData\Local\Temp\OnboardLogs" /stypes="app*4010*20170608*" /stext=" 02:.+((SYSTEM_STATE.+slice.+state.+changed )|(ment ac)|(multiple cpu faults)|(system.+state.+changed )|(\[timeout)|(PRM\|1\|D)|(kpr)|(kdp)|(train st.+moving)|(\|lc)|(penalty))"</v>
      </c>
      <c r="AG198" s="1" t="str">
        <f t="shared" si="81"/>
        <v>NW</v>
      </c>
      <c r="AH198" s="81" t="str">
        <f t="shared" si="82"/>
        <v>"%USERPROFILE%\Documents\GitHub\eaglep3\Utilities\RefineRTDCRunTimes.py" --tripid 843-07 --locoid 4010 --swversion DE.1.0.9.0 --startMP 204:965 --initTime 2017-06-07T20:12:33 --startdatetime 2017-06-07T20:21:17 --delay 1 --endMP 300:58937 --enddatetime 2017-06-07T20:35:31 --enforcementcount 0 &gt;&gt;C:\Users\stu\Documents\GitHub\eaglep3-reporting\EC\2017-06-07-refined-times.txt</v>
      </c>
      <c r="AI198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{"issue":{"subject":"","project_id":79,"tracker_id":40,"status_id":1,"priority_id":2,"assigned_to_id":23,"start_date":"2017-06-07","description":"","custom_fields":[{"id":1,"name":"Subdivision","value":"NW"},{"id":4,"name":"Milepost","value":"5.8937"},{"id":17,"name":"Train ID","value":"843-07"},{"id":16,"name":"Locomotive ID","value":"4010"},{"id":130,"name":"Impact","value":""},{"id":150,"name":"Time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84"/>
        <v>start /low /b %USERPROFILE%\Documents\GitHub\eaglep3\Utilities\DownloadLogsFromS3.py --loco 4010 --day 2017-06-07</v>
      </c>
      <c r="AN198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02:35:31"},{"id":29,"name":"Sharepoint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648</v>
      </c>
      <c r="B199" s="7">
        <v>4009</v>
      </c>
      <c r="C199" s="21" t="s">
        <v>204</v>
      </c>
      <c r="D199" s="21" t="s">
        <v>995</v>
      </c>
      <c r="E199" s="13">
        <v>42893.90111111111</v>
      </c>
      <c r="F199" s="13">
        <v>42893.903240740743</v>
      </c>
      <c r="G199" s="7">
        <v>2</v>
      </c>
      <c r="H199" s="21" t="s">
        <v>530</v>
      </c>
      <c r="I199" s="13">
        <v>42893.913530092592</v>
      </c>
      <c r="J199" s="7">
        <v>0</v>
      </c>
      <c r="K199" s="92" t="str">
        <f t="shared" si="71"/>
        <v>4009/4010</v>
      </c>
      <c r="L199" s="21" t="str">
        <f>VLOOKUP(A199,'Trips&amp;Operators'!$C$1:$G$99999,5,FALSE)</f>
        <v>STAMBAUGH JAMES</v>
      </c>
      <c r="M199" s="6">
        <f t="shared" si="72"/>
        <v>1.0289351848769002E-2</v>
      </c>
      <c r="N199" s="7">
        <f t="shared" si="95"/>
        <v>14.816666662227362</v>
      </c>
      <c r="O199" s="7"/>
      <c r="P199" s="7"/>
      <c r="Q199" s="22"/>
      <c r="R199" s="173"/>
      <c r="S199" s="176">
        <f t="shared" si="93"/>
        <v>1</v>
      </c>
      <c r="T199" s="202" t="str">
        <f t="shared" si="73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74"/>
        <v>https://d0f6bd738d7f1b3e5a7ca70fe4ff75f0.us-east-1.aws.found.io/app/kibana#/discover/Steve-Slow-Train-Analysis-(2080s-and-2083s)?_g=(refreshInterval:(display:Off,pause:!f,section:0,value:0),time:(from:'2017-06-07T20:37:36-0600',mode:absolute,to:'2017-06-07T22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204" t="str">
        <f t="shared" si="94"/>
        <v>N</v>
      </c>
      <c r="X199" s="204">
        <f t="shared" si="90"/>
        <v>1</v>
      </c>
      <c r="Y199" s="204">
        <f t="shared" si="91"/>
        <v>5.8604000000000003</v>
      </c>
      <c r="Z199" s="204">
        <f t="shared" si="92"/>
        <v>6.9400000000000003E-2</v>
      </c>
      <c r="AA199" s="204">
        <f t="shared" si="77"/>
        <v>5.7910000000000004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78"/>
        <v>0844-07</v>
      </c>
      <c r="AE199" s="80" t="str">
        <f t="shared" si="79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199" s="77" t="str">
        <f t="shared" si="80"/>
        <v>"C:\Program Files (x86)\AstroGrep\AstroGrep.exe" /e /r /s /spath="%USERPROFILE%\AppData\Local\Temp\OnboardLogs" /stypes="app*4009*20170608*" /stext=" 03:.+((SYSTEM_STATE.+slice.+state.+changed )|(ment ac)|(multiple cpu faults)|(system.+state.+changed )|(\[timeout)|(PRM\|1\|D)|(kpr)|(kdp)|(train st.+moving)|(\|lc)|(penalty))"</v>
      </c>
      <c r="AG199" s="1" t="str">
        <f t="shared" si="81"/>
        <v>NW</v>
      </c>
      <c r="AH199" s="81" t="str">
        <f t="shared" si="82"/>
        <v>"%USERPROFILE%\Documents\GitHub\eaglep3\Utilities\RefineRTDCRunTimes.py" --tripid 844-07 --locoid 4009 --swversion DE.1.0.9.0 --startMP 300:58604 --initTime 2017-06-07T21:37:36 --startdatetime 2017-06-07T21:40:40 --delay 2 --endMP 204:694 --enddatetime 2017-06-07T21:55:29 --enforcementcount 0 &gt;&gt;C:\Users\stu\Documents\GitHub\eaglep3-reporting\EC\2017-06-07-refined-times.txt</v>
      </c>
      <c r="AI199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{"issue":{"subject":"","project_id":79,"tracker_id":40,"status_id":1,"priority_id":2,"assigned_to_id":23,"start_date":"2017-06-07","description":"","custom_fields":[{"id":1,"name":"Subdivision","value":"NW"},{"id":4,"name":"Milepost","value":"0.0694"},{"id":17,"name":"Train ID","value":"844-07"},{"id":16,"name":"Locomotive ID","value":"4009"},{"id":130,"name":"Impact","value":""},{"id":150,"name":"Time of Event (Mountain Time)","value":"21:55:29"},{"id":151,"name":"Denver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84"/>
        <v>start /low /b %USERPROFILE%\Documents\GitHub\eaglep3\Utilities\DownloadLogsFromS3.py --loco 4009 --day 2017-06-07</v>
      </c>
      <c r="AN199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03:55:29"},{"id":29,"name":"Sharepoint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828</v>
      </c>
      <c r="B200" s="7">
        <v>4010</v>
      </c>
      <c r="C200" s="21" t="s">
        <v>204</v>
      </c>
      <c r="D200" s="21" t="s">
        <v>985</v>
      </c>
      <c r="E200" s="13">
        <v>42893.885034722225</v>
      </c>
      <c r="F200" s="13">
        <v>42893.889872685184</v>
      </c>
      <c r="G200" s="7">
        <v>2</v>
      </c>
      <c r="H200" s="21" t="s">
        <v>986</v>
      </c>
      <c r="I200" s="13">
        <v>42893.899930555555</v>
      </c>
      <c r="J200" s="7">
        <v>0</v>
      </c>
      <c r="K200" s="92" t="str">
        <f t="shared" si="71"/>
        <v>4009/4010</v>
      </c>
      <c r="L200" s="21" t="str">
        <f>VLOOKUP(A200,'Trips&amp;Operators'!$C$1:$G$99999,5,FALSE)</f>
        <v>STAMBAUGH JAMES</v>
      </c>
      <c r="M200" s="6">
        <f t="shared" si="72"/>
        <v>1.0057870371383615E-2</v>
      </c>
      <c r="N200" s="7">
        <f t="shared" si="95"/>
        <v>14.483333334792405</v>
      </c>
      <c r="O200" s="7"/>
      <c r="P200" s="7"/>
      <c r="Q200" s="22"/>
      <c r="R200" s="173"/>
      <c r="S200" s="176">
        <f t="shared" si="93"/>
        <v>1</v>
      </c>
      <c r="T200" s="202" t="str">
        <f t="shared" si="73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74"/>
        <v>https://d0f6bd738d7f1b3e5a7ca70fe4ff75f0.us-east-1.aws.found.io/app/kibana#/discover/Steve-Slow-Train-Analysis-(2080s-and-2083s)?_g=(refreshInterval:(display:Off,pause:!f,section:0,value:0),time:(from:'2017-06-07T20:14:27-0600',mode:absolute,to:'2017-06-07T22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204" t="str">
        <f t="shared" si="94"/>
        <v>N</v>
      </c>
      <c r="X200" s="204">
        <f t="shared" si="90"/>
        <v>1</v>
      </c>
      <c r="Y200" s="204">
        <f t="shared" si="91"/>
        <v>9.5699999999999993E-2</v>
      </c>
      <c r="Z200" s="204">
        <f t="shared" si="92"/>
        <v>5.8928000000000003</v>
      </c>
      <c r="AA200" s="204">
        <f t="shared" si="77"/>
        <v>5.7971000000000004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78"/>
        <v>0845-07</v>
      </c>
      <c r="AE200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200" s="77" t="str">
        <f t="shared" si="80"/>
        <v>"C:\Program Files (x86)\AstroGrep\AstroGrep.exe" /e /r /s /spath="%USERPROFILE%\AppData\Local\Temp\OnboardLogs" /stypes="app*4010*20170608*" /stext=" 03:.+((SYSTEM_STATE.+slice.+state.+changed )|(ment ac)|(multiple cpu faults)|(system.+state.+changed )|(\[timeout)|(PRM\|1\|D)|(kpr)|(kdp)|(train st.+moving)|(\|lc)|(penalty))"</v>
      </c>
      <c r="AG200" s="1" t="str">
        <f t="shared" si="81"/>
        <v>NW</v>
      </c>
      <c r="AH200" s="81" t="str">
        <f t="shared" si="82"/>
        <v>"%USERPROFILE%\Documents\GitHub\eaglep3\Utilities\RefineRTDCRunTimes.py" --tripid 845-07 --locoid 4010 --swversion DE.1.0.9.0 --startMP 204:957 --initTime 2017-06-07T21:14:27 --startdatetime 2017-06-07T21:21:25 --delay 2 --endMP 300:58928 --enddatetime 2017-06-07T21:35:54 --enforcementcount 0 &gt;&gt;C:\Users\stu\Documents\GitHub\eaglep3-reporting\EC\2017-06-07-refined-times.txt</v>
      </c>
      <c r="AI200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{"issue":{"subject":"","project_id":79,"tracker_id":40,"status_id":1,"priority_id":2,"assigned_to_id":23,"start_date":"2017-06-07","description":"","custom_fields":[{"id":1,"name":"Subdivision","value":"NW"},{"id":4,"name":"Milepost","value":"5.8928"},{"id":17,"name":"Train ID","value":"845-07"},{"id":16,"name":"Locomotive ID","value":"4010"},{"id":130,"name":"Impact","value":""},{"id":150,"name":"Time of Event (Mountain Time)","value":"21:35:54"},{"id":151,"name":"Denver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84"/>
        <v>start /low /b %USERPROFILE%\Documents\GitHub\eaglep3\Utilities\DownloadLogsFromS3.py --loco 4010 --day 2017-06-07</v>
      </c>
      <c r="AN200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831</v>
      </c>
      <c r="B201" s="7">
        <v>4010</v>
      </c>
      <c r="C201" s="21" t="s">
        <v>204</v>
      </c>
      <c r="D201" s="21" t="s">
        <v>537</v>
      </c>
      <c r="E201" s="13">
        <v>42893.916203703702</v>
      </c>
      <c r="F201" s="13">
        <v>42893.931666666664</v>
      </c>
      <c r="G201" s="7">
        <v>1</v>
      </c>
      <c r="H201" s="21" t="s">
        <v>996</v>
      </c>
      <c r="I201" s="13">
        <v>42893.94226851852</v>
      </c>
      <c r="J201" s="7">
        <v>0</v>
      </c>
      <c r="K201" s="92" t="str">
        <f t="shared" si="71"/>
        <v>4009/4010</v>
      </c>
      <c r="L201" s="21" t="str">
        <f>VLOOKUP(A201,'Trips&amp;Operators'!$C$1:$G$99999,5,FALSE)</f>
        <v>STAMBAUGH JAMES</v>
      </c>
      <c r="M201" s="6">
        <f t="shared" si="72"/>
        <v>1.0601851856335998E-2</v>
      </c>
      <c r="N201" s="7">
        <f t="shared" si="95"/>
        <v>15.266666673123837</v>
      </c>
      <c r="O201" s="7"/>
      <c r="P201" s="7"/>
      <c r="Q201" s="22"/>
      <c r="R201" s="173"/>
      <c r="S201" s="176">
        <f t="shared" si="93"/>
        <v>1</v>
      </c>
      <c r="T201" s="202" t="str">
        <f t="shared" si="73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74"/>
        <v>https://d0f6bd738d7f1b3e5a7ca70fe4ff75f0.us-east-1.aws.found.io/app/kibana#/discover/Steve-Slow-Train-Analysis-(2080s-and-2083s)?_g=(refreshInterval:(display:Off,pause:!f,section:0,value:0),time:(from:'2017-06-07T20:59:20-0600',mode:absolute,to:'2017-06-07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1" s="204" t="str">
        <f t="shared" si="94"/>
        <v>N</v>
      </c>
      <c r="X201" s="204">
        <f t="shared" si="90"/>
        <v>2</v>
      </c>
      <c r="Y201" s="204">
        <f t="shared" si="91"/>
        <v>9.64E-2</v>
      </c>
      <c r="Z201" s="204">
        <f t="shared" si="92"/>
        <v>5.891</v>
      </c>
      <c r="AA201" s="204">
        <f t="shared" si="77"/>
        <v>5.7946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78"/>
        <v>0847-07</v>
      </c>
      <c r="AE201" s="80" t="str">
        <f t="shared" si="79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201" s="77" t="str">
        <f t="shared" si="80"/>
        <v>"C:\Program Files (x86)\AstroGrep\AstroGrep.exe" /e /r /s /spath="%USERPROFILE%\AppData\Local\Temp\OnboardLogs" /stypes="app*4010*20170608*" /stext=" 04:.+((SYSTEM_STATE.+slice.+state.+changed )|(ment ac)|(multiple cpu faults)|(system.+state.+changed )|(\[timeout)|(PRM\|1\|D)|(kpr)|(kdp)|(train st.+moving)|(\|lc)|(penalty))"</v>
      </c>
      <c r="AG201" s="1" t="str">
        <f t="shared" si="81"/>
        <v>NW</v>
      </c>
      <c r="AH201" s="81" t="str">
        <f t="shared" si="82"/>
        <v>"%USERPROFILE%\Documents\GitHub\eaglep3\Utilities\RefineRTDCRunTimes.py" --tripid 847-07 --locoid 4010 --swversion DE.1.0.9.0 --startMP 204:964 --initTime 2017-06-07T21:59:20 --startdatetime 2017-06-07T22:21:36 --delay 1 --endMP 300:58910 --enddatetime 2017-06-07T22:36:52 --enforcementcount 0 &gt;&gt;C:\Users\stu\Documents\GitHub\eaglep3-reporting\EC\2017-06-07-refined-times.txt</v>
      </c>
      <c r="AI201" s="99" t="str">
        <f t="shared" si="83"/>
        <v>echo {"issue":{"subject":"","project_id":79,"tracker_id":40,"status_id":1,"priority_id":2,"assigned_to_id":23,"start_date":"2017-06-07","description":"","custom_fields":[{"id":1,"name":"Subdivision","value":"NW"},{"id":4,"name":"Milepost","value":"5.891"},{"id":17,"name":"Train ID","value":"847-07"},{"id":16,"name":"Locomotive ID","value":"4010"},{"id":130,"name":"Impact","value":""},{"id":150,"name":"Time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5" t="str">
        <f t="shared" si="84"/>
        <v>start /low /b %USERPROFILE%\Documents\GitHub\eaglep3\Utilities\DownloadLogsFromS3.py --loco 4010 --day 2017-06-07</v>
      </c>
      <c r="AN201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655</v>
      </c>
      <c r="B202" s="7">
        <v>4041</v>
      </c>
      <c r="C202" s="21" t="s">
        <v>204</v>
      </c>
      <c r="D202" s="21" t="s">
        <v>907</v>
      </c>
      <c r="E202" s="13">
        <v>42893.115624999999</v>
      </c>
      <c r="F202" s="13">
        <v>42893.118969907409</v>
      </c>
      <c r="G202" s="7">
        <v>4</v>
      </c>
      <c r="H202" s="21" t="s">
        <v>908</v>
      </c>
      <c r="I202" s="13">
        <v>42893.124675925923</v>
      </c>
      <c r="J202" s="7">
        <v>0</v>
      </c>
      <c r="K202" s="92" t="str">
        <f t="shared" si="71"/>
        <v>4041/4042</v>
      </c>
      <c r="L202" s="21" t="str">
        <f>VLOOKUP(A202,'Trips&amp;Operators'!$C$1:$G$99999,5,FALSE)</f>
        <v>THOMPSON LESTER</v>
      </c>
      <c r="M202" s="6">
        <f t="shared" si="72"/>
        <v>5.7060185135924257E-3</v>
      </c>
      <c r="N202" s="7">
        <f t="shared" si="95"/>
        <v>8.2166666595730931</v>
      </c>
      <c r="O202" s="7"/>
      <c r="P202" s="7"/>
      <c r="Q202" s="22"/>
      <c r="R202" s="173"/>
      <c r="S202" s="176">
        <f t="shared" si="93"/>
        <v>1</v>
      </c>
      <c r="T202" s="202" t="str">
        <f t="shared" si="73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74"/>
        <v>https://d0f6bd738d7f1b3e5a7ca70fe4ff75f0.us-east-1.aws.found.io/app/kibana#/discover/Steve-Slow-Train-Analysis-(2080s-and-2083s)?_g=(refreshInterval:(display:Off,pause:!f,section:0,value:0),time:(from:'2017-06-07T01:46:30-0600',mode:absolute,to:'2017-06-07T03:59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204" t="str">
        <f t="shared" si="94"/>
        <v>Y</v>
      </c>
      <c r="X202" s="204">
        <f t="shared" si="90"/>
        <v>-547</v>
      </c>
      <c r="Y202" s="204">
        <f t="shared" si="91"/>
        <v>2.3426999999999998</v>
      </c>
      <c r="Z202" s="204">
        <f t="shared" si="92"/>
        <v>1.7399999999999999E-2</v>
      </c>
      <c r="AA202" s="204">
        <f t="shared" si="77"/>
        <v>2.3252999999999999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78"/>
        <v>0300-07</v>
      </c>
      <c r="AE202" s="80" t="str">
        <f t="shared" si="79"/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AF202" s="77" t="str">
        <f t="shared" si="80"/>
        <v>"C:\Program Files (x86)\AstroGrep\AstroGrep.exe" /e /r /s /spath="%USERPROFILE%\AppData\Local\Temp\OnboardLogs" /stypes="app*4041*20170607*" /stext=" 08:.+((SYSTEM_STATE.+slice.+state.+changed )|(ment ac)|(multiple cpu faults)|(system.+state.+changed )|(\[timeout)|(PRM\|1\|D)|(kpr)|(kdp)|(train st.+moving)|(\|lc)|(penalty))"</v>
      </c>
      <c r="AG202" s="1" t="str">
        <f t="shared" si="81"/>
        <v>Other</v>
      </c>
      <c r="AH202" s="81" t="str">
        <f t="shared" si="82"/>
        <v>"%USERPROFILE%\Documents\GitHub\eaglep3\Utilities\RefineRTDCRunTimes.py" --tripid 300-07 --locoid 4041 --swversion DE.1.0.9.0 --startMP 300:23427 --initTime 2017-06-07T02:46:30 --startdatetime 2017-06-07T02:51:19 --delay 4 --endMP 204:174 --enddatetime 2017-06-07T02:59:32 --enforcementcount 0 &gt;&gt;C:\Users\stu\Documents\GitHub\eaglep3-reporting\EC\2017-06-07-refined-times.txt</v>
      </c>
      <c r="AI202" s="99" t="str">
        <f t="shared" si="83"/>
        <v>echo {"issue":{"subject":"","project_id":79,"tracker_id":40,"status_id":1,"priority_id":2,"assigned_to_id":23,"start_date":"2017-06-07","description":"","custom_fields":[{"id":1,"name":"Subdivision","value":"Other"},{"id":4,"name":"Milepost","value":"0.0174"},{"id":17,"name":"Train ID","value":"300-07"},{"id":16,"name":"Locomotive ID","value":"4041"},{"id":130,"name":"Impact","value":""},{"id":150,"name":"Time of Event (Mountain Time)","value":"02:59:32"},{"id":151,"name":"Denver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84"/>
        <v>start /low /b %USERPROFILE%\Documents\GitHub\eaglep3\Utilities\DownloadLogsFromS3.py --loco 4041 --day 2017-06-07</v>
      </c>
      <c r="AN202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08:59:32"},{"id":29,"name":"Sharepoint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659</v>
      </c>
      <c r="B203" s="7">
        <v>4013</v>
      </c>
      <c r="C203" s="21" t="s">
        <v>204</v>
      </c>
      <c r="D203" s="21" t="s">
        <v>909</v>
      </c>
      <c r="E203" s="13">
        <v>42893.141064814816</v>
      </c>
      <c r="F203" s="13">
        <v>42893.144502314812</v>
      </c>
      <c r="G203" s="7">
        <v>4</v>
      </c>
      <c r="H203" s="21" t="s">
        <v>458</v>
      </c>
      <c r="I203" s="13">
        <v>42893.150729166664</v>
      </c>
      <c r="J203" s="7">
        <v>0</v>
      </c>
      <c r="K203" s="92" t="str">
        <f t="shared" si="71"/>
        <v>4013/4014</v>
      </c>
      <c r="L203" s="21" t="str">
        <f>VLOOKUP(A203,'Trips&amp;Operators'!$C$1:$G$99999,5,FALSE)</f>
        <v>MAELZER KURT</v>
      </c>
      <c r="M203" s="6">
        <f t="shared" si="72"/>
        <v>6.2268518522614613E-3</v>
      </c>
      <c r="N203" s="7">
        <f t="shared" si="95"/>
        <v>8.9666666672565043</v>
      </c>
      <c r="O203" s="7"/>
      <c r="P203" s="7"/>
      <c r="Q203" s="22"/>
      <c r="R203" s="173"/>
      <c r="S203" s="176">
        <f t="shared" si="93"/>
        <v>1</v>
      </c>
      <c r="T203" s="202" t="str">
        <f t="shared" si="73"/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74"/>
        <v>https://d0f6bd738d7f1b3e5a7ca70fe4ff75f0.us-east-1.aws.found.io/app/kibana#/discover/Steve-Slow-Train-Analysis-(2080s-and-2083s)?_g=(refreshInterval:(display:Off,pause:!f,section:0,value:0),time:(from:'2017-06-07T02:23:08-0600',mode:absolute,to:'2017-06-07T04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3" s="204" t="str">
        <f t="shared" si="94"/>
        <v>Y</v>
      </c>
      <c r="X203" s="204">
        <f t="shared" si="90"/>
        <v>2</v>
      </c>
      <c r="Y203" s="204">
        <f t="shared" si="91"/>
        <v>2.3127</v>
      </c>
      <c r="Z203" s="204">
        <f t="shared" si="92"/>
        <v>1.38E-2</v>
      </c>
      <c r="AA203" s="204">
        <f t="shared" si="77"/>
        <v>2.2989000000000002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78"/>
        <v>0302-07</v>
      </c>
      <c r="AE203" s="80" t="str">
        <f t="shared" si="79"/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AF203" s="77" t="str">
        <f t="shared" si="80"/>
        <v>"C:\Program Files (x86)\AstroGrep\AstroGrep.exe" /e /r /s /spath="%USERPROFILE%\AppData\Local\Temp\OnboardLogs" /stypes="app*4013*20170607*" /stext=" 09:.+((SYSTEM_STATE.+slice.+state.+changed )|(ment ac)|(multiple cpu faults)|(system.+state.+changed )|(\[timeout)|(PRM\|1\|D)|(kpr)|(kdp)|(train st.+moving)|(\|lc)|(penalty))"</v>
      </c>
      <c r="AG203" s="1" t="str">
        <f t="shared" si="81"/>
        <v>Other</v>
      </c>
      <c r="AH203" s="81" t="str">
        <f t="shared" si="82"/>
        <v>"%USERPROFILE%\Documents\GitHub\eaglep3\Utilities\RefineRTDCRunTimes.py" --tripid 302-07 --locoid 4013 --swversion DE.1.0.9.0 --startMP 300:23127 --initTime 2017-06-07T03:23:08 --startdatetime 2017-06-07T03:28:05 --delay 4 --endMP 204:138 --enddatetime 2017-06-07T03:37:03 --enforcementcount 0 &gt;&gt;C:\Users\stu\Documents\GitHub\eaglep3-reporting\EC\2017-06-07-refined-times.txt</v>
      </c>
      <c r="AI203" s="99" t="str">
        <f t="shared" si="83"/>
        <v>echo {"issue":{"subject":"","project_id":79,"tracker_id":40,"status_id":1,"priority_id":2,"assigned_to_id":23,"start_date":"2017-06-07","description":"","custom_fields":[{"id":1,"name":"Subdivision","value":"Other"},{"id":4,"name":"Milepost","value":"0.0138"},{"id":17,"name":"Train ID","value":"302-07"},{"id":16,"name":"Locomotive ID","value":"4013"},{"id":130,"name":"Impact","value":""},{"id":150,"name":"Time of Event (Mountain Time)","value":"03:37:03"},{"id":151,"name":"Denver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84"/>
        <v>start /low /b %USERPROFILE%\Documents\GitHub\eaglep3\Utilities\DownloadLogsFromS3.py --loco 4013 --day 2017-06-07</v>
      </c>
      <c r="AN203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09:37:03"},{"id":29,"name":"Sharepoint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817</v>
      </c>
      <c r="B204" s="7">
        <v>4032</v>
      </c>
      <c r="C204" s="21" t="s">
        <v>204</v>
      </c>
      <c r="D204" s="21" t="s">
        <v>910</v>
      </c>
      <c r="E204" s="13">
        <v>42893.802037037036</v>
      </c>
      <c r="F204" s="13">
        <v>42893.804467592592</v>
      </c>
      <c r="G204" s="7">
        <v>1</v>
      </c>
      <c r="H204" s="21" t="s">
        <v>495</v>
      </c>
      <c r="I204" s="13">
        <v>42893.815636574072</v>
      </c>
      <c r="J204" s="7">
        <v>0</v>
      </c>
      <c r="K204" s="92" t="str">
        <f t="shared" si="71"/>
        <v>4031/4032</v>
      </c>
      <c r="L204" s="21" t="str">
        <f>VLOOKUP(A204,'Trips&amp;Operators'!$C$1:$G$99999,5,FALSE)</f>
        <v>BRUDER RICHARD</v>
      </c>
      <c r="M204" s="6">
        <f t="shared" si="72"/>
        <v>1.116898148029577E-2</v>
      </c>
      <c r="N204" s="7">
        <f t="shared" si="95"/>
        <v>16.083333331625909</v>
      </c>
      <c r="O204" s="7"/>
      <c r="P204" s="7"/>
      <c r="Q204" s="22"/>
      <c r="R204" s="173"/>
      <c r="S204" s="176">
        <f t="shared" si="93"/>
        <v>1</v>
      </c>
      <c r="T204" s="202" t="str">
        <f t="shared" si="73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74"/>
        <v>https://d0f6bd738d7f1b3e5a7ca70fe4ff75f0.us-east-1.aws.found.io/app/kibana#/discover/Steve-Slow-Train-Analysis-(2080s-and-2083s)?_g=(refreshInterval:(display:Off,pause:!f,section:0,value:0),time:(from:'2017-06-07T18:14:56-0600',mode:absolute,to:'2017-06-07T20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204" t="str">
        <f t="shared" si="94"/>
        <v>Y</v>
      </c>
      <c r="X204" s="204">
        <f t="shared" si="90"/>
        <v>1</v>
      </c>
      <c r="Y204" s="204">
        <f t="shared" si="91"/>
        <v>7.2800000000000004E-2</v>
      </c>
      <c r="Z204" s="204">
        <f t="shared" si="92"/>
        <v>2.3308</v>
      </c>
      <c r="AA204" s="204">
        <f t="shared" si="77"/>
        <v>2.258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78"/>
        <v>0303-07</v>
      </c>
      <c r="AE204" s="80" t="str">
        <f t="shared" si="79"/>
        <v>aws s3 cp s3://rtdc.mdm.uploadarchive.raw/RTDC4032/ "%USERPROFILE%\AppData\Local\Temp\OnboardLogs"\RTDC4032\2017-06-07 --exclude "*" --recursive --include "*20170607*" &amp; "%USERPROFILE%\Documents\GitHub\mrs-test-scripts\Headless Mode &amp; Sideloading\WalkAndUnGZ.bat" "%USERPROFILE%\AppData\Local\Temp\OnboardLogs"\RTDC4032\2017-06-07 &amp; 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</v>
      </c>
      <c r="AF204" s="77" t="str">
        <f t="shared" si="80"/>
        <v>"C:\Program Files (x86)\AstroGrep\AstroGrep.exe" /e /r /s /spath="%USERPROFILE%\AppData\Local\Temp\OnboardLogs" /stypes="app*4032*20170608*" /stext=" 01:.+((SYSTEM_STATE.+slice.+state.+changed )|(ment ac)|(multiple cpu faults)|(system.+state.+changed )|(\[timeout)|(PRM\|1\|D)|(kpr)|(kdp)|(train st.+moving)|(\|lc)|(penalty))"</v>
      </c>
      <c r="AG204" s="1" t="str">
        <f t="shared" si="81"/>
        <v>Other</v>
      </c>
      <c r="AH204" s="81" t="str">
        <f t="shared" si="82"/>
        <v>"%USERPROFILE%\Documents\GitHub\eaglep3\Utilities\RefineRTDCRunTimes.py" --tripid 303-07 --locoid 4032 --swversion DE.1.0.9.0 --startMP 204:728 --initTime 2017-06-07T19:14:56 --startdatetime 2017-06-07T19:18:26 --delay 1 --endMP 300:23308 --enddatetime 2017-06-07T19:34:31 --enforcementcount 0 &gt;&gt;C:\Users\stu\Documents\GitHub\eaglep3-reporting\EC\2017-06-07-refined-times.txt</v>
      </c>
      <c r="AI204" s="99" t="str">
        <f t="shared" si="83"/>
        <v>echo {"issue":{"subject":"","project_id":79,"tracker_id":40,"status_id":1,"priority_id":2,"assigned_to_id":23,"start_date":"2017-06-07","description":"","custom_fields":[{"id":1,"name":"Subdivision","value":"Other"},{"id":4,"name":"Milepost","value":"2.3308"},{"id":17,"name":"Train ID","value":"303-07"},{"id":16,"name":"Locomotive ID","value":"4032"},{"id":130,"name":"Impact","value":""},{"id":150,"name":"Time of Event (Mountain Time)","value":"19:34:31"},{"id":151,"name":"Denver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84"/>
        <v>start /low /b %USERPROFILE%\Documents\GitHub\eaglep3\Utilities\DownloadLogsFromS3.py --loco 4032 --day 2017-06-07</v>
      </c>
      <c r="AN204" s="154" t="str">
        <f t="shared" si="85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661</v>
      </c>
      <c r="B205" s="7">
        <v>4027</v>
      </c>
      <c r="C205" s="21" t="s">
        <v>204</v>
      </c>
      <c r="D205" s="21" t="s">
        <v>911</v>
      </c>
      <c r="E205" s="13">
        <v>42893.160937499997</v>
      </c>
      <c r="F205" s="13">
        <v>42893.165555555555</v>
      </c>
      <c r="G205" s="7">
        <v>6</v>
      </c>
      <c r="H205" s="21" t="s">
        <v>861</v>
      </c>
      <c r="I205" s="13">
        <v>42893.171655092592</v>
      </c>
      <c r="J205" s="7">
        <v>0</v>
      </c>
      <c r="K205" s="92" t="str">
        <f t="shared" ref="K205:K241" si="96">IF(ISEVEN(B205),(B205-1)&amp;"/"&amp;B205,B205&amp;"/"&amp;(B205+1))</f>
        <v>4027/4028</v>
      </c>
      <c r="L205" s="21" t="str">
        <f>VLOOKUP(A205,'Trips&amp;Operators'!$C$1:$G$99999,5,FALSE)</f>
        <v>STARKS ANGELINA</v>
      </c>
      <c r="M205" s="6">
        <f t="shared" ref="M205:M241" si="97">I205-F205</f>
        <v>6.0995370367891155E-3</v>
      </c>
      <c r="N205" s="7">
        <f t="shared" si="95"/>
        <v>8.7833333329763263</v>
      </c>
      <c r="O205" s="7"/>
      <c r="P205" s="7"/>
      <c r="Q205" s="22"/>
      <c r="R205" s="173"/>
      <c r="S205" s="176">
        <f t="shared" si="93"/>
        <v>1</v>
      </c>
      <c r="T205" s="202" t="str">
        <f t="shared" ref="T205:T241" si="98">IF(ISEVEN(LEFT(AD205,4)),"Southbound","NorthBound")</f>
        <v>Southbound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41" si="9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-07T02:51:45-0600',mode:absolute,to:'2017-06-07T05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204" t="str">
        <f t="shared" si="94"/>
        <v>Y</v>
      </c>
      <c r="X205" s="204">
        <f t="shared" si="90"/>
        <v>1</v>
      </c>
      <c r="Y205" s="204">
        <f t="shared" si="91"/>
        <v>2.1846000000000001</v>
      </c>
      <c r="Z205" s="204">
        <f t="shared" si="92"/>
        <v>1.7000000000000001E-2</v>
      </c>
      <c r="AA205" s="204">
        <f t="shared" ref="AA205:AA268" si="100">ABS(Z205-Y205)</f>
        <v>2.1676000000000002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1" si="101">IF(LEN(A205)=6,"0"&amp;A205,A205)</f>
        <v>0304-07</v>
      </c>
      <c r="AE205" s="80" t="str">
        <f t="shared" ref="AE205:AE241" si="10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205" s="77" t="str">
        <f t="shared" ref="AF205:AF241" si="10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/stypes="app*4027*20170607*" /stext=" 10:.+((SYSTEM_STATE.+slice.+state.+changed )|(ment ac)|(multiple cpu faults)|(system.+state.+changed )|(\[timeout)|(PRM\|1\|D)|(kpr)|(kdp)|(train st.+moving)|(\|lc)|(penalty))"</v>
      </c>
      <c r="AG205" s="1" t="str">
        <f t="shared" ref="AG205:AG241" si="104">IFERROR(IF(VALUE(LEFT(AD205,2))&lt;=2,"EC",IF(OR(VALUE(LEFT(AD205,2))=8,VALUE(LEFT(AD205,2))=18),"NW","Other")),"Other")</f>
        <v>Other</v>
      </c>
      <c r="AH205" s="81" t="str">
        <f t="shared" si="82"/>
        <v>"%USERPROFILE%\Documents\GitHub\eaglep3\Utilities\RefineRTDCRunTimes.py" --tripid 304-07 --locoid 4027 --swversion DE.1.0.9.0 --startMP 300:21846 --initTime 2017-06-07T03:51:45 --startdatetime 2017-06-07T03:58:24 --delay 6 --endMP 204:170 --enddatetime 2017-06-07T04:07:11 --enforcementcount 0 &gt;&gt;C:\Users\stu\Documents\GitHub\eaglep3-reporting\EC\2017-06-07-refined-times.txt</v>
      </c>
      <c r="AI205" s="99" t="str">
        <f t="shared" si="83"/>
        <v>echo {"issue":{"subject":"","project_id":79,"tracker_id":40,"status_id":1,"priority_id":2,"assigned_to_id":23,"start_date":"2017-06-07","description":"","custom_fields":[{"id":1,"name":"Subdivision","value":"Other"},{"id":4,"name":"Milepost","value":"0.017"},{"id":17,"name":"Train ID","value":"304-07"},{"id":16,"name":"Locomotive ID","value":"4027"},{"id":130,"name":"Impact","value":""},{"id":150,"name":"Time of Event (Mountain Time)","value":"04:07:11"},{"id":151,"name":"Denver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84"/>
        <v>start /low /b %USERPROFILE%\Documents\GitHub\eaglep3\Utilities\DownloadLogsFromS3.py --loco 4027 --day 2017-06-07</v>
      </c>
      <c r="AN205" s="154" t="str">
        <f t="shared" si="85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10:07:11"},{"id":29,"name":"Sharepoint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819</v>
      </c>
      <c r="B206" s="7">
        <v>4028</v>
      </c>
      <c r="C206" s="21" t="s">
        <v>204</v>
      </c>
      <c r="D206" s="21" t="s">
        <v>912</v>
      </c>
      <c r="E206" s="13">
        <v>42893.817118055558</v>
      </c>
      <c r="F206" s="13">
        <v>42893.818773148145</v>
      </c>
      <c r="G206" s="7">
        <v>1</v>
      </c>
      <c r="H206" s="21" t="s">
        <v>913</v>
      </c>
      <c r="I206" s="13">
        <v>42893.824756944443</v>
      </c>
      <c r="J206" s="7">
        <v>0</v>
      </c>
      <c r="K206" s="92" t="str">
        <f t="shared" si="96"/>
        <v>4027/4028</v>
      </c>
      <c r="L206" s="21" t="str">
        <f>VLOOKUP(A206,'Trips&amp;Operators'!$C$1:$G$99999,5,FALSE)</f>
        <v>LEVIN SCOTT</v>
      </c>
      <c r="M206" s="6">
        <f t="shared" si="97"/>
        <v>5.9837962980964221E-3</v>
      </c>
      <c r="N206" s="7">
        <f t="shared" si="95"/>
        <v>8.6166666692588478</v>
      </c>
      <c r="O206" s="7"/>
      <c r="P206" s="7"/>
      <c r="Q206" s="22"/>
      <c r="R206" s="173"/>
      <c r="S206" s="176">
        <f t="shared" si="93"/>
        <v>1</v>
      </c>
      <c r="T206" s="202" t="str">
        <f t="shared" si="98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99"/>
        <v>https://d0f6bd738d7f1b3e5a7ca70fe4ff75f0.us-east-1.aws.found.io/app/kibana#/discover/Steve-Slow-Train-Analysis-(2080s-and-2083s)?_g=(refreshInterval:(display:Off,pause:!f,section:0,value:0),time:(from:'2017-06-07T18:36:39-0600',mode:absolute,to:'2017-06-07T20:47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204" t="str">
        <f t="shared" si="94"/>
        <v>Y</v>
      </c>
      <c r="X206" s="204">
        <f t="shared" ref="X206:X241" si="105">VALUE(LEFT(AD206,4))-VALUE(LEFT(AD205,4))</f>
        <v>1</v>
      </c>
      <c r="Y206" s="204">
        <f t="shared" si="91"/>
        <v>4.7800000000000002E-2</v>
      </c>
      <c r="Z206" s="204">
        <f t="shared" si="92"/>
        <v>2.331</v>
      </c>
      <c r="AA206" s="204">
        <f t="shared" si="100"/>
        <v>2.2831999999999999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01"/>
        <v>0305-07</v>
      </c>
      <c r="AE206" s="80" t="str">
        <f t="shared" si="102"/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AF206" s="77" t="str">
        <f t="shared" si="103"/>
        <v>"C:\Program Files (x86)\AstroGrep\AstroGrep.exe" /e /r /s /spath="%USERPROFILE%\AppData\Local\Temp\OnboardLogs" /stypes="app*4028*20170608*" /stext=" 01:.+((SYSTEM_STATE.+slice.+state.+changed )|(ment ac)|(multiple cpu faults)|(system.+state.+changed )|(\[timeout)|(PRM\|1\|D)|(kpr)|(kdp)|(train st.+moving)|(\|lc)|(penalty))"</v>
      </c>
      <c r="AG206" s="1" t="str">
        <f t="shared" si="104"/>
        <v>Other</v>
      </c>
      <c r="AH206" s="81" t="str">
        <f t="shared" ref="AH206:AH241" si="10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305-07 --locoid 4028 --swversion DE.1.0.9.0 --startMP 204:478 --initTime 2017-06-07T19:36:39 --startdatetime 2017-06-07T19:39:02 --delay 1 --endMP 300:23310 --enddatetime 2017-06-07T19:47:39 --enforcementcount 0 &gt;&gt;C:\Users\stu\Documents\GitHub\eaglep3-reporting\EC\2017-06-07-refined-times.txt</v>
      </c>
      <c r="AI206" s="99" t="str">
        <f t="shared" ref="AI206:AI241" si="10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{"issue":{"subject":"","project_id":79,"tracker_id":40,"status_id":1,"priority_id":2,"assigned_to_id":23,"start_date":"2017-06-07","description":"","custom_fields":[{"id":1,"name":"Subdivision","value":"Other"},{"id":4,"name":"Milepost","value":"2.331"},{"id":17,"name":"Train ID","value":"305-07"},{"id":16,"name":"Locomotive ID","value":"4028"},{"id":130,"name":"Impact","value":""},{"id":150,"name":"Time of Event (Mountain Time)","value":"19:47:39"},{"id":151,"name":"Denver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41" si="108">"start /low /b "&amp;dls3logs&amp;" --loco "&amp;B206&amp;" --day "&amp;TEXT(F206,"YYYY-MM-DD")</f>
        <v>start /low /b %USERPROFILE%\Documents\GitHub\eaglep3\Utilities\DownloadLogsFromS3.py --loco 4028 --day 2017-06-07</v>
      </c>
      <c r="AN206" s="154" t="str">
        <f t="shared" ref="AN206:AN241" si="10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01:47:39"},{"id":29,"name":"Sharepoint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595</v>
      </c>
      <c r="B207" s="7">
        <v>4011</v>
      </c>
      <c r="C207" s="21" t="s">
        <v>204</v>
      </c>
      <c r="D207" s="21" t="s">
        <v>914</v>
      </c>
      <c r="E207" s="13">
        <v>42893.167824074073</v>
      </c>
      <c r="F207" s="13">
        <v>42893.171655092592</v>
      </c>
      <c r="G207" s="7">
        <v>5</v>
      </c>
      <c r="H207" s="21" t="s">
        <v>915</v>
      </c>
      <c r="I207" s="13">
        <v>42893.171886574077</v>
      </c>
      <c r="J207" s="7">
        <v>0</v>
      </c>
      <c r="K207" s="92" t="str">
        <f t="shared" si="96"/>
        <v>4011/4012</v>
      </c>
      <c r="L207" s="21" t="str">
        <f>VLOOKUP(A207,'Trips&amp;Operators'!$C$1:$G$99999,5,FALSE)</f>
        <v>HELVIE ADAM</v>
      </c>
      <c r="M207" s="6">
        <f t="shared" si="97"/>
        <v>2.3148148466134444E-4</v>
      </c>
      <c r="N207" s="7">
        <f t="shared" si="95"/>
        <v>0.33333333791233599</v>
      </c>
      <c r="O207" s="7"/>
      <c r="P207" s="7"/>
      <c r="Q207" s="22"/>
      <c r="R207" s="173"/>
      <c r="S207" s="176">
        <f t="shared" si="93"/>
        <v>0</v>
      </c>
      <c r="T207" s="202" t="str">
        <f t="shared" si="98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03" t="str">
        <f t="shared" si="99"/>
        <v>https://d0f6bd738d7f1b3e5a7ca70fe4ff75f0.us-east-1.aws.found.io/app/kibana#/discover/Steve-Slow-Train-Analysis-(2080s-and-2083s)?_g=(refreshInterval:(display:Off,pause:!f,section:0,value:0),time:(from:'2017-06-07T03:01:40-0600',mode:absolute,to:'2017-06-07T05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7" s="204" t="str">
        <f t="shared" si="94"/>
        <v>Y</v>
      </c>
      <c r="X207" s="204">
        <f t="shared" si="105"/>
        <v>1</v>
      </c>
      <c r="Y207" s="204">
        <f t="shared" si="91"/>
        <v>2.2559</v>
      </c>
      <c r="Z207" s="204">
        <f t="shared" si="92"/>
        <v>2.1537999999999999</v>
      </c>
      <c r="AA207" s="204">
        <f t="shared" si="100"/>
        <v>0.10210000000000008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1"/>
        <v>0306-07</v>
      </c>
      <c r="AE207" s="80" t="str">
        <f t="shared" si="102"/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AF207" s="77" t="str">
        <f t="shared" si="103"/>
        <v>"C:\Program Files (x86)\AstroGrep\AstroGrep.exe" /e /r /s /spath="%USERPROFILE%\AppData\Local\Temp\OnboardLogs" /stypes="app*4011*20170607*" /stext=" 10:.+((SYSTEM_STATE.+slice.+state.+changed )|(ment ac)|(multiple cpu faults)|(system.+state.+changed )|(\[timeout)|(PRM\|1\|D)|(kpr)|(kdp)|(train st.+moving)|(\|lc)|(penalty))"</v>
      </c>
      <c r="AG207" s="1" t="str">
        <f t="shared" si="104"/>
        <v>Other</v>
      </c>
      <c r="AH207" s="81" t="str">
        <f t="shared" si="106"/>
        <v>"%USERPROFILE%\Documents\GitHub\eaglep3\Utilities\RefineRTDCRunTimes.py" --tripid 306-07 --locoid 4011 --swversion DE.1.0.9.0 --startMP 300:22559 --initTime 2017-06-07T04:01:40 --startdatetime 2017-06-07T04:07:11 --delay 5 --endMP 300:21538 --enddatetime 2017-06-07T04:07:31 --enforcementcount 0 &gt;&gt;C:\Users\stu\Documents\GitHub\eaglep3-reporting\EC\2017-06-07-refined-times.txt</v>
      </c>
      <c r="AI207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{"issue":{"subject":"","project_id":79,"tracker_id":40,"status_id":1,"priority_id":2,"assigned_to_id":23,"start_date":"2017-06-07","description":"","custom_fields":[{"id":1,"name":"Subdivision","value":"Other"},{"id":4,"name":"Milepost","value":"2.1538"},{"id":17,"name":"Train ID","value":"306-07"},{"id":16,"name":"Locomotive ID","value":"4011"},{"id":130,"name":"Impact","value":""},{"id":150,"name":"Time of Event (Mountain Time)","value":"04:07:31"},{"id":151,"name":"Denver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8"/>
        <v>start /low /b %USERPROFILE%\Documents\GitHub\eaglep3\Utilities\DownloadLogsFromS3.py --loco 4011 --day 2017-06-07</v>
      </c>
      <c r="AN207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10:07:31"},{"id":29,"name":"Sharepoint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841</v>
      </c>
      <c r="B208" s="7">
        <v>4012</v>
      </c>
      <c r="C208" s="21" t="s">
        <v>204</v>
      </c>
      <c r="D208" s="21" t="s">
        <v>360</v>
      </c>
      <c r="E208" s="13">
        <v>42894.027511574073</v>
      </c>
      <c r="F208" s="13">
        <v>42894.031689814816</v>
      </c>
      <c r="G208" s="7">
        <v>1</v>
      </c>
      <c r="H208" s="21" t="s">
        <v>357</v>
      </c>
      <c r="I208" s="13">
        <v>42894.040659722225</v>
      </c>
      <c r="J208" s="7">
        <v>0</v>
      </c>
      <c r="K208" s="92" t="str">
        <f t="shared" si="96"/>
        <v>4011/4012</v>
      </c>
      <c r="L208" s="21" t="str">
        <f>VLOOKUP(A208,'Trips&amp;Operators'!$C$1:$G$99999,5,FALSE)</f>
        <v>FORTUNATO FRANK</v>
      </c>
      <c r="M208" s="6">
        <f t="shared" si="97"/>
        <v>8.969907408754807E-3</v>
      </c>
      <c r="N208" s="7">
        <f t="shared" si="95"/>
        <v>12.916666668606922</v>
      </c>
      <c r="O208" s="7"/>
      <c r="P208" s="7"/>
      <c r="Q208" s="22"/>
      <c r="R208" s="173"/>
      <c r="S208" s="176">
        <f t="shared" si="93"/>
        <v>1</v>
      </c>
      <c r="T208" s="202" t="str">
        <f t="shared" si="98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99"/>
        <v>https://d0f6bd738d7f1b3e5a7ca70fe4ff75f0.us-east-1.aws.found.io/app/kibana#/discover/Steve-Slow-Train-Analysis-(2080s-and-2083s)?_g=(refreshInterval:(display:Off,pause:!f,section:0,value:0),time:(from:'2017-06-07T23:39:37-0600',mode:absolute,to:'2017-06-08T01:58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204" t="str">
        <f t="shared" si="94"/>
        <v>Y</v>
      </c>
      <c r="X208" s="204">
        <f t="shared" si="105"/>
        <v>1</v>
      </c>
      <c r="Y208" s="204">
        <f t="shared" si="91"/>
        <v>4.4699999999999997E-2</v>
      </c>
      <c r="Z208" s="204">
        <f t="shared" si="92"/>
        <v>2.3346</v>
      </c>
      <c r="AA208" s="204">
        <f t="shared" si="100"/>
        <v>2.2898999999999998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1"/>
        <v>0307-07</v>
      </c>
      <c r="AE208" s="80" t="str">
        <f t="shared" si="102"/>
        <v>aws s3 cp s3://rtdc.mdm.uploadarchive.raw/RTDC4012/ "%USERPROFILE%\AppData\Local\Temp\OnboardLogs"\RTDC4012\2017-06-08 --exclude "*" --recursive --include "*20170608*" &amp; "%USERPROFILE%\Documents\GitHub\mrs-test-scripts\Headless Mode &amp; Sideloading\WalkAndUnGZ.bat" "%USERPROFILE%\AppData\Local\Temp\OnboardLogs"\RTDC4012\2017-06-08 &amp; aws s3 cp s3://rtdc.mdm.uploadarchive.raw/RTDC4012/ "%USERPROFILE%\AppData\Local\Temp\OnboardLogs"\RTDC4012\2017-06-09 --exclude "*" --recursive --include "*20170609*" &amp; "%USERPROFILE%\Documents\GitHub\mrs-test-scripts\Headless Mode &amp; Sideloading\WalkAndUnGZ.bat" "%USERPROFILE%\AppData\Local\Temp\OnboardLogs"\RTDC4012\2017-06-09</v>
      </c>
      <c r="AF208" s="77" t="str">
        <f t="shared" si="103"/>
        <v>"C:\Program Files (x86)\AstroGrep\AstroGrep.exe" /e /r /s /spath="%USERPROFILE%\AppData\Local\Temp\OnboardLogs" /stypes="app*4012*20170608*" /stext=" 06:.+((SYSTEM_STATE.+slice.+state.+changed )|(ment ac)|(multiple cpu faults)|(system.+state.+changed )|(\[timeout)|(PRM\|1\|D)|(kpr)|(kdp)|(train st.+moving)|(\|lc)|(penalty))"</v>
      </c>
      <c r="AG208" s="1" t="str">
        <f t="shared" si="104"/>
        <v>Other</v>
      </c>
      <c r="AH208" s="81" t="str">
        <f t="shared" si="106"/>
        <v>"%USERPROFILE%\Documents\GitHub\eaglep3\Utilities\RefineRTDCRunTimes.py" --tripid 307-07 --locoid 4012 --swversion DE.1.0.9.0 --startMP 204:447 --initTime 2017-06-08T00:39:37 --startdatetime 2017-06-08T00:45:38 --delay 1 --endMP 300:23346 --enddatetime 2017-06-08T00:58:33 --enforcementcount 0 &gt;&gt;C:\Users\stu\Documents\GitHub\eaglep3-reporting\EC\2017-06-07-refined-times.txt</v>
      </c>
      <c r="AI208" s="99" t="str">
        <f t="shared" si="107"/>
        <v>echo {"issue":{"subject":"","project_id":79,"tracker_id":40,"status_id":1,"priority_id":2,"assigned_to_id":23,"start_date":"2017-06-08","description":"","custom_fields":[{"id":1,"name":"Subdivision","value":"Other"},{"id":4,"name":"Milepost","value":"2.3346"},{"id":17,"name":"Train ID","value":"307-07"},{"id":16,"name":"Locomotive ID","value":"4012"},{"id":130,"name":"Impact","value":""},{"id":150,"name":"Time of Event (Mountain Time)","value":"00:58:33"},{"id":151,"name":"Denver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8"/>
        <v>start /low /b %USERPROFILE%\Documents\GitHub\eaglep3\Utilities\DownloadLogsFromS3.py --loco 4012 --day 2017-06-08</v>
      </c>
      <c r="AN208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06:58:33"},{"id":29,"name":"Sharepoint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664</v>
      </c>
      <c r="B209" s="7">
        <v>4031</v>
      </c>
      <c r="C209" s="21" t="s">
        <v>204</v>
      </c>
      <c r="D209" s="21" t="s">
        <v>916</v>
      </c>
      <c r="E209" s="13">
        <v>42893.179166666669</v>
      </c>
      <c r="F209" s="13">
        <v>42893.184131944443</v>
      </c>
      <c r="G209" s="7">
        <v>7</v>
      </c>
      <c r="H209" s="21" t="s">
        <v>401</v>
      </c>
      <c r="I209" s="13">
        <v>42893.191250000003</v>
      </c>
      <c r="J209" s="7">
        <v>0</v>
      </c>
      <c r="K209" s="92" t="str">
        <f t="shared" si="96"/>
        <v>4031/4032</v>
      </c>
      <c r="L209" s="21" t="str">
        <f>VLOOKUP(A209,'Trips&amp;Operators'!$C$1:$G$99999,5,FALSE)</f>
        <v>DAVIS WENDY</v>
      </c>
      <c r="M209" s="6">
        <f t="shared" si="97"/>
        <v>7.1180555605678819E-3</v>
      </c>
      <c r="N209" s="7">
        <f t="shared" si="95"/>
        <v>10.25000000721775</v>
      </c>
      <c r="O209" s="7"/>
      <c r="P209" s="7"/>
      <c r="Q209" s="22"/>
      <c r="R209" s="173"/>
      <c r="S209" s="176">
        <f t="shared" si="93"/>
        <v>1</v>
      </c>
      <c r="T209" s="202" t="str">
        <f t="shared" si="98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99"/>
        <v>https://d0f6bd738d7f1b3e5a7ca70fe4ff75f0.us-east-1.aws.found.io/app/kibana#/discover/Steve-Slow-Train-Analysis-(2080s-and-2083s)?_g=(refreshInterval:(display:Off,pause:!f,section:0,value:0),time:(from:'2017-06-07T03:18:00-0600',mode:absolute,to:'2017-06-07T05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9" s="204" t="str">
        <f t="shared" si="94"/>
        <v>Y</v>
      </c>
      <c r="X209" s="204">
        <f t="shared" si="105"/>
        <v>1</v>
      </c>
      <c r="Y209" s="204">
        <f t="shared" si="91"/>
        <v>2.2896000000000001</v>
      </c>
      <c r="Z209" s="204">
        <f t="shared" si="92"/>
        <v>1.54E-2</v>
      </c>
      <c r="AA209" s="204">
        <f t="shared" si="100"/>
        <v>2.2742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1"/>
        <v>0308-07</v>
      </c>
      <c r="AE209" s="80" t="str">
        <f t="shared" si="102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209" s="77" t="str">
        <f t="shared" si="103"/>
        <v>"C:\Program Files (x86)\AstroGrep\AstroGrep.exe" /e /r /s /spath="%USERPROFILE%\AppData\Local\Temp\OnboardLogs" /stypes="app*4031*20170607*" /stext=" 10:.+((SYSTEM_STATE.+slice.+state.+changed )|(ment ac)|(multiple cpu faults)|(system.+state.+changed )|(\[timeout)|(PRM\|1\|D)|(kpr)|(kdp)|(train st.+moving)|(\|lc)|(penalty))"</v>
      </c>
      <c r="AG209" s="1" t="str">
        <f t="shared" si="104"/>
        <v>Other</v>
      </c>
      <c r="AH209" s="81" t="str">
        <f t="shared" si="106"/>
        <v>"%USERPROFILE%\Documents\GitHub\eaglep3\Utilities\RefineRTDCRunTimes.py" --tripid 308-07 --locoid 4031 --swversion DE.1.0.9.0 --startMP 300:22896 --initTime 2017-06-07T04:18:00 --startdatetime 2017-06-07T04:25:09 --delay 7 --endMP 204:154 --enddatetime 2017-06-07T04:35:24 --enforcementcount 0 &gt;&gt;C:\Users\stu\Documents\GitHub\eaglep3-reporting\EC\2017-06-07-refined-times.txt</v>
      </c>
      <c r="AI209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{"issue":{"subject":"","project_id":79,"tracker_id":40,"status_id":1,"priority_id":2,"assigned_to_id":23,"start_date":"2017-06-07","description":"","custom_fields":[{"id":1,"name":"Subdivision","value":"Other"},{"id":4,"name":"Milepost","value":"0.0154"},{"id":17,"name":"Train ID","value":"308-07"},{"id":16,"name":"Locomotive ID","value":"4031"},{"id":130,"name":"Impact","value":""},{"id":150,"name":"Time of Event (Mountain Time)","value":"04:35:24"},{"id":151,"name":"Denver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8"/>
        <v>start /low /b %USERPROFILE%\Documents\GitHub\eaglep3\Utilities\DownloadLogsFromS3.py --loco 4031 --day 2017-06-07</v>
      </c>
      <c r="AN209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842</v>
      </c>
      <c r="B210" s="7">
        <v>4058</v>
      </c>
      <c r="C210" s="21" t="s">
        <v>204</v>
      </c>
      <c r="D210" s="21" t="s">
        <v>433</v>
      </c>
      <c r="E210" s="13">
        <v>42894.047199074077</v>
      </c>
      <c r="F210" s="13">
        <v>42894.048587962963</v>
      </c>
      <c r="G210" s="7">
        <v>1</v>
      </c>
      <c r="H210" s="21" t="s">
        <v>917</v>
      </c>
      <c r="I210" s="13">
        <v>42894.058703703704</v>
      </c>
      <c r="J210" s="7">
        <v>0</v>
      </c>
      <c r="K210" s="92" t="str">
        <f t="shared" si="96"/>
        <v>4057/4058</v>
      </c>
      <c r="L210" s="21" t="str">
        <f>VLOOKUP(A210,'Trips&amp;Operators'!$C$1:$G$99999,5,FALSE)</f>
        <v>HAITHCOX MICHAEL</v>
      </c>
      <c r="M210" s="6">
        <f t="shared" si="97"/>
        <v>1.0115740740729962E-2</v>
      </c>
      <c r="N210" s="7">
        <f t="shared" si="95"/>
        <v>14.566666666651145</v>
      </c>
      <c r="O210" s="7"/>
      <c r="P210" s="7"/>
      <c r="Q210" s="22"/>
      <c r="R210" s="173"/>
      <c r="S210" s="176">
        <f t="shared" si="93"/>
        <v>1</v>
      </c>
      <c r="T210" s="202" t="str">
        <f t="shared" si="98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99"/>
        <v>https://d0f6bd738d7f1b3e5a7ca70fe4ff75f0.us-east-1.aws.found.io/app/kibana#/discover/Steve-Slow-Train-Analysis-(2080s-and-2083s)?_g=(refreshInterval:(display:Off,pause:!f,section:0,value:0),time:(from:'2017-06-08T00:07:58-0600',mode:absolute,to:'2017-06-08T02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0" s="204" t="str">
        <f t="shared" si="94"/>
        <v>Y</v>
      </c>
      <c r="X210" s="204">
        <f t="shared" si="105"/>
        <v>1</v>
      </c>
      <c r="Y210" s="204">
        <f t="shared" si="91"/>
        <v>4.4200000000000003E-2</v>
      </c>
      <c r="Z210" s="204">
        <f t="shared" si="92"/>
        <v>2.3315999999999999</v>
      </c>
      <c r="AA210" s="204">
        <f t="shared" si="100"/>
        <v>2.2873999999999999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1"/>
        <v>0309-07</v>
      </c>
      <c r="AE210" s="80" t="str">
        <f t="shared" si="102"/>
        <v>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 &amp; aws s3 cp s3://rtdc.mdm.uploadarchive.raw/RTDC4058/ "%USERPROFILE%\AppData\Local\Temp\OnboardLogs"\RTDC4058\2017-06-09 --exclude "*" --recursive --include "*20170609*" &amp; "%USERPROFILE%\Documents\GitHub\mrs-test-scripts\Headless Mode &amp; Sideloading\WalkAndUnGZ.bat" "%USERPROFILE%\AppData\Local\Temp\OnboardLogs"\RTDC4058\2017-06-09</v>
      </c>
      <c r="AF210" s="77" t="str">
        <f t="shared" si="103"/>
        <v>"C:\Program Files (x86)\AstroGrep\AstroGrep.exe" /e /r /s /spath="%USERPROFILE%\AppData\Local\Temp\OnboardLogs" /stypes="app*4058*20170608*" /stext=" 07:.+((SYSTEM_STATE.+slice.+state.+changed )|(ment ac)|(multiple cpu faults)|(system.+state.+changed )|(\[timeout)|(PRM\|1\|D)|(kpr)|(kdp)|(train st.+moving)|(\|lc)|(penalty))"</v>
      </c>
      <c r="AG210" s="1" t="str">
        <f t="shared" si="104"/>
        <v>Other</v>
      </c>
      <c r="AH210" s="81" t="str">
        <f t="shared" si="106"/>
        <v>"%USERPROFILE%\Documents\GitHub\eaglep3\Utilities\RefineRTDCRunTimes.py" --tripid 309-07 --locoid 4058 --swversion DE.1.0.9.0 --startMP 204:442 --initTime 2017-06-08T01:07:58 --startdatetime 2017-06-08T01:09:58 --delay 1 --endMP 300:23316 --enddatetime 2017-06-08T01:24:32 --enforcementcount 0 &gt;&gt;C:\Users\stu\Documents\GitHub\eaglep3-reporting\EC\2017-06-07-refined-times.txt</v>
      </c>
      <c r="AI210" s="99" t="str">
        <f t="shared" si="107"/>
        <v>echo {"issue":{"subject":"","project_id":79,"tracker_id":40,"status_id":1,"priority_id":2,"assigned_to_id":23,"start_date":"2017-06-08","description":"","custom_fields":[{"id":1,"name":"Subdivision","value":"Other"},{"id":4,"name":"Milepost","value":"2.3316"},{"id":17,"name":"Train ID","value":"309-07"},{"id":16,"name":"Locomotive ID","value":"4058"},{"id":130,"name":"Impact","value":""},{"id":150,"name":"Time of Event (Mountain Time)","value":"01:24:32"},{"id":151,"name":"Denver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8"/>
        <v>start /low /b %USERPROFILE%\Documents\GitHub\eaglep3\Utilities\DownloadLogsFromS3.py --loco 4058 --day 2017-06-08</v>
      </c>
      <c r="AN210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07:24:32"},{"id":29,"name":"Sharepoint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671</v>
      </c>
      <c r="B211" s="7">
        <v>4057</v>
      </c>
      <c r="C211" s="21" t="s">
        <v>204</v>
      </c>
      <c r="D211" s="21" t="s">
        <v>918</v>
      </c>
      <c r="E211" s="13">
        <v>42893.204826388886</v>
      </c>
      <c r="F211" s="13">
        <v>42893.207488425927</v>
      </c>
      <c r="G211" s="7">
        <v>3</v>
      </c>
      <c r="H211" s="21" t="s">
        <v>364</v>
      </c>
      <c r="I211" s="13">
        <v>42893.212766203702</v>
      </c>
      <c r="J211" s="7">
        <v>0</v>
      </c>
      <c r="K211" s="92" t="str">
        <f t="shared" si="96"/>
        <v>4057/4058</v>
      </c>
      <c r="L211" s="21" t="str">
        <f>VLOOKUP(A211,'Trips&amp;Operators'!$C$1:$G$99999,5,FALSE)</f>
        <v>LOZA FIDEL</v>
      </c>
      <c r="M211" s="6">
        <f t="shared" si="97"/>
        <v>5.277777774608694E-3</v>
      </c>
      <c r="N211" s="7">
        <f t="shared" si="95"/>
        <v>7.5999999954365194</v>
      </c>
      <c r="O211" s="7"/>
      <c r="P211" s="7"/>
      <c r="Q211" s="22"/>
      <c r="R211" s="173"/>
      <c r="S211" s="176">
        <f t="shared" si="93"/>
        <v>1</v>
      </c>
      <c r="T211" s="202" t="str">
        <f t="shared" si="98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99"/>
        <v>https://d0f6bd738d7f1b3e5a7ca70fe4ff75f0.us-east-1.aws.found.io/app/kibana#/discover/Steve-Slow-Train-Analysis-(2080s-and-2083s)?_g=(refreshInterval:(display:Off,pause:!f,section:0,value:0),time:(from:'2017-06-07T03:54:57-0600',mode:absolute,to:'2017-06-07T06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1" s="204" t="str">
        <f t="shared" si="94"/>
        <v>Y</v>
      </c>
      <c r="X211" s="204">
        <f t="shared" si="105"/>
        <v>1</v>
      </c>
      <c r="Y211" s="204">
        <f t="shared" ref="Y211:Y241" si="110">RIGHT(D211,LEN(D211)-4)/10000</f>
        <v>2.3382999999999998</v>
      </c>
      <c r="Z211" s="204">
        <f t="shared" ref="Z211:Z241" si="111">RIGHT(H211,LEN(H211)-4)/10000</f>
        <v>1.47E-2</v>
      </c>
      <c r="AA211" s="204">
        <f t="shared" si="100"/>
        <v>2.3235999999999999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1"/>
        <v>0310-07</v>
      </c>
      <c r="AE211" s="80" t="str">
        <f t="shared" si="102"/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AF211" s="77" t="str">
        <f t="shared" si="103"/>
        <v>"C:\Program Files (x86)\AstroGrep\AstroGrep.exe" /e /r /s /spath="%USERPROFILE%\AppData\Local\Temp\OnboardLogs" /stypes="app*4057*20170607*" /stext=" 11:.+((SYSTEM_STATE.+slice.+state.+changed )|(ment ac)|(multiple cpu faults)|(system.+state.+changed )|(\[timeout)|(PRM\|1\|D)|(kpr)|(kdp)|(train st.+moving)|(\|lc)|(penalty))"</v>
      </c>
      <c r="AG211" s="1" t="str">
        <f t="shared" si="104"/>
        <v>Other</v>
      </c>
      <c r="AH211" s="81" t="str">
        <f t="shared" si="106"/>
        <v>"%USERPROFILE%\Documents\GitHub\eaglep3\Utilities\RefineRTDCRunTimes.py" --tripid 310-07 --locoid 4057 --swversion DE.1.0.9.0 --startMP 300:23383 --initTime 2017-06-07T04:54:57 --startdatetime 2017-06-07T04:58:47 --delay 3 --endMP 204:147 --enddatetime 2017-06-07T05:06:23 --enforcementcount 0 &gt;&gt;C:\Users\stu\Documents\GitHub\eaglep3-reporting\EC\2017-06-07-refined-times.txt</v>
      </c>
      <c r="AI211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{"issue":{"subject":"","project_id":79,"tracker_id":40,"status_id":1,"priority_id":2,"assigned_to_id":23,"start_date":"2017-06-07","description":"","custom_fields":[{"id":1,"name":"Subdivision","value":"Other"},{"id":4,"name":"Milepost","value":"0.0147"},{"id":17,"name":"Train ID","value":"310-07"},{"id":16,"name":"Locomotive ID","value":"4057"},{"id":130,"name":"Impact","value":""},{"id":150,"name":"Time of Event (Mountain Time)","value":"05:06:23"},{"id":151,"name":"Denver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8"/>
        <v>start /low /b %USERPROFILE%\Documents\GitHub\eaglep3\Utilities\DownloadLogsFromS3.py --loco 4057 --day 2017-06-07</v>
      </c>
      <c r="AN211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556</v>
      </c>
      <c r="B212" s="7">
        <v>4056</v>
      </c>
      <c r="C212" s="21" t="s">
        <v>204</v>
      </c>
      <c r="D212" s="21" t="s">
        <v>351</v>
      </c>
      <c r="E212" s="13">
        <v>42893.074374999997</v>
      </c>
      <c r="F212" s="13">
        <v>42893.075682870367</v>
      </c>
      <c r="G212" s="7">
        <v>1</v>
      </c>
      <c r="H212" s="21" t="s">
        <v>357</v>
      </c>
      <c r="I212" s="13">
        <v>42893.08222222222</v>
      </c>
      <c r="J212" s="7">
        <v>0</v>
      </c>
      <c r="K212" s="92" t="str">
        <f t="shared" si="96"/>
        <v>4055/4056</v>
      </c>
      <c r="L212" s="21" t="str">
        <f>VLOOKUP(A212,'Trips&amp;Operators'!$C$1:$G$99999,5,FALSE)</f>
        <v>FORTUNATO FRANK</v>
      </c>
      <c r="M212" s="6">
        <f t="shared" si="97"/>
        <v>6.5393518525524996E-3</v>
      </c>
      <c r="N212" s="7">
        <f t="shared" si="95"/>
        <v>9.4166666676755995</v>
      </c>
      <c r="O212" s="7"/>
      <c r="P212" s="7"/>
      <c r="Q212" s="22"/>
      <c r="R212" s="173"/>
      <c r="S212" s="176">
        <f t="shared" si="93"/>
        <v>1</v>
      </c>
      <c r="T212" s="202" t="str">
        <f t="shared" si="98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99"/>
        <v>https://d0f6bd738d7f1b3e5a7ca70fe4ff75f0.us-east-1.aws.found.io/app/kibana#/discover/Steve-Slow-Train-Analysis-(2080s-and-2083s)?_g=(refreshInterval:(display:Off,pause:!f,section:0,value:0),time:(from:'2017-06-07T00:47:06-0600',mode:absolute,to:'2017-06-07T02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2" s="204" t="str">
        <f t="shared" si="94"/>
        <v>Y</v>
      </c>
      <c r="X212" s="204">
        <f t="shared" si="105"/>
        <v>1</v>
      </c>
      <c r="Y212" s="204">
        <f t="shared" si="110"/>
        <v>4.58E-2</v>
      </c>
      <c r="Z212" s="204">
        <f t="shared" si="111"/>
        <v>2.3346</v>
      </c>
      <c r="AA212" s="204">
        <f t="shared" si="100"/>
        <v>2.2888000000000002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1"/>
        <v>0311-06</v>
      </c>
      <c r="AE212" s="80" t="str">
        <f t="shared" si="102"/>
        <v>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 &amp; 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</v>
      </c>
      <c r="AF212" s="77" t="str">
        <f t="shared" si="103"/>
        <v>"C:\Program Files (x86)\AstroGrep\AstroGrep.exe" /e /r /s /spath="%USERPROFILE%\AppData\Local\Temp\OnboardLogs" /stypes="app*4056*20170607*" /stext=" 07:.+((SYSTEM_STATE.+slice.+state.+changed )|(ment ac)|(multiple cpu faults)|(system.+state.+changed )|(\[timeout)|(PRM\|1\|D)|(kpr)|(kdp)|(train st.+moving)|(\|lc)|(penalty))"</v>
      </c>
      <c r="AG212" s="1" t="str">
        <f t="shared" si="104"/>
        <v>Other</v>
      </c>
      <c r="AH212" s="81" t="str">
        <f t="shared" si="106"/>
        <v>"%USERPROFILE%\Documents\GitHub\eaglep3\Utilities\RefineRTDCRunTimes.py" --tripid 311-06 --locoid 4056 --swversion DE.1.0.9.0 --startMP 204:458 --initTime 2017-06-07T01:47:06 --startdatetime 2017-06-07T01:48:59 --delay 1 --endMP 300:23346 --enddatetime 2017-06-07T01:58:24 --enforcementcount 0 &gt;&gt;C:\Users\stu\Documents\GitHub\eaglep3-reporting\EC\2017-06-07-refined-times.txt</v>
      </c>
      <c r="AI212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{"issue":{"subject":"","project_id":79,"tracker_id":40,"status_id":1,"priority_id":2,"assigned_to_id":23,"start_date":"2017-06-07","description":"","custom_fields":[{"id":1,"name":"Subdivision","value":"Other"},{"id":4,"name":"Milepost","value":"2.3346"},{"id":17,"name":"Train ID","value":"311-06"},{"id":16,"name":"Locomotive ID","value":"4056"},{"id":130,"name":"Impact","value":""},{"id":150,"name":"Time of Event (Mountain Time)","value":"01:58:24"},{"id":151,"name":"Denver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8"/>
        <v>start /low /b %USERPROFILE%\Documents\GitHub\eaglep3\Utilities\DownloadLogsFromS3.py --loco 4056 --day 2017-06-07</v>
      </c>
      <c r="AN212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07:58:24"},{"id":29,"name":"Sharepoint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844</v>
      </c>
      <c r="B213" s="7">
        <v>4016</v>
      </c>
      <c r="C213" s="21" t="s">
        <v>204</v>
      </c>
      <c r="D213" s="21" t="s">
        <v>358</v>
      </c>
      <c r="E213" s="13">
        <v>42894.06958333333</v>
      </c>
      <c r="F213" s="13">
        <v>42894.073819444442</v>
      </c>
      <c r="G213" s="7">
        <v>1</v>
      </c>
      <c r="H213" s="21" t="s">
        <v>495</v>
      </c>
      <c r="I213" s="13">
        <v>42894.078923611109</v>
      </c>
      <c r="J213" s="7">
        <v>0</v>
      </c>
      <c r="K213" s="92" t="str">
        <f t="shared" si="96"/>
        <v>4015/4016</v>
      </c>
      <c r="L213" s="21" t="str">
        <f>VLOOKUP(A213,'Trips&amp;Operators'!$C$1:$G$99999,5,FALSE)</f>
        <v>SMITH MICHAEL</v>
      </c>
      <c r="M213" s="6">
        <f t="shared" si="97"/>
        <v>5.1041666665696539E-3</v>
      </c>
      <c r="N213" s="7">
        <f t="shared" si="95"/>
        <v>7.3499999998603016</v>
      </c>
      <c r="O213" s="7"/>
      <c r="P213" s="7"/>
      <c r="Q213" s="22"/>
      <c r="R213" s="173"/>
      <c r="S213" s="176">
        <f t="shared" si="93"/>
        <v>1</v>
      </c>
      <c r="T213" s="202" t="str">
        <f t="shared" si="98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99"/>
        <v>https://d0f6bd738d7f1b3e5a7ca70fe4ff75f0.us-east-1.aws.found.io/app/kibana#/discover/Steve-Slow-Train-Analysis-(2080s-and-2083s)?_g=(refreshInterval:(display:Off,pause:!f,section:0,value:0),time:(from:'2017-06-08T00:40:12-0600',mode:absolute,to:'2017-06-08T02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204" t="str">
        <f t="shared" si="94"/>
        <v>Y</v>
      </c>
      <c r="X213" s="204">
        <f t="shared" si="105"/>
        <v>0</v>
      </c>
      <c r="Y213" s="204">
        <f t="shared" si="110"/>
        <v>4.6399999999999997E-2</v>
      </c>
      <c r="Z213" s="204">
        <f t="shared" si="111"/>
        <v>2.3308</v>
      </c>
      <c r="AA213" s="204">
        <f t="shared" si="100"/>
        <v>2.2843999999999998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1"/>
        <v>0311-07</v>
      </c>
      <c r="AE213" s="80" t="str">
        <f t="shared" si="102"/>
        <v>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 &amp; 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</v>
      </c>
      <c r="AF213" s="77" t="str">
        <f t="shared" si="103"/>
        <v>"C:\Program Files (x86)\AstroGrep\AstroGrep.exe" /e /r /s /spath="%USERPROFILE%\AppData\Local\Temp\OnboardLogs" /stypes="app*4016*20170608*" /stext=" 07:.+((SYSTEM_STATE.+slice.+state.+changed )|(ment ac)|(multiple cpu faults)|(system.+state.+changed )|(\[timeout)|(PRM\|1\|D)|(kpr)|(kdp)|(train st.+moving)|(\|lc)|(penalty))"</v>
      </c>
      <c r="AG213" s="1" t="str">
        <f t="shared" si="104"/>
        <v>Other</v>
      </c>
      <c r="AH213" s="81" t="str">
        <f t="shared" si="106"/>
        <v>"%USERPROFILE%\Documents\GitHub\eaglep3\Utilities\RefineRTDCRunTimes.py" --tripid 311-07 --locoid 4016 --swversion DE.1.0.9.0 --startMP 204:464 --initTime 2017-06-08T01:40:12 --startdatetime 2017-06-08T01:46:18 --delay 1 --endMP 300:23308 --enddatetime 2017-06-08T01:53:39 --enforcementcount 0 &gt;&gt;C:\Users\stu\Documents\GitHub\eaglep3-reporting\EC\2017-06-07-refined-times.txt</v>
      </c>
      <c r="AI213" s="99" t="str">
        <f t="shared" si="107"/>
        <v>echo {"issue":{"subject":"","project_id":79,"tracker_id":40,"status_id":1,"priority_id":2,"assigned_to_id":23,"start_date":"2017-06-08","description":"","custom_fields":[{"id":1,"name":"Subdivision","value":"Other"},{"id":4,"name":"Milepost","value":"2.3308"},{"id":17,"name":"Train ID","value":"311-07"},{"id":16,"name":"Locomotive ID","value":"4016"},{"id":130,"name":"Impact","value":""},{"id":150,"name":"Time of Event (Mountain Time)","value":"01:53:39"},{"id":151,"name":"Denver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8"/>
        <v>start /low /b %USERPROFILE%\Documents\GitHub\eaglep3\Utilities\DownloadLogsFromS3.py --loco 4016 --day 2017-06-08</v>
      </c>
      <c r="AN213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07:53:39"},{"id":29,"name":"Sharepoint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844</v>
      </c>
      <c r="B214" s="7">
        <v>4016</v>
      </c>
      <c r="C214" s="21" t="s">
        <v>204</v>
      </c>
      <c r="D214" s="21" t="s">
        <v>919</v>
      </c>
      <c r="E214" s="13">
        <v>42894.06958333333</v>
      </c>
      <c r="F214" s="13">
        <v>42894.073819444442</v>
      </c>
      <c r="G214" s="7">
        <v>15</v>
      </c>
      <c r="H214" s="21" t="s">
        <v>495</v>
      </c>
      <c r="I214" s="13">
        <v>42894.078923611109</v>
      </c>
      <c r="J214" s="7">
        <v>0</v>
      </c>
      <c r="K214" s="92" t="str">
        <f t="shared" si="96"/>
        <v>4015/4016</v>
      </c>
      <c r="L214" s="21" t="str">
        <f>VLOOKUP(A214,'Trips&amp;Operators'!$C$1:$G$99999,5,FALSE)</f>
        <v>SMITH MICHAEL</v>
      </c>
      <c r="M214" s="6">
        <f t="shared" si="97"/>
        <v>5.1041666665696539E-3</v>
      </c>
      <c r="N214" s="7">
        <f t="shared" si="95"/>
        <v>7.3499999998603016</v>
      </c>
      <c r="O214" s="7"/>
      <c r="P214" s="7"/>
      <c r="Q214" s="22"/>
      <c r="R214" s="173"/>
      <c r="S214" s="176">
        <f t="shared" si="93"/>
        <v>0</v>
      </c>
      <c r="T214" s="202" t="str">
        <f t="shared" si="98"/>
        <v>NorthBound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99"/>
        <v>https://d0f6bd738d7f1b3e5a7ca70fe4ff75f0.us-east-1.aws.found.io/app/kibana#/discover/Steve-Slow-Train-Analysis-(2080s-and-2083s)?_g=(refreshInterval:(display:Off,pause:!f,section:0,value:0),time:(from:'2017-06-08T00:40:12-0600',mode:absolute,to:'2017-06-08T02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204" t="str">
        <f t="shared" si="94"/>
        <v>Y</v>
      </c>
      <c r="X214" s="204">
        <f t="shared" si="105"/>
        <v>0</v>
      </c>
      <c r="Y214" s="204">
        <f t="shared" si="110"/>
        <v>2.3294999999999999</v>
      </c>
      <c r="Z214" s="204">
        <f t="shared" si="111"/>
        <v>2.3308</v>
      </c>
      <c r="AA214" s="204">
        <f t="shared" si="100"/>
        <v>1.3000000000000789E-3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1"/>
        <v>0311-07</v>
      </c>
      <c r="AE214" s="80" t="str">
        <f t="shared" si="102"/>
        <v>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 &amp; 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</v>
      </c>
      <c r="AF214" s="77" t="str">
        <f t="shared" si="103"/>
        <v>"C:\Program Files (x86)\AstroGrep\AstroGrep.exe" /e /r /s /spath="%USERPROFILE%\AppData\Local\Temp\OnboardLogs" /stypes="app*4016*20170608*" /stext=" 07:.+((SYSTEM_STATE.+slice.+state.+changed )|(ment ac)|(multiple cpu faults)|(system.+state.+changed )|(\[timeout)|(PRM\|1\|D)|(kpr)|(kdp)|(train st.+moving)|(\|lc)|(penalty))"</v>
      </c>
      <c r="AG214" s="1" t="str">
        <f t="shared" si="104"/>
        <v>Other</v>
      </c>
      <c r="AH214" s="81" t="str">
        <f t="shared" si="106"/>
        <v>"%USERPROFILE%\Documents\GitHub\eaglep3\Utilities\RefineRTDCRunTimes.py" --tripid 311-07 --locoid 4016 --swversion DE.1.0.9.0 --startMP 300:23295 --initTime 2017-06-08T01:40:12 --startdatetime 2017-06-08T01:46:18 --delay 15 --endMP 300:23308 --enddatetime 2017-06-08T01:53:39 --enforcementcount 0 &gt;&gt;C:\Users\stu\Documents\GitHub\eaglep3-reporting\EC\2017-06-07-refined-times.txt</v>
      </c>
      <c r="AI214" s="99" t="str">
        <f t="shared" si="107"/>
        <v>echo {"issue":{"subject":"","project_id":79,"tracker_id":40,"status_id":1,"priority_id":2,"assigned_to_id":23,"start_date":"2017-06-08","description":"","custom_fields":[{"id":1,"name":"Subdivision","value":"Other"},{"id":4,"name":"Milepost","value":"2.3308"},{"id":17,"name":"Train ID","value":"311-07"},{"id":16,"name":"Locomotive ID","value":"4016"},{"id":130,"name":"Impact","value":""},{"id":150,"name":"Time of Event (Mountain Time)","value":"01:53:39"},{"id":151,"name":"Denver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8"/>
        <v>start /low /b %USERPROFILE%\Documents\GitHub\eaglep3\Utilities\DownloadLogsFromS3.py --loco 4016 --day 2017-06-08</v>
      </c>
      <c r="AN214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07:53:39"},{"id":29,"name":"Sharepoint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676</v>
      </c>
      <c r="B215" s="7">
        <v>4045</v>
      </c>
      <c r="C215" s="21" t="s">
        <v>204</v>
      </c>
      <c r="D215" s="21" t="s">
        <v>920</v>
      </c>
      <c r="E215" s="13">
        <v>42893.225370370368</v>
      </c>
      <c r="F215" s="13">
        <v>42893.228900462964</v>
      </c>
      <c r="G215" s="7">
        <v>4</v>
      </c>
      <c r="H215" s="21" t="s">
        <v>354</v>
      </c>
      <c r="I215" s="13">
        <v>42893.23505787037</v>
      </c>
      <c r="J215" s="7">
        <v>0</v>
      </c>
      <c r="K215" s="92" t="str">
        <f t="shared" si="96"/>
        <v>4045/4046</v>
      </c>
      <c r="L215" s="21" t="str">
        <f>VLOOKUP(A215,'Trips&amp;Operators'!$C$1:$G$99999,5,FALSE)</f>
        <v>YANG JAN</v>
      </c>
      <c r="M215" s="6">
        <f t="shared" si="97"/>
        <v>6.1574074061354622E-3</v>
      </c>
      <c r="N215" s="7">
        <f t="shared" si="95"/>
        <v>8.8666666648350656</v>
      </c>
      <c r="O215" s="7"/>
      <c r="P215" s="7"/>
      <c r="Q215" s="22"/>
      <c r="R215" s="173"/>
      <c r="S215" s="176">
        <f t="shared" si="93"/>
        <v>1</v>
      </c>
      <c r="T215" s="202" t="str">
        <f t="shared" si="98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99"/>
        <v>https://d0f6bd738d7f1b3e5a7ca70fe4ff75f0.us-east-1.aws.found.io/app/kibana#/discover/Steve-Slow-Train-Analysis-(2080s-and-2083s)?_g=(refreshInterval:(display:Off,pause:!f,section:0,value:0),time:(from:'2017-06-07T04:24:32-0600',mode:absolute,to:'2017-06-07T06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5" s="204" t="str">
        <f t="shared" si="94"/>
        <v>Y</v>
      </c>
      <c r="X215" s="204">
        <f t="shared" si="105"/>
        <v>1</v>
      </c>
      <c r="Y215" s="204">
        <f t="shared" si="110"/>
        <v>2.3576000000000001</v>
      </c>
      <c r="Z215" s="204">
        <f t="shared" si="111"/>
        <v>1.43E-2</v>
      </c>
      <c r="AA215" s="204">
        <f t="shared" si="100"/>
        <v>2.3433000000000002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1"/>
        <v>0312-07</v>
      </c>
      <c r="AE215" s="80" t="str">
        <f t="shared" si="102"/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AF215" s="77" t="str">
        <f t="shared" si="103"/>
        <v>"C:\Program Files (x86)\AstroGrep\AstroGrep.exe" /e /r /s /spath="%USERPROFILE%\AppData\Local\Temp\OnboardLogs" /stypes="app*4045*20170607*" /stext=" 11:.+((SYSTEM_STATE.+slice.+state.+changed )|(ment ac)|(multiple cpu faults)|(system.+state.+changed )|(\[timeout)|(PRM\|1\|D)|(kpr)|(kdp)|(train st.+moving)|(\|lc)|(penalty))"</v>
      </c>
      <c r="AG215" s="1" t="str">
        <f t="shared" si="104"/>
        <v>Other</v>
      </c>
      <c r="AH215" s="81" t="str">
        <f t="shared" si="106"/>
        <v>"%USERPROFILE%\Documents\GitHub\eaglep3\Utilities\RefineRTDCRunTimes.py" --tripid 312-07 --locoid 4045 --swversion DE.1.0.9.0 --startMP 300:23576 --initTime 2017-06-07T05:24:32 --startdatetime 2017-06-07T05:29:37 --delay 4 --endMP 204:143 --enddatetime 2017-06-07T05:38:29 --enforcementcount 0 &gt;&gt;C:\Users\stu\Documents\GitHub\eaglep3-reporting\EC\2017-06-07-refined-times.txt</v>
      </c>
      <c r="AI215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{"issue":{"subject":"","project_id":79,"tracker_id":40,"status_id":1,"priority_id":2,"assigned_to_id":23,"start_date":"2017-06-07","description":"","custom_fields":[{"id":1,"name":"Subdivision","value":"Other"},{"id":4,"name":"Milepost","value":"0.0143"},{"id":17,"name":"Train ID","value":"312-07"},{"id":16,"name":"Locomotive ID","value":"4045"},{"id":130,"name":"Impact","value":""},{"id":150,"name":"Time of Event (Mountain Time)","value":"05:38:29"},{"id":151,"name":"Denver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8"/>
        <v>start /low /b %USERPROFILE%\Documents\GitHub\eaglep3\Utilities\DownloadLogsFromS3.py --loco 4045 --day 2017-06-07</v>
      </c>
      <c r="AN215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557</v>
      </c>
      <c r="B216" s="7">
        <v>4040</v>
      </c>
      <c r="C216" s="21" t="s">
        <v>204</v>
      </c>
      <c r="D216" s="21" t="s">
        <v>456</v>
      </c>
      <c r="E216" s="13">
        <v>42893.090300925927</v>
      </c>
      <c r="F216" s="13">
        <v>42893.091620370367</v>
      </c>
      <c r="G216" s="7">
        <v>1</v>
      </c>
      <c r="H216" s="21" t="s">
        <v>357</v>
      </c>
      <c r="I216" s="13">
        <v>42893.09884259259</v>
      </c>
      <c r="J216" s="7">
        <v>0</v>
      </c>
      <c r="K216" s="92" t="str">
        <f t="shared" si="96"/>
        <v>4039/4040</v>
      </c>
      <c r="L216" s="21" t="str">
        <f>VLOOKUP(A216,'Trips&amp;Operators'!$C$1:$G$99999,5,FALSE)</f>
        <v>MAGEE KENYA</v>
      </c>
      <c r="M216" s="6">
        <f t="shared" si="97"/>
        <v>7.2222222224809229E-3</v>
      </c>
      <c r="N216" s="7">
        <f t="shared" si="95"/>
        <v>10.400000000372529</v>
      </c>
      <c r="O216" s="7"/>
      <c r="P216" s="7"/>
      <c r="Q216" s="22"/>
      <c r="R216" s="173"/>
      <c r="S216" s="176">
        <f t="shared" si="93"/>
        <v>1</v>
      </c>
      <c r="T216" s="202" t="str">
        <f t="shared" si="98"/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99"/>
        <v>https://d0f6bd738d7f1b3e5a7ca70fe4ff75f0.us-east-1.aws.found.io/app/kibana#/discover/Steve-Slow-Train-Analysis-(2080s-and-2083s)?_g=(refreshInterval:(display:Off,pause:!f,section:0,value:0),time:(from:'2017-06-07T01:10:02-0600',mode:absolute,to:'2017-06-07T03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204" t="str">
        <f t="shared" si="94"/>
        <v>Y</v>
      </c>
      <c r="X216" s="204">
        <f t="shared" si="105"/>
        <v>1</v>
      </c>
      <c r="Y216" s="204">
        <f t="shared" si="110"/>
        <v>4.6699999999999998E-2</v>
      </c>
      <c r="Z216" s="204">
        <f t="shared" si="111"/>
        <v>2.3346</v>
      </c>
      <c r="AA216" s="204">
        <f t="shared" si="100"/>
        <v>2.2879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1"/>
        <v>0313-06</v>
      </c>
      <c r="AE216" s="80" t="str">
        <f t="shared" si="102"/>
        <v>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 &amp; aws s3 cp s3://rtdc.mdm.uploadarchive.raw/RTDC4040/ "%USERPROFILE%\AppData\Local\Temp\OnboardLogs"\RTDC4040\2017-06-08 --exclude "*" --recursive --include "*20170608*" &amp; "%USERPROFILE%\Documents\GitHub\mrs-test-scripts\Headless Mode &amp; Sideloading\WalkAndUnGZ.bat" "%USERPROFILE%\AppData\Local\Temp\OnboardLogs"\RTDC4040\2017-06-08</v>
      </c>
      <c r="AF216" s="77" t="str">
        <f t="shared" si="103"/>
        <v>"C:\Program Files (x86)\AstroGrep\AstroGrep.exe" /e /r /s /spath="%USERPROFILE%\AppData\Local\Temp\OnboardLogs" /stypes="app*4040*20170607*" /stext=" 08:.+((SYSTEM_STATE.+slice.+state.+changed )|(ment ac)|(multiple cpu faults)|(system.+state.+changed )|(\[timeout)|(PRM\|1\|D)|(kpr)|(kdp)|(train st.+moving)|(\|lc)|(penalty))"</v>
      </c>
      <c r="AG216" s="1" t="str">
        <f t="shared" si="104"/>
        <v>Other</v>
      </c>
      <c r="AH216" s="81" t="str">
        <f t="shared" si="106"/>
        <v>"%USERPROFILE%\Documents\GitHub\eaglep3\Utilities\RefineRTDCRunTimes.py" --tripid 313-06 --locoid 4040 --swversion DE.1.0.9.0 --startMP 204:467 --initTime 2017-06-07T02:10:02 --startdatetime 2017-06-07T02:11:56 --delay 1 --endMP 300:23346 --enddatetime 2017-06-07T02:22:20 --enforcementcount 0 &gt;&gt;C:\Users\stu\Documents\GitHub\eaglep3-reporting\EC\2017-06-07-refined-times.txt</v>
      </c>
      <c r="AI216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{"issue":{"subject":"","project_id":79,"tracker_id":40,"status_id":1,"priority_id":2,"assigned_to_id":23,"start_date":"2017-06-07","description":"","custom_fields":[{"id":1,"name":"Subdivision","value":"Other"},{"id":4,"name":"Milepost","value":"2.3346"},{"id":17,"name":"Train ID","value":"313-06"},{"id":16,"name":"Locomotive ID","value":"4040"},{"id":130,"name":"Impact","value":""},{"id":150,"name":"Time of Event (Mountain Time)","value":"02:22:20"},{"id":151,"name":"Denver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8"/>
        <v>start /low /b %USERPROFILE%\Documents\GitHub\eaglep3\Utilities\DownloadLogsFromS3.py --loco 4040 --day 2017-06-07</v>
      </c>
      <c r="AN216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08:22:20"},{"id":29,"name":"Sharepoint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845</v>
      </c>
      <c r="B217" s="7">
        <v>4046</v>
      </c>
      <c r="C217" s="21" t="s">
        <v>204</v>
      </c>
      <c r="D217" s="21" t="s">
        <v>456</v>
      </c>
      <c r="E217" s="13">
        <v>42894.089687500003</v>
      </c>
      <c r="F217" s="13">
        <v>42894.091354166667</v>
      </c>
      <c r="G217" s="7">
        <v>1</v>
      </c>
      <c r="H217" s="21" t="s">
        <v>913</v>
      </c>
      <c r="I217" s="13">
        <v>42894.100243055553</v>
      </c>
      <c r="J217" s="7">
        <v>0</v>
      </c>
      <c r="K217" s="92" t="str">
        <f t="shared" si="96"/>
        <v>4045/4046</v>
      </c>
      <c r="L217" s="21" t="str">
        <f>VLOOKUP(A217,'Trips&amp;Operators'!$C$1:$G$99999,5,FALSE)</f>
        <v>SAFIEF AEIMEN</v>
      </c>
      <c r="M217" s="6">
        <f t="shared" si="97"/>
        <v>8.8888888858491555E-3</v>
      </c>
      <c r="N217" s="7">
        <f t="shared" si="95"/>
        <v>12.799999995622784</v>
      </c>
      <c r="O217" s="7"/>
      <c r="P217" s="7"/>
      <c r="Q217" s="22"/>
      <c r="R217" s="173"/>
      <c r="S217" s="176">
        <f t="shared" ref="S217:S241" si="112">SUM(U217:U217)/IF(AG217="EC",12,1)</f>
        <v>1</v>
      </c>
      <c r="T217" s="202" t="str">
        <f t="shared" si="98"/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99"/>
        <v>https://d0f6bd738d7f1b3e5a7ca70fe4ff75f0.us-east-1.aws.found.io/app/kibana#/discover/Steve-Slow-Train-Analysis-(2080s-and-2083s)?_g=(refreshInterval:(display:Off,pause:!f,section:0,value:0),time:(from:'2017-06-08T01:09:09-0600',mode:absolute,to:'2017-06-08T03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204" t="str">
        <f t="shared" si="94"/>
        <v>Y</v>
      </c>
      <c r="X217" s="204">
        <f t="shared" si="105"/>
        <v>0</v>
      </c>
      <c r="Y217" s="204">
        <f t="shared" si="110"/>
        <v>4.6699999999999998E-2</v>
      </c>
      <c r="Z217" s="204">
        <f t="shared" si="111"/>
        <v>2.331</v>
      </c>
      <c r="AA217" s="204">
        <f t="shared" si="100"/>
        <v>2.2843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1"/>
        <v>0313-07</v>
      </c>
      <c r="AE217" s="80" t="str">
        <f t="shared" si="102"/>
        <v>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 &amp; 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</v>
      </c>
      <c r="AF217" s="77" t="str">
        <f t="shared" si="103"/>
        <v>"C:\Program Files (x86)\AstroGrep\AstroGrep.exe" /e /r /s /spath="%USERPROFILE%\AppData\Local\Temp\OnboardLogs" /stypes="app*4046*20170608*" /stext=" 08:.+((SYSTEM_STATE.+slice.+state.+changed )|(ment ac)|(multiple cpu faults)|(system.+state.+changed )|(\[timeout)|(PRM\|1\|D)|(kpr)|(kdp)|(train st.+moving)|(\|lc)|(penalty))"</v>
      </c>
      <c r="AG217" s="1" t="str">
        <f t="shared" si="104"/>
        <v>Other</v>
      </c>
      <c r="AH217" s="81" t="str">
        <f t="shared" si="106"/>
        <v>"%USERPROFILE%\Documents\GitHub\eaglep3\Utilities\RefineRTDCRunTimes.py" --tripid 313-07 --locoid 4046 --swversion DE.1.0.9.0 --startMP 204:467 --initTime 2017-06-08T02:09:09 --startdatetime 2017-06-08T02:11:33 --delay 1 --endMP 300:23310 --enddatetime 2017-06-08T02:24:21 --enforcementcount 0 &gt;&gt;C:\Users\stu\Documents\GitHub\eaglep3-reporting\EC\2017-06-07-refined-times.txt</v>
      </c>
      <c r="AI217" s="99" t="str">
        <f t="shared" si="107"/>
        <v>echo {"issue":{"subject":"","project_id":79,"tracker_id":40,"status_id":1,"priority_id":2,"assigned_to_id":23,"start_date":"2017-06-08","description":"","custom_fields":[{"id":1,"name":"Subdivision","value":"Other"},{"id":4,"name":"Milepost","value":"2.331"},{"id":17,"name":"Train ID","value":"313-07"},{"id":16,"name":"Locomotive ID","value":"4046"},{"id":130,"name":"Impact","value":""},{"id":150,"name":"Time of Event (Mountain Time)","value":"02:24:21"},{"id":151,"name":"Denver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8"/>
        <v>start /low /b %USERPROFILE%\Documents\GitHub\eaglep3\Utilities\DownloadLogsFromS3.py --loco 4046 --day 2017-06-08</v>
      </c>
      <c r="AN217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08:24:21"},{"id":29,"name":"Sharepoint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670</v>
      </c>
      <c r="B218" s="7">
        <v>4062</v>
      </c>
      <c r="C218" s="21" t="s">
        <v>204</v>
      </c>
      <c r="D218" s="21" t="s">
        <v>997</v>
      </c>
      <c r="E218" s="13">
        <v>42893.203460648147</v>
      </c>
      <c r="F218" s="13">
        <v>42893.207916666666</v>
      </c>
      <c r="G218" s="7">
        <v>6</v>
      </c>
      <c r="H218" s="21" t="s">
        <v>998</v>
      </c>
      <c r="I218" s="13">
        <v>42893.213321759256</v>
      </c>
      <c r="J218" s="7">
        <v>0</v>
      </c>
      <c r="K218" s="92" t="str">
        <f t="shared" si="96"/>
        <v>4061/4062</v>
      </c>
      <c r="L218" s="21" t="str">
        <f>VLOOKUP(A218,'Trips&amp;Operators'!$C$1:$G$99999,5,FALSE)</f>
        <v>MACDONALD THOMAS</v>
      </c>
      <c r="M218" s="6">
        <f t="shared" si="97"/>
        <v>5.4050925900810398E-3</v>
      </c>
      <c r="N218" s="7">
        <f t="shared" si="95"/>
        <v>7.7833333297166973</v>
      </c>
      <c r="O218" s="7"/>
      <c r="P218" s="7"/>
      <c r="Q218" s="22"/>
      <c r="R218" s="173"/>
      <c r="S218" s="176">
        <f t="shared" si="112"/>
        <v>0</v>
      </c>
      <c r="T218" s="202" t="str">
        <f t="shared" si="98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99"/>
        <v>https://d0f6bd738d7f1b3e5a7ca70fe4ff75f0.us-east-1.aws.found.io/app/kibana#/discover/Steve-Slow-Train-Analysis-(2080s-and-2083s)?_g=(refreshInterval:(display:Off,pause:!f,section:0,value:0),time:(from:'2017-06-07T03:52:59-0600',mode:absolute,to:'2017-06-07T06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8" s="204" t="str">
        <f t="shared" si="94"/>
        <v>Y</v>
      </c>
      <c r="X218" s="204">
        <f t="shared" si="105"/>
        <v>588</v>
      </c>
      <c r="Y218" s="204">
        <f t="shared" si="110"/>
        <v>3.0097</v>
      </c>
      <c r="Z218" s="204">
        <f t="shared" si="111"/>
        <v>5.8948</v>
      </c>
      <c r="AA218" s="204">
        <f t="shared" si="100"/>
        <v>2.8851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1"/>
        <v>0901-07</v>
      </c>
      <c r="AE218" s="80" t="str">
        <f t="shared" si="102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218" s="77" t="str">
        <f t="shared" si="103"/>
        <v>"C:\Program Files (x86)\AstroGrep\AstroGrep.exe" /e /r /s /spath="%USERPROFILE%\AppData\Local\Temp\OnboardLogs" /stypes="app*4062*20170607*" /stext=" 11:.+((SYSTEM_STATE.+slice.+state.+changed )|(ment ac)|(multiple cpu faults)|(system.+state.+changed )|(\[timeout)|(PRM\|1\|D)|(kpr)|(kdp)|(train st.+moving)|(\|lc)|(penalty))"</v>
      </c>
      <c r="AG218" s="1" t="str">
        <f t="shared" si="104"/>
        <v>Other</v>
      </c>
      <c r="AH218" s="81" t="str">
        <f t="shared" si="106"/>
        <v>"%USERPROFILE%\Documents\GitHub\eaglep3\Utilities\RefineRTDCRunTimes.py" --tripid 901-07 --locoid 4062 --swversion DE.1.0.9.0 --startMP 300:30097 --initTime 2017-06-07T04:52:59 --startdatetime 2017-06-07T04:59:24 --delay 6 --endMP 300:58948 --enddatetime 2017-06-07T05:07:11 --enforcementcount 0 &gt;&gt;C:\Users\stu\Documents\GitHub\eaglep3-reporting\EC\2017-06-07-refined-times.txt</v>
      </c>
      <c r="AI218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{"issue":{"subject":"","project_id":79,"tracker_id":40,"status_id":1,"priority_id":2,"assigned_to_id":23,"start_date":"2017-06-07","description":"","custom_fields":[{"id":1,"name":"Subdivision","value":"Other"},{"id":4,"name":"Milepost","value":"5.8948"},{"id":17,"name":"Train ID","value":"901-07"},{"id":16,"name":"Locomotive ID","value":"4062"},{"id":130,"name":"Impact","value":""},{"id":150,"name":"Time of Event (Mountain Time)","value":"05:07:11"},{"id":151,"name":"Denver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8"/>
        <v>start /low /b %USERPROFILE%\Documents\GitHub\eaglep3\Utilities\DownloadLogsFromS3.py --loco 4062 --day 2017-06-07</v>
      </c>
      <c r="AN218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677</v>
      </c>
      <c r="B219" s="7">
        <v>4009</v>
      </c>
      <c r="C219" s="21" t="s">
        <v>204</v>
      </c>
      <c r="D219" s="21" t="s">
        <v>999</v>
      </c>
      <c r="E219" s="13">
        <v>42893.234722222223</v>
      </c>
      <c r="F219" s="13">
        <v>42893.23846064815</v>
      </c>
      <c r="G219" s="7">
        <v>5</v>
      </c>
      <c r="H219" s="21" t="s">
        <v>592</v>
      </c>
      <c r="I219" s="13">
        <v>42893.247106481482</v>
      </c>
      <c r="J219" s="7">
        <v>0</v>
      </c>
      <c r="K219" s="92" t="str">
        <f t="shared" si="96"/>
        <v>4009/4010</v>
      </c>
      <c r="L219" s="21" t="str">
        <f>VLOOKUP(A219,'Trips&amp;Operators'!$C$1:$G$99999,5,FALSE)</f>
        <v>GEBRETEKLE DAGNEW</v>
      </c>
      <c r="M219" s="6">
        <f t="shared" si="97"/>
        <v>8.6458333316841163E-3</v>
      </c>
      <c r="N219" s="7">
        <f t="shared" si="95"/>
        <v>12.449999997625127</v>
      </c>
      <c r="O219" s="7"/>
      <c r="P219" s="7"/>
      <c r="Q219" s="22"/>
      <c r="R219" s="173"/>
      <c r="S219" s="176">
        <f t="shared" si="112"/>
        <v>1</v>
      </c>
      <c r="T219" s="202" t="str">
        <f t="shared" si="98"/>
        <v>Southbound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99"/>
        <v>https://d0f6bd738d7f1b3e5a7ca70fe4ff75f0.us-east-1.aws.found.io/app/kibana#/discover/Steve-Slow-Train-Analysis-(2080s-and-2083s)?_g=(refreshInterval:(display:Off,pause:!f,section:0,value:0),time:(from:'2017-06-07T04:38:00-0600',mode:absolute,to:'2017-06-07T06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204" t="str">
        <f t="shared" si="94"/>
        <v>Y</v>
      </c>
      <c r="X219" s="204">
        <f t="shared" si="105"/>
        <v>1</v>
      </c>
      <c r="Y219" s="204">
        <f t="shared" si="110"/>
        <v>2.3612000000000002</v>
      </c>
      <c r="Z219" s="204">
        <f t="shared" si="111"/>
        <v>6.9599999999999995E-2</v>
      </c>
      <c r="AA219" s="204">
        <f t="shared" si="100"/>
        <v>2.2916000000000003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1"/>
        <v>0902-07</v>
      </c>
      <c r="AE219" s="80" t="str">
        <f t="shared" si="102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219" s="77" t="str">
        <f t="shared" si="103"/>
        <v>"C:\Program Files (x86)\AstroGrep\AstroGrep.exe" /e /r /s /spath="%USERPROFILE%\AppData\Local\Temp\OnboardLogs" /stypes="app*4009*20170607*" /stext=" 11:.+((SYSTEM_STATE.+slice.+state.+changed )|(ment ac)|(multiple cpu faults)|(system.+state.+changed )|(\[timeout)|(PRM\|1\|D)|(kpr)|(kdp)|(train st.+moving)|(\|lc)|(penalty))"</v>
      </c>
      <c r="AG219" s="1" t="str">
        <f t="shared" si="104"/>
        <v>Other</v>
      </c>
      <c r="AH219" s="81" t="str">
        <f t="shared" si="106"/>
        <v>"%USERPROFILE%\Documents\GitHub\eaglep3\Utilities\RefineRTDCRunTimes.py" --tripid 902-07 --locoid 4009 --swversion DE.1.0.9.0 --startMP 300:23612 --initTime 2017-06-07T05:38:00 --startdatetime 2017-06-07T05:43:23 --delay 5 --endMP 204:696 --enddatetime 2017-06-07T05:55:50 --enforcementcount 0 &gt;&gt;C:\Users\stu\Documents\GitHub\eaglep3-reporting\EC\2017-06-07-refined-times.txt</v>
      </c>
      <c r="AI219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{"issue":{"subject":"","project_id":79,"tracker_id":40,"status_id":1,"priority_id":2,"assigned_to_id":23,"start_date":"2017-06-07","description":"","custom_fields":[{"id":1,"name":"Subdivision","value":"Other"},{"id":4,"name":"Milepost","value":"0.0696"},{"id":17,"name":"Train ID","value":"902-07"},{"id":16,"name":"Locomotive ID","value":"4009"},{"id":130,"name":"Impact","value":""},{"id":150,"name":"Time of Event (Mountain Time)","value":"05:55:50"},{"id":151,"name":"Denver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8"/>
        <v>start /low /b %USERPROFILE%\Documents\GitHub\eaglep3\Utilities\DownloadLogsFromS3.py --loco 4009 --day 2017-06-07</v>
      </c>
      <c r="AN219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707</v>
      </c>
      <c r="B220" s="7">
        <v>4062</v>
      </c>
      <c r="C220" s="21" t="s">
        <v>204</v>
      </c>
      <c r="D220" s="21" t="s">
        <v>1000</v>
      </c>
      <c r="E220" s="13">
        <v>42893.352187500001</v>
      </c>
      <c r="F220" s="13">
        <v>42893.354259259257</v>
      </c>
      <c r="G220" s="7">
        <v>2</v>
      </c>
      <c r="H220" s="21" t="s">
        <v>1001</v>
      </c>
      <c r="I220" s="13">
        <v>42893.360127314816</v>
      </c>
      <c r="J220" s="7">
        <v>0</v>
      </c>
      <c r="K220" s="92" t="str">
        <f t="shared" si="96"/>
        <v>4061/4062</v>
      </c>
      <c r="L220" s="21" t="str">
        <f>VLOOKUP(A220,'Trips&amp;Operators'!$C$1:$G$99999,5,FALSE)</f>
        <v>MACDONALD THOMAS</v>
      </c>
      <c r="M220" s="6">
        <f t="shared" si="97"/>
        <v>5.8680555594037287E-3</v>
      </c>
      <c r="N220" s="7">
        <f t="shared" si="95"/>
        <v>8.4500000055413693</v>
      </c>
      <c r="O220" s="7"/>
      <c r="P220" s="7"/>
      <c r="Q220" s="22"/>
      <c r="R220" s="173"/>
      <c r="S220" s="176">
        <f t="shared" si="112"/>
        <v>1</v>
      </c>
      <c r="T220" s="202" t="str">
        <f t="shared" si="98"/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99"/>
        <v>https://d0f6bd738d7f1b3e5a7ca70fe4ff75f0.us-east-1.aws.found.io/app/kibana#/discover/Steve-Slow-Train-Analysis-(2080s-and-2083s)?_g=(refreshInterval:(display:Off,pause:!f,section:0,value:0),time:(from:'2017-06-07T07:27:09-0600',mode:absolute,to:'2017-06-07T09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0" s="204" t="str">
        <f t="shared" si="94"/>
        <v>Y</v>
      </c>
      <c r="X220" s="204">
        <f t="shared" si="105"/>
        <v>1</v>
      </c>
      <c r="Y220" s="204">
        <f t="shared" si="110"/>
        <v>0.10349999999999999</v>
      </c>
      <c r="Z220" s="204">
        <f t="shared" si="111"/>
        <v>2.4239000000000002</v>
      </c>
      <c r="AA220" s="204">
        <f t="shared" si="100"/>
        <v>2.3204000000000002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1"/>
        <v>0903-07</v>
      </c>
      <c r="AE220" s="80" t="str">
        <f t="shared" si="102"/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AF220" s="77" t="str">
        <f t="shared" si="103"/>
        <v>"C:\Program Files (x86)\AstroGrep\AstroGrep.exe" /e /r /s /spath="%USERPROFILE%\AppData\Local\Temp\OnboardLogs" /stypes="app*4062*20170607*" /stext=" 14:.+((SYSTEM_STATE.+slice.+state.+changed )|(ment ac)|(multiple cpu faults)|(system.+state.+changed )|(\[timeout)|(PRM\|1\|D)|(kpr)|(kdp)|(train st.+moving)|(\|lc)|(penalty))"</v>
      </c>
      <c r="AG220" s="1" t="str">
        <f t="shared" si="104"/>
        <v>Other</v>
      </c>
      <c r="AH220" s="81" t="str">
        <f t="shared" si="106"/>
        <v>"%USERPROFILE%\Documents\GitHub\eaglep3\Utilities\RefineRTDCRunTimes.py" --tripid 903-07 --locoid 4062 --swversion DE.1.0.9.0 --startMP 204:1035 --initTime 2017-06-07T08:27:09 --startdatetime 2017-06-07T08:30:08 --delay 2 --endMP 300:24239 --enddatetime 2017-06-07T08:38:35 --enforcementcount 0 &gt;&gt;C:\Users\stu\Documents\GitHub\eaglep3-reporting\EC\2017-06-07-refined-times.txt</v>
      </c>
      <c r="AI220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{"issue":{"subject":"","project_id":79,"tracker_id":40,"status_id":1,"priority_id":2,"assigned_to_id":23,"start_date":"2017-06-07","description":"","custom_fields":[{"id":1,"name":"Subdivision","value":"Other"},{"id":4,"name":"Milepost","value":"2.4239"},{"id":17,"name":"Train ID","value":"903-07"},{"id":16,"name":"Locomotive ID","value":"4062"},{"id":130,"name":"Impact","value":""},{"id":150,"name":"Time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8"/>
        <v>start /low /b %USERPROFILE%\Documents\GitHub\eaglep3\Utilities\DownloadLogsFromS3.py --loco 4062 --day 2017-06-07</v>
      </c>
      <c r="AN220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14:38:35"},{"id":29,"name":"Sharepoint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2" t="s">
        <v>628</v>
      </c>
      <c r="B221" s="7">
        <v>4061</v>
      </c>
      <c r="C221" s="21" t="s">
        <v>204</v>
      </c>
      <c r="D221" s="21" t="s">
        <v>1002</v>
      </c>
      <c r="E221" s="13">
        <v>42893.640972222223</v>
      </c>
      <c r="F221" s="13">
        <v>42893.650671296295</v>
      </c>
      <c r="G221" s="7">
        <v>13</v>
      </c>
      <c r="H221" s="21" t="s">
        <v>538</v>
      </c>
      <c r="I221" s="13">
        <v>42893.65315972222</v>
      </c>
      <c r="J221" s="7">
        <v>0</v>
      </c>
      <c r="K221" s="92" t="str">
        <f t="shared" si="96"/>
        <v>4061/4062</v>
      </c>
      <c r="L221" s="21" t="str">
        <f>VLOOKUP(A221,'Trips&amp;Operators'!$C$1:$G$99999,5,FALSE)</f>
        <v>BERLING GARY</v>
      </c>
      <c r="M221" s="6">
        <f t="shared" si="97"/>
        <v>2.488425925548654E-3</v>
      </c>
      <c r="N221" s="7">
        <f t="shared" si="95"/>
        <v>3.5833333327900618</v>
      </c>
      <c r="O221" s="7"/>
      <c r="P221" s="7"/>
      <c r="Q221" s="22"/>
      <c r="R221" s="173"/>
      <c r="S221" s="176">
        <f t="shared" si="112"/>
        <v>1</v>
      </c>
      <c r="T221" s="202" t="str">
        <f t="shared" si="98"/>
        <v>Southbound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99"/>
        <v>https://d0f6bd738d7f1b3e5a7ca70fe4ff75f0.us-east-1.aws.found.io/app/kibana#/discover/Steve-Slow-Train-Analysis-(2080s-and-2083s)?_g=(refreshInterval:(display:Off,pause:!f,section:0,value:0),time:(from:'2017-06-07T14:23:00-0600',mode:absolute,to:'2017-06-07T16:40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1" s="204" t="str">
        <f t="shared" si="94"/>
        <v>Y</v>
      </c>
      <c r="X221" s="204">
        <f t="shared" si="105"/>
        <v>1</v>
      </c>
      <c r="Y221" s="204">
        <f t="shared" si="110"/>
        <v>2.2463000000000002</v>
      </c>
      <c r="Z221" s="204">
        <f t="shared" si="111"/>
        <v>6.6799999999999998E-2</v>
      </c>
      <c r="AA221" s="204">
        <f t="shared" si="100"/>
        <v>2.1795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1"/>
        <v>0904-07</v>
      </c>
      <c r="AE221" s="80" t="str">
        <f t="shared" si="102"/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AF221" s="77" t="str">
        <f t="shared" si="103"/>
        <v>"C:\Program Files (x86)\AstroGrep\AstroGrep.exe" /e /r /s /spath="%USERPROFILE%\AppData\Local\Temp\OnboardLogs" /stypes="app*4061*20170607*" /stext=" 21:.+((SYSTEM_STATE.+slice.+state.+changed )|(ment ac)|(multiple cpu faults)|(system.+state.+changed )|(\[timeout)|(PRM\|1\|D)|(kpr)|(kdp)|(train st.+moving)|(\|lc)|(penalty))"</v>
      </c>
      <c r="AG221" s="1" t="str">
        <f t="shared" si="104"/>
        <v>Other</v>
      </c>
      <c r="AH221" s="81" t="str">
        <f t="shared" si="106"/>
        <v>"%USERPROFILE%\Documents\GitHub\eaglep3\Utilities\RefineRTDCRunTimes.py" --tripid 904-07 --locoid 4061 --swversion DE.1.0.9.0 --startMP 300:22463 --initTime 2017-06-07T15:23:00 --startdatetime 2017-06-07T15:36:58 --delay 13 --endMP 204:668 --enddatetime 2017-06-07T15:40:33 --enforcementcount 0 &gt;&gt;C:\Users\stu\Documents\GitHub\eaglep3-reporting\EC\2017-06-07-refined-times.txt</v>
      </c>
      <c r="AI221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{"issue":{"subject":"","project_id":79,"tracker_id":40,"status_id":1,"priority_id":2,"assigned_to_id":23,"start_date":"2017-06-07","description":"","custom_fields":[{"id":1,"name":"Subdivision","value":"Other"},{"id":4,"name":"Milepost","value":"0.0668"},{"id":17,"name":"Train ID","value":"904-07"},{"id":16,"name":"Locomotive ID","value":"4061"},{"id":130,"name":"Impact","value":""},{"id":150,"name":"Time of Event (Mountain Time)","value":"15:40:33"},{"id":151,"name":"Denver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5" t="str">
        <f t="shared" si="108"/>
        <v>start /low /b %USERPROFILE%\Documents\GitHub\eaglep3\Utilities\DownloadLogsFromS3.py --loco 4061 --day 2017-06-07</v>
      </c>
      <c r="AN221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21:40:33"},{"id":29,"name":"Sharepoint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816</v>
      </c>
      <c r="B222" s="7">
        <v>4061</v>
      </c>
      <c r="C222" s="21" t="s">
        <v>204</v>
      </c>
      <c r="D222" s="21" t="s">
        <v>1003</v>
      </c>
      <c r="E222" s="13">
        <v>42893.796990740739</v>
      </c>
      <c r="F222" s="13">
        <v>25568.708333333332</v>
      </c>
      <c r="G222" s="7">
        <v>2</v>
      </c>
      <c r="H222" s="21" t="s">
        <v>1004</v>
      </c>
      <c r="I222" s="13">
        <v>25568.708333333332</v>
      </c>
      <c r="J222" s="7">
        <v>0</v>
      </c>
      <c r="K222" s="92" t="str">
        <f t="shared" si="96"/>
        <v>4061/4062</v>
      </c>
      <c r="L222" s="21" t="str">
        <f>VLOOKUP(A222,'Trips&amp;Operators'!$C$1:$G$99999,5,FALSE)</f>
        <v>STAMBAUGH JAMES</v>
      </c>
      <c r="M222" s="6">
        <f t="shared" si="97"/>
        <v>0</v>
      </c>
      <c r="N222" s="7">
        <f t="shared" si="95"/>
        <v>0</v>
      </c>
      <c r="O222" s="7"/>
      <c r="P222" s="7"/>
      <c r="Q222" s="22"/>
      <c r="R222" s="173"/>
      <c r="S222" s="176">
        <f t="shared" si="112"/>
        <v>0</v>
      </c>
      <c r="T222" s="202" t="str">
        <f t="shared" si="98"/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 t="shared" si="99"/>
        <v>https://d0f6bd738d7f1b3e5a7ca70fe4ff75f0.us-east-1.aws.found.io/app/kibana#/discover/Steve-Slow-Train-Analysis-(2080s-and-2083s)?_g=(refreshInterval:(display:Off,pause:!f,section:0,value:0),time:(from:'2017-06-07T18:07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2" s="204" t="str">
        <f t="shared" si="94"/>
        <v>Y</v>
      </c>
      <c r="X222" s="204">
        <f t="shared" si="105"/>
        <v>2</v>
      </c>
      <c r="Y222" s="204">
        <f t="shared" si="110"/>
        <v>5.8559999999999999</v>
      </c>
      <c r="Z222" s="204">
        <f t="shared" si="111"/>
        <v>2.1404999999999998</v>
      </c>
      <c r="AA222" s="204">
        <f t="shared" si="100"/>
        <v>3.7155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1"/>
        <v>0906-07</v>
      </c>
      <c r="AE222" s="80" t="str">
        <f t="shared" si="102"/>
        <v>aws s3 cp s3://rtdc.mdm.uploadarchive.raw/RTDC4061/ "%USERPROFILE%\AppData\Local\Temp\OnboardLogs"\RTDC4061\1969-12-31 --exclude "*" --recursive --include "*19691231*" &amp; "%USERPROFILE%\Documents\GitHub\mrs-test-scripts\Headless Mode &amp; Sideloading\WalkAndUnGZ.bat" "%USERPROFILE%\AppData\Local\Temp\OnboardLogs"\RTDC4061\1969-12-31 &amp; aws s3 cp s3://rtdc.mdm.uploadarchive.raw/RTDC4061/ "%USERPROFILE%\AppData\Local\Temp\OnboardLogs"\RTDC4061\1970-01-01 --exclude "*" --recursive --include "*19700101*" &amp; "%USERPROFILE%\Documents\GitHub\mrs-test-scripts\Headless Mode &amp; Sideloading\WalkAndUnGZ.bat" "%USERPROFILE%\AppData\Local\Temp\OnboardLogs"\RTDC4061\1970-01-01</v>
      </c>
      <c r="AF222" s="77" t="str">
        <f t="shared" si="103"/>
        <v>"C:\Program Files (x86)\AstroGrep\AstroGrep.exe" /e /r /s /spath="%USERPROFILE%\AppData\Local\Temp\OnboardLogs" /stypes="app*4061*19691231*" /stext=" 23:.+((SYSTEM_STATE.+slice.+state.+changed )|(ment ac)|(multiple cpu faults)|(system.+state.+changed )|(\[timeout)|(PRM\|1\|D)|(kpr)|(kdp)|(train st.+moving)|(\|lc)|(penalty))"</v>
      </c>
      <c r="AG222" s="1" t="str">
        <f t="shared" si="104"/>
        <v>Other</v>
      </c>
      <c r="AH222" s="81" t="str">
        <f t="shared" si="106"/>
        <v>"%USERPROFILE%\Documents\GitHub\eaglep3\Utilities\RefineRTDCRunTimes.py" --tripid 906-07 --locoid 4061 --swversion DE.1.0.9.0 --startMP 300:58560 --initTime 2017-06-07T19:07:40 --startdatetime 1969-12-31T17:00:00 --delay 2 --endMP 300:21405 --enddatetime 1969-12-31T17:00:00 --enforcementcount 0 &gt;&gt;C:\Users\stu\Documents\GitHub\eaglep3-reporting\EC\2017-06-07-refined-times.txt</v>
      </c>
      <c r="AI222" s="99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{"issue":{"subject":"","project_id":79,"tracker_id":40,"status_id":1,"priority_id":2,"assigned_to_id":23,"start_date":"1969-12-31","description":"","custom_fields":[{"id":1,"name":"Subdivision","value":"Other"},{"id":4,"name":"Milepost","value":"2.1405"},{"id":17,"name":"Train ID","value":"906-07"},{"id":16,"name":"Locomotive ID","value":"4061"},{"id":130,"name":"Impact","value":""},{"id":150,"name":"Time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8"/>
        <v>start /low /b %USERPROFILE%\Documents\GitHub\eaglep3\Utilities\DownloadLogsFromS3.py --loco 4061 --day 1969-12-31</v>
      </c>
      <c r="AN222" s="154" t="str">
        <f t="shared" si="10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650</v>
      </c>
      <c r="B223" s="7">
        <v>4009</v>
      </c>
      <c r="C223" s="21" t="s">
        <v>204</v>
      </c>
      <c r="D223" s="21" t="s">
        <v>995</v>
      </c>
      <c r="E223" s="13">
        <v>42893.943379629629</v>
      </c>
      <c r="F223" s="13">
        <v>42893.944849537038</v>
      </c>
      <c r="G223" s="7">
        <v>1</v>
      </c>
      <c r="H223" s="21" t="s">
        <v>1005</v>
      </c>
      <c r="I223" s="13">
        <v>42893.944953703707</v>
      </c>
      <c r="J223" s="7">
        <v>0</v>
      </c>
      <c r="K223" s="92" t="str">
        <f t="shared" si="96"/>
        <v>4009/4010</v>
      </c>
      <c r="L223" s="21" t="str">
        <f>VLOOKUP(A223,'Trips&amp;Operators'!$C$1:$G$99999,5,FALSE)</f>
        <v>STAMBAUGH JAMES</v>
      </c>
      <c r="M223" s="6">
        <f t="shared" si="97"/>
        <v>1.0416666918899864E-4</v>
      </c>
      <c r="N223" s="7">
        <f t="shared" si="95"/>
        <v>0.15000000363215804</v>
      </c>
      <c r="O223" s="7"/>
      <c r="P223" s="7"/>
      <c r="Q223" s="22"/>
      <c r="R223" s="173"/>
      <c r="S223" s="176">
        <f t="shared" si="112"/>
        <v>0</v>
      </c>
      <c r="T223" s="202" t="str">
        <f t="shared" si="98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99"/>
        <v>https://d0f6bd738d7f1b3e5a7ca70fe4ff75f0.us-east-1.aws.found.io/app/kibana#/discover/Steve-Slow-Train-Analysis-(2080s-and-2083s)?_g=(refreshInterval:(display:Off,pause:!f,section:0,value:0),time:(from:'2017-06-07T21:38:28-0600',mode:absolute,to:'2017-06-07T23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3" s="204" t="str">
        <f t="shared" ref="W223:W241" si="113">IF(AA223&lt;IF(AG223="EC",23,5.65),"Y","N")</f>
        <v>Y</v>
      </c>
      <c r="X223" s="204">
        <f t="shared" si="105"/>
        <v>2</v>
      </c>
      <c r="Y223" s="204">
        <f t="shared" si="110"/>
        <v>5.8604000000000003</v>
      </c>
      <c r="Z223" s="204">
        <f t="shared" si="111"/>
        <v>5.8414999999999999</v>
      </c>
      <c r="AA223" s="204">
        <f t="shared" si="100"/>
        <v>1.8900000000000361E-2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1"/>
        <v>0908-07</v>
      </c>
      <c r="AE223" s="80" t="str">
        <f t="shared" si="102"/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AF223" s="77" t="str">
        <f t="shared" si="103"/>
        <v>"C:\Program Files (x86)\AstroGrep\AstroGrep.exe" /e /r /s /spath="%USERPROFILE%\AppData\Local\Temp\OnboardLogs" /stypes="app*4009*20170608*" /stext=" 04:.+((SYSTEM_STATE.+slice.+state.+changed )|(ment ac)|(multiple cpu faults)|(system.+state.+changed )|(\[timeout)|(PRM\|1\|D)|(kpr)|(kdp)|(train st.+moving)|(\|lc)|(penalty))"</v>
      </c>
      <c r="AG223" s="1" t="str">
        <f t="shared" si="104"/>
        <v>Other</v>
      </c>
      <c r="AH223" s="81" t="str">
        <f t="shared" si="106"/>
        <v>"%USERPROFILE%\Documents\GitHub\eaglep3\Utilities\RefineRTDCRunTimes.py" --tripid 908-07 --locoid 4009 --swversion DE.1.0.9.0 --startMP 300:58604 --initTime 2017-06-07T22:38:28 --startdatetime 2017-06-07T22:40:35 --delay 1 --endMP 300:58415 --enddatetime 2017-06-07T22:40:44 --enforcementcount 0 &gt;&gt;C:\Users\stu\Documents\GitHub\eaglep3-reporting\EC\2017-06-07-refined-times.txt</v>
      </c>
      <c r="AI223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{"issue":{"subject":"","project_id":79,"tracker_id":40,"status_id":1,"priority_id":2,"assigned_to_id":23,"start_date":"2017-06-07","description":"","custom_fields":[{"id":1,"name":"Subdivision","value":"Other"},{"id":4,"name":"Milepost","value":"5.8415"},{"id":17,"name":"Train ID","value":"908-07"},{"id":16,"name":"Locomotive ID","value":"4009"},{"id":130,"name":"Impact","value":""},{"id":150,"name":"Time of Event (Mountain Time)","value":"22:40:44"},{"id":151,"name":"Denver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08"/>
        <v>start /low /b %USERPROFILE%\Documents\GitHub\eaglep3\Utilities\DownloadLogsFromS3.py --loco 4009 --day 2017-06-07</v>
      </c>
      <c r="AN223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04:40:44"},{"id":29,"name":"Sharepoint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656</v>
      </c>
      <c r="B224" s="7">
        <v>4041</v>
      </c>
      <c r="C224" s="21" t="s">
        <v>204</v>
      </c>
      <c r="D224" s="21" t="s">
        <v>921</v>
      </c>
      <c r="E224" s="13">
        <v>42893.142858796295</v>
      </c>
      <c r="F224" s="13">
        <v>42893.145231481481</v>
      </c>
      <c r="G224" s="7">
        <v>1</v>
      </c>
      <c r="H224" s="21" t="s">
        <v>922</v>
      </c>
      <c r="I224" s="13">
        <v>42893.146296296298</v>
      </c>
      <c r="J224" s="7">
        <v>0</v>
      </c>
      <c r="K224" s="92" t="str">
        <f t="shared" si="96"/>
        <v>4041/4042</v>
      </c>
      <c r="L224" s="21" t="str">
        <f>VLOOKUP(A224,'Trips&amp;Operators'!$C$1:$G$99999,5,FALSE)</f>
        <v>SPECTOR MICHAEL</v>
      </c>
      <c r="M224" s="6">
        <f t="shared" si="97"/>
        <v>1.0648148163454607E-3</v>
      </c>
      <c r="N224" s="7">
        <f t="shared" si="95"/>
        <v>1.5333333355374634</v>
      </c>
      <c r="O224" s="7"/>
      <c r="P224" s="7"/>
      <c r="Q224" s="22"/>
      <c r="R224" s="173"/>
      <c r="S224" s="176">
        <f t="shared" si="112"/>
        <v>0</v>
      </c>
      <c r="T224" s="202" t="e">
        <f t="shared" si="98"/>
        <v>#VALUE!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99"/>
        <v>https://d0f6bd738d7f1b3e5a7ca70fe4ff75f0.us-east-1.aws.found.io/app/kibana#/discover/Steve-Slow-Train-Analysis-(2080s-and-2083s)?_g=(refreshInterval:(display:Off,pause:!f,section:0,value:0),time:(from:'2017-06-07T02:25:43-0600',mode:absolute,to:'2017-06-07T04:30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204" t="str">
        <f t="shared" si="113"/>
        <v>Y</v>
      </c>
      <c r="X224" s="204" t="e">
        <f t="shared" si="105"/>
        <v>#VALUE!</v>
      </c>
      <c r="Y224" s="204">
        <f t="shared" si="110"/>
        <v>0.32269999999999999</v>
      </c>
      <c r="Z224" s="204">
        <f t="shared" si="111"/>
        <v>0.1181</v>
      </c>
      <c r="AA224" s="204">
        <f t="shared" si="100"/>
        <v>0.2046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1"/>
        <v>50-07</v>
      </c>
      <c r="AE224" s="80" t="str">
        <f t="shared" si="102"/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AF224" s="77" t="str">
        <f t="shared" si="103"/>
        <v>"C:\Program Files (x86)\AstroGrep\AstroGrep.exe" /e /r /s /spath="%USERPROFILE%\AppData\Local\Temp\OnboardLogs" /stypes="app*4041*20170607*" /stext=" 09:.+((SYSTEM_STATE.+slice.+state.+changed )|(ment ac)|(multiple cpu faults)|(system.+state.+changed )|(\[timeout)|(PRM\|1\|D)|(kpr)|(kdp)|(train st.+moving)|(\|lc)|(penalty))"</v>
      </c>
      <c r="AG224" s="1" t="str">
        <f t="shared" si="104"/>
        <v>Other</v>
      </c>
      <c r="AH224" s="81" t="str">
        <f t="shared" si="106"/>
        <v>"%USERPROFILE%\Documents\GitHub\eaglep3\Utilities\RefineRTDCRunTimes.py" --tripid 50-07 --locoid 4041 --swversion DE.1.0.9.0 --startMP 204:3227 --initTime 2017-06-07T03:25:43 --startdatetime 2017-06-07T03:29:08 --delay 1 --endMP 204:1181 --enddatetime 2017-06-07T03:30:40 --enforcementcount 0 &gt;&gt;C:\Users\stu\Documents\GitHub\eaglep3-reporting\EC\2017-06-07-refined-times.txt</v>
      </c>
      <c r="AI224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{"issue":{"subject":"","project_id":79,"tracker_id":40,"status_id":1,"priority_id":2,"assigned_to_id":23,"start_date":"2017-06-07","description":"","custom_fields":[{"id":1,"name":"Subdivision","value":"Other"},{"id":4,"name":"Milepost","value":"0.1181"},{"id":17,"name":"Train ID","value":"50-07"},{"id":16,"name":"Locomotive ID","value":"4041"},{"id":130,"name":"Impact","value":""},{"id":150,"name":"Time of Event (Mountain Time)","value":"03:30:40"},{"id":151,"name":"Denver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8"/>
        <v>start /low /b %USERPROFILE%\Documents\GitHub\eaglep3\Utilities\DownloadLogsFromS3.py --loco 4041 --day 2017-06-07</v>
      </c>
      <c r="AN224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09:30:40"},{"id":29,"name":"Sharepoint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657</v>
      </c>
      <c r="B225" s="7">
        <v>4042</v>
      </c>
      <c r="C225" s="21" t="s">
        <v>204</v>
      </c>
      <c r="D225" s="21" t="s">
        <v>433</v>
      </c>
      <c r="E225" s="13">
        <v>42893.128032407411</v>
      </c>
      <c r="F225" s="13">
        <v>42893.140324074076</v>
      </c>
      <c r="G225" s="7">
        <v>1</v>
      </c>
      <c r="H225" s="21" t="s">
        <v>923</v>
      </c>
      <c r="I225" s="13">
        <v>42893.141273148147</v>
      </c>
      <c r="J225" s="7">
        <v>0</v>
      </c>
      <c r="K225" s="92" t="str">
        <f t="shared" si="96"/>
        <v>4041/4042</v>
      </c>
      <c r="L225" s="21" t="str">
        <f>VLOOKUP(A225,'Trips&amp;Operators'!$C$1:$G$99999,5,FALSE)</f>
        <v>SPECTOR MICHAEL</v>
      </c>
      <c r="M225" s="6">
        <f t="shared" si="97"/>
        <v>9.4907407037680969E-4</v>
      </c>
      <c r="N225" s="7">
        <f t="shared" si="95"/>
        <v>1.3666666613426059</v>
      </c>
      <c r="O225" s="7"/>
      <c r="P225" s="7"/>
      <c r="Q225" s="22"/>
      <c r="R225" s="173"/>
      <c r="S225" s="176">
        <f t="shared" si="112"/>
        <v>0</v>
      </c>
      <c r="T225" s="202" t="e">
        <f t="shared" si="98"/>
        <v>#VALUE!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99"/>
        <v>https://d0f6bd738d7f1b3e5a7ca70fe4ff75f0.us-east-1.aws.found.io/app/kibana#/discover/Steve-Slow-Train-Analysis-(2080s-and-2083s)?_g=(refreshInterval:(display:Off,pause:!f,section:0,value:0),time:(from:'2017-06-07T02:04:22-0600',mode:absolute,to:'2017-06-07T04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5" s="204" t="str">
        <f t="shared" si="113"/>
        <v>Y</v>
      </c>
      <c r="X225" s="204" t="e">
        <f t="shared" si="105"/>
        <v>#VALUE!</v>
      </c>
      <c r="Y225" s="204">
        <f t="shared" si="110"/>
        <v>4.4200000000000003E-2</v>
      </c>
      <c r="Z225" s="204">
        <f t="shared" si="111"/>
        <v>0.35580000000000001</v>
      </c>
      <c r="AA225" s="204">
        <f t="shared" si="100"/>
        <v>0.31159999999999999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1"/>
        <v>51-07</v>
      </c>
      <c r="AE225" s="80" t="str">
        <f t="shared" si="102"/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AF225" s="77" t="str">
        <f t="shared" si="103"/>
        <v>"C:\Program Files (x86)\AstroGrep\AstroGrep.exe" /e /r /s /spath="%USERPROFILE%\AppData\Local\Temp\OnboardLogs" /stypes="app*4042*20170607*" /stext=" 09:.+((SYSTEM_STATE.+slice.+state.+changed )|(ment ac)|(multiple cpu faults)|(system.+state.+changed )|(\[timeout)|(PRM\|1\|D)|(kpr)|(kdp)|(train st.+moving)|(\|lc)|(penalty))"</v>
      </c>
      <c r="AG225" s="1" t="str">
        <f t="shared" si="104"/>
        <v>Other</v>
      </c>
      <c r="AH225" s="81" t="str">
        <f t="shared" si="106"/>
        <v>"%USERPROFILE%\Documents\GitHub\eaglep3\Utilities\RefineRTDCRunTimes.py" --tripid 51-07 --locoid 4042 --swversion DE.1.0.9.0 --startMP 204:442 --initTime 2017-06-07T03:04:22 --startdatetime 2017-06-07T03:22:04 --delay 1 --endMP 204:3558 --enddatetime 2017-06-07T03:23:26 --enforcementcount 0 &gt;&gt;C:\Users\stu\Documents\GitHub\eaglep3-reporting\EC\2017-06-07-refined-times.txt</v>
      </c>
      <c r="AI225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{"issue":{"subject":"","project_id":79,"tracker_id":40,"status_id":1,"priority_id":2,"assigned_to_id":23,"start_date":"2017-06-07","description":"","custom_fields":[{"id":1,"name":"Subdivision","value":"Other"},{"id":4,"name":"Milepost","value":"0.3558"},{"id":17,"name":"Train ID","value":"51-07"},{"id":16,"name":"Locomotive ID","value":"4042"},{"id":130,"name":"Impact","value":""},{"id":150,"name":"Time of Event (Mountain Time)","value":"03:23:26"},{"id":151,"name":"Denver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8"/>
        <v>start /low /b %USERPROFILE%\Documents\GitHub\eaglep3\Utilities\DownloadLogsFromS3.py --loco 4042 --day 2017-06-07</v>
      </c>
      <c r="AN225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09:23:26"},{"id":29,"name":"Sharepoint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616</v>
      </c>
      <c r="B226" s="7">
        <v>4001</v>
      </c>
      <c r="C226" s="21" t="s">
        <v>204</v>
      </c>
      <c r="D226" s="21" t="s">
        <v>924</v>
      </c>
      <c r="E226" s="13">
        <v>42893.444976851853</v>
      </c>
      <c r="F226" s="13">
        <v>42893.451840277776</v>
      </c>
      <c r="G226" s="7">
        <v>9</v>
      </c>
      <c r="H226" s="21" t="s">
        <v>925</v>
      </c>
      <c r="I226" s="13">
        <v>42893.457280092596</v>
      </c>
      <c r="J226" s="7">
        <v>0</v>
      </c>
      <c r="K226" s="92" t="str">
        <f t="shared" si="96"/>
        <v>4001/4002</v>
      </c>
      <c r="L226" s="21" t="str">
        <f>VLOOKUP(A226,'Trips&amp;Operators'!$C$1:$G$99999,5,FALSE)</f>
        <v>STEWART MICHAEL</v>
      </c>
      <c r="M226" s="6">
        <f t="shared" si="97"/>
        <v>5.439814820419997E-3</v>
      </c>
      <c r="N226" s="7">
        <f t="shared" si="95"/>
        <v>7.8333333414047956</v>
      </c>
      <c r="O226" s="7"/>
      <c r="P226" s="7"/>
      <c r="Q226" s="22"/>
      <c r="R226" s="173"/>
      <c r="S226" s="176">
        <f t="shared" si="112"/>
        <v>0</v>
      </c>
      <c r="T226" s="202" t="e">
        <f t="shared" si="98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99"/>
        <v>https://d0f6bd738d7f1b3e5a7ca70fe4ff75f0.us-east-1.aws.found.io/app/kibana#/discover/Steve-Slow-Train-Analysis-(2080s-and-2083s)?_g=(refreshInterval:(display:Off,pause:!f,section:0,value:0),time:(from:'2017-06-07T09:40:46-0600',mode:absolute,to:'2017-06-07T11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6" s="204" t="str">
        <f t="shared" si="113"/>
        <v>Y</v>
      </c>
      <c r="X226" s="204" t="e">
        <f t="shared" si="105"/>
        <v>#VALUE!</v>
      </c>
      <c r="Y226" s="204">
        <f t="shared" si="110"/>
        <v>2.3205</v>
      </c>
      <c r="Z226" s="204">
        <f t="shared" si="111"/>
        <v>0.13370000000000001</v>
      </c>
      <c r="AA226" s="204">
        <f t="shared" si="100"/>
        <v>2.1867999999999999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1"/>
        <v>52-07</v>
      </c>
      <c r="AE226" s="80" t="str">
        <f t="shared" si="102"/>
        <v>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 &amp; 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</v>
      </c>
      <c r="AF226" s="77" t="str">
        <f t="shared" si="103"/>
        <v>"C:\Program Files (x86)\AstroGrep\AstroGrep.exe" /e /r /s /spath="%USERPROFILE%\AppData\Local\Temp\OnboardLogs" /stypes="app*4001*20170607*" /stext=" 16:.+((SYSTEM_STATE.+slice.+state.+changed )|(ment ac)|(multiple cpu faults)|(system.+state.+changed )|(\[timeout)|(PRM\|1\|D)|(kpr)|(kdp)|(train st.+moving)|(\|lc)|(penalty))"</v>
      </c>
      <c r="AG226" s="1" t="str">
        <f t="shared" si="104"/>
        <v>Other</v>
      </c>
      <c r="AH226" s="81" t="str">
        <f t="shared" si="106"/>
        <v>"%USERPROFILE%\Documents\GitHub\eaglep3\Utilities\RefineRTDCRunTimes.py" --tripid 52-07 --locoid 4001 --swversion DE.1.0.9.0 --startMP 300:23205 --initTime 2017-06-07T10:40:46 --startdatetime 2017-06-07T10:50:39 --delay 9 --endMP 204:1337 --enddatetime 2017-06-07T10:58:29 --enforcementcount 0 &gt;&gt;C:\Users\stu\Documents\GitHub\eaglep3-reporting\EC\2017-06-07-refined-times.txt</v>
      </c>
      <c r="AI226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{"issue":{"subject":"","project_id":79,"tracker_id":40,"status_id":1,"priority_id":2,"assigned_to_id":23,"start_date":"2017-06-07","description":"","custom_fields":[{"id":1,"name":"Subdivision","value":"Other"},{"id":4,"name":"Milepost","value":"0.1337"},{"id":17,"name":"Train ID","value":"52-07"},{"id":16,"name":"Locomotive ID","value":"4001"},{"id":130,"name":"Impact","value":""},{"id":150,"name":"Time of Event (Mountain Time)","value":"10:58:29"},{"id":151,"name":"Denver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08"/>
        <v>start /low /b %USERPROFILE%\Documents\GitHub\eaglep3\Utilities\DownloadLogsFromS3.py --loco 4001 --day 2017-06-07</v>
      </c>
      <c r="AN226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16:58:29"},{"id":29,"name":"Sharepoint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631</v>
      </c>
      <c r="B227" s="7">
        <v>4058</v>
      </c>
      <c r="C227" s="21" t="s">
        <v>204</v>
      </c>
      <c r="D227" s="21" t="s">
        <v>926</v>
      </c>
      <c r="E227" s="13">
        <v>42893.669490740744</v>
      </c>
      <c r="F227" s="13">
        <v>42893.673055555555</v>
      </c>
      <c r="G227" s="7">
        <v>2</v>
      </c>
      <c r="H227" s="21" t="s">
        <v>927</v>
      </c>
      <c r="I227" s="13">
        <v>42893.689791666664</v>
      </c>
      <c r="J227" s="7">
        <v>0</v>
      </c>
      <c r="K227" s="92" t="str">
        <f t="shared" si="96"/>
        <v>4057/4058</v>
      </c>
      <c r="L227" s="21" t="str">
        <f>VLOOKUP(A227,'Trips&amp;Operators'!$C$1:$G$99999,5,FALSE)</f>
        <v>MOSES BRADLEY</v>
      </c>
      <c r="M227" s="6">
        <f t="shared" si="97"/>
        <v>1.6736111108912155E-2</v>
      </c>
      <c r="N227" s="7"/>
      <c r="O227" s="7"/>
      <c r="P227" s="7">
        <f>24*60*SUM($M227:$M227)</f>
        <v>24.099999996833503</v>
      </c>
      <c r="Q227" s="22"/>
      <c r="R227" s="173" t="s">
        <v>1047</v>
      </c>
      <c r="S227" s="176">
        <f t="shared" si="112"/>
        <v>0</v>
      </c>
      <c r="T227" s="202" t="e">
        <f t="shared" si="98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99"/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7" s="204" t="str">
        <f t="shared" si="113"/>
        <v>N</v>
      </c>
      <c r="X227" s="204" t="e">
        <f t="shared" si="105"/>
        <v>#VALUE!</v>
      </c>
      <c r="Y227" s="204">
        <f t="shared" si="110"/>
        <v>0.15049999999999999</v>
      </c>
      <c r="Z227" s="204">
        <f t="shared" si="111"/>
        <v>10.338800000000001</v>
      </c>
      <c r="AA227" s="204">
        <f t="shared" si="100"/>
        <v>10.188300000000002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01"/>
        <v>53-07</v>
      </c>
      <c r="AE227" s="80" t="str">
        <f t="shared" si="102"/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AF227" s="77" t="str">
        <f t="shared" si="103"/>
        <v>"C:\Program Files (x86)\AstroGrep\AstroGrep.exe" /e /r /s /spath="%USERPROFILE%\AppData\Local\Temp\OnboardLogs" /stypes="app*4058*20170607*" /stext=" 22:.+((SYSTEM_STATE.+slice.+state.+changed )|(ment ac)|(multiple cpu faults)|(system.+state.+changed )|(\[timeout)|(PRM\|1\|D)|(kpr)|(kdp)|(train st.+moving)|(\|lc)|(penalty))"</v>
      </c>
      <c r="AG227" s="1" t="str">
        <f t="shared" si="104"/>
        <v>Other</v>
      </c>
      <c r="AH227" s="81" t="str">
        <f t="shared" si="106"/>
        <v>"%USERPROFILE%\Documents\GitHub\eaglep3\Utilities\RefineRTDCRunTimes.py" --tripid 53-07 --locoid 4058 --swversion DE.1.0.9.0 --startMP 204:1505 --initTime 2017-06-07T16:04:04 --startdatetime 2017-06-07T16:09:12 --delay 2 --endMP 204:103388 --enddatetime 2017-06-07T16:33:18 --enforcementcount 0 &gt;&gt;C:\Users\stu\Documents\GitHub\eaglep3-reporting\EC\2017-06-07-refined-times.txt</v>
      </c>
      <c r="AI227" s="99" t="str">
        <f t="shared" si="107"/>
        <v>echo {"issue":{"subject":"Many Wi-MAX data drops","project_id":79,"tracker_id":40,"status_id":1,"priority_id":2,"assigned_to_id":23,"start_date":"2017-06-07","description":"","custom_fields":[{"id":1,"name":"Subdivision","value":"Other"},{"id":4,"name":"Milepost","value":"10.3388"},{"id":17,"name":"Train ID","value":"53-07"},{"id":16,"name":"Locomotive ID","value":"4058"},{"id":130,"name":"Impact","value":""},{"id":150,"name":"Time of Event (Mountain Time)","value":"16:33:18"},{"id":151,"name":"Denver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8"/>
        <v>start /low /b %USERPROFILE%\Documents\GitHub\eaglep3\Utilities\DownloadLogsFromS3.py --loco 4058 --day 2017-06-07</v>
      </c>
      <c r="AN227" s="154" t="str">
        <f t="shared" si="109"/>
        <v>echo {"issue":{"subject":"Many Wi-MAX data drops","project_id":30,"tracker_id":4,"status_id":1,"priority_id":1,"assigned_to_id":10,"start_date":"2017-06-07","description":"","custom_fields":[{"id":30,"name":"Category","value":"Issue"},{"id":3,"name":"Functional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22:33:18"},{"id":29,"name":"Sharepoint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795</v>
      </c>
      <c r="B228" s="7">
        <v>4014</v>
      </c>
      <c r="C228" s="21" t="s">
        <v>204</v>
      </c>
      <c r="D228" s="21" t="s">
        <v>359</v>
      </c>
      <c r="E228" s="13">
        <v>42893.698136574072</v>
      </c>
      <c r="F228" s="13">
        <v>42893.705972222226</v>
      </c>
      <c r="G228" s="7">
        <v>1</v>
      </c>
      <c r="H228" s="21" t="s">
        <v>357</v>
      </c>
      <c r="I228" s="13">
        <v>42893.711539351854</v>
      </c>
      <c r="J228" s="7">
        <v>0</v>
      </c>
      <c r="K228" s="92" t="str">
        <f t="shared" si="96"/>
        <v>4013/4014</v>
      </c>
      <c r="L228" s="21" t="str">
        <f>VLOOKUP(A228,'Trips&amp;Operators'!$C$1:$G$99999,5,FALSE)</f>
        <v>DAVIS MICHAEL</v>
      </c>
      <c r="M228" s="6">
        <f t="shared" si="97"/>
        <v>5.5671296286163852E-3</v>
      </c>
      <c r="N228" s="7">
        <f t="shared" ref="N228:N241" si="114">24*60*SUM($M228:$M228)</f>
        <v>8.0166666652075946</v>
      </c>
      <c r="O228" s="7"/>
      <c r="P228" s="7"/>
      <c r="Q228" s="22"/>
      <c r="R228" s="173"/>
      <c r="S228" s="176">
        <f t="shared" si="112"/>
        <v>0</v>
      </c>
      <c r="T228" s="202" t="e">
        <f t="shared" si="98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99"/>
        <v>https://d0f6bd738d7f1b3e5a7ca70fe4ff75f0.us-east-1.aws.found.io/app/kibana#/discover/Steve-Slow-Train-Analysis-(2080s-and-2083s)?_g=(refreshInterval:(display:Off,pause:!f,section:0,value:0),time:(from:'2017-06-07T15:45:19-0600',mode:absolute,to:'2017-06-07T18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8" s="204" t="str">
        <f t="shared" si="113"/>
        <v>Y</v>
      </c>
      <c r="X228" s="204" t="e">
        <f t="shared" si="105"/>
        <v>#VALUE!</v>
      </c>
      <c r="Y228" s="204">
        <f t="shared" si="110"/>
        <v>4.53E-2</v>
      </c>
      <c r="Z228" s="204">
        <f t="shared" si="111"/>
        <v>2.3346</v>
      </c>
      <c r="AA228" s="204">
        <f t="shared" si="100"/>
        <v>2.2892999999999999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01"/>
        <v>54-07</v>
      </c>
      <c r="AE228" s="80" t="str">
        <f t="shared" si="102"/>
        <v>aws s3 cp s3://rtdc.mdm.uploadarchive.raw/RTDC4014/ "%USERPROFILE%\AppData\Local\Temp\OnboardLogs"\RTDC4014\2017-06-07 --exclude "*" --recursive --include "*20170607*" &amp; "%USERPROFILE%\Documents\GitHub\mrs-test-scripts\Headless Mode &amp; Sideloading\WalkAndUnGZ.bat" "%USERPROFILE%\AppData\Local\Temp\OnboardLogs"\RTDC4014\2017-06-07 &amp; aws s3 cp s3://rtdc.mdm.uploadarchive.raw/RTDC4014/ "%USERPROFILE%\AppData\Local\Temp\OnboardLogs"\RTDC4014\2017-06-08 --exclude "*" --recursive --include "*20170608*" &amp; "%USERPROFILE%\Documents\GitHub\mrs-test-scripts\Headless Mode &amp; Sideloading\WalkAndUnGZ.bat" "%USERPROFILE%\AppData\Local\Temp\OnboardLogs"\RTDC4014\2017-06-08</v>
      </c>
      <c r="AF228" s="77" t="str">
        <f t="shared" si="103"/>
        <v>"C:\Program Files (x86)\AstroGrep\AstroGrep.exe" /e /r /s /spath="%USERPROFILE%\AppData\Local\Temp\OnboardLogs" /stypes="app*4014*20170607*" /stext=" 23:.+((SYSTEM_STATE.+slice.+state.+changed )|(ment ac)|(multiple cpu faults)|(system.+state.+changed )|(\[timeout)|(PRM\|1\|D)|(kpr)|(kdp)|(train st.+moving)|(\|lc)|(penalty))"</v>
      </c>
      <c r="AG228" s="1" t="str">
        <f t="shared" si="104"/>
        <v>Other</v>
      </c>
      <c r="AH228" s="81" t="str">
        <f t="shared" si="106"/>
        <v>"%USERPROFILE%\Documents\GitHub\eaglep3\Utilities\RefineRTDCRunTimes.py" --tripid 54-07 --locoid 4014 --swversion DE.1.0.9.0 --startMP 204:453 --initTime 2017-06-07T16:45:19 --startdatetime 2017-06-07T16:56:36 --delay 1 --endMP 300:23346 --enddatetime 2017-06-07T17:04:37 --enforcementcount 0 &gt;&gt;C:\Users\stu\Documents\GitHub\eaglep3-reporting\EC\2017-06-07-refined-times.txt</v>
      </c>
      <c r="AI228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{"issue":{"subject":"","project_id":79,"tracker_id":40,"status_id":1,"priority_id":2,"assigned_to_id":23,"start_date":"2017-06-07","description":"","custom_fields":[{"id":1,"name":"Subdivision","value":"Other"},{"id":4,"name":"Milepost","value":"2.3346"},{"id":17,"name":"Train ID","value":"54-07"},{"id":16,"name":"Locomotive ID","value":"4014"},{"id":130,"name":"Impact","value":""},{"id":150,"name":"Time of Event (Mountain Time)","value":"17:04:37"},{"id":151,"name":"Denver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8"/>
        <v>start /low /b %USERPROFILE%\Documents\GitHub\eaglep3\Utilities\DownloadLogsFromS3.py --loco 4014 --day 2017-06-07</v>
      </c>
      <c r="AN228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743</v>
      </c>
      <c r="B229" s="7">
        <v>4002</v>
      </c>
      <c r="C229" s="21" t="s">
        <v>204</v>
      </c>
      <c r="D229" s="21" t="s">
        <v>928</v>
      </c>
      <c r="E229" s="13">
        <v>42893.483599537038</v>
      </c>
      <c r="F229" s="13">
        <v>42893.484872685185</v>
      </c>
      <c r="G229" s="7">
        <v>0</v>
      </c>
      <c r="H229" s="21" t="s">
        <v>929</v>
      </c>
      <c r="I229" s="13">
        <v>42893.491446759261</v>
      </c>
      <c r="J229" s="7">
        <v>0</v>
      </c>
      <c r="K229" s="92" t="str">
        <f t="shared" si="96"/>
        <v>4001/4002</v>
      </c>
      <c r="L229" s="21" t="str">
        <f>VLOOKUP(A229,'Trips&amp;Operators'!$C$1:$G$99999,5,FALSE)</f>
        <v>HELVIE ADAM</v>
      </c>
      <c r="M229" s="6">
        <f t="shared" si="97"/>
        <v>6.5740740756154992E-3</v>
      </c>
      <c r="N229" s="7">
        <f t="shared" si="114"/>
        <v>9.4666666688863188</v>
      </c>
      <c r="O229" s="7"/>
      <c r="P229" s="7"/>
      <c r="Q229" s="22"/>
      <c r="R229" s="173"/>
      <c r="S229" s="176">
        <f t="shared" si="112"/>
        <v>0</v>
      </c>
      <c r="T229" s="202" t="e">
        <f t="shared" si="98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99"/>
        <v>https://d0f6bd738d7f1b3e5a7ca70fe4ff75f0.us-east-1.aws.found.io/app/kibana#/discover/Steve-Slow-Train-Analysis-(2080s-and-2083s)?_g=(refreshInterval:(display:Off,pause:!f,section:0,value:0),time:(from:'2017-06-07T10:36:23-0600',mode:absolute,to:'2017-06-07T12:47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9" s="204" t="str">
        <f t="shared" si="113"/>
        <v>Y</v>
      </c>
      <c r="X229" s="204" t="e">
        <f t="shared" si="105"/>
        <v>#VALUE!</v>
      </c>
      <c r="Y229" s="204">
        <f t="shared" si="110"/>
        <v>0.1166</v>
      </c>
      <c r="Z229" s="204">
        <f t="shared" si="111"/>
        <v>2.4247999999999998</v>
      </c>
      <c r="AA229" s="204">
        <f t="shared" si="100"/>
        <v>2.3081999999999998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01"/>
        <v>55-07</v>
      </c>
      <c r="AE229" s="80" t="str">
        <f t="shared" si="102"/>
        <v>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 &amp; 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</v>
      </c>
      <c r="AF229" s="77" t="str">
        <f t="shared" si="103"/>
        <v>"C:\Program Files (x86)\AstroGrep\AstroGrep.exe" /e /r /s /spath="%USERPROFILE%\AppData\Local\Temp\OnboardLogs" /stypes="app*4002*20170607*" /stext=" 17:.+((SYSTEM_STATE.+slice.+state.+changed )|(ment ac)|(multiple cpu faults)|(system.+state.+changed )|(\[timeout)|(PRM\|1\|D)|(kpr)|(kdp)|(train st.+moving)|(\|lc)|(penalty))"</v>
      </c>
      <c r="AG229" s="1" t="str">
        <f t="shared" si="104"/>
        <v>Other</v>
      </c>
      <c r="AH229" s="81" t="str">
        <f t="shared" si="106"/>
        <v>"%USERPROFILE%\Documents\GitHub\eaglep3\Utilities\RefineRTDCRunTimes.py" --tripid 55-07 --locoid 4002 --swversion DE.1.0.9.0 --startMP 204:1166 --initTime 2017-06-07T11:36:23 --startdatetime 2017-06-07T11:38:13 --delay 0 --endMP 300:24248 --enddatetime 2017-06-07T11:47:41 --enforcementcount 0 &gt;&gt;C:\Users\stu\Documents\GitHub\eaglep3-reporting\EC\2017-06-07-refined-times.txt</v>
      </c>
      <c r="AI229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{"issue":{"subject":"","project_id":79,"tracker_id":40,"status_id":1,"priority_id":2,"assigned_to_id":23,"start_date":"2017-06-07","description":"","custom_fields":[{"id":1,"name":"Subdivision","value":"Other"},{"id":4,"name":"Milepost","value":"2.4248"},{"id":17,"name":"Train ID","value":"55-07"},{"id":16,"name":"Locomotive ID","value":"4002"},{"id":130,"name":"Impact","value":""},{"id":150,"name":"Time of Event (Mountain Time)","value":"11:47:41"},{"id":151,"name":"Denver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8"/>
        <v>start /low /b %USERPROFILE%\Documents\GitHub\eaglep3\Utilities\DownloadLogsFromS3.py --loco 4002 --day 2017-06-07</v>
      </c>
      <c r="AN229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17:47:41"},{"id":29,"name":"Sharepoint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618</v>
      </c>
      <c r="B230" s="7">
        <v>4001</v>
      </c>
      <c r="C230" s="21" t="s">
        <v>204</v>
      </c>
      <c r="D230" s="21" t="s">
        <v>930</v>
      </c>
      <c r="E230" s="13">
        <v>42893.501898148148</v>
      </c>
      <c r="F230" s="13">
        <v>42893.502986111111</v>
      </c>
      <c r="G230" s="7">
        <v>1</v>
      </c>
      <c r="H230" s="21" t="s">
        <v>931</v>
      </c>
      <c r="I230" s="13">
        <v>42893.508009259262</v>
      </c>
      <c r="J230" s="7">
        <v>0</v>
      </c>
      <c r="K230" s="92" t="str">
        <f t="shared" si="96"/>
        <v>4001/4002</v>
      </c>
      <c r="L230" s="21" t="str">
        <f>VLOOKUP(A230,'Trips&amp;Operators'!$C$1:$G$99999,5,FALSE)</f>
        <v>HOLCOMB KAMDEN</v>
      </c>
      <c r="M230" s="6">
        <f t="shared" si="97"/>
        <v>5.02314815093996E-3</v>
      </c>
      <c r="N230" s="7">
        <f t="shared" si="114"/>
        <v>7.2333333373535424</v>
      </c>
      <c r="O230" s="7"/>
      <c r="P230" s="7"/>
      <c r="Q230" s="22"/>
      <c r="R230" s="173"/>
      <c r="S230" s="176">
        <f t="shared" si="112"/>
        <v>0</v>
      </c>
      <c r="T230" s="202" t="e">
        <f t="shared" si="98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99"/>
        <v>https://d0f6bd738d7f1b3e5a7ca70fe4ff75f0.us-east-1.aws.found.io/app/kibana#/discover/Steve-Slow-Train-Analysis-(2080s-and-2083s)?_g=(refreshInterval:(display:Off,pause:!f,section:0,value:0),time:(from:'2017-06-07T11:02:44-0600',mode:absolute,to:'2017-06-07T13:11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204" t="str">
        <f t="shared" si="113"/>
        <v>Y</v>
      </c>
      <c r="X230" s="204" t="e">
        <f t="shared" si="105"/>
        <v>#VALUE!</v>
      </c>
      <c r="Y230" s="204">
        <f t="shared" si="110"/>
        <v>2.3279000000000001</v>
      </c>
      <c r="Z230" s="204">
        <f t="shared" si="111"/>
        <v>0.1855</v>
      </c>
      <c r="AA230" s="204">
        <f t="shared" si="100"/>
        <v>2.1424000000000003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01"/>
        <v>56-07</v>
      </c>
      <c r="AE230" s="80" t="str">
        <f t="shared" si="102"/>
        <v>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 &amp; 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</v>
      </c>
      <c r="AF230" s="77" t="str">
        <f t="shared" si="103"/>
        <v>"C:\Program Files (x86)\AstroGrep\AstroGrep.exe" /e /r /s /spath="%USERPROFILE%\AppData\Local\Temp\OnboardLogs" /stypes="app*4001*20170607*" /stext=" 18:.+((SYSTEM_STATE.+slice.+state.+changed )|(ment ac)|(multiple cpu faults)|(system.+state.+changed )|(\[timeout)|(PRM\|1\|D)|(kpr)|(kdp)|(train st.+moving)|(\|lc)|(penalty))"</v>
      </c>
      <c r="AG230" s="1" t="str">
        <f t="shared" si="104"/>
        <v>Other</v>
      </c>
      <c r="AH230" s="81" t="str">
        <f t="shared" si="106"/>
        <v>"%USERPROFILE%\Documents\GitHub\eaglep3\Utilities\RefineRTDCRunTimes.py" --tripid 56-07 --locoid 4001 --swversion DE.1.0.9.0 --startMP 300:23279 --initTime 2017-06-07T12:02:44 --startdatetime 2017-06-07T12:04:18 --delay 1 --endMP 204:1855 --enddatetime 2017-06-07T12:11:32 --enforcementcount 0 &gt;&gt;C:\Users\stu\Documents\GitHub\eaglep3-reporting\EC\2017-06-07-refined-times.txt</v>
      </c>
      <c r="AI230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{"issue":{"subject":"","project_id":79,"tracker_id":40,"status_id":1,"priority_id":2,"assigned_to_id":23,"start_date":"2017-06-07","description":"","custom_fields":[{"id":1,"name":"Subdivision","value":"Other"},{"id":4,"name":"Milepost","value":"0.1855"},{"id":17,"name":"Train ID","value":"56-07"},{"id":16,"name":"Locomotive ID","value":"4001"},{"id":130,"name":"Impact","value":""},{"id":150,"name":"Time of Event (Mountain Time)","value":"12:11:32"},{"id":151,"name":"Denver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8"/>
        <v>start /low /b %USERPROFILE%\Documents\GitHub\eaglep3\Utilities\DownloadLogsFromS3.py --loco 4001 --day 2017-06-07</v>
      </c>
      <c r="AN230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618</v>
      </c>
      <c r="B231" s="7">
        <v>4001</v>
      </c>
      <c r="C231" s="21" t="s">
        <v>204</v>
      </c>
      <c r="D231" s="21" t="s">
        <v>932</v>
      </c>
      <c r="E231" s="13">
        <v>42893.498113425929</v>
      </c>
      <c r="F231" s="13">
        <v>42893.502986111111</v>
      </c>
      <c r="G231" s="7">
        <v>2</v>
      </c>
      <c r="H231" s="21" t="s">
        <v>933</v>
      </c>
      <c r="I231" s="13">
        <v>42893.508009259262</v>
      </c>
      <c r="J231" s="7">
        <v>0</v>
      </c>
      <c r="K231" s="92" t="str">
        <f t="shared" si="96"/>
        <v>4001/4002</v>
      </c>
      <c r="L231" s="21" t="str">
        <f>VLOOKUP(A231,'Trips&amp;Operators'!$C$1:$G$99999,5,FALSE)</f>
        <v>HOLCOMB KAMDEN</v>
      </c>
      <c r="M231" s="6">
        <f t="shared" si="97"/>
        <v>5.02314815093996E-3</v>
      </c>
      <c r="N231" s="7">
        <f t="shared" si="114"/>
        <v>7.2333333373535424</v>
      </c>
      <c r="O231" s="7"/>
      <c r="P231" s="7"/>
      <c r="Q231" s="22"/>
      <c r="R231" s="173"/>
      <c r="S231" s="176">
        <f t="shared" si="112"/>
        <v>0</v>
      </c>
      <c r="T231" s="202" t="e">
        <f t="shared" si="98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99"/>
        <v>https://d0f6bd738d7f1b3e5a7ca70fe4ff75f0.us-east-1.aws.found.io/app/kibana#/discover/Steve-Slow-Train-Analysis-(2080s-and-2083s)?_g=(refreshInterval:(display:Off,pause:!f,section:0,value:0),time:(from:'2017-06-07T10:57:17-0600',mode:absolute,to:'2017-06-07T13:11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204" t="str">
        <f t="shared" si="113"/>
        <v>Y</v>
      </c>
      <c r="X231" s="204" t="e">
        <f t="shared" si="105"/>
        <v>#VALUE!</v>
      </c>
      <c r="Y231" s="204">
        <f t="shared" si="110"/>
        <v>2.5135000000000001</v>
      </c>
      <c r="Z231" s="204">
        <f t="shared" si="111"/>
        <v>2.4464000000000001</v>
      </c>
      <c r="AA231" s="204">
        <f t="shared" si="100"/>
        <v>6.7099999999999937E-2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01"/>
        <v>56-07</v>
      </c>
      <c r="AE231" s="80" t="str">
        <f t="shared" si="102"/>
        <v>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 &amp; 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</v>
      </c>
      <c r="AF231" s="77" t="str">
        <f t="shared" si="103"/>
        <v>"C:\Program Files (x86)\AstroGrep\AstroGrep.exe" /e /r /s /spath="%USERPROFILE%\AppData\Local\Temp\OnboardLogs" /stypes="app*4001*20170607*" /stext=" 18:.+((SYSTEM_STATE.+slice.+state.+changed )|(ment ac)|(multiple cpu faults)|(system.+state.+changed )|(\[timeout)|(PRM\|1\|D)|(kpr)|(kdp)|(train st.+moving)|(\|lc)|(penalty))"</v>
      </c>
      <c r="AG231" s="1" t="str">
        <f t="shared" si="104"/>
        <v>Other</v>
      </c>
      <c r="AH231" s="81" t="str">
        <f t="shared" si="106"/>
        <v>"%USERPROFILE%\Documents\GitHub\eaglep3\Utilities\RefineRTDCRunTimes.py" --tripid 56-07 --locoid 4001 --swversion DE.1.0.9.0 --startMP 300:25135 --initTime 2017-06-07T11:57:17 --startdatetime 2017-06-07T12:04:18 --delay 2 --endMP 300:24464 --enddatetime 2017-06-07T12:11:32 --enforcementcount 0 &gt;&gt;C:\Users\stu\Documents\GitHub\eaglep3-reporting\EC\2017-06-07-refined-times.txt</v>
      </c>
      <c r="AI231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{"issue":{"subject":"","project_id":79,"tracker_id":40,"status_id":1,"priority_id":2,"assigned_to_id":23,"start_date":"2017-06-07","description":"","custom_fields":[{"id":1,"name":"Subdivision","value":"Other"},{"id":4,"name":"Milepost","value":"2.4464"},{"id":17,"name":"Train ID","value":"56-07"},{"id":16,"name":"Locomotive ID","value":"4001"},{"id":130,"name":"Impact","value":""},{"id":150,"name":"Time of Event (Mountain Time)","value":"12:11:32"},{"id":151,"name":"Denver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8"/>
        <v>start /low /b %USERPROFILE%\Documents\GitHub\eaglep3\Utilities\DownloadLogsFromS3.py --loco 4001 --day 2017-06-07</v>
      </c>
      <c r="AN231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621</v>
      </c>
      <c r="B232" s="7">
        <v>4002</v>
      </c>
      <c r="C232" s="21" t="s">
        <v>204</v>
      </c>
      <c r="D232" s="21" t="s">
        <v>934</v>
      </c>
      <c r="E232" s="13">
        <v>42893.520949074074</v>
      </c>
      <c r="F232" s="13">
        <v>42893.529629629629</v>
      </c>
      <c r="G232" s="7">
        <v>2</v>
      </c>
      <c r="H232" s="21" t="s">
        <v>935</v>
      </c>
      <c r="I232" s="13">
        <v>42893.534699074073</v>
      </c>
      <c r="J232" s="7">
        <v>0</v>
      </c>
      <c r="K232" s="92" t="str">
        <f t="shared" si="96"/>
        <v>4001/4002</v>
      </c>
      <c r="L232" s="21" t="str">
        <f>VLOOKUP(A232,'Trips&amp;Operators'!$C$1:$G$99999,5,FALSE)</f>
        <v>LOZA FIDEL</v>
      </c>
      <c r="M232" s="6">
        <f t="shared" si="97"/>
        <v>5.0694444435066544E-3</v>
      </c>
      <c r="N232" s="7">
        <f t="shared" si="114"/>
        <v>7.2999999986495823</v>
      </c>
      <c r="O232" s="7"/>
      <c r="P232" s="7"/>
      <c r="Q232" s="22"/>
      <c r="R232" s="173"/>
      <c r="S232" s="176">
        <f t="shared" si="112"/>
        <v>0</v>
      </c>
      <c r="T232" s="202" t="e">
        <f t="shared" si="98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99"/>
        <v>https://d0f6bd738d7f1b3e5a7ca70fe4ff75f0.us-east-1.aws.found.io/app/kibana#/discover/Steve-Slow-Train-Analysis-(2080s-and-2083s)?_g=(refreshInterval:(display:Off,pause:!f,section:0,value:0),time:(from:'2017-06-07T11:30:10-0600',mode:absolute,to:'2017-06-07T13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2" s="204" t="str">
        <f t="shared" si="113"/>
        <v>Y</v>
      </c>
      <c r="X232" s="204" t="e">
        <f t="shared" si="105"/>
        <v>#VALUE!</v>
      </c>
      <c r="Y232" s="204">
        <f t="shared" si="110"/>
        <v>0.114</v>
      </c>
      <c r="Z232" s="204">
        <f t="shared" si="111"/>
        <v>2.2612000000000001</v>
      </c>
      <c r="AA232" s="204">
        <f t="shared" si="100"/>
        <v>2.1472000000000002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01"/>
        <v>57-07</v>
      </c>
      <c r="AE232" s="80" t="str">
        <f t="shared" si="102"/>
        <v>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 &amp; 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</v>
      </c>
      <c r="AF232" s="77" t="str">
        <f t="shared" si="103"/>
        <v>"C:\Program Files (x86)\AstroGrep\AstroGrep.exe" /e /r /s /spath="%USERPROFILE%\AppData\Local\Temp\OnboardLogs" /stypes="app*4002*20170607*" /stext=" 18:.+((SYSTEM_STATE.+slice.+state.+changed )|(ment ac)|(multiple cpu faults)|(system.+state.+changed )|(\[timeout)|(PRM\|1\|D)|(kpr)|(kdp)|(train st.+moving)|(\|lc)|(penalty))"</v>
      </c>
      <c r="AG232" s="1" t="str">
        <f t="shared" si="104"/>
        <v>Other</v>
      </c>
      <c r="AH232" s="81" t="str">
        <f t="shared" si="106"/>
        <v>"%USERPROFILE%\Documents\GitHub\eaglep3\Utilities\RefineRTDCRunTimes.py" --tripid 57-07 --locoid 4002 --swversion DE.1.0.9.0 --startMP 204:1140 --initTime 2017-06-07T12:30:10 --startdatetime 2017-06-07T12:42:40 --delay 2 --endMP 300:22612 --enddatetime 2017-06-07T12:49:58 --enforcementcount 0 &gt;&gt;C:\Users\stu\Documents\GitHub\eaglep3-reporting\EC\2017-06-07-refined-times.txt</v>
      </c>
      <c r="AI232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{"issue":{"subject":"","project_id":79,"tracker_id":40,"status_id":1,"priority_id":2,"assigned_to_id":23,"start_date":"2017-06-07","description":"","custom_fields":[{"id":1,"name":"Subdivision","value":"Other"},{"id":4,"name":"Milepost","value":"2.2612"},{"id":17,"name":"Train ID","value":"57-07"},{"id":16,"name":"Locomotive ID","value":"4002"},{"id":130,"name":"Impact","value":""},{"id":150,"name":"Time of Event (Mountain Time)","value":"12:49:58"},{"id":151,"name":"Denver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8"/>
        <v>start /low /b %USERPROFILE%\Documents\GitHub\eaglep3\Utilities\DownloadLogsFromS3.py --loco 4002 --day 2017-06-07</v>
      </c>
      <c r="AN232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18:49:58"},{"id":29,"name":"Sharepoint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794</v>
      </c>
      <c r="B233" s="7">
        <v>4031</v>
      </c>
      <c r="C233" s="21" t="s">
        <v>204</v>
      </c>
      <c r="D233" s="21" t="s">
        <v>579</v>
      </c>
      <c r="E233" s="13">
        <v>42893.6950462963</v>
      </c>
      <c r="F233" s="13">
        <v>42893.699444444443</v>
      </c>
      <c r="G233" s="7">
        <v>5</v>
      </c>
      <c r="H233" s="21" t="s">
        <v>457</v>
      </c>
      <c r="I233" s="13">
        <v>42893.725613425922</v>
      </c>
      <c r="J233" s="7">
        <v>0</v>
      </c>
      <c r="K233" s="92" t="str">
        <f t="shared" si="96"/>
        <v>4031/4032</v>
      </c>
      <c r="L233" s="21" t="str">
        <f>VLOOKUP(A233,'Trips&amp;Operators'!$C$1:$G$99999,5,FALSE)</f>
        <v>BRUDER RICHARD</v>
      </c>
      <c r="M233" s="6">
        <f t="shared" si="97"/>
        <v>2.6168981479713693E-2</v>
      </c>
      <c r="N233" s="7">
        <f t="shared" si="114"/>
        <v>37.683333330787718</v>
      </c>
      <c r="O233" s="7"/>
      <c r="P233" s="7"/>
      <c r="Q233" s="22"/>
      <c r="R233" s="173"/>
      <c r="S233" s="176">
        <f t="shared" si="112"/>
        <v>0</v>
      </c>
      <c r="T233" s="202" t="e">
        <f t="shared" si="98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99"/>
        <v>https://d0f6bd738d7f1b3e5a7ca70fe4ff75f0.us-east-1.aws.found.io/app/kibana#/discover/Steve-Slow-Train-Analysis-(2080s-and-2083s)?_g=(refreshInterval:(display:Off,pause:!f,section:0,value:0),time:(from:'2017-06-07T15:40:52-0600',mode:absolute,to:'2017-06-07T18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3" s="204" t="str">
        <f t="shared" si="113"/>
        <v>N</v>
      </c>
      <c r="X233" s="204" t="e">
        <f t="shared" si="105"/>
        <v>#VALUE!</v>
      </c>
      <c r="Y233" s="204">
        <f t="shared" si="110"/>
        <v>23.3</v>
      </c>
      <c r="Z233" s="204">
        <f t="shared" si="111"/>
        <v>1.5599999999999999E-2</v>
      </c>
      <c r="AA233" s="204">
        <f t="shared" si="100"/>
        <v>23.284400000000002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01"/>
        <v>58-07</v>
      </c>
      <c r="AE233" s="80" t="str">
        <f t="shared" si="102"/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AF233" s="77" t="str">
        <f t="shared" si="103"/>
        <v>"C:\Program Files (x86)\AstroGrep\AstroGrep.exe" /e /r /s /spath="%USERPROFILE%\AppData\Local\Temp\OnboardLogs" /stypes="app*4031*20170607*" /stext=" 23:.+((SYSTEM_STATE.+slice.+state.+changed )|(ment ac)|(multiple cpu faults)|(system.+state.+changed )|(\[timeout)|(PRM\|1\|D)|(kpr)|(kdp)|(train st.+moving)|(\|lc)|(penalty))"</v>
      </c>
      <c r="AG233" s="1" t="str">
        <f t="shared" si="104"/>
        <v>Other</v>
      </c>
      <c r="AH233" s="81" t="str">
        <f t="shared" si="106"/>
        <v>"%USERPROFILE%\Documents\GitHub\eaglep3\Utilities\RefineRTDCRunTimes.py" --tripid 58-07 --locoid 4031 --swversion DE.1.0.9.0 --startMP 204:233000 --initTime 2017-06-07T16:40:52 --startdatetime 2017-06-07T16:47:12 --delay 5 --endMP 204:156 --enddatetime 2017-06-07T17:24:53 --enforcementcount 0 &gt;&gt;C:\Users\stu\Documents\GitHub\eaglep3-reporting\EC\2017-06-07-refined-times.txt</v>
      </c>
      <c r="AI233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{"issue":{"subject":"","project_id":79,"tracker_id":40,"status_id":1,"priority_id":2,"assigned_to_id":23,"start_date":"2017-06-07","description":"","custom_fields":[{"id":1,"name":"Subdivision","value":"Other"},{"id":4,"name":"Milepost","value":"0.0156"},{"id":17,"name":"Train ID","value":"58-07"},{"id":16,"name":"Locomotive ID","value":"4031"},{"id":130,"name":"Impact","value":""},{"id":150,"name":"Time of Event (Mountain Time)","value":"17:24:53"},{"id":151,"name":"Denver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8"/>
        <v>start /low /b %USERPROFILE%\Documents\GitHub\eaglep3\Utilities\DownloadLogsFromS3.py --loco 4031 --day 2017-06-07</v>
      </c>
      <c r="AN233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23:24:53"},{"id":29,"name":"Sharepoint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s="20" customFormat="1" x14ac:dyDescent="0.25">
      <c r="A234" s="32" t="s">
        <v>731</v>
      </c>
      <c r="B234" s="7">
        <v>4041</v>
      </c>
      <c r="C234" s="21" t="s">
        <v>204</v>
      </c>
      <c r="D234" s="21" t="s">
        <v>936</v>
      </c>
      <c r="E234" s="13">
        <v>42893.458043981482</v>
      </c>
      <c r="F234" s="13">
        <v>42893.459363425929</v>
      </c>
      <c r="G234" s="7">
        <v>1</v>
      </c>
      <c r="H234" s="21" t="s">
        <v>937</v>
      </c>
      <c r="I234" s="13">
        <v>42893.460694444446</v>
      </c>
      <c r="J234" s="7">
        <v>0</v>
      </c>
      <c r="K234" s="92" t="str">
        <f t="shared" si="96"/>
        <v>4041/4042</v>
      </c>
      <c r="L234" s="21" t="str">
        <f>VLOOKUP(A234,'Trips&amp;Operators'!$C$1:$G$99999,5,FALSE)</f>
        <v>STORY SAMANTHA</v>
      </c>
      <c r="M234" s="6">
        <f t="shared" si="97"/>
        <v>1.3310185167938471E-3</v>
      </c>
      <c r="N234" s="7">
        <f t="shared" si="114"/>
        <v>1.9166666641831398</v>
      </c>
      <c r="O234" s="7"/>
      <c r="P234" s="7"/>
      <c r="Q234" s="22"/>
      <c r="R234" s="173"/>
      <c r="S234" s="176">
        <f t="shared" si="112"/>
        <v>0</v>
      </c>
      <c r="T234" s="202" t="e">
        <f t="shared" si="98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99"/>
        <v>https://d0f6bd738d7f1b3e5a7ca70fe4ff75f0.us-east-1.aws.found.io/app/kibana#/discover/Steve-Slow-Train-Analysis-(2080s-and-2083s)?_g=(refreshInterval:(display:Off,pause:!f,section:0,value:0),time:(from:'2017-06-07T09:59:35-0600',mode:absolute,to:'2017-06-07T12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4" s="204" t="str">
        <f t="shared" si="113"/>
        <v>Y</v>
      </c>
      <c r="X234" s="204" t="e">
        <f t="shared" si="105"/>
        <v>#VALUE!</v>
      </c>
      <c r="Y234" s="204">
        <f t="shared" si="110"/>
        <v>0.32229999999999998</v>
      </c>
      <c r="Z234" s="204">
        <f t="shared" si="111"/>
        <v>1.09E-2</v>
      </c>
      <c r="AA234" s="204">
        <f t="shared" si="100"/>
        <v>0.31139999999999995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01"/>
        <v>61-07</v>
      </c>
      <c r="AE234" s="80" t="str">
        <f t="shared" si="102"/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AF234" s="77" t="str">
        <f t="shared" si="103"/>
        <v>"C:\Program Files (x86)\AstroGrep\AstroGrep.exe" /e /r /s /spath="%USERPROFILE%\AppData\Local\Temp\OnboardLogs" /stypes="app*4041*20170607*" /stext=" 17:.+((SYSTEM_STATE.+slice.+state.+changed )|(ment ac)|(multiple cpu faults)|(system.+state.+changed )|(\[timeout)|(PRM\|1\|D)|(kpr)|(kdp)|(train st.+moving)|(\|lc)|(penalty))"</v>
      </c>
      <c r="AG234" s="1" t="str">
        <f t="shared" si="104"/>
        <v>Other</v>
      </c>
      <c r="AH234" s="81" t="str">
        <f t="shared" si="106"/>
        <v>"%USERPROFILE%\Documents\GitHub\eaglep3\Utilities\RefineRTDCRunTimes.py" --tripid 61-07 --locoid 4041 --swversion DE.1.0.9.0 --startMP 204:3223 --initTime 2017-06-07T10:59:35 --startdatetime 2017-06-07T11:01:29 --delay 1 --endMP 204:109 --enddatetime 2017-06-07T11:03:24 --enforcementcount 0 &gt;&gt;C:\Users\stu\Documents\GitHub\eaglep3-reporting\EC\2017-06-07-refined-times.txt</v>
      </c>
      <c r="AI234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{"issue":{"subject":"","project_id":79,"tracker_id":40,"status_id":1,"priority_id":2,"assigned_to_id":23,"start_date":"2017-06-07","description":"","custom_fields":[{"id":1,"name":"Subdivision","value":"Other"},{"id":4,"name":"Milepost","value":"0.0109"},{"id":17,"name":"Train ID","value":"61-07"},{"id":16,"name":"Locomotive ID","value":"4041"},{"id":130,"name":"Impact","value":""},{"id":150,"name":"Time of Event (Mountain Time)","value":"11:03:24"},{"id":151,"name":"Denver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5" t="str">
        <f t="shared" si="108"/>
        <v>start /low /b %USERPROFILE%\Documents\GitHub\eaglep3\Utilities\DownloadLogsFromS3.py --loco 4041 --day 2017-06-07</v>
      </c>
      <c r="AN234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731</v>
      </c>
      <c r="B235" s="7">
        <v>4042</v>
      </c>
      <c r="C235" s="21" t="s">
        <v>204</v>
      </c>
      <c r="D235" s="21" t="s">
        <v>938</v>
      </c>
      <c r="E235" s="13">
        <v>42893.452268518522</v>
      </c>
      <c r="F235" s="13">
        <v>42893.459363425929</v>
      </c>
      <c r="G235" s="7">
        <v>3</v>
      </c>
      <c r="H235" s="21" t="s">
        <v>939</v>
      </c>
      <c r="I235" s="13">
        <v>42893.460694444446</v>
      </c>
      <c r="J235" s="7">
        <v>0</v>
      </c>
      <c r="K235" s="92" t="str">
        <f t="shared" si="96"/>
        <v>4041/4042</v>
      </c>
      <c r="L235" s="21" t="str">
        <f>VLOOKUP(A235,'Trips&amp;Operators'!$C$1:$G$99999,5,FALSE)</f>
        <v>STORY SAMANTHA</v>
      </c>
      <c r="M235" s="6">
        <f t="shared" si="97"/>
        <v>1.3310185167938471E-3</v>
      </c>
      <c r="N235" s="7">
        <f t="shared" si="114"/>
        <v>1.9166666641831398</v>
      </c>
      <c r="O235" s="7"/>
      <c r="P235" s="7"/>
      <c r="Q235" s="22"/>
      <c r="R235" s="173"/>
      <c r="S235" s="176">
        <f t="shared" si="112"/>
        <v>0</v>
      </c>
      <c r="T235" s="202" t="e">
        <f t="shared" si="98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99"/>
        <v>https://d0f6bd738d7f1b3e5a7ca70fe4ff75f0.us-east-1.aws.found.io/app/kibana#/discover/Steve-Slow-Train-Analysis-(2080s-and-2083s)?_g=(refreshInterval:(display:Off,pause:!f,section:0,value:0),time:(from:'2017-06-07T09:51:16-0600',mode:absolute,to:'2017-06-07T12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5" s="204" t="str">
        <f t="shared" si="113"/>
        <v>Y</v>
      </c>
      <c r="X235" s="204" t="e">
        <f t="shared" si="105"/>
        <v>#VALUE!</v>
      </c>
      <c r="Y235" s="204">
        <f t="shared" si="110"/>
        <v>0.14879999999999999</v>
      </c>
      <c r="Z235" s="204">
        <f t="shared" si="111"/>
        <v>0.35420000000000001</v>
      </c>
      <c r="AA235" s="204">
        <f t="shared" si="100"/>
        <v>0.20540000000000003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01"/>
        <v>61-07</v>
      </c>
      <c r="AE235" s="80" t="str">
        <f t="shared" si="102"/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AF235" s="77" t="str">
        <f t="shared" si="103"/>
        <v>"C:\Program Files (x86)\AstroGrep\AstroGrep.exe" /e /r /s /spath="%USERPROFILE%\AppData\Local\Temp\OnboardLogs" /stypes="app*4042*20170607*" /stext=" 17:.+((SYSTEM_STATE.+slice.+state.+changed )|(ment ac)|(multiple cpu faults)|(system.+state.+changed )|(\[timeout)|(PRM\|1\|D)|(kpr)|(kdp)|(train st.+moving)|(\|lc)|(penalty))"</v>
      </c>
      <c r="AG235" s="1" t="str">
        <f t="shared" si="104"/>
        <v>Other</v>
      </c>
      <c r="AH235" s="81" t="str">
        <f t="shared" si="106"/>
        <v>"%USERPROFILE%\Documents\GitHub\eaglep3\Utilities\RefineRTDCRunTimes.py" --tripid 61-07 --locoid 4042 --swversion DE.1.0.9.0 --startMP 204:1488 --initTime 2017-06-07T10:51:16 --startdatetime 2017-06-07T11:01:29 --delay 3 --endMP 204:3542 --enddatetime 2017-06-07T11:03:24 --enforcementcount 0 &gt;&gt;C:\Users\stu\Documents\GitHub\eaglep3-reporting\EC\2017-06-07-refined-times.txt</v>
      </c>
      <c r="AI235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{"issue":{"subject":"","project_id":79,"tracker_id":40,"status_id":1,"priority_id":2,"assigned_to_id":23,"start_date":"2017-06-07","description":"","custom_fields":[{"id":1,"name":"Subdivision","value":"Other"},{"id":4,"name":"Milepost","value":"0.3542"},{"id":17,"name":"Train ID","value":"61-07"},{"id":16,"name":"Locomotive ID","value":"4042"},{"id":130,"name":"Impact","value":""},{"id":150,"name":"Time of Event (Mountain Time)","value":"11:03:24"},{"id":151,"name":"Denver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08"/>
        <v>start /low /b %USERPROFILE%\Documents\GitHub\eaglep3\Utilities\DownloadLogsFromS3.py --loco 4042 --day 2017-06-07</v>
      </c>
      <c r="AN235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617</v>
      </c>
      <c r="B236" s="7">
        <v>4027</v>
      </c>
      <c r="C236" s="21" t="s">
        <v>204</v>
      </c>
      <c r="D236" s="21" t="s">
        <v>940</v>
      </c>
      <c r="E236" s="13">
        <v>42893.467777777776</v>
      </c>
      <c r="F236" s="13">
        <v>42893.472187500003</v>
      </c>
      <c r="G236" s="7">
        <v>1</v>
      </c>
      <c r="H236" s="21" t="s">
        <v>352</v>
      </c>
      <c r="I236" s="13">
        <v>42893.494143518517</v>
      </c>
      <c r="J236" s="7">
        <v>0</v>
      </c>
      <c r="K236" s="92" t="str">
        <f t="shared" si="96"/>
        <v>4027/4028</v>
      </c>
      <c r="L236" s="21" t="str">
        <f>VLOOKUP(A236,'Trips&amp;Operators'!$C$1:$G$99999,5,FALSE)</f>
        <v>STARKS ANGELINA</v>
      </c>
      <c r="M236" s="6">
        <f t="shared" si="97"/>
        <v>2.1956018514174502E-2</v>
      </c>
      <c r="N236" s="7">
        <f t="shared" si="114"/>
        <v>31.616666660411283</v>
      </c>
      <c r="O236" s="7"/>
      <c r="P236" s="7"/>
      <c r="Q236" s="22"/>
      <c r="R236" s="173"/>
      <c r="S236" s="176">
        <f t="shared" si="112"/>
        <v>0</v>
      </c>
      <c r="T236" s="202" t="e">
        <f t="shared" si="98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99"/>
        <v>https://d0f6bd738d7f1b3e5a7ca70fe4ff75f0.us-east-1.aws.found.io/app/kibana#/discover/Steve-Slow-Train-Analysis-(2080s-and-2083s)?_g=(refreshInterval:(display:Off,pause:!f,section:0,value:0),time:(from:'2017-06-07T10:13:36-0600',mode:absolute,to:'2017-06-07T12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6" s="204" t="str">
        <f t="shared" si="113"/>
        <v>N</v>
      </c>
      <c r="X236" s="204" t="e">
        <f t="shared" si="105"/>
        <v>#VALUE!</v>
      </c>
      <c r="Y236" s="204">
        <f t="shared" si="110"/>
        <v>19.345700000000001</v>
      </c>
      <c r="Z236" s="204">
        <f t="shared" si="111"/>
        <v>1.4999999999999999E-2</v>
      </c>
      <c r="AA236" s="204">
        <f t="shared" si="100"/>
        <v>19.3307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01"/>
        <v>64-07</v>
      </c>
      <c r="AE236" s="80" t="str">
        <f t="shared" si="102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236" s="77" t="str">
        <f t="shared" si="103"/>
        <v>"C:\Program Files (x86)\AstroGrep\AstroGrep.exe" /e /r /s /spath="%USERPROFILE%\AppData\Local\Temp\OnboardLogs" /stypes="app*4027*20170607*" /stext=" 17:.+((SYSTEM_STATE.+slice.+state.+changed )|(ment ac)|(multiple cpu faults)|(system.+state.+changed )|(\[timeout)|(PRM\|1\|D)|(kpr)|(kdp)|(train st.+moving)|(\|lc)|(penalty))"</v>
      </c>
      <c r="AG236" s="1" t="str">
        <f t="shared" si="104"/>
        <v>Other</v>
      </c>
      <c r="AH236" s="81" t="str">
        <f t="shared" si="106"/>
        <v>"%USERPROFILE%\Documents\GitHub\eaglep3\Utilities\RefineRTDCRunTimes.py" --tripid 64-07 --locoid 4027 --swversion DE.1.0.9.0 --startMP 204:193457 --initTime 2017-06-07T11:13:36 --startdatetime 2017-06-07T11:19:57 --delay 1 --endMP 204:150 --enddatetime 2017-06-07T11:51:34 --enforcementcount 0 &gt;&gt;C:\Users\stu\Documents\GitHub\eaglep3-reporting\EC\2017-06-07-refined-times.txt</v>
      </c>
      <c r="AI236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{"issue":{"subject":"","project_id":79,"tracker_id":40,"status_id":1,"priority_id":2,"assigned_to_id":23,"start_date":"2017-06-07","description":"","custom_fields":[{"id":1,"name":"Subdivision","value":"Other"},{"id":4,"name":"Milepost","value":"0.015"},{"id":17,"name":"Train ID","value":"64-07"},{"id":16,"name":"Locomotive ID","value":"4027"},{"id":130,"name":"Impact","value":""},{"id":150,"name":"Time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8"/>
        <v>start /low /b %USERPROFILE%\Documents\GitHub\eaglep3\Utilities\DownloadLogsFromS3.py --loco 4027 --day 2017-06-07</v>
      </c>
      <c r="AN236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617</v>
      </c>
      <c r="B237" s="7">
        <v>4027</v>
      </c>
      <c r="C237" s="21" t="s">
        <v>204</v>
      </c>
      <c r="D237" s="21" t="s">
        <v>489</v>
      </c>
      <c r="E237" s="13">
        <v>42893.458564814813</v>
      </c>
      <c r="F237" s="13">
        <v>42893.472187500003</v>
      </c>
      <c r="G237" s="7">
        <v>2</v>
      </c>
      <c r="H237" s="21" t="s">
        <v>352</v>
      </c>
      <c r="I237" s="13">
        <v>42893.494143518517</v>
      </c>
      <c r="J237" s="7">
        <v>0</v>
      </c>
      <c r="K237" s="92" t="str">
        <f t="shared" si="96"/>
        <v>4027/4028</v>
      </c>
      <c r="L237" s="21" t="str">
        <f>VLOOKUP(A237,'Trips&amp;Operators'!$C$1:$G$99999,5,FALSE)</f>
        <v>STARKS ANGELINA</v>
      </c>
      <c r="M237" s="6">
        <f t="shared" si="97"/>
        <v>2.1956018514174502E-2</v>
      </c>
      <c r="N237" s="7">
        <f t="shared" si="114"/>
        <v>31.616666660411283</v>
      </c>
      <c r="O237" s="7"/>
      <c r="P237" s="7"/>
      <c r="Q237" s="22"/>
      <c r="R237" s="173"/>
      <c r="S237" s="176">
        <f t="shared" si="112"/>
        <v>0</v>
      </c>
      <c r="T237" s="202" t="e">
        <f t="shared" si="98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99"/>
        <v>https://d0f6bd738d7f1b3e5a7ca70fe4ff75f0.us-east-1.aws.found.io/app/kibana#/discover/Steve-Slow-Train-Analysis-(2080s-and-2083s)?_g=(refreshInterval:(display:Off,pause:!f,section:0,value:0),time:(from:'2017-06-07T10:00:20-0600',mode:absolute,to:'2017-06-07T12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7" s="204" t="str">
        <f t="shared" si="113"/>
        <v>N</v>
      </c>
      <c r="X237" s="204" t="e">
        <f t="shared" si="105"/>
        <v>#VALUE!</v>
      </c>
      <c r="Y237" s="204">
        <f t="shared" si="110"/>
        <v>23.299099999999999</v>
      </c>
      <c r="Z237" s="204">
        <f t="shared" si="111"/>
        <v>1.4999999999999999E-2</v>
      </c>
      <c r="AA237" s="204">
        <f t="shared" si="100"/>
        <v>23.284099999999999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01"/>
        <v>64-07</v>
      </c>
      <c r="AE237" s="80" t="str">
        <f t="shared" si="102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237" s="77" t="str">
        <f t="shared" si="103"/>
        <v>"C:\Program Files (x86)\AstroGrep\AstroGrep.exe" /e /r /s /spath="%USERPROFILE%\AppData\Local\Temp\OnboardLogs" /stypes="app*4027*20170607*" /stext=" 17:.+((SYSTEM_STATE.+slice.+state.+changed )|(ment ac)|(multiple cpu faults)|(system.+state.+changed )|(\[timeout)|(PRM\|1\|D)|(kpr)|(kdp)|(train st.+moving)|(\|lc)|(penalty))"</v>
      </c>
      <c r="AG237" s="1" t="str">
        <f t="shared" si="104"/>
        <v>Other</v>
      </c>
      <c r="AH237" s="81" t="str">
        <f t="shared" si="106"/>
        <v>"%USERPROFILE%\Documents\GitHub\eaglep3\Utilities\RefineRTDCRunTimes.py" --tripid 64-07 --locoid 4027 --swversion DE.1.0.9.0 --startMP 204:232991 --initTime 2017-06-07T11:00:20 --startdatetime 2017-06-07T11:19:57 --delay 2 --endMP 204:150 --enddatetime 2017-06-07T11:51:34 --enforcementcount 0 &gt;&gt;C:\Users\stu\Documents\GitHub\eaglep3-reporting\EC\2017-06-07-refined-times.txt</v>
      </c>
      <c r="AI237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{"issue":{"subject":"","project_id":79,"tracker_id":40,"status_id":1,"priority_id":2,"assigned_to_id":23,"start_date":"2017-06-07","description":"","custom_fields":[{"id":1,"name":"Subdivision","value":"Other"},{"id":4,"name":"Milepost","value":"0.015"},{"id":17,"name":"Train ID","value":"64-07"},{"id":16,"name":"Locomotive ID","value":"4027"},{"id":130,"name":"Impact","value":""},{"id":150,"name":"Time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8"/>
        <v>start /low /b %USERPROFILE%\Documents\GitHub\eaglep3\Utilities\DownloadLogsFromS3.py --loco 4027 --day 2017-06-07</v>
      </c>
      <c r="AN237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617</v>
      </c>
      <c r="B238" s="7">
        <v>4027</v>
      </c>
      <c r="C238" s="21" t="s">
        <v>204</v>
      </c>
      <c r="D238" s="21" t="s">
        <v>489</v>
      </c>
      <c r="E238" s="13">
        <v>42893.458564814813</v>
      </c>
      <c r="F238" s="13">
        <v>42893.472187500003</v>
      </c>
      <c r="G238" s="7">
        <v>3</v>
      </c>
      <c r="H238" s="21" t="s">
        <v>352</v>
      </c>
      <c r="I238" s="13">
        <v>42893.494143518517</v>
      </c>
      <c r="J238" s="7">
        <v>0</v>
      </c>
      <c r="K238" s="92" t="str">
        <f t="shared" si="96"/>
        <v>4027/4028</v>
      </c>
      <c r="L238" s="21" t="str">
        <f>VLOOKUP(A238,'Trips&amp;Operators'!$C$1:$G$99999,5,FALSE)</f>
        <v>STARKS ANGELINA</v>
      </c>
      <c r="M238" s="6">
        <f t="shared" si="97"/>
        <v>2.1956018514174502E-2</v>
      </c>
      <c r="N238" s="7">
        <f t="shared" si="114"/>
        <v>31.616666660411283</v>
      </c>
      <c r="O238" s="7"/>
      <c r="P238" s="7"/>
      <c r="Q238" s="22"/>
      <c r="R238" s="173"/>
      <c r="S238" s="176">
        <f t="shared" si="112"/>
        <v>0</v>
      </c>
      <c r="T238" s="202" t="e">
        <f t="shared" si="98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99"/>
        <v>https://d0f6bd738d7f1b3e5a7ca70fe4ff75f0.us-east-1.aws.found.io/app/kibana#/discover/Steve-Slow-Train-Analysis-(2080s-and-2083s)?_g=(refreshInterval:(display:Off,pause:!f,section:0,value:0),time:(from:'2017-06-07T10:00:20-0600',mode:absolute,to:'2017-06-07T12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8" s="204" t="str">
        <f t="shared" si="113"/>
        <v>N</v>
      </c>
      <c r="X238" s="204" t="e">
        <f t="shared" si="105"/>
        <v>#VALUE!</v>
      </c>
      <c r="Y238" s="204">
        <f t="shared" si="110"/>
        <v>23.299099999999999</v>
      </c>
      <c r="Z238" s="204">
        <f t="shared" si="111"/>
        <v>1.4999999999999999E-2</v>
      </c>
      <c r="AA238" s="204">
        <f t="shared" si="100"/>
        <v>23.284099999999999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01"/>
        <v>64-07</v>
      </c>
      <c r="AE238" s="80" t="str">
        <f t="shared" si="102"/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AF238" s="77" t="str">
        <f t="shared" si="103"/>
        <v>"C:\Program Files (x86)\AstroGrep\AstroGrep.exe" /e /r /s /spath="%USERPROFILE%\AppData\Local\Temp\OnboardLogs" /stypes="app*4027*20170607*" /stext=" 17:.+((SYSTEM_STATE.+slice.+state.+changed )|(ment ac)|(multiple cpu faults)|(system.+state.+changed )|(\[timeout)|(PRM\|1\|D)|(kpr)|(kdp)|(train st.+moving)|(\|lc)|(penalty))"</v>
      </c>
      <c r="AG238" s="1" t="str">
        <f t="shared" si="104"/>
        <v>Other</v>
      </c>
      <c r="AH238" s="81" t="str">
        <f t="shared" si="106"/>
        <v>"%USERPROFILE%\Documents\GitHub\eaglep3\Utilities\RefineRTDCRunTimes.py" --tripid 64-07 --locoid 4027 --swversion DE.1.0.9.0 --startMP 204:232991 --initTime 2017-06-07T11:00:20 --startdatetime 2017-06-07T11:19:57 --delay 3 --endMP 204:150 --enddatetime 2017-06-07T11:51:34 --enforcementcount 0 &gt;&gt;C:\Users\stu\Documents\GitHub\eaglep3-reporting\EC\2017-06-07-refined-times.txt</v>
      </c>
      <c r="AI238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{"issue":{"subject":"","project_id":79,"tracker_id":40,"status_id":1,"priority_id":2,"assigned_to_id":23,"start_date":"2017-06-07","description":"","custom_fields":[{"id":1,"name":"Subdivision","value":"Other"},{"id":4,"name":"Milepost","value":"0.015"},{"id":17,"name":"Train ID","value":"64-07"},{"id":16,"name":"Locomotive ID","value":"4027"},{"id":130,"name":"Impact","value":""},{"id":150,"name":"Time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8"/>
        <v>start /low /b %USERPROFILE%\Documents\GitHub\eaglep3\Utilities\DownloadLogsFromS3.py --loco 4027 --day 2017-06-07</v>
      </c>
      <c r="AN238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17:51:34"},{"id":29,"name":"Sharepoint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771</v>
      </c>
      <c r="B239" s="7">
        <v>4010</v>
      </c>
      <c r="C239" s="21" t="s">
        <v>204</v>
      </c>
      <c r="D239" s="21" t="s">
        <v>941</v>
      </c>
      <c r="E239" s="13">
        <v>42893.588078703702</v>
      </c>
      <c r="F239" s="13">
        <v>42893.598611111112</v>
      </c>
      <c r="G239" s="7">
        <v>1</v>
      </c>
      <c r="H239" s="21" t="s">
        <v>542</v>
      </c>
      <c r="I239" s="13">
        <v>42893.608020833337</v>
      </c>
      <c r="J239" s="7">
        <v>0</v>
      </c>
      <c r="K239" s="92" t="str">
        <f t="shared" si="96"/>
        <v>4009/4010</v>
      </c>
      <c r="L239" s="21" t="str">
        <f>VLOOKUP(A239,'Trips&amp;Operators'!$C$1:$G$99999,5,FALSE)</f>
        <v>LOPES KIMBERLY</v>
      </c>
      <c r="M239" s="6">
        <f t="shared" si="97"/>
        <v>9.4097222245181911E-3</v>
      </c>
      <c r="N239" s="7">
        <f t="shared" si="114"/>
        <v>13.550000003306195</v>
      </c>
      <c r="O239" s="7"/>
      <c r="P239" s="7"/>
      <c r="Q239" s="22"/>
      <c r="R239" s="173"/>
      <c r="S239" s="176">
        <f t="shared" si="112"/>
        <v>0</v>
      </c>
      <c r="T239" s="202" t="e">
        <f t="shared" si="98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99"/>
        <v>https://d0f6bd738d7f1b3e5a7ca70fe4ff75f0.us-east-1.aws.found.io/app/kibana#/discover/Steve-Slow-Train-Analysis-(2080s-and-2083s)?_g=(refreshInterval:(display:Off,pause:!f,section:0,value:0),time:(from:'2017-06-07T13:06:50-0600',mode:absolute,to:'2017-06-07T15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9" s="204" t="str">
        <f t="shared" si="113"/>
        <v>N</v>
      </c>
      <c r="X239" s="204" t="e">
        <f t="shared" si="105"/>
        <v>#VALUE!</v>
      </c>
      <c r="Y239" s="204">
        <f t="shared" si="110"/>
        <v>9.9299999999999999E-2</v>
      </c>
      <c r="Z239" s="204">
        <f t="shared" si="111"/>
        <v>5.8925999999999998</v>
      </c>
      <c r="AA239" s="204">
        <f t="shared" si="100"/>
        <v>5.7932999999999995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01"/>
        <v>65-07</v>
      </c>
      <c r="AE239" s="80" t="str">
        <f t="shared" si="102"/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AF239" s="77" t="str">
        <f t="shared" si="103"/>
        <v>"C:\Program Files (x86)\AstroGrep\AstroGrep.exe" /e /r /s /spath="%USERPROFILE%\AppData\Local\Temp\OnboardLogs" /stypes="app*4010*20170607*" /stext=" 20:.+((SYSTEM_STATE.+slice.+state.+changed )|(ment ac)|(multiple cpu faults)|(system.+state.+changed )|(\[timeout)|(PRM\|1\|D)|(kpr)|(kdp)|(train st.+moving)|(\|lc)|(penalty))"</v>
      </c>
      <c r="AG239" s="1" t="str">
        <f t="shared" si="104"/>
        <v>Other</v>
      </c>
      <c r="AH239" s="81" t="str">
        <f t="shared" si="106"/>
        <v>"%USERPROFILE%\Documents\GitHub\eaglep3\Utilities\RefineRTDCRunTimes.py" --tripid 65-07 --locoid 4010 --swversion DE.1.0.9.0 --startMP 204:993 --initTime 2017-06-07T14:06:50 --startdatetime 2017-06-07T14:22:00 --delay 1 --endMP 300:58926 --enddatetime 2017-06-07T14:35:33 --enforcementcount 0 &gt;&gt;C:\Users\stu\Documents\GitHub\eaglep3-reporting\EC\2017-06-07-refined-times.txt</v>
      </c>
      <c r="AI239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{"issue":{"subject":"","project_id":79,"tracker_id":40,"status_id":1,"priority_id":2,"assigned_to_id":23,"start_date":"2017-06-07","description":"","custom_fields":[{"id":1,"name":"Subdivision","value":"Other"},{"id":4,"name":"Milepost","value":"5.8926"},{"id":17,"name":"Train ID","value":"65-07"},{"id":16,"name":"Locomotive ID","value":"4010"},{"id":130,"name":"Impact","value":""},{"id":150,"name":"Time of Event (Mountain Time)","value":"14:35:33"},{"id":151,"name":"Denver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8"/>
        <v>start /low /b %USERPROFILE%\Documents\GitHub\eaglep3\Utilities\DownloadLogsFromS3.py --loco 4010 --day 2017-06-07</v>
      </c>
      <c r="AN239" s="154" t="str">
        <f t="shared" si="109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20:35:33"},{"id":29,"name":"Sharepoint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637</v>
      </c>
      <c r="B240" s="7">
        <v>4005</v>
      </c>
      <c r="C240" s="21" t="s">
        <v>204</v>
      </c>
      <c r="D240" s="21" t="s">
        <v>942</v>
      </c>
      <c r="E240" s="13">
        <v>42893.777928240743</v>
      </c>
      <c r="F240" s="13">
        <v>42893.779016203705</v>
      </c>
      <c r="G240" s="7">
        <v>0</v>
      </c>
      <c r="H240" s="21" t="s">
        <v>943</v>
      </c>
      <c r="I240" s="13">
        <v>42893.780023148145</v>
      </c>
      <c r="J240" s="7">
        <v>0</v>
      </c>
      <c r="K240" s="92" t="str">
        <f t="shared" si="96"/>
        <v>4005/4006</v>
      </c>
      <c r="L240" s="21" t="str">
        <f>VLOOKUP(A240,'Trips&amp;Operators'!$C$1:$G$99999,5,FALSE)</f>
        <v>MAGEE KENYA</v>
      </c>
      <c r="M240" s="6">
        <f t="shared" si="97"/>
        <v>1.0069444397231564E-3</v>
      </c>
      <c r="N240" s="7">
        <f t="shared" si="114"/>
        <v>1.4499999932013452</v>
      </c>
      <c r="O240" s="7"/>
      <c r="P240" s="7"/>
      <c r="Q240" s="22"/>
      <c r="R240" s="173"/>
      <c r="S240" s="176">
        <f t="shared" si="112"/>
        <v>0</v>
      </c>
      <c r="T240" s="202" t="e">
        <f t="shared" si="98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99"/>
        <v>https://d0f6bd738d7f1b3e5a7ca70fe4ff75f0.us-east-1.aws.found.io/app/kibana#/discover/Steve-Slow-Train-Analysis-(2080s-and-2083s)?_g=(refreshInterval:(display:Off,pause:!f,section:0,value:0),time:(from:'2017-06-07T17:40:13-0600',mode:absolute,to:'2017-06-07T19:43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0" s="204" t="str">
        <f t="shared" si="113"/>
        <v>Y</v>
      </c>
      <c r="X240" s="204" t="e">
        <f t="shared" si="105"/>
        <v>#VALUE!</v>
      </c>
      <c r="Y240" s="204">
        <f t="shared" si="110"/>
        <v>0.50629999999999997</v>
      </c>
      <c r="Z240" s="204">
        <f t="shared" si="111"/>
        <v>0.184</v>
      </c>
      <c r="AA240" s="204">
        <f t="shared" si="100"/>
        <v>0.32229999999999998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01"/>
        <v>70-07</v>
      </c>
      <c r="AE240" s="80" t="str">
        <f t="shared" si="102"/>
        <v>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 &amp; aws s3 cp s3://rtdc.mdm.uploadarchive.raw/RTDC4005/ "%USERPROFILE%\AppData\Local\Temp\OnboardLogs"\RTDC4005\2017-06-08 --exclude "*" --recursive --include "*20170608*" &amp; "%USERPROFILE%\Documents\GitHub\mrs-test-scripts\Headless Mode &amp; Sideloading\WalkAndUnGZ.bat" "%USERPROFILE%\AppData\Local\Temp\OnboardLogs"\RTDC4005\2017-06-08</v>
      </c>
      <c r="AF240" s="77" t="str">
        <f t="shared" si="103"/>
        <v>"C:\Program Files (x86)\AstroGrep\AstroGrep.exe" /e /r /s /spath="%USERPROFILE%\AppData\Local\Temp\OnboardLogs" /stypes="app*4005*20170608*" /stext=" 00:.+((SYSTEM_STATE.+slice.+state.+changed )|(ment ac)|(multiple cpu faults)|(system.+state.+changed )|(\[timeout)|(PRM\|1\|D)|(kpr)|(kdp)|(train st.+moving)|(\|lc)|(penalty))"</v>
      </c>
      <c r="AG240" s="1" t="str">
        <f t="shared" si="104"/>
        <v>Other</v>
      </c>
      <c r="AH240" s="81" t="str">
        <f t="shared" si="106"/>
        <v>"%USERPROFILE%\Documents\GitHub\eaglep3\Utilities\RefineRTDCRunTimes.py" --tripid 70-07 --locoid 4005 --swversion DE.1.0.9.0 --startMP 300:5063 --initTime 2017-06-07T18:40:13 --startdatetime 2017-06-07T18:41:47 --delay 0 --endMP 204:1840 --enddatetime 2017-06-07T18:43:14 --enforcementcount 0 &gt;&gt;C:\Users\stu\Documents\GitHub\eaglep3-reporting\EC\2017-06-07-refined-times.txt</v>
      </c>
      <c r="AI240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{"issue":{"subject":"","project_id":79,"tracker_id":40,"status_id":1,"priority_id":2,"assigned_to_id":23,"start_date":"2017-06-07","description":"","custom_fields":[{"id":1,"name":"Subdivision","value":"Other"},{"id":4,"name":"Milepost","value":"0.184"},{"id":17,"name":"Train ID","value":"70-07"},{"id":16,"name":"Locomotive ID","value":"4005"},{"id":130,"name":"Impact","value":""},{"id":150,"name":"Time of Event (Mountain Time)","value":"18:43:14"},{"id":151,"name":"Denver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8"/>
        <v>start /low /b %USERPROFILE%\Documents\GitHub\eaglep3\Utilities\DownloadLogsFromS3.py --loco 4005 --day 2017-06-07</v>
      </c>
      <c r="AN240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00:43:14"},{"id":29,"name":"Sharepoint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637</v>
      </c>
      <c r="B241" s="7">
        <v>4006</v>
      </c>
      <c r="C241" s="21" t="s">
        <v>204</v>
      </c>
      <c r="D241" s="21" t="s">
        <v>944</v>
      </c>
      <c r="E241" s="13">
        <v>42893.77275462963</v>
      </c>
      <c r="F241" s="13">
        <v>42893.779016203705</v>
      </c>
      <c r="G241" s="7">
        <v>3</v>
      </c>
      <c r="H241" s="21" t="s">
        <v>945</v>
      </c>
      <c r="I241" s="13">
        <v>42893.780023148145</v>
      </c>
      <c r="J241" s="7">
        <v>0</v>
      </c>
      <c r="K241" s="92" t="str">
        <f t="shared" si="96"/>
        <v>4005/4006</v>
      </c>
      <c r="L241" s="21" t="str">
        <f>VLOOKUP(A241,'Trips&amp;Operators'!$C$1:$G$99999,5,FALSE)</f>
        <v>MAGEE KENYA</v>
      </c>
      <c r="M241" s="6">
        <f t="shared" si="97"/>
        <v>1.0069444397231564E-3</v>
      </c>
      <c r="N241" s="7">
        <f t="shared" si="114"/>
        <v>1.4499999932013452</v>
      </c>
      <c r="O241" s="7"/>
      <c r="P241" s="7"/>
      <c r="Q241" s="22"/>
      <c r="R241" s="173"/>
      <c r="S241" s="176">
        <f t="shared" si="112"/>
        <v>0</v>
      </c>
      <c r="T241" s="202" t="e">
        <f t="shared" si="98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99"/>
        <v>https://d0f6bd738d7f1b3e5a7ca70fe4ff75f0.us-east-1.aws.found.io/app/kibana#/discover/Steve-Slow-Train-Analysis-(2080s-and-2083s)?_g=(refreshInterval:(display:Off,pause:!f,section:0,value:0),time:(from:'2017-06-07T17:32:46-0600',mode:absolute,to:'2017-06-07T19:43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1" s="204" t="str">
        <f t="shared" si="113"/>
        <v>Y</v>
      </c>
      <c r="X241" s="204" t="e">
        <f t="shared" si="105"/>
        <v>#VALUE!</v>
      </c>
      <c r="Y241" s="204">
        <f t="shared" si="110"/>
        <v>0.1177</v>
      </c>
      <c r="Z241" s="204">
        <f t="shared" si="111"/>
        <v>0.54269999999999996</v>
      </c>
      <c r="AA241" s="204">
        <f t="shared" si="100"/>
        <v>0.42499999999999993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01"/>
        <v>70-07</v>
      </c>
      <c r="AE241" s="80" t="str">
        <f t="shared" si="102"/>
        <v>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 &amp; aws s3 cp s3://rtdc.mdm.uploadarchive.raw/RTDC4006/ "%USERPROFILE%\AppData\Local\Temp\OnboardLogs"\RTDC4006\2017-06-08 --exclude "*" --recursive --include "*20170608*" &amp; "%USERPROFILE%\Documents\GitHub\mrs-test-scripts\Headless Mode &amp; Sideloading\WalkAndUnGZ.bat" "%USERPROFILE%\AppData\Local\Temp\OnboardLogs"\RTDC4006\2017-06-08</v>
      </c>
      <c r="AF241" s="77" t="str">
        <f t="shared" si="103"/>
        <v>"C:\Program Files (x86)\AstroGrep\AstroGrep.exe" /e /r /s /spath="%USERPROFILE%\AppData\Local\Temp\OnboardLogs" /stypes="app*4006*20170608*" /stext=" 00:.+((SYSTEM_STATE.+slice.+state.+changed )|(ment ac)|(multiple cpu faults)|(system.+state.+changed )|(\[timeout)|(PRM\|1\|D)|(kpr)|(kdp)|(train st.+moving)|(\|lc)|(penalty))"</v>
      </c>
      <c r="AG241" s="1" t="str">
        <f t="shared" si="104"/>
        <v>Other</v>
      </c>
      <c r="AH241" s="81" t="str">
        <f t="shared" si="106"/>
        <v>"%USERPROFILE%\Documents\GitHub\eaglep3\Utilities\RefineRTDCRunTimes.py" --tripid 70-07 --locoid 4006 --swversion DE.1.0.9.0 --startMP 204:1177 --initTime 2017-06-07T18:32:46 --startdatetime 2017-06-07T18:41:47 --delay 3 --endMP 300:5427 --enddatetime 2017-06-07T18:43:14 --enforcementcount 0 &gt;&gt;C:\Users\stu\Documents\GitHub\eaglep3-reporting\EC\2017-06-07-refined-times.txt</v>
      </c>
      <c r="AI241" s="99" t="str">
        <f t="shared" si="107"/>
        <v>echo {"issue":{"subject":"","project_id":79,"tracker_id":40,"status_id":1,"priority_id":2,"assigned_to_id":23,"start_date":"2017-06-07","description":"","custom_fields":[{"id":1,"name":"Subdivision","value":"Other"},{"id":4,"name":"Milepost","value":"0.5427"},{"id":17,"name":"Train ID","value":"70-07"},{"id":16,"name":"Locomotive ID","value":"4006"},{"id":130,"name":"Impact","value":""},{"id":150,"name":"Time of Event (Mountain Time)","value":"18:43:14"},{"id":151,"name":"Denver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8"/>
        <v>start /low /b %USERPROFILE%\Documents\GitHub\eaglep3\Utilities\DownloadLogsFromS3.py --loco 4006 --day 2017-06-07</v>
      </c>
      <c r="AN241" s="154" t="str">
        <f t="shared" si="109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00:43:14"},{"id":29,"name":"Sharepoint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</sheetData>
  <autoFilter ref="A12:AG274">
    <sortState ref="A13:AG274">
      <sortCondition ref="AG13:AG241"/>
      <sortCondition ref="AD13:AD241"/>
    </sortState>
  </autoFilter>
  <sortState ref="A13:AH200">
    <sortCondition ref="AG13:AG200"/>
    <sortCondition ref="AD13:AD200"/>
  </sortState>
  <mergeCells count="1">
    <mergeCell ref="A11:P11"/>
  </mergeCells>
  <conditionalFormatting sqref="W11:W12 W278:X1048576 W98 W99:X107 W109:X241 W13:X96">
    <cfRule type="cellIs" dxfId="24" priority="415" operator="equal">
      <formula>"Y"</formula>
    </cfRule>
  </conditionalFormatting>
  <conditionalFormatting sqref="X278:X1048576 X99:X107 X109:X241 X13:X96">
    <cfRule type="cellIs" dxfId="23" priority="398" operator="greaterThan">
      <formula>1</formula>
    </cfRule>
  </conditionalFormatting>
  <conditionalFormatting sqref="X278:X1048576 X99:X107 X109:X241 X12:X96">
    <cfRule type="cellIs" dxfId="22" priority="395" operator="equal">
      <formula>0</formula>
    </cfRule>
  </conditionalFormatting>
  <conditionalFormatting sqref="A98:S107 A109:S241 A13:S96">
    <cfRule type="expression" dxfId="21" priority="389" stopIfTrue="1">
      <formula>$P13&gt;0</formula>
    </cfRule>
    <cfRule type="expression" dxfId="20" priority="390" stopIfTrue="1">
      <formula>$O13&gt;0</formula>
    </cfRule>
  </conditionalFormatting>
  <conditionalFormatting sqref="W97:X97 X98">
    <cfRule type="cellIs" dxfId="19" priority="14" operator="equal">
      <formula>"Y"</formula>
    </cfRule>
  </conditionalFormatting>
  <conditionalFormatting sqref="X97:X98">
    <cfRule type="cellIs" dxfId="18" priority="13" operator="greaterThan">
      <formula>1</formula>
    </cfRule>
  </conditionalFormatting>
  <conditionalFormatting sqref="X97:X98">
    <cfRule type="cellIs" dxfId="17" priority="12" operator="equal">
      <formula>0</formula>
    </cfRule>
  </conditionalFormatting>
  <conditionalFormatting sqref="A97:S97">
    <cfRule type="expression" dxfId="16" priority="9" stopIfTrue="1">
      <formula>$P97&gt;0</formula>
    </cfRule>
    <cfRule type="expression" dxfId="15" priority="10" stopIfTrue="1">
      <formula>$O97&gt;0</formula>
    </cfRule>
  </conditionalFormatting>
  <conditionalFormatting sqref="W108:X108">
    <cfRule type="cellIs" dxfId="14" priority="7" operator="equal">
      <formula>"Y"</formula>
    </cfRule>
  </conditionalFormatting>
  <conditionalFormatting sqref="X108">
    <cfRule type="cellIs" dxfId="13" priority="6" operator="greaterThan">
      <formula>1</formula>
    </cfRule>
  </conditionalFormatting>
  <conditionalFormatting sqref="X108">
    <cfRule type="cellIs" dxfId="12" priority="5" operator="equal">
      <formula>0</formula>
    </cfRule>
  </conditionalFormatting>
  <conditionalFormatting sqref="A108:S108">
    <cfRule type="expression" dxfId="11" priority="2" stopIfTrue="1">
      <formula>$P108&gt;0</formula>
    </cfRule>
    <cfRule type="expression" dxfId="10" priority="3" stopIfTrue="1">
      <formula>$O108&gt;0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A98:S107 A109:S241 A13:S96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A98:S107 A109:S241 A13:S96</xm:sqref>
        </x14:conditionalFormatting>
        <x14:conditionalFormatting xmlns:xm="http://schemas.microsoft.com/office/excel/2006/main">
          <x14:cfRule type="expression" priority="11" stopIfTrue="1" id="{2E0F921C-8756-4944-AD80-670E4908D1FA}">
            <xm:f>IF($AG97="EC",OR($N97&gt;Variables!$C$2,$N97&lt;Variables!$C$5),OR($N97&gt;Variables!$D$2,$N97&lt;Variables!$D$5))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A97:S97</xm:sqref>
        </x14:conditionalFormatting>
        <x14:conditionalFormatting xmlns:xm="http://schemas.microsoft.com/office/excel/2006/main">
          <x14:cfRule type="expression" priority="8" stopIfTrue="1" id="{09FA35A6-2557-4567-AC78-5070DE59AEA9}">
            <xm:f>IF($AG97="EC",OR($N97&gt;Variables!#REF!,$N97&lt;Variables!#REF!),OR($N97&gt;Variables!#REF!,$N97&lt;Variables!#REF!))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A97:S97</xm:sqref>
        </x14:conditionalFormatting>
        <x14:conditionalFormatting xmlns:xm="http://schemas.microsoft.com/office/excel/2006/main">
          <x14:cfRule type="expression" priority="4" stopIfTrue="1" id="{AB7A1EC5-FBB7-4C01-85D3-B9048B09F429}">
            <xm:f>IF($AG108="EC",OR($N108&gt;Variables!$C$2,$N108&lt;Variables!$C$5),OR($N108&gt;Variables!$D$2,$N108&lt;Variables!$D$5))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A108:S108</xm:sqref>
        </x14:conditionalFormatting>
        <x14:conditionalFormatting xmlns:xm="http://schemas.microsoft.com/office/excel/2006/main">
          <x14:cfRule type="expression" priority="1" stopIfTrue="1" id="{0BF1DDFF-7AD7-42D8-9847-100902912A6F}">
            <xm:f>IF($AG108="EC",OR($N108&gt;Variables!#REF!,$N108&lt;Variables!#REF!),OR($N108&gt;Variables!#REF!,$N108&lt;Variables!#REF!))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A108:S108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7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COUNTIF($O$7:$O$279,"=Y")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COUNTA($O$7:$O$279)-O2</f>
        <v>67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42893.803993055553</v>
      </c>
      <c r="B7" s="30" t="s">
        <v>641</v>
      </c>
      <c r="C7" s="30" t="s">
        <v>642</v>
      </c>
      <c r="D7" s="30" t="s">
        <v>98</v>
      </c>
      <c r="E7" s="30" t="s">
        <v>189</v>
      </c>
      <c r="F7" s="42">
        <v>0</v>
      </c>
      <c r="G7" s="42">
        <v>140</v>
      </c>
      <c r="H7" s="42">
        <v>27324</v>
      </c>
      <c r="I7" s="42">
        <v>27189</v>
      </c>
      <c r="J7" s="30" t="s">
        <v>190</v>
      </c>
      <c r="K7" s="42">
        <v>27350</v>
      </c>
      <c r="L7" s="134" t="s">
        <v>51</v>
      </c>
      <c r="M7" s="135">
        <f t="shared" ref="M7:M38" si="0">CONVERT((I7-K7)/10000,"mi","ft")*IF(L7="Increasing Mileposts (1)",-1,1)</f>
        <v>-85.007999999999996</v>
      </c>
      <c r="N7" s="136" t="str">
        <f>VLOOKUP(C7,'Trips&amp;Operators'!$C$1:$G$99999,5,FALSE)</f>
        <v>HAITHCOX MICHAEL</v>
      </c>
      <c r="O7" s="210" t="s">
        <v>182</v>
      </c>
      <c r="P7" s="137" t="s">
        <v>402</v>
      </c>
      <c r="Q7" s="30"/>
      <c r="R7" s="84" t="str">
        <f>VLOOKUP(C7,'Train Runs'!$A$13:$AE$9933,31,0)</f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S7" s="87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-06-07T17:37:16-0600',mode:absolute,to:'2017-06-07T20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/stypes="*4057*201706080*" /stext=" 01:.+((SYSTEM_STATE.+slice.+state.+changed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4057</v>
      </c>
      <c r="V7" s="31">
        <f t="shared" ref="V7:V38" si="3">A7-utc_offset/24</f>
        <v>42894.053993055553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arrival","project_id":79,"tracker_id":40,"status_id":1,"priority_id":2,"assigned_to_id":23,"start_date":"2017-06-07","description":"","custom_fields":[{"id":1,"name":"Subdivision","value":"EC"},{"id":4,"name":"Milepost","value":"2.735"},{"id":17,"name":"Train ID","value":"214-07"},{"id":16,"name":"Locomotive ID","value":"4057"},{"id":130,"name":"Impact","value":""},{"id":150,"name":"Time of Event (Mountain Time)","value":"19:17:45"},{"id":151,"name":"Denver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/cygdrive/c/Users/stu/AppData/Local/Temp/OnboardLogs/RTDC4057 --include="*4057*201706080*"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"%USERPROFILE%\AppData\Local\Temp\OnboardLogs"\RTDC4057\*4057*201706080* &gt;&gt; 2017-06-07-SliceDisagreementCheck.txt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4057 --day 2017-06-08</v>
      </c>
    </row>
    <row r="8" spans="1:32" s="1" customFormat="1" x14ac:dyDescent="0.25">
      <c r="A8" s="31">
        <v>42893.33152777778</v>
      </c>
      <c r="B8" s="30" t="s">
        <v>610</v>
      </c>
      <c r="C8" s="30" t="s">
        <v>611</v>
      </c>
      <c r="D8" s="30" t="s">
        <v>98</v>
      </c>
      <c r="E8" s="30" t="s">
        <v>189</v>
      </c>
      <c r="F8" s="42">
        <v>0</v>
      </c>
      <c r="G8" s="42">
        <v>201</v>
      </c>
      <c r="H8" s="42">
        <v>30944</v>
      </c>
      <c r="I8" s="42">
        <v>30558</v>
      </c>
      <c r="J8" s="30" t="s">
        <v>190</v>
      </c>
      <c r="K8" s="42">
        <v>30970</v>
      </c>
      <c r="L8" s="134" t="s">
        <v>51</v>
      </c>
      <c r="M8" s="135">
        <f t="shared" si="0"/>
        <v>-217.536</v>
      </c>
      <c r="N8" s="136" t="str">
        <f>VLOOKUP(C8,'Trips&amp;Operators'!$C$1:$G$99999,5,FALSE)</f>
        <v>DAVIS WENDY</v>
      </c>
      <c r="O8" s="210" t="s">
        <v>182</v>
      </c>
      <c r="P8" s="137" t="s">
        <v>402</v>
      </c>
      <c r="Q8" s="30"/>
      <c r="R8" s="84" t="str">
        <f>VLOOKUP(C8,'Train Runs'!$A$13:$AE$9933,31,0)</f>
        <v>aws s3 cp s3://rtdc.mdm.uploadarchive.raw/RTDC4031/ "%USERPROFILE%\AppData\Local\Temp\OnboardLogs"\RTDC4031\2017-06-07 --exclude "*" --recursive --include "*20170607*" &amp; "%USERPROFILE%\Documents\GitHub\mrs-test-scripts\Headless Mode &amp; Sideloading\WalkAndUnGZ.bat" "%USERPROFILE%\AppData\Local\Temp\OnboardLogs"\RTDC4031\2017-06-07 &amp; 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</v>
      </c>
      <c r="S8" s="87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-06-07T06:22:36-0600',mode:absolute,to:'2017-06-07T09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9" t="str">
        <f t="shared" si="1"/>
        <v>"C:\Program Files (x86)\AstroGrep\AstroGrep.exe" /e /r /s /spath="%USERPROFILE%\AppData\Local\Temp\OnboardLogs" /stypes="*4031*201706071*"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42893.58152777778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arrival","project_id":79,"tracker_id":40,"status_id":1,"priority_id":2,"assigned_to_id":23,"start_date":"2017-06-07","description":"","custom_fields":[{"id":1,"name":"Subdivision","value":"EC"},{"id":4,"name":"Milepost","value":"3.097"},{"id":17,"name":"Train ID","value":"124-07"},{"id":16,"name":"Locomotive ID","value":"4031"},{"id":130,"name":"Impact","value":""},{"id":150,"name":"Time of Event (Mountain Time)","value":"07:57:24"},{"id":151,"name":"Denver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/cygdrive/c/Users/stu/AppData/Local/Temp/OnboardLogs/RTDC4031 --include="*4031*201706071*"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"%USERPROFILE%\AppData\Local\Temp\OnboardLogs"\RTDC4031\*4031*201706071* &gt;&gt; 2017-06-07-SliceDisagreementCheck.txt</v>
      </c>
      <c r="AE8" s="148" t="str">
        <f t="shared" ref="AE8:AE70" si="9">"start /low /b "&amp;dls3logs&amp;" --loco "&amp;U8&amp;" --day "&amp;TEXT(V8,"YYYY-MM-DD")</f>
        <v>start /low /b %USERPROFILE%\Documents\GitHub\eaglep3\Utilities\DownloadLogsFromS3.py --loco 4031 --day 2017-06-07</v>
      </c>
    </row>
    <row r="9" spans="1:32" s="1" customFormat="1" x14ac:dyDescent="0.25">
      <c r="A9" s="31">
        <v>42893.998796296299</v>
      </c>
      <c r="B9" s="30" t="s">
        <v>509</v>
      </c>
      <c r="C9" s="30" t="s">
        <v>652</v>
      </c>
      <c r="D9" s="30" t="s">
        <v>98</v>
      </c>
      <c r="E9" s="30" t="s">
        <v>189</v>
      </c>
      <c r="F9" s="42">
        <v>0</v>
      </c>
      <c r="G9" s="42">
        <v>215</v>
      </c>
      <c r="H9" s="42">
        <v>30943</v>
      </c>
      <c r="I9" s="42">
        <v>30598</v>
      </c>
      <c r="J9" s="30" t="s">
        <v>190</v>
      </c>
      <c r="K9" s="42">
        <v>30970</v>
      </c>
      <c r="L9" s="134" t="s">
        <v>51</v>
      </c>
      <c r="M9" s="135">
        <f t="shared" si="0"/>
        <v>-196.416</v>
      </c>
      <c r="N9" s="136" t="str">
        <f>VLOOKUP(C9,'Trips&amp;Operators'!$C$1:$G$99999,5,FALSE)</f>
        <v>HAUSER FRANK</v>
      </c>
      <c r="O9" s="210" t="s">
        <v>182</v>
      </c>
      <c r="P9" s="137" t="s">
        <v>402</v>
      </c>
      <c r="Q9" s="30"/>
      <c r="R9" s="84" t="str">
        <f>VLOOKUP(C9,'Train Runs'!$A$13:$AE$9933,31,0)</f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S9" s="87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-06-07T22:15:39-0600',mode:absolute,to:'2017-06-08T01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9" s="89" t="str">
        <f t="shared" si="1"/>
        <v>"C:\Program Files (x86)\AstroGrep\AstroGrep.exe" /e /r /s /spath="%USERPROFILE%\AppData\Local\Temp\OnboardLogs" /stypes="*4045*201706080*"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4045</v>
      </c>
      <c r="V9" s="31">
        <f t="shared" si="3"/>
        <v>42894.248796296299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arrival","project_id":79,"tracker_id":40,"status_id":1,"priority_id":2,"assigned_to_id":23,"start_date":"2017-06-07","description":"","custom_fields":[{"id":1,"name":"Subdivision","value":"EC"},{"id":4,"name":"Milepost","value":"3.097"},{"id":17,"name":"Train ID","value":"236-07"},{"id":16,"name":"Locomotive ID","value":"4045"},{"id":130,"name":"Impact","value":""},{"id":150,"name":"Time of Event (Mountain Time)","value":"23:58:16"},{"id":151,"name":"Denver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/cygdrive/c/Users/stu/AppData/Local/Temp/OnboardLogs/RTDC4045 --include="*4045*201706080*"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"%USERPROFILE%\AppData\Local\Temp\OnboardLogs"\RTDC4045\*4045*201706080* &gt;&gt; 2017-06-07-SliceDisagreementCheck.txt</v>
      </c>
      <c r="AE9" s="148" t="str">
        <f t="shared" si="9"/>
        <v>start /low /b %USERPROFILE%\Documents\GitHub\eaglep3\Utilities\DownloadLogsFromS3.py --loco 4045 --day 2017-06-08</v>
      </c>
    </row>
    <row r="10" spans="1:32" s="1" customFormat="1" x14ac:dyDescent="0.25">
      <c r="A10" s="31">
        <v>42894.060081018521</v>
      </c>
      <c r="B10" s="30" t="s">
        <v>604</v>
      </c>
      <c r="C10" s="30" t="s">
        <v>654</v>
      </c>
      <c r="D10" s="30" t="s">
        <v>49</v>
      </c>
      <c r="E10" s="30" t="s">
        <v>189</v>
      </c>
      <c r="F10" s="42">
        <v>0</v>
      </c>
      <c r="G10" s="42">
        <v>197</v>
      </c>
      <c r="H10" s="42">
        <v>33307</v>
      </c>
      <c r="I10" s="42">
        <v>33171</v>
      </c>
      <c r="J10" s="30" t="s">
        <v>190</v>
      </c>
      <c r="K10" s="42">
        <v>33257</v>
      </c>
      <c r="L10" s="134" t="s">
        <v>51</v>
      </c>
      <c r="M10" s="135">
        <f t="shared" si="0"/>
        <v>-45.408000000000001</v>
      </c>
      <c r="N10" s="136" t="str">
        <f>VLOOKUP(C10,'Trips&amp;Operators'!$C$1:$G$99999,5,FALSE)</f>
        <v>SMITH MICHAEL</v>
      </c>
      <c r="O10" s="210" t="s">
        <v>182</v>
      </c>
      <c r="P10" s="137" t="s">
        <v>402</v>
      </c>
      <c r="Q10" s="30"/>
      <c r="R10" s="84" t="str">
        <f>VLOOKUP(C10,'Train Runs'!$A$13:$AE$9933,31,0)</f>
        <v>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 &amp; aws s3 cp s3://rtdc.mdm.uploadarchive.raw/RTDC4015/ "%USERPROFILE%\AppData\Local\Temp\OnboardLogs"\RTDC4015\2017-06-09 --exclude "*" --recursive --include "*20170609*" &amp; "%USERPROFILE%\Documents\GitHub\mrs-test-scripts\Headless Mode &amp; Sideloading\WalkAndUnGZ.bat" "%USERPROFILE%\AppData\Local\Temp\OnboardLogs"\RTDC4015\2017-06-09</v>
      </c>
      <c r="S10" s="87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-06-07T23:39:42-0600',mode:absolute,to:'2017-06-08T02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89" t="str">
        <f t="shared" si="1"/>
        <v>"C:\Program Files (x86)\AstroGrep\AstroGrep.exe" /e /r /s /spath="%USERPROFILE%\AppData\Local\Temp\OnboardLogs" /stypes="*4015*201706080*" /stext=" 07:.+((SYSTEM_STATE.+slice.+state.+changed )|(ment ac)|(multiple cpu faults)|(system.+state.+changed )|(\[timeout)|(PRM\|1\|D)|(kpr)|(kdp)|(train st.+moving)|(\|lc)|(penalty))"</v>
      </c>
      <c r="U10" s="9" t="str">
        <f t="shared" si="2"/>
        <v>4015</v>
      </c>
      <c r="V10" s="31">
        <f t="shared" si="3"/>
        <v>42894.310081018521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arrival","project_id":79,"tracker_id":40,"status_id":1,"priority_id":2,"assigned_to_id":23,"start_date":"2017-06-08","description":"","custom_fields":[{"id":1,"name":"Subdivision","value":"EC"},{"id":4,"name":"Milepost","value":"3.3257"},{"id":17,"name":"Train ID","value":"242-07"},{"id":16,"name":"Locomotive ID","value":"4015"},{"id":130,"name":"Impact","value":""},{"id":150,"name":"Time of Event (Mountain Time)","value":"01:26:31"},{"id":151,"name":"Denver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/cygdrive/c/Users/stu/AppData/Local/Temp/OnboardLogs/RTDC4015 --include="*4015*201706080*"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"%USERPROFILE%\AppData\Local\Temp\OnboardLogs"\RTDC4015\*4015*201706080* &gt;&gt; 2017-06-07-SliceDisagreementCheck.txt</v>
      </c>
      <c r="AE10" s="148" t="str">
        <f t="shared" si="9"/>
        <v>start /low /b %USERPROFILE%\Documents\GitHub\eaglep3\Utilities\DownloadLogsFromS3.py --loco 4015 --day 2017-06-08</v>
      </c>
    </row>
    <row r="11" spans="1:32" s="1" customFormat="1" x14ac:dyDescent="0.25">
      <c r="A11" s="31">
        <v>42893.435902777775</v>
      </c>
      <c r="B11" s="30" t="s">
        <v>374</v>
      </c>
      <c r="C11" s="30" t="s">
        <v>615</v>
      </c>
      <c r="D11" s="30" t="s">
        <v>49</v>
      </c>
      <c r="E11" s="30" t="s">
        <v>189</v>
      </c>
      <c r="F11" s="42">
        <v>0</v>
      </c>
      <c r="G11" s="42">
        <v>425</v>
      </c>
      <c r="H11" s="42">
        <v>43774</v>
      </c>
      <c r="I11" s="42">
        <v>42800</v>
      </c>
      <c r="J11" s="30" t="s">
        <v>190</v>
      </c>
      <c r="K11" s="42">
        <v>42961</v>
      </c>
      <c r="L11" s="134" t="s">
        <v>51</v>
      </c>
      <c r="M11" s="135">
        <f t="shared" si="0"/>
        <v>-85.007999999999996</v>
      </c>
      <c r="N11" s="136" t="str">
        <f>VLOOKUP(C11,'Trips&amp;Operators'!$C$1:$G$99999,5,FALSE)</f>
        <v>MAELZER KURT</v>
      </c>
      <c r="O11" s="210" t="s">
        <v>182</v>
      </c>
      <c r="P11" s="137" t="s">
        <v>402</v>
      </c>
      <c r="Q11" s="30"/>
      <c r="R11" s="84" t="str">
        <f>VLOOKUP(C11,'Train Runs'!$A$13:$AE$9933,31,0)</f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S11" s="87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-06-07T08:43:42-0600',mode:absolute,to:'2017-06-07T11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9" t="str">
        <f t="shared" si="1"/>
        <v>"C:\Program Files (x86)\AstroGrep\AstroGrep.exe" /e /r /s /spath="%USERPROFILE%\AppData\Local\Temp\OnboardLogs" /stypes="*4013*201706071*"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4013</v>
      </c>
      <c r="V11" s="31">
        <f t="shared" si="3"/>
        <v>42893.685902777775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arrival","project_id":79,"tracker_id":40,"status_id":1,"priority_id":2,"assigned_to_id":23,"start_date":"2017-06-07","description":"","custom_fields":[{"id":1,"name":"Subdivision","value":"EC"},{"id":4,"name":"Milepost","value":"4.2961"},{"id":17,"name":"Train ID","value":"144-07"},{"id":16,"name":"Locomotive ID","value":"4013"},{"id":130,"name":"Impact","value":""},{"id":150,"name":"Time of Event (Mountain Time)","value":"10:27:42"},{"id":151,"name":"Denver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/cygdrive/c/Users/stu/AppData/Local/Temp/OnboardLogs/RTDC4013 --include="*4013*201706071*"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"%USERPROFILE%\AppData\Local\Temp\OnboardLogs"\RTDC4013\*4013*201706071* &gt;&gt; 2017-06-07-SliceDisagreementCheck.txt</v>
      </c>
      <c r="AE11" s="148" t="str">
        <f t="shared" si="9"/>
        <v>start /low /b %USERPROFILE%\Documents\GitHub\eaglep3\Utilities\DownloadLogsFromS3.py --loco 4013 --day 2017-06-07</v>
      </c>
    </row>
    <row r="12" spans="1:32" s="1" customFormat="1" x14ac:dyDescent="0.25">
      <c r="A12" s="31">
        <v>42893.369479166664</v>
      </c>
      <c r="B12" s="30" t="s">
        <v>509</v>
      </c>
      <c r="C12" s="30" t="s">
        <v>612</v>
      </c>
      <c r="D12" s="30" t="s">
        <v>49</v>
      </c>
      <c r="E12" s="30" t="s">
        <v>189</v>
      </c>
      <c r="F12" s="42">
        <v>0</v>
      </c>
      <c r="G12" s="42">
        <v>318</v>
      </c>
      <c r="H12" s="42">
        <v>58521</v>
      </c>
      <c r="I12" s="42">
        <v>57812</v>
      </c>
      <c r="J12" s="30" t="s">
        <v>190</v>
      </c>
      <c r="K12" s="42">
        <v>58301</v>
      </c>
      <c r="L12" s="134" t="s">
        <v>51</v>
      </c>
      <c r="M12" s="135">
        <f t="shared" si="0"/>
        <v>-258.19200000000001</v>
      </c>
      <c r="N12" s="136" t="str">
        <f>VLOOKUP(C12,'Trips&amp;Operators'!$C$1:$G$99999,5,FALSE)</f>
        <v>YANG JAN</v>
      </c>
      <c r="O12" s="210" t="s">
        <v>182</v>
      </c>
      <c r="P12" s="137" t="s">
        <v>402</v>
      </c>
      <c r="Q12" s="30"/>
      <c r="R12" s="84" t="str">
        <f>VLOOKUP(C12,'Train Runs'!$A$13:$AE$9933,31,0)</f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S12" s="87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-06-07T07:09:32-0600',mode:absolute,to:'2017-06-07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2" s="89" t="str">
        <f t="shared" si="1"/>
        <v>"C:\Program Files (x86)\AstroGrep\AstroGrep.exe" /e /r /s /spath="%USERPROFILE%\AppData\Local\Temp\OnboardLogs" /stypes="*4045*201706071*"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4045</v>
      </c>
      <c r="V12" s="31">
        <f t="shared" si="3"/>
        <v>42893.619479166664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arrival","project_id":79,"tracker_id":40,"status_id":1,"priority_id":2,"assigned_to_id":23,"start_date":"2017-06-07","description":"","custom_fields":[{"id":1,"name":"Subdivision","value":"EC"},{"id":4,"name":"Milepost","value":"5.8301"},{"id":17,"name":"Train ID","value":"132-07"},{"id":16,"name":"Locomotive ID","value":"4045"},{"id":130,"name":"Impact","value":""},{"id":150,"name":"Time of Event (Mountain Time)","value":"08:52:03"},{"id":151,"name":"Denver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/cygdrive/c/Users/stu/AppData/Local/Temp/OnboardLogs/RTDC4045 --include="*4045*201706071*"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"%USERPROFILE%\AppData\Local\Temp\OnboardLogs"\RTDC4045\*4045*201706071* &gt;&gt; 2017-06-07-SliceDisagreementCheck.txt</v>
      </c>
      <c r="AE12" s="148" t="str">
        <f t="shared" si="9"/>
        <v>start /low /b %USERPROFILE%\Documents\GitHub\eaglep3\Utilities\DownloadLogsFromS3.py --loco 4045 --day 2017-06-07</v>
      </c>
    </row>
    <row r="13" spans="1:32" s="1" customFormat="1" x14ac:dyDescent="0.25">
      <c r="A13" s="31">
        <v>42893.540798611109</v>
      </c>
      <c r="B13" s="30" t="s">
        <v>508</v>
      </c>
      <c r="C13" s="30" t="s">
        <v>622</v>
      </c>
      <c r="D13" s="30" t="s">
        <v>49</v>
      </c>
      <c r="E13" s="30" t="s">
        <v>189</v>
      </c>
      <c r="F13" s="42">
        <v>0</v>
      </c>
      <c r="G13" s="42">
        <v>482</v>
      </c>
      <c r="H13" s="42">
        <v>62516</v>
      </c>
      <c r="I13" s="42">
        <v>63935</v>
      </c>
      <c r="J13" s="30" t="s">
        <v>190</v>
      </c>
      <c r="K13" s="42">
        <v>63069</v>
      </c>
      <c r="L13" s="134" t="s">
        <v>50</v>
      </c>
      <c r="M13" s="135">
        <f t="shared" si="0"/>
        <v>-457.24799999999999</v>
      </c>
      <c r="N13" s="136" t="str">
        <f>VLOOKUP(C13,'Trips&amp;Operators'!$C$1:$G$99999,5,FALSE)</f>
        <v>HOLCOMB KAMDEN</v>
      </c>
      <c r="O13" s="210" t="s">
        <v>182</v>
      </c>
      <c r="P13" s="137" t="s">
        <v>402</v>
      </c>
      <c r="Q13" s="30"/>
      <c r="R13" s="84" t="str">
        <f>VLOOKUP(C13,'Train Runs'!$A$13:$AE$9933,31,0)</f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S13" s="87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-06-07T11:40:23-0600',mode:absolute,to:'2017-06-07T14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89" t="str">
        <f t="shared" si="1"/>
        <v>"C:\Program Files (x86)\AstroGrep\AstroGrep.exe" /e /r /s /spath="%USERPROFILE%\AppData\Local\Temp\OnboardLogs" /stypes="*4046*201706071*"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4046</v>
      </c>
      <c r="V13" s="31">
        <f t="shared" si="3"/>
        <v>42893.790798611109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arrival","project_id":79,"tracker_id":40,"status_id":1,"priority_id":2,"assigned_to_id":23,"start_date":"2017-06-07","description":"","custom_fields":[{"id":1,"name":"Subdivision","value":"EC"},{"id":4,"name":"Milepost","value":"6.3069"},{"id":17,"name":"Train ID","value":"173-07"},{"id":16,"name":"Locomotive ID","value":"4046"},{"id":130,"name":"Impact","value":""},{"id":150,"name":"Time of Event (Mountain Time)","value":"12:58:45"},{"id":151,"name":"Denver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/cygdrive/c/Users/stu/AppData/Local/Temp/OnboardLogs/RTDC4046 --include="*4046*201706071*"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"%USERPROFILE%\AppData\Local\Temp\OnboardLogs"\RTDC4046\*4046*201706071* &gt;&gt; 2017-06-07-SliceDisagreementCheck.txt</v>
      </c>
      <c r="AE13" s="148" t="str">
        <f t="shared" si="9"/>
        <v>start /low /b %USERPROFILE%\Documents\GitHub\eaglep3\Utilities\DownloadLogsFromS3.py --loco 4046 --day 2017-06-07</v>
      </c>
    </row>
    <row r="14" spans="1:32" x14ac:dyDescent="0.25">
      <c r="A14" s="31">
        <v>42893.988541666666</v>
      </c>
      <c r="B14" s="30" t="s">
        <v>613</v>
      </c>
      <c r="C14" s="30" t="s">
        <v>651</v>
      </c>
      <c r="D14" s="30" t="s">
        <v>49</v>
      </c>
      <c r="E14" s="30" t="s">
        <v>189</v>
      </c>
      <c r="F14" s="42">
        <v>0</v>
      </c>
      <c r="G14" s="42">
        <v>477</v>
      </c>
      <c r="H14" s="42">
        <v>61791</v>
      </c>
      <c r="I14" s="42">
        <v>63093</v>
      </c>
      <c r="J14" s="30" t="s">
        <v>190</v>
      </c>
      <c r="K14" s="42">
        <v>63069</v>
      </c>
      <c r="L14" s="134" t="s">
        <v>50</v>
      </c>
      <c r="M14" s="135">
        <f t="shared" si="0"/>
        <v>-12.672000000000001</v>
      </c>
      <c r="N14" s="136" t="str">
        <f>VLOOKUP(C14,'Trips&amp;Operators'!$C$1:$G$99999,5,FALSE)</f>
        <v>HAITHCOX MICHAEL</v>
      </c>
      <c r="O14" s="210" t="s">
        <v>182</v>
      </c>
      <c r="P14" s="137" t="s">
        <v>402</v>
      </c>
      <c r="Q14" s="30"/>
      <c r="R14" s="84" t="str">
        <f>VLOOKUP(C14,'Train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14" s="87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-06-07T22:10:27-0600',mode:absolute,to:'2017-06-08T01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4" s="89" t="str">
        <f t="shared" si="1"/>
        <v>"C:\Program Files (x86)\AstroGrep\AstroGrep.exe" /e /r /s /spath="%USERPROFILE%\AppData\Local\Temp\OnboardLogs" /stypes="*4058*201706080*"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4058</v>
      </c>
      <c r="V14" s="31">
        <f t="shared" si="3"/>
        <v>42894.238541666666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arrival","project_id":79,"tracker_id":40,"status_id":1,"priority_id":2,"assigned_to_id":23,"start_date":"2017-06-07","description":"","custom_fields":[{"id":1,"name":"Subdivision","value":"EC"},{"id":4,"name":"Milepost","value":"6.3069"},{"id":17,"name":"Train ID","value":"239-07"},{"id":16,"name":"Locomotive ID","value":"4058"},{"id":130,"name":"Impact","value":""},{"id":150,"name":"Time of Event (Mountain Time)","value":"23:43:30"},{"id":151,"name":"Denver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/cygdrive/c/Users/stu/AppData/Local/Temp/OnboardLogs/RTDC4058 --include="*4058*201706080*"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"%USERPROFILE%\AppData\Local\Temp\OnboardLogs"\RTDC4058\*4058*201706080* &gt;&gt; 2017-06-07-SliceDisagreementCheck.txt</v>
      </c>
      <c r="AE14" s="148" t="str">
        <f t="shared" si="9"/>
        <v>start /low /b %USERPROFILE%\Documents\GitHub\eaglep3\Utilities\DownloadLogsFromS3.py --loco 4058 --day 2017-06-08</v>
      </c>
      <c r="AF14" s="1"/>
    </row>
    <row r="15" spans="1:32" x14ac:dyDescent="0.25">
      <c r="A15" s="31">
        <v>42893.798263888886</v>
      </c>
      <c r="B15" s="30" t="s">
        <v>641</v>
      </c>
      <c r="C15" s="30" t="s">
        <v>642</v>
      </c>
      <c r="D15" s="30" t="s">
        <v>98</v>
      </c>
      <c r="E15" s="30" t="s">
        <v>189</v>
      </c>
      <c r="F15" s="42">
        <v>100</v>
      </c>
      <c r="G15" s="42">
        <v>150</v>
      </c>
      <c r="H15" s="42">
        <v>63203</v>
      </c>
      <c r="I15" s="42">
        <v>63009</v>
      </c>
      <c r="J15" s="30" t="s">
        <v>190</v>
      </c>
      <c r="K15" s="42">
        <v>63309</v>
      </c>
      <c r="L15" s="134" t="s">
        <v>51</v>
      </c>
      <c r="M15" s="135">
        <f t="shared" si="0"/>
        <v>-158.4</v>
      </c>
      <c r="N15" s="136" t="str">
        <f>VLOOKUP(C15,'Trips&amp;Operators'!$C$1:$G$99999,5,FALSE)</f>
        <v>HAITHCOX MICHAEL</v>
      </c>
      <c r="O15" s="210" t="s">
        <v>182</v>
      </c>
      <c r="P15" s="137" t="s">
        <v>402</v>
      </c>
      <c r="Q15" s="30"/>
      <c r="R15" s="84" t="str">
        <f>VLOOKUP(C15,'Train Runs'!$A$13:$AE$9933,31,0)</f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S15" s="87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-06-07T17:37:16-0600',mode:absolute,to:'2017-06-07T20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5" s="89" t="str">
        <f t="shared" si="1"/>
        <v>"C:\Program Files (x86)\AstroGrep\AstroGrep.exe" /e /r /s /spath="%USERPROFILE%\AppData\Local\Temp\OnboardLogs" /stypes="*4057*201706080*"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4057</v>
      </c>
      <c r="V15" s="31">
        <f t="shared" si="3"/>
        <v>42894.048263888886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arrival","project_id":79,"tracker_id":40,"status_id":1,"priority_id":2,"assigned_to_id":23,"start_date":"2017-06-07","description":"","custom_fields":[{"id":1,"name":"Subdivision","value":"EC"},{"id":4,"name":"Milepost","value":"6.3309"},{"id":17,"name":"Train ID","value":"214-07"},{"id":16,"name":"Locomotive ID","value":"4057"},{"id":130,"name":"Impact","value":""},{"id":150,"name":"Time of Event (Mountain Time)","value":"19:09:30"},{"id":151,"name":"Denver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/cygdrive/c/Users/stu/AppData/Local/Temp/OnboardLogs/RTDC4057 --include="*4057*201706080*"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"%USERPROFILE%\AppData\Local\Temp\OnboardLogs"\RTDC4057\*4057*201706080* &gt;&gt; 2017-06-07-SliceDisagreementCheck.txt</v>
      </c>
      <c r="AE15" s="148" t="str">
        <f t="shared" si="9"/>
        <v>start /low /b %USERPROFILE%\Documents\GitHub\eaglep3\Utilities\DownloadLogsFromS3.py --loco 4057 --day 2017-06-08</v>
      </c>
      <c r="AF15" s="1"/>
    </row>
    <row r="16" spans="1:32" x14ac:dyDescent="0.25">
      <c r="A16" s="31">
        <v>42893.827337962961</v>
      </c>
      <c r="B16" s="30" t="s">
        <v>509</v>
      </c>
      <c r="C16" s="30" t="s">
        <v>644</v>
      </c>
      <c r="D16" s="30" t="s">
        <v>98</v>
      </c>
      <c r="E16" s="30" t="s">
        <v>189</v>
      </c>
      <c r="F16" s="42">
        <v>200</v>
      </c>
      <c r="G16" s="42">
        <v>256</v>
      </c>
      <c r="H16" s="42">
        <v>63093</v>
      </c>
      <c r="I16" s="42">
        <v>62528</v>
      </c>
      <c r="J16" s="30" t="s">
        <v>190</v>
      </c>
      <c r="K16" s="42">
        <v>63309</v>
      </c>
      <c r="L16" s="134" t="s">
        <v>51</v>
      </c>
      <c r="M16" s="135">
        <f t="shared" si="0"/>
        <v>-412.36799999999999</v>
      </c>
      <c r="N16" s="136" t="str">
        <f>VLOOKUP(C16,'Trips&amp;Operators'!$C$1:$G$99999,5,FALSE)</f>
        <v>BADERTSCHER DIANE</v>
      </c>
      <c r="O16" s="210" t="s">
        <v>182</v>
      </c>
      <c r="P16" s="137" t="s">
        <v>402</v>
      </c>
      <c r="Q16" s="30"/>
      <c r="R16" s="84" t="str">
        <f>VLOOKUP(C16,'Train Runs'!$A$13:$AE$9933,31,0)</f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S16" s="87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-06-07T18:22:03-0600',mode:absolute,to:'2017-06-07T21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9" t="str">
        <f t="shared" si="1"/>
        <v>"C:\Program Files (x86)\AstroGrep\AstroGrep.exe" /e /r /s /spath="%USERPROFILE%\AppData\Local\Temp\OnboardLogs" /stypes="*4045*201706080*"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4045</v>
      </c>
      <c r="V16" s="31">
        <f t="shared" si="3"/>
        <v>42894.077337962961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arrival","project_id":79,"tracker_id":40,"status_id":1,"priority_id":2,"assigned_to_id":23,"start_date":"2017-06-07","description":"","custom_fields":[{"id":1,"name":"Subdivision","value":"EC"},{"id":4,"name":"Milepost","value":"6.3309"},{"id":17,"name":"Train ID","value":"220-07"},{"id":16,"name":"Locomotive ID","value":"4045"},{"id":130,"name":"Impact","value":""},{"id":150,"name":"Time of Event (Mountain Time)","value":"19:51:22"},{"id":151,"name":"Denver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/cygdrive/c/Users/stu/AppData/Local/Temp/OnboardLogs/RTDC4045 --include="*4045*201706080*"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"%USERPROFILE%\AppData\Local\Temp\OnboardLogs"\RTDC4045\*4045*201706080* &gt;&gt; 2017-06-07-SliceDisagreementCheck.txt</v>
      </c>
      <c r="AE16" s="148" t="str">
        <f t="shared" si="9"/>
        <v>start /low /b %USERPROFILE%\Documents\GitHub\eaglep3\Utilities\DownloadLogsFromS3.py --loco 4045 --day 2017-06-08</v>
      </c>
      <c r="AF16" s="1"/>
    </row>
    <row r="17" spans="1:32" x14ac:dyDescent="0.25">
      <c r="A17" s="31">
        <v>42894.014490740738</v>
      </c>
      <c r="B17" s="30" t="s">
        <v>594</v>
      </c>
      <c r="C17" s="30" t="s">
        <v>653</v>
      </c>
      <c r="D17" s="30" t="s">
        <v>49</v>
      </c>
      <c r="E17" s="30" t="s">
        <v>189</v>
      </c>
      <c r="F17" s="42">
        <v>200</v>
      </c>
      <c r="G17" s="42">
        <v>259</v>
      </c>
      <c r="H17" s="42">
        <v>63625</v>
      </c>
      <c r="I17" s="42">
        <v>63201</v>
      </c>
      <c r="J17" s="30" t="s">
        <v>190</v>
      </c>
      <c r="K17" s="42">
        <v>63309</v>
      </c>
      <c r="L17" s="134" t="s">
        <v>51</v>
      </c>
      <c r="M17" s="135">
        <f t="shared" si="0"/>
        <v>-57.024000000000001</v>
      </c>
      <c r="N17" s="136" t="str">
        <f>VLOOKUP(C17,'Trips&amp;Operators'!$C$1:$G$99999,5,FALSE)</f>
        <v>FORTUNATO FRANK</v>
      </c>
      <c r="O17" s="210" t="s">
        <v>182</v>
      </c>
      <c r="P17" s="137" t="s">
        <v>402</v>
      </c>
      <c r="Q17" s="30"/>
      <c r="R17" s="84" t="str">
        <f>VLOOKUP(C17,'Train Runs'!$A$13:$AE$9933,31,0)</f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S17" s="87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-06-07T22:40:23-0600',mode:absolute,to:'2017-06-08T01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7" s="89" t="str">
        <f t="shared" si="1"/>
        <v>"C:\Program Files (x86)\AstroGrep\AstroGrep.exe" /e /r /s /spath="%USERPROFILE%\AppData\Local\Temp\OnboardLogs" /stypes="*4011*201706080*" /stext=" 06:.+((SYSTEM_STATE.+slice.+state.+changed )|(ment ac)|(multiple cpu faults)|(system.+state.+changed )|(\[timeout)|(PRM\|1\|D)|(kpr)|(kdp)|(train st.+moving)|(\|lc)|(penalty))"</v>
      </c>
      <c r="U17" s="9" t="str">
        <f t="shared" si="2"/>
        <v>4011</v>
      </c>
      <c r="V17" s="31">
        <f t="shared" si="3"/>
        <v>42894.264490740738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arrival","project_id":79,"tracker_id":40,"status_id":1,"priority_id":2,"assigned_to_id":23,"start_date":"2017-06-08","description":"","custom_fields":[{"id":1,"name":"Subdivision","value":"EC"},{"id":4,"name":"Milepost","value":"6.3309"},{"id":17,"name":"Train ID","value":"238-07"},{"id":16,"name":"Locomotive ID","value":"4011"},{"id":130,"name":"Impact","value":""},{"id":150,"name":"Time of Event (Mountain Time)","value":"00:20:52"},{"id":151,"name":"Denver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/cygdrive/c/Users/stu/AppData/Local/Temp/OnboardLogs/RTDC4011 --include="*4011*201706080*"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"%USERPROFILE%\AppData\Local\Temp\OnboardLogs"\RTDC4011\*4011*201706080* &gt;&gt; 2017-06-07-SliceDisagreementCheck.txt</v>
      </c>
      <c r="AE17" s="148" t="str">
        <f t="shared" si="9"/>
        <v>start /low /b %USERPROFILE%\Documents\GitHub\eaglep3\Utilities\DownloadLogsFromS3.py --loco 4011 --day 2017-06-08</v>
      </c>
      <c r="AF17" s="1"/>
    </row>
    <row r="18" spans="1:32" x14ac:dyDescent="0.25">
      <c r="A18" s="31">
        <v>42893.759548611109</v>
      </c>
      <c r="B18" s="30" t="s">
        <v>423</v>
      </c>
      <c r="C18" s="30" t="s">
        <v>638</v>
      </c>
      <c r="D18" s="30" t="s">
        <v>49</v>
      </c>
      <c r="E18" s="30" t="s">
        <v>189</v>
      </c>
      <c r="F18" s="42">
        <v>350</v>
      </c>
      <c r="G18" s="42">
        <v>403</v>
      </c>
      <c r="H18" s="42">
        <v>110278</v>
      </c>
      <c r="I18" s="42">
        <v>108997</v>
      </c>
      <c r="J18" s="30" t="s">
        <v>190</v>
      </c>
      <c r="K18" s="42">
        <v>109135</v>
      </c>
      <c r="L18" s="134" t="s">
        <v>51</v>
      </c>
      <c r="M18" s="135">
        <f t="shared" si="0"/>
        <v>-72.864000000000004</v>
      </c>
      <c r="N18" s="136" t="str">
        <f>VLOOKUP(C18,'Trips&amp;Operators'!$C$1:$G$99999,5,FALSE)</f>
        <v>STEWART MICHAEL</v>
      </c>
      <c r="O18" s="210" t="s">
        <v>182</v>
      </c>
      <c r="P18" s="137" t="s">
        <v>402</v>
      </c>
      <c r="Q18" s="30"/>
      <c r="R18" s="84" t="str">
        <f>VLOOKUP(C18,'Train Runs'!$A$13:$AE$9933,31,0)</f>
        <v>aws s3 cp s3://rtdc.mdm.uploadarchive.raw/RTDC4041/ "%USERPROFILE%\AppData\Local\Temp\OnboardLogs"\RTDC4041\2017-06-07 --exclude "*" --recursive --include "*20170607*" &amp; "%USERPROFILE%\Documents\GitHub\mrs-test-scripts\Headless Mode &amp; Sideloading\WalkAndUnGZ.bat" "%USERPROFILE%\AppData\Local\Temp\OnboardLogs"\RTDC4041\2017-06-07 &amp; 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</v>
      </c>
      <c r="S18" s="87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-06-07T16:50:52-0600',mode:absolute,to:'2017-06-07T19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9" t="str">
        <f t="shared" si="1"/>
        <v>"C:\Program Files (x86)\AstroGrep\AstroGrep.exe" /e /r /s /spath="%USERPROFILE%\AppData\Local\Temp\OnboardLogs" /stypes="*4041*201706080*"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42894.009548611109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arrival","project_id":79,"tracker_id":40,"status_id":1,"priority_id":2,"assigned_to_id":23,"start_date":"2017-06-07","description":"","custom_fields":[{"id":1,"name":"Subdivision","value":"EC"},{"id":4,"name":"Milepost","value":"10.9135"},{"id":17,"name":"Train ID","value":"208-07"},{"id":16,"name":"Locomotive ID","value":"4041"},{"id":130,"name":"Impact","value":""},{"id":150,"name":"Time of Event (Mountain Time)","value":"18:13:45"},{"id":151,"name":"Denver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/cygdrive/c/Users/stu/AppData/Local/Temp/OnboardLogs/RTDC4041 --include="*4041*201706080*"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"%USERPROFILE%\AppData\Local\Temp\OnboardLogs"\RTDC4041\*4041*201706080* &gt;&gt; 2017-06-07-SliceDisagreementCheck.txt</v>
      </c>
      <c r="AE18" s="148" t="str">
        <f t="shared" si="9"/>
        <v>start /low /b %USERPROFILE%\Documents\GitHub\eaglep3\Utilities\DownloadLogsFromS3.py --loco 4041 --day 2017-06-08</v>
      </c>
      <c r="AF18" s="1"/>
    </row>
    <row r="19" spans="1:32" x14ac:dyDescent="0.25">
      <c r="A19" s="31">
        <v>42893.242395833331</v>
      </c>
      <c r="B19" s="30" t="s">
        <v>508</v>
      </c>
      <c r="C19" s="30" t="s">
        <v>599</v>
      </c>
      <c r="D19" s="30" t="s">
        <v>49</v>
      </c>
      <c r="E19" s="30" t="s">
        <v>202</v>
      </c>
      <c r="F19" s="42">
        <v>400</v>
      </c>
      <c r="G19" s="42">
        <v>524</v>
      </c>
      <c r="H19" s="42">
        <v>16867</v>
      </c>
      <c r="I19" s="42">
        <v>18003</v>
      </c>
      <c r="J19" s="30" t="s">
        <v>203</v>
      </c>
      <c r="K19" s="42">
        <v>17867</v>
      </c>
      <c r="L19" s="134" t="s">
        <v>50</v>
      </c>
      <c r="M19" s="135">
        <f t="shared" si="0"/>
        <v>-71.808000000000007</v>
      </c>
      <c r="N19" s="136" t="str">
        <f>VLOOKUP(C19,'Trips&amp;Operators'!$C$1:$G$99999,5,FALSE)</f>
        <v>YANG JAN</v>
      </c>
      <c r="O19" s="210" t="s">
        <v>182</v>
      </c>
      <c r="P19" s="137"/>
      <c r="Q19" s="30"/>
      <c r="R19" s="84" t="str">
        <f>VLOOKUP(C19,'Train Runs'!$A$13:$AE$9933,31,0)</f>
        <v>aws s3 cp s3://rtdc.mdm.uploadarchive.raw/RTDC4046/ "%USERPROFILE%\AppData\Local\Temp\OnboardLogs"\RTDC4046\2017-06-07 --exclude "*" --recursive --include "*20170607*" &amp; "%USERPROFILE%\Documents\GitHub\mrs-test-scripts\Headless Mode &amp; Sideloading\WalkAndUnGZ.bat" "%USERPROFILE%\AppData\Local\Temp\OnboardLogs"\RTDC4046\2017-06-07 &amp; 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</v>
      </c>
      <c r="S19" s="87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-06-07T04:41:37-0600',mode:absolute,to:'2017-06-07T07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9" s="89" t="str">
        <f t="shared" si="1"/>
        <v>"C:\Program Files (x86)\AstroGrep\AstroGrep.exe" /e /r /s /spath="%USERPROFILE%\AppData\Local\Temp\OnboardLogs" /stypes="*4046*201706071*"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4046</v>
      </c>
      <c r="V19" s="31">
        <f t="shared" si="3"/>
        <v>42893.492395833331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{"issue":{"subject":"","project_id":79,"tracker_id":40,"status_id":1,"priority_id":2,"assigned_to_id":23,"start_date":"2017-06-07","description":"","custom_fields":[{"id":1,"name":"Subdivision","value":"EC"},{"id":4,"name":"Milepost","value":"1.7867"},{"id":17,"name":"Train ID","value":"117-07"},{"id":16,"name":"Locomotive ID","value":"4046"},{"id":130,"name":"Impact","value":""},{"id":150,"name":"Time of Event (Mountain Time)","value":"05:49:03"},{"id":151,"name":"Denver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/cygdrive/c/Users/stu/AppData/Local/Temp/OnboardLogs/RTDC4046 --include="*4046*201706071*"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"%USERPROFILE%\AppData\Local\Temp\OnboardLogs"\RTDC4046\*4046*201706071* &gt;&gt; 2017-06-07-SliceDisagreementCheck.txt</v>
      </c>
      <c r="AE19" s="148" t="str">
        <f t="shared" si="9"/>
        <v>start /low /b %USERPROFILE%\Documents\GitHub\eaglep3\Utilities\DownloadLogsFromS3.py --loco 4046 --day 2017-06-07</v>
      </c>
      <c r="AF19" s="1"/>
    </row>
    <row r="20" spans="1:32" x14ac:dyDescent="0.25">
      <c r="A20" s="31">
        <v>42893.253541666665</v>
      </c>
      <c r="B20" s="30" t="s">
        <v>341</v>
      </c>
      <c r="C20" s="30" t="s">
        <v>601</v>
      </c>
      <c r="D20" s="30" t="s">
        <v>49</v>
      </c>
      <c r="E20" s="30" t="s">
        <v>202</v>
      </c>
      <c r="F20" s="42">
        <v>400</v>
      </c>
      <c r="G20" s="42">
        <v>465</v>
      </c>
      <c r="H20" s="42">
        <v>17153</v>
      </c>
      <c r="I20" s="42">
        <v>17955</v>
      </c>
      <c r="J20" s="30" t="s">
        <v>203</v>
      </c>
      <c r="K20" s="42">
        <v>17867</v>
      </c>
      <c r="L20" s="134" t="s">
        <v>50</v>
      </c>
      <c r="M20" s="135">
        <f t="shared" si="0"/>
        <v>-46.463999999999999</v>
      </c>
      <c r="N20" s="136" t="str">
        <f>VLOOKUP(C20,'Trips&amp;Operators'!$C$1:$G$99999,5,FALSE)</f>
        <v>STARKS ANGELINA</v>
      </c>
      <c r="O20" s="210" t="s">
        <v>182</v>
      </c>
      <c r="P20" s="137"/>
      <c r="Q20" s="30"/>
      <c r="R20" s="84" t="str">
        <f>VLOOKUP(C20,'Train Runs'!$A$13:$AE$9933,31,0)</f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S20" s="87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-06-07T04:53:57-0600',mode:absolute,to:'2017-06-07T07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89" t="str">
        <f t="shared" si="1"/>
        <v>"C:\Program Files (x86)\AstroGrep\AstroGrep.exe" /e /r /s /spath="%USERPROFILE%\AppData\Local\Temp\OnboardLogs" /stypes="*4028*201706071*"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4028</v>
      </c>
      <c r="V20" s="31">
        <f t="shared" si="3"/>
        <v>42893.503541666665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{"issue":{"subject":"","project_id":79,"tracker_id":40,"status_id":1,"priority_id":2,"assigned_to_id":23,"start_date":"2017-06-07","description":"","custom_fields":[{"id":1,"name":"Subdivision","value":"EC"},{"id":4,"name":"Milepost","value":"1.7867"},{"id":17,"name":"Train ID","value":"119-07"},{"id":16,"name":"Locomotive ID","value":"4028"},{"id":130,"name":"Impact","value":""},{"id":150,"name":"Time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/cygdrive/c/Users/stu/AppData/Local/Temp/OnboardLogs/RTDC4028 --include="*4028*201706071*"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"%USERPROFILE%\AppData\Local\Temp\OnboardLogs"\RTDC4028\*4028*201706071* &gt;&gt; 2017-06-07-SliceDisagreementCheck.txt</v>
      </c>
      <c r="AE20" s="148" t="str">
        <f t="shared" si="9"/>
        <v>start /low /b %USERPROFILE%\Documents\GitHub\eaglep3\Utilities\DownloadLogsFromS3.py --loco 4028 --day 2017-06-07</v>
      </c>
      <c r="AF20" s="1"/>
    </row>
    <row r="21" spans="1:32" x14ac:dyDescent="0.25">
      <c r="A21" s="31">
        <v>42893.686481481483</v>
      </c>
      <c r="B21" s="30" t="s">
        <v>509</v>
      </c>
      <c r="C21" s="30" t="s">
        <v>632</v>
      </c>
      <c r="D21" s="30" t="s">
        <v>49</v>
      </c>
      <c r="E21" s="30" t="s">
        <v>202</v>
      </c>
      <c r="F21" s="42">
        <v>200</v>
      </c>
      <c r="G21" s="42">
        <v>250</v>
      </c>
      <c r="H21" s="42">
        <v>30622</v>
      </c>
      <c r="I21" s="42">
        <v>30048</v>
      </c>
      <c r="J21" s="30" t="s">
        <v>203</v>
      </c>
      <c r="K21" s="42">
        <v>30562</v>
      </c>
      <c r="L21" s="134" t="s">
        <v>51</v>
      </c>
      <c r="M21" s="135">
        <f t="shared" si="0"/>
        <v>-271.392</v>
      </c>
      <c r="N21" s="136" t="str">
        <f>VLOOKUP(C21,'Trips&amp;Operators'!$C$1:$G$99999,5,FALSE)</f>
        <v>HOLCOMB KAMDEN</v>
      </c>
      <c r="O21" s="210" t="s">
        <v>182</v>
      </c>
      <c r="P21" s="137"/>
      <c r="Q21" s="30"/>
      <c r="R21" s="84" t="str">
        <f>VLOOKUP(C21,'Train Runs'!$A$13:$AE$9933,31,0)</f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S21" s="87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-06-07T14:55:36-0600',mode:absolute,to:'2017-06-07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9" t="str">
        <f t="shared" si="1"/>
        <v>"C:\Program Files (x86)\AstroGrep\AstroGrep.exe" /e /r /s /spath="%USERPROFILE%\AppData\Local\Temp\OnboardLogs" /stypes="*4045*201706072*"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4045</v>
      </c>
      <c r="V21" s="31">
        <f t="shared" si="3"/>
        <v>42893.936481481483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{"issue":{"subject":"","project_id":79,"tracker_id":40,"status_id":1,"priority_id":2,"assigned_to_id":23,"start_date":"2017-06-07","description":"","custom_fields":[{"id":1,"name":"Subdivision","value":"EC"},{"id":4,"name":"Milepost","value":"3.0562"},{"id":17,"name":"Train ID","value":"192-07"},{"id":16,"name":"Locomotive ID","value":"4045"},{"id":130,"name":"Impact","value":""},{"id":150,"name":"Time of Event (Mountain Time)","value":"16:28:32"},{"id":151,"name":"Denver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/cygdrive/c/Users/stu/AppData/Local/Temp/OnboardLogs/RTDC4045 --include="*4045*201706072*"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"%USERPROFILE%\AppData\Local\Temp\OnboardLogs"\RTDC4045\*4045*201706072* &gt;&gt; 2017-06-07-SliceDisagreementCheck.txt</v>
      </c>
      <c r="AE21" s="148" t="str">
        <f t="shared" si="9"/>
        <v>start /low /b %USERPROFILE%\Documents\GitHub\eaglep3\Utilities\DownloadLogsFromS3.py --loco 4045 --day 2017-06-07</v>
      </c>
      <c r="AF21" s="1"/>
    </row>
    <row r="22" spans="1:32" x14ac:dyDescent="0.25">
      <c r="A22" s="31">
        <v>42893.926574074074</v>
      </c>
      <c r="B22" s="30" t="s">
        <v>594</v>
      </c>
      <c r="C22" s="30" t="s">
        <v>649</v>
      </c>
      <c r="D22" s="30" t="s">
        <v>98</v>
      </c>
      <c r="E22" s="30" t="s">
        <v>202</v>
      </c>
      <c r="F22" s="42">
        <v>400</v>
      </c>
      <c r="G22" s="42">
        <v>453</v>
      </c>
      <c r="H22" s="42">
        <v>116774</v>
      </c>
      <c r="I22" s="42">
        <v>114962</v>
      </c>
      <c r="J22" s="30" t="s">
        <v>203</v>
      </c>
      <c r="K22" s="42">
        <v>119716</v>
      </c>
      <c r="L22" s="134" t="s">
        <v>51</v>
      </c>
      <c r="M22" s="135">
        <f t="shared" si="0"/>
        <v>-2510.1120000000001</v>
      </c>
      <c r="N22" s="136" t="str">
        <f>VLOOKUP(C22,'Trips&amp;Operators'!$C$1:$G$99999,5,FALSE)</f>
        <v>FORTUNATO FRANK</v>
      </c>
      <c r="O22" s="210" t="s">
        <v>182</v>
      </c>
      <c r="P22" s="137"/>
      <c r="Q22" s="30"/>
      <c r="R22" s="84" t="str">
        <f>VLOOKUP(C22,'Train Runs'!$A$13:$AE$9933,31,0)</f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S22" s="87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-06-07T20:44:34-0600',mode:absolute,to:'2017-06-07T23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89" t="str">
        <f t="shared" si="1"/>
        <v>"C:\Program Files (x86)\AstroGrep\AstroGrep.exe" /e /r /s /spath="%USERPROFILE%\AppData\Local\Temp\OnboardLogs" /stypes="*4011*201706080*" /stext=" 04:.+((SYSTEM_STATE.+slice.+state.+changed )|(ment ac)|(multiple cpu faults)|(system.+state.+changed )|(\[timeout)|(PRM\|1\|D)|(kpr)|(kdp)|(train st.+moving)|(\|lc)|(penalty))"</v>
      </c>
      <c r="U22" s="9" t="str">
        <f t="shared" si="2"/>
        <v>4011</v>
      </c>
      <c r="V22" s="31">
        <f t="shared" si="3"/>
        <v>42894.176574074074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{"issue":{"subject":"","project_id":79,"tracker_id":40,"status_id":1,"priority_id":2,"assigned_to_id":23,"start_date":"2017-06-07","description":"","custom_fields":[{"id":1,"name":"Subdivision","value":"EC"},{"id":4,"name":"Milepost","value":"11.9716"},{"id":17,"name":"Train ID","value":"230-07"},{"id":16,"name":"Locomotive ID","value":"4011"},{"id":130,"name":"Impact","value":""},{"id":150,"name":"Time of Event (Mountain Time)","value":"22:14:16"},{"id":151,"name":"Denver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/cygdrive/c/Users/stu/AppData/Local/Temp/OnboardLogs/RTDC4011 --include="*4011*201706080*"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"%USERPROFILE%\AppData\Local\Temp\OnboardLogs"\RTDC4011\*4011*201706080* &gt;&gt; 2017-06-07-SliceDisagreementCheck.txt</v>
      </c>
      <c r="AE22" s="148" t="str">
        <f t="shared" si="9"/>
        <v>start /low /b %USERPROFILE%\Documents\GitHub\eaglep3\Utilities\DownloadLogsFromS3.py --loco 4011 --day 2017-06-08</v>
      </c>
      <c r="AF22" s="1"/>
    </row>
    <row r="23" spans="1:32" x14ac:dyDescent="0.25">
      <c r="A23" s="31">
        <v>42893.895879629628</v>
      </c>
      <c r="B23" s="30" t="s">
        <v>509</v>
      </c>
      <c r="C23" s="30" t="s">
        <v>647</v>
      </c>
      <c r="D23" s="30" t="s">
        <v>98</v>
      </c>
      <c r="E23" s="30" t="s">
        <v>202</v>
      </c>
      <c r="F23" s="42">
        <v>350</v>
      </c>
      <c r="G23" s="42">
        <v>402</v>
      </c>
      <c r="H23" s="42">
        <v>224963</v>
      </c>
      <c r="I23" s="42">
        <v>223454</v>
      </c>
      <c r="J23" s="30" t="s">
        <v>203</v>
      </c>
      <c r="K23" s="42">
        <v>232080</v>
      </c>
      <c r="L23" s="134" t="s">
        <v>51</v>
      </c>
      <c r="M23" s="135">
        <f t="shared" si="0"/>
        <v>-4554.5280000000002</v>
      </c>
      <c r="N23" s="136" t="str">
        <f>VLOOKUP(C23,'Trips&amp;Operators'!$C$1:$G$99999,5,FALSE)</f>
        <v>BADERTSCHER DIANE</v>
      </c>
      <c r="O23" s="210" t="s">
        <v>182</v>
      </c>
      <c r="P23" s="137"/>
      <c r="Q23" s="30"/>
      <c r="R23" s="84" t="str">
        <f>VLOOKUP(C23,'Train Runs'!$A$13:$AE$9933,31,0)</f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S23" s="87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-06-07T20:16:54-0600',mode:absolute,to:'2017-06-07T23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9" t="str">
        <f t="shared" si="1"/>
        <v>"C:\Program Files (x86)\AstroGrep\AstroGrep.exe" /e /r /s /spath="%USERPROFILE%\AppData\Local\Temp\OnboardLogs" /stypes="*4045*201706080*" /stext=" 03:.+((SYSTEM_STATE.+slice.+state.+changed )|(ment ac)|(multiple cpu faults)|(system.+state.+changed )|(\[timeout)|(PRM\|1\|D)|(kpr)|(kdp)|(train st.+moving)|(\|lc)|(penalty))"</v>
      </c>
      <c r="U23" s="9" t="str">
        <f t="shared" si="2"/>
        <v>4045</v>
      </c>
      <c r="V23" s="31">
        <f t="shared" si="3"/>
        <v>42894.145879629628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{"issue":{"subject":"","project_id":79,"tracker_id":40,"status_id":1,"priority_id":2,"assigned_to_id":23,"start_date":"2017-06-07","description":"","custom_fields":[{"id":1,"name":"Subdivision","value":"EC"},{"id":4,"name":"Milepost","value":"23.208"},{"id":17,"name":"Train ID","value":"228-07"},{"id":16,"name":"Locomotive ID","value":"4045"},{"id":130,"name":"Impact","value":""},{"id":150,"name":"Time of Event (Mountain Time)","value":"21:30:04"},{"id":151,"name":"Denver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/cygdrive/c/Users/stu/AppData/Local/Temp/OnboardLogs/RTDC4045 --include="*4045*201706080*"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"%USERPROFILE%\AppData\Local\Temp\OnboardLogs"\RTDC4045\*4045*201706080* &gt;&gt; 2017-06-07-SliceDisagreementCheck.txt</v>
      </c>
      <c r="AE23" s="148" t="str">
        <f t="shared" si="9"/>
        <v>start /low /b %USERPROFILE%\Documents\GitHub\eaglep3\Utilities\DownloadLogsFromS3.py --loco 4045 --day 2017-06-08</v>
      </c>
      <c r="AF23" s="1"/>
    </row>
    <row r="24" spans="1:32" x14ac:dyDescent="0.25">
      <c r="A24" s="31">
        <v>42893.567048611112</v>
      </c>
      <c r="B24" s="30" t="s">
        <v>362</v>
      </c>
      <c r="C24" s="30" t="s">
        <v>623</v>
      </c>
      <c r="D24" s="30" t="s">
        <v>98</v>
      </c>
      <c r="E24" s="30" t="s">
        <v>366</v>
      </c>
      <c r="F24" s="42">
        <v>200</v>
      </c>
      <c r="G24" s="42">
        <v>260</v>
      </c>
      <c r="H24" s="42">
        <v>9802</v>
      </c>
      <c r="I24" s="42">
        <v>10306</v>
      </c>
      <c r="J24" s="30" t="s">
        <v>367</v>
      </c>
      <c r="K24" s="42">
        <v>2789</v>
      </c>
      <c r="L24" s="134" t="s">
        <v>50</v>
      </c>
      <c r="M24" s="135">
        <f t="shared" si="0"/>
        <v>-3968.9760000000001</v>
      </c>
      <c r="N24" s="136" t="str">
        <f>VLOOKUP(C24,'Trips&amp;Operators'!$C$1:$G$99999,5,FALSE)</f>
        <v>STEWART MICHAEL</v>
      </c>
      <c r="O24" s="210" t="s">
        <v>182</v>
      </c>
      <c r="P24" s="137" t="s">
        <v>1042</v>
      </c>
      <c r="Q24" s="30"/>
      <c r="R24" s="84" t="str">
        <f>VLOOKUP(C24,'Train Runs'!$A$13:$AE$9933,31,0)</f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S24" s="87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-06-07T11:55:41-0600',mode:absolute,to:'2017-06-07T15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89" t="str">
        <f t="shared" si="1"/>
        <v>"C:\Program Files (x86)\AstroGrep\AstroGrep.exe" /e /r /s /spath="%USERPROFILE%\AppData\Local\Temp\OnboardLogs" /stypes="*4042*201706071*"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4042</v>
      </c>
      <c r="V24" s="31">
        <f t="shared" si="3"/>
        <v>42893.817048611112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Overspeed","project_id":79,"tracker_id":40,"status_id":1,"priority_id":2,"assigned_to_id":23,"start_date":"2017-06-07","description":"","custom_fields":[{"id":1,"name":"Subdivision","value":"EC"},{"id":4,"name":"Milepost","value":"0.2789"},{"id":17,"name":"Train ID","value":"175-07"},{"id":16,"name":"Locomotive ID","value":"4042"},{"id":130,"name":"Impact","value":""},{"id":150,"name":"Time of Event (Mountain Time)","value":"13:36:33"},{"id":151,"name":"Denver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/cygdrive/c/Users/stu/AppData/Local/Temp/OnboardLogs/RTDC4042 --include="*4042*201706071*"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"%USERPROFILE%\AppData\Local\Temp\OnboardLogs"\RTDC4042\*4042*201706071* &gt;&gt; 2017-06-07-SliceDisagreementCheck.txt</v>
      </c>
      <c r="AE24" s="148" t="str">
        <f t="shared" si="9"/>
        <v>start /low /b %USERPROFILE%\Documents\GitHub\eaglep3\Utilities\DownloadLogsFromS3.py --loco 4042 --day 2017-06-07</v>
      </c>
      <c r="AF24" s="1"/>
    </row>
    <row r="25" spans="1:32" x14ac:dyDescent="0.25">
      <c r="A25" s="31">
        <v>42893.599120370367</v>
      </c>
      <c r="B25" s="30" t="s">
        <v>374</v>
      </c>
      <c r="C25" s="30" t="s">
        <v>624</v>
      </c>
      <c r="D25" s="30" t="s">
        <v>49</v>
      </c>
      <c r="E25" s="30" t="s">
        <v>366</v>
      </c>
      <c r="F25" s="42">
        <v>0</v>
      </c>
      <c r="G25" s="42">
        <v>30</v>
      </c>
      <c r="H25" s="42">
        <v>64054</v>
      </c>
      <c r="I25" s="42">
        <v>64038</v>
      </c>
      <c r="J25" s="30" t="s">
        <v>367</v>
      </c>
      <c r="K25" s="42">
        <v>64008</v>
      </c>
      <c r="L25" s="134" t="s">
        <v>51</v>
      </c>
      <c r="M25" s="135">
        <f t="shared" si="0"/>
        <v>15.84</v>
      </c>
      <c r="N25" s="136" t="str">
        <f>VLOOKUP(C25,'Trips&amp;Operators'!$C$1:$G$99999,5,FALSE)</f>
        <v>DAVIS MICHAEL</v>
      </c>
      <c r="O25" s="210" t="s">
        <v>417</v>
      </c>
      <c r="P25" s="137" t="s">
        <v>1033</v>
      </c>
      <c r="Q25" s="30"/>
      <c r="R25" s="84" t="str">
        <f>VLOOKUP(C25,'Train Runs'!$A$13:$AE$9933,31,0)</f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S25" s="87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-06-07T12:24:16-0600',mode:absolute,to:'2017-06-07T15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9" t="str">
        <f t="shared" si="1"/>
        <v>"C:\Program Files (x86)\AstroGrep\AstroGrep.exe" /e /r /s /spath="%USERPROFILE%\AppData\Local\Temp\OnboardLogs" /stypes="*4013*201706072*"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4013</v>
      </c>
      <c r="V25" s="31">
        <f t="shared" si="3"/>
        <v>42893.849120370367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{"issue":{"subject":"Bright Switch 3 hardware failure (virtual signal at STOP due to traffic)","project_id":79,"tracker_id":40,"status_id":1,"priority_id":2,"assigned_to_id":23,"start_date":"2017-06-07","description":"","custom_fields":[{"id":1,"name":"Subdivision","value":"EC"},{"id":4,"name":"Milepost","value":"6.4008"},{"id":17,"name":"Train ID","value":"172-07"},{"id":16,"name":"Locomotive ID","value":"4013"},{"id":130,"name":"Impact","value":""},{"id":150,"name":"Time of Event (Mountain Time)","value":"14:22:44"},{"id":151,"name":"Denver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/cygdrive/c/Users/stu/AppData/Local/Temp/OnboardLogs/RTDC4013 --include="*4013*201706072*"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"%USERPROFILE%\AppData\Local\Temp\OnboardLogs"\RTDC4013\*4013*201706072* &gt;&gt; 2017-06-07-SliceDisagreementCheck.txt</v>
      </c>
      <c r="AE25" s="148" t="str">
        <f t="shared" si="9"/>
        <v>start /low /b %USERPROFILE%\Documents\GitHub\eaglep3\Utilities\DownloadLogsFromS3.py --loco 4013 --day 2017-06-07</v>
      </c>
      <c r="AF25" s="1"/>
    </row>
    <row r="26" spans="1:32" x14ac:dyDescent="0.25">
      <c r="A26" s="31">
        <v>42893.37636574074</v>
      </c>
      <c r="B26" s="30" t="s">
        <v>613</v>
      </c>
      <c r="C26" s="30" t="s">
        <v>614</v>
      </c>
      <c r="D26" s="30" t="s">
        <v>49</v>
      </c>
      <c r="E26" s="30" t="s">
        <v>366</v>
      </c>
      <c r="F26" s="42">
        <v>0</v>
      </c>
      <c r="G26" s="42">
        <v>772</v>
      </c>
      <c r="H26" s="42">
        <v>81621</v>
      </c>
      <c r="I26" s="42">
        <v>85038</v>
      </c>
      <c r="J26" s="30" t="s">
        <v>367</v>
      </c>
      <c r="K26" s="42">
        <v>81738</v>
      </c>
      <c r="L26" s="134" t="s">
        <v>50</v>
      </c>
      <c r="M26" s="135">
        <f t="shared" si="0"/>
        <v>-1742.4</v>
      </c>
      <c r="N26" s="136" t="str">
        <f>VLOOKUP(C26,'Trips&amp;Operators'!$C$1:$G$99999,5,FALSE)</f>
        <v>LOZA FIDEL</v>
      </c>
      <c r="O26" s="210" t="s">
        <v>417</v>
      </c>
      <c r="P26" s="137" t="s">
        <v>418</v>
      </c>
      <c r="Q26" s="30"/>
      <c r="R26" s="84" t="str">
        <f>VLOOKUP(C26,'Train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26" s="87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-06-07T07:38:55-0600',mode:absolute,to:'2017-06-07T10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6" s="89" t="str">
        <f t="shared" si="1"/>
        <v>"C:\Program Files (x86)\AstroGrep\AstroGrep.exe" /e /r /s /spath="%USERPROFILE%\AppData\Local\Temp\OnboardLogs" /stypes="*4058*201706071*"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4058</v>
      </c>
      <c r="V26" s="31">
        <f t="shared" si="3"/>
        <v>42893.62636574074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drop","project_id":79,"tracker_id":40,"status_id":1,"priority_id":2,"assigned_to_id":23,"start_date":"2017-06-07","description":"","custom_fields":[{"id":1,"name":"Subdivision","value":"EC"},{"id":4,"name":"Milepost","value":"8.1738"},{"id":17,"name":"Train ID","value":"141-07"},{"id":16,"name":"Locomotive ID","value":"4058"},{"id":130,"name":"Impact","value":""},{"id":150,"name":"Time of Event (Mountain Time)","value":"09:01:58"},{"id":151,"name":"Denver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/cygdrive/c/Users/stu/AppData/Local/Temp/OnboardLogs/RTDC4058 --include="*4058*201706071*"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"%USERPROFILE%\AppData\Local\Temp\OnboardLogs"\RTDC4058\*4058*201706071* &gt;&gt; 2017-06-07-SliceDisagreementCheck.txt</v>
      </c>
      <c r="AE26" s="148" t="str">
        <f t="shared" si="9"/>
        <v>start /low /b %USERPROFILE%\Documents\GitHub\eaglep3\Utilities\DownloadLogsFromS3.py --loco 4058 --day 2017-06-07</v>
      </c>
      <c r="AF26" s="1"/>
    </row>
    <row r="27" spans="1:32" x14ac:dyDescent="0.25">
      <c r="A27" s="31">
        <v>42893.833009259259</v>
      </c>
      <c r="B27" s="30" t="s">
        <v>613</v>
      </c>
      <c r="C27" s="30" t="s">
        <v>646</v>
      </c>
      <c r="D27" s="30" t="s">
        <v>49</v>
      </c>
      <c r="E27" s="30" t="s">
        <v>366</v>
      </c>
      <c r="F27" s="42">
        <v>0</v>
      </c>
      <c r="G27" s="42">
        <v>689</v>
      </c>
      <c r="H27" s="42">
        <v>180253</v>
      </c>
      <c r="I27" s="42">
        <v>183417</v>
      </c>
      <c r="J27" s="30" t="s">
        <v>367</v>
      </c>
      <c r="K27" s="42">
        <v>182907</v>
      </c>
      <c r="L27" s="134" t="s">
        <v>50</v>
      </c>
      <c r="M27" s="135">
        <f t="shared" si="0"/>
        <v>-269.27999999999997</v>
      </c>
      <c r="N27" s="136" t="str">
        <f>VLOOKUP(C27,'Trips&amp;Operators'!$C$1:$G$99999,5,FALSE)</f>
        <v>HAITHCOX MICHAEL</v>
      </c>
      <c r="O27" s="210" t="s">
        <v>417</v>
      </c>
      <c r="P27" s="137" t="s">
        <v>418</v>
      </c>
      <c r="Q27" s="30"/>
      <c r="R27" s="84" t="str">
        <f>VLOOKUP(C27,'Train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27" s="87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-06-07T18:26:36-0600',mode:absolute,to:'2017-06-07T21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7" s="89" t="str">
        <f t="shared" si="1"/>
        <v>"C:\Program Files (x86)\AstroGrep\AstroGrep.exe" /e /r /s /spath="%USERPROFILE%\AppData\Local\Temp\OnboardLogs" /stypes="*4058*201706080*"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4058</v>
      </c>
      <c r="V27" s="31">
        <f t="shared" si="3"/>
        <v>42894.083009259259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{"issue":{"subject":"Wi-MAX data drop","project_id":79,"tracker_id":40,"status_id":1,"priority_id":2,"assigned_to_id":23,"start_date":"2017-06-07","description":"","custom_fields":[{"id":1,"name":"Subdivision","value":"EC"},{"id":4,"name":"Milepost","value":"18.2907"},{"id":17,"name":"Train ID","value":"223-07"},{"id":16,"name":"Locomotive ID","value":"4058"},{"id":130,"name":"Impact","value":""},{"id":150,"name":"Time of Event (Mountain Time)","value":"19:59:32"},{"id":151,"name":"Denver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/cygdrive/c/Users/stu/AppData/Local/Temp/OnboardLogs/RTDC4058 --include="*4058*201706080*"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"%USERPROFILE%\AppData\Local\Temp\OnboardLogs"\RTDC4058\*4058*201706080* &gt;&gt; 2017-06-07-SliceDisagreementCheck.txt</v>
      </c>
      <c r="AE27" s="148" t="str">
        <f t="shared" si="9"/>
        <v>start /low /b %USERPROFILE%\Documents\GitHub\eaglep3\Utilities\DownloadLogsFromS3.py --loco 4058 --day 2017-06-08</v>
      </c>
      <c r="AF27" s="1"/>
    </row>
    <row r="28" spans="1:32" x14ac:dyDescent="0.25">
      <c r="A28" s="31">
        <v>42893.276122685187</v>
      </c>
      <c r="B28" s="30" t="s">
        <v>604</v>
      </c>
      <c r="C28" s="30" t="s">
        <v>605</v>
      </c>
      <c r="D28" s="30" t="s">
        <v>49</v>
      </c>
      <c r="E28" s="30" t="s">
        <v>183</v>
      </c>
      <c r="F28" s="42">
        <v>0</v>
      </c>
      <c r="G28" s="42">
        <v>92</v>
      </c>
      <c r="H28" s="42">
        <v>336</v>
      </c>
      <c r="I28" s="42">
        <v>240</v>
      </c>
      <c r="J28" s="30" t="s">
        <v>184</v>
      </c>
      <c r="K28" s="42">
        <v>1</v>
      </c>
      <c r="L28" s="134" t="s">
        <v>51</v>
      </c>
      <c r="M28" s="135">
        <f t="shared" si="0"/>
        <v>126.19199999999999</v>
      </c>
      <c r="N28" s="136" t="str">
        <f>VLOOKUP(C28,'Trips&amp;Operators'!$C$1:$G$99999,5,FALSE)</f>
        <v>THOMPSON LESTER</v>
      </c>
      <c r="O28" s="210" t="s">
        <v>182</v>
      </c>
      <c r="P28" s="137"/>
      <c r="Q28" s="30"/>
      <c r="R28" s="84" t="str">
        <f>VLOOKUP(C28,'Train Runs'!$A$13:$AE$9933,31,0)</f>
        <v>aws s3 cp s3://rtdc.mdm.uploadarchive.raw/RTDC4015/ "%USERPROFILE%\AppData\Local\Temp\OnboardLogs"\RTDC4015\2017-06-07 --exclude "*" --recursive --include "*20170607*" &amp; "%USERPROFILE%\Documents\GitHub\mrs-test-scripts\Headless Mode &amp; Sideloading\WalkAndUnGZ.bat" "%USERPROFILE%\AppData\Local\Temp\OnboardLogs"\RTDC4015\2017-06-07 &amp; aws s3 cp s3://rtdc.mdm.uploadarchive.raw/RTDC4015/ "%USERPROFILE%\AppData\Local\Temp\OnboardLogs"\RTDC4015\2017-06-08 --exclude "*" --recursive --include "*20170608*" &amp; "%USERPROFILE%\Documents\GitHub\mrs-test-scripts\Headless Mode &amp; Sideloading\WalkAndUnGZ.bat" "%USERPROFILE%\AppData\Local\Temp\OnboardLogs"\RTDC4015\2017-06-08</v>
      </c>
      <c r="S28" s="87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-06-07T04:50:30-0600',mode:absolute,to:'2017-06-07T07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89" t="str">
        <f t="shared" si="1"/>
        <v>"C:\Program Files (x86)\AstroGrep\AstroGrep.exe" /e /r /s /spath="%USERPROFILE%\AppData\Local\Temp\OnboardLogs" /stypes="*4015*201706071*"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4015</v>
      </c>
      <c r="V28" s="31">
        <f t="shared" si="3"/>
        <v>42893.526122685187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ID","value":"112-07"},{"id":16,"name":"Locomotive ID","value":"4015"},{"id":130,"name":"Impact","value":""},{"id":150,"name":"Time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/cygdrive/c/Users/stu/AppData/Local/Temp/OnboardLogs/RTDC4015 --include="*4015*201706071*"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"%USERPROFILE%\AppData\Local\Temp\OnboardLogs"\RTDC4015\*4015*201706071* &gt;&gt; 2017-06-07-SliceDisagreementCheck.txt</v>
      </c>
      <c r="AE28" s="148" t="str">
        <f t="shared" si="9"/>
        <v>start /low /b %USERPROFILE%\Documents\GitHub\eaglep3\Utilities\DownloadLogsFromS3.py --loco 4015 --day 2017-06-07</v>
      </c>
      <c r="AF28" s="1"/>
    </row>
    <row r="29" spans="1:32" x14ac:dyDescent="0.25">
      <c r="A29" s="31">
        <v>42893.444467592592</v>
      </c>
      <c r="B29" s="30" t="s">
        <v>374</v>
      </c>
      <c r="C29" s="30" t="s">
        <v>615</v>
      </c>
      <c r="D29" s="30" t="s">
        <v>49</v>
      </c>
      <c r="E29" s="30" t="s">
        <v>183</v>
      </c>
      <c r="F29" s="42">
        <v>0</v>
      </c>
      <c r="G29" s="42">
        <v>35</v>
      </c>
      <c r="H29" s="42">
        <v>139</v>
      </c>
      <c r="I29" s="42">
        <v>116</v>
      </c>
      <c r="J29" s="30" t="s">
        <v>184</v>
      </c>
      <c r="K29" s="42">
        <v>1</v>
      </c>
      <c r="L29" s="134" t="s">
        <v>51</v>
      </c>
      <c r="M29" s="135">
        <f t="shared" si="0"/>
        <v>60.72</v>
      </c>
      <c r="N29" s="136" t="str">
        <f>VLOOKUP(C29,'Trips&amp;Operators'!$C$1:$G$99999,5,FALSE)</f>
        <v>MAELZER KURT</v>
      </c>
      <c r="O29" s="210" t="s">
        <v>182</v>
      </c>
      <c r="P29" s="137"/>
      <c r="Q29" s="30"/>
      <c r="R29" s="84" t="str">
        <f>VLOOKUP(C29,'Train Runs'!$A$13:$AE$9933,31,0)</f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S29" s="87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-06-07T08:43:42-0600',mode:absolute,to:'2017-06-07T11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9" s="89" t="str">
        <f t="shared" si="1"/>
        <v>"C:\Program Files (x86)\AstroGrep\AstroGrep.exe" /e /r /s /spath="%USERPROFILE%\AppData\Local\Temp\OnboardLogs" /stypes="*4013*201706071*" /stext=" 16:.+((SYSTEM_STATE.+slice.+state.+changed )|(ment ac)|(multiple cpu faults)|(system.+state.+changed )|(\[timeout)|(PRM\|1\|D)|(kpr)|(kdp)|(train st.+moving)|(\|lc)|(penalty))"</v>
      </c>
      <c r="U29" s="9" t="str">
        <f t="shared" si="2"/>
        <v>4013</v>
      </c>
      <c r="V29" s="31">
        <f t="shared" si="3"/>
        <v>42893.694467592592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ID","value":"144-07"},{"id":16,"name":"Locomotive ID","value":"4013"},{"id":130,"name":"Impact","value":""},{"id":150,"name":"Time of Event (Mountain Time)","value":"10:40:02"},{"id":151,"name":"Denver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/cygdrive/c/Users/stu/AppData/Local/Temp/OnboardLogs/RTDC4013 --include="*4013*201706071*"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"%USERPROFILE%\AppData\Local\Temp\OnboardLogs"\RTDC4013\*4013*201706071* &gt;&gt; 2017-06-07-SliceDisagreementCheck.txt</v>
      </c>
      <c r="AE29" s="148" t="str">
        <f t="shared" si="9"/>
        <v>start /low /b %USERPROFILE%\Documents\GitHub\eaglep3\Utilities\DownloadLogsFromS3.py --loco 4013 --day 2017-06-07</v>
      </c>
      <c r="AF29" s="1"/>
    </row>
    <row r="30" spans="1:32" x14ac:dyDescent="0.25">
      <c r="A30" s="31">
        <v>42893.515902777777</v>
      </c>
      <c r="B30" s="30" t="s">
        <v>374</v>
      </c>
      <c r="C30" s="30" t="s">
        <v>619</v>
      </c>
      <c r="D30" s="30" t="s">
        <v>49</v>
      </c>
      <c r="E30" s="30" t="s">
        <v>183</v>
      </c>
      <c r="F30" s="42">
        <v>0</v>
      </c>
      <c r="G30" s="42">
        <v>33</v>
      </c>
      <c r="H30" s="42">
        <v>81</v>
      </c>
      <c r="I30" s="42">
        <v>59</v>
      </c>
      <c r="J30" s="30" t="s">
        <v>184</v>
      </c>
      <c r="K30" s="42">
        <v>1</v>
      </c>
      <c r="L30" s="134" t="s">
        <v>51</v>
      </c>
      <c r="M30" s="135">
        <f t="shared" si="0"/>
        <v>30.623999999999999</v>
      </c>
      <c r="N30" s="136" t="str">
        <f>VLOOKUP(C30,'Trips&amp;Operators'!$C$1:$G$99999,5,FALSE)</f>
        <v>SANTIZO D. EDY</v>
      </c>
      <c r="O30" s="210" t="s">
        <v>182</v>
      </c>
      <c r="P30" s="137"/>
      <c r="Q30" s="30"/>
      <c r="R30" s="84" t="str">
        <f>VLOOKUP(C30,'Train Runs'!$A$13:$AE$9933,31,0)</f>
        <v>aws s3 cp s3://rtdc.mdm.uploadarchive.raw/RTDC4013/ "%USERPROFILE%\AppData\Local\Temp\OnboardLogs"\RTDC4013\2017-06-07 --exclude "*" --recursive --include "*20170607*" &amp; "%USERPROFILE%\Documents\GitHub\mrs-test-scripts\Headless Mode &amp; Sideloading\WalkAndUnGZ.bat" "%USERPROFILE%\AppData\Local\Temp\OnboardLogs"\RTDC4013\2017-06-07 &amp; aws s3 cp s3://rtdc.mdm.uploadarchive.raw/RTDC4013/ "%USERPROFILE%\AppData\Local\Temp\OnboardLogs"\RTDC4013\2017-06-08 --exclude "*" --recursive --include "*20170608*" &amp; "%USERPROFILE%\Documents\GitHub\mrs-test-scripts\Headless Mode &amp; Sideloading\WalkAndUnGZ.bat" "%USERPROFILE%\AppData\Local\Temp\OnboardLogs"\RTDC4013\2017-06-08</v>
      </c>
      <c r="S30" s="87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-06-07T10:23:02-0600',mode:absolute,to:'2017-06-07T13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0" s="89" t="str">
        <f t="shared" si="1"/>
        <v>"C:\Program Files (x86)\AstroGrep\AstroGrep.exe" /e /r /s /spath="%USERPROFILE%\AppData\Local\Temp\OnboardLogs" /stypes="*4013*201706071*"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4013</v>
      </c>
      <c r="V30" s="31">
        <f t="shared" si="3"/>
        <v>42893.765902777777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ID","value":"158-07"},{"id":16,"name":"Locomotive ID","value":"4013"},{"id":130,"name":"Impact","value":""},{"id":150,"name":"Time of Event (Mountain Time)","value":"12:22:54"},{"id":151,"name":"Denver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/cygdrive/c/Users/stu/AppData/Local/Temp/OnboardLogs/RTDC4013 --include="*4013*201706071*"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"%USERPROFILE%\AppData\Local\Temp\OnboardLogs"\RTDC4013\*4013*201706071* &gt;&gt; 2017-06-07-SliceDisagreementCheck.txt</v>
      </c>
      <c r="AE30" s="148" t="str">
        <f t="shared" si="9"/>
        <v>start /low /b %USERPROFILE%\Documents\GitHub\eaglep3\Utilities\DownloadLogsFromS3.py --loco 4013 --day 2017-06-07</v>
      </c>
      <c r="AF30" s="1"/>
    </row>
    <row r="31" spans="1:32" x14ac:dyDescent="0.25">
      <c r="A31" s="31">
        <v>42893.640983796293</v>
      </c>
      <c r="B31" s="30" t="s">
        <v>594</v>
      </c>
      <c r="C31" s="30" t="s">
        <v>627</v>
      </c>
      <c r="D31" s="30" t="s">
        <v>49</v>
      </c>
      <c r="E31" s="30" t="s">
        <v>183</v>
      </c>
      <c r="F31" s="42">
        <v>0</v>
      </c>
      <c r="G31" s="42">
        <v>44</v>
      </c>
      <c r="H31" s="42">
        <v>165</v>
      </c>
      <c r="I31" s="42">
        <v>125</v>
      </c>
      <c r="J31" s="30" t="s">
        <v>184</v>
      </c>
      <c r="K31" s="42">
        <v>1</v>
      </c>
      <c r="L31" s="134" t="s">
        <v>51</v>
      </c>
      <c r="M31" s="135">
        <f t="shared" si="0"/>
        <v>65.471999999999994</v>
      </c>
      <c r="N31" s="136" t="str">
        <f>VLOOKUP(C31,'Trips&amp;Operators'!$C$1:$G$99999,5,FALSE)</f>
        <v>DE LA ROSA ALEX</v>
      </c>
      <c r="O31" s="210" t="s">
        <v>182</v>
      </c>
      <c r="P31" s="137"/>
      <c r="Q31" s="30"/>
      <c r="R31" s="84" t="str">
        <f>VLOOKUP(C31,'Train Runs'!$A$13:$AE$9933,31,0)</f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S31" s="87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-06-07T13:39:21-0600',mode:absolute,to:'2017-06-07T16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1" s="89" t="str">
        <f t="shared" si="1"/>
        <v>"C:\Program Files (x86)\AstroGrep\AstroGrep.exe" /e /r /s /spath="%USERPROFILE%\AppData\Local\Temp\OnboardLogs" /stypes="*4011*201706072*"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4011</v>
      </c>
      <c r="V31" s="31">
        <f t="shared" si="3"/>
        <v>42893.890983796293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ID","value":"182-07"},{"id":16,"name":"Locomotive ID","value":"4011"},{"id":130,"name":"Impact","value":""},{"id":150,"name":"Time of Event (Mountain Time)","value":"15:23:01"},{"id":151,"name":"Denver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/cygdrive/c/Users/stu/AppData/Local/Temp/OnboardLogs/RTDC4011 --include="*4011*201706072*"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"%USERPROFILE%\AppData\Local\Temp\OnboardLogs"\RTDC4011\*4011*201706072* &gt;&gt; 2017-06-07-SliceDisagreementCheck.txt</v>
      </c>
      <c r="AE31" s="148" t="str">
        <f t="shared" si="9"/>
        <v>start /low /b %USERPROFILE%\Documents\GitHub\eaglep3\Utilities\DownloadLogsFromS3.py --loco 4011 --day 2017-06-07</v>
      </c>
      <c r="AF31" s="1"/>
    </row>
    <row r="32" spans="1:32" x14ac:dyDescent="0.25">
      <c r="A32" s="31">
        <v>42893.692546296297</v>
      </c>
      <c r="B32" s="30" t="s">
        <v>509</v>
      </c>
      <c r="C32" s="30" t="s">
        <v>632</v>
      </c>
      <c r="D32" s="30" t="s">
        <v>49</v>
      </c>
      <c r="E32" s="30" t="s">
        <v>183</v>
      </c>
      <c r="F32" s="42">
        <v>0</v>
      </c>
      <c r="G32" s="42">
        <v>48</v>
      </c>
      <c r="H32" s="42">
        <v>130</v>
      </c>
      <c r="I32" s="42">
        <v>103</v>
      </c>
      <c r="J32" s="30" t="s">
        <v>184</v>
      </c>
      <c r="K32" s="42">
        <v>1</v>
      </c>
      <c r="L32" s="134" t="s">
        <v>51</v>
      </c>
      <c r="M32" s="135">
        <f t="shared" si="0"/>
        <v>53.856000000000002</v>
      </c>
      <c r="N32" s="136" t="str">
        <f>VLOOKUP(C32,'Trips&amp;Operators'!$C$1:$G$99999,5,FALSE)</f>
        <v>HOLCOMB KAMDEN</v>
      </c>
      <c r="O32" s="210" t="s">
        <v>182</v>
      </c>
      <c r="P32" s="137"/>
      <c r="Q32" s="30"/>
      <c r="R32" s="84" t="str">
        <f>VLOOKUP(C32,'Train Runs'!$A$13:$AE$9933,31,0)</f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S32" s="87" t="str">
        <f>VLOOKUP(C32,'Train Runs'!$A$13:$AE$9933,22,0)</f>
        <v>https://d0f6bd738d7f1b3e5a7ca70fe4ff75f0.us-east-1.aws.found.io/app/kibana#/discover/Steve-Slow-Train-Analysis-(2080s-and-2083s)?_g=(refreshInterval:(display:Off,pause:!f,section:0,value:0),time:(from:'2017-06-07T14:55:36-0600',mode:absolute,to:'2017-06-07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2" s="89" t="str">
        <f t="shared" si="1"/>
        <v>"C:\Program Files (x86)\AstroGrep\AstroGrep.exe" /e /r /s /spath="%USERPROFILE%\AppData\Local\Temp\OnboardLogs" /stypes="*4045*201706072*"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4045</v>
      </c>
      <c r="V32" s="31">
        <f t="shared" si="3"/>
        <v>42893.942546296297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ID","value":"192-07"},{"id":16,"name":"Locomotive ID","value":"4045"},{"id":130,"name":"Impact","value":""},{"id":150,"name":"Time of Event (Mountain Time)","value":"16:37:16"},{"id":151,"name":"Denver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/cygdrive/c/Users/stu/AppData/Local/Temp/OnboardLogs/RTDC4045 --include="*4045*201706072*"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"%USERPROFILE%\AppData\Local\Temp\OnboardLogs"\RTDC4045\*4045*201706072* &gt;&gt; 2017-06-07-SliceDisagreementCheck.txt</v>
      </c>
      <c r="AE32" s="148" t="str">
        <f t="shared" si="9"/>
        <v>start /low /b %USERPROFILE%\Documents\GitHub\eaglep3\Utilities\DownloadLogsFromS3.py --loco 4045 --day 2017-06-07</v>
      </c>
      <c r="AF32" s="1"/>
    </row>
    <row r="33" spans="1:32" x14ac:dyDescent="0.25">
      <c r="A33" s="31">
        <v>42893.767488425925</v>
      </c>
      <c r="B33" s="30" t="s">
        <v>509</v>
      </c>
      <c r="C33" s="30" t="s">
        <v>639</v>
      </c>
      <c r="D33" s="30" t="s">
        <v>49</v>
      </c>
      <c r="E33" s="30" t="s">
        <v>183</v>
      </c>
      <c r="F33" s="42">
        <v>0</v>
      </c>
      <c r="G33" s="42">
        <v>43</v>
      </c>
      <c r="H33" s="42">
        <v>132</v>
      </c>
      <c r="I33" s="42">
        <v>103</v>
      </c>
      <c r="J33" s="30" t="s">
        <v>184</v>
      </c>
      <c r="K33" s="42">
        <v>1</v>
      </c>
      <c r="L33" s="134" t="s">
        <v>51</v>
      </c>
      <c r="M33" s="135">
        <f t="shared" si="0"/>
        <v>53.856000000000002</v>
      </c>
      <c r="N33" s="136" t="str">
        <f>VLOOKUP(C33,'Trips&amp;Operators'!$C$1:$G$99999,5,FALSE)</f>
        <v>HOLCOMB KAMDEN</v>
      </c>
      <c r="O33" s="210" t="s">
        <v>182</v>
      </c>
      <c r="P33" s="137"/>
      <c r="Q33" s="30"/>
      <c r="R33" s="84" t="str">
        <f>VLOOKUP(C33,'Train Runs'!$A$13:$AE$9933,31,0)</f>
        <v>aws s3 cp s3://rtdc.mdm.uploadarchive.raw/RTDC4045/ "%USERPROFILE%\AppData\Local\Temp\OnboardLogs"\RTDC4045\2017-06-07 --exclude "*" --recursive --include "*20170607*" &amp; "%USERPROFILE%\Documents\GitHub\mrs-test-scripts\Headless Mode &amp; Sideloading\WalkAndUnGZ.bat" "%USERPROFILE%\AppData\Local\Temp\OnboardLogs"\RTDC4045\2017-06-07 &amp; aws s3 cp s3://rtdc.mdm.uploadarchive.raw/RTDC4045/ "%USERPROFILE%\AppData\Local\Temp\OnboardLogs"\RTDC4045\2017-06-08 --exclude "*" --recursive --include "*20170608*" &amp; "%USERPROFILE%\Documents\GitHub\mrs-test-scripts\Headless Mode &amp; Sideloading\WalkAndUnGZ.bat" "%USERPROFILE%\AppData\Local\Temp\OnboardLogs"\RTDC4045\2017-06-08</v>
      </c>
      <c r="S33" s="87" t="str">
        <f>VLOOKUP(C33,'Train Runs'!$A$13:$AE$9933,22,0)</f>
        <v>https://d0f6bd738d7f1b3e5a7ca70fe4ff75f0.us-east-1.aws.found.io/app/kibana#/discover/Steve-Slow-Train-Analysis-(2080s-and-2083s)?_g=(refreshInterval:(display:Off,pause:!f,section:0,value:0),time:(from:'2017-06-07T16:41:45-0600',mode:absolute,to:'2017-06-07T19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89" t="str">
        <f t="shared" si="1"/>
        <v>"C:\Program Files (x86)\AstroGrep\AstroGrep.exe" /e /r /s /spath="%USERPROFILE%\AppData\Local\Temp\OnboardLogs" /stypes="*4045*201706080*"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4045</v>
      </c>
      <c r="V33" s="31">
        <f t="shared" si="3"/>
        <v>42894.017488425925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ID","value":"206-07"},{"id":16,"name":"Locomotive ID","value":"4045"},{"id":130,"name":"Impact","value":""},{"id":150,"name":"Time of Event (Mountain Time)","value":"18:25:11"},{"id":151,"name":"Denver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/cygdrive/c/Users/stu/AppData/Local/Temp/OnboardLogs/RTDC4045 --include="*4045*201706080*"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"%USERPROFILE%\AppData\Local\Temp\OnboardLogs"\RTDC4045\*4045*201706080* &gt;&gt; 2017-06-07-SliceDisagreementCheck.txt</v>
      </c>
      <c r="AE33" s="148" t="str">
        <f t="shared" si="9"/>
        <v>start /low /b %USERPROFILE%\Documents\GitHub\eaglep3\Utilities\DownloadLogsFromS3.py --loco 4045 --day 2017-06-08</v>
      </c>
      <c r="AF33" s="1"/>
    </row>
    <row r="34" spans="1:32" x14ac:dyDescent="0.25">
      <c r="A34" s="31">
        <v>42893.810034722221</v>
      </c>
      <c r="B34" s="30" t="s">
        <v>641</v>
      </c>
      <c r="C34" s="30" t="s">
        <v>642</v>
      </c>
      <c r="D34" s="30" t="s">
        <v>49</v>
      </c>
      <c r="E34" s="30" t="s">
        <v>183</v>
      </c>
      <c r="F34" s="42">
        <v>0</v>
      </c>
      <c r="G34" s="42">
        <v>35</v>
      </c>
      <c r="H34" s="42">
        <v>154</v>
      </c>
      <c r="I34" s="42">
        <v>127</v>
      </c>
      <c r="J34" s="30" t="s">
        <v>184</v>
      </c>
      <c r="K34" s="42">
        <v>1</v>
      </c>
      <c r="L34" s="134" t="s">
        <v>51</v>
      </c>
      <c r="M34" s="135">
        <f t="shared" si="0"/>
        <v>66.528000000000006</v>
      </c>
      <c r="N34" s="136" t="str">
        <f>VLOOKUP(C34,'Trips&amp;Operators'!$C$1:$G$99999,5,FALSE)</f>
        <v>HAITHCOX MICHAEL</v>
      </c>
      <c r="O34" s="210" t="s">
        <v>182</v>
      </c>
      <c r="P34" s="137"/>
      <c r="Q34" s="30"/>
      <c r="R34" s="84" t="str">
        <f>VLOOKUP(C34,'Train Runs'!$A$13:$AE$9933,31,0)</f>
        <v>aws s3 cp s3://rtdc.mdm.uploadarchive.raw/RTDC4057/ "%USERPROFILE%\AppData\Local\Temp\OnboardLogs"\RTDC4057\2017-06-07 --exclude "*" --recursive --include "*20170607*" &amp; "%USERPROFILE%\Documents\GitHub\mrs-test-scripts\Headless Mode &amp; Sideloading\WalkAndUnGZ.bat" "%USERPROFILE%\AppData\Local\Temp\OnboardLogs"\RTDC4057\2017-06-07 &amp; aws s3 cp s3://rtdc.mdm.uploadarchive.raw/RTDC4057/ "%USERPROFILE%\AppData\Local\Temp\OnboardLogs"\RTDC4057\2017-06-08 --exclude "*" --recursive --include "*20170608*" &amp; "%USERPROFILE%\Documents\GitHub\mrs-test-scripts\Headless Mode &amp; Sideloading\WalkAndUnGZ.bat" "%USERPROFILE%\AppData\Local\Temp\OnboardLogs"\RTDC4057\2017-06-08</v>
      </c>
      <c r="S34" s="87" t="str">
        <f>VLOOKUP(C34,'Train Runs'!$A$13:$AE$9933,22,0)</f>
        <v>https://d0f6bd738d7f1b3e5a7ca70fe4ff75f0.us-east-1.aws.found.io/app/kibana#/discover/Steve-Slow-Train-Analysis-(2080s-and-2083s)?_g=(refreshInterval:(display:Off,pause:!f,section:0,value:0),time:(from:'2017-06-07T17:37:16-0600',mode:absolute,to:'2017-06-07T20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4" s="89" t="str">
        <f t="shared" si="1"/>
        <v>"C:\Program Files (x86)\AstroGrep\AstroGrep.exe" /e /r /s /spath="%USERPROFILE%\AppData\Local\Temp\OnboardLogs" /stypes="*4057*201706080*"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4057</v>
      </c>
      <c r="V34" s="31">
        <f t="shared" si="3"/>
        <v>42894.060034722221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ID","value":"214-07"},{"id":16,"name":"Locomotive ID","value":"4057"},{"id":130,"name":"Impact","value":""},{"id":150,"name":"Time of Event (Mountain Time)","value":"19:26:27"},{"id":151,"name":"Denver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/cygdrive/c/Users/stu/AppData/Local/Temp/OnboardLogs/RTDC4057 --include="*4057*201706080*"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"%USERPROFILE%\AppData\Local\Temp\OnboardLogs"\RTDC4057\*4057*201706080* &gt;&gt; 2017-06-07-SliceDisagreementCheck.txt</v>
      </c>
      <c r="AE34" s="148" t="str">
        <f t="shared" si="9"/>
        <v>start /low /b %USERPROFILE%\Documents\GitHub\eaglep3\Utilities\DownloadLogsFromS3.py --loco 4057 --day 2017-06-08</v>
      </c>
      <c r="AF34" s="1"/>
    </row>
    <row r="35" spans="1:32" x14ac:dyDescent="0.25">
      <c r="A35" s="31">
        <v>42893.815532407411</v>
      </c>
      <c r="B35" s="30" t="s">
        <v>342</v>
      </c>
      <c r="C35" s="30" t="s">
        <v>643</v>
      </c>
      <c r="D35" s="30" t="s">
        <v>49</v>
      </c>
      <c r="E35" s="30" t="s">
        <v>183</v>
      </c>
      <c r="F35" s="42">
        <v>0</v>
      </c>
      <c r="G35" s="42">
        <v>53</v>
      </c>
      <c r="H35" s="42">
        <v>185</v>
      </c>
      <c r="I35" s="42">
        <v>139</v>
      </c>
      <c r="J35" s="30" t="s">
        <v>184</v>
      </c>
      <c r="K35" s="42">
        <v>1</v>
      </c>
      <c r="L35" s="134" t="s">
        <v>51</v>
      </c>
      <c r="M35" s="135">
        <f t="shared" si="0"/>
        <v>72.864000000000004</v>
      </c>
      <c r="N35" s="136" t="str">
        <f>VLOOKUP(C35,'Trips&amp;Operators'!$C$1:$G$99999,5,FALSE)</f>
        <v>LEVIN SCOTT</v>
      </c>
      <c r="O35" s="210" t="s">
        <v>182</v>
      </c>
      <c r="P35" s="137"/>
      <c r="Q35" s="30"/>
      <c r="R35" s="84" t="str">
        <f>VLOOKUP(C35,'Train Runs'!$A$13:$AE$9933,31,0)</f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S35" s="87" t="str">
        <f>VLOOKUP(C35,'Train Runs'!$A$13:$AE$9933,22,0)</f>
        <v>https://d0f6bd738d7f1b3e5a7ca70fe4ff75f0.us-east-1.aws.found.io/app/kibana#/discover/Steve-Slow-Train-Analysis-(2080s-and-2083s)?_g=(refreshInterval:(display:Off,pause:!f,section:0,value:0),time:(from:'2017-06-07T17:52:40-0600',mode:absolute,to:'2017-06-07T20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5" s="89" t="str">
        <f t="shared" si="1"/>
        <v>"C:\Program Files (x86)\AstroGrep\AstroGrep.exe" /e /r /s /spath="%USERPROFILE%\AppData\Local\Temp\OnboardLogs" /stypes="*4027*201706080*"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4027</v>
      </c>
      <c r="V35" s="31">
        <f t="shared" si="3"/>
        <v>42894.065532407411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{"issue":{"subject":"","project_id":79,"tracker_id":40,"status_id":1,"priority_id":2,"assigned_to_id":23,"start_date":"2017-06-07","description":"","custom_fields":[{"id":1,"name":"Subdivision","value":"EC"},{"id":4,"name":"Milepost","value":"0.0001"},{"id":17,"name":"Train ID","value":"216-07"},{"id":16,"name":"Locomotive ID","value":"4027"},{"id":130,"name":"Impact","value":""},{"id":150,"name":"Time of Event (Mountain Time)","value":"19:34:22"},{"id":151,"name":"Denver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/cygdrive/c/Users/stu/AppData/Local/Temp/OnboardLogs/RTDC4027 --include="*4027*201706080*"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"%USERPROFILE%\AppData\Local\Temp\OnboardLogs"\RTDC4027\*4027*201706080* &gt;&gt; 2017-06-07-SliceDisagreementCheck.txt</v>
      </c>
      <c r="AE35" s="148" t="str">
        <f t="shared" si="9"/>
        <v>start /low /b %USERPROFILE%\Documents\GitHub\eaglep3\Utilities\DownloadLogsFromS3.py --loco 4027 --day 2017-06-08</v>
      </c>
      <c r="AF35" s="1"/>
    </row>
    <row r="36" spans="1:32" x14ac:dyDescent="0.25">
      <c r="A36" s="31">
        <v>42893.2343287037</v>
      </c>
      <c r="B36" s="30" t="s">
        <v>496</v>
      </c>
      <c r="C36" s="30" t="s">
        <v>598</v>
      </c>
      <c r="D36" s="30" t="s">
        <v>49</v>
      </c>
      <c r="E36" s="30" t="s">
        <v>183</v>
      </c>
      <c r="F36" s="42">
        <v>0</v>
      </c>
      <c r="G36" s="42">
        <v>77</v>
      </c>
      <c r="H36" s="42">
        <v>233212</v>
      </c>
      <c r="I36" s="42">
        <v>233287</v>
      </c>
      <c r="J36" s="30" t="s">
        <v>184</v>
      </c>
      <c r="K36" s="42">
        <v>233491</v>
      </c>
      <c r="L36" s="134" t="s">
        <v>50</v>
      </c>
      <c r="M36" s="135">
        <f t="shared" si="0"/>
        <v>107.712</v>
      </c>
      <c r="N36" s="136" t="str">
        <f>VLOOKUP(C36,'Trips&amp;Operators'!$C$1:$G$99999,5,FALSE)</f>
        <v>THOMPSON LESTER</v>
      </c>
      <c r="O36" s="210" t="s">
        <v>182</v>
      </c>
      <c r="P36" s="137"/>
      <c r="Q36" s="30"/>
      <c r="R36" s="84" t="str">
        <f>VLOOKUP(C36,'Train Runs'!$A$13:$AE$9933,31,0)</f>
        <v>aws s3 cp s3://rtdc.mdm.uploadarchive.raw/RTDC4016/ "%USERPROFILE%\AppData\Local\Temp\OnboardLogs"\RTDC4016\2017-06-07 --exclude "*" --recursive --include "*20170607*" &amp; "%USERPROFILE%\Documents\GitHub\mrs-test-scripts\Headless Mode &amp; Sideloading\WalkAndUnGZ.bat" "%USERPROFILE%\AppData\Local\Temp\OnboardLogs"\RTDC4016\2017-06-07 &amp; 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</v>
      </c>
      <c r="S36" s="87" t="str">
        <f>VLOOKUP(C36,'Train Runs'!$A$13:$AE$9933,22,0)</f>
        <v>https://d0f6bd738d7f1b3e5a7ca70fe4ff75f0.us-east-1.aws.found.io/app/kibana#/discover/Steve-Slow-Train-Analysis-(2080s-and-2083s)?_g=(refreshInterval:(display:Off,pause:!f,section:0,value:0),time:(from:'2017-06-07T03:55:05-0600',mode:absolute,to:'2017-06-07T06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89" t="str">
        <f t="shared" si="1"/>
        <v>"C:\Program Files (x86)\AstroGrep\AstroGrep.exe" /e /r /s /spath="%USERPROFILE%\AppData\Local\Temp\OnboardLogs" /stypes="*4016*201706071*"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4016</v>
      </c>
      <c r="V36" s="31">
        <f t="shared" si="3"/>
        <v>42893.4843287037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{"issue":{"subject":"","project_id":79,"tracker_id":40,"status_id":1,"priority_id":2,"assigned_to_id":23,"start_date":"2017-06-07","description":"","custom_fields":[{"id":1,"name":"Subdivision","value":"EC"},{"id":4,"name":"Milepost","value":"23.3491"},{"id":17,"name":"Train ID","value":"111-07"},{"id":16,"name":"Locomotive ID","value":"4016"},{"id":130,"name":"Impact","value":""},{"id":150,"name":"Time of Event (Mountain Time)","value":"05:37:26"},{"id":151,"name":"Denver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/cygdrive/c/Users/stu/AppData/Local/Temp/OnboardLogs/RTDC4016 --include="*4016*201706071*"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"%USERPROFILE%\AppData\Local\Temp\OnboardLogs"\RTDC4016\*4016*201706071* &gt;&gt; 2017-06-07-SliceDisagreementCheck.txt</v>
      </c>
      <c r="AE36" s="148" t="str">
        <f t="shared" si="9"/>
        <v>start /low /b %USERPROFILE%\Documents\GitHub\eaglep3\Utilities\DownloadLogsFromS3.py --loco 4016 --day 2017-06-07</v>
      </c>
      <c r="AF36" s="1"/>
    </row>
    <row r="37" spans="1:32" x14ac:dyDescent="0.25">
      <c r="A37" s="31">
        <v>42893.525069444448</v>
      </c>
      <c r="B37" s="30" t="s">
        <v>341</v>
      </c>
      <c r="C37" s="30" t="s">
        <v>620</v>
      </c>
      <c r="D37" s="30" t="s">
        <v>49</v>
      </c>
      <c r="E37" s="30" t="s">
        <v>183</v>
      </c>
      <c r="F37" s="42">
        <v>0</v>
      </c>
      <c r="G37" s="42">
        <v>61</v>
      </c>
      <c r="H37" s="42">
        <v>233259</v>
      </c>
      <c r="I37" s="42">
        <v>233321</v>
      </c>
      <c r="J37" s="30" t="s">
        <v>184</v>
      </c>
      <c r="K37" s="42">
        <v>233491</v>
      </c>
      <c r="L37" s="134" t="s">
        <v>50</v>
      </c>
      <c r="M37" s="135">
        <f t="shared" si="0"/>
        <v>89.76</v>
      </c>
      <c r="N37" s="136" t="str">
        <f>VLOOKUP(C37,'Trips&amp;Operators'!$C$1:$G$99999,5,FALSE)</f>
        <v>LEVIN SCOTT</v>
      </c>
      <c r="O37" s="210" t="s">
        <v>182</v>
      </c>
      <c r="P37" s="137"/>
      <c r="Q37" s="30"/>
      <c r="R37" s="84" t="str">
        <f>VLOOKUP(C37,'Train Runs'!$A$13:$AE$9933,31,0)</f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S37" s="87" t="str">
        <f>VLOOKUP(C37,'Train Runs'!$A$13:$AE$9933,22,0)</f>
        <v>https://d0f6bd738d7f1b3e5a7ca70fe4ff75f0.us-east-1.aws.found.io/app/kibana#/discover/Steve-Slow-Train-Analysis-(2080s-and-2083s)?_g=(refreshInterval:(display:Off,pause:!f,section:0,value:0),time:(from:'2017-06-07T10:55:10-0600',mode:absolute,to:'2017-06-07T13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7" s="89" t="str">
        <f t="shared" si="1"/>
        <v>"C:\Program Files (x86)\AstroGrep\AstroGrep.exe" /e /r /s /spath="%USERPROFILE%\AppData\Local\Temp\OnboardLogs" /stypes="*4028*201706071*" /stext=" 18:.+((SYSTEM_STATE.+slice.+state.+changed )|(ment ac)|(multiple cpu faults)|(system.+state.+changed )|(\[timeout)|(PRM\|1\|D)|(kpr)|(kdp)|(train st.+moving)|(\|lc)|(penalty))"</v>
      </c>
      <c r="U37" s="9" t="str">
        <f t="shared" si="2"/>
        <v>4028</v>
      </c>
      <c r="V37" s="31">
        <f t="shared" si="3"/>
        <v>42893.775069444448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{"issue":{"subject":"","project_id":79,"tracker_id":40,"status_id":1,"priority_id":2,"assigned_to_id":23,"start_date":"2017-06-07","description":"","custom_fields":[{"id":1,"name":"Subdivision","value":"EC"},{"id":4,"name":"Milepost","value":"23.3491"},{"id":17,"name":"Train ID","value":"167-07"},{"id":16,"name":"Locomotive ID","value":"4028"},{"id":130,"name":"Impact","value":""},{"id":150,"name":"Time of Event (Mountain Time)","value":"12:36:06"},{"id":151,"name":"Denver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/cygdrive/c/Users/stu/AppData/Local/Temp/OnboardLogs/RTDC4028 --include="*4028*201706071*"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"%USERPROFILE%\AppData\Local\Temp\OnboardLogs"\RTDC4028\*4028*201706071* &gt;&gt; 2017-06-07-SliceDisagreementCheck.txt</v>
      </c>
      <c r="AE37" s="148" t="str">
        <f t="shared" si="9"/>
        <v>start /low /b %USERPROFILE%\Documents\GitHub\eaglep3\Utilities\DownloadLogsFromS3.py --loco 4028 --day 2017-06-07</v>
      </c>
      <c r="AF37" s="1"/>
    </row>
    <row r="38" spans="1:32" x14ac:dyDescent="0.25">
      <c r="A38" s="31">
        <v>42893.627847222226</v>
      </c>
      <c r="B38" s="30" t="s">
        <v>341</v>
      </c>
      <c r="C38" s="30" t="s">
        <v>626</v>
      </c>
      <c r="D38" s="30" t="s">
        <v>49</v>
      </c>
      <c r="E38" s="30" t="s">
        <v>183</v>
      </c>
      <c r="F38" s="42">
        <v>0</v>
      </c>
      <c r="G38" s="42">
        <v>51</v>
      </c>
      <c r="H38" s="42">
        <v>233325</v>
      </c>
      <c r="I38" s="42">
        <v>233385</v>
      </c>
      <c r="J38" s="30" t="s">
        <v>184</v>
      </c>
      <c r="K38" s="42">
        <v>233491</v>
      </c>
      <c r="L38" s="134" t="s">
        <v>50</v>
      </c>
      <c r="M38" s="135">
        <f t="shared" si="0"/>
        <v>55.968000000000004</v>
      </c>
      <c r="N38" s="136" t="str">
        <f>VLOOKUP(C38,'Trips&amp;Operators'!$C$1:$G$99999,5,FALSE)</f>
        <v>LEVIN SCOTT</v>
      </c>
      <c r="O38" s="210" t="s">
        <v>182</v>
      </c>
      <c r="P38" s="137"/>
      <c r="Q38" s="30"/>
      <c r="R38" s="84" t="str">
        <f>VLOOKUP(C38,'Train Runs'!$A$13:$AE$9933,31,0)</f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S38" s="87" t="str">
        <f>VLOOKUP(C38,'Train Runs'!$A$13:$AE$9933,22,0)</f>
        <v>https://d0f6bd738d7f1b3e5a7ca70fe4ff75f0.us-east-1.aws.found.io/app/kibana#/discover/Steve-Slow-Train-Analysis-(2080s-and-2083s)?_g=(refreshInterval:(display:Off,pause:!f,section:0,value:0),time:(from:'2017-06-07T12:54:29-0600',mode:absolute,to:'2017-06-07T16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8" s="89" t="str">
        <f t="shared" si="1"/>
        <v>"C:\Program Files (x86)\AstroGrep\AstroGrep.exe" /e /r /s /spath="%USERPROFILE%\AppData\Local\Temp\OnboardLogs" /stypes="*4028*201706072*" /stext=" 21:.+((SYSTEM_STATE.+slice.+state.+changed )|(ment ac)|(multiple cpu faults)|(system.+state.+changed )|(\[timeout)|(PRM\|1\|D)|(kpr)|(kdp)|(train st.+moving)|(\|lc)|(penalty))"</v>
      </c>
      <c r="U38" s="9" t="str">
        <f t="shared" si="2"/>
        <v>4028</v>
      </c>
      <c r="V38" s="31">
        <f t="shared" si="3"/>
        <v>42893.877847222226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{"issue":{"subject":"","project_id":79,"tracker_id":40,"status_id":1,"priority_id":2,"assigned_to_id":23,"start_date":"2017-06-07","description":"","custom_fields":[{"id":1,"name":"Subdivision","value":"EC"},{"id":4,"name":"Milepost","value":"23.3491"},{"id":17,"name":"Train ID","value":"183-07"},{"id":16,"name":"Locomotive ID","value":"4028"},{"id":130,"name":"Impact","value":""},{"id":150,"name":"Time of Event (Mountain Time)","value":"15:04:06"},{"id":151,"name":"Denver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/cygdrive/c/Users/stu/AppData/Local/Temp/OnboardLogs/RTDC4028 --include="*4028*201706072*"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"%USERPROFILE%\AppData\Local\Temp\OnboardLogs"\RTDC4028\*4028*201706072* &gt;&gt; 2017-06-07-SliceDisagreementCheck.txt</v>
      </c>
      <c r="AE38" s="148" t="str">
        <f t="shared" si="9"/>
        <v>start /low /b %USERPROFILE%\Documents\GitHub\eaglep3\Utilities\DownloadLogsFromS3.py --loco 4028 --day 2017-06-07</v>
      </c>
      <c r="AF38" s="1"/>
    </row>
    <row r="39" spans="1:32" x14ac:dyDescent="0.25">
      <c r="A39" s="31">
        <v>42893.672662037039</v>
      </c>
      <c r="B39" s="30" t="s">
        <v>362</v>
      </c>
      <c r="C39" s="30" t="s">
        <v>629</v>
      </c>
      <c r="D39" s="30" t="s">
        <v>49</v>
      </c>
      <c r="E39" s="30" t="s">
        <v>183</v>
      </c>
      <c r="F39" s="42">
        <v>0</v>
      </c>
      <c r="G39" s="42">
        <v>83</v>
      </c>
      <c r="H39" s="42">
        <v>233200</v>
      </c>
      <c r="I39" s="42">
        <v>233293</v>
      </c>
      <c r="J39" s="30" t="s">
        <v>184</v>
      </c>
      <c r="K39" s="42">
        <v>233491</v>
      </c>
      <c r="L39" s="134" t="s">
        <v>50</v>
      </c>
      <c r="M39" s="135">
        <f t="shared" ref="M39:M70" si="10">CONVERT((I39-K39)/10000,"mi","ft")*IF(L39="Increasing Mileposts (1)",-1,1)</f>
        <v>104.544</v>
      </c>
      <c r="N39" s="136" t="str">
        <f>VLOOKUP(C39,'Trips&amp;Operators'!$C$1:$G$99999,5,FALSE)</f>
        <v>STEWART MICHAEL</v>
      </c>
      <c r="O39" s="210" t="s">
        <v>182</v>
      </c>
      <c r="P39" s="137"/>
      <c r="Q39" s="30"/>
      <c r="R39" s="84" t="str">
        <f>VLOOKUP(C39,'Train Runs'!$A$13:$AE$9933,31,0)</f>
        <v>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 &amp; 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</v>
      </c>
      <c r="S39" s="87" t="str">
        <f>VLOOKUP(C39,'Train Runs'!$A$13:$AE$9933,22,0)</f>
        <v>https://d0f6bd738d7f1b3e5a7ca70fe4ff75f0.us-east-1.aws.found.io/app/kibana#/discover/Steve-Slow-Train-Analysis-(2080s-and-2083s)?_g=(refreshInterval:(display:Off,pause:!f,section:0,value:0),time:(from:'2017-06-07T14:21:11-0600',mode:absolute,to:'2017-06-07T17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9" s="89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/stypes="*4042*201706072*" /stext=" 22:.+((SYSTEM_STATE.+slice.+state.+changed )|(ment ac)|(multiple cpu faults)|(system.+state.+changed )|(\[timeout)|(PRM\|1\|D)|(kpr)|(kdp)|(train st.+moving)|(\|lc)|(penalty))"</v>
      </c>
      <c r="U39" s="9" t="str">
        <f t="shared" ref="U39:U70" si="12">MID(B39,13,4)</f>
        <v>4042</v>
      </c>
      <c r="V39" s="31">
        <f t="shared" ref="V39:V70" si="13">A39-utc_offset/24</f>
        <v>42893.922662037039</v>
      </c>
      <c r="W39" s="45" t="str">
        <f t="shared" ref="W39:W70" si="14">IFERROR(IF(VALUE(LEFT(IF(LEN(C39)=6,"0"&amp;C39,C39),2))&lt;=2,"EC",IF(OR(VALUE(LEFT(IF(LEN(C39)=6,"0"&amp;C39,C39),2))=8,VALUE(LEFT(IF(LEN(C39)=6,"0"&amp;C39,C39),2))=18),"NW","Other")),"Other")</f>
        <v>EC</v>
      </c>
      <c r="X39" s="45" t="str">
        <f t="shared" ref="X39:X70" si="15">IF(AND(E39="TRACK WARRANT AUTHORITY",G39&lt;10),"OMIT","KEEP")</f>
        <v>KEEP</v>
      </c>
      <c r="Y39" s="99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{"issue":{"subject":"","project_id":79,"tracker_id":40,"status_id":1,"priority_id":2,"assigned_to_id":23,"start_date":"2017-06-07","description":"","custom_fields":[{"id":1,"name":"Subdivision","value":"EC"},{"id":4,"name":"Milepost","value":"23.3491"},{"id":17,"name":"Train ID","value":"195-07"},{"id":16,"name":"Locomotive ID","value":"4042"},{"id":130,"name":"Impact","value":""},{"id":150,"name":"Time of Event (Mountain Time)","value":"16:08:38"},{"id":151,"name":"Denver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70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/cygdrive/c/Users/stu/AppData/Local/Temp/OnboardLogs/RTDC4042 --include="*4042*201706072*"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"%USERPROFILE%\AppData\Local\Temp\OnboardLogs"\RTDC4042\*4042*201706072* &gt;&gt; 2017-06-07-SliceDisagreementCheck.txt</v>
      </c>
      <c r="AE39" s="148" t="str">
        <f t="shared" si="9"/>
        <v>start /low /b %USERPROFILE%\Documents\GitHub\eaglep3\Utilities\DownloadLogsFromS3.py --loco 4042 --day 2017-06-07</v>
      </c>
      <c r="AF39" s="1"/>
    </row>
    <row r="40" spans="1:32" x14ac:dyDescent="0.25">
      <c r="A40" s="31">
        <v>42893.705775462964</v>
      </c>
      <c r="B40" s="30" t="s">
        <v>341</v>
      </c>
      <c r="C40" s="30" t="s">
        <v>633</v>
      </c>
      <c r="D40" s="30" t="s">
        <v>49</v>
      </c>
      <c r="E40" s="30" t="s">
        <v>183</v>
      </c>
      <c r="F40" s="42">
        <v>0</v>
      </c>
      <c r="G40" s="42">
        <v>43</v>
      </c>
      <c r="H40" s="42">
        <v>233357</v>
      </c>
      <c r="I40" s="42">
        <v>233387</v>
      </c>
      <c r="J40" s="30" t="s">
        <v>184</v>
      </c>
      <c r="K40" s="42">
        <v>233491</v>
      </c>
      <c r="L40" s="134" t="s">
        <v>50</v>
      </c>
      <c r="M40" s="135">
        <f t="shared" si="10"/>
        <v>54.911999999999999</v>
      </c>
      <c r="N40" s="136" t="str">
        <f>VLOOKUP(C40,'Trips&amp;Operators'!$C$1:$G$99999,5,FALSE)</f>
        <v>LEVIN SCOTT</v>
      </c>
      <c r="O40" s="210" t="s">
        <v>182</v>
      </c>
      <c r="P40" s="137"/>
      <c r="Q40" s="30"/>
      <c r="R40" s="84" t="str">
        <f>VLOOKUP(C40,'Train Runs'!$A$13:$AE$9933,31,0)</f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S40" s="87" t="str">
        <f>VLOOKUP(C40,'Train Runs'!$A$13:$AE$9933,22,0)</f>
        <v>https://d0f6bd738d7f1b3e5a7ca70fe4ff75f0.us-east-1.aws.found.io/app/kibana#/discover/Steve-Slow-Train-Analysis-(2080s-and-2083s)?_g=(refreshInterval:(display:Off,pause:!f,section:0,value:0),time:(from:'2017-06-07T15:04:25-0600',mode:absolute,to:'2017-06-07T17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0" s="89" t="str">
        <f t="shared" si="11"/>
        <v>"C:\Program Files (x86)\AstroGrep\AstroGrep.exe" /e /r /s /spath="%USERPROFILE%\AppData\Local\Temp\OnboardLogs" /stypes="*4028*201706072*" /stext=" 22:.+((SYSTEM_STATE.+slice.+state.+changed )|(ment ac)|(multiple cpu faults)|(system.+state.+changed )|(\[timeout)|(PRM\|1\|D)|(kpr)|(kdp)|(train st.+moving)|(\|lc)|(penalty))"</v>
      </c>
      <c r="U40" s="9" t="str">
        <f t="shared" si="12"/>
        <v>4028</v>
      </c>
      <c r="V40" s="31">
        <f t="shared" si="13"/>
        <v>42893.955775462964</v>
      </c>
      <c r="W40" s="45" t="str">
        <f t="shared" si="14"/>
        <v>EC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{"issue":{"subject":"","project_id":79,"tracker_id":40,"status_id":1,"priority_id":2,"assigned_to_id":23,"start_date":"2017-06-07","description":"","custom_fields":[{"id":1,"name":"Subdivision","value":"EC"},{"id":4,"name":"Milepost","value":"23.3491"},{"id":17,"name":"Train ID","value":"201-07"},{"id":16,"name":"Locomotive ID","value":"4028"},{"id":130,"name":"Impact","value":""},{"id":150,"name":"Time of Event (Mountain Time)","value":"16:56:19"},{"id":151,"name":"Denver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/cygdrive/c/Users/stu/AppData/Local/Temp/OnboardLogs/RTDC4028 --include="*4028*201706072*"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"%USERPROFILE%\AppData\Local\Temp\OnboardLogs"\RTDC4028\*4028*201706072* &gt;&gt; 2017-06-07-SliceDisagreementCheck.txt</v>
      </c>
      <c r="AE40" s="148" t="str">
        <f t="shared" si="9"/>
        <v>start /low /b %USERPROFILE%\Documents\GitHub\eaglep3\Utilities\DownloadLogsFromS3.py --loco 4028 --day 2017-06-07</v>
      </c>
      <c r="AF40" s="1"/>
    </row>
    <row r="41" spans="1:32" x14ac:dyDescent="0.25">
      <c r="A41" s="31">
        <v>42893.776250000003</v>
      </c>
      <c r="B41" s="30" t="s">
        <v>341</v>
      </c>
      <c r="C41" s="30" t="s">
        <v>640</v>
      </c>
      <c r="D41" s="30" t="s">
        <v>49</v>
      </c>
      <c r="E41" s="30" t="s">
        <v>183</v>
      </c>
      <c r="F41" s="42">
        <v>0</v>
      </c>
      <c r="G41" s="42">
        <v>41</v>
      </c>
      <c r="H41" s="42">
        <v>233349</v>
      </c>
      <c r="I41" s="42">
        <v>233395</v>
      </c>
      <c r="J41" s="30" t="s">
        <v>184</v>
      </c>
      <c r="K41" s="42">
        <v>233491</v>
      </c>
      <c r="L41" s="134" t="s">
        <v>50</v>
      </c>
      <c r="M41" s="135">
        <f t="shared" si="10"/>
        <v>50.688000000000002</v>
      </c>
      <c r="N41" s="136" t="str">
        <f>VLOOKUP(C41,'Trips&amp;Operators'!$C$1:$G$99999,5,FALSE)</f>
        <v>LEVIN SCOTT</v>
      </c>
      <c r="O41" s="210" t="s">
        <v>182</v>
      </c>
      <c r="P41" s="137"/>
      <c r="Q41" s="30"/>
      <c r="R41" s="84" t="str">
        <f>VLOOKUP(C41,'Train Runs'!$A$13:$AE$9933,31,0)</f>
        <v>aws s3 cp s3://rtdc.mdm.uploadarchive.raw/RTDC4028/ "%USERPROFILE%\AppData\Local\Temp\OnboardLogs"\RTDC4028\2017-06-07 --exclude "*" --recursive --include "*20170607*" &amp; "%USERPROFILE%\Documents\GitHub\mrs-test-scripts\Headless Mode &amp; Sideloading\WalkAndUnGZ.bat" "%USERPROFILE%\AppData\Local\Temp\OnboardLogs"\RTDC4028\2017-06-07 &amp; aws s3 cp s3://rtdc.mdm.uploadarchive.raw/RTDC4028/ "%USERPROFILE%\AppData\Local\Temp\OnboardLogs"\RTDC4028\2017-06-08 --exclude "*" --recursive --include "*20170608*" &amp; "%USERPROFILE%\Documents\GitHub\mrs-test-scripts\Headless Mode &amp; Sideloading\WalkAndUnGZ.bat" "%USERPROFILE%\AppData\Local\Temp\OnboardLogs"\RTDC4028\2017-06-08</v>
      </c>
      <c r="S41" s="87" t="str">
        <f>VLOOKUP(C41,'Train Runs'!$A$13:$AE$9933,22,0)</f>
        <v>https://d0f6bd738d7f1b3e5a7ca70fe4ff75f0.us-east-1.aws.found.io/app/kibana#/discover/Steve-Slow-Train-Analysis-(2080s-and-2083s)?_g=(refreshInterval:(display:Off,pause:!f,section:0,value:0),time:(from:'2017-06-07T16:57:32-0600',mode:absolute,to:'2017-06-07T19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1" s="89" t="str">
        <f t="shared" si="11"/>
        <v>"C:\Program Files (x86)\AstroGrep\AstroGrep.exe" /e /r /s /spath="%USERPROFILE%\AppData\Local\Temp\OnboardLogs" /stypes="*4028*201706080*" /stext=" 00:.+((SYSTEM_STATE.+slice.+state.+changed )|(ment ac)|(multiple cpu faults)|(system.+state.+changed )|(\[timeout)|(PRM\|1\|D)|(kpr)|(kdp)|(train st.+moving)|(\|lc)|(penalty))"</v>
      </c>
      <c r="U41" s="9" t="str">
        <f t="shared" si="12"/>
        <v>4028</v>
      </c>
      <c r="V41" s="31">
        <f t="shared" si="13"/>
        <v>42894.026250000003</v>
      </c>
      <c r="W41" s="45" t="str">
        <f t="shared" si="14"/>
        <v>EC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{"issue":{"subject":"","project_id":79,"tracker_id":40,"status_id":1,"priority_id":2,"assigned_to_id":23,"start_date":"2017-06-07","description":"","custom_fields":[{"id":1,"name":"Subdivision","value":"EC"},{"id":4,"name":"Milepost","value":"23.3491"},{"id":17,"name":"Train ID","value":"215-07"},{"id":16,"name":"Locomotive ID","value":"4028"},{"id":130,"name":"Impact","value":""},{"id":150,"name":"Time of Event (Mountain Time)","value":"18:37:48"},{"id":151,"name":"Denver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/cygdrive/c/Users/stu/AppData/Local/Temp/OnboardLogs/RTDC4028 --include="*4028*201706080*"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"%USERPROFILE%\AppData\Local\Temp\OnboardLogs"\RTDC4028\*4028*201706080* &gt;&gt; 2017-06-07-SliceDisagreementCheck.txt</v>
      </c>
      <c r="AE41" s="148" t="str">
        <f t="shared" si="9"/>
        <v>start /low /b %USERPROFILE%\Documents\GitHub\eaglep3\Utilities\DownloadLogsFromS3.py --loco 4028 --day 2017-06-08</v>
      </c>
      <c r="AF41" s="1"/>
    </row>
    <row r="42" spans="1:32" x14ac:dyDescent="0.25">
      <c r="A42" s="31">
        <v>42893.33053240741</v>
      </c>
      <c r="B42" s="30" t="s">
        <v>507</v>
      </c>
      <c r="C42" s="30" t="s">
        <v>609</v>
      </c>
      <c r="D42" s="30" t="s">
        <v>98</v>
      </c>
      <c r="E42" s="30" t="s">
        <v>202</v>
      </c>
      <c r="F42" s="42">
        <v>300</v>
      </c>
      <c r="G42" s="42">
        <v>354</v>
      </c>
      <c r="H42" s="42">
        <v>21325</v>
      </c>
      <c r="I42" s="42">
        <v>22217</v>
      </c>
      <c r="J42" s="30" t="s">
        <v>203</v>
      </c>
      <c r="K42" s="42">
        <v>21299</v>
      </c>
      <c r="L42" s="134" t="s">
        <v>50</v>
      </c>
      <c r="M42" s="135">
        <f t="shared" si="10"/>
        <v>-484.70400000000001</v>
      </c>
      <c r="N42" s="136" t="str">
        <f>VLOOKUP(C42,'Trips&amp;Operators'!$C$1:$G$99999,5,FALSE)</f>
        <v>MACDONALD THOMAS</v>
      </c>
      <c r="O42" s="210" t="s">
        <v>182</v>
      </c>
      <c r="P42" s="137"/>
      <c r="Q42" s="30"/>
      <c r="R42" s="84" t="str">
        <f>VLOOKUP(C42,'Train Runs'!$A$13:$AE$9933,31,0)</f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S42" s="87" t="str">
        <f>VLOOKUP(C42,'Train Runs'!$A$13:$AE$9933,22,0)</f>
        <v>https://d0f6bd738d7f1b3e5a7ca70fe4ff75f0.us-east-1.aws.found.io/app/kibana#/discover/Steve-Slow-Train-Analysis-(2080s-and-2083s)?_g=(refreshInterval:(display:Off,pause:!f,section:0,value:0),time:(from:'2017-06-07T06:26:44-0600',mode:absolute,to:'2017-06-07T09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2" s="89" t="str">
        <f t="shared" si="11"/>
        <v>"C:\Program Files (x86)\AstroGrep\AstroGrep.exe" /e /r /s /spath="%USERPROFILE%\AppData\Local\Temp\OnboardLogs" /stypes="*4062*201706071*" /stext=" 13:.+((SYSTEM_STATE.+slice.+state.+changed )|(ment ac)|(multiple cpu faults)|(system.+state.+changed )|(\[timeout)|(PRM\|1\|D)|(kpr)|(kdp)|(train st.+moving)|(\|lc)|(penalty))"</v>
      </c>
      <c r="U42" s="9" t="str">
        <f t="shared" si="12"/>
        <v>4062</v>
      </c>
      <c r="V42" s="31">
        <f t="shared" si="13"/>
        <v>42893.58053240741</v>
      </c>
      <c r="W42" s="45" t="str">
        <f t="shared" si="14"/>
        <v>NW</v>
      </c>
      <c r="X42" s="45" t="str">
        <f t="shared" si="15"/>
        <v>KEEP</v>
      </c>
      <c r="Y42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{"issue":{"subject":"","project_id":79,"tracker_id":40,"status_id":1,"priority_id":2,"assigned_to_id":23,"start_date":"2017-06-07","description":"","custom_fields":[{"id":1,"name":"Subdivision","value":"NW"},{"id":4,"name":"Milepost","value":"2.1299"},{"id":17,"name":"Train ID","value":"809-07"},{"id":16,"name":"Locomotive ID","value":"4062"},{"id":130,"name":"Impact","value":""},{"id":150,"name":"Time of Event (Mountain Time)","value":"07:55:58"},{"id":151,"name":"Denver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/cygdrive/c/Users/stu/AppData/Local/Temp/OnboardLogs/RTDC4062 --include="*4062*201706071*"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"%USERPROFILE%\AppData\Local\Temp\OnboardLogs"\RTDC4062\*4062*201706071* &gt;&gt; 2017-06-07-SliceDisagreementCheck.txt</v>
      </c>
      <c r="AE42" s="148" t="str">
        <f t="shared" si="9"/>
        <v>start /low /b %USERPROFILE%\Documents\GitHub\eaglep3\Utilities\DownloadLogsFromS3.py --loco 4062 --day 2017-06-07</v>
      </c>
      <c r="AF42" s="1"/>
    </row>
    <row r="43" spans="1:32" x14ac:dyDescent="0.25">
      <c r="A43" s="31">
        <v>42893.747939814813</v>
      </c>
      <c r="B43" s="30" t="s">
        <v>507</v>
      </c>
      <c r="C43" s="30" t="s">
        <v>636</v>
      </c>
      <c r="D43" s="30" t="s">
        <v>49</v>
      </c>
      <c r="E43" s="30" t="s">
        <v>202</v>
      </c>
      <c r="F43" s="42">
        <v>300</v>
      </c>
      <c r="G43" s="42">
        <v>354</v>
      </c>
      <c r="H43" s="42">
        <v>20774</v>
      </c>
      <c r="I43" s="42">
        <v>21755</v>
      </c>
      <c r="J43" s="30" t="s">
        <v>203</v>
      </c>
      <c r="K43" s="42">
        <v>21299</v>
      </c>
      <c r="L43" s="134" t="s">
        <v>50</v>
      </c>
      <c r="M43" s="135">
        <f t="shared" si="10"/>
        <v>-240.768</v>
      </c>
      <c r="N43" s="136" t="str">
        <f>VLOOKUP(C43,'Trips&amp;Operators'!$C$1:$G$99999,5,FALSE)</f>
        <v>STAMBAUGH JAMES</v>
      </c>
      <c r="O43" s="210" t="s">
        <v>182</v>
      </c>
      <c r="P43" s="137"/>
      <c r="Q43" s="30"/>
      <c r="R43" s="84" t="str">
        <f>VLOOKUP(C43,'Train Runs'!$A$13:$AE$9933,31,0)</f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S43" s="87" t="str">
        <f>VLOOKUP(C43,'Train Runs'!$A$13:$AE$9933,22,0)</f>
        <v>https://d0f6bd738d7f1b3e5a7ca70fe4ff75f0.us-east-1.aws.found.io/app/kibana#/discover/Steve-Slow-Train-Analysis-(2080s-and-2083s)?_g=(refreshInterval:(display:Off,pause:!f,section:0,value:0),time:(from:'2017-06-07T16:28:57-0600',mode:absolute,to:'2017-06-07T19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3" s="89" t="str">
        <f t="shared" si="11"/>
        <v>"C:\Program Files (x86)\AstroGrep\AstroGrep.exe" /e /r /s /spath="%USERPROFILE%\AppData\Local\Temp\OnboardLogs" /stypes="*4062*201706072*" /stext=" 23:.+((SYSTEM_STATE.+slice.+state.+changed )|(ment ac)|(multiple cpu faults)|(system.+state.+changed )|(\[timeout)|(PRM\|1\|D)|(kpr)|(kdp)|(train st.+moving)|(\|lc)|(penalty))"</v>
      </c>
      <c r="U43" s="9" t="str">
        <f t="shared" si="12"/>
        <v>4062</v>
      </c>
      <c r="V43" s="31">
        <f t="shared" si="13"/>
        <v>42893.997939814813</v>
      </c>
      <c r="W43" s="45" t="str">
        <f t="shared" si="14"/>
        <v>NW</v>
      </c>
      <c r="X43" s="45" t="str">
        <f t="shared" si="15"/>
        <v>KEEP</v>
      </c>
      <c r="Y43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{"issue":{"subject":"","project_id":79,"tracker_id":40,"status_id":1,"priority_id":2,"assigned_to_id":23,"start_date":"2017-06-07","description":"","custom_fields":[{"id":1,"name":"Subdivision","value":"NW"},{"id":4,"name":"Milepost","value":"2.1299"},{"id":17,"name":"Train ID","value":"835-07"},{"id":16,"name":"Locomotive ID","value":"4062"},{"id":130,"name":"Impact","value":""},{"id":150,"name":"Time of Event (Mountain Time)","value":"17:57:02"},{"id":151,"name":"Denver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/cygdrive/c/Users/stu/AppData/Local/Temp/OnboardLogs/RTDC4062 --include="*4062*201706072*"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"%USERPROFILE%\AppData\Local\Temp\OnboardLogs"\RTDC4062\*4062*201706072* &gt;&gt; 2017-06-07-SliceDisagreementCheck.txt</v>
      </c>
      <c r="AE43" s="148" t="str">
        <f t="shared" si="9"/>
        <v>start /low /b %USERPROFILE%\Documents\GitHub\eaglep3\Utilities\DownloadLogsFromS3.py --loco 4062 --day 2017-06-07</v>
      </c>
      <c r="AF43" s="1"/>
    </row>
    <row r="44" spans="1:32" x14ac:dyDescent="0.25">
      <c r="A44" s="31">
        <v>42893.908715277779</v>
      </c>
      <c r="B44" s="30" t="s">
        <v>606</v>
      </c>
      <c r="C44" s="30" t="s">
        <v>648</v>
      </c>
      <c r="D44" s="30" t="s">
        <v>49</v>
      </c>
      <c r="E44" s="30" t="s">
        <v>202</v>
      </c>
      <c r="F44" s="42">
        <v>300</v>
      </c>
      <c r="G44" s="42">
        <v>532</v>
      </c>
      <c r="H44" s="42">
        <v>26222</v>
      </c>
      <c r="I44" s="42">
        <v>24569</v>
      </c>
      <c r="J44" s="30" t="s">
        <v>203</v>
      </c>
      <c r="K44" s="42">
        <v>23561</v>
      </c>
      <c r="L44" s="134" t="s">
        <v>51</v>
      </c>
      <c r="M44" s="135">
        <f t="shared" si="10"/>
        <v>532.22400000000005</v>
      </c>
      <c r="N44" s="136" t="str">
        <f>VLOOKUP(C44,'Trips&amp;Operators'!$C$1:$G$99999,5,FALSE)</f>
        <v>STAMBAUGH JAMES</v>
      </c>
      <c r="O44" s="210" t="s">
        <v>182</v>
      </c>
      <c r="P44" s="137"/>
      <c r="Q44" s="30"/>
      <c r="R44" s="84" t="str">
        <f>VLOOKUP(C44,'Train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44" s="87" t="str">
        <f>VLOOKUP(C44,'Train Runs'!$A$13:$AE$9933,22,0)</f>
        <v>https://d0f6bd738d7f1b3e5a7ca70fe4ff75f0.us-east-1.aws.found.io/app/kibana#/discover/Steve-Slow-Train-Analysis-(2080s-and-2083s)?_g=(refreshInterval:(display:Off,pause:!f,section:0,value:0),time:(from:'2017-06-07T20:37:36-0600',mode:absolute,to:'2017-06-07T22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4" s="89" t="str">
        <f t="shared" si="11"/>
        <v>"C:\Program Files (x86)\AstroGrep\AstroGrep.exe" /e /r /s /spath="%USERPROFILE%\AppData\Local\Temp\OnboardLogs" /stypes="*4009*201706080*" /stext=" 03:.+((SYSTEM_STATE.+slice.+state.+changed )|(ment ac)|(multiple cpu faults)|(system.+state.+changed )|(\[timeout)|(PRM\|1\|D)|(kpr)|(kdp)|(train st.+moving)|(\|lc)|(penalty))"</v>
      </c>
      <c r="U44" s="9" t="str">
        <f t="shared" si="12"/>
        <v>4009</v>
      </c>
      <c r="V44" s="31">
        <f t="shared" si="13"/>
        <v>42894.158715277779</v>
      </c>
      <c r="W44" s="45" t="str">
        <f t="shared" si="14"/>
        <v>NW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{"issue":{"subject":"","project_id":79,"tracker_id":40,"status_id":1,"priority_id":2,"assigned_to_id":23,"start_date":"2017-06-07","description":"","custom_fields":[{"id":1,"name":"Subdivision","value":"NW"},{"id":4,"name":"Milepost","value":"2.3561"},{"id":17,"name":"Train ID","value":"844-07"},{"id":16,"name":"Locomotive ID","value":"4009"},{"id":130,"name":"Impact","value":""},{"id":150,"name":"Time of Event (Mountain Time)","value":"21:48:33"},{"id":151,"name":"Denver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/cygdrive/c/Users/stu/AppData/Local/Temp/OnboardLogs/RTDC4009 --include="*4009*201706080*"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"%USERPROFILE%\AppData\Local\Temp\OnboardLogs"\RTDC4009\*4009*201706080* &gt;&gt; 2017-06-07-SliceDisagreementCheck.txt</v>
      </c>
      <c r="AE44" s="148" t="str">
        <f t="shared" si="9"/>
        <v>start /low /b %USERPROFILE%\Documents\GitHub\eaglep3\Utilities\DownloadLogsFromS3.py --loco 4009 --day 2017-06-08</v>
      </c>
      <c r="AF44" s="1"/>
    </row>
    <row r="45" spans="1:32" x14ac:dyDescent="0.25">
      <c r="A45" s="31">
        <v>42893.218715277777</v>
      </c>
      <c r="B45" s="30" t="s">
        <v>596</v>
      </c>
      <c r="C45" s="30" t="s">
        <v>597</v>
      </c>
      <c r="D45" s="30" t="s">
        <v>98</v>
      </c>
      <c r="E45" s="30" t="s">
        <v>202</v>
      </c>
      <c r="F45" s="42">
        <v>400</v>
      </c>
      <c r="G45" s="42">
        <v>450</v>
      </c>
      <c r="H45" s="42">
        <v>48187</v>
      </c>
      <c r="I45" s="42">
        <v>46893</v>
      </c>
      <c r="J45" s="30" t="s">
        <v>203</v>
      </c>
      <c r="K45" s="42">
        <v>49775</v>
      </c>
      <c r="L45" s="134" t="s">
        <v>51</v>
      </c>
      <c r="M45" s="135">
        <f t="shared" si="10"/>
        <v>-1521.6959999999999</v>
      </c>
      <c r="N45" s="136" t="str">
        <f>VLOOKUP(C45,'Trips&amp;Operators'!$C$1:$G$99999,5,FALSE)</f>
        <v>MACDONALD THOMAS</v>
      </c>
      <c r="O45" s="210" t="s">
        <v>182</v>
      </c>
      <c r="P45" s="137"/>
      <c r="Q45" s="30"/>
      <c r="R45" s="84" t="str">
        <f>VLOOKUP(C45,'Train Runs'!$A$13:$AE$9933,31,0)</f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S45" s="87" t="str">
        <f>VLOOKUP(C45,'Train Runs'!$A$13:$AE$9933,22,0)</f>
        <v>https://d0f6bd738d7f1b3e5a7ca70fe4ff75f0.us-east-1.aws.found.io/app/kibana#/discover/Steve-Slow-Train-Analysis-(2080s-and-2083s)?_g=(refreshInterval:(display:Off,pause:!f,section:0,value:0),time:(from:'2017-06-07T04:08:37-0600',mode:absolute,to:'2017-06-07T06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5" s="89" t="str">
        <f t="shared" si="11"/>
        <v>"C:\Program Files (x86)\AstroGrep\AstroGrep.exe" /e /r /s /spath="%USERPROFILE%\AppData\Local\Temp\OnboardLogs" /stypes="*4061*201706071*" /stext=" 11:.+((SYSTEM_STATE.+slice.+state.+changed )|(ment ac)|(multiple cpu faults)|(system.+state.+changed )|(\[timeout)|(PRM\|1\|D)|(kpr)|(kdp)|(train st.+moving)|(\|lc)|(penalty))"</v>
      </c>
      <c r="U45" s="9" t="str">
        <f t="shared" si="12"/>
        <v>4061</v>
      </c>
      <c r="V45" s="31">
        <f t="shared" si="13"/>
        <v>42893.468715277777</v>
      </c>
      <c r="W45" s="45" t="str">
        <f t="shared" si="14"/>
        <v>NW</v>
      </c>
      <c r="X45" s="45" t="str">
        <f t="shared" si="15"/>
        <v>KEEP</v>
      </c>
      <c r="Y45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{"issue":{"subject":"","project_id":79,"tracker_id":40,"status_id":1,"priority_id":2,"assigned_to_id":23,"start_date":"2017-06-07","description":"","custom_fields":[{"id":1,"name":"Subdivision","value":"NW"},{"id":4,"name":"Milepost","value":"4.9775"},{"id":17,"name":"Train ID","value":"800-07"},{"id":16,"name":"Locomotive ID","value":"4061"},{"id":130,"name":"Impact","value":""},{"id":150,"name":"Time of Event (Mountain Time)","value":"05:14:57"},{"id":151,"name":"Denver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/cygdrive/c/Users/stu/AppData/Local/Temp/OnboardLogs/RTDC4061 --include="*4061*201706071*"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"%USERPROFILE%\AppData\Local\Temp\OnboardLogs"\RTDC4061\*4061*201706071* &gt;&gt; 2017-06-07-SliceDisagreementCheck.txt</v>
      </c>
      <c r="AE45" s="148" t="str">
        <f t="shared" si="9"/>
        <v>start /low /b %USERPROFILE%\Documents\GitHub\eaglep3\Utilities\DownloadLogsFromS3.py --loco 4061 --day 2017-06-07</v>
      </c>
      <c r="AF45" s="1"/>
    </row>
    <row r="46" spans="1:32" x14ac:dyDescent="0.25">
      <c r="A46" s="31">
        <v>42893.251504629632</v>
      </c>
      <c r="B46" s="30" t="s">
        <v>507</v>
      </c>
      <c r="C46" s="30" t="s">
        <v>600</v>
      </c>
      <c r="D46" s="30" t="s">
        <v>49</v>
      </c>
      <c r="E46" s="30" t="s">
        <v>202</v>
      </c>
      <c r="F46" s="42">
        <v>150</v>
      </c>
      <c r="G46" s="42">
        <v>319</v>
      </c>
      <c r="H46" s="42">
        <v>55549</v>
      </c>
      <c r="I46" s="42">
        <v>56287</v>
      </c>
      <c r="J46" s="30" t="s">
        <v>203</v>
      </c>
      <c r="K46" s="42">
        <v>57008</v>
      </c>
      <c r="L46" s="134" t="s">
        <v>50</v>
      </c>
      <c r="M46" s="135">
        <f t="shared" si="10"/>
        <v>380.68799999999999</v>
      </c>
      <c r="N46" s="136" t="str">
        <f>VLOOKUP(C46,'Trips&amp;Operators'!$C$1:$G$99999,5,FALSE)</f>
        <v>MACDONALD THOMAS</v>
      </c>
      <c r="O46" s="210" t="s">
        <v>182</v>
      </c>
      <c r="P46" s="137"/>
      <c r="Q46" s="30"/>
      <c r="R46" s="84" t="str">
        <f>VLOOKUP(C46,'Train Runs'!$A$13:$AE$9933,31,0)</f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S46" s="87" t="str">
        <f>VLOOKUP(C46,'Train Runs'!$A$13:$AE$9933,22,0)</f>
        <v>https://d0f6bd738d7f1b3e5a7ca70fe4ff75f0.us-east-1.aws.found.io/app/kibana#/discover/Steve-Slow-Train-Analysis-(2080s-and-2083s)?_g=(refreshInterval:(display:Off,pause:!f,section:0,value:0),time:(from:'2017-06-07T04:26:47-0600',mode:absolute,to:'2017-06-07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6" s="89" t="str">
        <f t="shared" si="11"/>
        <v>"C:\Program Files (x86)\AstroGrep\AstroGrep.exe" /e /r /s /spath="%USERPROFILE%\AppData\Local\Temp\OnboardLogs" /stypes="*4062*201706071*" /stext=" 12:.+((SYSTEM_STATE.+slice.+state.+changed )|(ment ac)|(multiple cpu faults)|(system.+state.+changed )|(\[timeout)|(PRM\|1\|D)|(kpr)|(kdp)|(train st.+moving)|(\|lc)|(penalty))"</v>
      </c>
      <c r="U46" s="9" t="str">
        <f t="shared" si="12"/>
        <v>4062</v>
      </c>
      <c r="V46" s="31">
        <f t="shared" si="13"/>
        <v>42893.501504629632</v>
      </c>
      <c r="W46" s="45" t="str">
        <f t="shared" si="14"/>
        <v>NW</v>
      </c>
      <c r="X46" s="45" t="str">
        <f t="shared" si="15"/>
        <v>KEEP</v>
      </c>
      <c r="Y46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{"issue":{"subject":"","project_id":79,"tracker_id":40,"status_id":1,"priority_id":2,"assigned_to_id":23,"start_date":"2017-06-07","description":"","custom_fields":[{"id":1,"name":"Subdivision","value":"NW"},{"id":4,"name":"Milepost","value":"5.7008"},{"id":17,"name":"Train ID","value":"801-07"},{"id":16,"name":"Locomotive ID","value":"4062"},{"id":130,"name":"Impact","value":""},{"id":150,"name":"Time of Event (Mountain Time)","value":"06:02:10"},{"id":151,"name":"Denver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/cygdrive/c/Users/stu/AppData/Local/Temp/OnboardLogs/RTDC4062 --include="*4062*201706071*"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"%USERPROFILE%\AppData\Local\Temp\OnboardLogs"\RTDC4062\*4062*201706071* &gt;&gt; 2017-06-07-SliceDisagreementCheck.txt</v>
      </c>
      <c r="AE46" s="148" t="str">
        <f t="shared" si="9"/>
        <v>start /low /b %USERPROFILE%\Documents\GitHub\eaglep3\Utilities\DownloadLogsFromS3.py --loco 4062 --day 2017-06-07</v>
      </c>
      <c r="AF46" s="1"/>
    </row>
    <row r="47" spans="1:32" x14ac:dyDescent="0.25">
      <c r="A47" s="31">
        <v>42893.745439814818</v>
      </c>
      <c r="B47" s="30" t="s">
        <v>606</v>
      </c>
      <c r="C47" s="30" t="s">
        <v>635</v>
      </c>
      <c r="D47" s="30" t="s">
        <v>49</v>
      </c>
      <c r="E47" s="30" t="s">
        <v>366</v>
      </c>
      <c r="F47" s="42">
        <v>0</v>
      </c>
      <c r="G47" s="42">
        <v>97</v>
      </c>
      <c r="H47" s="42">
        <v>5137</v>
      </c>
      <c r="I47" s="42">
        <v>5069</v>
      </c>
      <c r="J47" s="30" t="s">
        <v>367</v>
      </c>
      <c r="K47" s="42">
        <v>4790</v>
      </c>
      <c r="L47" s="134" t="s">
        <v>51</v>
      </c>
      <c r="M47" s="135">
        <f t="shared" si="10"/>
        <v>147.31200000000001</v>
      </c>
      <c r="N47" s="136" t="str">
        <f>VLOOKUP(C47,'Trips&amp;Operators'!$C$1:$G$99999,5,FALSE)</f>
        <v>LOPES KIMBERLY</v>
      </c>
      <c r="O47" s="210" t="s">
        <v>182</v>
      </c>
      <c r="P47" s="137" t="s">
        <v>1043</v>
      </c>
      <c r="Q47" s="30"/>
      <c r="R47" s="84" t="str">
        <f>VLOOKUP(C47,'Train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47" s="87" t="str">
        <f>VLOOKUP(C47,'Train Runs'!$A$13:$AE$9933,22,0)</f>
        <v>https://d0f6bd738d7f1b3e5a7ca70fe4ff75f0.us-east-1.aws.found.io/app/kibana#/discover/Steve-Slow-Train-Analysis-(2080s-and-2083s)?_g=(refreshInterval:(display:Off,pause:!f,section:0,value:0),time:(from:'2017-06-07T16:38:18-0600',mode:absolute,to:'2017-06-07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7" s="89" t="str">
        <f t="shared" si="11"/>
        <v>"C:\Program Files (x86)\AstroGrep\AstroGrep.exe" /e /r /s /spath="%USERPROFILE%\AppData\Local\Temp\OnboardLogs" /stypes="*4009*201706072*" /stext=" 23:.+((SYSTEM_STATE.+slice.+state.+changed )|(ment ac)|(multiple cpu faults)|(system.+state.+changed )|(\[timeout)|(PRM\|1\|D)|(kpr)|(kdp)|(train st.+moving)|(\|lc)|(penalty))"</v>
      </c>
      <c r="U47" s="9" t="str">
        <f t="shared" si="12"/>
        <v>4009</v>
      </c>
      <c r="V47" s="31">
        <f t="shared" si="13"/>
        <v>42893.995439814818</v>
      </c>
      <c r="W47" s="45" t="str">
        <f t="shared" si="14"/>
        <v>NW</v>
      </c>
      <c r="X47" s="45" t="str">
        <f t="shared" si="15"/>
        <v>KEEP</v>
      </c>
      <c r="Y47" s="99" t="str">
        <f t="shared" si="16"/>
        <v>echo {"issue":{"subject":"DUS 28S RESTRICTING, cleared after","project_id":79,"tracker_id":40,"status_id":1,"priority_id":2,"assigned_to_id":23,"start_date":"2017-06-07","description":"","custom_fields":[{"id":1,"name":"Subdivision","value":"NW"},{"id":4,"name":"Milepost","value":"0.479"},{"id":17,"name":"Train ID","value":"834-07"},{"id":16,"name":"Locomotive ID","value":"4009"},{"id":130,"name":"Impact","value":""},{"id":150,"name":"Time of Event (Mountain Time)","value":"17:53:26"},{"id":151,"name":"Denver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/cygdrive/c/Users/stu/AppData/Local/Temp/OnboardLogs/RTDC4009 --include="*4009*201706072*"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"%USERPROFILE%\AppData\Local\Temp\OnboardLogs"\RTDC4009\*4009*201706072* &gt;&gt; 2017-06-07-SliceDisagreementCheck.txt</v>
      </c>
      <c r="AE47" s="148" t="str">
        <f t="shared" si="9"/>
        <v>start /low /b %USERPROFILE%\Documents\GitHub\eaglep3\Utilities\DownloadLogsFromS3.py --loco 4009 --day 2017-06-07</v>
      </c>
      <c r="AF47" s="1"/>
    </row>
    <row r="48" spans="1:32" x14ac:dyDescent="0.25">
      <c r="A48" s="31">
        <v>42893.743946759256</v>
      </c>
      <c r="B48" s="30" t="s">
        <v>606</v>
      </c>
      <c r="C48" s="30" t="s">
        <v>635</v>
      </c>
      <c r="D48" s="30" t="s">
        <v>49</v>
      </c>
      <c r="E48" s="30" t="s">
        <v>366</v>
      </c>
      <c r="F48" s="42">
        <v>0</v>
      </c>
      <c r="G48" s="42">
        <v>344</v>
      </c>
      <c r="H48" s="42">
        <v>9085</v>
      </c>
      <c r="I48" s="42">
        <v>8380</v>
      </c>
      <c r="J48" s="30" t="s">
        <v>367</v>
      </c>
      <c r="K48" s="42">
        <v>6799</v>
      </c>
      <c r="L48" s="134" t="s">
        <v>51</v>
      </c>
      <c r="M48" s="135">
        <f t="shared" si="10"/>
        <v>834.76800000000003</v>
      </c>
      <c r="N48" s="136" t="str">
        <f>VLOOKUP(C48,'Trips&amp;Operators'!$C$1:$G$99999,5,FALSE)</f>
        <v>LOPES KIMBERLY</v>
      </c>
      <c r="O48" s="210" t="s">
        <v>182</v>
      </c>
      <c r="P48" s="137" t="s">
        <v>1044</v>
      </c>
      <c r="Q48" s="30"/>
      <c r="R48" s="84" t="str">
        <f>VLOOKUP(C48,'Train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48" s="87" t="str">
        <f>VLOOKUP(C48,'Train Runs'!$A$13:$AE$9933,22,0)</f>
        <v>https://d0f6bd738d7f1b3e5a7ca70fe4ff75f0.us-east-1.aws.found.io/app/kibana#/discover/Steve-Slow-Train-Analysis-(2080s-and-2083s)?_g=(refreshInterval:(display:Off,pause:!f,section:0,value:0),time:(from:'2017-06-07T16:38:18-0600',mode:absolute,to:'2017-06-07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8" s="89" t="str">
        <f t="shared" si="11"/>
        <v>"C:\Program Files (x86)\AstroGrep\AstroGrep.exe" /e /r /s /spath="%USERPROFILE%\AppData\Local\Temp\OnboardLogs" /stypes="*4009*201706072*" /stext=" 23:.+((SYSTEM_STATE.+slice.+state.+changed )|(ment ac)|(multiple cpu faults)|(system.+state.+changed )|(\[timeout)|(PRM\|1\|D)|(kpr)|(kdp)|(train st.+moving)|(\|lc)|(penalty))"</v>
      </c>
      <c r="U48" s="9" t="str">
        <f t="shared" si="12"/>
        <v>4009</v>
      </c>
      <c r="V48" s="31">
        <f t="shared" si="13"/>
        <v>42893.993946759256</v>
      </c>
      <c r="W48" s="45" t="str">
        <f t="shared" si="14"/>
        <v>NW</v>
      </c>
      <c r="X48" s="45" t="str">
        <f t="shared" si="15"/>
        <v>KEEP</v>
      </c>
      <c r="Y48" s="99" t="str">
        <f t="shared" si="16"/>
        <v>echo {"issue":{"subject":"NW0070RH 7-1T 1S RESTRICTING, cleared afterward","project_id":79,"tracker_id":40,"status_id":1,"priority_id":2,"assigned_to_id":23,"start_date":"2017-06-07","description":"","custom_fields":[{"id":1,"name":"Subdivision","value":"NW"},{"id":4,"name":"Milepost","value":"0.6799"},{"id":17,"name":"Train ID","value":"834-07"},{"id":16,"name":"Locomotive ID","value":"4009"},{"id":130,"name":"Impact","value":""},{"id":150,"name":"Time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/cygdrive/c/Users/stu/AppData/Local/Temp/OnboardLogs/RTDC4009 --include="*4009*201706072*"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"%USERPROFILE%\AppData\Local\Temp\OnboardLogs"\RTDC4009\*4009*201706072* &gt;&gt; 2017-06-07-SliceDisagreementCheck.txt</v>
      </c>
      <c r="AE48" s="148" t="str">
        <f t="shared" si="9"/>
        <v>start /low /b %USERPROFILE%\Documents\GitHub\eaglep3\Utilities\DownloadLogsFromS3.py --loco 4009 --day 2017-06-07</v>
      </c>
      <c r="AF48" s="1"/>
    </row>
    <row r="49" spans="1:32" x14ac:dyDescent="0.25">
      <c r="A49" s="31">
        <v>42893.332141203704</v>
      </c>
      <c r="B49" s="30" t="s">
        <v>507</v>
      </c>
      <c r="C49" s="30" t="s">
        <v>609</v>
      </c>
      <c r="D49" s="30" t="s">
        <v>49</v>
      </c>
      <c r="E49" s="30" t="s">
        <v>366</v>
      </c>
      <c r="F49" s="42">
        <v>0</v>
      </c>
      <c r="G49" s="42">
        <v>343</v>
      </c>
      <c r="H49" s="42">
        <v>33978</v>
      </c>
      <c r="I49" s="42">
        <v>34633</v>
      </c>
      <c r="J49" s="30" t="s">
        <v>367</v>
      </c>
      <c r="K49" s="42">
        <v>34583</v>
      </c>
      <c r="L49" s="134" t="s">
        <v>50</v>
      </c>
      <c r="M49" s="135">
        <f t="shared" si="10"/>
        <v>-26.4</v>
      </c>
      <c r="N49" s="136" t="str">
        <f>VLOOKUP(C49,'Trips&amp;Operators'!$C$1:$G$99999,5,FALSE)</f>
        <v>MACDONALD THOMAS</v>
      </c>
      <c r="O49" s="210" t="s">
        <v>417</v>
      </c>
      <c r="P49" s="137" t="s">
        <v>418</v>
      </c>
      <c r="Q49" s="30"/>
      <c r="R49" s="84" t="str">
        <f>VLOOKUP(C49,'Train Runs'!$A$13:$AE$9933,31,0)</f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S49" s="87" t="str">
        <f>VLOOKUP(C49,'Train Runs'!$A$13:$AE$9933,22,0)</f>
        <v>https://d0f6bd738d7f1b3e5a7ca70fe4ff75f0.us-east-1.aws.found.io/app/kibana#/discover/Steve-Slow-Train-Analysis-(2080s-and-2083s)?_g=(refreshInterval:(display:Off,pause:!f,section:0,value:0),time:(from:'2017-06-07T06:26:44-0600',mode:absolute,to:'2017-06-07T09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9" s="89" t="str">
        <f t="shared" si="11"/>
        <v>"C:\Program Files (x86)\AstroGrep\AstroGrep.exe" /e /r /s /spath="%USERPROFILE%\AppData\Local\Temp\OnboardLogs" /stypes="*4062*201706071*" /stext=" 13:.+((SYSTEM_STATE.+slice.+state.+changed )|(ment ac)|(multiple cpu faults)|(system.+state.+changed )|(\[timeout)|(PRM\|1\|D)|(kpr)|(kdp)|(train st.+moving)|(\|lc)|(penalty))"</v>
      </c>
      <c r="U49" s="9" t="str">
        <f t="shared" si="12"/>
        <v>4062</v>
      </c>
      <c r="V49" s="31">
        <f t="shared" si="13"/>
        <v>42893.582141203704</v>
      </c>
      <c r="W49" s="45" t="str">
        <f t="shared" si="14"/>
        <v>NW</v>
      </c>
      <c r="X49" s="45" t="str">
        <f t="shared" si="15"/>
        <v>KEEP</v>
      </c>
      <c r="Y49" s="99" t="str">
        <f t="shared" si="16"/>
        <v>echo {"issue":{"subject":"Wi-MAX data drop","project_id":79,"tracker_id":40,"status_id":1,"priority_id":2,"assigned_to_id":23,"start_date":"2017-06-07","description":"","custom_fields":[{"id":1,"name":"Subdivision","value":"NW"},{"id":4,"name":"Milepost","value":"3.4583"},{"id":17,"name":"Train ID","value":"809-07"},{"id":16,"name":"Locomotive ID","value":"4062"},{"id":130,"name":"Impact","value":""},{"id":150,"name":"Time of Event (Mountain Time)","value":"07:58:17"},{"id":151,"name":"Denver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/cygdrive/c/Users/stu/AppData/Local/Temp/OnboardLogs/RTDC4062 --include="*4062*201706071*"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"%USERPROFILE%\AppData\Local\Temp\OnboardLogs"\RTDC4062\*4062*201706071* &gt;&gt; 2017-06-07-SliceDisagreementCheck.txt</v>
      </c>
      <c r="AE49" s="148" t="str">
        <f t="shared" si="9"/>
        <v>start /low /b %USERPROFILE%\Documents\GitHub\eaglep3\Utilities\DownloadLogsFromS3.py --loco 4062 --day 2017-06-07</v>
      </c>
      <c r="AF49" s="1"/>
    </row>
    <row r="50" spans="1:32" x14ac:dyDescent="0.25">
      <c r="A50" s="31">
        <v>42893.287881944445</v>
      </c>
      <c r="B50" s="30" t="s">
        <v>606</v>
      </c>
      <c r="C50" s="30" t="s">
        <v>607</v>
      </c>
      <c r="D50" s="30" t="s">
        <v>49</v>
      </c>
      <c r="E50" s="30" t="s">
        <v>183</v>
      </c>
      <c r="F50" s="42">
        <v>0</v>
      </c>
      <c r="G50" s="42">
        <v>66</v>
      </c>
      <c r="H50" s="42">
        <v>801</v>
      </c>
      <c r="I50" s="42">
        <v>745</v>
      </c>
      <c r="J50" s="30" t="s">
        <v>184</v>
      </c>
      <c r="K50" s="42">
        <v>575</v>
      </c>
      <c r="L50" s="134" t="s">
        <v>51</v>
      </c>
      <c r="M50" s="135">
        <f t="shared" si="10"/>
        <v>89.76</v>
      </c>
      <c r="N50" s="136" t="str">
        <f>VLOOKUP(C50,'Trips&amp;Operators'!$C$1:$G$99999,5,FALSE)</f>
        <v>GEBRETEKLE DAGNEW</v>
      </c>
      <c r="O50" s="210" t="s">
        <v>182</v>
      </c>
      <c r="P50" s="137"/>
      <c r="Q50" s="30"/>
      <c r="R50" s="84" t="str">
        <f>VLOOKUP(C50,'Train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50" s="87" t="str">
        <f>VLOOKUP(C50,'Train Runs'!$A$13:$AE$9933,22,0)</f>
        <v>https://d0f6bd738d7f1b3e5a7ca70fe4ff75f0.us-east-1.aws.found.io/app/kibana#/discover/Steve-Slow-Train-Analysis-(2080s-and-2083s)?_g=(refreshInterval:(display:Off,pause:!f,section:0,value:0),time:(from:'2017-06-07T05:36:41-0600',mode:absolute,to:'2017-06-07T07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0" s="89" t="str">
        <f t="shared" si="11"/>
        <v>"C:\Program Files (x86)\AstroGrep\AstroGrep.exe" /e /r /s /spath="%USERPROFILE%\AppData\Local\Temp\OnboardLogs" /stypes="*4009*201706071*" /stext=" 12:.+((SYSTEM_STATE.+slice.+state.+changed )|(ment ac)|(multiple cpu faults)|(system.+state.+changed )|(\[timeout)|(PRM\|1\|D)|(kpr)|(kdp)|(train st.+moving)|(\|lc)|(penalty))"</v>
      </c>
      <c r="U50" s="9" t="str">
        <f t="shared" si="12"/>
        <v>4009</v>
      </c>
      <c r="V50" s="31">
        <f t="shared" si="13"/>
        <v>42893.537881944445</v>
      </c>
      <c r="W50" s="45" t="str">
        <f t="shared" si="14"/>
        <v>NW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ID","value":"804-07"},{"id":16,"name":"Locomotive ID","value":"4009"},{"id":130,"name":"Impact","value":""},{"id":150,"name":"Time of Event (Mountain Time)","value":"06:54:33"},{"id":151,"name":"Denver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/cygdrive/c/Users/stu/AppData/Local/Temp/OnboardLogs/RTDC4009 --include="*4009*201706071*"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"%USERPROFILE%\AppData\Local\Temp\OnboardLogs"\RTDC4009\*4009*201706071* &gt;&gt; 2017-06-07-SliceDisagreementCheck.txt</v>
      </c>
      <c r="AE50" s="148" t="str">
        <f t="shared" si="9"/>
        <v>start /low /b %USERPROFILE%\Documents\GitHub\eaglep3\Utilities\DownloadLogsFromS3.py --loco 4009 --day 2017-06-07</v>
      </c>
      <c r="AF50" s="1"/>
    </row>
    <row r="51" spans="1:32" x14ac:dyDescent="0.25">
      <c r="A51" s="31">
        <v>42893.621793981481</v>
      </c>
      <c r="B51" s="30" t="s">
        <v>606</v>
      </c>
      <c r="C51" s="30" t="s">
        <v>625</v>
      </c>
      <c r="D51" s="30" t="s">
        <v>49</v>
      </c>
      <c r="E51" s="30" t="s">
        <v>183</v>
      </c>
      <c r="F51" s="42">
        <v>0</v>
      </c>
      <c r="G51" s="42">
        <v>40</v>
      </c>
      <c r="H51" s="42">
        <v>694</v>
      </c>
      <c r="I51" s="42">
        <v>664</v>
      </c>
      <c r="J51" s="30" t="s">
        <v>184</v>
      </c>
      <c r="K51" s="42">
        <v>575</v>
      </c>
      <c r="L51" s="134" t="s">
        <v>51</v>
      </c>
      <c r="M51" s="135">
        <f t="shared" si="10"/>
        <v>46.991999999999997</v>
      </c>
      <c r="N51" s="136" t="str">
        <f>VLOOKUP(C51,'Trips&amp;Operators'!$C$1:$G$99999,5,FALSE)</f>
        <v>LOPES KIMBERLY</v>
      </c>
      <c r="O51" s="210" t="s">
        <v>182</v>
      </c>
      <c r="P51" s="137"/>
      <c r="Q51" s="30"/>
      <c r="R51" s="84" t="str">
        <f>VLOOKUP(C51,'Train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51" s="87" t="str">
        <f>VLOOKUP(C51,'Train Runs'!$A$13:$AE$9933,22,0)</f>
        <v>https://d0f6bd738d7f1b3e5a7ca70fe4ff75f0.us-east-1.aws.found.io/app/kibana#/discover/Steve-Slow-Train-Analysis-(2080s-and-2083s)?_g=(refreshInterval:(display:Off,pause:!f,section:0,value:0),time:(from:'2017-06-07T13:36:50-0600',mode:absolute,to:'2017-06-07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89" t="str">
        <f t="shared" si="11"/>
        <v>"C:\Program Files (x86)\AstroGrep\AstroGrep.exe" /e /r /s /spath="%USERPROFILE%\AppData\Local\Temp\OnboardLogs" /stypes="*4009*201706072*" /stext=" 20:.+((SYSTEM_STATE.+slice.+state.+changed )|(ment ac)|(multiple cpu faults)|(system.+state.+changed )|(\[timeout)|(PRM\|1\|D)|(kpr)|(kdp)|(train st.+moving)|(\|lc)|(penalty))"</v>
      </c>
      <c r="U51" s="9" t="str">
        <f t="shared" si="12"/>
        <v>4009</v>
      </c>
      <c r="V51" s="31">
        <f t="shared" si="13"/>
        <v>42893.871793981481</v>
      </c>
      <c r="W51" s="45" t="str">
        <f t="shared" si="14"/>
        <v>NW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ID","value":"824-07"},{"id":16,"name":"Locomotive ID","value":"4009"},{"id":130,"name":"Impact","value":""},{"id":150,"name":"Time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/cygdrive/c/Users/stu/AppData/Local/Temp/OnboardLogs/RTDC4009 --include="*4009*201706072*"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"%USERPROFILE%\AppData\Local\Temp\OnboardLogs"\RTDC4009\*4009*201706072* &gt;&gt; 2017-06-07-SliceDisagreementCheck.txt</v>
      </c>
      <c r="AE51" s="148" t="str">
        <f t="shared" si="9"/>
        <v>start /low /b %USERPROFILE%\Documents\GitHub\eaglep3\Utilities\DownloadLogsFromS3.py --loco 4009 --day 2017-06-07</v>
      </c>
      <c r="AF51" s="1"/>
    </row>
    <row r="52" spans="1:32" x14ac:dyDescent="0.25">
      <c r="A52" s="31">
        <v>42893.684942129628</v>
      </c>
      <c r="B52" s="30" t="s">
        <v>596</v>
      </c>
      <c r="C52" s="30" t="s">
        <v>630</v>
      </c>
      <c r="D52" s="30" t="s">
        <v>49</v>
      </c>
      <c r="E52" s="30" t="s">
        <v>183</v>
      </c>
      <c r="F52" s="42">
        <v>0</v>
      </c>
      <c r="G52" s="42">
        <v>71</v>
      </c>
      <c r="H52" s="42">
        <v>820</v>
      </c>
      <c r="I52" s="42">
        <v>761</v>
      </c>
      <c r="J52" s="30" t="s">
        <v>184</v>
      </c>
      <c r="K52" s="42">
        <v>575</v>
      </c>
      <c r="L52" s="134" t="s">
        <v>51</v>
      </c>
      <c r="M52" s="135">
        <f t="shared" si="10"/>
        <v>98.207999999999998</v>
      </c>
      <c r="N52" s="136" t="str">
        <f>VLOOKUP(C52,'Trips&amp;Operators'!$C$1:$G$99999,5,FALSE)</f>
        <v>BERLING GARY</v>
      </c>
      <c r="O52" s="210" t="s">
        <v>182</v>
      </c>
      <c r="P52" s="137"/>
      <c r="Q52" s="30"/>
      <c r="R52" s="84" t="str">
        <f>VLOOKUP(C52,'Train Runs'!$A$13:$AE$9933,31,0)</f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S52" s="87" t="str">
        <f>VLOOKUP(C52,'Train Runs'!$A$13:$AE$9933,22,0)</f>
        <v>https://d0f6bd738d7f1b3e5a7ca70fe4ff75f0.us-east-1.aws.found.io/app/kibana#/discover/Steve-Slow-Train-Analysis-(2080s-and-2083s)?_g=(refreshInterval:(display:Off,pause:!f,section:0,value:0),time:(from:'2017-06-07T15:09:26-0600',mode:absolute,to:'2017-06-07T17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52" s="89" t="str">
        <f t="shared" si="11"/>
        <v>"C:\Program Files (x86)\AstroGrep\AstroGrep.exe" /e /r /s /spath="%USERPROFILE%\AppData\Local\Temp\OnboardLogs" /stypes="*4061*201706072*" /stext=" 22:.+((SYSTEM_STATE.+slice.+state.+changed )|(ment ac)|(multiple cpu faults)|(system.+state.+changed )|(\[timeout)|(PRM\|1\|D)|(kpr)|(kdp)|(train st.+moving)|(\|lc)|(penalty))"</v>
      </c>
      <c r="U52" s="9" t="str">
        <f t="shared" si="12"/>
        <v>4061</v>
      </c>
      <c r="V52" s="31">
        <f t="shared" si="13"/>
        <v>42893.934942129628</v>
      </c>
      <c r="W52" s="45" t="str">
        <f t="shared" si="14"/>
        <v>NW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ID","value":"828-07"},{"id":16,"name":"Locomotive ID","value":"4061"},{"id":130,"name":"Impact","value":""},{"id":150,"name":"Time of Event (Mountain Time)","value":"16:26:19"},{"id":151,"name":"Denver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/cygdrive/c/Users/stu/AppData/Local/Temp/OnboardLogs/RTDC4061 --include="*4061*201706072*"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"%USERPROFILE%\AppData\Local\Temp\OnboardLogs"\RTDC4061\*4061*201706072* &gt;&gt; 2017-06-07-SliceDisagreementCheck.txt</v>
      </c>
      <c r="AE52" s="148" t="str">
        <f t="shared" si="9"/>
        <v>start /low /b %USERPROFILE%\Documents\GitHub\eaglep3\Utilities\DownloadLogsFromS3.py --loco 4061 --day 2017-06-07</v>
      </c>
      <c r="AF52" s="1"/>
    </row>
    <row r="53" spans="1:32" x14ac:dyDescent="0.25">
      <c r="A53" s="31">
        <v>42893.726724537039</v>
      </c>
      <c r="B53" s="30" t="s">
        <v>596</v>
      </c>
      <c r="C53" s="30" t="s">
        <v>634</v>
      </c>
      <c r="D53" s="30" t="s">
        <v>49</v>
      </c>
      <c r="E53" s="30" t="s">
        <v>183</v>
      </c>
      <c r="F53" s="42">
        <v>0</v>
      </c>
      <c r="G53" s="42">
        <v>60</v>
      </c>
      <c r="H53" s="42">
        <v>773</v>
      </c>
      <c r="I53" s="42">
        <v>726</v>
      </c>
      <c r="J53" s="30" t="s">
        <v>184</v>
      </c>
      <c r="K53" s="42">
        <v>575</v>
      </c>
      <c r="L53" s="134" t="s">
        <v>51</v>
      </c>
      <c r="M53" s="135">
        <f t="shared" si="10"/>
        <v>79.727999999999994</v>
      </c>
      <c r="N53" s="136" t="str">
        <f>VLOOKUP(C53,'Trips&amp;Operators'!$C$1:$G$99999,5,FALSE)</f>
        <v>STAMBAUGH JAMES</v>
      </c>
      <c r="O53" s="210" t="s">
        <v>182</v>
      </c>
      <c r="P53" s="137"/>
      <c r="Q53" s="30"/>
      <c r="R53" s="84" t="str">
        <f>VLOOKUP(C53,'Train Runs'!$A$13:$AE$9933,31,0)</f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S53" s="87" t="str">
        <f>VLOOKUP(C53,'Train Runs'!$A$13:$AE$9933,22,0)</f>
        <v>https://d0f6bd738d7f1b3e5a7ca70fe4ff75f0.us-east-1.aws.found.io/app/kibana#/discover/Steve-Slow-Train-Analysis-(2080s-and-2083s)?_g=(refreshInterval:(display:Off,pause:!f,section:0,value:0),time:(from:'2017-06-07T16:08:01-0600',mode:absolute,to:'2017-06-07T18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53" s="89" t="str">
        <f t="shared" si="11"/>
        <v>"C:\Program Files (x86)\AstroGrep\AstroGrep.exe" /e /r /s /spath="%USERPROFILE%\AppData\Local\Temp\OnboardLogs" /stypes="*4061*201706072*"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4061</v>
      </c>
      <c r="V53" s="31">
        <f t="shared" si="13"/>
        <v>42893.976724537039</v>
      </c>
      <c r="W53" s="45" t="str">
        <f t="shared" si="14"/>
        <v>NW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ID","value":"832-07"},{"id":16,"name":"Locomotive ID","value":"4061"},{"id":130,"name":"Impact","value":""},{"id":150,"name":"Time of Event (Mountain Time)","value":"17:26:29"},{"id":151,"name":"Denver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/cygdrive/c/Users/stu/AppData/Local/Temp/OnboardLogs/RTDC4061 --include="*4061*201706072*"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"%USERPROFILE%\AppData\Local\Temp\OnboardLogs"\RTDC4061\*4061*201706072* &gt;&gt; 2017-06-07-SliceDisagreementCheck.txt</v>
      </c>
      <c r="AE53" s="148" t="str">
        <f t="shared" si="9"/>
        <v>start /low /b %USERPROFILE%\Documents\GitHub\eaglep3\Utilities\DownloadLogsFromS3.py --loco 4061 --day 2017-06-07</v>
      </c>
      <c r="AF53" s="1"/>
    </row>
    <row r="54" spans="1:32" x14ac:dyDescent="0.25">
      <c r="A54" s="31">
        <v>42893.747071759259</v>
      </c>
      <c r="B54" s="30" t="s">
        <v>606</v>
      </c>
      <c r="C54" s="30" t="s">
        <v>635</v>
      </c>
      <c r="D54" s="30" t="s">
        <v>49</v>
      </c>
      <c r="E54" s="30" t="s">
        <v>183</v>
      </c>
      <c r="F54" s="42">
        <v>0</v>
      </c>
      <c r="G54" s="42">
        <v>128</v>
      </c>
      <c r="H54" s="42">
        <v>1100</v>
      </c>
      <c r="I54" s="42">
        <v>941</v>
      </c>
      <c r="J54" s="30" t="s">
        <v>184</v>
      </c>
      <c r="K54" s="42">
        <v>575</v>
      </c>
      <c r="L54" s="134" t="s">
        <v>51</v>
      </c>
      <c r="M54" s="135">
        <f t="shared" si="10"/>
        <v>193.24799999999999</v>
      </c>
      <c r="N54" s="136" t="str">
        <f>VLOOKUP(C54,'Trips&amp;Operators'!$C$1:$G$99999,5,FALSE)</f>
        <v>LOPES KIMBERLY</v>
      </c>
      <c r="O54" s="210" t="s">
        <v>182</v>
      </c>
      <c r="P54" s="137"/>
      <c r="Q54" s="30"/>
      <c r="R54" s="84" t="str">
        <f>VLOOKUP(C54,'Train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54" s="87" t="str">
        <f>VLOOKUP(C54,'Train Runs'!$A$13:$AE$9933,22,0)</f>
        <v>https://d0f6bd738d7f1b3e5a7ca70fe4ff75f0.us-east-1.aws.found.io/app/kibana#/discover/Steve-Slow-Train-Analysis-(2080s-and-2083s)?_g=(refreshInterval:(display:Off,pause:!f,section:0,value:0),time:(from:'2017-06-07T16:38:18-0600',mode:absolute,to:'2017-06-07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4" s="89" t="str">
        <f t="shared" si="11"/>
        <v>"C:\Program Files (x86)\AstroGrep\AstroGrep.exe" /e /r /s /spath="%USERPROFILE%\AppData\Local\Temp\OnboardLogs" /stypes="*4009*201706072*" /stext=" 23:.+((SYSTEM_STATE.+slice.+state.+changed )|(ment ac)|(multiple cpu faults)|(system.+state.+changed )|(\[timeout)|(PRM\|1\|D)|(kpr)|(kdp)|(train st.+moving)|(\|lc)|(penalty))"</v>
      </c>
      <c r="U54" s="9" t="str">
        <f t="shared" si="12"/>
        <v>4009</v>
      </c>
      <c r="V54" s="31">
        <f t="shared" si="13"/>
        <v>42893.997071759259</v>
      </c>
      <c r="W54" s="45" t="str">
        <f t="shared" si="14"/>
        <v>NW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ID","value":"834-07"},{"id":16,"name":"Locomotive ID","value":"4009"},{"id":130,"name":"Impact","value":""},{"id":150,"name":"Time of Event (Mountain Time)","value":"17:55:47"},{"id":151,"name":"Denver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/cygdrive/c/Users/stu/AppData/Local/Temp/OnboardLogs/RTDC4009 --include="*4009*201706072*"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"%USERPROFILE%\AppData\Local\Temp\OnboardLogs"\RTDC4009\*4009*201706072* &gt;&gt; 2017-06-07-SliceDisagreementCheck.txt</v>
      </c>
      <c r="AE54" s="148" t="str">
        <f t="shared" si="9"/>
        <v>start /low /b %USERPROFILE%\Documents\GitHub\eaglep3\Utilities\DownloadLogsFromS3.py --loco 4009 --day 2017-06-07</v>
      </c>
      <c r="AF54" s="1"/>
    </row>
    <row r="55" spans="1:32" x14ac:dyDescent="0.25">
      <c r="A55" s="31">
        <v>42893.747534722221</v>
      </c>
      <c r="B55" s="30" t="s">
        <v>606</v>
      </c>
      <c r="C55" s="30" t="s">
        <v>635</v>
      </c>
      <c r="D55" s="30" t="s">
        <v>49</v>
      </c>
      <c r="E55" s="30" t="s">
        <v>183</v>
      </c>
      <c r="F55" s="42">
        <v>0</v>
      </c>
      <c r="G55" s="42">
        <v>57</v>
      </c>
      <c r="H55" s="42">
        <v>741</v>
      </c>
      <c r="I55" s="42">
        <v>710</v>
      </c>
      <c r="J55" s="30" t="s">
        <v>184</v>
      </c>
      <c r="K55" s="42">
        <v>575</v>
      </c>
      <c r="L55" s="134" t="s">
        <v>51</v>
      </c>
      <c r="M55" s="135">
        <f t="shared" si="10"/>
        <v>71.28</v>
      </c>
      <c r="N55" s="136" t="str">
        <f>VLOOKUP(C55,'Trips&amp;Operators'!$C$1:$G$99999,5,FALSE)</f>
        <v>LOPES KIMBERLY</v>
      </c>
      <c r="O55" s="210" t="s">
        <v>182</v>
      </c>
      <c r="P55" s="137"/>
      <c r="Q55" s="30"/>
      <c r="R55" s="84" t="str">
        <f>VLOOKUP(C55,'Train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55" s="87" t="str">
        <f>VLOOKUP(C55,'Train Runs'!$A$13:$AE$9933,22,0)</f>
        <v>https://d0f6bd738d7f1b3e5a7ca70fe4ff75f0.us-east-1.aws.found.io/app/kibana#/discover/Steve-Slow-Train-Analysis-(2080s-and-2083s)?_g=(refreshInterval:(display:Off,pause:!f,section:0,value:0),time:(from:'2017-06-07T16:38:18-0600',mode:absolute,to:'2017-06-07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5" s="89" t="str">
        <f t="shared" si="11"/>
        <v>"C:\Program Files (x86)\AstroGrep\AstroGrep.exe" /e /r /s /spath="%USERPROFILE%\AppData\Local\Temp\OnboardLogs" /stypes="*4009*201706072*" /stext=" 23:.+((SYSTEM_STATE.+slice.+state.+changed )|(ment ac)|(multiple cpu faults)|(system.+state.+changed )|(\[timeout)|(PRM\|1\|D)|(kpr)|(kdp)|(train st.+moving)|(\|lc)|(penalty))"</v>
      </c>
      <c r="U55" s="9" t="str">
        <f t="shared" si="12"/>
        <v>4009</v>
      </c>
      <c r="V55" s="31">
        <f t="shared" si="13"/>
        <v>42893.997534722221</v>
      </c>
      <c r="W55" s="45" t="str">
        <f t="shared" si="14"/>
        <v>NW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ID","value":"834-07"},{"id":16,"name":"Locomotive ID","value":"4009"},{"id":130,"name":"Impact","value":""},{"id":150,"name":"Time of Event (Mountain Time)","value":"17:56:27"},{"id":151,"name":"Denver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/cygdrive/c/Users/stu/AppData/Local/Temp/OnboardLogs/RTDC4009 --include="*4009*201706072*"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"%USERPROFILE%\AppData\Local\Temp\OnboardLogs"\RTDC4009\*4009*201706072* &gt;&gt; 2017-06-07-SliceDisagreementCheck.txt</v>
      </c>
      <c r="AE55" s="148" t="str">
        <f t="shared" si="9"/>
        <v>start /low /b %USERPROFILE%\Documents\GitHub\eaglep3\Utilities\DownloadLogsFromS3.py --loco 4009 --day 2017-06-07</v>
      </c>
      <c r="AF55" s="1"/>
    </row>
    <row r="56" spans="1:32" x14ac:dyDescent="0.25">
      <c r="A56" s="31">
        <v>42893.829930555556</v>
      </c>
      <c r="B56" s="30" t="s">
        <v>606</v>
      </c>
      <c r="C56" s="30" t="s">
        <v>645</v>
      </c>
      <c r="D56" s="30" t="s">
        <v>49</v>
      </c>
      <c r="E56" s="30" t="s">
        <v>183</v>
      </c>
      <c r="F56" s="42">
        <v>0</v>
      </c>
      <c r="G56" s="42">
        <v>30</v>
      </c>
      <c r="H56" s="42">
        <v>659</v>
      </c>
      <c r="I56" s="42">
        <v>635</v>
      </c>
      <c r="J56" s="30" t="s">
        <v>184</v>
      </c>
      <c r="K56" s="42">
        <v>575</v>
      </c>
      <c r="L56" s="134" t="s">
        <v>51</v>
      </c>
      <c r="M56" s="135">
        <f t="shared" si="10"/>
        <v>31.68</v>
      </c>
      <c r="N56" s="136" t="str">
        <f>VLOOKUP(C56,'Trips&amp;Operators'!$C$1:$G$99999,5,FALSE)</f>
        <v>LOPES KIMBERLY</v>
      </c>
      <c r="O56" s="210" t="s">
        <v>182</v>
      </c>
      <c r="P56" s="137"/>
      <c r="Q56" s="30"/>
      <c r="R56" s="84" t="str">
        <f>VLOOKUP(C56,'Train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56" s="87" t="str">
        <f>VLOOKUP(C56,'Train Runs'!$A$13:$AE$9933,22,0)</f>
        <v>https://d0f6bd738d7f1b3e5a7ca70fe4ff75f0.us-east-1.aws.found.io/app/kibana#/discover/Steve-Slow-Train-Analysis-(2080s-and-2083s)?_g=(refreshInterval:(display:Off,pause:!f,section:0,value:0),time:(from:'2017-06-07T18:36:52-0600',mode:absolute,to:'2017-06-07T20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6" s="89" t="str">
        <f t="shared" si="11"/>
        <v>"C:\Program Files (x86)\AstroGrep\AstroGrep.exe" /e /r /s /spath="%USERPROFILE%\AppData\Local\Temp\OnboardLogs" /stypes="*4009*201706080*" /stext=" 01:.+((SYSTEM_STATE.+slice.+state.+changed )|(ment ac)|(multiple cpu faults)|(system.+state.+changed )|(\[timeout)|(PRM\|1\|D)|(kpr)|(kdp)|(train st.+moving)|(\|lc)|(penalty))"</v>
      </c>
      <c r="U56" s="9" t="str">
        <f t="shared" si="12"/>
        <v>4009</v>
      </c>
      <c r="V56" s="31">
        <f t="shared" si="13"/>
        <v>42894.079930555556</v>
      </c>
      <c r="W56" s="45" t="str">
        <f t="shared" si="14"/>
        <v>NW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ID","value":"840-07"},{"id":16,"name":"Locomotive ID","value":"4009"},{"id":130,"name":"Impact","value":""},{"id":150,"name":"Time of Event (Mountain Time)","value":"19:55:06"},{"id":151,"name":"Denver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/cygdrive/c/Users/stu/AppData/Local/Temp/OnboardLogs/RTDC4009 --include="*4009*201706080*"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"%USERPROFILE%\AppData\Local\Temp\OnboardLogs"\RTDC4009\*4009*201706080* &gt;&gt; 2017-06-07-SliceDisagreementCheck.txt</v>
      </c>
      <c r="AE56" s="148" t="str">
        <f t="shared" si="9"/>
        <v>start /low /b %USERPROFILE%\Documents\GitHub\eaglep3\Utilities\DownloadLogsFromS3.py --loco 4009 --day 2017-06-08</v>
      </c>
      <c r="AF56" s="1"/>
    </row>
    <row r="57" spans="1:32" x14ac:dyDescent="0.25">
      <c r="A57" s="31">
        <v>42893.914583333331</v>
      </c>
      <c r="B57" s="30" t="s">
        <v>606</v>
      </c>
      <c r="C57" s="30" t="s">
        <v>648</v>
      </c>
      <c r="D57" s="30" t="s">
        <v>49</v>
      </c>
      <c r="E57" s="30" t="s">
        <v>183</v>
      </c>
      <c r="F57" s="42">
        <v>0</v>
      </c>
      <c r="G57" s="42">
        <v>32</v>
      </c>
      <c r="H57" s="42">
        <v>694</v>
      </c>
      <c r="I57" s="42">
        <v>661</v>
      </c>
      <c r="J57" s="30" t="s">
        <v>184</v>
      </c>
      <c r="K57" s="42">
        <v>575</v>
      </c>
      <c r="L57" s="134" t="s">
        <v>51</v>
      </c>
      <c r="M57" s="135">
        <f t="shared" si="10"/>
        <v>45.408000000000001</v>
      </c>
      <c r="N57" s="136" t="str">
        <f>VLOOKUP(C57,'Trips&amp;Operators'!$C$1:$G$99999,5,FALSE)</f>
        <v>STAMBAUGH JAMES</v>
      </c>
      <c r="O57" s="210" t="s">
        <v>182</v>
      </c>
      <c r="P57" s="137"/>
      <c r="Q57" s="30"/>
      <c r="R57" s="84" t="str">
        <f>VLOOKUP(C57,'Train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57" s="87" t="str">
        <f>VLOOKUP(C57,'Train Runs'!$A$13:$AE$9933,22,0)</f>
        <v>https://d0f6bd738d7f1b3e5a7ca70fe4ff75f0.us-east-1.aws.found.io/app/kibana#/discover/Steve-Slow-Train-Analysis-(2080s-and-2083s)?_g=(refreshInterval:(display:Off,pause:!f,section:0,value:0),time:(from:'2017-06-07T20:37:36-0600',mode:absolute,to:'2017-06-07T22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7" s="89" t="str">
        <f t="shared" si="11"/>
        <v>"C:\Program Files (x86)\AstroGrep\AstroGrep.exe" /e /r /s /spath="%USERPROFILE%\AppData\Local\Temp\OnboardLogs" /stypes="*4009*201706080*" /stext=" 03:.+((SYSTEM_STATE.+slice.+state.+changed )|(ment ac)|(multiple cpu faults)|(system.+state.+changed )|(\[timeout)|(PRM\|1\|D)|(kpr)|(kdp)|(train st.+moving)|(\|lc)|(penalty))"</v>
      </c>
      <c r="U57" s="9" t="str">
        <f t="shared" si="12"/>
        <v>4009</v>
      </c>
      <c r="V57" s="31">
        <f t="shared" si="13"/>
        <v>42894.164583333331</v>
      </c>
      <c r="W57" s="45" t="str">
        <f t="shared" si="14"/>
        <v>NW</v>
      </c>
      <c r="X57" s="45" t="str">
        <f t="shared" si="15"/>
        <v>KEEP</v>
      </c>
      <c r="Y57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{"issue":{"subject":"","project_id":79,"tracker_id":40,"status_id":1,"priority_id":2,"assigned_to_id":23,"start_date":"2017-06-07","description":"","custom_fields":[{"id":1,"name":"Subdivision","value":"NW"},{"id":4,"name":"Milepost","value":"0.0575"},{"id":17,"name":"Train ID","value":"844-07"},{"id":16,"name":"Locomotive ID","value":"4009"},{"id":130,"name":"Impact","value":""},{"id":150,"name":"Time of Event (Mountain Time)","value":"21:57:00"},{"id":151,"name":"Denver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/cygdrive/c/Users/stu/AppData/Local/Temp/OnboardLogs/RTDC4009 --include="*4009*201706080*"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"%USERPROFILE%\AppData\Local\Temp\OnboardLogs"\RTDC4009\*4009*201706080* &gt;&gt; 2017-06-07-SliceDisagreementCheck.txt</v>
      </c>
      <c r="AE57" s="148" t="str">
        <f t="shared" si="9"/>
        <v>start /low /b %USERPROFILE%\Documents\GitHub\eaglep3\Utilities\DownloadLogsFromS3.py --loco 4009 --day 2017-06-08</v>
      </c>
      <c r="AF57" s="1"/>
    </row>
    <row r="58" spans="1:32" x14ac:dyDescent="0.25">
      <c r="A58" s="31">
        <v>42893.273229166669</v>
      </c>
      <c r="B58" s="30" t="s">
        <v>602</v>
      </c>
      <c r="C58" s="30" t="s">
        <v>603</v>
      </c>
      <c r="D58" s="30" t="s">
        <v>49</v>
      </c>
      <c r="E58" s="30" t="s">
        <v>183</v>
      </c>
      <c r="F58" s="42">
        <v>0</v>
      </c>
      <c r="G58" s="42">
        <v>149</v>
      </c>
      <c r="H58" s="42">
        <v>57848</v>
      </c>
      <c r="I58" s="42">
        <v>58117</v>
      </c>
      <c r="J58" s="30" t="s">
        <v>184</v>
      </c>
      <c r="K58" s="42">
        <v>59048</v>
      </c>
      <c r="L58" s="134" t="s">
        <v>50</v>
      </c>
      <c r="M58" s="135">
        <f t="shared" si="10"/>
        <v>491.56799999999998</v>
      </c>
      <c r="N58" s="136" t="str">
        <f>VLOOKUP(C58,'Trips&amp;Operators'!$C$1:$G$99999,5,FALSE)</f>
        <v>GEBRETEKLE DAGNEW</v>
      </c>
      <c r="O58" s="210" t="s">
        <v>182</v>
      </c>
      <c r="P58" s="137"/>
      <c r="Q58" s="30"/>
      <c r="R58" s="84" t="str">
        <f>VLOOKUP(C58,'Train Runs'!$A$13:$AE$9933,31,0)</f>
        <v>aws s3 cp s3://rtdc.mdm.uploadarchive.raw/RTDC4010/ "%USERPROFILE%\AppData\Local\Temp\OnboardLogs"\RTDC4010\2017-06-07 --exclude "*" --recursive --include "*20170607*" &amp; "%USERPROFILE%\Documents\GitHub\mrs-test-scripts\Headless Mode &amp; Sideloading\WalkAndUnGZ.bat" "%USERPROFILE%\AppData\Local\Temp\OnboardLogs"\RTDC4010\2017-06-07 &amp; aws s3 cp s3://rtdc.mdm.uploadarchive.raw/RTDC4010/ "%USERPROFILE%\AppData\Local\Temp\OnboardLogs"\RTDC4010\2017-06-08 --exclude "*" --recursive --include "*20170608*" &amp; "%USERPROFILE%\Documents\GitHub\mrs-test-scripts\Headless Mode &amp; Sideloading\WalkAndUnGZ.bat" "%USERPROFILE%\AppData\Local\Temp\OnboardLogs"\RTDC4010\2017-06-08</v>
      </c>
      <c r="S58" s="87" t="str">
        <f>VLOOKUP(C58,'Train Runs'!$A$13:$AE$9933,22,0)</f>
        <v>https://d0f6bd738d7f1b3e5a7ca70fe4ff75f0.us-east-1.aws.found.io/app/kibana#/discover/Steve-Slow-Train-Analysis-(2080s-and-2083s)?_g=(refreshInterval:(display:Off,pause:!f,section:0,value:0),time:(from:'2017-06-07T04:58:39-0600',mode:absolute,to:'2017-06-07T07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58" s="89" t="str">
        <f t="shared" si="11"/>
        <v>"C:\Program Files (x86)\AstroGrep\AstroGrep.exe" /e /r /s /spath="%USERPROFILE%\AppData\Local\Temp\OnboardLogs" /stypes="*4010*201706071*" /stext=" 12:.+((SYSTEM_STATE.+slice.+state.+changed )|(ment ac)|(multiple cpu faults)|(system.+state.+changed )|(\[timeout)|(PRM\|1\|D)|(kpr)|(kdp)|(train st.+moving)|(\|lc)|(penalty))"</v>
      </c>
      <c r="U58" s="9" t="str">
        <f t="shared" si="12"/>
        <v>4010</v>
      </c>
      <c r="V58" s="31">
        <f t="shared" si="13"/>
        <v>42893.523229166669</v>
      </c>
      <c r="W58" s="45" t="str">
        <f t="shared" si="14"/>
        <v>NW</v>
      </c>
      <c r="X58" s="45" t="str">
        <f t="shared" si="15"/>
        <v>KEEP</v>
      </c>
      <c r="Y58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{"issue":{"subject":"","project_id":79,"tracker_id":40,"status_id":1,"priority_id":2,"assigned_to_id":23,"start_date":"2017-06-07","description":"","custom_fields":[{"id":1,"name":"Subdivision","value":"NW"},{"id":4,"name":"Milepost","value":"5.9048"},{"id":17,"name":"Train ID","value":"803-07"},{"id":16,"name":"Locomotive ID","value":"4010"},{"id":130,"name":"Impact","value":""},{"id":150,"name":"Time of Event (Mountain Time)","value":"06:33:27"},{"id":151,"name":"Denver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62"/>
      <c r="AA58" s="47"/>
      <c r="AB58" s="47"/>
      <c r="AC58" s="118" t="str">
        <f t="shared" si="17"/>
        <v>grep -hrE -A400 "Enforcement Action" /cygdrive/c/Users/stu/AppData/Local/Temp/OnboardLogs/RTDC4010 --include="*4010*201706071*"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"%USERPROFILE%\AppData\Local\Temp\OnboardLogs"\RTDC4010\*4010*201706071* &gt;&gt; 2017-06-07-SliceDisagreementCheck.txt</v>
      </c>
      <c r="AE58" s="148" t="str">
        <f t="shared" si="9"/>
        <v>start /low /b %USERPROFILE%\Documents\GitHub\eaglep3\Utilities\DownloadLogsFromS3.py --loco 4010 --day 2017-06-07</v>
      </c>
      <c r="AF58" s="1"/>
    </row>
    <row r="59" spans="1:32" x14ac:dyDescent="0.25">
      <c r="A59" s="31">
        <v>42893.294745370367</v>
      </c>
      <c r="B59" s="30" t="s">
        <v>507</v>
      </c>
      <c r="C59" s="30" t="s">
        <v>608</v>
      </c>
      <c r="D59" s="30" t="s">
        <v>49</v>
      </c>
      <c r="E59" s="30" t="s">
        <v>183</v>
      </c>
      <c r="F59" s="42">
        <v>0</v>
      </c>
      <c r="G59" s="42">
        <v>131</v>
      </c>
      <c r="H59" s="42">
        <v>58432</v>
      </c>
      <c r="I59" s="42">
        <v>58647</v>
      </c>
      <c r="J59" s="30" t="s">
        <v>184</v>
      </c>
      <c r="K59" s="42">
        <v>59058</v>
      </c>
      <c r="L59" s="134" t="s">
        <v>50</v>
      </c>
      <c r="M59" s="135">
        <f t="shared" si="10"/>
        <v>217.00800000000001</v>
      </c>
      <c r="N59" s="136" t="str">
        <f>VLOOKUP(C59,'Trips&amp;Operators'!$C$1:$G$99999,5,FALSE)</f>
        <v>MACDONALD THOMAS</v>
      </c>
      <c r="O59" s="210" t="s">
        <v>182</v>
      </c>
      <c r="P59" s="137"/>
      <c r="Q59" s="30"/>
      <c r="R59" s="84" t="str">
        <f>VLOOKUP(C59,'Train Runs'!$A$13:$AE$9933,31,0)</f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S59" s="87" t="str">
        <f>VLOOKUP(C59,'Train Runs'!$A$13:$AE$9933,22,0)</f>
        <v>https://d0f6bd738d7f1b3e5a7ca70fe4ff75f0.us-east-1.aws.found.io/app/kibana#/discover/Steve-Slow-Train-Analysis-(2080s-and-2083s)?_g=(refreshInterval:(display:Off,pause:!f,section:0,value:0),time:(from:'2017-06-07T05:26:54-0600',mode:absolute,to:'2017-06-07T08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9" s="89" t="str">
        <f t="shared" si="11"/>
        <v>"C:\Program Files (x86)\AstroGrep\AstroGrep.exe" /e /r /s /spath="%USERPROFILE%\AppData\Local\Temp\OnboardLogs" /stypes="*4062*201706071*" /stext=" 13:.+((SYSTEM_STATE.+slice.+state.+changed )|(ment ac)|(multiple cpu faults)|(system.+state.+changed )|(\[timeout)|(PRM\|1\|D)|(kpr)|(kdp)|(train st.+moving)|(\|lc)|(penalty))"</v>
      </c>
      <c r="U59" s="9" t="str">
        <f t="shared" si="12"/>
        <v>4062</v>
      </c>
      <c r="V59" s="31">
        <f t="shared" si="13"/>
        <v>42893.544745370367</v>
      </c>
      <c r="W59" s="45" t="str">
        <f t="shared" si="14"/>
        <v>NW</v>
      </c>
      <c r="X59" s="45" t="str">
        <f t="shared" si="15"/>
        <v>KEEP</v>
      </c>
      <c r="Y59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{"issue":{"subject":"","project_id":79,"tracker_id":40,"status_id":1,"priority_id":2,"assigned_to_id":23,"start_date":"2017-06-07","description":"","custom_fields":[{"id":1,"name":"Subdivision","value":"NW"},{"id":4,"name":"Milepost","value":"5.9058"},{"id":17,"name":"Train ID","value":"805-07"},{"id":16,"name":"Locomotive ID","value":"4062"},{"id":130,"name":"Impact","value":""},{"id":150,"name":"Time of Event (Mountain Time)","value":"07:04:26"},{"id":151,"name":"Denver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62"/>
      <c r="AA59" s="47"/>
      <c r="AB59" s="47"/>
      <c r="AC59" s="118" t="str">
        <f t="shared" si="17"/>
        <v>grep -hrE -A400 "Enforcement Action" /cygdrive/c/Users/stu/AppData/Local/Temp/OnboardLogs/RTDC4062 --include="*4062*201706071*"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"%USERPROFILE%\AppData\Local\Temp\OnboardLogs"\RTDC4062\*4062*201706071* &gt;&gt; 2017-06-07-SliceDisagreementCheck.txt</v>
      </c>
      <c r="AE59" s="148" t="str">
        <f t="shared" si="9"/>
        <v>start /low /b %USERPROFILE%\Documents\GitHub\eaglep3\Utilities\DownloadLogsFromS3.py --loco 4062 --day 2017-06-07</v>
      </c>
      <c r="AF59" s="1"/>
    </row>
    <row r="60" spans="1:32" x14ac:dyDescent="0.25">
      <c r="A60" s="31">
        <v>42893.295115740744</v>
      </c>
      <c r="B60" s="30" t="s">
        <v>507</v>
      </c>
      <c r="C60" s="30" t="s">
        <v>608</v>
      </c>
      <c r="D60" s="30" t="s">
        <v>49</v>
      </c>
      <c r="E60" s="30" t="s">
        <v>183</v>
      </c>
      <c r="F60" s="42">
        <v>0</v>
      </c>
      <c r="G60" s="42">
        <v>57</v>
      </c>
      <c r="H60" s="42">
        <v>58693</v>
      </c>
      <c r="I60" s="42">
        <v>58776</v>
      </c>
      <c r="J60" s="30" t="s">
        <v>184</v>
      </c>
      <c r="K60" s="42">
        <v>59058</v>
      </c>
      <c r="L60" s="134" t="s">
        <v>50</v>
      </c>
      <c r="M60" s="135">
        <f t="shared" si="10"/>
        <v>148.89599999999999</v>
      </c>
      <c r="N60" s="136" t="str">
        <f>VLOOKUP(C60,'Trips&amp;Operators'!$C$1:$G$99999,5,FALSE)</f>
        <v>MACDONALD THOMAS</v>
      </c>
      <c r="O60" s="210" t="s">
        <v>182</v>
      </c>
      <c r="P60" s="137"/>
      <c r="Q60" s="30"/>
      <c r="R60" s="84" t="str">
        <f>VLOOKUP(C60,'Train Runs'!$A$13:$AE$9933,31,0)</f>
        <v>aws s3 cp s3://rtdc.mdm.uploadarchive.raw/RTDC4062/ "%USERPROFILE%\AppData\Local\Temp\OnboardLogs"\RTDC4062\2017-06-07 --exclude "*" --recursive --include "*20170607*" &amp; "%USERPROFILE%\Documents\GitHub\mrs-test-scripts\Headless Mode &amp; Sideloading\WalkAndUnGZ.bat" "%USERPROFILE%\AppData\Local\Temp\OnboardLogs"\RTDC4062\2017-06-07 &amp; aws s3 cp s3://rtdc.mdm.uploadarchive.raw/RTDC4062/ "%USERPROFILE%\AppData\Local\Temp\OnboardLogs"\RTDC4062\2017-06-08 --exclude "*" --recursive --include "*20170608*" &amp; "%USERPROFILE%\Documents\GitHub\mrs-test-scripts\Headless Mode &amp; Sideloading\WalkAndUnGZ.bat" "%USERPROFILE%\AppData\Local\Temp\OnboardLogs"\RTDC4062\2017-06-08</v>
      </c>
      <c r="S60" s="87" t="str">
        <f>VLOOKUP(C60,'Train Runs'!$A$13:$AE$9933,22,0)</f>
        <v>https://d0f6bd738d7f1b3e5a7ca70fe4ff75f0.us-east-1.aws.found.io/app/kibana#/discover/Steve-Slow-Train-Analysis-(2080s-and-2083s)?_g=(refreshInterval:(display:Off,pause:!f,section:0,value:0),time:(from:'2017-06-07T05:26:54-0600',mode:absolute,to:'2017-06-07T08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60" s="89" t="str">
        <f t="shared" si="11"/>
        <v>"C:\Program Files (x86)\AstroGrep\AstroGrep.exe" /e /r /s /spath="%USERPROFILE%\AppData\Local\Temp\OnboardLogs" /stypes="*4062*201706071*" /stext=" 13:.+((SYSTEM_STATE.+slice.+state.+changed )|(ment ac)|(multiple cpu faults)|(system.+state.+changed )|(\[timeout)|(PRM\|1\|D)|(kpr)|(kdp)|(train st.+moving)|(\|lc)|(penalty))"</v>
      </c>
      <c r="U60" s="9" t="str">
        <f t="shared" si="12"/>
        <v>4062</v>
      </c>
      <c r="V60" s="31">
        <f t="shared" si="13"/>
        <v>42893.545115740744</v>
      </c>
      <c r="W60" s="45" t="str">
        <f t="shared" si="14"/>
        <v>NW</v>
      </c>
      <c r="X60" s="45" t="str">
        <f t="shared" si="15"/>
        <v>KEEP</v>
      </c>
      <c r="Y60" s="99" t="str">
        <f t="shared" si="16"/>
        <v>echo {"issue":{"subject":"","project_id":79,"tracker_id":40,"status_id":1,"priority_id":2,"assigned_to_id":23,"start_date":"2017-06-07","description":"","custom_fields":[{"id":1,"name":"Subdivision","value":"NW"},{"id":4,"name":"Milepost","value":"5.9058"},{"id":17,"name":"Train ID","value":"805-07"},{"id":16,"name":"Locomotive ID","value":"4062"},{"id":130,"name":"Impact","value":""},{"id":150,"name":"Time of Event (Mountain Time)","value":"07:04:58"},{"id":151,"name":"Denver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62"/>
      <c r="AA60" s="47"/>
      <c r="AB60" s="47"/>
      <c r="AC60" s="118" t="str">
        <f t="shared" si="17"/>
        <v>grep -hrE -A400 "Enforcement Action" /cygdrive/c/Users/stu/AppData/Local/Temp/OnboardLogs/RTDC4062 --include="*4062*201706071*"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"%USERPROFILE%\AppData\Local\Temp\OnboardLogs"\RTDC4062\*4062*201706071* &gt;&gt; 2017-06-07-SliceDisagreementCheck.txt</v>
      </c>
      <c r="AE60" s="148" t="str">
        <f t="shared" si="9"/>
        <v>start /low /b %USERPROFILE%\Documents\GitHub\eaglep3\Utilities\DownloadLogsFromS3.py --loco 4062 --day 2017-06-07</v>
      </c>
      <c r="AF60" s="1"/>
    </row>
    <row r="61" spans="1:32" x14ac:dyDescent="0.25">
      <c r="A61" s="31">
        <v>42893.482581018521</v>
      </c>
      <c r="B61" s="30" t="s">
        <v>342</v>
      </c>
      <c r="C61" s="30" t="s">
        <v>617</v>
      </c>
      <c r="D61" s="30" t="s">
        <v>98</v>
      </c>
      <c r="E61" s="30" t="s">
        <v>189</v>
      </c>
      <c r="F61" s="42">
        <v>0</v>
      </c>
      <c r="G61" s="42">
        <v>111</v>
      </c>
      <c r="H61" s="42">
        <v>63297</v>
      </c>
      <c r="I61" s="42">
        <v>63162</v>
      </c>
      <c r="J61" s="30" t="s">
        <v>190</v>
      </c>
      <c r="K61" s="42">
        <v>63309</v>
      </c>
      <c r="L61" s="134" t="s">
        <v>51</v>
      </c>
      <c r="M61" s="135">
        <f t="shared" si="10"/>
        <v>-77.616</v>
      </c>
      <c r="N61" s="136" t="str">
        <f>VLOOKUP(C61,'Trips&amp;Operators'!$C$1:$G$99999,5,FALSE)</f>
        <v>STARKS ANGELINA</v>
      </c>
      <c r="O61" s="210" t="s">
        <v>182</v>
      </c>
      <c r="P61" s="137"/>
      <c r="Q61" s="30"/>
      <c r="R61" s="84" t="str">
        <f>VLOOKUP(C61,'Train Runs'!$A$13:$AE$9933,31,0)</f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S61" s="87" t="str">
        <f>VLOOKUP(C61,'Train Runs'!$A$13:$AE$9933,22,0)</f>
        <v>https://d0f6bd738d7f1b3e5a7ca70fe4ff75f0.us-east-1.aws.found.io/app/kibana#/discover/Steve-Slow-Train-Analysis-(2080s-and-2083s)?_g=(refreshInterval:(display:Off,pause:!f,section:0,value:0),time:(from:'2017-06-07T10:13:36-0600',mode:absolute,to:'2017-06-07T12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61" s="89" t="str">
        <f t="shared" si="11"/>
        <v>"C:\Program Files (x86)\AstroGrep\AstroGrep.exe" /e /r /s /spath="%USERPROFILE%\AppData\Local\Temp\OnboardLogs" /stypes="*4027*201706071*" /stext=" 17:.+((SYSTEM_STATE.+slice.+state.+changed )|(ment ac)|(multiple cpu faults)|(system.+state.+changed )|(\[timeout)|(PRM\|1\|D)|(kpr)|(kdp)|(train st.+moving)|(\|lc)|(penalty))"</v>
      </c>
      <c r="U61" s="9" t="str">
        <f t="shared" si="12"/>
        <v>4027</v>
      </c>
      <c r="V61" s="31">
        <f t="shared" si="13"/>
        <v>42893.732581018521</v>
      </c>
      <c r="W61" s="45" t="str">
        <f t="shared" si="14"/>
        <v>Other</v>
      </c>
      <c r="X61" s="45" t="str">
        <f t="shared" si="15"/>
        <v>KEEP</v>
      </c>
      <c r="Y61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{"issue":{"subject":"","project_id":79,"tracker_id":40,"status_id":1,"priority_id":2,"assigned_to_id":23,"start_date":"2017-06-07","description":"","custom_fields":[{"id":1,"name":"Subdivision","value":"Other"},{"id":4,"name":"Milepost","value":"6.3309"},{"id":17,"name":"Train ID","value":"64-07"},{"id":16,"name":"Locomotive ID","value":"4027"},{"id":130,"name":"Impact","value":""},{"id":150,"name":"Time of Event (Mountain Time)","value":"11:34:55"},{"id":151,"name":"Denver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62"/>
      <c r="AA61" s="47"/>
      <c r="AB61" s="47"/>
      <c r="AC61" s="118" t="str">
        <f t="shared" si="17"/>
        <v>grep -hrE -A400 "Enforcement Action" /cygdrive/c/Users/stu/AppData/Local/Temp/OnboardLogs/RTDC4027 --include="*4027*201706071*"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"%USERPROFILE%\AppData\Local\Temp\OnboardLogs"\RTDC4027\*4027*201706071* &gt;&gt; 2017-06-07-SliceDisagreementCheck.txt</v>
      </c>
      <c r="AE61" s="148" t="str">
        <f t="shared" si="9"/>
        <v>start /low /b %USERPROFILE%\Documents\GitHub\eaglep3\Utilities\DownloadLogsFromS3.py --loco 4027 --day 2017-06-07</v>
      </c>
      <c r="AF61" s="1"/>
    </row>
    <row r="62" spans="1:32" x14ac:dyDescent="0.25">
      <c r="A62" s="31">
        <v>42893.534710648149</v>
      </c>
      <c r="B62" s="30" t="s">
        <v>464</v>
      </c>
      <c r="C62" s="30" t="s">
        <v>621</v>
      </c>
      <c r="D62" s="30" t="s">
        <v>49</v>
      </c>
      <c r="E62" s="30" t="s">
        <v>366</v>
      </c>
      <c r="F62" s="42">
        <v>0</v>
      </c>
      <c r="G62" s="42">
        <v>152</v>
      </c>
      <c r="H62" s="42">
        <v>22189</v>
      </c>
      <c r="I62" s="42">
        <v>22590</v>
      </c>
      <c r="J62" s="30" t="s">
        <v>367</v>
      </c>
      <c r="K62" s="42">
        <v>22206</v>
      </c>
      <c r="L62" s="134" t="s">
        <v>50</v>
      </c>
      <c r="M62" s="135">
        <f t="shared" si="10"/>
        <v>-202.75200000000001</v>
      </c>
      <c r="N62" s="136" t="str">
        <f>VLOOKUP(C62,'Trips&amp;Operators'!$C$1:$G$99999,5,FALSE)</f>
        <v>LOZA FIDEL</v>
      </c>
      <c r="O62" s="210" t="s">
        <v>182</v>
      </c>
      <c r="P62" s="137"/>
      <c r="Q62" s="30"/>
      <c r="R62" s="84" t="str">
        <f>VLOOKUP(C62,'Train Runs'!$A$13:$AE$9933,31,0)</f>
        <v>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 &amp; 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</v>
      </c>
      <c r="S62" s="87" t="str">
        <f>VLOOKUP(C62,'Train Runs'!$A$13:$AE$9933,22,0)</f>
        <v>https://d0f6bd738d7f1b3e5a7ca70fe4ff75f0.us-east-1.aws.found.io/app/kibana#/discover/Steve-Slow-Train-Analysis-(2080s-and-2083s)?_g=(refreshInterval:(display:Off,pause:!f,section:0,value:0),time:(from:'2017-06-07T11:30:10-0600',mode:absolute,to:'2017-06-07T13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62" s="89" t="str">
        <f t="shared" si="11"/>
        <v>"C:\Program Files (x86)\AstroGrep\AstroGrep.exe" /e /r /s /spath="%USERPROFILE%\AppData\Local\Temp\OnboardLogs" /stypes="*4002*201706071*" /stext=" 18:.+((SYSTEM_STATE.+slice.+state.+changed )|(ment ac)|(multiple cpu faults)|(system.+state.+changed )|(\[timeout)|(PRM\|1\|D)|(kpr)|(kdp)|(train st.+moving)|(\|lc)|(penalty))"</v>
      </c>
      <c r="U62" s="9" t="str">
        <f t="shared" si="12"/>
        <v>4002</v>
      </c>
      <c r="V62" s="31">
        <f t="shared" si="13"/>
        <v>42893.784710648149</v>
      </c>
      <c r="W62" s="45" t="str">
        <f t="shared" si="14"/>
        <v>Other</v>
      </c>
      <c r="X62" s="45" t="str">
        <f t="shared" si="15"/>
        <v>KEEP</v>
      </c>
      <c r="Y62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{"issue":{"subject":"","project_id":79,"tracker_id":40,"status_id":1,"priority_id":2,"assigned_to_id":23,"start_date":"2017-06-07","description":"","custom_fields":[{"id":1,"name":"Subdivision","value":"Other"},{"id":4,"name":"Milepost","value":"2.2206"},{"id":17,"name":"Train ID","value":"57-07"},{"id":16,"name":"Locomotive ID","value":"4002"},{"id":130,"name":"Impact","value":""},{"id":150,"name":"Time of Event (Mountain Time)","value":"12:49:59"},{"id":151,"name":"Denver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62"/>
      <c r="AA62" s="47"/>
      <c r="AB62" s="47"/>
      <c r="AC62" s="118" t="str">
        <f t="shared" si="17"/>
        <v>grep -hrE -A400 "Enforcement Action" /cygdrive/c/Users/stu/AppData/Local/Temp/OnboardLogs/RTDC4002 --include="*4002*201706071*"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"%USERPROFILE%\AppData\Local\Temp\OnboardLogs"\RTDC4002\*4002*201706071* &gt;&gt; 2017-06-07-SliceDisagreementCheck.txt</v>
      </c>
      <c r="AE62" s="148" t="str">
        <f t="shared" si="9"/>
        <v>start /low /b %USERPROFILE%\Documents\GitHub\eaglep3\Utilities\DownloadLogsFromS3.py --loco 4002 --day 2017-06-07</v>
      </c>
      <c r="AF62" s="1"/>
    </row>
    <row r="63" spans="1:32" x14ac:dyDescent="0.25">
      <c r="A63" s="31">
        <v>42893.535057870373</v>
      </c>
      <c r="B63" s="30" t="s">
        <v>464</v>
      </c>
      <c r="C63" s="30" t="s">
        <v>621</v>
      </c>
      <c r="D63" s="30" t="s">
        <v>98</v>
      </c>
      <c r="E63" s="30" t="s">
        <v>366</v>
      </c>
      <c r="F63" s="42">
        <v>0</v>
      </c>
      <c r="G63" s="42">
        <v>4</v>
      </c>
      <c r="H63" s="42">
        <v>22603</v>
      </c>
      <c r="I63" s="42">
        <v>22631</v>
      </c>
      <c r="J63" s="30" t="s">
        <v>367</v>
      </c>
      <c r="K63" s="42">
        <v>22206</v>
      </c>
      <c r="L63" s="134" t="s">
        <v>50</v>
      </c>
      <c r="M63" s="135">
        <f t="shared" si="10"/>
        <v>-224.4</v>
      </c>
      <c r="N63" s="136" t="str">
        <f>VLOOKUP(C63,'Trips&amp;Operators'!$C$1:$G$99999,5,FALSE)</f>
        <v>LOZA FIDEL</v>
      </c>
      <c r="O63" s="210" t="s">
        <v>182</v>
      </c>
      <c r="P63" s="137"/>
      <c r="Q63" s="30"/>
      <c r="R63" s="84" t="str">
        <f>VLOOKUP(C63,'Train Runs'!$A$13:$AE$9933,31,0)</f>
        <v>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 &amp; 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</v>
      </c>
      <c r="S63" s="87" t="str">
        <f>VLOOKUP(C63,'Train Runs'!$A$13:$AE$9933,22,0)</f>
        <v>https://d0f6bd738d7f1b3e5a7ca70fe4ff75f0.us-east-1.aws.found.io/app/kibana#/discover/Steve-Slow-Train-Analysis-(2080s-and-2083s)?_g=(refreshInterval:(display:Off,pause:!f,section:0,value:0),time:(from:'2017-06-07T11:30:10-0600',mode:absolute,to:'2017-06-07T13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63" s="89" t="str">
        <f t="shared" si="11"/>
        <v>"C:\Program Files (x86)\AstroGrep\AstroGrep.exe" /e /r /s /spath="%USERPROFILE%\AppData\Local\Temp\OnboardLogs" /stypes="*4002*201706071*" /stext=" 18:.+((SYSTEM_STATE.+slice.+state.+changed )|(ment ac)|(multiple cpu faults)|(system.+state.+changed )|(\[timeout)|(PRM\|1\|D)|(kpr)|(kdp)|(train st.+moving)|(\|lc)|(penalty))"</v>
      </c>
      <c r="U63" s="9" t="str">
        <f t="shared" si="12"/>
        <v>4002</v>
      </c>
      <c r="V63" s="31">
        <f t="shared" si="13"/>
        <v>42893.785057870373</v>
      </c>
      <c r="W63" s="45" t="str">
        <f t="shared" si="14"/>
        <v>Other</v>
      </c>
      <c r="X63" s="45" t="str">
        <f t="shared" si="15"/>
        <v>KEEP</v>
      </c>
      <c r="Y63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{"issue":{"subject":"","project_id":79,"tracker_id":40,"status_id":1,"priority_id":2,"assigned_to_id":23,"start_date":"2017-06-07","description":"","custom_fields":[{"id":1,"name":"Subdivision","value":"Other"},{"id":4,"name":"Milepost","value":"2.2206"},{"id":17,"name":"Train ID","value":"57-07"},{"id":16,"name":"Locomotive ID","value":"4002"},{"id":130,"name":"Impact","value":""},{"id":150,"name":"Time of Event (Mountain Time)","value":"12:50:29"},{"id":151,"name":"Denver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62"/>
      <c r="AA63" s="47"/>
      <c r="AB63" s="47"/>
      <c r="AC63" s="118" t="str">
        <f t="shared" si="17"/>
        <v>grep -hrE -A400 "Enforcement Action" /cygdrive/c/Users/stu/AppData/Local/Temp/OnboardLogs/RTDC4002 --include="*4002*201706071*"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"%USERPROFILE%\AppData\Local\Temp\OnboardLogs"\RTDC4002\*4002*201706071* &gt;&gt; 2017-06-07-SliceDisagreementCheck.txt</v>
      </c>
      <c r="AE63" s="148" t="str">
        <f t="shared" si="9"/>
        <v>start /low /b %USERPROFILE%\Documents\GitHub\eaglep3\Utilities\DownloadLogsFromS3.py --loco 4002 --day 2017-06-07</v>
      </c>
      <c r="AF63" s="1"/>
    </row>
    <row r="64" spans="1:32" x14ac:dyDescent="0.25">
      <c r="A64" s="31">
        <v>42893.171875</v>
      </c>
      <c r="B64" s="30" t="s">
        <v>594</v>
      </c>
      <c r="C64" s="30" t="s">
        <v>595</v>
      </c>
      <c r="D64" s="30" t="s">
        <v>98</v>
      </c>
      <c r="E64" s="30" t="s">
        <v>366</v>
      </c>
      <c r="F64" s="42">
        <v>0</v>
      </c>
      <c r="G64" s="42">
        <v>156</v>
      </c>
      <c r="H64" s="42">
        <v>21786</v>
      </c>
      <c r="I64" s="42">
        <v>21505</v>
      </c>
      <c r="J64" s="30" t="s">
        <v>367</v>
      </c>
      <c r="K64" s="42">
        <v>24161</v>
      </c>
      <c r="L64" s="134" t="s">
        <v>51</v>
      </c>
      <c r="M64" s="135">
        <f t="shared" si="10"/>
        <v>-1402.3679999999999</v>
      </c>
      <c r="N64" s="136" t="str">
        <f>VLOOKUP(C64,'Trips&amp;Operators'!$C$1:$G$99999,5,FALSE)</f>
        <v>HELVIE ADAM</v>
      </c>
      <c r="O64" s="210" t="s">
        <v>182</v>
      </c>
      <c r="P64" s="137"/>
      <c r="Q64" s="30"/>
      <c r="R64" s="84" t="str">
        <f>VLOOKUP(C64,'Train Runs'!$A$13:$AE$9933,31,0)</f>
        <v>aws s3 cp s3://rtdc.mdm.uploadarchive.raw/RTDC4011/ "%USERPROFILE%\AppData\Local\Temp\OnboardLogs"\RTDC4011\2017-06-07 --exclude "*" --recursive --include "*20170607*" &amp; "%USERPROFILE%\Documents\GitHub\mrs-test-scripts\Headless Mode &amp; Sideloading\WalkAndUnGZ.bat" "%USERPROFILE%\AppData\Local\Temp\OnboardLogs"\RTDC4011\2017-06-07 &amp; aws s3 cp s3://rtdc.mdm.uploadarchive.raw/RTDC4011/ "%USERPROFILE%\AppData\Local\Temp\OnboardLogs"\RTDC4011\2017-06-08 --exclude "*" --recursive --include "*20170608*" &amp; "%USERPROFILE%\Documents\GitHub\mrs-test-scripts\Headless Mode &amp; Sideloading\WalkAndUnGZ.bat" "%USERPROFILE%\AppData\Local\Temp\OnboardLogs"\RTDC4011\2017-06-08</v>
      </c>
      <c r="S64" s="87" t="str">
        <f>VLOOKUP(C64,'Train Runs'!$A$13:$AE$9933,22,0)</f>
        <v>https://d0f6bd738d7f1b3e5a7ca70fe4ff75f0.us-east-1.aws.found.io/app/kibana#/discover/Steve-Slow-Train-Analysis-(2080s-and-2083s)?_g=(refreshInterval:(display:Off,pause:!f,section:0,value:0),time:(from:'2017-06-07T03:01:40-0600',mode:absolute,to:'2017-06-07T05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64" s="89" t="str">
        <f t="shared" si="11"/>
        <v>"C:\Program Files (x86)\AstroGrep\AstroGrep.exe" /e /r /s /spath="%USERPROFILE%\AppData\Local\Temp\OnboardLogs" /stypes="*4011*201706071*" /stext=" 10:.+((SYSTEM_STATE.+slice.+state.+changed )|(ment ac)|(multiple cpu faults)|(system.+state.+changed )|(\[timeout)|(PRM\|1\|D)|(kpr)|(kdp)|(train st.+moving)|(\|lc)|(penalty))"</v>
      </c>
      <c r="U64" s="9" t="str">
        <f t="shared" si="12"/>
        <v>4011</v>
      </c>
      <c r="V64" s="31">
        <f t="shared" si="13"/>
        <v>42893.421875</v>
      </c>
      <c r="W64" s="45" t="str">
        <f t="shared" si="14"/>
        <v>Other</v>
      </c>
      <c r="X64" s="45" t="str">
        <f t="shared" si="15"/>
        <v>KEEP</v>
      </c>
      <c r="Y64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{"issue":{"subject":"","project_id":79,"tracker_id":40,"status_id":1,"priority_id":2,"assigned_to_id":23,"start_date":"2017-06-07","description":"","custom_fields":[{"id":1,"name":"Subdivision","value":"Other"},{"id":4,"name":"Milepost","value":"2.4161"},{"id":17,"name":"Train ID","value":"306-07"},{"id":16,"name":"Locomotive ID","value":"4011"},{"id":130,"name":"Impact","value":""},{"id":150,"name":"Time of Event (Mountain Time)","value":"04:07:30"},{"id":151,"name":"Denver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62"/>
      <c r="AA64" s="47"/>
      <c r="AB64" s="47"/>
      <c r="AC64" s="118" t="str">
        <f t="shared" si="17"/>
        <v>grep -hrE -A400 "Enforcement Action" /cygdrive/c/Users/stu/AppData/Local/Temp/OnboardLogs/RTDC4011 --include="*4011*201706071*"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"%USERPROFILE%\AppData\Local\Temp\OnboardLogs"\RTDC4011\*4011*201706071* &gt;&gt; 2017-06-07-SliceDisagreementCheck.txt</v>
      </c>
      <c r="AE64" s="148" t="str">
        <f t="shared" si="9"/>
        <v>start /low /b %USERPROFILE%\Documents\GitHub\eaglep3\Utilities\DownloadLogsFromS3.py --loco 4011 --day 2017-06-07</v>
      </c>
      <c r="AF64" s="1"/>
    </row>
    <row r="65" spans="1:32" x14ac:dyDescent="0.25">
      <c r="A65" s="31">
        <v>42893.500763888886</v>
      </c>
      <c r="B65" s="30" t="s">
        <v>463</v>
      </c>
      <c r="C65" s="30" t="s">
        <v>618</v>
      </c>
      <c r="D65" s="30" t="s">
        <v>49</v>
      </c>
      <c r="E65" s="30" t="s">
        <v>366</v>
      </c>
      <c r="F65" s="42">
        <v>0</v>
      </c>
      <c r="G65" s="42">
        <v>75</v>
      </c>
      <c r="H65" s="42">
        <v>24546</v>
      </c>
      <c r="I65" s="42">
        <v>24428</v>
      </c>
      <c r="J65" s="30" t="s">
        <v>367</v>
      </c>
      <c r="K65" s="42">
        <v>24235</v>
      </c>
      <c r="L65" s="134" t="s">
        <v>51</v>
      </c>
      <c r="M65" s="135">
        <f t="shared" si="10"/>
        <v>101.904</v>
      </c>
      <c r="N65" s="136" t="str">
        <f>VLOOKUP(C65,'Trips&amp;Operators'!$C$1:$G$99999,5,FALSE)</f>
        <v>HOLCOMB KAMDEN</v>
      </c>
      <c r="O65" s="210" t="s">
        <v>182</v>
      </c>
      <c r="P65" s="137"/>
      <c r="Q65" s="30"/>
      <c r="R65" s="84" t="str">
        <f>VLOOKUP(C65,'Train Runs'!$A$13:$AE$9933,31,0)</f>
        <v>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 &amp; 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</v>
      </c>
      <c r="S65" s="87" t="str">
        <f>VLOOKUP(C65,'Train Runs'!$A$13:$AE$9933,22,0)</f>
        <v>https://d0f6bd738d7f1b3e5a7ca70fe4ff75f0.us-east-1.aws.found.io/app/kibana#/discover/Steve-Slow-Train-Analysis-(2080s-and-2083s)?_g=(refreshInterval:(display:Off,pause:!f,section:0,value:0),time:(from:'2017-06-07T11:02:44-0600',mode:absolute,to:'2017-06-07T13:11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65" s="89" t="str">
        <f t="shared" si="11"/>
        <v>"C:\Program Files (x86)\AstroGrep\AstroGrep.exe" /e /r /s /spath="%USERPROFILE%\AppData\Local\Temp\OnboardLogs" /stypes="*4001*201706071*" /stext=" 18:.+((SYSTEM_STATE.+slice.+state.+changed )|(ment ac)|(multiple cpu faults)|(system.+state.+changed )|(\[timeout)|(PRM\|1\|D)|(kpr)|(kdp)|(train st.+moving)|(\|lc)|(penalty))"</v>
      </c>
      <c r="U65" s="9" t="str">
        <f t="shared" si="12"/>
        <v>4001</v>
      </c>
      <c r="V65" s="31">
        <f t="shared" si="13"/>
        <v>42893.750763888886</v>
      </c>
      <c r="W65" s="45" t="str">
        <f t="shared" si="14"/>
        <v>Other</v>
      </c>
      <c r="X65" s="45" t="str">
        <f t="shared" si="15"/>
        <v>KEEP</v>
      </c>
      <c r="Y65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{"issue":{"subject":"","project_id":79,"tracker_id":40,"status_id":1,"priority_id":2,"assigned_to_id":23,"start_date":"2017-06-07","description":"","custom_fields":[{"id":1,"name":"Subdivision","value":"Other"},{"id":4,"name":"Milepost","value":"2.4235"},{"id":17,"name":"Train ID","value":"56-07"},{"id":16,"name":"Locomotive ID","value":"4001"},{"id":130,"name":"Impact","value":""},{"id":150,"name":"Time of Event (Mountain Time)","value":"12:01:06"},{"id":151,"name":"Denver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62"/>
      <c r="AA65" s="47"/>
      <c r="AB65" s="47"/>
      <c r="AC65" s="118" t="str">
        <f t="shared" si="17"/>
        <v>grep -hrE -A400 "Enforcement Action" /cygdrive/c/Users/stu/AppData/Local/Temp/OnboardLogs/RTDC4001 --include="*4001*201706071*"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"%USERPROFILE%\AppData\Local\Temp\OnboardLogs"\RTDC4001\*4001*201706071* &gt;&gt; 2017-06-07-SliceDisagreementCheck.txt</v>
      </c>
      <c r="AE65" s="148" t="str">
        <f t="shared" si="9"/>
        <v>start /low /b %USERPROFILE%\Documents\GitHub\eaglep3\Utilities\DownloadLogsFromS3.py --loco 4001 --day 2017-06-07</v>
      </c>
      <c r="AF65" s="1"/>
    </row>
    <row r="66" spans="1:32" x14ac:dyDescent="0.25">
      <c r="A66" s="31">
        <v>42893.944965277777</v>
      </c>
      <c r="B66" s="30" t="s">
        <v>606</v>
      </c>
      <c r="C66" s="30" t="s">
        <v>650</v>
      </c>
      <c r="D66" s="30" t="s">
        <v>98</v>
      </c>
      <c r="E66" s="30" t="s">
        <v>366</v>
      </c>
      <c r="F66" s="42">
        <v>0</v>
      </c>
      <c r="G66" s="42">
        <v>44</v>
      </c>
      <c r="H66" s="42">
        <v>58423</v>
      </c>
      <c r="I66" s="42">
        <v>58388</v>
      </c>
      <c r="J66" s="30" t="s">
        <v>367</v>
      </c>
      <c r="K66" s="42">
        <v>58472</v>
      </c>
      <c r="L66" s="134" t="s">
        <v>51</v>
      </c>
      <c r="M66" s="135">
        <f t="shared" si="10"/>
        <v>-44.351999999999997</v>
      </c>
      <c r="N66" s="136" t="str">
        <f>VLOOKUP(C66,'Trips&amp;Operators'!$C$1:$G$99999,5,FALSE)</f>
        <v>STAMBAUGH JAMES</v>
      </c>
      <c r="O66" s="210" t="s">
        <v>182</v>
      </c>
      <c r="P66" s="137"/>
      <c r="Q66" s="30"/>
      <c r="R66" s="84" t="str">
        <f>VLOOKUP(C66,'Train Runs'!$A$13:$AE$9933,31,0)</f>
        <v>aws s3 cp s3://rtdc.mdm.uploadarchive.raw/RTDC4009/ "%USERPROFILE%\AppData\Local\Temp\OnboardLogs"\RTDC4009\2017-06-07 --exclude "*" --recursive --include "*20170607*" &amp; "%USERPROFILE%\Documents\GitHub\mrs-test-scripts\Headless Mode &amp; Sideloading\WalkAndUnGZ.bat" "%USERPROFILE%\AppData\Local\Temp\OnboardLogs"\RTDC4009\2017-06-07 &amp; aws s3 cp s3://rtdc.mdm.uploadarchive.raw/RTDC4009/ "%USERPROFILE%\AppData\Local\Temp\OnboardLogs"\RTDC4009\2017-06-08 --exclude "*" --recursive --include "*20170608*" &amp; "%USERPROFILE%\Documents\GitHub\mrs-test-scripts\Headless Mode &amp; Sideloading\WalkAndUnGZ.bat" "%USERPROFILE%\AppData\Local\Temp\OnboardLogs"\RTDC4009\2017-06-08</v>
      </c>
      <c r="S66" s="87" t="str">
        <f>VLOOKUP(C66,'Train Runs'!$A$13:$AE$9933,22,0)</f>
        <v>https://d0f6bd738d7f1b3e5a7ca70fe4ff75f0.us-east-1.aws.found.io/app/kibana#/discover/Steve-Slow-Train-Analysis-(2080s-and-2083s)?_g=(refreshInterval:(display:Off,pause:!f,section:0,value:0),time:(from:'2017-06-07T21:38:28-0600',mode:absolute,to:'2017-06-07T23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66" s="89" t="str">
        <f t="shared" si="11"/>
        <v>"C:\Program Files (x86)\AstroGrep\AstroGrep.exe" /e /r /s /spath="%USERPROFILE%\AppData\Local\Temp\OnboardLogs" /stypes="*4009*201706080*" /stext=" 04:.+((SYSTEM_STATE.+slice.+state.+changed )|(ment ac)|(multiple cpu faults)|(system.+state.+changed )|(\[timeout)|(PRM\|1\|D)|(kpr)|(kdp)|(train st.+moving)|(\|lc)|(penalty))"</v>
      </c>
      <c r="U66" s="9" t="str">
        <f t="shared" si="12"/>
        <v>4009</v>
      </c>
      <c r="V66" s="31">
        <f t="shared" si="13"/>
        <v>42894.194965277777</v>
      </c>
      <c r="W66" s="45" t="str">
        <f t="shared" si="14"/>
        <v>Other</v>
      </c>
      <c r="X66" s="45" t="str">
        <f t="shared" si="15"/>
        <v>KEEP</v>
      </c>
      <c r="Y66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{"issue":{"subject":"","project_id":79,"tracker_id":40,"status_id":1,"priority_id":2,"assigned_to_id":23,"start_date":"2017-06-07","description":"","custom_fields":[{"id":1,"name":"Subdivision","value":"Other"},{"id":4,"name":"Milepost","value":"5.8472"},{"id":17,"name":"Train ID","value":"908-07"},{"id":16,"name":"Locomotive ID","value":"4009"},{"id":130,"name":"Impact","value":""},{"id":150,"name":"Time of Event (Mountain Time)","value":"22:40:45"},{"id":151,"name":"Denver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62"/>
      <c r="AA66" s="47"/>
      <c r="AB66" s="47"/>
      <c r="AC66" s="118" t="str">
        <f t="shared" si="17"/>
        <v>grep -hrE -A400 "Enforcement Action" /cygdrive/c/Users/stu/AppData/Local/Temp/OnboardLogs/RTDC4009 --include="*4009*201706080*"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"%USERPROFILE%\AppData\Local\Temp\OnboardLogs"\RTDC4009\*4009*201706080* &gt;&gt; 2017-06-07-SliceDisagreementCheck.txt</v>
      </c>
      <c r="AE66" s="148" t="str">
        <f t="shared" si="9"/>
        <v>start /low /b %USERPROFILE%\Documents\GitHub\eaglep3\Utilities\DownloadLogsFromS3.py --loco 4009 --day 2017-06-08</v>
      </c>
      <c r="AF66" s="1"/>
    </row>
    <row r="67" spans="1:32" x14ac:dyDescent="0.25">
      <c r="A67" s="31">
        <v>42893.686180555553</v>
      </c>
      <c r="B67" s="30" t="s">
        <v>613</v>
      </c>
      <c r="C67" s="30" t="s">
        <v>631</v>
      </c>
      <c r="D67" s="30" t="s">
        <v>49</v>
      </c>
      <c r="E67" s="30" t="s">
        <v>366</v>
      </c>
      <c r="F67" s="42">
        <v>0</v>
      </c>
      <c r="G67" s="42">
        <v>204</v>
      </c>
      <c r="H67" s="42">
        <v>95043</v>
      </c>
      <c r="I67" s="42">
        <v>95417</v>
      </c>
      <c r="J67" s="30" t="s">
        <v>367</v>
      </c>
      <c r="K67" s="42">
        <v>95978</v>
      </c>
      <c r="L67" s="134" t="s">
        <v>50</v>
      </c>
      <c r="M67" s="135">
        <f t="shared" si="10"/>
        <v>296.20800000000003</v>
      </c>
      <c r="N67" s="136" t="str">
        <f>VLOOKUP(C67,'Trips&amp;Operators'!$C$1:$G$99999,5,FALSE)</f>
        <v>MOSES BRADLEY</v>
      </c>
      <c r="O67" s="210" t="s">
        <v>182</v>
      </c>
      <c r="P67" s="137"/>
      <c r="Q67" s="30"/>
      <c r="R67" s="84" t="str">
        <f>VLOOKUP(C67,'Train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67" s="87" t="str">
        <f>VLOOKUP(C67,'Train Runs'!$A$13:$AE$9933,22,0)</f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67" s="89" t="str">
        <f t="shared" si="11"/>
        <v>"C:\Program Files (x86)\AstroGrep\AstroGrep.exe" /e /r /s /spath="%USERPROFILE%\AppData\Local\Temp\OnboardLogs" /stypes="*4058*201706072*" /stext=" 22:.+((SYSTEM_STATE.+slice.+state.+changed )|(ment ac)|(multiple cpu faults)|(system.+state.+changed )|(\[timeout)|(PRM\|1\|D)|(kpr)|(kdp)|(train st.+moving)|(\|lc)|(penalty))"</v>
      </c>
      <c r="U67" s="9" t="str">
        <f t="shared" si="12"/>
        <v>4058</v>
      </c>
      <c r="V67" s="31">
        <f t="shared" si="13"/>
        <v>42893.936180555553</v>
      </c>
      <c r="W67" s="45" t="str">
        <f t="shared" si="14"/>
        <v>Other</v>
      </c>
      <c r="X67" s="45" t="str">
        <f t="shared" si="15"/>
        <v>KEEP</v>
      </c>
      <c r="Y67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{"issue":{"subject":"","project_id":79,"tracker_id":40,"status_id":1,"priority_id":2,"assigned_to_id":23,"start_date":"2017-06-07","description":"","custom_fields":[{"id":1,"name":"Subdivision","value":"Other"},{"id":4,"name":"Milepost","value":"9.5978"},{"id":17,"name":"Train ID","value":"53-07"},{"id":16,"name":"Locomotive ID","value":"4058"},{"id":130,"name":"Impact","value":""},{"id":150,"name":"Time of Event (Mountain Time)","value":"16:28:06"},{"id":151,"name":"Denver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62"/>
      <c r="AA67" s="47"/>
      <c r="AB67" s="47"/>
      <c r="AC67" s="118" t="str">
        <f t="shared" si="17"/>
        <v>grep -hrE -A400 "Enforcement Action" /cygdrive/c/Users/stu/AppData/Local/Temp/OnboardLogs/RTDC4058 --include="*4058*201706072*"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"%USERPROFILE%\AppData\Local\Temp\OnboardLogs"\RTDC4058\*4058*201706072* &gt;&gt; 2017-06-07-SliceDisagreementCheck.txt</v>
      </c>
      <c r="AE67" s="148" t="str">
        <f t="shared" si="9"/>
        <v>start /low /b %USERPROFILE%\Documents\GitHub\eaglep3\Utilities\DownloadLogsFromS3.py --loco 4058 --day 2017-06-07</v>
      </c>
      <c r="AF67" s="1"/>
    </row>
    <row r="68" spans="1:32" x14ac:dyDescent="0.25">
      <c r="A68" s="31">
        <v>42893.686863425923</v>
      </c>
      <c r="B68" s="30" t="s">
        <v>613</v>
      </c>
      <c r="C68" s="30" t="s">
        <v>631</v>
      </c>
      <c r="D68" s="30" t="s">
        <v>49</v>
      </c>
      <c r="E68" s="30" t="s">
        <v>366</v>
      </c>
      <c r="F68" s="42">
        <v>0</v>
      </c>
      <c r="G68" s="42">
        <v>204</v>
      </c>
      <c r="H68" s="42">
        <v>95043</v>
      </c>
      <c r="I68" s="42">
        <v>96822</v>
      </c>
      <c r="J68" s="30" t="s">
        <v>367</v>
      </c>
      <c r="K68" s="42">
        <v>95978</v>
      </c>
      <c r="L68" s="134" t="s">
        <v>50</v>
      </c>
      <c r="M68" s="135">
        <f t="shared" si="10"/>
        <v>-445.63200000000001</v>
      </c>
      <c r="N68" s="136" t="str">
        <f>VLOOKUP(C68,'Trips&amp;Operators'!$C$1:$G$99999,5,FALSE)</f>
        <v>MOSES BRADLEY</v>
      </c>
      <c r="O68" s="210" t="s">
        <v>182</v>
      </c>
      <c r="P68" s="137"/>
      <c r="Q68" s="30"/>
      <c r="R68" s="84" t="str">
        <f>VLOOKUP(C68,'Train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68" s="87" t="str">
        <f>VLOOKUP(C68,'Train Runs'!$A$13:$AE$9933,22,0)</f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68" s="89" t="str">
        <f t="shared" si="11"/>
        <v>"C:\Program Files (x86)\AstroGrep\AstroGrep.exe" /e /r /s /spath="%USERPROFILE%\AppData\Local\Temp\OnboardLogs" /stypes="*4058*201706072*" /stext=" 22:.+((SYSTEM_STATE.+slice.+state.+changed )|(ment ac)|(multiple cpu faults)|(system.+state.+changed )|(\[timeout)|(PRM\|1\|D)|(kpr)|(kdp)|(train st.+moving)|(\|lc)|(penalty))"</v>
      </c>
      <c r="U68" s="9" t="str">
        <f t="shared" si="12"/>
        <v>4058</v>
      </c>
      <c r="V68" s="31">
        <f t="shared" si="13"/>
        <v>42893.936863425923</v>
      </c>
      <c r="W68" s="45" t="str">
        <f t="shared" si="14"/>
        <v>Other</v>
      </c>
      <c r="X68" s="45" t="str">
        <f t="shared" si="15"/>
        <v>KEEP</v>
      </c>
      <c r="Y68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{"issue":{"subject":"","project_id":79,"tracker_id":40,"status_id":1,"priority_id":2,"assigned_to_id":23,"start_date":"2017-06-07","description":"","custom_fields":[{"id":1,"name":"Subdivision","value":"Other"},{"id":4,"name":"Milepost","value":"9.5978"},{"id":17,"name":"Train ID","value":"53-07"},{"id":16,"name":"Locomotive ID","value":"4058"},{"id":130,"name":"Impact","value":""},{"id":150,"name":"Time of Event (Mountain Time)","value":"16:29:05"},{"id":151,"name":"Denver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62"/>
      <c r="AA68" s="47"/>
      <c r="AB68" s="47"/>
      <c r="AC68" s="118" t="str">
        <f t="shared" si="17"/>
        <v>grep -hrE -A400 "Enforcement Action" /cygdrive/c/Users/stu/AppData/Local/Temp/OnboardLogs/RTDC4058 --include="*4058*201706072*"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"%USERPROFILE%\AppData\Local\Temp\OnboardLogs"\RTDC4058\*4058*201706072* &gt;&gt; 2017-06-07-SliceDisagreementCheck.txt</v>
      </c>
      <c r="AE68" s="148" t="str">
        <f t="shared" si="9"/>
        <v>start /low /b %USERPROFILE%\Documents\GitHub\eaglep3\Utilities\DownloadLogsFromS3.py --loco 4058 --day 2017-06-07</v>
      </c>
      <c r="AF68" s="1"/>
    </row>
    <row r="69" spans="1:32" x14ac:dyDescent="0.25">
      <c r="A69" s="31">
        <v>42893.687557870369</v>
      </c>
      <c r="B69" s="30" t="s">
        <v>613</v>
      </c>
      <c r="C69" s="30" t="s">
        <v>631</v>
      </c>
      <c r="D69" s="30" t="s">
        <v>49</v>
      </c>
      <c r="E69" s="30" t="s">
        <v>366</v>
      </c>
      <c r="F69" s="42">
        <v>0</v>
      </c>
      <c r="G69" s="42">
        <v>204</v>
      </c>
      <c r="H69" s="42">
        <v>95043</v>
      </c>
      <c r="I69" s="42">
        <v>99295</v>
      </c>
      <c r="J69" s="30" t="s">
        <v>367</v>
      </c>
      <c r="K69" s="42">
        <v>95978</v>
      </c>
      <c r="L69" s="134" t="s">
        <v>50</v>
      </c>
      <c r="M69" s="135">
        <f t="shared" si="10"/>
        <v>-1751.376</v>
      </c>
      <c r="N69" s="136" t="str">
        <f>VLOOKUP(C69,'Trips&amp;Operators'!$C$1:$G$99999,5,FALSE)</f>
        <v>MOSES BRADLEY</v>
      </c>
      <c r="O69" s="210" t="s">
        <v>182</v>
      </c>
      <c r="P69" s="137"/>
      <c r="Q69" s="30"/>
      <c r="R69" s="84" t="str">
        <f>VLOOKUP(C69,'Train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69" s="87" t="str">
        <f>VLOOKUP(C69,'Train Runs'!$A$13:$AE$9933,22,0)</f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69" s="89" t="str">
        <f t="shared" si="11"/>
        <v>"C:\Program Files (x86)\AstroGrep\AstroGrep.exe" /e /r /s /spath="%USERPROFILE%\AppData\Local\Temp\OnboardLogs" /stypes="*4058*201706072*" /stext=" 22:.+((SYSTEM_STATE.+slice.+state.+changed )|(ment ac)|(multiple cpu faults)|(system.+state.+changed )|(\[timeout)|(PRM\|1\|D)|(kpr)|(kdp)|(train st.+moving)|(\|lc)|(penalty))"</v>
      </c>
      <c r="U69" s="9" t="str">
        <f t="shared" si="12"/>
        <v>4058</v>
      </c>
      <c r="V69" s="31">
        <f t="shared" si="13"/>
        <v>42893.937557870369</v>
      </c>
      <c r="W69" s="45" t="str">
        <f t="shared" si="14"/>
        <v>Other</v>
      </c>
      <c r="X69" s="45" t="str">
        <f t="shared" si="15"/>
        <v>KEEP</v>
      </c>
      <c r="Y69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{"issue":{"subject":"","project_id":79,"tracker_id":40,"status_id":1,"priority_id":2,"assigned_to_id":23,"start_date":"2017-06-07","description":"","custom_fields":[{"id":1,"name":"Subdivision","value":"Other"},{"id":4,"name":"Milepost","value":"9.5978"},{"id":17,"name":"Train ID","value":"53-07"},{"id":16,"name":"Locomotive ID","value":"4058"},{"id":130,"name":"Impact","value":""},{"id":150,"name":"Time of Event (Mountain Time)","value":"16:30:05"},{"id":151,"name":"Denver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62"/>
      <c r="AA69" s="47"/>
      <c r="AB69" s="47"/>
      <c r="AC69" s="118" t="str">
        <f t="shared" si="17"/>
        <v>grep -hrE -A400 "Enforcement Action" /cygdrive/c/Users/stu/AppData/Local/Temp/OnboardLogs/RTDC4058 --include="*4058*201706072*"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"%USERPROFILE%\AppData\Local\Temp\OnboardLogs"\RTDC4058\*4058*201706072* &gt;&gt; 2017-06-07-SliceDisagreementCheck.txt</v>
      </c>
      <c r="AE69" s="148" t="str">
        <f t="shared" si="9"/>
        <v>start /low /b %USERPROFILE%\Documents\GitHub\eaglep3\Utilities\DownloadLogsFromS3.py --loco 4058 --day 2017-06-07</v>
      </c>
      <c r="AF69" s="1"/>
    </row>
    <row r="70" spans="1:32" x14ac:dyDescent="0.25">
      <c r="A70" s="31">
        <v>42893.688750000001</v>
      </c>
      <c r="B70" s="30" t="s">
        <v>613</v>
      </c>
      <c r="C70" s="30" t="s">
        <v>631</v>
      </c>
      <c r="D70" s="30" t="s">
        <v>49</v>
      </c>
      <c r="E70" s="30" t="s">
        <v>366</v>
      </c>
      <c r="F70" s="42">
        <v>0</v>
      </c>
      <c r="G70" s="42">
        <v>116</v>
      </c>
      <c r="H70" s="42">
        <v>102988</v>
      </c>
      <c r="I70" s="42">
        <v>103140</v>
      </c>
      <c r="J70" s="30" t="s">
        <v>367</v>
      </c>
      <c r="K70" s="42">
        <v>103445</v>
      </c>
      <c r="L70" s="134" t="s">
        <v>50</v>
      </c>
      <c r="M70" s="135">
        <f t="shared" si="10"/>
        <v>161.04</v>
      </c>
      <c r="N70" s="136" t="str">
        <f>VLOOKUP(C70,'Trips&amp;Operators'!$C$1:$G$99999,5,FALSE)</f>
        <v>MOSES BRADLEY</v>
      </c>
      <c r="O70" s="210" t="s">
        <v>182</v>
      </c>
      <c r="P70" s="137"/>
      <c r="Q70" s="30"/>
      <c r="R70" s="84" t="str">
        <f>VLOOKUP(C70,'Train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70" s="87" t="str">
        <f>VLOOKUP(C70,'Train Runs'!$A$13:$AE$9933,22,0)</f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70" s="89" t="str">
        <f t="shared" si="11"/>
        <v>"C:\Program Files (x86)\AstroGrep\AstroGrep.exe" /e /r /s /spath="%USERPROFILE%\AppData\Local\Temp\OnboardLogs" /stypes="*4058*201706072*" /stext=" 22:.+((SYSTEM_STATE.+slice.+state.+changed )|(ment ac)|(multiple cpu faults)|(system.+state.+changed )|(\[timeout)|(PRM\|1\|D)|(kpr)|(kdp)|(train st.+moving)|(\|lc)|(penalty))"</v>
      </c>
      <c r="U70" s="9" t="str">
        <f t="shared" si="12"/>
        <v>4058</v>
      </c>
      <c r="V70" s="31">
        <f t="shared" si="13"/>
        <v>42893.938750000001</v>
      </c>
      <c r="W70" s="45" t="str">
        <f t="shared" si="14"/>
        <v>Other</v>
      </c>
      <c r="X70" s="45" t="str">
        <f t="shared" si="15"/>
        <v>KEEP</v>
      </c>
      <c r="Y70" s="99" t="str">
        <f t="shared" si="16"/>
        <v>echo {"issue":{"subject":"","project_id":79,"tracker_id":40,"status_id":1,"priority_id":2,"assigned_to_id":23,"start_date":"2017-06-07","description":"","custom_fields":[{"id":1,"name":"Subdivision","value":"Other"},{"id":4,"name":"Milepost","value":"10.3445"},{"id":17,"name":"Train ID","value":"53-07"},{"id":16,"name":"Locomotive ID","value":"4058"},{"id":130,"name":"Impact","value":""},{"id":150,"name":"Time of Event (Mountain Time)","value":"16:31:48"},{"id":151,"name":"Denver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62"/>
      <c r="AA70" s="47"/>
      <c r="AB70" s="47"/>
      <c r="AC70" s="118" t="str">
        <f t="shared" si="17"/>
        <v>grep -hrE -A400 "Enforcement Action" /cygdrive/c/Users/stu/AppData/Local/Temp/OnboardLogs/RTDC4058 --include="*4058*201706072*"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"%USERPROFILE%\AppData\Local\Temp\OnboardLogs"\RTDC4058\*4058*201706072* &gt;&gt; 2017-06-07-SliceDisagreementCheck.txt</v>
      </c>
      <c r="AE70" s="148" t="str">
        <f t="shared" si="9"/>
        <v>start /low /b %USERPROFILE%\Documents\GitHub\eaglep3\Utilities\DownloadLogsFromS3.py --loco 4058 --day 2017-06-07</v>
      </c>
      <c r="AF70" s="1"/>
    </row>
    <row r="71" spans="1:32" x14ac:dyDescent="0.25">
      <c r="A71" s="31">
        <v>42893.689791666664</v>
      </c>
      <c r="B71" s="30" t="s">
        <v>613</v>
      </c>
      <c r="C71" s="30" t="s">
        <v>631</v>
      </c>
      <c r="D71" s="30" t="s">
        <v>49</v>
      </c>
      <c r="E71" s="30" t="s">
        <v>366</v>
      </c>
      <c r="F71" s="42">
        <v>0</v>
      </c>
      <c r="G71" s="42">
        <v>23</v>
      </c>
      <c r="H71" s="42">
        <v>103381</v>
      </c>
      <c r="I71" s="42">
        <v>103418</v>
      </c>
      <c r="J71" s="30" t="s">
        <v>367</v>
      </c>
      <c r="K71" s="42">
        <v>103445</v>
      </c>
      <c r="L71" s="134" t="s">
        <v>50</v>
      </c>
      <c r="M71" s="135">
        <f t="shared" ref="M71:M102" si="18">CONVERT((I71-K71)/10000,"mi","ft")*IF(L71="Increasing Mileposts (1)",-1,1)</f>
        <v>14.256</v>
      </c>
      <c r="N71" s="136" t="str">
        <f>VLOOKUP(C71,'Trips&amp;Operators'!$C$1:$G$99999,5,FALSE)</f>
        <v>MOSES BRADLEY</v>
      </c>
      <c r="O71" s="210" t="s">
        <v>182</v>
      </c>
      <c r="P71" s="137"/>
      <c r="Q71" s="30"/>
      <c r="R71" s="84" t="str">
        <f>VLOOKUP(C71,'Train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71" s="87" t="str">
        <f>VLOOKUP(C71,'Train Runs'!$A$13:$AE$9933,22,0)</f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71" s="89" t="str">
        <f t="shared" ref="T71:T102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/stypes="*4058*201706072*" /stext=" 22:.+((SYSTEM_STATE.+slice.+state.+changed )|(ment ac)|(multiple cpu faults)|(system.+state.+changed )|(\[timeout)|(PRM\|1\|D)|(kpr)|(kdp)|(train st.+moving)|(\|lc)|(penalty))"</v>
      </c>
      <c r="U71" s="9" t="str">
        <f t="shared" ref="U71:U77" si="20">MID(B71,13,4)</f>
        <v>4058</v>
      </c>
      <c r="V71" s="31">
        <f t="shared" ref="V71:V77" si="21">A71-utc_offset/24</f>
        <v>42893.939791666664</v>
      </c>
      <c r="W71" s="45" t="str">
        <f t="shared" ref="W71:W77" si="22">IFERROR(IF(VALUE(LEFT(IF(LEN(C71)=6,"0"&amp;C71,C71),2))&lt;=2,"EC",IF(OR(VALUE(LEFT(IF(LEN(C71)=6,"0"&amp;C71,C71),2))=8,VALUE(LEFT(IF(LEN(C71)=6,"0"&amp;C71,C71),2))=18),"NW","Other")),"Other")</f>
        <v>Other</v>
      </c>
      <c r="X71" s="45" t="str">
        <f t="shared" ref="X71:X77" si="23">IF(AND(E71="TRACK WARRANT AUTHORITY",G71&lt;10),"OMIT","KEEP")</f>
        <v>KEEP</v>
      </c>
      <c r="Y71" s="99" t="str">
        <f t="shared" ref="Y71:Y102" si="24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{"issue":{"subject":"","project_id":79,"tracker_id":40,"status_id":1,"priority_id":2,"assigned_to_id":23,"start_date":"2017-06-07","description":"","custom_fields":[{"id":1,"name":"Subdivision","value":"Other"},{"id":4,"name":"Milepost","value":"10.3445"},{"id":17,"name":"Train ID","value":"53-07"},{"id":16,"name":"Locomotive ID","value":"4058"},{"id":130,"name":"Impact","value":""},{"id":150,"name":"Time of Event (Mountain Time)","value":"16:33:18"},{"id":151,"name":"Denver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62"/>
      <c r="AA71" s="47"/>
      <c r="AB71" s="47"/>
      <c r="AC71" s="118" t="str">
        <f t="shared" ref="AC71:AC77" si="25">"grep -hrE -A400 ""Enforcement Action"" "&amp;"/cygdrive/c/Users/stu/AppData/Local/Temp/OnboardLogs"&amp;"/RTDC"&amp;U71&amp;" --include=""*"&amp;U71&amp;"*"&amp;TEXT(A71-utc_offset/24,"YYYYMMDD")&amp;LEFT(TEXT(A71-utc_offset/24,"HH"),1)&amp;"*"" | grep -E ""((Enforcement Ac)|(PRM))"" -"</f>
        <v>grep -hrE -A400 "Enforcement Action" /cygdrive/c/Users/stu/AppData/Local/Temp/OnboardLogs/RTDC4058 --include="*4058*201706072*"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"%USERPROFILE%\AppData\Local\Temp\OnboardLogs"\RTDC4058\*4058*201706072* &gt;&gt; 2017-06-07-SliceDisagreementCheck.txt</v>
      </c>
      <c r="AE71" s="148" t="str">
        <f t="shared" ref="AE71:AE77" si="26">"start /low /b "&amp;dls3logs&amp;" --loco "&amp;U71&amp;" --day "&amp;TEXT(V71,"YYYY-MM-DD")</f>
        <v>start /low /b %USERPROFILE%\Documents\GitHub\eaglep3\Utilities\DownloadLogsFromS3.py --loco 4058 --day 2017-06-07</v>
      </c>
      <c r="AF71" s="1"/>
    </row>
    <row r="72" spans="1:32" x14ac:dyDescent="0.25">
      <c r="A72" s="31">
        <v>42893.690474537034</v>
      </c>
      <c r="B72" s="30" t="s">
        <v>613</v>
      </c>
      <c r="C72" s="30" t="s">
        <v>631</v>
      </c>
      <c r="D72" s="30" t="s">
        <v>49</v>
      </c>
      <c r="E72" s="30" t="s">
        <v>366</v>
      </c>
      <c r="F72" s="42">
        <v>0</v>
      </c>
      <c r="G72" s="42">
        <v>23</v>
      </c>
      <c r="H72" s="42">
        <v>103381</v>
      </c>
      <c r="I72" s="42">
        <v>103420</v>
      </c>
      <c r="J72" s="30" t="s">
        <v>367</v>
      </c>
      <c r="K72" s="42">
        <v>103445</v>
      </c>
      <c r="L72" s="134" t="s">
        <v>50</v>
      </c>
      <c r="M72" s="135">
        <f t="shared" si="18"/>
        <v>13.2</v>
      </c>
      <c r="N72" s="136" t="str">
        <f>VLOOKUP(C72,'Trips&amp;Operators'!$C$1:$G$99999,5,FALSE)</f>
        <v>MOSES BRADLEY</v>
      </c>
      <c r="O72" s="210" t="s">
        <v>182</v>
      </c>
      <c r="P72" s="137"/>
      <c r="Q72" s="30"/>
      <c r="R72" s="84" t="str">
        <f>VLOOKUP(C72,'Train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72" s="87" t="str">
        <f>VLOOKUP(C72,'Train Runs'!$A$13:$AE$9933,22,0)</f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72" s="89" t="str">
        <f t="shared" si="19"/>
        <v>"C:\Program Files (x86)\AstroGrep\AstroGrep.exe" /e /r /s /spath="%USERPROFILE%\AppData\Local\Temp\OnboardLogs" /stypes="*4058*201706072*" /stext=" 22:.+((SYSTEM_STATE.+slice.+state.+changed )|(ment ac)|(multiple cpu faults)|(system.+state.+changed )|(\[timeout)|(PRM\|1\|D)|(kpr)|(kdp)|(train st.+moving)|(\|lc)|(penalty))"</v>
      </c>
      <c r="U72" s="9" t="str">
        <f t="shared" si="20"/>
        <v>4058</v>
      </c>
      <c r="V72" s="31">
        <f t="shared" si="21"/>
        <v>42893.940474537034</v>
      </c>
      <c r="W72" s="45" t="str">
        <f t="shared" si="22"/>
        <v>Other</v>
      </c>
      <c r="X72" s="45" t="str">
        <f t="shared" si="23"/>
        <v>KEEP</v>
      </c>
      <c r="Y72" s="99" t="str">
        <f t="shared" si="24"/>
        <v>echo {"issue":{"subject":"","project_id":79,"tracker_id":40,"status_id":1,"priority_id":2,"assigned_to_id":23,"start_date":"2017-06-07","description":"","custom_fields":[{"id":1,"name":"Subdivision","value":"Other"},{"id":4,"name":"Milepost","value":"10.3445"},{"id":17,"name":"Train ID","value":"53-07"},{"id":16,"name":"Locomotive ID","value":"4058"},{"id":130,"name":"Impact","value":""},{"id":150,"name":"Time of Event (Mountain Time)","value":"16:34:17"},{"id":151,"name":"Denver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62"/>
      <c r="AA72" s="47"/>
      <c r="AB72" s="47"/>
      <c r="AC72" s="118" t="str">
        <f t="shared" si="25"/>
        <v>grep -hrE -A400 "Enforcement Action" /cygdrive/c/Users/stu/AppData/Local/Temp/OnboardLogs/RTDC4058 --include="*4058*201706072*"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"%USERPROFILE%\AppData\Local\Temp\OnboardLogs"\RTDC4058\*4058*201706072* &gt;&gt; 2017-06-07-SliceDisagreementCheck.txt</v>
      </c>
      <c r="AE72" s="148" t="str">
        <f t="shared" si="26"/>
        <v>start /low /b %USERPROFILE%\Documents\GitHub\eaglep3\Utilities\DownloadLogsFromS3.py --loco 4058 --day 2017-06-07</v>
      </c>
      <c r="AF72" s="1"/>
    </row>
    <row r="73" spans="1:32" x14ac:dyDescent="0.25">
      <c r="A73" s="31">
        <v>42893.472395833334</v>
      </c>
      <c r="B73" s="30" t="s">
        <v>342</v>
      </c>
      <c r="C73" s="30" t="s">
        <v>617</v>
      </c>
      <c r="D73" s="30" t="s">
        <v>98</v>
      </c>
      <c r="E73" s="30" t="s">
        <v>366</v>
      </c>
      <c r="F73" s="42">
        <v>200</v>
      </c>
      <c r="G73" s="42">
        <v>268</v>
      </c>
      <c r="H73" s="42">
        <v>158763</v>
      </c>
      <c r="I73" s="42">
        <v>158382</v>
      </c>
      <c r="J73" s="30" t="s">
        <v>367</v>
      </c>
      <c r="K73" s="42">
        <v>162262</v>
      </c>
      <c r="L73" s="134" t="s">
        <v>51</v>
      </c>
      <c r="M73" s="135">
        <f t="shared" si="18"/>
        <v>-2048.64</v>
      </c>
      <c r="N73" s="136" t="str">
        <f>VLOOKUP(C73,'Trips&amp;Operators'!$C$1:$G$99999,5,FALSE)</f>
        <v>STARKS ANGELINA</v>
      </c>
      <c r="O73" s="210" t="s">
        <v>182</v>
      </c>
      <c r="P73" s="137"/>
      <c r="Q73" s="30"/>
      <c r="R73" s="84" t="str">
        <f>VLOOKUP(C73,'Train Runs'!$A$13:$AE$9933,31,0)</f>
        <v>aws s3 cp s3://rtdc.mdm.uploadarchive.raw/RTDC4027/ "%USERPROFILE%\AppData\Local\Temp\OnboardLogs"\RTDC4027\2017-06-07 --exclude "*" --recursive --include "*20170607*" &amp; "%USERPROFILE%\Documents\GitHub\mrs-test-scripts\Headless Mode &amp; Sideloading\WalkAndUnGZ.bat" "%USERPROFILE%\AppData\Local\Temp\OnboardLogs"\RTDC4027\2017-06-07 &amp; aws s3 cp s3://rtdc.mdm.uploadarchive.raw/RTDC4027/ "%USERPROFILE%\AppData\Local\Temp\OnboardLogs"\RTDC4027\2017-06-08 --exclude "*" --recursive --include "*20170608*" &amp; "%USERPROFILE%\Documents\GitHub\mrs-test-scripts\Headless Mode &amp; Sideloading\WalkAndUnGZ.bat" "%USERPROFILE%\AppData\Local\Temp\OnboardLogs"\RTDC4027\2017-06-08</v>
      </c>
      <c r="S73" s="87" t="str">
        <f>VLOOKUP(C73,'Train Runs'!$A$13:$AE$9933,22,0)</f>
        <v>https://d0f6bd738d7f1b3e5a7ca70fe4ff75f0.us-east-1.aws.found.io/app/kibana#/discover/Steve-Slow-Train-Analysis-(2080s-and-2083s)?_g=(refreshInterval:(display:Off,pause:!f,section:0,value:0),time:(from:'2017-06-07T10:13:36-0600',mode:absolute,to:'2017-06-07T12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3" s="89" t="str">
        <f t="shared" si="19"/>
        <v>"C:\Program Files (x86)\AstroGrep\AstroGrep.exe" /e /r /s /spath="%USERPROFILE%\AppData\Local\Temp\OnboardLogs" /stypes="*4027*201706071*" /stext=" 17:.+((SYSTEM_STATE.+slice.+state.+changed )|(ment ac)|(multiple cpu faults)|(system.+state.+changed )|(\[timeout)|(PRM\|1\|D)|(kpr)|(kdp)|(train st.+moving)|(\|lc)|(penalty))"</v>
      </c>
      <c r="U73" s="9" t="str">
        <f t="shared" si="20"/>
        <v>4027</v>
      </c>
      <c r="V73" s="31">
        <f t="shared" si="21"/>
        <v>42893.722395833334</v>
      </c>
      <c r="W73" s="45" t="str">
        <f t="shared" si="22"/>
        <v>Other</v>
      </c>
      <c r="X73" s="45" t="str">
        <f t="shared" si="23"/>
        <v>KEEP</v>
      </c>
      <c r="Y73" s="99" t="str">
        <f t="shared" si="24"/>
        <v>echo {"issue":{"subject":"","project_id":79,"tracker_id":40,"status_id":1,"priority_id":2,"assigned_to_id":23,"start_date":"2017-06-07","description":"","custom_fields":[{"id":1,"name":"Subdivision","value":"Other"},{"id":4,"name":"Milepost","value":"16.2262"},{"id":17,"name":"Train ID","value":"64-07"},{"id":16,"name":"Locomotive ID","value":"4027"},{"id":130,"name":"Impact","value":""},{"id":150,"name":"Time of Event (Mountain Time)","value":"11:20:15"},{"id":151,"name":"Denver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162"/>
      <c r="AA73" s="47"/>
      <c r="AB73" s="47"/>
      <c r="AC73" s="118" t="str">
        <f t="shared" si="25"/>
        <v>grep -hrE -A400 "Enforcement Action" /cygdrive/c/Users/stu/AppData/Local/Temp/OnboardLogs/RTDC4027 --include="*4027*201706071*" | grep -E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"%USERPROFILE%\AppData\Local\Temp\OnboardLogs"\RTDC4027\*4027*201706071* &gt;&gt; 2017-06-07-SliceDisagreementCheck.txt</v>
      </c>
      <c r="AE73" s="148" t="str">
        <f t="shared" si="26"/>
        <v>start /low /b %USERPROFILE%\Documents\GitHub\eaglep3\Utilities\DownloadLogsFromS3.py --loco 4027 --day 2017-06-07</v>
      </c>
      <c r="AF73" s="1"/>
    </row>
    <row r="74" spans="1:32" x14ac:dyDescent="0.25">
      <c r="A74" s="31">
        <v>42893.65084490741</v>
      </c>
      <c r="B74" s="30" t="s">
        <v>596</v>
      </c>
      <c r="C74" s="30" t="s">
        <v>628</v>
      </c>
      <c r="D74" s="30" t="s">
        <v>98</v>
      </c>
      <c r="E74" s="30" t="s">
        <v>422</v>
      </c>
      <c r="F74" s="42">
        <v>0</v>
      </c>
      <c r="G74" s="42">
        <v>150</v>
      </c>
      <c r="H74" s="42">
        <v>21738</v>
      </c>
      <c r="I74" s="42">
        <v>21509</v>
      </c>
      <c r="J74" s="30" t="s">
        <v>419</v>
      </c>
      <c r="K74" s="42">
        <v>24193</v>
      </c>
      <c r="L74" s="134" t="s">
        <v>51</v>
      </c>
      <c r="M74" s="135">
        <f t="shared" si="18"/>
        <v>-1417.1520000000003</v>
      </c>
      <c r="N74" s="136" t="str">
        <f>VLOOKUP(C74,'Trips&amp;Operators'!$C$1:$G$99999,5,FALSE)</f>
        <v>BERLING GARY</v>
      </c>
      <c r="O74" s="210" t="s">
        <v>182</v>
      </c>
      <c r="P74" s="137"/>
      <c r="Q74" s="30"/>
      <c r="R74" s="84" t="str">
        <f>VLOOKUP(C74,'Train Runs'!$A$13:$AE$9933,31,0)</f>
        <v>aws s3 cp s3://rtdc.mdm.uploadarchive.raw/RTDC4061/ "%USERPROFILE%\AppData\Local\Temp\OnboardLogs"\RTDC4061\2017-06-07 --exclude "*" --recursive --include "*20170607*" &amp; "%USERPROFILE%\Documents\GitHub\mrs-test-scripts\Headless Mode &amp; Sideloading\WalkAndUnGZ.bat" "%USERPROFILE%\AppData\Local\Temp\OnboardLogs"\RTDC4061\2017-06-07 &amp; aws s3 cp s3://rtdc.mdm.uploadarchive.raw/RTDC4061/ "%USERPROFILE%\AppData\Local\Temp\OnboardLogs"\RTDC4061\2017-06-08 --exclude "*" --recursive --include "*20170608*" &amp; "%USERPROFILE%\Documents\GitHub\mrs-test-scripts\Headless Mode &amp; Sideloading\WalkAndUnGZ.bat" "%USERPROFILE%\AppData\Local\Temp\OnboardLogs"\RTDC4061\2017-06-08</v>
      </c>
      <c r="S74" s="87" t="str">
        <f>VLOOKUP(C74,'Train Runs'!$A$13:$AE$9933,22,0)</f>
        <v>https://d0f6bd738d7f1b3e5a7ca70fe4ff75f0.us-east-1.aws.found.io/app/kibana#/discover/Steve-Slow-Train-Analysis-(2080s-and-2083s)?_g=(refreshInterval:(display:Off,pause:!f,section:0,value:0),time:(from:'2017-06-07T14:23:00-0600',mode:absolute,to:'2017-06-07T16:40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74" s="89" t="str">
        <f t="shared" si="19"/>
        <v>"C:\Program Files (x86)\AstroGrep\AstroGrep.exe" /e /r /s /spath="%USERPROFILE%\AppData\Local\Temp\OnboardLogs" /stypes="*4061*201706072*" /stext=" 21:.+((SYSTEM_STATE.+slice.+state.+changed )|(ment ac)|(multiple cpu faults)|(system.+state.+changed )|(\[timeout)|(PRM\|1\|D)|(kpr)|(kdp)|(train st.+moving)|(\|lc)|(penalty))"</v>
      </c>
      <c r="U74" s="9" t="str">
        <f t="shared" si="20"/>
        <v>4061</v>
      </c>
      <c r="V74" s="31">
        <f t="shared" si="21"/>
        <v>42893.90084490741</v>
      </c>
      <c r="W74" s="45" t="str">
        <f t="shared" si="22"/>
        <v>Other</v>
      </c>
      <c r="X74" s="45" t="str">
        <f t="shared" si="23"/>
        <v>KEEP</v>
      </c>
      <c r="Y74" s="99" t="str">
        <f t="shared" si="24"/>
        <v>echo {"issue":{"subject":"","project_id":79,"tracker_id":40,"status_id":1,"priority_id":2,"assigned_to_id":23,"start_date":"2017-06-07","description":"","custom_fields":[{"id":1,"name":"Subdivision","value":"Other"},{"id":4,"name":"Milepost","value":"2.4193"},{"id":17,"name":"Train ID","value":"904-07"},{"id":16,"name":"Locomotive ID","value":"4061"},{"id":130,"name":"Impact","value":""},{"id":150,"name":"Time of Event (Mountain Time)","value":"15:37:13"},{"id":151,"name":"Denver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162"/>
      <c r="AA74" s="47"/>
      <c r="AB74" s="47"/>
      <c r="AC74" s="118" t="str">
        <f t="shared" si="25"/>
        <v>grep -hrE -A400 "Enforcement Action" /cygdrive/c/Users/stu/AppData/Local/Temp/OnboardLogs/RTDC4061 --include="*4061*201706072*" | grep -E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"&amp;TEXT(Variables!$A$2,"YYYY-MM-DD")&amp;"-SliceDisagreementCheck.txt"</f>
        <v>grep -hSE "Enforcement Action" "%USERPROFILE%\AppData\Local\Temp\OnboardLogs"\RTDC4061\*4061*201706072* &gt;&gt; 2017-06-07-SliceDisagreementCheck.txt</v>
      </c>
      <c r="AE74" s="148" t="str">
        <f t="shared" si="26"/>
        <v>start /low /b %USERPROFILE%\Documents\GitHub\eaglep3\Utilities\DownloadLogsFromS3.py --loco 4061 --day 2017-06-07</v>
      </c>
      <c r="AF74" s="1"/>
    </row>
    <row r="75" spans="1:32" x14ac:dyDescent="0.25">
      <c r="A75" s="31">
        <v>42893.689259259256</v>
      </c>
      <c r="B75" s="30" t="s">
        <v>613</v>
      </c>
      <c r="C75" s="30" t="s">
        <v>631</v>
      </c>
      <c r="D75" s="30" t="s">
        <v>49</v>
      </c>
      <c r="E75" s="30" t="s">
        <v>422</v>
      </c>
      <c r="F75" s="42">
        <v>0</v>
      </c>
      <c r="G75" s="42">
        <v>80</v>
      </c>
      <c r="H75" s="42">
        <v>103269</v>
      </c>
      <c r="I75" s="42">
        <v>103373</v>
      </c>
      <c r="J75" s="30" t="s">
        <v>419</v>
      </c>
      <c r="K75" s="42">
        <v>103445</v>
      </c>
      <c r="L75" s="134" t="s">
        <v>50</v>
      </c>
      <c r="M75" s="135">
        <f t="shared" si="18"/>
        <v>38.015999999999998</v>
      </c>
      <c r="N75" s="136" t="str">
        <f>VLOOKUP(C75,'Trips&amp;Operators'!$C$1:$G$99999,5,FALSE)</f>
        <v>MOSES BRADLEY</v>
      </c>
      <c r="O75" s="210" t="s">
        <v>182</v>
      </c>
      <c r="P75" s="137"/>
      <c r="Q75" s="30"/>
      <c r="R75" s="84" t="str">
        <f>VLOOKUP(C75,'Train Runs'!$A$13:$AE$9933,31,0)</f>
        <v>aws s3 cp s3://rtdc.mdm.uploadarchive.raw/RTDC4058/ "%USERPROFILE%\AppData\Local\Temp\OnboardLogs"\RTDC4058\2017-06-07 --exclude "*" --recursive --include "*20170607*" &amp; "%USERPROFILE%\Documents\GitHub\mrs-test-scripts\Headless Mode &amp; Sideloading\WalkAndUnGZ.bat" "%USERPROFILE%\AppData\Local\Temp\OnboardLogs"\RTDC4058\2017-06-07 &amp; aws s3 cp s3://rtdc.mdm.uploadarchive.raw/RTDC4058/ "%USERPROFILE%\AppData\Local\Temp\OnboardLogs"\RTDC4058\2017-06-08 --exclude "*" --recursive --include "*20170608*" &amp; "%USERPROFILE%\Documents\GitHub\mrs-test-scripts\Headless Mode &amp; Sideloading\WalkAndUnGZ.bat" "%USERPROFILE%\AppData\Local\Temp\OnboardLogs"\RTDC4058\2017-06-08</v>
      </c>
      <c r="S75" s="87" t="str">
        <f>VLOOKUP(C75,'Train Runs'!$A$13:$AE$9933,22,0)</f>
        <v>https://d0f6bd738d7f1b3e5a7ca70fe4ff75f0.us-east-1.aws.found.io/app/kibana#/discover/Steve-Slow-Train-Analysis-(2080s-and-2083s)?_g=(refreshInterval:(display:Off,pause:!f,section:0,value:0),time:(from:'2017-06-07T15:04:04-0600',mode:absolute,to:'2017-06-07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75" s="89" t="str">
        <f t="shared" si="19"/>
        <v>"C:\Program Files (x86)\AstroGrep\AstroGrep.exe" /e /r /s /spath="%USERPROFILE%\AppData\Local\Temp\OnboardLogs" /stypes="*4058*201706072*" /stext=" 22:.+((SYSTEM_STATE.+slice.+state.+changed )|(ment ac)|(multiple cpu faults)|(system.+state.+changed )|(\[timeout)|(PRM\|1\|D)|(kpr)|(kdp)|(train st.+moving)|(\|lc)|(penalty))"</v>
      </c>
      <c r="U75" s="9" t="str">
        <f t="shared" si="20"/>
        <v>4058</v>
      </c>
      <c r="V75" s="31">
        <f t="shared" si="21"/>
        <v>42893.939259259256</v>
      </c>
      <c r="W75" s="45" t="str">
        <f t="shared" si="22"/>
        <v>Other</v>
      </c>
      <c r="X75" s="45" t="str">
        <f t="shared" si="23"/>
        <v>KEEP</v>
      </c>
      <c r="Y75" s="99" t="str">
        <f t="shared" si="24"/>
        <v>echo {"issue":{"subject":"","project_id":79,"tracker_id":40,"status_id":1,"priority_id":2,"assigned_to_id":23,"start_date":"2017-06-07","description":"","custom_fields":[{"id":1,"name":"Subdivision","value":"Other"},{"id":4,"name":"Milepost","value":"10.3445"},{"id":17,"name":"Train ID","value":"53-07"},{"id":16,"name":"Locomotive ID","value":"4058"},{"id":130,"name":"Impact","value":""},{"id":150,"name":"Time of Event (Mountain Time)","value":"16:32:32"},{"id":151,"name":"Denver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162"/>
      <c r="AA75" s="47"/>
      <c r="AB75" s="47"/>
      <c r="AC75" s="118" t="str">
        <f t="shared" si="25"/>
        <v>grep -hrE -A400 "Enforcement Action" /cygdrive/c/Users/stu/AppData/Local/Temp/OnboardLogs/RTDC4058 --include="*4058*201706072*" | grep -E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"&amp;TEXT(Variables!$A$2,"YYYY-MM-DD")&amp;"-SliceDisagreementCheck.txt"</f>
        <v>grep -hSE "Enforcement Action" "%USERPROFILE%\AppData\Local\Temp\OnboardLogs"\RTDC4058\*4058*201706072* &gt;&gt; 2017-06-07-SliceDisagreementCheck.txt</v>
      </c>
      <c r="AE75" s="148" t="str">
        <f t="shared" si="26"/>
        <v>start /low /b %USERPROFILE%\Documents\GitHub\eaglep3\Utilities\DownloadLogsFromS3.py --loco 4058 --day 2017-06-07</v>
      </c>
      <c r="AF75" s="1"/>
    </row>
    <row r="76" spans="1:32" x14ac:dyDescent="0.25">
      <c r="A76" s="31">
        <v>42893.457280092596</v>
      </c>
      <c r="B76" s="30" t="s">
        <v>463</v>
      </c>
      <c r="C76" s="30" t="s">
        <v>616</v>
      </c>
      <c r="D76" s="30" t="s">
        <v>49</v>
      </c>
      <c r="E76" s="30" t="s">
        <v>183</v>
      </c>
      <c r="F76" s="42">
        <v>0</v>
      </c>
      <c r="G76" s="42">
        <v>113</v>
      </c>
      <c r="H76" s="42">
        <v>1428</v>
      </c>
      <c r="I76" s="42">
        <v>1307</v>
      </c>
      <c r="J76" s="30" t="s">
        <v>184</v>
      </c>
      <c r="K76" s="42">
        <v>826</v>
      </c>
      <c r="L76" s="134" t="s">
        <v>51</v>
      </c>
      <c r="M76" s="135">
        <f t="shared" si="18"/>
        <v>253.96799999999999</v>
      </c>
      <c r="N76" s="136" t="str">
        <f>VLOOKUP(C76,'Trips&amp;Operators'!$C$1:$G$99999,5,FALSE)</f>
        <v>STEWART MICHAEL</v>
      </c>
      <c r="O76" s="210" t="s">
        <v>182</v>
      </c>
      <c r="P76" s="137"/>
      <c r="Q76" s="30"/>
      <c r="R76" s="84" t="str">
        <f>VLOOKUP(C76,'Train Runs'!$A$13:$AE$9933,31,0)</f>
        <v>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 &amp; 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</v>
      </c>
      <c r="S76" s="87" t="str">
        <f>VLOOKUP(C76,'Train Runs'!$A$13:$AE$9933,22,0)</f>
        <v>https://d0f6bd738d7f1b3e5a7ca70fe4ff75f0.us-east-1.aws.found.io/app/kibana#/discover/Steve-Slow-Train-Analysis-(2080s-and-2083s)?_g=(refreshInterval:(display:Off,pause:!f,section:0,value:0),time:(from:'2017-06-07T09:40:46-0600',mode:absolute,to:'2017-06-07T11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6" s="89" t="str">
        <f t="shared" si="19"/>
        <v>"C:\Program Files (x86)\AstroGrep\AstroGrep.exe" /e /r /s /spath="%USERPROFILE%\AppData\Local\Temp\OnboardLogs" /stypes="*4001*201706071*" /stext=" 16:.+((SYSTEM_STATE.+slice.+state.+changed )|(ment ac)|(multiple cpu faults)|(system.+state.+changed )|(\[timeout)|(PRM\|1\|D)|(kpr)|(kdp)|(train st.+moving)|(\|lc)|(penalty))"</v>
      </c>
      <c r="U76" s="9" t="str">
        <f t="shared" si="20"/>
        <v>4001</v>
      </c>
      <c r="V76" s="31">
        <f t="shared" si="21"/>
        <v>42893.707280092596</v>
      </c>
      <c r="W76" s="45" t="str">
        <f t="shared" si="22"/>
        <v>Other</v>
      </c>
      <c r="X76" s="45" t="str">
        <f t="shared" si="23"/>
        <v>KEEP</v>
      </c>
      <c r="Y76" s="99" t="str">
        <f t="shared" si="24"/>
        <v>echo {"issue":{"subject":"","project_id":79,"tracker_id":40,"status_id":1,"priority_id":2,"assigned_to_id":23,"start_date":"2017-06-07","description":"","custom_fields":[{"id":1,"name":"Subdivision","value":"Other"},{"id":4,"name":"Milepost","value":"0.0826"},{"id":17,"name":"Train ID","value":"52-07"},{"id":16,"name":"Locomotive ID","value":"4001"},{"id":130,"name":"Impact","value":""},{"id":150,"name":"Time of Event (Mountain Time)","value":"10:58:29"},{"id":151,"name":"Denver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6" s="162"/>
      <c r="AA76" s="47"/>
      <c r="AB76" s="47"/>
      <c r="AC76" s="118" t="str">
        <f t="shared" si="25"/>
        <v>grep -hrE -A400 "Enforcement Action" /cygdrive/c/Users/stu/AppData/Local/Temp/OnboardLogs/RTDC4001 --include="*4001*201706071*" | grep -E "((Enforcement Ac)|(PRM))" -</v>
      </c>
      <c r="AD76" s="1" t="str">
        <f>"grep -hSE ""Enforcement Action"" "&amp;search_path&amp;"\RTDC"&amp;U76&amp;"\*"&amp;U76&amp;"*"&amp;TEXT(A76-utc_offset/24,"YYYYMMDD")&amp;LEFT(TEXT(A76-utc_offset/24,"HH"),1)&amp;"* &gt;&gt; "&amp;TEXT(Variables!$A$2,"YYYY-MM-DD")&amp;"-SliceDisagreementCheck.txt"</f>
        <v>grep -hSE "Enforcement Action" "%USERPROFILE%\AppData\Local\Temp\OnboardLogs"\RTDC4001\*4001*201706071* &gt;&gt; 2017-06-07-SliceDisagreementCheck.txt</v>
      </c>
      <c r="AE76" s="148" t="str">
        <f t="shared" si="26"/>
        <v>start /low /b %USERPROFILE%\Documents\GitHub\eaglep3\Utilities\DownloadLogsFromS3.py --loco 4001 --day 2017-06-07</v>
      </c>
      <c r="AF76" s="1"/>
    </row>
    <row r="77" spans="1:32" x14ac:dyDescent="0.25">
      <c r="A77" s="31">
        <v>42893.752604166664</v>
      </c>
      <c r="B77" s="30" t="s">
        <v>549</v>
      </c>
      <c r="C77" s="30" t="s">
        <v>637</v>
      </c>
      <c r="D77" s="30" t="s">
        <v>98</v>
      </c>
      <c r="E77" s="30" t="s">
        <v>183</v>
      </c>
      <c r="F77" s="42">
        <v>0</v>
      </c>
      <c r="G77" s="42">
        <v>5</v>
      </c>
      <c r="H77" s="42">
        <v>826</v>
      </c>
      <c r="I77" s="42">
        <v>0</v>
      </c>
      <c r="J77" s="30" t="s">
        <v>184</v>
      </c>
      <c r="K77" s="42">
        <v>826</v>
      </c>
      <c r="L77" s="134" t="s">
        <v>51</v>
      </c>
      <c r="M77" s="135">
        <f t="shared" si="18"/>
        <v>-436.12799999999999</v>
      </c>
      <c r="N77" s="136" t="str">
        <f>VLOOKUP(C77,'Trips&amp;Operators'!$C$1:$G$99999,5,FALSE)</f>
        <v>MAGEE KENYA</v>
      </c>
      <c r="O77" s="210" t="s">
        <v>182</v>
      </c>
      <c r="P77" s="137"/>
      <c r="Q77" s="30"/>
      <c r="R77" s="84" t="str">
        <f>VLOOKUP(C77,'Train Runs'!$A$13:$AE$9933,31,0)</f>
        <v>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 &amp; aws s3 cp s3://rtdc.mdm.uploadarchive.raw/RTDC4005/ "%USERPROFILE%\AppData\Local\Temp\OnboardLogs"\RTDC4005\2017-06-08 --exclude "*" --recursive --include "*20170608*" &amp; "%USERPROFILE%\Documents\GitHub\mrs-test-scripts\Headless Mode &amp; Sideloading\WalkAndUnGZ.bat" "%USERPROFILE%\AppData\Local\Temp\OnboardLogs"\RTDC4005\2017-06-08</v>
      </c>
      <c r="S77" s="87" t="str">
        <f>VLOOKUP(C77,'Train Runs'!$A$13:$AE$9933,22,0)</f>
        <v>https://d0f6bd738d7f1b3e5a7ca70fe4ff75f0.us-east-1.aws.found.io/app/kibana#/discover/Steve-Slow-Train-Analysis-(2080s-and-2083s)?_g=(refreshInterval:(display:Off,pause:!f,section:0,value:0),time:(from:'2017-06-07T17:40:13-0600',mode:absolute,to:'2017-06-07T19:43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77" s="89" t="str">
        <f t="shared" si="19"/>
        <v>"C:\Program Files (x86)\AstroGrep\AstroGrep.exe" /e /r /s /spath="%USERPROFILE%\AppData\Local\Temp\OnboardLogs" /stypes="*4005*201706080*" /stext=" 00:.+((SYSTEM_STATE.+slice.+state.+changed )|(ment ac)|(multiple cpu faults)|(system.+state.+changed )|(\[timeout)|(PRM\|1\|D)|(kpr)|(kdp)|(train st.+moving)|(\|lc)|(penalty))"</v>
      </c>
      <c r="U77" s="9" t="str">
        <f t="shared" si="20"/>
        <v>4005</v>
      </c>
      <c r="V77" s="31">
        <f t="shared" si="21"/>
        <v>42894.002604166664</v>
      </c>
      <c r="W77" s="45" t="str">
        <f t="shared" si="22"/>
        <v>Other</v>
      </c>
      <c r="X77" s="45" t="str">
        <f t="shared" si="23"/>
        <v>OMIT</v>
      </c>
      <c r="Y77" s="99" t="str">
        <f t="shared" si="24"/>
        <v>echo {"issue":{"subject":"","project_id":79,"tracker_id":40,"status_id":1,"priority_id":2,"assigned_to_id":23,"start_date":"2017-06-07","description":"","custom_fields":[{"id":1,"name":"Subdivision","value":"Other"},{"id":4,"name":"Milepost","value":"0.0826"},{"id":17,"name":"Train ID","value":"70-07"},{"id":16,"name":"Locomotive ID","value":"4005"},{"id":130,"name":"Impact","value":""},{"id":150,"name":"Time of Event (Mountain Time)","value":"18:03:45"},{"id":151,"name":"Denver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7" s="162"/>
      <c r="AA77" s="47"/>
      <c r="AB77" s="47"/>
      <c r="AC77" s="118" t="str">
        <f t="shared" si="25"/>
        <v>grep -hrE -A400 "Enforcement Action" /cygdrive/c/Users/stu/AppData/Local/Temp/OnboardLogs/RTDC4005 --include="*4005*201706080*" | grep -E "((Enforcement Ac)|(PRM))" -</v>
      </c>
      <c r="AD77" s="1" t="str">
        <f>"grep -hSE ""Enforcement Action"" "&amp;search_path&amp;"\RTDC"&amp;U77&amp;"\*"&amp;U77&amp;"*"&amp;TEXT(A77-utc_offset/24,"YYYYMMDD")&amp;LEFT(TEXT(A77-utc_offset/24,"HH"),1)&amp;"* &gt;&gt; "&amp;TEXT(Variables!$A$2,"YYYY-MM-DD")&amp;"-SliceDisagreementCheck.txt"</f>
        <v>grep -hSE "Enforcement Action" "%USERPROFILE%\AppData\Local\Temp\OnboardLogs"\RTDC4005\*4005*201706080* &gt;&gt; 2017-06-07-SliceDisagreementCheck.txt</v>
      </c>
      <c r="AE77" s="148" t="str">
        <f t="shared" si="26"/>
        <v>start /low /b %USERPROFILE%\Documents\GitHub\eaglep3\Utilities\DownloadLogsFromS3.py --loco 4005 --day 2017-06-08</v>
      </c>
      <c r="AF77" s="1"/>
    </row>
  </sheetData>
  <autoFilter ref="A6:AC77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AA7:AA77</xm:sqref>
        </x14:dataValidation>
        <x14:dataValidation type="list" allowBlank="1" showInputMessage="1" showErrorMessage="1">
          <x14:formula1>
            <xm:f>'Redmine List Values'!$C$2:$C$15</xm:f>
          </x14:formula1>
          <xm:sqref>AB7:AB77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1"/>
  <sheetViews>
    <sheetView workbookViewId="0">
      <selection activeCell="D14" sqref="D14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2017-06-07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>
        <v>148</v>
      </c>
      <c r="B3" s="42" t="str">
        <f>A3&amp;"-"&amp;IF(DAY(Variables!$A$2)&lt;10,0,"")&amp;DAY(Variables!$A$2)</f>
        <v>148-07</v>
      </c>
      <c r="C3" s="138"/>
      <c r="D3" s="156"/>
      <c r="E3" s="30" t="s">
        <v>1031</v>
      </c>
      <c r="F3" s="21" t="str">
        <f>VLOOKUP(B3,'Trips&amp;Operators'!$C$2:$E$10000,3,FALSE)</f>
        <v>STARKS</v>
      </c>
      <c r="G3" s="21" t="str">
        <f>VLOOKUP(B3,'Trips&amp;Operators'!$C$1:$F$10000,4,FALSE)</f>
        <v>ANGELINA</v>
      </c>
      <c r="H3" s="29" t="str">
        <f>VLOOKUP(B3,'Trips&amp;Operators'!$C$1:$H$10000,5,FALSE)</f>
        <v>STARKS ANGELINA</v>
      </c>
      <c r="I3" s="45" t="str">
        <f t="shared" ref="I3:I3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22148-07%22)),sort:!(Time.ISO8601,asc))</v>
      </c>
      <c r="J3" s="30" t="e">
        <f>VLOOKUP(B3,'Train Runs'!$A$13:$A$99930,1,FALSE)</f>
        <v>#N/A</v>
      </c>
    </row>
    <row r="4" spans="1:10" x14ac:dyDescent="0.25">
      <c r="A4" s="202">
        <v>176</v>
      </c>
      <c r="B4" s="42" t="str">
        <f>A4&amp;"-"&amp;IF(DAY(Variables!$A$2)&lt;10,0,"")&amp;DAY(Variables!$A$2)</f>
        <v>176-07</v>
      </c>
      <c r="C4" s="138"/>
      <c r="D4" s="156"/>
      <c r="E4" s="30" t="s">
        <v>1041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22176-07%22)),sort:!(Time.ISO8601,asc))</v>
      </c>
      <c r="J4" s="30" t="e">
        <f>VLOOKUP(B4,'Train Runs'!$A$13:$A$99930,1,FALSE)</f>
        <v>#N/A</v>
      </c>
    </row>
    <row r="5" spans="1:10" x14ac:dyDescent="0.25">
      <c r="A5" s="202">
        <v>177</v>
      </c>
      <c r="B5" s="42" t="str">
        <f>A5&amp;"-"&amp;IF(DAY(Variables!$A$2)&lt;10,0,"")&amp;DAY(Variables!$A$2)</f>
        <v>177-07</v>
      </c>
      <c r="C5" s="138"/>
      <c r="D5" s="156"/>
      <c r="E5" s="30" t="s">
        <v>1041</v>
      </c>
      <c r="F5" s="21" t="str">
        <f>VLOOKUP(B5,'Trips&amp;Operators'!$C$2:$E$10000,3,FALSE)</f>
        <v>DE LA ROSA</v>
      </c>
      <c r="G5" s="21" t="str">
        <f>VLOOKUP(B5,'Trips&amp;Operators'!$C$1:$F$10000,4,FALSE)</f>
        <v>ALEX</v>
      </c>
      <c r="H5" s="29" t="str">
        <f>VLOOKUP(B5,'Trips&amp;Operators'!$C$1:$H$10000,5,FALSE)</f>
        <v>DE LA ROSA ALEX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22177-07%22)),sort:!(Time.ISO8601,asc))</v>
      </c>
      <c r="J5" s="30" t="e">
        <f>VLOOKUP(B5,'Train Runs'!$A$13:$A$99930,1,FALSE)</f>
        <v>#N/A</v>
      </c>
    </row>
    <row r="6" spans="1:10" x14ac:dyDescent="0.25">
      <c r="A6" s="202">
        <v>178</v>
      </c>
      <c r="B6" s="42" t="str">
        <f>A6&amp;"-"&amp;IF(DAY(Variables!$A$2)&lt;10,0,"")&amp;DAY(Variables!$A$2)</f>
        <v>178-07</v>
      </c>
      <c r="C6" s="138"/>
      <c r="D6" s="156"/>
      <c r="E6" s="30" t="s">
        <v>1041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22178-07%22)),sort:!(Time.ISO8601,asc))</v>
      </c>
      <c r="J6" s="30" t="e">
        <f>VLOOKUP(B6,'Train Runs'!$A$13:$A$99930,1,FALSE)</f>
        <v>#N/A</v>
      </c>
    </row>
    <row r="7" spans="1:10" x14ac:dyDescent="0.25">
      <c r="A7" s="202"/>
      <c r="B7" s="42" t="str">
        <f>A7&amp;"-"&amp;IF(DAY(Variables!$A$2)&lt;10,0,"")&amp;DAY(Variables!$A$2)</f>
        <v>-07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Runs'!$A$13:$A$99930,1,FALSE)</f>
        <v>#N/A</v>
      </c>
    </row>
    <row r="8" spans="1:10" x14ac:dyDescent="0.25">
      <c r="A8" s="202"/>
      <c r="B8" s="42" t="str">
        <f>A8&amp;"-"&amp;IF(DAY(Variables!$A$2)&lt;10,0,"")&amp;DAY(Variables!$A$2)</f>
        <v>-07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Runs'!$A$13:$A$99930,1,FALSE)</f>
        <v>#N/A</v>
      </c>
    </row>
    <row r="9" spans="1:10" x14ac:dyDescent="0.25">
      <c r="A9" s="202"/>
      <c r="B9" s="42" t="str">
        <f>A9&amp;"-"&amp;IF(DAY(Variables!$A$2)&lt;10,0,"")&amp;DAY(Variables!$A$2)</f>
        <v>-07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Runs'!$A$13:$A$99930,1,FALSE)</f>
        <v>#N/A</v>
      </c>
    </row>
    <row r="10" spans="1:10" x14ac:dyDescent="0.25">
      <c r="A10" s="202"/>
      <c r="B10" s="42" t="str">
        <f>A10&amp;"-"&amp;IF(DAY(Variables!$A$2)&lt;10,0,"")&amp;DAY(Variables!$A$2)</f>
        <v>-07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Runs'!$A$13:$A$99930,1,FALSE)</f>
        <v>#N/A</v>
      </c>
    </row>
    <row r="11" spans="1:10" x14ac:dyDescent="0.25">
      <c r="A11" s="202"/>
      <c r="B11" s="42" t="str">
        <f>A11&amp;"-"&amp;IF(DAY(Variables!$A$2)&lt;10,0,"")&amp;DAY(Variables!$A$2)</f>
        <v>-07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Runs'!$A$13:$A$99930,1,FALSE)</f>
        <v>#N/A</v>
      </c>
    </row>
    <row r="12" spans="1:10" x14ac:dyDescent="0.25">
      <c r="A12" s="202"/>
      <c r="B12" s="42" t="str">
        <f>A12&amp;"-"&amp;IF(DAY(Variables!$A$2)&lt;10,0,"")&amp;DAY(Variables!$A$2)</f>
        <v>-07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Runs'!$A$13:$A$99930,1,FALSE)</f>
        <v>#N/A</v>
      </c>
    </row>
    <row r="13" spans="1:10" x14ac:dyDescent="0.25">
      <c r="A13" s="202"/>
      <c r="B13" s="42" t="str">
        <f>A13&amp;"-"&amp;IF(DAY(Variables!$A$2)&lt;10,0,"")&amp;DAY(Variables!$A$2)</f>
        <v>-07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Runs'!$A$13:$A$99930,1,FALSE)</f>
        <v>#N/A</v>
      </c>
    </row>
    <row r="14" spans="1:10" x14ac:dyDescent="0.25">
      <c r="A14" s="202"/>
      <c r="B14" s="42" t="str">
        <f>A14&amp;"-"&amp;IF(DAY(Variables!$A$2)&lt;10,0,"")&amp;DAY(Variables!$A$2)</f>
        <v>-07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Runs'!$A$13:$A$99930,1,FALSE)</f>
        <v>#N/A</v>
      </c>
    </row>
    <row r="15" spans="1:10" x14ac:dyDescent="0.25">
      <c r="A15" s="202"/>
      <c r="B15" s="42" t="str">
        <f>A15&amp;"-"&amp;IF(DAY(Variables!$A$2)&lt;10,0,"")&amp;DAY(Variables!$A$2)</f>
        <v>-07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Runs'!$A$13:$A$99930,1,FALSE)</f>
        <v>#N/A</v>
      </c>
    </row>
    <row r="16" spans="1:10" x14ac:dyDescent="0.25">
      <c r="A16" s="202"/>
      <c r="B16" s="42" t="str">
        <f>A16&amp;"-"&amp;IF(DAY(Variables!$A$2)&lt;10,0,"")&amp;DAY(Variables!$A$2)</f>
        <v>-07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Runs'!$A$13:$A$99930,1,FALSE)</f>
        <v>#N/A</v>
      </c>
    </row>
    <row r="17" spans="1:10" x14ac:dyDescent="0.25">
      <c r="A17" s="202"/>
      <c r="B17" s="42" t="str">
        <f>A17&amp;"-"&amp;IF(DAY(Variables!$A$2)&lt;10,0,"")&amp;DAY(Variables!$A$2)</f>
        <v>-07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Runs'!$A$13:$A$99930,1,FALSE)</f>
        <v>#N/A</v>
      </c>
    </row>
    <row r="18" spans="1:10" x14ac:dyDescent="0.25">
      <c r="A18" s="202"/>
      <c r="B18" s="42" t="str">
        <f>A18&amp;"-"&amp;IF(DAY(Variables!$A$2)&lt;10,0,"")&amp;DAY(Variables!$A$2)</f>
        <v>-07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Runs'!$A$13:$A$99930,1,FALSE)</f>
        <v>#N/A</v>
      </c>
    </row>
    <row r="19" spans="1:10" x14ac:dyDescent="0.25">
      <c r="A19" s="202"/>
      <c r="B19" s="42" t="str">
        <f>A19&amp;"-"&amp;IF(DAY(Variables!$A$2)&lt;10,0,"")&amp;DAY(Variables!$A$2)</f>
        <v>-07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Runs'!$A$13:$A$99930,1,FALSE)</f>
        <v>#N/A</v>
      </c>
    </row>
    <row r="20" spans="1:10" x14ac:dyDescent="0.25">
      <c r="A20" s="202"/>
      <c r="B20" s="42" t="str">
        <f>A20&amp;"-"&amp;IF(DAY(Variables!$A$2)&lt;10,0,"")&amp;DAY(Variables!$A$2)</f>
        <v>-07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Runs'!$A$13:$A$99930,1,FALSE)</f>
        <v>#N/A</v>
      </c>
    </row>
    <row r="21" spans="1:10" x14ac:dyDescent="0.25">
      <c r="A21" s="202"/>
      <c r="B21" s="42" t="str">
        <f>A21&amp;"-"&amp;IF(DAY(Variables!$A$2)&lt;10,0,"")&amp;DAY(Variables!$A$2)</f>
        <v>-07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Runs'!$A$13:$A$99930,1,FALSE)</f>
        <v>#N/A</v>
      </c>
    </row>
    <row r="22" spans="1:10" x14ac:dyDescent="0.25">
      <c r="A22" s="202"/>
      <c r="B22" s="42" t="str">
        <f>A22&amp;"-"&amp;IF(DAY(Variables!$A$2)&lt;10,0,"")&amp;DAY(Variables!$A$2)</f>
        <v>-07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Runs'!$A$13:$A$99930,1,FALSE)</f>
        <v>#N/A</v>
      </c>
    </row>
    <row r="23" spans="1:10" x14ac:dyDescent="0.25">
      <c r="A23" s="202"/>
      <c r="B23" s="42" t="str">
        <f>A23&amp;"-"&amp;IF(DAY(Variables!$A$2)&lt;10,0,"")&amp;DAY(Variables!$A$2)</f>
        <v>-07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3" s="30" t="e">
        <f>VLOOKUP(B23,'Train Runs'!$A$13:$A$99930,1,FALSE)</f>
        <v>#N/A</v>
      </c>
    </row>
    <row r="24" spans="1:10" x14ac:dyDescent="0.25">
      <c r="A24" s="202"/>
      <c r="B24" s="42" t="str">
        <f>A24&amp;"-"&amp;IF(DAY(Variables!$A$2)&lt;10,0,"")&amp;DAY(Variables!$A$2)</f>
        <v>-07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4" s="30" t="e">
        <f>VLOOKUP(B24,'Train Runs'!$A$13:$A$99930,1,FALSE)</f>
        <v>#N/A</v>
      </c>
    </row>
    <row r="25" spans="1:10" x14ac:dyDescent="0.25">
      <c r="A25" s="202"/>
      <c r="B25" s="42" t="str">
        <f>A25&amp;"-"&amp;IF(DAY(Variables!$A$2)&lt;10,0,"")&amp;DAY(Variables!$A$2)</f>
        <v>-07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5" s="30" t="e">
        <f>VLOOKUP(B25,'Train Runs'!$A$13:$A$99930,1,FALSE)</f>
        <v>#N/A</v>
      </c>
    </row>
    <row r="26" spans="1:10" x14ac:dyDescent="0.25">
      <c r="A26" s="202"/>
      <c r="B26" s="42" t="str">
        <f>A26&amp;"-"&amp;IF(DAY(Variables!$A$2)&lt;10,0,"")&amp;DAY(Variables!$A$2)</f>
        <v>-07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6" s="30" t="e">
        <f>VLOOKUP(B26,'Train Runs'!$A$13:$A$99930,1,FALSE)</f>
        <v>#N/A</v>
      </c>
    </row>
    <row r="27" spans="1:10" x14ac:dyDescent="0.25">
      <c r="A27" s="202"/>
      <c r="B27" s="42" t="str">
        <f>A27&amp;"-"&amp;IF(DAY(Variables!$A$2)&lt;10,0,"")&amp;DAY(Variables!$A$2)</f>
        <v>-07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7" s="30" t="e">
        <f>VLOOKUP(B27,'Train Runs'!$A$13:$A$99930,1,FALSE)</f>
        <v>#N/A</v>
      </c>
    </row>
    <row r="28" spans="1:10" x14ac:dyDescent="0.25">
      <c r="A28" s="202"/>
      <c r="B28" s="42" t="str">
        <f>A28&amp;"-"&amp;IF(DAY(Variables!$A$2)&lt;10,0,"")&amp;DAY(Variables!$A$2)</f>
        <v>-07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8" s="30" t="e">
        <f>VLOOKUP(B28,'Train Runs'!$A$13:$A$99930,1,FALSE)</f>
        <v>#N/A</v>
      </c>
    </row>
    <row r="29" spans="1:10" x14ac:dyDescent="0.25">
      <c r="A29" s="202"/>
      <c r="B29" s="42" t="str">
        <f>A29&amp;"-"&amp;IF(DAY(Variables!$A$2)&lt;10,0,"")&amp;DAY(Variables!$A$2)</f>
        <v>-07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9" s="30" t="e">
        <f>VLOOKUP(B29,'Train Runs'!$A$13:$A$99930,1,FALSE)</f>
        <v>#N/A</v>
      </c>
    </row>
    <row r="30" spans="1:10" x14ac:dyDescent="0.25">
      <c r="A30" s="202"/>
      <c r="B30" s="42" t="str">
        <f>A30&amp;"-"&amp;IF(DAY(Variables!$A$2)&lt;10,0,"")&amp;DAY(Variables!$A$2)</f>
        <v>-07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0" s="30" t="e">
        <f>VLOOKUP(B30,'Train Runs'!$A$13:$A$99930,1,FALSE)</f>
        <v>#N/A</v>
      </c>
    </row>
    <row r="31" spans="1:10" x14ac:dyDescent="0.25">
      <c r="A31" s="202"/>
      <c r="B31" s="42" t="str">
        <f>A31&amp;"-"&amp;IF(DAY(Variables!$A$2)&lt;10,0,"")&amp;DAY(Variables!$A$2)</f>
        <v>-07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1" s="30" t="e">
        <f>VLOOKUP(B31,'Train Runs'!$A$13:$A$99930,1,FALSE)</f>
        <v>#N/A</v>
      </c>
    </row>
    <row r="32" spans="1:10" x14ac:dyDescent="0.25">
      <c r="A32" s="202"/>
      <c r="B32" s="42" t="str">
        <f>A32&amp;"-"&amp;IF(DAY(Variables!$A$2)&lt;10,0,"")&amp;DAY(Variables!$A$2)</f>
        <v>-07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2" s="30" t="e">
        <f>VLOOKUP(B32,'Train Runs'!$A$13:$A$99930,1,FALSE)</f>
        <v>#N/A</v>
      </c>
    </row>
    <row r="33" spans="1:10" x14ac:dyDescent="0.25">
      <c r="A33" s="202"/>
      <c r="B33" s="42" t="str">
        <f>A33&amp;"-"&amp;IF(DAY(Variables!$A$2)&lt;10,0,"")&amp;DAY(Variables!$A$2)</f>
        <v>-07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3" s="30" t="e">
        <f>VLOOKUP(B33,'Train Runs'!$A$13:$A$99930,1,FALSE)</f>
        <v>#N/A</v>
      </c>
    </row>
    <row r="34" spans="1:10" x14ac:dyDescent="0.25">
      <c r="A34" s="202"/>
      <c r="B34" s="42" t="str">
        <f>A34&amp;"-"&amp;IF(DAY(Variables!$A$2)&lt;10,0,"")&amp;DAY(Variables!$A$2)</f>
        <v>-07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4" s="30" t="e">
        <f>VLOOKUP(B34,'Train Runs'!$A$13:$A$99930,1,FALSE)</f>
        <v>#N/A</v>
      </c>
    </row>
    <row r="35" spans="1:10" x14ac:dyDescent="0.25">
      <c r="A35" s="202"/>
      <c r="B35" s="42" t="str">
        <f>A35&amp;"-"&amp;IF(DAY(Variables!$A$2)&lt;10,0,"")&amp;DAY(Variables!$A$2)</f>
        <v>-07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ref="I35:I5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5" s="30" t="e">
        <f>VLOOKUP(B35,'Train Runs'!$A$13:$A$99930,1,FALSE)</f>
        <v>#N/A</v>
      </c>
    </row>
    <row r="36" spans="1:10" x14ac:dyDescent="0.25">
      <c r="A36" s="202"/>
      <c r="B36" s="42" t="str">
        <f>A36&amp;"-"&amp;IF(DAY(Variables!$A$2)&lt;10,0,"")&amp;DAY(Variables!$A$2)</f>
        <v>-07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6" s="30" t="e">
        <f>VLOOKUP(B36,'Train Runs'!$A$13:$A$99930,1,FALSE)</f>
        <v>#N/A</v>
      </c>
    </row>
    <row r="37" spans="1:10" x14ac:dyDescent="0.25">
      <c r="A37" s="202"/>
      <c r="B37" s="42" t="str">
        <f>A37&amp;"-"&amp;IF(DAY(Variables!$A$2)&lt;10,0,"")&amp;DAY(Variables!$A$2)</f>
        <v>-07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7" s="30" t="e">
        <f>VLOOKUP(B37,'Train Runs'!$A$13:$A$99930,1,FALSE)</f>
        <v>#N/A</v>
      </c>
    </row>
    <row r="38" spans="1:10" x14ac:dyDescent="0.25">
      <c r="A38" s="202"/>
      <c r="B38" s="42" t="str">
        <f>A38&amp;"-"&amp;IF(DAY(Variables!$A$2)&lt;10,0,"")&amp;DAY(Variables!$A$2)</f>
        <v>-07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8" s="30" t="e">
        <f>VLOOKUP(B38,'Train Runs'!$A$13:$A$99930,1,FALSE)</f>
        <v>#N/A</v>
      </c>
    </row>
    <row r="39" spans="1:10" x14ac:dyDescent="0.25">
      <c r="A39" s="202"/>
      <c r="B39" s="42" t="str">
        <f>A39&amp;"-"&amp;IF(DAY(Variables!$A$2)&lt;10,0,"")&amp;DAY(Variables!$A$2)</f>
        <v>-07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9" s="30" t="e">
        <f>VLOOKUP(B39,'Train Runs'!$A$13:$A$99930,1,FALSE)</f>
        <v>#N/A</v>
      </c>
    </row>
    <row r="40" spans="1:10" x14ac:dyDescent="0.25">
      <c r="A40" s="202"/>
      <c r="B40" s="42" t="str">
        <f>A40&amp;"-"&amp;IF(DAY(Variables!$A$2)&lt;10,0,"")&amp;DAY(Variables!$A$2)</f>
        <v>-07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0" s="30" t="e">
        <f>VLOOKUP(B40,'Train Runs'!$A$13:$A$99930,1,FALSE)</f>
        <v>#N/A</v>
      </c>
    </row>
    <row r="41" spans="1:10" x14ac:dyDescent="0.25">
      <c r="A41" s="202"/>
      <c r="B41" s="42" t="str">
        <f>A41&amp;"-"&amp;IF(DAY(Variables!$A$2)&lt;10,0,"")&amp;DAY(Variables!$A$2)</f>
        <v>-07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1" s="30" t="e">
        <f>VLOOKUP(B41,'Train Runs'!$A$13:$A$99930,1,FALSE)</f>
        <v>#N/A</v>
      </c>
    </row>
    <row r="42" spans="1:10" x14ac:dyDescent="0.25">
      <c r="A42" s="202"/>
      <c r="B42" s="42" t="str">
        <f>A42&amp;"-"&amp;IF(DAY(Variables!$A$2)&lt;10,0,"")&amp;DAY(Variables!$A$2)</f>
        <v>-07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2" s="30" t="e">
        <f>VLOOKUP(B42,'Train Runs'!$A$13:$A$99930,1,FALSE)</f>
        <v>#N/A</v>
      </c>
    </row>
    <row r="43" spans="1:10" x14ac:dyDescent="0.25">
      <c r="A43" s="202"/>
      <c r="B43" s="42" t="str">
        <f>A43&amp;"-"&amp;IF(DAY(Variables!$A$2)&lt;10,0,"")&amp;DAY(Variables!$A$2)</f>
        <v>-07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3" s="30" t="e">
        <f>VLOOKUP(B43,'Train Runs'!$A$13:$A$99930,1,FALSE)</f>
        <v>#N/A</v>
      </c>
    </row>
    <row r="44" spans="1:10" x14ac:dyDescent="0.25">
      <c r="A44" s="202"/>
      <c r="B44" s="42" t="str">
        <f>A44&amp;"-"&amp;IF(DAY(Variables!$A$2)&lt;10,0,"")&amp;DAY(Variables!$A$2)</f>
        <v>-07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4" s="30" t="e">
        <f>VLOOKUP(B44,'Train Runs'!$A$13:$A$99930,1,FALSE)</f>
        <v>#N/A</v>
      </c>
    </row>
    <row r="45" spans="1:10" x14ac:dyDescent="0.25">
      <c r="A45" s="202"/>
      <c r="B45" s="42" t="str">
        <f>A45&amp;"-"&amp;IF(DAY(Variables!$A$2)&lt;10,0,"")&amp;DAY(Variables!$A$2)</f>
        <v>-07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5" s="30" t="e">
        <f>VLOOKUP(B45,'Train Runs'!$A$13:$A$99930,1,FALSE)</f>
        <v>#N/A</v>
      </c>
    </row>
    <row r="46" spans="1:10" x14ac:dyDescent="0.25">
      <c r="A46" s="202"/>
      <c r="B46" s="42" t="str">
        <f>A46&amp;"-"&amp;IF(DAY(Variables!$A$2)&lt;10,0,"")&amp;DAY(Variables!$A$2)</f>
        <v>-07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6" s="30" t="e">
        <f>VLOOKUP(B46,'Train Runs'!$A$13:$A$99930,1,FALSE)</f>
        <v>#N/A</v>
      </c>
    </row>
    <row r="47" spans="1:10" x14ac:dyDescent="0.25">
      <c r="A47" s="202"/>
      <c r="B47" s="42" t="str">
        <f>A47&amp;"-"&amp;IF(DAY(Variables!$A$2)&lt;10,0,"")&amp;DAY(Variables!$A$2)</f>
        <v>-07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7" s="30" t="e">
        <f>VLOOKUP(B47,'Train Runs'!$A$13:$A$99930,1,FALSE)</f>
        <v>#N/A</v>
      </c>
    </row>
    <row r="48" spans="1:10" x14ac:dyDescent="0.25">
      <c r="A48" s="202"/>
      <c r="B48" s="42" t="str">
        <f>A48&amp;"-"&amp;IF(DAY(Variables!$A$2)&lt;10,0,"")&amp;DAY(Variables!$A$2)</f>
        <v>-07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8" s="30" t="e">
        <f>VLOOKUP(B48,'Train Runs'!$A$13:$A$99930,1,FALSE)</f>
        <v>#N/A</v>
      </c>
    </row>
    <row r="49" spans="1:10" x14ac:dyDescent="0.25">
      <c r="A49" s="202"/>
      <c r="B49" s="42" t="str">
        <f>A49&amp;"-"&amp;IF(DAY(Variables!$A$2)&lt;10,0,"")&amp;DAY(Variables!$A$2)</f>
        <v>-07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9" s="30" t="e">
        <f>VLOOKUP(B49,'Train Runs'!$A$13:$A$99930,1,FALSE)</f>
        <v>#N/A</v>
      </c>
    </row>
    <row r="50" spans="1:10" x14ac:dyDescent="0.25">
      <c r="A50" s="202"/>
      <c r="B50" s="42" t="str">
        <f>A50&amp;"-"&amp;IF(DAY(Variables!$A$2)&lt;10,0,"")&amp;DAY(Variables!$A$2)</f>
        <v>-07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0" s="30" t="e">
        <f>VLOOKUP(B50,'Train Runs'!$A$13:$A$99930,1,FALSE)</f>
        <v>#N/A</v>
      </c>
    </row>
    <row r="51" spans="1:10" x14ac:dyDescent="0.25">
      <c r="A51" s="202"/>
      <c r="B51" s="42" t="str">
        <f>A51&amp;"-"&amp;IF(DAY(Variables!$A$2)&lt;10,0,"")&amp;DAY(Variables!$A$2)</f>
        <v>-07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1" s="30" t="e">
        <f>VLOOKUP(B51,'Train Runs'!$A$13:$A$99930,1,FALSE)</f>
        <v>#N/A</v>
      </c>
    </row>
    <row r="52" spans="1:10" x14ac:dyDescent="0.25">
      <c r="A52" s="202"/>
      <c r="B52" s="42" t="str">
        <f>A52&amp;"-"&amp;IF(DAY(Variables!$A$2)&lt;10,0,"")&amp;DAY(Variables!$A$2)</f>
        <v>-07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2" s="30" t="e">
        <f>VLOOKUP(B52,'Train Runs'!$A$13:$A$99930,1,FALSE)</f>
        <v>#N/A</v>
      </c>
    </row>
    <row r="53" spans="1:10" x14ac:dyDescent="0.25">
      <c r="A53" s="202"/>
      <c r="B53" s="42" t="str">
        <f>A53&amp;"-"&amp;IF(DAY(Variables!$A$2)&lt;10,0,"")&amp;DAY(Variables!$A$2)</f>
        <v>-07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3" s="30" t="e">
        <f>VLOOKUP(B53,'Train Runs'!$A$13:$A$99930,1,FALSE)</f>
        <v>#N/A</v>
      </c>
    </row>
    <row r="54" spans="1:10" x14ac:dyDescent="0.25">
      <c r="A54" s="202"/>
      <c r="B54" s="42" t="str">
        <f>A54&amp;"-"&amp;IF(DAY(Variables!$A$2)&lt;10,0,"")&amp;DAY(Variables!$A$2)</f>
        <v>-07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4" s="30" t="e">
        <f>VLOOKUP(B54,'Train Runs'!$A$13:$A$99930,1,FALSE)</f>
        <v>#N/A</v>
      </c>
    </row>
    <row r="55" spans="1:10" x14ac:dyDescent="0.25">
      <c r="A55" s="202"/>
      <c r="B55" s="42" t="str">
        <f>A55&amp;"-"&amp;IF(DAY(Variables!$A$2)&lt;10,0,"")&amp;DAY(Variables!$A$2)</f>
        <v>-07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5" s="30" t="e">
        <f>VLOOKUP(B55,'Train Runs'!$A$13:$A$99930,1,FALSE)</f>
        <v>#N/A</v>
      </c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</sheetData>
  <autoFilter ref="A2:J6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42893.039780092593</v>
      </c>
      <c r="B2" s="20" t="s">
        <v>544</v>
      </c>
      <c r="C2" s="20" t="s">
        <v>547</v>
      </c>
      <c r="D2" s="141">
        <v>3000000</v>
      </c>
      <c r="E2" s="20" t="s">
        <v>439</v>
      </c>
      <c r="F2" s="20" t="s">
        <v>440</v>
      </c>
      <c r="G2" s="8" t="str">
        <f>E2&amp;" "&amp;F2</f>
        <v>FORTUNATO FRANK</v>
      </c>
    </row>
    <row r="3" spans="1:7" x14ac:dyDescent="0.25">
      <c r="A3" s="8">
        <v>42893.047638888886</v>
      </c>
      <c r="B3" s="20" t="s">
        <v>548</v>
      </c>
      <c r="C3" s="20" t="s">
        <v>554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42893.049583333333</v>
      </c>
      <c r="B4" s="20" t="s">
        <v>548</v>
      </c>
      <c r="C4" s="20" t="s">
        <v>554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42893.057488425926</v>
      </c>
      <c r="B5" s="20" t="s">
        <v>375</v>
      </c>
      <c r="C5" s="20" t="s">
        <v>555</v>
      </c>
      <c r="D5" s="141">
        <v>2610000</v>
      </c>
      <c r="E5" s="20" t="s">
        <v>428</v>
      </c>
      <c r="F5" s="20" t="s">
        <v>429</v>
      </c>
      <c r="G5" s="8" t="str">
        <f t="shared" si="0"/>
        <v>MAGEE KENYA</v>
      </c>
    </row>
    <row r="6" spans="1:7" x14ac:dyDescent="0.25">
      <c r="A6" s="8">
        <v>42893.071006944447</v>
      </c>
      <c r="B6" s="20" t="s">
        <v>545</v>
      </c>
      <c r="C6" s="20" t="s">
        <v>556</v>
      </c>
      <c r="D6" s="141">
        <v>3000000</v>
      </c>
      <c r="E6" s="20" t="s">
        <v>439</v>
      </c>
      <c r="F6" s="20" t="s">
        <v>440</v>
      </c>
      <c r="G6" s="8" t="str">
        <f t="shared" si="0"/>
        <v>FORTUNATO FRANK</v>
      </c>
    </row>
    <row r="7" spans="1:7" x14ac:dyDescent="0.25">
      <c r="A7" s="8">
        <v>42893.07167824074</v>
      </c>
      <c r="B7" s="20" t="s">
        <v>545</v>
      </c>
      <c r="C7" s="20" t="s">
        <v>556</v>
      </c>
      <c r="D7" s="141">
        <v>3000000</v>
      </c>
      <c r="E7" s="20" t="s">
        <v>439</v>
      </c>
      <c r="F7" s="20" t="s">
        <v>440</v>
      </c>
      <c r="G7" s="8" t="str">
        <f t="shared" si="0"/>
        <v>FORTUNATO FRANK</v>
      </c>
    </row>
    <row r="8" spans="1:7" x14ac:dyDescent="0.25">
      <c r="A8" s="8">
        <v>42893.074675925927</v>
      </c>
      <c r="B8" s="20" t="s">
        <v>545</v>
      </c>
      <c r="C8" s="20" t="s">
        <v>556</v>
      </c>
      <c r="D8" s="141">
        <v>3000000</v>
      </c>
      <c r="E8" s="20" t="s">
        <v>439</v>
      </c>
      <c r="F8" s="20" t="s">
        <v>440</v>
      </c>
      <c r="G8" s="8" t="str">
        <f t="shared" si="0"/>
        <v>FORTUNATO FRANK</v>
      </c>
    </row>
    <row r="9" spans="1:7" ht="15.75" thickBot="1" x14ac:dyDescent="0.3">
      <c r="A9" s="24">
        <v>42893.090601851851</v>
      </c>
      <c r="B9" s="20" t="s">
        <v>378</v>
      </c>
      <c r="C9" s="20" t="s">
        <v>557</v>
      </c>
      <c r="D9" s="141">
        <v>2610000</v>
      </c>
      <c r="E9" s="20" t="s">
        <v>428</v>
      </c>
      <c r="F9" s="20" t="s">
        <v>429</v>
      </c>
      <c r="G9" s="8" t="str">
        <f t="shared" si="0"/>
        <v>MAGEE KENYA</v>
      </c>
    </row>
    <row r="10" spans="1:7" x14ac:dyDescent="0.25">
      <c r="A10" s="8">
        <v>42893.116238425922</v>
      </c>
      <c r="B10" s="20" t="s">
        <v>423</v>
      </c>
      <c r="C10" s="20" t="s">
        <v>655</v>
      </c>
      <c r="D10" s="141">
        <v>3120000</v>
      </c>
      <c r="E10" s="20" t="s">
        <v>473</v>
      </c>
      <c r="F10" s="20" t="s">
        <v>474</v>
      </c>
      <c r="G10" s="8" t="str">
        <f t="shared" si="0"/>
        <v>THOMPSON LESTER</v>
      </c>
    </row>
    <row r="11" spans="1:7" x14ac:dyDescent="0.25">
      <c r="A11" s="8">
        <v>42893.127800925926</v>
      </c>
      <c r="B11" s="20" t="s">
        <v>362</v>
      </c>
      <c r="C11" s="20" t="s">
        <v>656</v>
      </c>
      <c r="D11" s="141">
        <v>1090000</v>
      </c>
      <c r="E11" s="20" t="s">
        <v>510</v>
      </c>
      <c r="F11" s="20" t="s">
        <v>194</v>
      </c>
      <c r="G11" s="8" t="str">
        <f t="shared" si="0"/>
        <v>SPECTOR MICHAEL</v>
      </c>
    </row>
    <row r="12" spans="1:7" x14ac:dyDescent="0.25">
      <c r="A12" s="8">
        <v>42893.128391203703</v>
      </c>
      <c r="B12" s="20" t="s">
        <v>362</v>
      </c>
      <c r="C12" s="20" t="s">
        <v>657</v>
      </c>
      <c r="D12" s="141">
        <v>1090000</v>
      </c>
      <c r="E12" s="20" t="s">
        <v>510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42893.129131944443</v>
      </c>
      <c r="B13" s="20" t="s">
        <v>496</v>
      </c>
      <c r="C13" s="20" t="s">
        <v>658</v>
      </c>
      <c r="D13" s="141">
        <v>3120000</v>
      </c>
      <c r="E13" s="20" t="s">
        <v>473</v>
      </c>
      <c r="F13" s="20" t="s">
        <v>474</v>
      </c>
      <c r="G13" s="8" t="str">
        <f t="shared" si="0"/>
        <v>THOMPSON LESTER</v>
      </c>
    </row>
    <row r="14" spans="1:7" x14ac:dyDescent="0.25">
      <c r="A14" s="8">
        <v>42893.141643518517</v>
      </c>
      <c r="B14" s="20" t="s">
        <v>374</v>
      </c>
      <c r="C14" s="20" t="s">
        <v>659</v>
      </c>
      <c r="D14" s="141">
        <v>2010000</v>
      </c>
      <c r="E14" s="20" t="s">
        <v>487</v>
      </c>
      <c r="F14" s="20" t="s">
        <v>488</v>
      </c>
      <c r="G14" s="8" t="str">
        <f t="shared" si="0"/>
        <v>MAELZER KURT</v>
      </c>
    </row>
    <row r="15" spans="1:7" x14ac:dyDescent="0.25">
      <c r="A15" s="8">
        <v>42893.143321759257</v>
      </c>
      <c r="B15" s="20" t="s">
        <v>423</v>
      </c>
      <c r="C15" s="20" t="s">
        <v>656</v>
      </c>
      <c r="D15" s="141">
        <v>1090000</v>
      </c>
      <c r="E15" s="20" t="s">
        <v>510</v>
      </c>
      <c r="F15" s="20" t="s">
        <v>194</v>
      </c>
      <c r="G15" s="8" t="str">
        <f t="shared" si="0"/>
        <v>SPECTOR MICHAEL</v>
      </c>
    </row>
    <row r="16" spans="1:7" x14ac:dyDescent="0.25">
      <c r="A16" s="8">
        <v>42893.153402777774</v>
      </c>
      <c r="B16" s="20" t="s">
        <v>380</v>
      </c>
      <c r="C16" s="20" t="s">
        <v>660</v>
      </c>
      <c r="D16" s="141">
        <v>2010000</v>
      </c>
      <c r="E16" s="20" t="s">
        <v>487</v>
      </c>
      <c r="F16" s="20" t="s">
        <v>488</v>
      </c>
      <c r="G16" s="8" t="str">
        <f t="shared" si="0"/>
        <v>MAELZER KURT</v>
      </c>
    </row>
    <row r="17" spans="1:7" x14ac:dyDescent="0.25">
      <c r="A17" s="8">
        <v>42893.16196759259</v>
      </c>
      <c r="B17" s="20" t="s">
        <v>342</v>
      </c>
      <c r="C17" s="20" t="s">
        <v>661</v>
      </c>
      <c r="D17" s="141">
        <v>1110000</v>
      </c>
      <c r="E17" s="20" t="s">
        <v>511</v>
      </c>
      <c r="F17" s="20" t="s">
        <v>512</v>
      </c>
      <c r="G17" s="8" t="str">
        <f t="shared" si="0"/>
        <v>STARKS ANGELINA</v>
      </c>
    </row>
    <row r="18" spans="1:7" x14ac:dyDescent="0.25">
      <c r="A18" s="8">
        <v>42893.168391203704</v>
      </c>
      <c r="B18" s="20" t="s">
        <v>594</v>
      </c>
      <c r="C18" s="20" t="s">
        <v>595</v>
      </c>
      <c r="D18" s="141">
        <v>1540000</v>
      </c>
      <c r="E18" s="20" t="s">
        <v>513</v>
      </c>
      <c r="F18" s="20" t="s">
        <v>514</v>
      </c>
      <c r="G18" s="8" t="str">
        <f t="shared" si="0"/>
        <v>HELVIE ADAM</v>
      </c>
    </row>
    <row r="19" spans="1:7" x14ac:dyDescent="0.25">
      <c r="A19" s="8">
        <v>42893.170243055552</v>
      </c>
      <c r="B19" s="20" t="s">
        <v>604</v>
      </c>
      <c r="C19" s="20" t="s">
        <v>662</v>
      </c>
      <c r="D19" s="141">
        <v>3120000</v>
      </c>
      <c r="E19" s="20" t="s">
        <v>473</v>
      </c>
      <c r="F19" s="20" t="s">
        <v>474</v>
      </c>
      <c r="G19" s="8" t="str">
        <f t="shared" si="0"/>
        <v>THOMPSON LESTER</v>
      </c>
    </row>
    <row r="20" spans="1:7" x14ac:dyDescent="0.25">
      <c r="A20" s="8">
        <v>42893.175474537034</v>
      </c>
      <c r="B20" s="20" t="s">
        <v>341</v>
      </c>
      <c r="C20" s="20" t="s">
        <v>663</v>
      </c>
      <c r="D20" s="141">
        <v>1110000</v>
      </c>
      <c r="E20" s="20" t="s">
        <v>511</v>
      </c>
      <c r="F20" s="20" t="s">
        <v>512</v>
      </c>
      <c r="G20" s="8" t="str">
        <f t="shared" si="0"/>
        <v>STARKS ANGELINA</v>
      </c>
    </row>
    <row r="21" spans="1:7" x14ac:dyDescent="0.25">
      <c r="A21" s="8">
        <v>42893.179803240739</v>
      </c>
      <c r="B21" s="20" t="s">
        <v>610</v>
      </c>
      <c r="C21" s="20" t="s">
        <v>664</v>
      </c>
      <c r="D21" s="141">
        <v>1990000</v>
      </c>
      <c r="E21" s="20" t="s">
        <v>425</v>
      </c>
      <c r="F21" s="20" t="s">
        <v>665</v>
      </c>
      <c r="G21" s="8" t="str">
        <f t="shared" si="0"/>
        <v>DAVIS WENDY</v>
      </c>
    </row>
    <row r="22" spans="1:7" x14ac:dyDescent="0.25">
      <c r="A22" s="26">
        <v>42893.186122685183</v>
      </c>
      <c r="B22" s="20" t="s">
        <v>483</v>
      </c>
      <c r="C22" s="20" t="s">
        <v>666</v>
      </c>
      <c r="D22" s="141">
        <v>1540000</v>
      </c>
      <c r="E22" s="20" t="s">
        <v>513</v>
      </c>
      <c r="F22" s="20" t="s">
        <v>514</v>
      </c>
      <c r="G22" s="8" t="str">
        <f t="shared" si="0"/>
        <v>HELVIE ADAM</v>
      </c>
    </row>
    <row r="23" spans="1:7" x14ac:dyDescent="0.25">
      <c r="A23" s="8">
        <v>42893.193298611113</v>
      </c>
      <c r="B23" s="20" t="s">
        <v>374</v>
      </c>
      <c r="C23" s="20" t="s">
        <v>667</v>
      </c>
      <c r="D23" s="141">
        <v>2010000</v>
      </c>
      <c r="E23" s="20" t="s">
        <v>487</v>
      </c>
      <c r="F23" s="20" t="s">
        <v>488</v>
      </c>
      <c r="G23" s="8" t="str">
        <f t="shared" si="0"/>
        <v>MAELZER KURT</v>
      </c>
    </row>
    <row r="24" spans="1:7" x14ac:dyDescent="0.25">
      <c r="A24" s="8">
        <v>42893.194502314815</v>
      </c>
      <c r="B24" s="20" t="s">
        <v>668</v>
      </c>
      <c r="C24" s="20" t="s">
        <v>669</v>
      </c>
      <c r="D24" s="141">
        <v>1990000</v>
      </c>
      <c r="E24" s="20" t="s">
        <v>425</v>
      </c>
      <c r="F24" s="20" t="s">
        <v>665</v>
      </c>
      <c r="G24" s="8" t="str">
        <f t="shared" si="0"/>
        <v>DAVIS WENDY</v>
      </c>
    </row>
    <row r="25" spans="1:7" x14ac:dyDescent="0.25">
      <c r="A25" s="8">
        <v>42893.204594907409</v>
      </c>
      <c r="B25" s="20" t="s">
        <v>507</v>
      </c>
      <c r="C25" s="20" t="s">
        <v>670</v>
      </c>
      <c r="D25" s="141">
        <v>2560000</v>
      </c>
      <c r="E25" s="20" t="s">
        <v>484</v>
      </c>
      <c r="F25" s="20" t="s">
        <v>372</v>
      </c>
      <c r="G25" s="8" t="str">
        <f t="shared" si="0"/>
        <v>MACDONALD THOMAS</v>
      </c>
    </row>
    <row r="26" spans="1:7" x14ac:dyDescent="0.25">
      <c r="A26" s="8">
        <v>42893.205266203702</v>
      </c>
      <c r="B26" s="20" t="s">
        <v>641</v>
      </c>
      <c r="C26" s="20" t="s">
        <v>671</v>
      </c>
      <c r="D26" s="141">
        <v>890000</v>
      </c>
      <c r="E26" s="20" t="s">
        <v>515</v>
      </c>
      <c r="F26" s="20" t="s">
        <v>516</v>
      </c>
      <c r="G26" s="8" t="str">
        <f t="shared" si="0"/>
        <v>LOZA FIDEL</v>
      </c>
    </row>
    <row r="27" spans="1:7" x14ac:dyDescent="0.25">
      <c r="A27" s="8">
        <v>42893.20553240741</v>
      </c>
      <c r="B27" s="20" t="s">
        <v>496</v>
      </c>
      <c r="C27" s="20" t="s">
        <v>598</v>
      </c>
      <c r="D27" s="141">
        <v>3120000</v>
      </c>
      <c r="E27" s="20" t="s">
        <v>473</v>
      </c>
      <c r="F27" s="20" t="s">
        <v>474</v>
      </c>
      <c r="G27" s="8" t="str">
        <f t="shared" si="0"/>
        <v>THOMPSON LESTER</v>
      </c>
    </row>
    <row r="28" spans="1:7" x14ac:dyDescent="0.25">
      <c r="A28" s="8">
        <v>42893.21466435185</v>
      </c>
      <c r="B28" s="20" t="s">
        <v>342</v>
      </c>
      <c r="C28" s="20" t="s">
        <v>672</v>
      </c>
      <c r="D28" s="141">
        <v>1110000</v>
      </c>
      <c r="E28" s="20" t="s">
        <v>511</v>
      </c>
      <c r="F28" s="20" t="s">
        <v>512</v>
      </c>
      <c r="G28" s="8" t="str">
        <f t="shared" si="0"/>
        <v>STARKS ANGELINA</v>
      </c>
    </row>
    <row r="29" spans="1:7" x14ac:dyDescent="0.25">
      <c r="A29" s="8">
        <v>42893.214849537035</v>
      </c>
      <c r="B29" s="20" t="s">
        <v>596</v>
      </c>
      <c r="C29" s="20" t="s">
        <v>597</v>
      </c>
      <c r="D29" s="141">
        <v>2560000</v>
      </c>
      <c r="E29" s="20" t="s">
        <v>484</v>
      </c>
      <c r="F29" s="20" t="s">
        <v>372</v>
      </c>
      <c r="G29" s="8" t="str">
        <f t="shared" si="0"/>
        <v>MACDONALD THOMAS</v>
      </c>
    </row>
    <row r="30" spans="1:7" x14ac:dyDescent="0.25">
      <c r="A30" s="8">
        <v>42893.215740740743</v>
      </c>
      <c r="B30" s="20" t="s">
        <v>613</v>
      </c>
      <c r="C30" s="20" t="s">
        <v>673</v>
      </c>
      <c r="D30" s="141">
        <v>890000</v>
      </c>
      <c r="E30" s="20" t="s">
        <v>515</v>
      </c>
      <c r="F30" s="20" t="s">
        <v>516</v>
      </c>
      <c r="G30" s="8" t="str">
        <f t="shared" si="0"/>
        <v>LOZA FIDEL</v>
      </c>
    </row>
    <row r="31" spans="1:7" x14ac:dyDescent="0.25">
      <c r="A31" s="8">
        <v>42893.222812499997</v>
      </c>
      <c r="B31" s="20" t="s">
        <v>594</v>
      </c>
      <c r="C31" s="20" t="s">
        <v>674</v>
      </c>
      <c r="D31" s="141">
        <v>1540000</v>
      </c>
      <c r="E31" s="20" t="s">
        <v>513</v>
      </c>
      <c r="F31" s="20" t="s">
        <v>514</v>
      </c>
      <c r="G31" s="8" t="str">
        <f t="shared" si="0"/>
        <v>HELVIE ADAM</v>
      </c>
    </row>
    <row r="32" spans="1:7" x14ac:dyDescent="0.25">
      <c r="A32" s="8">
        <v>42893.225034722222</v>
      </c>
      <c r="B32" s="20" t="s">
        <v>380</v>
      </c>
      <c r="C32" s="20" t="s">
        <v>675</v>
      </c>
      <c r="D32" s="141">
        <v>2010000</v>
      </c>
      <c r="E32" s="20" t="s">
        <v>487</v>
      </c>
      <c r="F32" s="20" t="s">
        <v>488</v>
      </c>
      <c r="G32" s="8" t="str">
        <f t="shared" si="0"/>
        <v>MAELZER KURT</v>
      </c>
    </row>
    <row r="33" spans="1:7" x14ac:dyDescent="0.25">
      <c r="A33" s="8">
        <v>42893.225925925923</v>
      </c>
      <c r="B33" s="20" t="s">
        <v>509</v>
      </c>
      <c r="C33" s="20" t="s">
        <v>676</v>
      </c>
      <c r="D33" s="141">
        <v>2730000</v>
      </c>
      <c r="E33" s="20" t="s">
        <v>550</v>
      </c>
      <c r="F33" s="20" t="s">
        <v>551</v>
      </c>
      <c r="G33" s="8" t="str">
        <f t="shared" si="0"/>
        <v>YANG JAN</v>
      </c>
    </row>
    <row r="34" spans="1:7" x14ac:dyDescent="0.25">
      <c r="A34" s="8">
        <v>42893.22724537037</v>
      </c>
      <c r="B34" s="20" t="s">
        <v>507</v>
      </c>
      <c r="C34" s="20" t="s">
        <v>600</v>
      </c>
      <c r="D34" s="141">
        <v>2560000</v>
      </c>
      <c r="E34" s="20" t="s">
        <v>484</v>
      </c>
      <c r="F34" s="20" t="s">
        <v>372</v>
      </c>
      <c r="G34" s="8" t="str">
        <f t="shared" si="0"/>
        <v>MACDONALD THOMAS</v>
      </c>
    </row>
    <row r="35" spans="1:7" x14ac:dyDescent="0.25">
      <c r="A35" s="8">
        <v>42893.235289351855</v>
      </c>
      <c r="B35" s="20" t="s">
        <v>606</v>
      </c>
      <c r="C35" s="20" t="s">
        <v>677</v>
      </c>
      <c r="D35" s="141">
        <v>1100000</v>
      </c>
      <c r="E35" s="20" t="s">
        <v>678</v>
      </c>
      <c r="F35" s="20" t="s">
        <v>679</v>
      </c>
      <c r="G35" s="8" t="str">
        <f t="shared" si="0"/>
        <v>GEBRETEKLE DAGNEW</v>
      </c>
    </row>
    <row r="36" spans="1:7" x14ac:dyDescent="0.25">
      <c r="A36" s="8">
        <v>42893.235613425924</v>
      </c>
      <c r="B36" s="20" t="s">
        <v>610</v>
      </c>
      <c r="C36" s="20" t="s">
        <v>680</v>
      </c>
      <c r="D36" s="141">
        <v>1990000</v>
      </c>
      <c r="E36" s="20" t="s">
        <v>425</v>
      </c>
      <c r="F36" s="20" t="s">
        <v>665</v>
      </c>
      <c r="G36" s="8" t="str">
        <f t="shared" si="0"/>
        <v>DAVIS WENDY</v>
      </c>
    </row>
    <row r="37" spans="1:7" x14ac:dyDescent="0.25">
      <c r="A37" s="8">
        <v>42893.237754629627</v>
      </c>
      <c r="B37" s="20" t="s">
        <v>508</v>
      </c>
      <c r="C37" s="20" t="s">
        <v>599</v>
      </c>
      <c r="D37" s="141">
        <v>2730000</v>
      </c>
      <c r="E37" s="20" t="s">
        <v>550</v>
      </c>
      <c r="F37" s="20" t="s">
        <v>551</v>
      </c>
      <c r="G37" s="8" t="str">
        <f t="shared" si="0"/>
        <v>YANG JAN</v>
      </c>
    </row>
    <row r="38" spans="1:7" x14ac:dyDescent="0.25">
      <c r="A38" s="8">
        <v>42893.243715277778</v>
      </c>
      <c r="B38" s="20" t="s">
        <v>604</v>
      </c>
      <c r="C38" s="20" t="s">
        <v>605</v>
      </c>
      <c r="D38" s="141">
        <v>3120000</v>
      </c>
      <c r="E38" s="20" t="s">
        <v>473</v>
      </c>
      <c r="F38" s="20" t="s">
        <v>474</v>
      </c>
      <c r="G38" s="8" t="str">
        <f t="shared" si="0"/>
        <v>THOMPSON LESTER</v>
      </c>
    </row>
    <row r="39" spans="1:7" x14ac:dyDescent="0.25">
      <c r="A39" s="8">
        <v>42893.246435185189</v>
      </c>
      <c r="B39" s="20" t="s">
        <v>341</v>
      </c>
      <c r="C39" s="20" t="s">
        <v>601</v>
      </c>
      <c r="D39" s="141">
        <v>1110000</v>
      </c>
      <c r="E39" s="20" t="s">
        <v>511</v>
      </c>
      <c r="F39" s="20" t="s">
        <v>512</v>
      </c>
      <c r="G39" s="8" t="str">
        <f t="shared" si="0"/>
        <v>STARKS ANGELINA</v>
      </c>
    </row>
    <row r="40" spans="1:7" x14ac:dyDescent="0.25">
      <c r="A40" s="8">
        <v>42893.249675925923</v>
      </c>
      <c r="B40" s="25" t="s">
        <v>602</v>
      </c>
      <c r="C40" s="20" t="s">
        <v>603</v>
      </c>
      <c r="D40" s="141">
        <v>1100000</v>
      </c>
      <c r="E40" s="20" t="s">
        <v>678</v>
      </c>
      <c r="F40" s="20" t="s">
        <v>679</v>
      </c>
      <c r="G40" s="8" t="str">
        <f t="shared" si="0"/>
        <v>GEBRETEKLE DAGNEW</v>
      </c>
    </row>
    <row r="41" spans="1:7" x14ac:dyDescent="0.25">
      <c r="A41" s="8">
        <v>42893.254502314812</v>
      </c>
      <c r="B41" s="20" t="s">
        <v>641</v>
      </c>
      <c r="C41" s="20" t="s">
        <v>681</v>
      </c>
      <c r="D41" s="141">
        <v>890000</v>
      </c>
      <c r="E41" s="20" t="s">
        <v>515</v>
      </c>
      <c r="F41" s="20" t="s">
        <v>516</v>
      </c>
      <c r="G41" s="8" t="str">
        <f t="shared" si="0"/>
        <v>LOZA FIDEL</v>
      </c>
    </row>
    <row r="42" spans="1:7" x14ac:dyDescent="0.25">
      <c r="A42" s="8">
        <v>42893.254513888889</v>
      </c>
      <c r="B42" s="20" t="s">
        <v>596</v>
      </c>
      <c r="C42" s="20" t="s">
        <v>682</v>
      </c>
      <c r="D42" s="141">
        <v>2560000</v>
      </c>
      <c r="E42" s="20" t="s">
        <v>484</v>
      </c>
      <c r="F42" s="20" t="s">
        <v>372</v>
      </c>
      <c r="G42" s="8" t="str">
        <f t="shared" si="0"/>
        <v>MACDONALD THOMAS</v>
      </c>
    </row>
    <row r="43" spans="1:7" x14ac:dyDescent="0.25">
      <c r="A43" s="8">
        <v>42893.256944444445</v>
      </c>
      <c r="B43" s="20" t="s">
        <v>483</v>
      </c>
      <c r="C43" s="20" t="s">
        <v>683</v>
      </c>
      <c r="D43" s="141">
        <v>1540000</v>
      </c>
      <c r="E43" s="20" t="s">
        <v>513</v>
      </c>
      <c r="F43" s="20" t="s">
        <v>514</v>
      </c>
      <c r="G43" s="8" t="str">
        <f t="shared" si="0"/>
        <v>HELVIE ADAM</v>
      </c>
    </row>
    <row r="44" spans="1:7" x14ac:dyDescent="0.25">
      <c r="A44" s="8">
        <v>42893.263599537036</v>
      </c>
      <c r="B44" s="20" t="s">
        <v>374</v>
      </c>
      <c r="C44" s="20" t="s">
        <v>684</v>
      </c>
      <c r="D44" s="141">
        <v>2010000</v>
      </c>
      <c r="E44" s="20" t="s">
        <v>487</v>
      </c>
      <c r="F44" s="20" t="s">
        <v>488</v>
      </c>
      <c r="G44" s="8" t="str">
        <f t="shared" si="0"/>
        <v>MAELZER KURT</v>
      </c>
    </row>
    <row r="45" spans="1:7" x14ac:dyDescent="0.25">
      <c r="A45" s="8">
        <v>42893.268541666665</v>
      </c>
      <c r="B45" s="20" t="s">
        <v>668</v>
      </c>
      <c r="C45" s="20" t="s">
        <v>685</v>
      </c>
      <c r="D45" s="141">
        <v>1990000</v>
      </c>
      <c r="E45" s="20" t="s">
        <v>425</v>
      </c>
      <c r="F45" s="20" t="s">
        <v>665</v>
      </c>
      <c r="G45" s="8" t="str">
        <f t="shared" si="0"/>
        <v>DAVIS WENDY</v>
      </c>
    </row>
    <row r="46" spans="1:7" x14ac:dyDescent="0.25">
      <c r="A46" s="8">
        <v>42893.268958333334</v>
      </c>
      <c r="B46" s="20" t="s">
        <v>507</v>
      </c>
      <c r="C46" s="20" t="s">
        <v>608</v>
      </c>
      <c r="D46" s="141">
        <v>2560000</v>
      </c>
      <c r="E46" s="20" t="s">
        <v>484</v>
      </c>
      <c r="F46" s="20" t="s">
        <v>372</v>
      </c>
      <c r="G46" s="8" t="str">
        <f t="shared" si="0"/>
        <v>MACDONALD THOMAS</v>
      </c>
    </row>
    <row r="47" spans="1:7" x14ac:dyDescent="0.25">
      <c r="A47" s="8">
        <v>42893.275775462964</v>
      </c>
      <c r="B47" s="20" t="s">
        <v>606</v>
      </c>
      <c r="C47" s="20" t="s">
        <v>607</v>
      </c>
      <c r="D47" s="141">
        <v>1100000</v>
      </c>
      <c r="E47" s="20" t="s">
        <v>678</v>
      </c>
      <c r="F47" s="20" t="s">
        <v>679</v>
      </c>
      <c r="G47" s="8" t="str">
        <f t="shared" si="0"/>
        <v>GEBRETEKLE DAGNEW</v>
      </c>
    </row>
    <row r="48" spans="1:7" x14ac:dyDescent="0.25">
      <c r="A48" s="8">
        <v>42893.27752314815</v>
      </c>
      <c r="B48" s="20" t="s">
        <v>509</v>
      </c>
      <c r="C48" s="20" t="s">
        <v>686</v>
      </c>
      <c r="D48" s="141">
        <v>2730000</v>
      </c>
      <c r="E48" s="20" t="s">
        <v>550</v>
      </c>
      <c r="F48" s="20" t="s">
        <v>551</v>
      </c>
      <c r="G48" s="8" t="str">
        <f t="shared" si="0"/>
        <v>YANG JAN</v>
      </c>
    </row>
    <row r="49" spans="1:7" x14ac:dyDescent="0.25">
      <c r="A49" s="8">
        <v>42893.279768518521</v>
      </c>
      <c r="B49" s="20" t="s">
        <v>496</v>
      </c>
      <c r="C49" s="20" t="s">
        <v>687</v>
      </c>
      <c r="D49" s="141">
        <v>3120000</v>
      </c>
      <c r="E49" s="20" t="s">
        <v>473</v>
      </c>
      <c r="F49" s="20" t="s">
        <v>474</v>
      </c>
      <c r="G49" s="8" t="str">
        <f t="shared" si="0"/>
        <v>THOMPSON LESTER</v>
      </c>
    </row>
    <row r="50" spans="1:7" x14ac:dyDescent="0.25">
      <c r="A50" s="8">
        <v>42893.288090277776</v>
      </c>
      <c r="B50" s="20" t="s">
        <v>342</v>
      </c>
      <c r="C50" s="20" t="s">
        <v>688</v>
      </c>
      <c r="D50" s="141">
        <v>1110000</v>
      </c>
      <c r="E50" s="20" t="s">
        <v>511</v>
      </c>
      <c r="F50" s="20" t="s">
        <v>512</v>
      </c>
      <c r="G50" s="8" t="str">
        <f t="shared" si="0"/>
        <v>STARKS ANGELINA</v>
      </c>
    </row>
    <row r="51" spans="1:7" x14ac:dyDescent="0.25">
      <c r="A51" s="8">
        <v>42893.289444444446</v>
      </c>
      <c r="B51" s="20" t="s">
        <v>613</v>
      </c>
      <c r="C51" s="20" t="s">
        <v>689</v>
      </c>
      <c r="D51" s="141">
        <v>890000</v>
      </c>
      <c r="E51" s="20" t="s">
        <v>515</v>
      </c>
      <c r="F51" s="20" t="s">
        <v>516</v>
      </c>
      <c r="G51" s="8" t="str">
        <f t="shared" si="0"/>
        <v>LOZA FIDEL</v>
      </c>
    </row>
    <row r="52" spans="1:7" x14ac:dyDescent="0.25">
      <c r="A52" s="8">
        <v>42893.289722222224</v>
      </c>
      <c r="B52" s="20" t="s">
        <v>602</v>
      </c>
      <c r="C52" s="20" t="s">
        <v>690</v>
      </c>
      <c r="D52" s="141">
        <v>1100000</v>
      </c>
      <c r="E52" s="20" t="s">
        <v>678</v>
      </c>
      <c r="F52" s="20" t="s">
        <v>679</v>
      </c>
      <c r="G52" s="8" t="str">
        <f t="shared" si="0"/>
        <v>GEBRETEKLE DAGNEW</v>
      </c>
    </row>
    <row r="53" spans="1:7" x14ac:dyDescent="0.25">
      <c r="A53" s="8">
        <v>42893.296724537038</v>
      </c>
      <c r="B53" s="20" t="s">
        <v>596</v>
      </c>
      <c r="C53" s="20" t="s">
        <v>691</v>
      </c>
      <c r="D53" s="141">
        <v>2560000</v>
      </c>
      <c r="E53" s="20" t="s">
        <v>484</v>
      </c>
      <c r="F53" s="20" t="s">
        <v>372</v>
      </c>
      <c r="G53" s="8" t="str">
        <f t="shared" si="0"/>
        <v>MACDONALD THOMAS</v>
      </c>
    </row>
    <row r="54" spans="1:7" x14ac:dyDescent="0.25">
      <c r="A54" s="8">
        <v>42893.297766203701</v>
      </c>
      <c r="B54" s="20" t="s">
        <v>380</v>
      </c>
      <c r="C54" s="20" t="s">
        <v>692</v>
      </c>
      <c r="D54" s="141">
        <v>2010000</v>
      </c>
      <c r="E54" s="20" t="s">
        <v>487</v>
      </c>
      <c r="F54" s="20" t="s">
        <v>488</v>
      </c>
      <c r="G54" s="8" t="str">
        <f t="shared" si="0"/>
        <v>MAELZER KURT</v>
      </c>
    </row>
    <row r="55" spans="1:7" x14ac:dyDescent="0.25">
      <c r="A55" s="8">
        <v>42893.298622685186</v>
      </c>
      <c r="B55" s="20" t="s">
        <v>594</v>
      </c>
      <c r="C55" s="20" t="s">
        <v>693</v>
      </c>
      <c r="D55" s="141">
        <v>1540000</v>
      </c>
      <c r="E55" s="20" t="s">
        <v>513</v>
      </c>
      <c r="F55" s="20" t="s">
        <v>514</v>
      </c>
      <c r="G55" s="8" t="str">
        <f t="shared" si="0"/>
        <v>HELVIE ADAM</v>
      </c>
    </row>
    <row r="56" spans="1:7" x14ac:dyDescent="0.25">
      <c r="A56" s="8">
        <v>42893.307696759257</v>
      </c>
      <c r="B56" s="20" t="s">
        <v>610</v>
      </c>
      <c r="C56" s="20" t="s">
        <v>611</v>
      </c>
      <c r="D56" s="141">
        <v>1990000</v>
      </c>
      <c r="E56" s="20" t="s">
        <v>425</v>
      </c>
      <c r="F56" s="20" t="s">
        <v>665</v>
      </c>
      <c r="G56" s="8" t="str">
        <f t="shared" si="0"/>
        <v>DAVIS WENDY</v>
      </c>
    </row>
    <row r="57" spans="1:7" x14ac:dyDescent="0.25">
      <c r="A57" s="8">
        <v>42893.308946759258</v>
      </c>
      <c r="B57" s="20" t="s">
        <v>508</v>
      </c>
      <c r="C57" s="20" t="s">
        <v>694</v>
      </c>
      <c r="D57" s="141">
        <v>2730000</v>
      </c>
      <c r="E57" s="20" t="s">
        <v>550</v>
      </c>
      <c r="F57" s="20" t="s">
        <v>551</v>
      </c>
      <c r="G57" s="8" t="str">
        <f t="shared" si="0"/>
        <v>YANG JAN</v>
      </c>
    </row>
    <row r="58" spans="1:7" x14ac:dyDescent="0.25">
      <c r="A58" s="8">
        <v>42893.310717592591</v>
      </c>
      <c r="B58" s="20" t="s">
        <v>507</v>
      </c>
      <c r="C58" s="20" t="s">
        <v>609</v>
      </c>
      <c r="D58" s="141">
        <v>2560000</v>
      </c>
      <c r="E58" s="20" t="s">
        <v>484</v>
      </c>
      <c r="F58" s="20" t="s">
        <v>372</v>
      </c>
      <c r="G58" s="8" t="str">
        <f t="shared" si="0"/>
        <v>MACDONALD THOMAS</v>
      </c>
    </row>
    <row r="59" spans="1:7" x14ac:dyDescent="0.25">
      <c r="A59" s="8">
        <v>42893.31689814815</v>
      </c>
      <c r="B59" s="20" t="s">
        <v>606</v>
      </c>
      <c r="C59" s="20" t="s">
        <v>695</v>
      </c>
      <c r="D59" s="141">
        <v>1100000</v>
      </c>
      <c r="E59" s="20" t="s">
        <v>678</v>
      </c>
      <c r="F59" s="20" t="s">
        <v>679</v>
      </c>
      <c r="G59" s="8" t="str">
        <f t="shared" si="0"/>
        <v>GEBRETEKLE DAGNEW</v>
      </c>
    </row>
    <row r="60" spans="1:7" x14ac:dyDescent="0.25">
      <c r="A60" s="8">
        <v>42893.318287037036</v>
      </c>
      <c r="B60" s="20" t="s">
        <v>604</v>
      </c>
      <c r="C60" s="20" t="s">
        <v>696</v>
      </c>
      <c r="D60" s="141">
        <v>3120000</v>
      </c>
      <c r="E60" s="20" t="s">
        <v>473</v>
      </c>
      <c r="F60" s="20" t="s">
        <v>474</v>
      </c>
      <c r="G60" s="8" t="str">
        <f t="shared" si="0"/>
        <v>THOMPSON LESTER</v>
      </c>
    </row>
    <row r="61" spans="1:7" x14ac:dyDescent="0.25">
      <c r="A61" s="8">
        <v>42893.320949074077</v>
      </c>
      <c r="B61" s="20" t="s">
        <v>341</v>
      </c>
      <c r="C61" s="20" t="s">
        <v>697</v>
      </c>
      <c r="D61" s="141">
        <v>1110000</v>
      </c>
      <c r="E61" s="20" t="s">
        <v>511</v>
      </c>
      <c r="F61" s="20" t="s">
        <v>512</v>
      </c>
      <c r="G61" s="8" t="str">
        <f t="shared" si="0"/>
        <v>STARKS ANGELINA</v>
      </c>
    </row>
    <row r="62" spans="1:7" x14ac:dyDescent="0.25">
      <c r="A62" s="8">
        <v>42893.328032407408</v>
      </c>
      <c r="B62" s="20" t="s">
        <v>641</v>
      </c>
      <c r="C62" s="20" t="s">
        <v>698</v>
      </c>
      <c r="D62" s="141">
        <v>890000</v>
      </c>
      <c r="E62" s="20" t="s">
        <v>515</v>
      </c>
      <c r="F62" s="20" t="s">
        <v>516</v>
      </c>
      <c r="G62" s="8" t="str">
        <f t="shared" si="0"/>
        <v>LOZA FIDEL</v>
      </c>
    </row>
    <row r="63" spans="1:7" x14ac:dyDescent="0.25">
      <c r="A63" s="8">
        <v>42893.331041666665</v>
      </c>
      <c r="B63" s="20" t="s">
        <v>483</v>
      </c>
      <c r="C63" s="20" t="s">
        <v>699</v>
      </c>
      <c r="D63" s="141">
        <v>1540000</v>
      </c>
      <c r="E63" s="20" t="s">
        <v>513</v>
      </c>
      <c r="F63" s="20" t="s">
        <v>514</v>
      </c>
      <c r="G63" s="8" t="str">
        <f t="shared" si="0"/>
        <v>HELVIE ADAM</v>
      </c>
    </row>
    <row r="64" spans="1:7" x14ac:dyDescent="0.25">
      <c r="A64" s="26">
        <v>42893.33148148148</v>
      </c>
      <c r="B64" s="20" t="s">
        <v>602</v>
      </c>
      <c r="C64" s="20" t="s">
        <v>700</v>
      </c>
      <c r="D64" s="141">
        <v>1100000</v>
      </c>
      <c r="E64" s="20" t="s">
        <v>678</v>
      </c>
      <c r="F64" s="20" t="s">
        <v>679</v>
      </c>
      <c r="G64" s="8" t="str">
        <f t="shared" si="0"/>
        <v>GEBRETEKLE DAGNEW</v>
      </c>
    </row>
    <row r="65" spans="1:7" x14ac:dyDescent="0.25">
      <c r="A65" s="8">
        <v>42893.333460648151</v>
      </c>
      <c r="B65" s="20" t="s">
        <v>374</v>
      </c>
      <c r="C65" s="20" t="s">
        <v>701</v>
      </c>
      <c r="D65" s="141">
        <v>2010000</v>
      </c>
      <c r="E65" s="20" t="s">
        <v>487</v>
      </c>
      <c r="F65" s="20" t="s">
        <v>488</v>
      </c>
      <c r="G65" s="8" t="str">
        <f t="shared" si="0"/>
        <v>MAELZER KURT</v>
      </c>
    </row>
    <row r="66" spans="1:7" x14ac:dyDescent="0.25">
      <c r="A66" s="8">
        <v>42893.339305555557</v>
      </c>
      <c r="B66" s="20" t="s">
        <v>596</v>
      </c>
      <c r="C66" s="20" t="s">
        <v>702</v>
      </c>
      <c r="D66" s="141">
        <v>2560000</v>
      </c>
      <c r="E66" s="20" t="s">
        <v>484</v>
      </c>
      <c r="F66" s="20" t="s">
        <v>372</v>
      </c>
      <c r="G66" s="8" t="str">
        <f t="shared" si="0"/>
        <v>MACDONALD THOMAS</v>
      </c>
    </row>
    <row r="67" spans="1:7" x14ac:dyDescent="0.25">
      <c r="A67" s="8">
        <v>42893.339641203704</v>
      </c>
      <c r="B67" s="20" t="s">
        <v>668</v>
      </c>
      <c r="C67" s="20" t="s">
        <v>703</v>
      </c>
      <c r="D67" s="141">
        <v>1990000</v>
      </c>
      <c r="E67" s="20" t="s">
        <v>425</v>
      </c>
      <c r="F67" s="20" t="s">
        <v>665</v>
      </c>
      <c r="G67" s="8" t="str">
        <f t="shared" ref="G67:G130" si="1">E67&amp;" "&amp;F67</f>
        <v>DAVIS WENDY</v>
      </c>
    </row>
    <row r="68" spans="1:7" x14ac:dyDescent="0.25">
      <c r="A68" s="8">
        <v>42893.340474537035</v>
      </c>
      <c r="B68" s="20" t="s">
        <v>509</v>
      </c>
      <c r="C68" s="20" t="s">
        <v>612</v>
      </c>
      <c r="D68" s="141">
        <v>2730000</v>
      </c>
      <c r="E68" s="20" t="s">
        <v>550</v>
      </c>
      <c r="F68" s="20" t="s">
        <v>551</v>
      </c>
      <c r="G68" s="8" t="str">
        <f t="shared" si="1"/>
        <v>YANG JAN</v>
      </c>
    </row>
    <row r="69" spans="1:7" x14ac:dyDescent="0.25">
      <c r="A69" s="8">
        <v>42893.351979166669</v>
      </c>
      <c r="B69" s="20" t="s">
        <v>496</v>
      </c>
      <c r="C69" s="20" t="s">
        <v>704</v>
      </c>
      <c r="D69" s="141">
        <v>940000</v>
      </c>
      <c r="E69" s="20" t="s">
        <v>705</v>
      </c>
      <c r="F69" s="20" t="s">
        <v>706</v>
      </c>
      <c r="G69" s="8" t="str">
        <f t="shared" si="1"/>
        <v>BONDS REYNALDO</v>
      </c>
    </row>
    <row r="70" spans="1:7" x14ac:dyDescent="0.25">
      <c r="A70" s="8">
        <v>42893.352997685186</v>
      </c>
      <c r="B70" s="20" t="s">
        <v>507</v>
      </c>
      <c r="C70" s="20" t="s">
        <v>707</v>
      </c>
      <c r="D70" s="141">
        <v>2560000</v>
      </c>
      <c r="E70" s="20" t="s">
        <v>484</v>
      </c>
      <c r="F70" s="20" t="s">
        <v>372</v>
      </c>
      <c r="G70" s="8" t="str">
        <f t="shared" si="1"/>
        <v>MACDONALD THOMAS</v>
      </c>
    </row>
    <row r="71" spans="1:7" x14ac:dyDescent="0.25">
      <c r="A71" s="8">
        <v>42893.358900462961</v>
      </c>
      <c r="B71" s="20" t="s">
        <v>606</v>
      </c>
      <c r="C71" s="20" t="s">
        <v>708</v>
      </c>
      <c r="D71" s="141">
        <v>1100000</v>
      </c>
      <c r="E71" s="20" t="s">
        <v>678</v>
      </c>
      <c r="F71" s="20" t="s">
        <v>679</v>
      </c>
      <c r="G71" s="8" t="str">
        <f t="shared" si="1"/>
        <v>GEBRETEKLE DAGNEW</v>
      </c>
    </row>
    <row r="72" spans="1:7" x14ac:dyDescent="0.25">
      <c r="A72" s="8">
        <v>42893.360798611109</v>
      </c>
      <c r="B72" s="20" t="s">
        <v>613</v>
      </c>
      <c r="C72" s="20" t="s">
        <v>614</v>
      </c>
      <c r="D72" s="141">
        <v>890000</v>
      </c>
      <c r="E72" s="20" t="s">
        <v>515</v>
      </c>
      <c r="F72" s="20" t="s">
        <v>516</v>
      </c>
      <c r="G72" s="8" t="str">
        <f t="shared" si="1"/>
        <v>LOZA FIDEL</v>
      </c>
    </row>
    <row r="73" spans="1:7" x14ac:dyDescent="0.25">
      <c r="A73" s="8">
        <v>42893.361388888887</v>
      </c>
      <c r="B73" s="20" t="s">
        <v>342</v>
      </c>
      <c r="C73" s="20" t="s">
        <v>709</v>
      </c>
      <c r="D73" s="141">
        <v>1110000</v>
      </c>
      <c r="E73" s="20" t="s">
        <v>511</v>
      </c>
      <c r="F73" s="20" t="s">
        <v>512</v>
      </c>
      <c r="G73" s="8" t="str">
        <f t="shared" si="1"/>
        <v>STARKS ANGELINA</v>
      </c>
    </row>
    <row r="74" spans="1:7" x14ac:dyDescent="0.25">
      <c r="A74" s="8">
        <v>42893.370439814818</v>
      </c>
      <c r="B74" s="20" t="s">
        <v>594</v>
      </c>
      <c r="C74" s="20" t="s">
        <v>710</v>
      </c>
      <c r="D74" s="141">
        <v>1540000</v>
      </c>
      <c r="E74" s="20" t="s">
        <v>513</v>
      </c>
      <c r="F74" s="20" t="s">
        <v>514</v>
      </c>
      <c r="G74" s="8" t="str">
        <f t="shared" si="1"/>
        <v>HELVIE ADAM</v>
      </c>
    </row>
    <row r="75" spans="1:7" x14ac:dyDescent="0.25">
      <c r="A75" s="8">
        <v>42893.371388888889</v>
      </c>
      <c r="B75" s="20" t="s">
        <v>380</v>
      </c>
      <c r="C75" s="20" t="s">
        <v>711</v>
      </c>
      <c r="D75" s="141">
        <v>2010000</v>
      </c>
      <c r="E75" s="20" t="s">
        <v>487</v>
      </c>
      <c r="F75" s="20" t="s">
        <v>488</v>
      </c>
      <c r="G75" s="8" t="str">
        <f t="shared" si="1"/>
        <v>MAELZER KURT</v>
      </c>
    </row>
    <row r="76" spans="1:7" x14ac:dyDescent="0.25">
      <c r="A76" s="8">
        <v>42893.373171296298</v>
      </c>
      <c r="B76" s="20" t="s">
        <v>602</v>
      </c>
      <c r="C76" s="20" t="s">
        <v>712</v>
      </c>
      <c r="D76" s="141">
        <v>1100000</v>
      </c>
      <c r="E76" s="20" t="s">
        <v>678</v>
      </c>
      <c r="F76" s="20" t="s">
        <v>679</v>
      </c>
      <c r="G76" s="8" t="str">
        <f t="shared" si="1"/>
        <v>GEBRETEKLE DAGNEW</v>
      </c>
    </row>
    <row r="77" spans="1:7" x14ac:dyDescent="0.25">
      <c r="A77" s="8">
        <v>42893.381377314814</v>
      </c>
      <c r="B77" s="20" t="s">
        <v>508</v>
      </c>
      <c r="C77" s="20" t="s">
        <v>713</v>
      </c>
      <c r="D77" s="141">
        <v>2730000</v>
      </c>
      <c r="E77" s="20" t="s">
        <v>550</v>
      </c>
      <c r="F77" s="20" t="s">
        <v>551</v>
      </c>
      <c r="G77" s="8" t="str">
        <f t="shared" si="1"/>
        <v>YANG JAN</v>
      </c>
    </row>
    <row r="78" spans="1:7" x14ac:dyDescent="0.25">
      <c r="A78" s="8">
        <v>42893.381550925929</v>
      </c>
      <c r="B78" s="20" t="s">
        <v>610</v>
      </c>
      <c r="C78" s="20" t="s">
        <v>714</v>
      </c>
      <c r="D78" s="141">
        <v>1990000</v>
      </c>
      <c r="E78" s="20" t="s">
        <v>425</v>
      </c>
      <c r="F78" s="20" t="s">
        <v>665</v>
      </c>
      <c r="G78" s="8" t="str">
        <f t="shared" si="1"/>
        <v>DAVIS WENDY</v>
      </c>
    </row>
    <row r="79" spans="1:7" x14ac:dyDescent="0.25">
      <c r="A79" s="8">
        <v>42893.381597222222</v>
      </c>
      <c r="B79" s="20" t="s">
        <v>602</v>
      </c>
      <c r="C79" s="20" t="s">
        <v>712</v>
      </c>
      <c r="D79" s="141">
        <v>3120000</v>
      </c>
      <c r="E79" s="20" t="s">
        <v>473</v>
      </c>
      <c r="F79" s="20" t="s">
        <v>474</v>
      </c>
      <c r="G79" s="8" t="str">
        <f t="shared" si="1"/>
        <v>THOMPSON LESTER</v>
      </c>
    </row>
    <row r="80" spans="1:7" x14ac:dyDescent="0.25">
      <c r="A80" s="8">
        <v>42893.390289351853</v>
      </c>
      <c r="B80" s="20" t="s">
        <v>604</v>
      </c>
      <c r="C80" s="20" t="s">
        <v>715</v>
      </c>
      <c r="D80" s="141">
        <v>940000</v>
      </c>
      <c r="E80" s="20" t="s">
        <v>705</v>
      </c>
      <c r="F80" s="20" t="s">
        <v>706</v>
      </c>
      <c r="G80" s="8" t="str">
        <f t="shared" si="1"/>
        <v>BONDS REYNALDO</v>
      </c>
    </row>
    <row r="81" spans="1:7" x14ac:dyDescent="0.25">
      <c r="A81" s="8">
        <v>42893.392743055556</v>
      </c>
      <c r="B81" s="20" t="s">
        <v>641</v>
      </c>
      <c r="C81" s="20" t="s">
        <v>716</v>
      </c>
      <c r="D81" s="141">
        <v>890000</v>
      </c>
      <c r="E81" s="20" t="s">
        <v>515</v>
      </c>
      <c r="F81" s="20" t="s">
        <v>516</v>
      </c>
      <c r="G81" s="8" t="str">
        <f t="shared" si="1"/>
        <v>LOZA FIDEL</v>
      </c>
    </row>
    <row r="82" spans="1:7" x14ac:dyDescent="0.25">
      <c r="A82" s="8">
        <v>42893.394780092596</v>
      </c>
      <c r="B82" s="20" t="s">
        <v>341</v>
      </c>
      <c r="C82" s="20" t="s">
        <v>717</v>
      </c>
      <c r="D82" s="141">
        <v>1110000</v>
      </c>
      <c r="E82" s="20" t="s">
        <v>511</v>
      </c>
      <c r="F82" s="20" t="s">
        <v>512</v>
      </c>
      <c r="G82" s="8" t="str">
        <f t="shared" si="1"/>
        <v>STARKS ANGELINA</v>
      </c>
    </row>
    <row r="83" spans="1:7" x14ac:dyDescent="0.25">
      <c r="A83" s="8">
        <v>42893.402094907404</v>
      </c>
      <c r="B83" s="20" t="s">
        <v>606</v>
      </c>
      <c r="C83" s="20" t="s">
        <v>718</v>
      </c>
      <c r="D83" s="141">
        <v>3120000</v>
      </c>
      <c r="E83" s="20" t="s">
        <v>473</v>
      </c>
      <c r="F83" s="20" t="s">
        <v>474</v>
      </c>
      <c r="G83" s="8" t="str">
        <f t="shared" si="1"/>
        <v>THOMPSON LESTER</v>
      </c>
    </row>
    <row r="84" spans="1:7" x14ac:dyDescent="0.25">
      <c r="A84" s="8">
        <v>42893.405104166668</v>
      </c>
      <c r="B84" s="20" t="s">
        <v>483</v>
      </c>
      <c r="C84" s="20" t="s">
        <v>719</v>
      </c>
      <c r="D84" s="141">
        <v>1540000</v>
      </c>
      <c r="E84" s="20" t="s">
        <v>513</v>
      </c>
      <c r="F84" s="20" t="s">
        <v>514</v>
      </c>
      <c r="G84" s="8" t="str">
        <f t="shared" si="1"/>
        <v>HELVIE ADAM</v>
      </c>
    </row>
    <row r="85" spans="1:7" x14ac:dyDescent="0.25">
      <c r="A85" s="8">
        <v>42893.405613425923</v>
      </c>
      <c r="B85" s="20" t="s">
        <v>374</v>
      </c>
      <c r="C85" s="20" t="s">
        <v>615</v>
      </c>
      <c r="D85" s="141">
        <v>2010000</v>
      </c>
      <c r="E85" s="20" t="s">
        <v>487</v>
      </c>
      <c r="F85" s="20" t="s">
        <v>488</v>
      </c>
      <c r="G85" s="8" t="str">
        <f t="shared" si="1"/>
        <v>MAELZER KURT</v>
      </c>
    </row>
    <row r="86" spans="1:7" x14ac:dyDescent="0.25">
      <c r="A86" s="8">
        <v>42893.415995370371</v>
      </c>
      <c r="B86" s="20" t="s">
        <v>668</v>
      </c>
      <c r="C86" s="20" t="s">
        <v>720</v>
      </c>
      <c r="D86" s="141">
        <v>1990000</v>
      </c>
      <c r="E86" s="20" t="s">
        <v>425</v>
      </c>
      <c r="F86" s="20" t="s">
        <v>665</v>
      </c>
      <c r="G86" s="8" t="str">
        <f t="shared" si="1"/>
        <v>DAVIS WENDY</v>
      </c>
    </row>
    <row r="87" spans="1:7" x14ac:dyDescent="0.25">
      <c r="A87" s="8">
        <v>42893.416655092595</v>
      </c>
      <c r="B87" s="20" t="s">
        <v>602</v>
      </c>
      <c r="C87" s="20" t="s">
        <v>721</v>
      </c>
      <c r="D87" s="141">
        <v>1100000</v>
      </c>
      <c r="E87" s="20" t="s">
        <v>678</v>
      </c>
      <c r="F87" s="20" t="s">
        <v>679</v>
      </c>
      <c r="G87" s="8" t="str">
        <f t="shared" si="1"/>
        <v>GEBRETEKLE DAGNEW</v>
      </c>
    </row>
    <row r="88" spans="1:7" x14ac:dyDescent="0.25">
      <c r="A88" s="8">
        <v>42893.421597222223</v>
      </c>
      <c r="B88" s="20" t="s">
        <v>509</v>
      </c>
      <c r="C88" s="20" t="s">
        <v>722</v>
      </c>
      <c r="D88" s="141">
        <v>2730000</v>
      </c>
      <c r="E88" s="20" t="s">
        <v>550</v>
      </c>
      <c r="F88" s="20" t="s">
        <v>551</v>
      </c>
      <c r="G88" s="8" t="str">
        <f t="shared" si="1"/>
        <v>YANG JAN</v>
      </c>
    </row>
    <row r="89" spans="1:7" x14ac:dyDescent="0.25">
      <c r="A89" s="8">
        <v>42893.423414351855</v>
      </c>
      <c r="B89" s="20" t="s">
        <v>342</v>
      </c>
      <c r="C89" s="20" t="s">
        <v>723</v>
      </c>
      <c r="D89" s="141">
        <v>1110000</v>
      </c>
      <c r="E89" s="20" t="s">
        <v>511</v>
      </c>
      <c r="F89" s="20" t="s">
        <v>512</v>
      </c>
      <c r="G89" s="8" t="str">
        <f t="shared" si="1"/>
        <v>STARKS ANGELINA</v>
      </c>
    </row>
    <row r="90" spans="1:7" x14ac:dyDescent="0.25">
      <c r="A90" s="8">
        <v>42893.425069444442</v>
      </c>
      <c r="B90" s="20" t="s">
        <v>496</v>
      </c>
      <c r="C90" s="20" t="s">
        <v>724</v>
      </c>
      <c r="D90" s="141">
        <v>2560000</v>
      </c>
      <c r="E90" s="20" t="s">
        <v>484</v>
      </c>
      <c r="F90" s="20" t="s">
        <v>372</v>
      </c>
      <c r="G90" s="8" t="str">
        <f t="shared" si="1"/>
        <v>MACDONALD THOMAS</v>
      </c>
    </row>
    <row r="91" spans="1:7" x14ac:dyDescent="0.25">
      <c r="A91" s="8">
        <v>42893.436249999999</v>
      </c>
      <c r="B91" s="20" t="s">
        <v>613</v>
      </c>
      <c r="C91" s="20" t="s">
        <v>725</v>
      </c>
      <c r="D91" s="141">
        <v>890000</v>
      </c>
      <c r="E91" s="20" t="s">
        <v>515</v>
      </c>
      <c r="F91" s="20" t="s">
        <v>516</v>
      </c>
      <c r="G91" s="8" t="str">
        <f t="shared" si="1"/>
        <v>LOZA FIDEL</v>
      </c>
    </row>
    <row r="92" spans="1:7" x14ac:dyDescent="0.25">
      <c r="A92" s="8">
        <v>42893.442465277774</v>
      </c>
      <c r="B92" s="20" t="s">
        <v>606</v>
      </c>
      <c r="C92" s="20" t="s">
        <v>726</v>
      </c>
      <c r="D92" s="141">
        <v>1100000</v>
      </c>
      <c r="E92" s="20" t="s">
        <v>678</v>
      </c>
      <c r="F92" s="20" t="s">
        <v>679</v>
      </c>
      <c r="G92" s="8" t="str">
        <f t="shared" si="1"/>
        <v>GEBRETEKLE DAGNEW</v>
      </c>
    </row>
    <row r="93" spans="1:7" x14ac:dyDescent="0.25">
      <c r="A93" s="8">
        <v>42893.443182870367</v>
      </c>
      <c r="B93" s="20" t="s">
        <v>594</v>
      </c>
      <c r="C93" s="20" t="s">
        <v>727</v>
      </c>
      <c r="D93" s="141">
        <v>1540000</v>
      </c>
      <c r="E93" s="20" t="s">
        <v>513</v>
      </c>
      <c r="F93" s="20" t="s">
        <v>514</v>
      </c>
      <c r="G93" s="8" t="str">
        <f t="shared" si="1"/>
        <v>HELVIE ADAM</v>
      </c>
    </row>
    <row r="94" spans="1:7" x14ac:dyDescent="0.25">
      <c r="A94" s="8">
        <v>42893.445601851854</v>
      </c>
      <c r="B94" s="20" t="s">
        <v>463</v>
      </c>
      <c r="C94" s="20" t="s">
        <v>616</v>
      </c>
      <c r="D94" s="141">
        <v>880000</v>
      </c>
      <c r="E94" s="20" t="s">
        <v>552</v>
      </c>
      <c r="F94" s="20" t="s">
        <v>194</v>
      </c>
      <c r="G94" s="8" t="str">
        <f t="shared" si="1"/>
        <v>STEWART MICHAEL</v>
      </c>
    </row>
    <row r="95" spans="1:7" x14ac:dyDescent="0.25">
      <c r="A95" s="8">
        <v>42893.446504629632</v>
      </c>
      <c r="B95" s="20" t="s">
        <v>380</v>
      </c>
      <c r="C95" s="20" t="s">
        <v>728</v>
      </c>
      <c r="D95" s="141">
        <v>1360000</v>
      </c>
      <c r="E95" s="20" t="s">
        <v>729</v>
      </c>
      <c r="F95" s="20" t="s">
        <v>730</v>
      </c>
      <c r="G95" s="8" t="str">
        <f t="shared" si="1"/>
        <v>SANTIZO D. EDY</v>
      </c>
    </row>
    <row r="96" spans="1:7" x14ac:dyDescent="0.25">
      <c r="A96" s="8">
        <v>42893.453761574077</v>
      </c>
      <c r="B96" s="20" t="s">
        <v>362</v>
      </c>
      <c r="C96" s="20" t="s">
        <v>731</v>
      </c>
      <c r="D96" s="141">
        <v>1740000</v>
      </c>
      <c r="E96" s="20" t="s">
        <v>732</v>
      </c>
      <c r="F96" s="20" t="s">
        <v>733</v>
      </c>
      <c r="G96" s="8" t="str">
        <f t="shared" si="1"/>
        <v>STORY SAMANTHA</v>
      </c>
    </row>
    <row r="97" spans="1:7" x14ac:dyDescent="0.25">
      <c r="A97" s="8">
        <v>42893.455567129633</v>
      </c>
      <c r="B97" s="20" t="s">
        <v>610</v>
      </c>
      <c r="C97" s="20" t="s">
        <v>734</v>
      </c>
      <c r="D97" s="141">
        <v>1990000</v>
      </c>
      <c r="E97" s="20" t="s">
        <v>425</v>
      </c>
      <c r="F97" s="20" t="s">
        <v>665</v>
      </c>
      <c r="G97" s="8" t="str">
        <f t="shared" si="1"/>
        <v>DAVIS WENDY</v>
      </c>
    </row>
    <row r="98" spans="1:7" x14ac:dyDescent="0.25">
      <c r="A98" s="8">
        <v>42893.456296296295</v>
      </c>
      <c r="B98" s="20" t="s">
        <v>602</v>
      </c>
      <c r="C98" s="20" t="s">
        <v>735</v>
      </c>
      <c r="D98" s="141">
        <v>1100000</v>
      </c>
      <c r="E98" s="20" t="s">
        <v>678</v>
      </c>
      <c r="F98" s="20" t="s">
        <v>679</v>
      </c>
      <c r="G98" s="8" t="str">
        <f t="shared" si="1"/>
        <v>GEBRETEKLE DAGNEW</v>
      </c>
    </row>
    <row r="99" spans="1:7" x14ac:dyDescent="0.25">
      <c r="A99" s="8">
        <v>42893.457071759258</v>
      </c>
      <c r="B99" s="20" t="s">
        <v>508</v>
      </c>
      <c r="C99" s="20" t="s">
        <v>736</v>
      </c>
      <c r="D99" s="141">
        <v>2730000</v>
      </c>
      <c r="E99" s="20" t="s">
        <v>550</v>
      </c>
      <c r="F99" s="20" t="s">
        <v>551</v>
      </c>
      <c r="G99" s="8" t="str">
        <f t="shared" si="1"/>
        <v>YANG JAN</v>
      </c>
    </row>
    <row r="100" spans="1:7" x14ac:dyDescent="0.25">
      <c r="A100" s="8">
        <v>42893.458495370367</v>
      </c>
      <c r="B100" s="20" t="s">
        <v>423</v>
      </c>
      <c r="C100" s="20" t="s">
        <v>731</v>
      </c>
      <c r="D100" s="141">
        <v>1740000</v>
      </c>
      <c r="E100" s="20" t="s">
        <v>732</v>
      </c>
      <c r="F100" s="20" t="s">
        <v>733</v>
      </c>
      <c r="G100" s="8" t="str">
        <f t="shared" si="1"/>
        <v>STORY SAMANTHA</v>
      </c>
    </row>
    <row r="101" spans="1:7" x14ac:dyDescent="0.25">
      <c r="A101" s="8">
        <v>42893.458969907406</v>
      </c>
      <c r="B101" s="20" t="s">
        <v>342</v>
      </c>
      <c r="C101" s="20" t="s">
        <v>617</v>
      </c>
      <c r="D101" s="141">
        <v>1110000</v>
      </c>
      <c r="E101" s="20" t="s">
        <v>511</v>
      </c>
      <c r="F101" s="20" t="s">
        <v>512</v>
      </c>
      <c r="G101" s="8" t="str">
        <f t="shared" si="1"/>
        <v>STARKS ANGELINA</v>
      </c>
    </row>
    <row r="102" spans="1:7" x14ac:dyDescent="0.25">
      <c r="A102" s="8">
        <v>42893.46503472222</v>
      </c>
      <c r="B102" s="20" t="s">
        <v>362</v>
      </c>
      <c r="C102" s="20" t="s">
        <v>737</v>
      </c>
      <c r="D102" s="141">
        <v>880000</v>
      </c>
      <c r="E102" s="20" t="s">
        <v>552</v>
      </c>
      <c r="F102" s="20" t="s">
        <v>194</v>
      </c>
      <c r="G102" s="8" t="str">
        <f t="shared" si="1"/>
        <v>STEWART MICHAEL</v>
      </c>
    </row>
    <row r="103" spans="1:7" x14ac:dyDescent="0.25">
      <c r="A103" s="8">
        <v>42893.465370370373</v>
      </c>
      <c r="B103" s="20" t="s">
        <v>604</v>
      </c>
      <c r="C103" s="20" t="s">
        <v>738</v>
      </c>
      <c r="D103" s="141">
        <v>2560000</v>
      </c>
      <c r="E103" s="20" t="s">
        <v>484</v>
      </c>
      <c r="F103" s="20" t="s">
        <v>372</v>
      </c>
      <c r="G103" s="8" t="str">
        <f t="shared" si="1"/>
        <v>MACDONALD THOMAS</v>
      </c>
    </row>
    <row r="104" spans="1:7" x14ac:dyDescent="0.25">
      <c r="A104" s="8">
        <v>42893.468171296299</v>
      </c>
      <c r="B104" s="20" t="s">
        <v>342</v>
      </c>
      <c r="C104" s="20" t="s">
        <v>617</v>
      </c>
      <c r="D104" s="141">
        <v>1110000</v>
      </c>
      <c r="E104" s="20" t="s">
        <v>511</v>
      </c>
      <c r="F104" s="20" t="s">
        <v>512</v>
      </c>
      <c r="G104" s="8" t="str">
        <f t="shared" si="1"/>
        <v>STARKS ANGELINA</v>
      </c>
    </row>
    <row r="105" spans="1:7" x14ac:dyDescent="0.25">
      <c r="A105" s="8">
        <v>42893.470266203702</v>
      </c>
      <c r="B105" s="20" t="s">
        <v>641</v>
      </c>
      <c r="C105" s="20" t="s">
        <v>739</v>
      </c>
      <c r="D105" s="141">
        <v>890000</v>
      </c>
      <c r="E105" s="20" t="s">
        <v>515</v>
      </c>
      <c r="F105" s="20" t="s">
        <v>516</v>
      </c>
      <c r="G105" s="8" t="str">
        <f t="shared" si="1"/>
        <v>LOZA FIDEL</v>
      </c>
    </row>
    <row r="106" spans="1:7" x14ac:dyDescent="0.25">
      <c r="A106" s="8">
        <v>42893.474988425929</v>
      </c>
      <c r="B106" s="20" t="s">
        <v>374</v>
      </c>
      <c r="C106" s="20" t="s">
        <v>619</v>
      </c>
      <c r="D106" s="141">
        <v>1360000</v>
      </c>
      <c r="E106" s="20" t="s">
        <v>729</v>
      </c>
      <c r="F106" s="20" t="s">
        <v>730</v>
      </c>
      <c r="G106" s="8" t="str">
        <f t="shared" si="1"/>
        <v>SANTIZO D. EDY</v>
      </c>
    </row>
    <row r="107" spans="1:7" x14ac:dyDescent="0.25">
      <c r="A107" s="8">
        <v>42893.476979166669</v>
      </c>
      <c r="B107" s="20" t="s">
        <v>483</v>
      </c>
      <c r="C107" s="20" t="s">
        <v>740</v>
      </c>
      <c r="D107" s="141">
        <v>1780000</v>
      </c>
      <c r="E107" s="20" t="s">
        <v>741</v>
      </c>
      <c r="F107" s="20" t="s">
        <v>742</v>
      </c>
      <c r="G107" s="8" t="str">
        <f t="shared" si="1"/>
        <v>DE LA ROSA ALEX</v>
      </c>
    </row>
    <row r="108" spans="1:7" x14ac:dyDescent="0.25">
      <c r="A108" s="8">
        <v>42893.481921296298</v>
      </c>
      <c r="B108" s="20" t="s">
        <v>464</v>
      </c>
      <c r="C108" s="20" t="s">
        <v>743</v>
      </c>
      <c r="D108" s="141">
        <v>1540000</v>
      </c>
      <c r="E108" s="20" t="s">
        <v>513</v>
      </c>
      <c r="F108" s="20" t="s">
        <v>514</v>
      </c>
      <c r="G108" s="8" t="str">
        <f t="shared" si="1"/>
        <v>HELVIE ADAM</v>
      </c>
    </row>
    <row r="109" spans="1:7" x14ac:dyDescent="0.25">
      <c r="A109" s="8">
        <v>42893.48265046296</v>
      </c>
      <c r="B109" s="20" t="s">
        <v>464</v>
      </c>
      <c r="C109" s="20" t="s">
        <v>743</v>
      </c>
      <c r="D109" s="141">
        <v>1540000</v>
      </c>
      <c r="E109" s="20" t="s">
        <v>513</v>
      </c>
      <c r="F109" s="20" t="s">
        <v>514</v>
      </c>
      <c r="G109" s="8" t="str">
        <f t="shared" si="1"/>
        <v>HELVIE ADAM</v>
      </c>
    </row>
    <row r="110" spans="1:7" x14ac:dyDescent="0.25">
      <c r="A110" s="8">
        <v>42893.483680555553</v>
      </c>
      <c r="B110" s="20" t="s">
        <v>606</v>
      </c>
      <c r="C110" s="20" t="s">
        <v>744</v>
      </c>
      <c r="D110" s="141">
        <v>1100000</v>
      </c>
      <c r="E110" s="20" t="s">
        <v>678</v>
      </c>
      <c r="F110" s="20" t="s">
        <v>679</v>
      </c>
      <c r="G110" s="8" t="str">
        <f t="shared" si="1"/>
        <v>GEBRETEKLE DAGNEW</v>
      </c>
    </row>
    <row r="111" spans="1:7" x14ac:dyDescent="0.25">
      <c r="A111" s="8">
        <v>42893.483923611115</v>
      </c>
      <c r="B111" s="20" t="s">
        <v>464</v>
      </c>
      <c r="C111" s="20" t="s">
        <v>743</v>
      </c>
      <c r="D111" s="141">
        <v>1540000</v>
      </c>
      <c r="E111" s="20" t="s">
        <v>513</v>
      </c>
      <c r="F111" s="20" t="s">
        <v>514</v>
      </c>
      <c r="G111" s="8" t="str">
        <f t="shared" si="1"/>
        <v>HELVIE ADAM</v>
      </c>
    </row>
    <row r="112" spans="1:7" x14ac:dyDescent="0.25">
      <c r="A112" s="8">
        <v>42893.487824074073</v>
      </c>
      <c r="B112" s="20" t="s">
        <v>668</v>
      </c>
      <c r="C112" s="20" t="s">
        <v>745</v>
      </c>
      <c r="D112" s="141">
        <v>1770000</v>
      </c>
      <c r="E112" s="20" t="s">
        <v>485</v>
      </c>
      <c r="F112" s="20" t="s">
        <v>486</v>
      </c>
      <c r="G112" s="8" t="str">
        <f t="shared" si="1"/>
        <v>BRUDER RICHARD</v>
      </c>
    </row>
    <row r="113" spans="1:7" x14ac:dyDescent="0.25">
      <c r="A113" s="8">
        <v>42893.491076388891</v>
      </c>
      <c r="B113" s="20" t="s">
        <v>509</v>
      </c>
      <c r="C113" s="20" t="s">
        <v>746</v>
      </c>
      <c r="D113" s="141">
        <v>2730000</v>
      </c>
      <c r="E113" s="20" t="s">
        <v>550</v>
      </c>
      <c r="F113" s="20" t="s">
        <v>551</v>
      </c>
      <c r="G113" s="8" t="str">
        <f t="shared" si="1"/>
        <v>YANG JAN</v>
      </c>
    </row>
    <row r="114" spans="1:7" x14ac:dyDescent="0.25">
      <c r="A114" s="8">
        <v>42893.497361111113</v>
      </c>
      <c r="B114" s="20" t="s">
        <v>341</v>
      </c>
      <c r="C114" s="20" t="s">
        <v>620</v>
      </c>
      <c r="D114" s="141">
        <v>1300000</v>
      </c>
      <c r="E114" s="20" t="s">
        <v>517</v>
      </c>
      <c r="F114" s="20" t="s">
        <v>518</v>
      </c>
      <c r="G114" s="8" t="str">
        <f t="shared" si="1"/>
        <v>LEVIN SCOTT</v>
      </c>
    </row>
    <row r="115" spans="1:7" x14ac:dyDescent="0.25">
      <c r="A115" s="8">
        <v>42893.497974537036</v>
      </c>
      <c r="B115" s="20" t="s">
        <v>602</v>
      </c>
      <c r="C115" s="20" t="s">
        <v>747</v>
      </c>
      <c r="D115" s="141">
        <v>1100000</v>
      </c>
      <c r="E115" s="20" t="s">
        <v>678</v>
      </c>
      <c r="F115" s="20" t="s">
        <v>679</v>
      </c>
      <c r="G115" s="8" t="str">
        <f t="shared" si="1"/>
        <v>GEBRETEKLE DAGNEW</v>
      </c>
    </row>
    <row r="116" spans="1:7" x14ac:dyDescent="0.25">
      <c r="A116" s="8">
        <v>42893.499074074076</v>
      </c>
      <c r="B116" s="20" t="s">
        <v>463</v>
      </c>
      <c r="C116" s="20" t="s">
        <v>618</v>
      </c>
      <c r="D116" s="141">
        <v>2420000</v>
      </c>
      <c r="E116" s="20" t="s">
        <v>748</v>
      </c>
      <c r="F116" s="20" t="s">
        <v>749</v>
      </c>
      <c r="G116" s="8" t="str">
        <f t="shared" si="1"/>
        <v>HOLCOMB KAMDEN</v>
      </c>
    </row>
    <row r="117" spans="1:7" x14ac:dyDescent="0.25">
      <c r="A117" s="8">
        <v>42893.502071759256</v>
      </c>
      <c r="B117" s="20" t="s">
        <v>463</v>
      </c>
      <c r="C117" s="20" t="s">
        <v>618</v>
      </c>
      <c r="D117" s="141">
        <v>2420000</v>
      </c>
      <c r="E117" s="20" t="s">
        <v>748</v>
      </c>
      <c r="F117" s="20" t="s">
        <v>749</v>
      </c>
      <c r="G117" s="8" t="str">
        <f t="shared" si="1"/>
        <v>HOLCOMB KAMDEN</v>
      </c>
    </row>
    <row r="118" spans="1:7" x14ac:dyDescent="0.25">
      <c r="A118" s="8">
        <v>42893.506157407406</v>
      </c>
      <c r="B118" s="20" t="s">
        <v>423</v>
      </c>
      <c r="C118" s="20" t="s">
        <v>750</v>
      </c>
      <c r="D118" s="141">
        <v>880000</v>
      </c>
      <c r="E118" s="20" t="s">
        <v>552</v>
      </c>
      <c r="F118" s="20" t="s">
        <v>194</v>
      </c>
      <c r="G118" s="8" t="str">
        <f t="shared" si="1"/>
        <v>STEWART MICHAEL</v>
      </c>
    </row>
    <row r="119" spans="1:7" x14ac:dyDescent="0.25">
      <c r="A119" s="8">
        <v>42893.506354166668</v>
      </c>
      <c r="B119" s="20" t="s">
        <v>496</v>
      </c>
      <c r="C119" s="20" t="s">
        <v>751</v>
      </c>
      <c r="D119" s="141">
        <v>2370000</v>
      </c>
      <c r="E119" s="20" t="s">
        <v>752</v>
      </c>
      <c r="F119" s="20" t="s">
        <v>753</v>
      </c>
      <c r="G119" s="8" t="str">
        <f t="shared" si="1"/>
        <v>DELGADO DIANAH</v>
      </c>
    </row>
    <row r="120" spans="1:7" x14ac:dyDescent="0.25">
      <c r="A120" s="8">
        <v>42893.516030092593</v>
      </c>
      <c r="B120" s="20" t="s">
        <v>594</v>
      </c>
      <c r="C120" s="20" t="s">
        <v>754</v>
      </c>
      <c r="D120" s="141">
        <v>1780000</v>
      </c>
      <c r="E120" s="20" t="s">
        <v>741</v>
      </c>
      <c r="F120" s="20" t="s">
        <v>742</v>
      </c>
      <c r="G120" s="8" t="str">
        <f t="shared" si="1"/>
        <v>DE LA ROSA ALEX</v>
      </c>
    </row>
    <row r="121" spans="1:7" x14ac:dyDescent="0.25">
      <c r="A121" s="8">
        <v>42893.518993055557</v>
      </c>
      <c r="B121" s="20" t="s">
        <v>380</v>
      </c>
      <c r="C121" s="20" t="s">
        <v>755</v>
      </c>
      <c r="D121" s="141">
        <v>920000</v>
      </c>
      <c r="E121" s="20" t="s">
        <v>425</v>
      </c>
      <c r="F121" s="20" t="s">
        <v>194</v>
      </c>
      <c r="G121" s="8" t="str">
        <f t="shared" si="1"/>
        <v>DAVIS MICHAEL</v>
      </c>
    </row>
    <row r="122" spans="1:7" x14ac:dyDescent="0.25">
      <c r="A122" s="8">
        <v>42893.521909722222</v>
      </c>
      <c r="B122" s="25" t="s">
        <v>464</v>
      </c>
      <c r="C122" s="20" t="s">
        <v>621</v>
      </c>
      <c r="D122" s="141">
        <v>890000</v>
      </c>
      <c r="E122" s="20" t="s">
        <v>515</v>
      </c>
      <c r="F122" s="20" t="s">
        <v>516</v>
      </c>
      <c r="G122" s="8" t="str">
        <f t="shared" si="1"/>
        <v>LOZA FIDEL</v>
      </c>
    </row>
    <row r="123" spans="1:7" x14ac:dyDescent="0.25">
      <c r="A123" s="8">
        <v>42893.524502314816</v>
      </c>
      <c r="B123" s="20" t="s">
        <v>610</v>
      </c>
      <c r="C123" s="20" t="s">
        <v>756</v>
      </c>
      <c r="D123" s="141">
        <v>1770000</v>
      </c>
      <c r="E123" s="20" t="s">
        <v>485</v>
      </c>
      <c r="F123" s="20" t="s">
        <v>486</v>
      </c>
      <c r="G123" s="8" t="str">
        <f t="shared" si="1"/>
        <v>BRUDER RICHARD</v>
      </c>
    </row>
    <row r="124" spans="1:7" x14ac:dyDescent="0.25">
      <c r="A124" s="8">
        <v>42893.525509259256</v>
      </c>
      <c r="B124" s="20" t="s">
        <v>606</v>
      </c>
      <c r="C124" s="20" t="s">
        <v>757</v>
      </c>
      <c r="D124" s="141">
        <v>1100000</v>
      </c>
      <c r="E124" s="20" t="s">
        <v>678</v>
      </c>
      <c r="F124" s="20" t="s">
        <v>679</v>
      </c>
      <c r="G124" s="8" t="str">
        <f t="shared" si="1"/>
        <v>GEBRETEKLE DAGNEW</v>
      </c>
    </row>
    <row r="125" spans="1:7" x14ac:dyDescent="0.25">
      <c r="A125" s="8">
        <v>42893.528506944444</v>
      </c>
      <c r="B125" s="20" t="s">
        <v>508</v>
      </c>
      <c r="C125" s="20" t="s">
        <v>622</v>
      </c>
      <c r="D125" s="141">
        <v>2420000</v>
      </c>
      <c r="E125" s="20" t="s">
        <v>748</v>
      </c>
      <c r="F125" s="20" t="s">
        <v>749</v>
      </c>
      <c r="G125" s="8" t="str">
        <f t="shared" si="1"/>
        <v>HOLCOMB KAMDEN</v>
      </c>
    </row>
    <row r="126" spans="1:7" x14ac:dyDescent="0.25">
      <c r="A126" s="8">
        <v>42893.538182870368</v>
      </c>
      <c r="B126" s="20" t="s">
        <v>604</v>
      </c>
      <c r="C126" s="20" t="s">
        <v>758</v>
      </c>
      <c r="D126" s="141">
        <v>2370000</v>
      </c>
      <c r="E126" s="20" t="s">
        <v>752</v>
      </c>
      <c r="F126" s="20" t="s">
        <v>753</v>
      </c>
      <c r="G126" s="8" t="str">
        <f t="shared" si="1"/>
        <v>DELGADO DIANAH</v>
      </c>
    </row>
    <row r="127" spans="1:7" x14ac:dyDescent="0.25">
      <c r="A127" s="8">
        <v>42893.538668981484</v>
      </c>
      <c r="B127" s="20" t="s">
        <v>342</v>
      </c>
      <c r="C127" s="20" t="s">
        <v>759</v>
      </c>
      <c r="D127" s="141">
        <v>1300000</v>
      </c>
      <c r="E127" s="20" t="s">
        <v>517</v>
      </c>
      <c r="F127" s="20" t="s">
        <v>518</v>
      </c>
      <c r="G127" s="8" t="str">
        <f t="shared" si="1"/>
        <v>LEVIN SCOTT</v>
      </c>
    </row>
    <row r="128" spans="1:7" x14ac:dyDescent="0.25">
      <c r="A128" s="8">
        <v>42893.539456018516</v>
      </c>
      <c r="B128" s="20" t="s">
        <v>362</v>
      </c>
      <c r="C128" s="20" t="s">
        <v>623</v>
      </c>
      <c r="D128" s="141">
        <v>880000</v>
      </c>
      <c r="E128" s="20" t="s">
        <v>552</v>
      </c>
      <c r="F128" s="20" t="s">
        <v>194</v>
      </c>
      <c r="G128" s="8" t="str">
        <f t="shared" si="1"/>
        <v>STEWART MICHAEL</v>
      </c>
    </row>
    <row r="129" spans="1:7" x14ac:dyDescent="0.25">
      <c r="A129" s="8">
        <v>42893.541018518517</v>
      </c>
      <c r="B129" s="20" t="s">
        <v>362</v>
      </c>
      <c r="C129" s="20" t="s">
        <v>623</v>
      </c>
      <c r="D129" s="141">
        <v>880000</v>
      </c>
      <c r="E129" s="20" t="s">
        <v>552</v>
      </c>
      <c r="F129" s="20" t="s">
        <v>194</v>
      </c>
      <c r="G129" s="8" t="str">
        <f t="shared" si="1"/>
        <v>STEWART MICHAEL</v>
      </c>
    </row>
    <row r="130" spans="1:7" x14ac:dyDescent="0.25">
      <c r="A130" s="8">
        <v>42893.546215277776</v>
      </c>
      <c r="B130" s="20" t="s">
        <v>602</v>
      </c>
      <c r="C130" s="20" t="s">
        <v>760</v>
      </c>
      <c r="D130" s="141">
        <v>2440000</v>
      </c>
      <c r="E130" s="20" t="s">
        <v>761</v>
      </c>
      <c r="F130" s="20" t="s">
        <v>762</v>
      </c>
      <c r="G130" s="8" t="str">
        <f t="shared" si="1"/>
        <v>LOPES KIMBERLY</v>
      </c>
    </row>
    <row r="131" spans="1:7" x14ac:dyDescent="0.25">
      <c r="A131" s="8">
        <v>42893.54760416667</v>
      </c>
      <c r="B131" s="20" t="s">
        <v>483</v>
      </c>
      <c r="C131" s="20" t="s">
        <v>763</v>
      </c>
      <c r="D131" s="141">
        <v>1780000</v>
      </c>
      <c r="E131" s="20" t="s">
        <v>741</v>
      </c>
      <c r="F131" s="20" t="s">
        <v>742</v>
      </c>
      <c r="G131" s="8" t="str">
        <f t="shared" ref="G131:G194" si="2">E131&amp;" "&amp;F131</f>
        <v>DE LA ROSA ALEX</v>
      </c>
    </row>
    <row r="132" spans="1:7" x14ac:dyDescent="0.25">
      <c r="A132" s="8">
        <v>42893.559479166666</v>
      </c>
      <c r="B132" s="20" t="s">
        <v>374</v>
      </c>
      <c r="C132" s="20" t="s">
        <v>624</v>
      </c>
      <c r="D132" s="141">
        <v>920000</v>
      </c>
      <c r="E132" s="20" t="s">
        <v>425</v>
      </c>
      <c r="F132" s="20" t="s">
        <v>194</v>
      </c>
      <c r="G132" s="8" t="str">
        <f t="shared" si="2"/>
        <v>DAVIS MICHAEL</v>
      </c>
    </row>
    <row r="133" spans="1:7" x14ac:dyDescent="0.25">
      <c r="A133" s="8">
        <v>42893.564641203702</v>
      </c>
      <c r="B133" s="20" t="s">
        <v>362</v>
      </c>
      <c r="C133" s="20" t="s">
        <v>623</v>
      </c>
      <c r="D133" s="141">
        <v>880000</v>
      </c>
      <c r="E133" s="20" t="s">
        <v>552</v>
      </c>
      <c r="F133" s="20" t="s">
        <v>194</v>
      </c>
      <c r="G133" s="8" t="str">
        <f t="shared" si="2"/>
        <v>STEWART MICHAEL</v>
      </c>
    </row>
    <row r="134" spans="1:7" x14ac:dyDescent="0.25">
      <c r="A134" s="8">
        <v>42893.565937500003</v>
      </c>
      <c r="B134" s="20" t="s">
        <v>483</v>
      </c>
      <c r="C134" s="20" t="s">
        <v>764</v>
      </c>
      <c r="D134" s="141">
        <v>1780000</v>
      </c>
      <c r="E134" s="20" t="s">
        <v>741</v>
      </c>
      <c r="F134" s="20" t="s">
        <v>742</v>
      </c>
      <c r="G134" s="8" t="str">
        <f t="shared" si="2"/>
        <v>DE LA ROSA ALEX</v>
      </c>
    </row>
    <row r="135" spans="1:7" x14ac:dyDescent="0.25">
      <c r="A135" s="8">
        <v>42893.56653935185</v>
      </c>
      <c r="B135" s="20" t="s">
        <v>483</v>
      </c>
      <c r="C135" s="20" t="s">
        <v>764</v>
      </c>
      <c r="D135" s="141">
        <v>1780000</v>
      </c>
      <c r="E135" s="20" t="s">
        <v>741</v>
      </c>
      <c r="F135" s="20" t="s">
        <v>742</v>
      </c>
      <c r="G135" s="8" t="str">
        <f t="shared" si="2"/>
        <v>DE LA ROSA ALEX</v>
      </c>
    </row>
    <row r="136" spans="1:7" x14ac:dyDescent="0.25">
      <c r="A136" s="8">
        <v>42893.567048611112</v>
      </c>
      <c r="B136" s="20" t="s">
        <v>509</v>
      </c>
      <c r="C136" s="20" t="s">
        <v>765</v>
      </c>
      <c r="D136" s="141">
        <v>2420000</v>
      </c>
      <c r="E136" s="20" t="s">
        <v>748</v>
      </c>
      <c r="F136" s="20" t="s">
        <v>749</v>
      </c>
      <c r="G136" s="8" t="str">
        <f t="shared" si="2"/>
        <v>HOLCOMB KAMDEN</v>
      </c>
    </row>
    <row r="137" spans="1:7" x14ac:dyDescent="0.25">
      <c r="A137" s="8">
        <v>42893.568622685183</v>
      </c>
      <c r="B137" s="20" t="s">
        <v>606</v>
      </c>
      <c r="C137" s="20" t="s">
        <v>766</v>
      </c>
      <c r="D137" s="141">
        <v>2440000</v>
      </c>
      <c r="E137" s="20" t="s">
        <v>761</v>
      </c>
      <c r="F137" s="20" t="s">
        <v>762</v>
      </c>
      <c r="G137" s="8" t="str">
        <f t="shared" si="2"/>
        <v>LOPES KIMBERLY</v>
      </c>
    </row>
    <row r="138" spans="1:7" x14ac:dyDescent="0.25">
      <c r="A138" s="8">
        <v>42893.573865740742</v>
      </c>
      <c r="B138" s="20" t="s">
        <v>668</v>
      </c>
      <c r="C138" s="20" t="s">
        <v>767</v>
      </c>
      <c r="D138" s="141">
        <v>1290000</v>
      </c>
      <c r="E138" s="20" t="s">
        <v>768</v>
      </c>
      <c r="F138" s="20" t="s">
        <v>769</v>
      </c>
      <c r="G138" s="8" t="str">
        <f t="shared" si="2"/>
        <v>COOLAHAN JOHN</v>
      </c>
    </row>
    <row r="139" spans="1:7" x14ac:dyDescent="0.25">
      <c r="A139" s="8">
        <v>42893.580150462964</v>
      </c>
      <c r="B139" s="20" t="s">
        <v>341</v>
      </c>
      <c r="C139" s="20" t="s">
        <v>626</v>
      </c>
      <c r="D139" s="141">
        <v>1300000</v>
      </c>
      <c r="E139" s="20" t="s">
        <v>517</v>
      </c>
      <c r="F139" s="20" t="s">
        <v>518</v>
      </c>
      <c r="G139" s="8" t="str">
        <f t="shared" si="2"/>
        <v>LEVIN SCOTT</v>
      </c>
    </row>
    <row r="140" spans="1:7" x14ac:dyDescent="0.25">
      <c r="A140" s="8">
        <v>42893.583738425928</v>
      </c>
      <c r="B140" s="20" t="s">
        <v>602</v>
      </c>
      <c r="C140" s="20" t="s">
        <v>770</v>
      </c>
      <c r="D140" s="141">
        <v>1360000</v>
      </c>
      <c r="E140" s="20" t="s">
        <v>729</v>
      </c>
      <c r="F140" s="20" t="s">
        <v>730</v>
      </c>
      <c r="G140" s="8" t="str">
        <f t="shared" si="2"/>
        <v>SANTIZO D. EDY</v>
      </c>
    </row>
    <row r="141" spans="1:7" x14ac:dyDescent="0.25">
      <c r="A141" s="8">
        <v>42893.588530092595</v>
      </c>
      <c r="B141" s="20" t="s">
        <v>602</v>
      </c>
      <c r="C141" s="20" t="s">
        <v>771</v>
      </c>
      <c r="D141" s="141">
        <v>2440000</v>
      </c>
      <c r="E141" s="20" t="s">
        <v>761</v>
      </c>
      <c r="F141" s="20" t="s">
        <v>762</v>
      </c>
      <c r="G141" s="8" t="str">
        <f t="shared" si="2"/>
        <v>LOPES KIMBERLY</v>
      </c>
    </row>
    <row r="142" spans="1:7" x14ac:dyDescent="0.25">
      <c r="A142" s="8">
        <v>42893.597766203704</v>
      </c>
      <c r="B142" s="20" t="s">
        <v>423</v>
      </c>
      <c r="C142" s="20" t="s">
        <v>772</v>
      </c>
      <c r="D142" s="141">
        <v>880000</v>
      </c>
      <c r="E142" s="20" t="s">
        <v>552</v>
      </c>
      <c r="F142" s="20" t="s">
        <v>194</v>
      </c>
      <c r="G142" s="8" t="str">
        <f t="shared" si="2"/>
        <v>STEWART MICHAEL</v>
      </c>
    </row>
    <row r="143" spans="1:7" x14ac:dyDescent="0.25">
      <c r="A143" s="8">
        <v>42893.605995370373</v>
      </c>
      <c r="B143" s="20" t="s">
        <v>374</v>
      </c>
      <c r="C143" s="20" t="s">
        <v>624</v>
      </c>
      <c r="D143" s="141">
        <v>920000</v>
      </c>
      <c r="E143" s="20" t="s">
        <v>425</v>
      </c>
      <c r="F143" s="20" t="s">
        <v>194</v>
      </c>
      <c r="G143" s="8" t="str">
        <f t="shared" si="2"/>
        <v>DAVIS MICHAEL</v>
      </c>
    </row>
    <row r="144" spans="1:7" x14ac:dyDescent="0.25">
      <c r="A144" s="8">
        <v>42893.60765046296</v>
      </c>
      <c r="B144" s="20" t="s">
        <v>594</v>
      </c>
      <c r="C144" s="20" t="s">
        <v>627</v>
      </c>
      <c r="D144" s="141">
        <v>1780000</v>
      </c>
      <c r="E144" s="20" t="s">
        <v>741</v>
      </c>
      <c r="F144" s="20" t="s">
        <v>742</v>
      </c>
      <c r="G144" s="8" t="str">
        <f t="shared" si="2"/>
        <v>DE LA ROSA ALEX</v>
      </c>
    </row>
    <row r="145" spans="1:7" x14ac:dyDescent="0.25">
      <c r="A145" s="8">
        <v>42893.608495370368</v>
      </c>
      <c r="B145" s="20" t="s">
        <v>496</v>
      </c>
      <c r="C145" s="20" t="s">
        <v>773</v>
      </c>
      <c r="D145" s="141">
        <v>2370000</v>
      </c>
      <c r="E145" s="20" t="s">
        <v>752</v>
      </c>
      <c r="F145" s="20" t="s">
        <v>753</v>
      </c>
      <c r="G145" s="8" t="str">
        <f t="shared" si="2"/>
        <v>DELGADO DIANAH</v>
      </c>
    </row>
    <row r="146" spans="1:7" x14ac:dyDescent="0.25">
      <c r="A146" s="8">
        <v>42893.609201388892</v>
      </c>
      <c r="B146" s="20" t="s">
        <v>606</v>
      </c>
      <c r="C146" s="20" t="s">
        <v>625</v>
      </c>
      <c r="D146" s="141">
        <v>2440000</v>
      </c>
      <c r="E146" s="20" t="s">
        <v>761</v>
      </c>
      <c r="F146" s="20" t="s">
        <v>762</v>
      </c>
      <c r="G146" s="8" t="str">
        <f t="shared" si="2"/>
        <v>LOPES KIMBERLY</v>
      </c>
    </row>
    <row r="147" spans="1:7" x14ac:dyDescent="0.25">
      <c r="A147" s="8">
        <v>42893.609293981484</v>
      </c>
      <c r="B147" s="20" t="s">
        <v>594</v>
      </c>
      <c r="C147" s="20" t="s">
        <v>627</v>
      </c>
      <c r="D147" s="141">
        <v>1780000</v>
      </c>
      <c r="E147" s="20" t="s">
        <v>741</v>
      </c>
      <c r="F147" s="20" t="s">
        <v>742</v>
      </c>
      <c r="G147" s="8" t="str">
        <f t="shared" si="2"/>
        <v>DE LA ROSA ALEX</v>
      </c>
    </row>
    <row r="148" spans="1:7" x14ac:dyDescent="0.25">
      <c r="A148" s="8">
        <v>42893.610983796294</v>
      </c>
      <c r="B148" s="20" t="s">
        <v>594</v>
      </c>
      <c r="C148" s="20" t="s">
        <v>627</v>
      </c>
      <c r="D148" s="141">
        <v>1780000</v>
      </c>
      <c r="E148" s="20" t="s">
        <v>741</v>
      </c>
      <c r="F148" s="20" t="s">
        <v>742</v>
      </c>
      <c r="G148" s="8" t="str">
        <f t="shared" si="2"/>
        <v>DE LA ROSA ALEX</v>
      </c>
    </row>
    <row r="149" spans="1:7" x14ac:dyDescent="0.25">
      <c r="A149" s="8">
        <v>42893.622615740744</v>
      </c>
      <c r="B149" s="20" t="s">
        <v>380</v>
      </c>
      <c r="C149" s="20" t="s">
        <v>774</v>
      </c>
      <c r="D149" s="141">
        <v>920000</v>
      </c>
      <c r="E149" s="20" t="s">
        <v>425</v>
      </c>
      <c r="F149" s="20" t="s">
        <v>194</v>
      </c>
      <c r="G149" s="8" t="str">
        <f t="shared" si="2"/>
        <v>DAVIS MICHAEL</v>
      </c>
    </row>
    <row r="150" spans="1:7" x14ac:dyDescent="0.25">
      <c r="A150" s="8">
        <v>42893.622777777775</v>
      </c>
      <c r="B150" s="20" t="s">
        <v>610</v>
      </c>
      <c r="C150" s="20" t="s">
        <v>775</v>
      </c>
      <c r="D150" s="141">
        <v>1290000</v>
      </c>
      <c r="E150" s="20" t="s">
        <v>768</v>
      </c>
      <c r="F150" s="20" t="s">
        <v>769</v>
      </c>
      <c r="G150" s="8" t="str">
        <f t="shared" si="2"/>
        <v>COOLAHAN JOHN</v>
      </c>
    </row>
    <row r="151" spans="1:7" x14ac:dyDescent="0.25">
      <c r="A151" s="8">
        <v>42893.62903935185</v>
      </c>
      <c r="B151" s="20" t="s">
        <v>508</v>
      </c>
      <c r="C151" s="20" t="s">
        <v>776</v>
      </c>
      <c r="D151" s="141">
        <v>2420000</v>
      </c>
      <c r="E151" s="20" t="s">
        <v>748</v>
      </c>
      <c r="F151" s="20" t="s">
        <v>749</v>
      </c>
      <c r="G151" s="8" t="str">
        <f t="shared" si="2"/>
        <v>HOLCOMB KAMDEN</v>
      </c>
    </row>
    <row r="152" spans="1:7" x14ac:dyDescent="0.25">
      <c r="A152" s="8">
        <v>42893.630219907405</v>
      </c>
      <c r="B152" s="20" t="s">
        <v>508</v>
      </c>
      <c r="C152" s="20" t="s">
        <v>776</v>
      </c>
      <c r="D152" s="141">
        <v>2420000</v>
      </c>
      <c r="E152" s="20" t="s">
        <v>748</v>
      </c>
      <c r="F152" s="20" t="s">
        <v>749</v>
      </c>
      <c r="G152" s="8" t="str">
        <f t="shared" si="2"/>
        <v>HOLCOMB KAMDEN</v>
      </c>
    </row>
    <row r="153" spans="1:7" x14ac:dyDescent="0.25">
      <c r="A153" s="8">
        <v>42893.630972222221</v>
      </c>
      <c r="B153" s="20" t="s">
        <v>342</v>
      </c>
      <c r="C153" s="20" t="s">
        <v>777</v>
      </c>
      <c r="D153" s="141">
        <v>1300000</v>
      </c>
      <c r="E153" s="20" t="s">
        <v>517</v>
      </c>
      <c r="F153" s="20" t="s">
        <v>518</v>
      </c>
      <c r="G153" s="8" t="str">
        <f t="shared" si="2"/>
        <v>LEVIN SCOTT</v>
      </c>
    </row>
    <row r="154" spans="1:7" x14ac:dyDescent="0.25">
      <c r="A154" s="8">
        <v>42893.631122685183</v>
      </c>
      <c r="B154" s="20" t="s">
        <v>508</v>
      </c>
      <c r="C154" s="20" t="s">
        <v>776</v>
      </c>
      <c r="D154" s="141">
        <v>2420000</v>
      </c>
      <c r="E154" s="20" t="s">
        <v>748</v>
      </c>
      <c r="F154" s="20" t="s">
        <v>749</v>
      </c>
      <c r="G154" s="8" t="str">
        <f t="shared" si="2"/>
        <v>HOLCOMB KAMDEN</v>
      </c>
    </row>
    <row r="155" spans="1:7" x14ac:dyDescent="0.25">
      <c r="A155" s="8">
        <v>42893.632256944446</v>
      </c>
      <c r="B155" s="20" t="s">
        <v>508</v>
      </c>
      <c r="C155" s="20" t="s">
        <v>776</v>
      </c>
      <c r="D155" s="141">
        <v>2420000</v>
      </c>
      <c r="E155" s="20" t="s">
        <v>748</v>
      </c>
      <c r="F155" s="20" t="s">
        <v>749</v>
      </c>
      <c r="G155" s="8" t="str">
        <f t="shared" si="2"/>
        <v>HOLCOMB KAMDEN</v>
      </c>
    </row>
    <row r="156" spans="1:7" x14ac:dyDescent="0.25">
      <c r="A156" s="8">
        <v>42893.636319444442</v>
      </c>
      <c r="B156" s="20" t="s">
        <v>602</v>
      </c>
      <c r="C156" s="20" t="s">
        <v>778</v>
      </c>
      <c r="D156" s="141">
        <v>2440000</v>
      </c>
      <c r="E156" s="20" t="s">
        <v>761</v>
      </c>
      <c r="F156" s="20" t="s">
        <v>762</v>
      </c>
      <c r="G156" s="8" t="str">
        <f t="shared" si="2"/>
        <v>LOPES KIMBERLY</v>
      </c>
    </row>
    <row r="157" spans="1:7" x14ac:dyDescent="0.25">
      <c r="A157" s="8">
        <v>42893.640347222223</v>
      </c>
      <c r="B157" s="20" t="s">
        <v>362</v>
      </c>
      <c r="C157" s="20" t="s">
        <v>629</v>
      </c>
      <c r="D157" s="141">
        <v>880000</v>
      </c>
      <c r="E157" s="20" t="s">
        <v>552</v>
      </c>
      <c r="F157" s="20" t="s">
        <v>194</v>
      </c>
      <c r="G157" s="8" t="str">
        <f t="shared" si="2"/>
        <v>STEWART MICHAEL</v>
      </c>
    </row>
    <row r="158" spans="1:7" x14ac:dyDescent="0.25">
      <c r="A158" s="8">
        <v>42893.642233796294</v>
      </c>
      <c r="B158" s="20" t="s">
        <v>604</v>
      </c>
      <c r="C158" s="20" t="s">
        <v>779</v>
      </c>
      <c r="D158" s="141">
        <v>2370000</v>
      </c>
      <c r="E158" s="20" t="s">
        <v>752</v>
      </c>
      <c r="F158" s="20" t="s">
        <v>753</v>
      </c>
      <c r="G158" s="8" t="str">
        <f t="shared" si="2"/>
        <v>DELGADO DIANAH</v>
      </c>
    </row>
    <row r="159" spans="1:7" x14ac:dyDescent="0.25">
      <c r="A159" s="8">
        <v>42893.643576388888</v>
      </c>
      <c r="B159" s="20" t="s">
        <v>604</v>
      </c>
      <c r="C159" s="20" t="s">
        <v>779</v>
      </c>
      <c r="D159" s="141">
        <v>2370000</v>
      </c>
      <c r="E159" s="20" t="s">
        <v>752</v>
      </c>
      <c r="F159" s="20" t="s">
        <v>753</v>
      </c>
      <c r="G159" s="8" t="str">
        <f t="shared" si="2"/>
        <v>DELGADO DIANAH</v>
      </c>
    </row>
    <row r="160" spans="1:7" x14ac:dyDescent="0.25">
      <c r="A160" s="8">
        <v>42893.644097222219</v>
      </c>
      <c r="B160" s="20" t="s">
        <v>596</v>
      </c>
      <c r="C160" s="20" t="s">
        <v>628</v>
      </c>
      <c r="D160" s="141">
        <v>2350000</v>
      </c>
      <c r="E160" s="20" t="s">
        <v>780</v>
      </c>
      <c r="F160" s="20" t="s">
        <v>781</v>
      </c>
      <c r="G160" s="8" t="str">
        <f t="shared" si="2"/>
        <v>BERLING GARY</v>
      </c>
    </row>
    <row r="161" spans="1:7" x14ac:dyDescent="0.25">
      <c r="A161" s="8">
        <v>42893.644756944443</v>
      </c>
      <c r="B161" s="20" t="s">
        <v>604</v>
      </c>
      <c r="C161" s="20" t="s">
        <v>779</v>
      </c>
      <c r="D161" s="141">
        <v>2370000</v>
      </c>
      <c r="E161" s="20" t="s">
        <v>752</v>
      </c>
      <c r="F161" s="20" t="s">
        <v>753</v>
      </c>
      <c r="G161" s="8" t="str">
        <f t="shared" si="2"/>
        <v>DELGADO DIANAH</v>
      </c>
    </row>
    <row r="162" spans="1:7" x14ac:dyDescent="0.25">
      <c r="A162" s="8">
        <v>42893.646087962959</v>
      </c>
      <c r="B162" s="20" t="s">
        <v>604</v>
      </c>
      <c r="C162" s="20" t="s">
        <v>779</v>
      </c>
      <c r="D162" s="141">
        <v>2370000</v>
      </c>
      <c r="E162" s="20" t="s">
        <v>752</v>
      </c>
      <c r="F162" s="20" t="s">
        <v>753</v>
      </c>
      <c r="G162" s="8" t="str">
        <f t="shared" si="2"/>
        <v>DELGADO DIANAH</v>
      </c>
    </row>
    <row r="163" spans="1:7" x14ac:dyDescent="0.25">
      <c r="A163" s="8">
        <v>42893.651643518519</v>
      </c>
      <c r="B163" s="20" t="s">
        <v>606</v>
      </c>
      <c r="C163" s="20" t="s">
        <v>782</v>
      </c>
      <c r="D163" s="141">
        <v>2440000</v>
      </c>
      <c r="E163" s="20" t="s">
        <v>761</v>
      </c>
      <c r="F163" s="20" t="s">
        <v>762</v>
      </c>
      <c r="G163" s="8" t="str">
        <f t="shared" si="2"/>
        <v>LOPES KIMBERLY</v>
      </c>
    </row>
    <row r="164" spans="1:7" x14ac:dyDescent="0.25">
      <c r="A164" s="8">
        <v>42893.653449074074</v>
      </c>
      <c r="B164" s="20" t="s">
        <v>483</v>
      </c>
      <c r="C164" s="20" t="s">
        <v>783</v>
      </c>
      <c r="D164" s="141">
        <v>1780000</v>
      </c>
      <c r="E164" s="20" t="s">
        <v>741</v>
      </c>
      <c r="F164" s="20" t="s">
        <v>742</v>
      </c>
      <c r="G164" s="8" t="str">
        <f t="shared" si="2"/>
        <v>DE LA ROSA ALEX</v>
      </c>
    </row>
    <row r="165" spans="1:7" x14ac:dyDescent="0.25">
      <c r="A165" s="8">
        <v>42893.65761574074</v>
      </c>
      <c r="B165" s="20" t="s">
        <v>374</v>
      </c>
      <c r="C165" s="20" t="s">
        <v>784</v>
      </c>
      <c r="D165" s="141">
        <v>920000</v>
      </c>
      <c r="E165" s="20" t="s">
        <v>425</v>
      </c>
      <c r="F165" s="20" t="s">
        <v>194</v>
      </c>
      <c r="G165" s="8" t="str">
        <f t="shared" si="2"/>
        <v>DAVIS MICHAEL</v>
      </c>
    </row>
    <row r="166" spans="1:7" x14ac:dyDescent="0.25">
      <c r="A166" s="8">
        <v>42893.658321759256</v>
      </c>
      <c r="B166" s="20" t="s">
        <v>668</v>
      </c>
      <c r="C166" s="20" t="s">
        <v>785</v>
      </c>
      <c r="D166" s="141">
        <v>1770000</v>
      </c>
      <c r="E166" s="20" t="s">
        <v>485</v>
      </c>
      <c r="F166" s="20" t="s">
        <v>486</v>
      </c>
      <c r="G166" s="8" t="str">
        <f t="shared" si="2"/>
        <v>BRUDER RICHARD</v>
      </c>
    </row>
    <row r="167" spans="1:7" x14ac:dyDescent="0.25">
      <c r="A167" s="8">
        <v>42893.660092592596</v>
      </c>
      <c r="B167" s="20" t="s">
        <v>507</v>
      </c>
      <c r="C167" s="20" t="s">
        <v>786</v>
      </c>
      <c r="D167" s="141">
        <v>2350000</v>
      </c>
      <c r="E167" s="20" t="s">
        <v>780</v>
      </c>
      <c r="F167" s="20" t="s">
        <v>781</v>
      </c>
      <c r="G167" s="8" t="str">
        <f t="shared" si="2"/>
        <v>BERLING GARY</v>
      </c>
    </row>
    <row r="168" spans="1:7" x14ac:dyDescent="0.25">
      <c r="A168" s="8">
        <v>42893.662951388891</v>
      </c>
      <c r="B168" s="20" t="s">
        <v>509</v>
      </c>
      <c r="C168" s="20" t="s">
        <v>632</v>
      </c>
      <c r="D168" s="141">
        <v>2420000</v>
      </c>
      <c r="E168" s="20" t="s">
        <v>748</v>
      </c>
      <c r="F168" s="20" t="s">
        <v>749</v>
      </c>
      <c r="G168" s="8" t="str">
        <f t="shared" si="2"/>
        <v>HOLCOMB KAMDEN</v>
      </c>
    </row>
    <row r="169" spans="1:7" x14ac:dyDescent="0.25">
      <c r="A169" s="8">
        <v>42893.663958333331</v>
      </c>
      <c r="B169" s="20" t="s">
        <v>509</v>
      </c>
      <c r="C169" s="20" t="s">
        <v>632</v>
      </c>
      <c r="D169" s="141">
        <v>2420000</v>
      </c>
      <c r="E169" s="20" t="s">
        <v>748</v>
      </c>
      <c r="F169" s="20" t="s">
        <v>749</v>
      </c>
      <c r="G169" s="8" t="str">
        <f t="shared" si="2"/>
        <v>HOLCOMB KAMDEN</v>
      </c>
    </row>
    <row r="170" spans="1:7" x14ac:dyDescent="0.25">
      <c r="A170" s="8">
        <v>42893.670185185183</v>
      </c>
      <c r="B170" s="20" t="s">
        <v>341</v>
      </c>
      <c r="C170" s="20" t="s">
        <v>633</v>
      </c>
      <c r="D170" s="141">
        <v>1300000</v>
      </c>
      <c r="E170" s="20" t="s">
        <v>517</v>
      </c>
      <c r="F170" s="20" t="s">
        <v>518</v>
      </c>
      <c r="G170" s="8" t="str">
        <f t="shared" si="2"/>
        <v>LEVIN SCOTT</v>
      </c>
    </row>
    <row r="171" spans="1:7" x14ac:dyDescent="0.25">
      <c r="A171" s="8">
        <v>42893.671064814815</v>
      </c>
      <c r="B171" s="20" t="s">
        <v>613</v>
      </c>
      <c r="C171" s="20" t="s">
        <v>631</v>
      </c>
      <c r="D171" s="141">
        <v>2040000</v>
      </c>
      <c r="E171" s="20" t="s">
        <v>468</v>
      </c>
      <c r="F171" s="20" t="s">
        <v>469</v>
      </c>
      <c r="G171" s="8" t="str">
        <f t="shared" si="2"/>
        <v>MOSES BRADLEY</v>
      </c>
    </row>
    <row r="172" spans="1:7" x14ac:dyDescent="0.25">
      <c r="A172" s="8">
        <v>42893.673611111109</v>
      </c>
      <c r="B172" s="20" t="s">
        <v>596</v>
      </c>
      <c r="C172" s="20" t="s">
        <v>630</v>
      </c>
      <c r="D172" s="141">
        <v>2350000</v>
      </c>
      <c r="E172" s="20" t="s">
        <v>780</v>
      </c>
      <c r="F172" s="20" t="s">
        <v>781</v>
      </c>
      <c r="G172" s="8" t="str">
        <f t="shared" si="2"/>
        <v>BERLING GARY</v>
      </c>
    </row>
    <row r="173" spans="1:7" x14ac:dyDescent="0.25">
      <c r="A173" s="8">
        <v>42893.674444444441</v>
      </c>
      <c r="B173" s="20" t="s">
        <v>602</v>
      </c>
      <c r="C173" s="20" t="s">
        <v>787</v>
      </c>
      <c r="D173" s="141">
        <v>2440000</v>
      </c>
      <c r="E173" s="20" t="s">
        <v>761</v>
      </c>
      <c r="F173" s="20" t="s">
        <v>762</v>
      </c>
      <c r="G173" s="8" t="str">
        <f t="shared" si="2"/>
        <v>LOPES KIMBERLY</v>
      </c>
    </row>
    <row r="174" spans="1:7" x14ac:dyDescent="0.25">
      <c r="A174" s="8">
        <v>42893.67597222222</v>
      </c>
      <c r="B174" s="20" t="s">
        <v>423</v>
      </c>
      <c r="C174" s="20" t="s">
        <v>788</v>
      </c>
      <c r="D174" s="141">
        <v>880000</v>
      </c>
      <c r="E174" s="20" t="s">
        <v>552</v>
      </c>
      <c r="F174" s="20" t="s">
        <v>194</v>
      </c>
      <c r="G174" s="8" t="str">
        <f t="shared" si="2"/>
        <v>STEWART MICHAEL</v>
      </c>
    </row>
    <row r="175" spans="1:7" x14ac:dyDescent="0.25">
      <c r="A175" s="8">
        <v>42893.684606481482</v>
      </c>
      <c r="B175" s="20" t="s">
        <v>594</v>
      </c>
      <c r="C175" s="20" t="s">
        <v>789</v>
      </c>
      <c r="D175" s="141">
        <v>1780000</v>
      </c>
      <c r="E175" s="20" t="s">
        <v>741</v>
      </c>
      <c r="F175" s="20" t="s">
        <v>742</v>
      </c>
      <c r="G175" s="8" t="str">
        <f t="shared" si="2"/>
        <v>DE LA ROSA ALEX</v>
      </c>
    </row>
    <row r="176" spans="1:7" x14ac:dyDescent="0.25">
      <c r="A176" s="8">
        <v>42893.686724537038</v>
      </c>
      <c r="B176" s="20" t="s">
        <v>496</v>
      </c>
      <c r="C176" s="20" t="s">
        <v>790</v>
      </c>
      <c r="D176" s="141">
        <v>2370000</v>
      </c>
      <c r="E176" s="20" t="s">
        <v>752</v>
      </c>
      <c r="F176" s="20" t="s">
        <v>753</v>
      </c>
      <c r="G176" s="8" t="str">
        <f t="shared" si="2"/>
        <v>DELGADO DIANAH</v>
      </c>
    </row>
    <row r="177" spans="1:7" x14ac:dyDescent="0.25">
      <c r="A177" s="8">
        <v>42893.690104166664</v>
      </c>
      <c r="B177" s="20" t="s">
        <v>507</v>
      </c>
      <c r="C177" s="20" t="s">
        <v>791</v>
      </c>
      <c r="D177" s="141">
        <v>2000000</v>
      </c>
      <c r="E177" s="20" t="s">
        <v>424</v>
      </c>
      <c r="F177" s="20" t="s">
        <v>191</v>
      </c>
      <c r="G177" s="8" t="str">
        <f t="shared" si="2"/>
        <v>STAMBAUGH JAMES</v>
      </c>
    </row>
    <row r="178" spans="1:7" x14ac:dyDescent="0.25">
      <c r="A178" s="8">
        <v>42893.694108796299</v>
      </c>
      <c r="B178" s="20" t="s">
        <v>508</v>
      </c>
      <c r="C178" s="20" t="s">
        <v>792</v>
      </c>
      <c r="D178" s="141">
        <v>2420000</v>
      </c>
      <c r="E178" s="20" t="s">
        <v>748</v>
      </c>
      <c r="F178" s="20" t="s">
        <v>749</v>
      </c>
      <c r="G178" s="8" t="str">
        <f t="shared" si="2"/>
        <v>HOLCOMB KAMDEN</v>
      </c>
    </row>
    <row r="179" spans="1:7" x14ac:dyDescent="0.25">
      <c r="A179" s="8">
        <v>42893.694282407407</v>
      </c>
      <c r="B179" s="20" t="s">
        <v>606</v>
      </c>
      <c r="C179" s="20" t="s">
        <v>793</v>
      </c>
      <c r="D179" s="141">
        <v>2440000</v>
      </c>
      <c r="E179" s="20" t="s">
        <v>761</v>
      </c>
      <c r="F179" s="20" t="s">
        <v>762</v>
      </c>
      <c r="G179" s="8" t="str">
        <f t="shared" si="2"/>
        <v>LOPES KIMBERLY</v>
      </c>
    </row>
    <row r="180" spans="1:7" x14ac:dyDescent="0.25">
      <c r="A180" s="8">
        <v>42893.69804398148</v>
      </c>
      <c r="B180" s="20" t="s">
        <v>610</v>
      </c>
      <c r="C180" s="20" t="s">
        <v>794</v>
      </c>
      <c r="D180" s="141">
        <v>1770000</v>
      </c>
      <c r="E180" s="20" t="s">
        <v>485</v>
      </c>
      <c r="F180" s="20" t="s">
        <v>486</v>
      </c>
      <c r="G180" s="8" t="str">
        <f t="shared" si="2"/>
        <v>BRUDER RICHARD</v>
      </c>
    </row>
    <row r="181" spans="1:7" x14ac:dyDescent="0.25">
      <c r="A181" s="8">
        <v>42893.698622685188</v>
      </c>
      <c r="B181" s="20" t="s">
        <v>380</v>
      </c>
      <c r="C181" s="20" t="s">
        <v>795</v>
      </c>
      <c r="D181" s="141">
        <v>920000</v>
      </c>
      <c r="E181" s="20" t="s">
        <v>425</v>
      </c>
      <c r="F181" s="20" t="s">
        <v>194</v>
      </c>
      <c r="G181" s="8" t="str">
        <f t="shared" si="2"/>
        <v>DAVIS MICHAEL</v>
      </c>
    </row>
    <row r="182" spans="1:7" x14ac:dyDescent="0.25">
      <c r="A182" s="8">
        <v>42893.705868055556</v>
      </c>
      <c r="B182" s="20" t="s">
        <v>641</v>
      </c>
      <c r="C182" s="20" t="s">
        <v>796</v>
      </c>
      <c r="D182" s="141">
        <v>2040000</v>
      </c>
      <c r="E182" s="20" t="s">
        <v>468</v>
      </c>
      <c r="F182" s="20" t="s">
        <v>469</v>
      </c>
      <c r="G182" s="8" t="str">
        <f t="shared" si="2"/>
        <v>MOSES BRADLEY</v>
      </c>
    </row>
    <row r="183" spans="1:7" x14ac:dyDescent="0.25">
      <c r="A183" s="8">
        <v>42893.70921296296</v>
      </c>
      <c r="B183" s="20" t="s">
        <v>362</v>
      </c>
      <c r="C183" s="20" t="s">
        <v>797</v>
      </c>
      <c r="D183" s="141">
        <v>880000</v>
      </c>
      <c r="E183" s="20" t="s">
        <v>552</v>
      </c>
      <c r="F183" s="20" t="s">
        <v>194</v>
      </c>
      <c r="G183" s="8" t="str">
        <f t="shared" si="2"/>
        <v>STEWART MICHAEL</v>
      </c>
    </row>
    <row r="184" spans="1:7" x14ac:dyDescent="0.25">
      <c r="A184" s="8">
        <v>42893.713703703703</v>
      </c>
      <c r="B184" s="20" t="s">
        <v>342</v>
      </c>
      <c r="C184" s="20" t="s">
        <v>798</v>
      </c>
      <c r="D184" s="141">
        <v>1300000</v>
      </c>
      <c r="E184" s="20" t="s">
        <v>517</v>
      </c>
      <c r="F184" s="20" t="s">
        <v>518</v>
      </c>
      <c r="G184" s="8" t="str">
        <f t="shared" si="2"/>
        <v>LEVIN SCOTT</v>
      </c>
    </row>
    <row r="185" spans="1:7" x14ac:dyDescent="0.25">
      <c r="A185" s="8">
        <v>42893.713969907411</v>
      </c>
      <c r="B185" s="20" t="s">
        <v>602</v>
      </c>
      <c r="C185" s="20" t="s">
        <v>799</v>
      </c>
      <c r="D185" s="141">
        <v>2440000</v>
      </c>
      <c r="E185" s="20" t="s">
        <v>761</v>
      </c>
      <c r="F185" s="20" t="s">
        <v>762</v>
      </c>
      <c r="G185" s="8" t="str">
        <f t="shared" si="2"/>
        <v>LOPES KIMBERLY</v>
      </c>
    </row>
    <row r="186" spans="1:7" x14ac:dyDescent="0.25">
      <c r="A186" s="8">
        <v>42893.715324074074</v>
      </c>
      <c r="B186" s="20" t="s">
        <v>596</v>
      </c>
      <c r="C186" s="20" t="s">
        <v>634</v>
      </c>
      <c r="D186" s="141">
        <v>2000000</v>
      </c>
      <c r="E186" s="20" t="s">
        <v>424</v>
      </c>
      <c r="F186" s="20" t="s">
        <v>191</v>
      </c>
      <c r="G186" s="8" t="str">
        <f t="shared" si="2"/>
        <v>STAMBAUGH JAMES</v>
      </c>
    </row>
    <row r="187" spans="1:7" x14ac:dyDescent="0.25">
      <c r="A187" s="8">
        <v>42893.716469907406</v>
      </c>
      <c r="B187" s="20" t="s">
        <v>483</v>
      </c>
      <c r="C187" s="20" t="s">
        <v>800</v>
      </c>
      <c r="D187" s="141">
        <v>1780000</v>
      </c>
      <c r="E187" s="20" t="s">
        <v>741</v>
      </c>
      <c r="F187" s="20" t="s">
        <v>742</v>
      </c>
      <c r="G187" s="8" t="str">
        <f t="shared" si="2"/>
        <v>DE LA ROSA ALEX</v>
      </c>
    </row>
    <row r="188" spans="1:7" x14ac:dyDescent="0.25">
      <c r="A188" s="8">
        <v>42893.718495370369</v>
      </c>
      <c r="B188" s="20" t="s">
        <v>604</v>
      </c>
      <c r="C188" s="20" t="s">
        <v>801</v>
      </c>
      <c r="D188" s="141">
        <v>2370000</v>
      </c>
      <c r="E188" s="20" t="s">
        <v>752</v>
      </c>
      <c r="F188" s="20" t="s">
        <v>753</v>
      </c>
      <c r="G188" s="8" t="str">
        <f t="shared" si="2"/>
        <v>DELGADO DIANAH</v>
      </c>
    </row>
    <row r="189" spans="1:7" x14ac:dyDescent="0.25">
      <c r="A189" s="8">
        <v>42893.727997685186</v>
      </c>
      <c r="B189" s="20" t="s">
        <v>668</v>
      </c>
      <c r="C189" s="20" t="s">
        <v>802</v>
      </c>
      <c r="D189" s="141">
        <v>1770000</v>
      </c>
      <c r="E189" s="20" t="s">
        <v>485</v>
      </c>
      <c r="F189" s="20" t="s">
        <v>486</v>
      </c>
      <c r="G189" s="8" t="str">
        <f t="shared" si="2"/>
        <v>BRUDER RICHARD</v>
      </c>
    </row>
    <row r="190" spans="1:7" x14ac:dyDescent="0.25">
      <c r="A190" s="8">
        <v>42893.728784722225</v>
      </c>
      <c r="B190" s="20" t="s">
        <v>507</v>
      </c>
      <c r="C190" s="20" t="s">
        <v>636</v>
      </c>
      <c r="D190" s="141">
        <v>2000000</v>
      </c>
      <c r="E190" s="20" t="s">
        <v>424</v>
      </c>
      <c r="F190" s="20" t="s">
        <v>191</v>
      </c>
      <c r="G190" s="8" t="str">
        <f t="shared" si="2"/>
        <v>STAMBAUGH JAMES</v>
      </c>
    </row>
    <row r="191" spans="1:7" x14ac:dyDescent="0.25">
      <c r="A191" s="8">
        <v>42893.735254629632</v>
      </c>
      <c r="B191" s="20" t="s">
        <v>606</v>
      </c>
      <c r="C191" s="20" t="s">
        <v>635</v>
      </c>
      <c r="D191" s="141">
        <v>2440000</v>
      </c>
      <c r="E191" s="20" t="s">
        <v>761</v>
      </c>
      <c r="F191" s="20" t="s">
        <v>762</v>
      </c>
      <c r="G191" s="8" t="str">
        <f t="shared" si="2"/>
        <v>LOPES KIMBERLY</v>
      </c>
    </row>
    <row r="192" spans="1:7" x14ac:dyDescent="0.25">
      <c r="A192" s="8">
        <v>42893.737858796296</v>
      </c>
      <c r="B192" s="20" t="s">
        <v>509</v>
      </c>
      <c r="C192" s="20" t="s">
        <v>639</v>
      </c>
      <c r="D192" s="141">
        <v>2420000</v>
      </c>
      <c r="E192" s="20" t="s">
        <v>748</v>
      </c>
      <c r="F192" s="20" t="s">
        <v>749</v>
      </c>
      <c r="G192" s="8" t="str">
        <f t="shared" si="2"/>
        <v>HOLCOMB KAMDEN</v>
      </c>
    </row>
    <row r="193" spans="1:7" x14ac:dyDescent="0.25">
      <c r="A193" s="8">
        <v>42893.741875</v>
      </c>
      <c r="B193" s="20" t="s">
        <v>549</v>
      </c>
      <c r="C193" s="20" t="s">
        <v>637</v>
      </c>
      <c r="D193" s="141">
        <v>2610000</v>
      </c>
      <c r="E193" s="20" t="s">
        <v>428</v>
      </c>
      <c r="F193" s="20" t="s">
        <v>429</v>
      </c>
      <c r="G193" s="8" t="str">
        <f t="shared" si="2"/>
        <v>MAGEE KENYA</v>
      </c>
    </row>
    <row r="194" spans="1:7" x14ac:dyDescent="0.25">
      <c r="A194" s="8">
        <v>42893.744027777779</v>
      </c>
      <c r="B194" s="20" t="s">
        <v>423</v>
      </c>
      <c r="C194" s="20" t="s">
        <v>638</v>
      </c>
      <c r="D194" s="141">
        <v>880000</v>
      </c>
      <c r="E194" s="20" t="s">
        <v>552</v>
      </c>
      <c r="F194" s="20" t="s">
        <v>194</v>
      </c>
      <c r="G194" s="8" t="str">
        <f t="shared" si="2"/>
        <v>STEWART MICHAEL</v>
      </c>
    </row>
    <row r="195" spans="1:7" x14ac:dyDescent="0.25">
      <c r="A195" s="8">
        <v>42893.748993055553</v>
      </c>
      <c r="B195" s="20" t="s">
        <v>341</v>
      </c>
      <c r="C195" s="20" t="s">
        <v>640</v>
      </c>
      <c r="D195" s="141">
        <v>1300000</v>
      </c>
      <c r="E195" s="20" t="s">
        <v>517</v>
      </c>
      <c r="F195" s="20" t="s">
        <v>518</v>
      </c>
      <c r="G195" s="8" t="str">
        <f t="shared" ref="G195:G258" si="3">E195&amp;" "&amp;F195</f>
        <v>LEVIN SCOTT</v>
      </c>
    </row>
    <row r="196" spans="1:7" x14ac:dyDescent="0.25">
      <c r="A196" s="8">
        <v>42893.752071759256</v>
      </c>
      <c r="B196" s="20" t="s">
        <v>406</v>
      </c>
      <c r="C196" s="20" t="s">
        <v>803</v>
      </c>
      <c r="D196" s="141">
        <v>1360000</v>
      </c>
      <c r="E196" s="20" t="s">
        <v>729</v>
      </c>
      <c r="F196" s="20" t="s">
        <v>730</v>
      </c>
      <c r="G196" s="8" t="str">
        <f t="shared" si="3"/>
        <v>SANTIZO D. EDY</v>
      </c>
    </row>
    <row r="197" spans="1:7" x14ac:dyDescent="0.25">
      <c r="A197" s="8">
        <v>42893.756203703706</v>
      </c>
      <c r="B197" s="20" t="s">
        <v>594</v>
      </c>
      <c r="C197" s="20" t="s">
        <v>804</v>
      </c>
      <c r="D197" s="141">
        <v>1780000</v>
      </c>
      <c r="E197" s="20" t="s">
        <v>741</v>
      </c>
      <c r="F197" s="20" t="s">
        <v>742</v>
      </c>
      <c r="G197" s="8" t="str">
        <f t="shared" si="3"/>
        <v>DE LA ROSA ALEX</v>
      </c>
    </row>
    <row r="198" spans="1:7" x14ac:dyDescent="0.25">
      <c r="A198" s="8">
        <v>42893.756493055553</v>
      </c>
      <c r="B198" s="20" t="s">
        <v>602</v>
      </c>
      <c r="C198" s="20" t="s">
        <v>805</v>
      </c>
      <c r="D198" s="141">
        <v>2350000</v>
      </c>
      <c r="E198" s="20" t="s">
        <v>780</v>
      </c>
      <c r="F198" s="20" t="s">
        <v>781</v>
      </c>
      <c r="G198" s="8" t="str">
        <f t="shared" si="3"/>
        <v>BERLING GARY</v>
      </c>
    </row>
    <row r="199" spans="1:7" x14ac:dyDescent="0.25">
      <c r="A199" s="8">
        <v>42893.756666666668</v>
      </c>
      <c r="B199" s="20" t="s">
        <v>596</v>
      </c>
      <c r="C199" s="20" t="s">
        <v>806</v>
      </c>
      <c r="D199" s="141">
        <v>2000000</v>
      </c>
      <c r="E199" s="20" t="s">
        <v>424</v>
      </c>
      <c r="F199" s="20" t="s">
        <v>191</v>
      </c>
      <c r="G199" s="8" t="str">
        <f t="shared" si="3"/>
        <v>STAMBAUGH JAMES</v>
      </c>
    </row>
    <row r="200" spans="1:7" x14ac:dyDescent="0.25">
      <c r="A200" s="8">
        <v>42893.762997685182</v>
      </c>
      <c r="B200" s="20" t="s">
        <v>496</v>
      </c>
      <c r="C200" s="20" t="s">
        <v>807</v>
      </c>
      <c r="D200" s="141">
        <v>2230000</v>
      </c>
      <c r="E200" s="20" t="s">
        <v>344</v>
      </c>
      <c r="F200" s="20" t="s">
        <v>194</v>
      </c>
      <c r="G200" s="8" t="str">
        <f t="shared" si="3"/>
        <v>SMITH MICHAEL</v>
      </c>
    </row>
    <row r="201" spans="1:7" x14ac:dyDescent="0.25">
      <c r="A201" s="8">
        <v>42893.763206018521</v>
      </c>
      <c r="B201" s="20" t="s">
        <v>610</v>
      </c>
      <c r="C201" s="20" t="s">
        <v>808</v>
      </c>
      <c r="D201" s="141">
        <v>1770000</v>
      </c>
      <c r="E201" s="20" t="s">
        <v>485</v>
      </c>
      <c r="F201" s="20" t="s">
        <v>486</v>
      </c>
      <c r="G201" s="8" t="str">
        <f t="shared" si="3"/>
        <v>BRUDER RICHARD</v>
      </c>
    </row>
    <row r="202" spans="1:7" x14ac:dyDescent="0.25">
      <c r="A202" s="26">
        <v>42893.769861111112</v>
      </c>
      <c r="B202" s="20" t="s">
        <v>508</v>
      </c>
      <c r="C202" s="20" t="s">
        <v>809</v>
      </c>
      <c r="D202" s="141">
        <v>2550000</v>
      </c>
      <c r="E202" s="20" t="s">
        <v>810</v>
      </c>
      <c r="F202" s="20" t="s">
        <v>811</v>
      </c>
      <c r="G202" s="8" t="str">
        <f t="shared" si="3"/>
        <v>BADERTSCHER DIANE</v>
      </c>
    </row>
    <row r="203" spans="1:7" x14ac:dyDescent="0.25">
      <c r="A203" s="8">
        <v>42893.77171296296</v>
      </c>
      <c r="B203" s="20" t="s">
        <v>507</v>
      </c>
      <c r="C203" s="20" t="s">
        <v>812</v>
      </c>
      <c r="D203" s="141">
        <v>2000000</v>
      </c>
      <c r="E203" s="20" t="s">
        <v>424</v>
      </c>
      <c r="F203" s="20" t="s">
        <v>191</v>
      </c>
      <c r="G203" s="8" t="str">
        <f t="shared" si="3"/>
        <v>STAMBAUGH JAMES</v>
      </c>
    </row>
    <row r="204" spans="1:7" x14ac:dyDescent="0.25">
      <c r="A204" s="8">
        <v>42893.774583333332</v>
      </c>
      <c r="B204" s="20" t="s">
        <v>546</v>
      </c>
      <c r="C204" s="20" t="s">
        <v>637</v>
      </c>
      <c r="D204" s="141">
        <v>2610000</v>
      </c>
      <c r="E204" s="20" t="s">
        <v>428</v>
      </c>
      <c r="F204" s="20" t="s">
        <v>429</v>
      </c>
      <c r="G204" s="8" t="str">
        <f t="shared" si="3"/>
        <v>MAGEE KENYA</v>
      </c>
    </row>
    <row r="205" spans="1:7" x14ac:dyDescent="0.25">
      <c r="A205" s="8">
        <v>42893.775787037041</v>
      </c>
      <c r="B205" s="20" t="s">
        <v>606</v>
      </c>
      <c r="C205" s="20" t="s">
        <v>813</v>
      </c>
      <c r="D205" s="141">
        <v>2350000</v>
      </c>
      <c r="E205" s="20" t="s">
        <v>780</v>
      </c>
      <c r="F205" s="20" t="s">
        <v>781</v>
      </c>
      <c r="G205" s="8" t="str">
        <f t="shared" si="3"/>
        <v>BERLING GARY</v>
      </c>
    </row>
    <row r="206" spans="1:7" x14ac:dyDescent="0.25">
      <c r="A206" s="8">
        <v>42893.776516203703</v>
      </c>
      <c r="B206" s="20" t="s">
        <v>641</v>
      </c>
      <c r="C206" s="20" t="s">
        <v>642</v>
      </c>
      <c r="D206" s="141">
        <v>2090000</v>
      </c>
      <c r="E206" s="20" t="s">
        <v>497</v>
      </c>
      <c r="F206" s="20" t="s">
        <v>194</v>
      </c>
      <c r="G206" s="8" t="str">
        <f t="shared" si="3"/>
        <v>HAITHCOX MICHAEL</v>
      </c>
    </row>
    <row r="207" spans="1:7" x14ac:dyDescent="0.25">
      <c r="A207" s="8">
        <v>42893.778171296297</v>
      </c>
      <c r="B207" s="20" t="s">
        <v>549</v>
      </c>
      <c r="C207" s="20" t="s">
        <v>637</v>
      </c>
      <c r="D207" s="141">
        <v>2610000</v>
      </c>
      <c r="E207" s="20" t="s">
        <v>428</v>
      </c>
      <c r="F207" s="20" t="s">
        <v>429</v>
      </c>
      <c r="G207" s="8" t="str">
        <f t="shared" si="3"/>
        <v>MAGEE KENYA</v>
      </c>
    </row>
    <row r="208" spans="1:7" x14ac:dyDescent="0.25">
      <c r="A208" s="8">
        <v>42893.787372685183</v>
      </c>
      <c r="B208" s="20" t="s">
        <v>342</v>
      </c>
      <c r="C208" s="20" t="s">
        <v>643</v>
      </c>
      <c r="D208" s="141">
        <v>1300000</v>
      </c>
      <c r="E208" s="20" t="s">
        <v>517</v>
      </c>
      <c r="F208" s="20" t="s">
        <v>518</v>
      </c>
      <c r="G208" s="8" t="str">
        <f t="shared" si="3"/>
        <v>LEVIN SCOTT</v>
      </c>
    </row>
    <row r="209" spans="1:7" x14ac:dyDescent="0.25">
      <c r="A209" s="8">
        <v>42893.791539351849</v>
      </c>
      <c r="B209" s="20" t="s">
        <v>483</v>
      </c>
      <c r="C209" s="20" t="s">
        <v>814</v>
      </c>
      <c r="D209" s="141">
        <v>3000000</v>
      </c>
      <c r="E209" s="20" t="s">
        <v>439</v>
      </c>
      <c r="F209" s="20" t="s">
        <v>440</v>
      </c>
      <c r="G209" s="8" t="str">
        <f t="shared" si="3"/>
        <v>FORTUNATO FRANK</v>
      </c>
    </row>
    <row r="210" spans="1:7" x14ac:dyDescent="0.25">
      <c r="A210" s="8">
        <v>42893.792581018519</v>
      </c>
      <c r="B210" s="20" t="s">
        <v>604</v>
      </c>
      <c r="C210" s="20" t="s">
        <v>815</v>
      </c>
      <c r="D210" s="141">
        <v>2230000</v>
      </c>
      <c r="E210" s="20" t="s">
        <v>344</v>
      </c>
      <c r="F210" s="20" t="s">
        <v>194</v>
      </c>
      <c r="G210" s="8" t="str">
        <f t="shared" si="3"/>
        <v>SMITH MICHAEL</v>
      </c>
    </row>
    <row r="211" spans="1:7" x14ac:dyDescent="0.25">
      <c r="A211" s="8">
        <v>42893.797708333332</v>
      </c>
      <c r="B211" s="20" t="s">
        <v>596</v>
      </c>
      <c r="C211" s="20" t="s">
        <v>816</v>
      </c>
      <c r="D211" s="141">
        <v>2000000</v>
      </c>
      <c r="E211" s="20" t="s">
        <v>424</v>
      </c>
      <c r="F211" s="20" t="s">
        <v>191</v>
      </c>
      <c r="G211" s="8" t="str">
        <f t="shared" si="3"/>
        <v>STAMBAUGH JAMES</v>
      </c>
    </row>
    <row r="212" spans="1:7" x14ac:dyDescent="0.25">
      <c r="A212" s="8">
        <v>42893.802789351852</v>
      </c>
      <c r="B212" s="20" t="s">
        <v>668</v>
      </c>
      <c r="C212" s="20" t="s">
        <v>817</v>
      </c>
      <c r="D212" s="141">
        <v>1770000</v>
      </c>
      <c r="E212" s="20" t="s">
        <v>485</v>
      </c>
      <c r="F212" s="20" t="s">
        <v>486</v>
      </c>
      <c r="G212" s="8" t="str">
        <f t="shared" si="3"/>
        <v>BRUDER RICHARD</v>
      </c>
    </row>
    <row r="213" spans="1:7" x14ac:dyDescent="0.25">
      <c r="A213" s="8">
        <v>42893.804340277777</v>
      </c>
      <c r="B213" s="20" t="s">
        <v>602</v>
      </c>
      <c r="C213" s="20" t="s">
        <v>818</v>
      </c>
      <c r="D213" s="141">
        <v>2440000</v>
      </c>
      <c r="E213" s="20" t="s">
        <v>761</v>
      </c>
      <c r="F213" s="20" t="s">
        <v>762</v>
      </c>
      <c r="G213" s="8" t="str">
        <f t="shared" si="3"/>
        <v>LOPES KIMBERLY</v>
      </c>
    </row>
    <row r="214" spans="1:7" x14ac:dyDescent="0.25">
      <c r="A214" s="8">
        <v>42893.807638888888</v>
      </c>
      <c r="B214" s="20" t="s">
        <v>509</v>
      </c>
      <c r="C214" s="20" t="s">
        <v>644</v>
      </c>
      <c r="D214" s="141">
        <v>2550000</v>
      </c>
      <c r="E214" s="20" t="s">
        <v>810</v>
      </c>
      <c r="F214" s="20" t="s">
        <v>811</v>
      </c>
      <c r="G214" s="8" t="str">
        <f t="shared" si="3"/>
        <v>BADERTSCHER DIANE</v>
      </c>
    </row>
    <row r="215" spans="1:7" x14ac:dyDescent="0.25">
      <c r="A215" s="8">
        <v>42893.807881944442</v>
      </c>
      <c r="B215" s="20" t="s">
        <v>507</v>
      </c>
      <c r="C215" s="20" t="s">
        <v>816</v>
      </c>
      <c r="D215" s="141">
        <v>2000000</v>
      </c>
      <c r="E215" s="20" t="s">
        <v>424</v>
      </c>
      <c r="F215" s="20" t="s">
        <v>191</v>
      </c>
      <c r="G215" s="8" t="str">
        <f t="shared" si="3"/>
        <v>STAMBAUGH JAMES</v>
      </c>
    </row>
    <row r="216" spans="1:7" x14ac:dyDescent="0.25">
      <c r="A216" s="8">
        <v>42893.810636574075</v>
      </c>
      <c r="B216" s="20" t="s">
        <v>613</v>
      </c>
      <c r="C216" s="20" t="s">
        <v>646</v>
      </c>
      <c r="D216" s="141">
        <v>2090000</v>
      </c>
      <c r="E216" s="20" t="s">
        <v>497</v>
      </c>
      <c r="F216" s="20" t="s">
        <v>194</v>
      </c>
      <c r="G216" s="8" t="str">
        <f t="shared" si="3"/>
        <v>HAITHCOX MICHAEL</v>
      </c>
    </row>
    <row r="217" spans="1:7" x14ac:dyDescent="0.25">
      <c r="A217" s="8">
        <v>42893.817395833335</v>
      </c>
      <c r="B217" s="20" t="s">
        <v>341</v>
      </c>
      <c r="C217" s="20" t="s">
        <v>819</v>
      </c>
      <c r="D217" s="141">
        <v>1300000</v>
      </c>
      <c r="E217" s="20" t="s">
        <v>517</v>
      </c>
      <c r="F217" s="20" t="s">
        <v>518</v>
      </c>
      <c r="G217" s="8" t="str">
        <f t="shared" si="3"/>
        <v>LEVIN SCOTT</v>
      </c>
    </row>
    <row r="218" spans="1:7" x14ac:dyDescent="0.25">
      <c r="A218" s="8">
        <v>42893.817650462966</v>
      </c>
      <c r="B218" s="20" t="s">
        <v>606</v>
      </c>
      <c r="C218" s="20" t="s">
        <v>645</v>
      </c>
      <c r="D218" s="141">
        <v>2440000</v>
      </c>
      <c r="E218" s="20" t="s">
        <v>761</v>
      </c>
      <c r="F218" s="20" t="s">
        <v>762</v>
      </c>
      <c r="G218" s="8" t="str">
        <f t="shared" si="3"/>
        <v>LOPES KIMBERLY</v>
      </c>
    </row>
    <row r="219" spans="1:7" x14ac:dyDescent="0.25">
      <c r="A219" s="8">
        <v>42893.820798611108</v>
      </c>
      <c r="B219" s="20" t="s">
        <v>594</v>
      </c>
      <c r="C219" s="20" t="s">
        <v>820</v>
      </c>
      <c r="D219" s="141">
        <v>3000000</v>
      </c>
      <c r="E219" s="20" t="s">
        <v>439</v>
      </c>
      <c r="F219" s="20" t="s">
        <v>440</v>
      </c>
      <c r="G219" s="8" t="str">
        <f t="shared" si="3"/>
        <v>FORTUNATO FRANK</v>
      </c>
    </row>
    <row r="220" spans="1:7" x14ac:dyDescent="0.25">
      <c r="A220" s="8">
        <v>42893.830601851849</v>
      </c>
      <c r="B220" s="20" t="s">
        <v>496</v>
      </c>
      <c r="C220" s="20" t="s">
        <v>821</v>
      </c>
      <c r="D220" s="141">
        <v>2230000</v>
      </c>
      <c r="E220" s="20" t="s">
        <v>344</v>
      </c>
      <c r="F220" s="20" t="s">
        <v>194</v>
      </c>
      <c r="G220" s="8" t="str">
        <f t="shared" si="3"/>
        <v>SMITH MICHAEL</v>
      </c>
    </row>
    <row r="221" spans="1:7" x14ac:dyDescent="0.25">
      <c r="A221" s="8">
        <v>42893.842604166668</v>
      </c>
      <c r="B221" s="20" t="s">
        <v>602</v>
      </c>
      <c r="C221" s="20" t="s">
        <v>822</v>
      </c>
      <c r="D221" s="141">
        <v>2440000</v>
      </c>
      <c r="E221" s="20" t="s">
        <v>761</v>
      </c>
      <c r="F221" s="20" t="s">
        <v>762</v>
      </c>
      <c r="G221" s="8" t="str">
        <f t="shared" si="3"/>
        <v>LOPES KIMBERLY</v>
      </c>
    </row>
    <row r="222" spans="1:7" x14ac:dyDescent="0.25">
      <c r="A222" s="8">
        <v>42893.845057870371</v>
      </c>
      <c r="B222" s="20" t="s">
        <v>641</v>
      </c>
      <c r="C222" s="20" t="s">
        <v>823</v>
      </c>
      <c r="D222" s="141">
        <v>2090000</v>
      </c>
      <c r="E222" s="20" t="s">
        <v>497</v>
      </c>
      <c r="F222" s="20" t="s">
        <v>194</v>
      </c>
      <c r="G222" s="8" t="str">
        <f t="shared" si="3"/>
        <v>HAITHCOX MICHAEL</v>
      </c>
    </row>
    <row r="223" spans="1:7" x14ac:dyDescent="0.25">
      <c r="A223" s="8">
        <v>42893.84542824074</v>
      </c>
      <c r="B223" s="20" t="s">
        <v>508</v>
      </c>
      <c r="C223" s="20" t="s">
        <v>824</v>
      </c>
      <c r="D223" s="141">
        <v>2550000</v>
      </c>
      <c r="E223" s="20" t="s">
        <v>810</v>
      </c>
      <c r="F223" s="20" t="s">
        <v>811</v>
      </c>
      <c r="G223" s="8" t="str">
        <f t="shared" si="3"/>
        <v>BADERTSCHER DIANE</v>
      </c>
    </row>
    <row r="224" spans="1:7" x14ac:dyDescent="0.25">
      <c r="A224" s="8">
        <v>42893.859398148146</v>
      </c>
      <c r="B224" t="s">
        <v>606</v>
      </c>
      <c r="C224" t="s">
        <v>825</v>
      </c>
      <c r="D224" s="141">
        <v>2440000</v>
      </c>
      <c r="E224" t="s">
        <v>761</v>
      </c>
      <c r="F224" s="20" t="s">
        <v>762</v>
      </c>
      <c r="G224" s="8" t="str">
        <f t="shared" si="3"/>
        <v>LOPES KIMBERLY</v>
      </c>
    </row>
    <row r="225" spans="1:7" x14ac:dyDescent="0.25">
      <c r="A225" s="8">
        <v>42893.86109953704</v>
      </c>
      <c r="B225" t="s">
        <v>604</v>
      </c>
      <c r="C225" t="s">
        <v>826</v>
      </c>
      <c r="D225" s="141">
        <v>2230000</v>
      </c>
      <c r="E225" t="s">
        <v>344</v>
      </c>
      <c r="F225" s="20" t="s">
        <v>194</v>
      </c>
      <c r="G225" s="8" t="str">
        <f t="shared" si="3"/>
        <v>SMITH MICHAEL</v>
      </c>
    </row>
    <row r="226" spans="1:7" x14ac:dyDescent="0.25">
      <c r="A226" s="8">
        <v>42893.862199074072</v>
      </c>
      <c r="B226" t="s">
        <v>483</v>
      </c>
      <c r="C226" t="s">
        <v>827</v>
      </c>
      <c r="D226" s="141">
        <v>3000000</v>
      </c>
      <c r="E226" t="s">
        <v>439</v>
      </c>
      <c r="F226" s="20" t="s">
        <v>440</v>
      </c>
      <c r="G226" s="8" t="str">
        <f t="shared" si="3"/>
        <v>FORTUNATO FRANK</v>
      </c>
    </row>
    <row r="227" spans="1:7" x14ac:dyDescent="0.25">
      <c r="A227" s="8">
        <v>42893.886516203704</v>
      </c>
      <c r="B227" t="s">
        <v>602</v>
      </c>
      <c r="C227" t="s">
        <v>828</v>
      </c>
      <c r="D227" s="141">
        <v>2000000</v>
      </c>
      <c r="E227" t="s">
        <v>424</v>
      </c>
      <c r="F227" s="20" t="s">
        <v>191</v>
      </c>
      <c r="G227" s="8" t="str">
        <f t="shared" si="3"/>
        <v>STAMBAUGH JAMES</v>
      </c>
    </row>
    <row r="228" spans="1:7" x14ac:dyDescent="0.25">
      <c r="A228" s="8">
        <v>42893.88721064815</v>
      </c>
      <c r="B228" t="s">
        <v>509</v>
      </c>
      <c r="C228" t="s">
        <v>647</v>
      </c>
      <c r="D228" s="141">
        <v>2550000</v>
      </c>
      <c r="E228" t="s">
        <v>810</v>
      </c>
      <c r="F228" s="20" t="s">
        <v>811</v>
      </c>
      <c r="G228" s="8" t="str">
        <f t="shared" si="3"/>
        <v>BADERTSCHER DIANE</v>
      </c>
    </row>
    <row r="229" spans="1:7" x14ac:dyDescent="0.25">
      <c r="A229" s="8">
        <v>42893.887233796297</v>
      </c>
      <c r="B229" t="s">
        <v>613</v>
      </c>
      <c r="C229" t="s">
        <v>829</v>
      </c>
      <c r="D229" s="141">
        <v>2090000</v>
      </c>
      <c r="E229" t="s">
        <v>497</v>
      </c>
      <c r="F229" s="20" t="s">
        <v>194</v>
      </c>
      <c r="G229" s="8" t="str">
        <f t="shared" si="3"/>
        <v>HAITHCOX MICHAEL</v>
      </c>
    </row>
    <row r="230" spans="1:7" x14ac:dyDescent="0.25">
      <c r="A230" s="8">
        <v>42893.902222222219</v>
      </c>
      <c r="B230" t="s">
        <v>606</v>
      </c>
      <c r="C230" t="s">
        <v>648</v>
      </c>
      <c r="D230" s="141">
        <v>2000000</v>
      </c>
      <c r="E230" t="s">
        <v>424</v>
      </c>
      <c r="F230" s="20" t="s">
        <v>191</v>
      </c>
      <c r="G230" s="8" t="str">
        <f t="shared" si="3"/>
        <v>STAMBAUGH JAMES</v>
      </c>
    </row>
    <row r="231" spans="1:7" x14ac:dyDescent="0.25">
      <c r="A231" s="8">
        <v>42893.9062962963</v>
      </c>
      <c r="B231" t="s">
        <v>594</v>
      </c>
      <c r="C231" t="s">
        <v>649</v>
      </c>
      <c r="D231" s="141">
        <v>3000000</v>
      </c>
      <c r="E231" t="s">
        <v>439</v>
      </c>
      <c r="F231" s="20" t="s">
        <v>440</v>
      </c>
      <c r="G231" s="8" t="str">
        <f t="shared" si="3"/>
        <v>FORTUNATO FRANK</v>
      </c>
    </row>
    <row r="232" spans="1:7" x14ac:dyDescent="0.25">
      <c r="A232" s="8">
        <v>42893.906504629631</v>
      </c>
      <c r="B232" t="s">
        <v>496</v>
      </c>
      <c r="C232" t="s">
        <v>830</v>
      </c>
      <c r="D232" s="141">
        <v>2230000</v>
      </c>
      <c r="E232" t="s">
        <v>344</v>
      </c>
      <c r="F232" s="20" t="s">
        <v>194</v>
      </c>
      <c r="G232" s="8" t="str">
        <f t="shared" si="3"/>
        <v>SMITH MICHAEL</v>
      </c>
    </row>
    <row r="233" spans="1:7" x14ac:dyDescent="0.25">
      <c r="A233" s="8">
        <v>42893.916886574072</v>
      </c>
      <c r="B233" t="s">
        <v>602</v>
      </c>
      <c r="C233" t="s">
        <v>831</v>
      </c>
      <c r="D233" s="141">
        <v>2000000</v>
      </c>
      <c r="E233" t="s">
        <v>424</v>
      </c>
      <c r="F233" s="20" t="s">
        <v>191</v>
      </c>
      <c r="G233" s="8" t="str">
        <f t="shared" si="3"/>
        <v>STAMBAUGH JAMES</v>
      </c>
    </row>
    <row r="234" spans="1:7" x14ac:dyDescent="0.25">
      <c r="A234" s="8">
        <v>42893.934189814812</v>
      </c>
      <c r="B234" t="s">
        <v>641</v>
      </c>
      <c r="C234" t="s">
        <v>832</v>
      </c>
      <c r="D234" s="141">
        <v>2090000</v>
      </c>
      <c r="E234" t="s">
        <v>497</v>
      </c>
      <c r="F234" s="20" t="s">
        <v>194</v>
      </c>
      <c r="G234" s="8" t="str">
        <f t="shared" si="3"/>
        <v>HAITHCOX MICHAEL</v>
      </c>
    </row>
    <row r="235" spans="1:7" x14ac:dyDescent="0.25">
      <c r="A235" s="8">
        <v>42893.934872685182</v>
      </c>
      <c r="B235" t="s">
        <v>508</v>
      </c>
      <c r="C235" t="s">
        <v>833</v>
      </c>
      <c r="D235" s="141">
        <v>970000</v>
      </c>
      <c r="E235" t="s">
        <v>834</v>
      </c>
      <c r="F235" s="20" t="s">
        <v>835</v>
      </c>
      <c r="G235" s="8" t="str">
        <f t="shared" si="3"/>
        <v>JACKSON WILLIAM</v>
      </c>
    </row>
    <row r="236" spans="1:7" x14ac:dyDescent="0.25">
      <c r="A236" s="8">
        <v>42893.943854166668</v>
      </c>
      <c r="B236" t="s">
        <v>606</v>
      </c>
      <c r="C236" t="s">
        <v>650</v>
      </c>
      <c r="D236" s="141">
        <v>2000000</v>
      </c>
      <c r="E236" t="s">
        <v>424</v>
      </c>
      <c r="F236" s="20" t="s">
        <v>191</v>
      </c>
      <c r="G236" s="8" t="str">
        <f t="shared" si="3"/>
        <v>STAMBAUGH JAMES</v>
      </c>
    </row>
    <row r="237" spans="1:7" x14ac:dyDescent="0.25">
      <c r="A237" s="8">
        <v>42893.949537037035</v>
      </c>
      <c r="B237" t="s">
        <v>604</v>
      </c>
      <c r="C237" t="s">
        <v>836</v>
      </c>
      <c r="D237" s="141">
        <v>2230000</v>
      </c>
      <c r="E237" t="s">
        <v>344</v>
      </c>
      <c r="F237" s="20" t="s">
        <v>194</v>
      </c>
      <c r="G237" s="8" t="str">
        <f t="shared" si="3"/>
        <v>SMITH MICHAEL</v>
      </c>
    </row>
    <row r="238" spans="1:7" x14ac:dyDescent="0.25">
      <c r="A238" s="8">
        <v>42893.953229166669</v>
      </c>
      <c r="B238" t="s">
        <v>483</v>
      </c>
      <c r="C238" t="s">
        <v>837</v>
      </c>
      <c r="D238" s="141">
        <v>3000000</v>
      </c>
      <c r="E238" t="s">
        <v>439</v>
      </c>
      <c r="F238" s="20" t="s">
        <v>440</v>
      </c>
      <c r="G238" s="8" t="str">
        <f t="shared" si="3"/>
        <v>FORTUNATO FRANK</v>
      </c>
    </row>
    <row r="239" spans="1:7" x14ac:dyDescent="0.25">
      <c r="A239" s="8">
        <v>42893.965879629628</v>
      </c>
      <c r="B239" t="s">
        <v>613</v>
      </c>
      <c r="C239" t="s">
        <v>651</v>
      </c>
      <c r="D239" s="141">
        <v>2090000</v>
      </c>
      <c r="E239" t="s">
        <v>497</v>
      </c>
      <c r="F239" s="20" t="s">
        <v>194</v>
      </c>
      <c r="G239" s="8" t="str">
        <f t="shared" si="3"/>
        <v>HAITHCOX MICHAEL</v>
      </c>
    </row>
    <row r="240" spans="1:7" x14ac:dyDescent="0.25">
      <c r="A240" s="8">
        <v>42893.970185185186</v>
      </c>
      <c r="B240" t="s">
        <v>509</v>
      </c>
      <c r="C240" t="s">
        <v>652</v>
      </c>
      <c r="D240" s="141">
        <v>0</v>
      </c>
      <c r="E240" t="s">
        <v>553</v>
      </c>
      <c r="F240" s="20" t="s">
        <v>440</v>
      </c>
      <c r="G240" s="8" t="str">
        <f t="shared" si="3"/>
        <v>HAUSER FRANK</v>
      </c>
    </row>
    <row r="241" spans="1:7" x14ac:dyDescent="0.25">
      <c r="A241" s="8">
        <v>42893.986701388887</v>
      </c>
      <c r="B241" t="s">
        <v>594</v>
      </c>
      <c r="C241" t="s">
        <v>653</v>
      </c>
      <c r="D241" s="141">
        <v>3000000</v>
      </c>
      <c r="E241" t="s">
        <v>439</v>
      </c>
      <c r="F241" s="20" t="s">
        <v>440</v>
      </c>
      <c r="G241" s="8" t="str">
        <f t="shared" si="3"/>
        <v>FORTUNATO FRANK</v>
      </c>
    </row>
    <row r="242" spans="1:7" x14ac:dyDescent="0.25">
      <c r="A242" s="8">
        <v>42893.986979166664</v>
      </c>
      <c r="B242" t="s">
        <v>496</v>
      </c>
      <c r="C242" t="s">
        <v>838</v>
      </c>
      <c r="D242" s="141">
        <v>2230000</v>
      </c>
      <c r="E242" t="s">
        <v>344</v>
      </c>
      <c r="F242" s="20" t="s">
        <v>194</v>
      </c>
      <c r="G242" s="8" t="str">
        <f t="shared" si="3"/>
        <v>SMITH MICHAEL</v>
      </c>
    </row>
    <row r="243" spans="1:7" x14ac:dyDescent="0.25">
      <c r="A243" s="8">
        <v>42894.007395833331</v>
      </c>
      <c r="B243" t="s">
        <v>641</v>
      </c>
      <c r="C243" t="s">
        <v>839</v>
      </c>
      <c r="D243" s="141">
        <v>2090000</v>
      </c>
      <c r="E243" t="s">
        <v>497</v>
      </c>
      <c r="F243" s="20" t="s">
        <v>194</v>
      </c>
      <c r="G243" s="8" t="str">
        <f t="shared" si="3"/>
        <v>HAITHCOX MICHAEL</v>
      </c>
    </row>
    <row r="244" spans="1:7" x14ac:dyDescent="0.25">
      <c r="A244" s="8">
        <v>42894.019490740742</v>
      </c>
      <c r="B244" t="s">
        <v>508</v>
      </c>
      <c r="C244" t="s">
        <v>840</v>
      </c>
      <c r="D244" s="141">
        <v>2630000</v>
      </c>
      <c r="E244" t="s">
        <v>465</v>
      </c>
      <c r="F244" s="20" t="s">
        <v>466</v>
      </c>
      <c r="G244" s="8" t="str">
        <f t="shared" si="3"/>
        <v>SAFIEF AEIMEN</v>
      </c>
    </row>
    <row r="245" spans="1:7" x14ac:dyDescent="0.25">
      <c r="A245" s="8">
        <v>42894.02783564815</v>
      </c>
      <c r="B245" t="s">
        <v>483</v>
      </c>
      <c r="C245" t="s">
        <v>841</v>
      </c>
      <c r="D245" s="141">
        <v>3000000</v>
      </c>
      <c r="E245" t="s">
        <v>439</v>
      </c>
      <c r="F245" s="20" t="s">
        <v>440</v>
      </c>
      <c r="G245" s="8" t="str">
        <f t="shared" si="3"/>
        <v>FORTUNATO FRANK</v>
      </c>
    </row>
    <row r="246" spans="1:7" x14ac:dyDescent="0.25">
      <c r="A246" s="8">
        <v>42894.028009259258</v>
      </c>
      <c r="B246" t="s">
        <v>604</v>
      </c>
      <c r="C246" t="s">
        <v>654</v>
      </c>
      <c r="D246" s="141">
        <v>2230000</v>
      </c>
      <c r="E246" t="s">
        <v>344</v>
      </c>
      <c r="F246" s="20" t="s">
        <v>194</v>
      </c>
      <c r="G246" s="8" t="str">
        <f t="shared" si="3"/>
        <v>SMITH MICHAEL</v>
      </c>
    </row>
    <row r="247" spans="1:7" x14ac:dyDescent="0.25">
      <c r="A247" s="8">
        <v>42894.04755787037</v>
      </c>
      <c r="B247" t="s">
        <v>613</v>
      </c>
      <c r="C247" t="s">
        <v>842</v>
      </c>
      <c r="D247" s="141">
        <v>2090000</v>
      </c>
      <c r="E247" t="s">
        <v>497</v>
      </c>
      <c r="F247" s="20" t="s">
        <v>194</v>
      </c>
      <c r="G247" s="8" t="str">
        <f t="shared" si="3"/>
        <v>HAITHCOX MICHAEL</v>
      </c>
    </row>
    <row r="248" spans="1:7" x14ac:dyDescent="0.25">
      <c r="A248" s="8">
        <v>42894.052349537036</v>
      </c>
      <c r="B248" t="s">
        <v>509</v>
      </c>
      <c r="C248" t="s">
        <v>843</v>
      </c>
      <c r="D248" s="141">
        <v>2630000</v>
      </c>
      <c r="E248" t="s">
        <v>465</v>
      </c>
      <c r="F248" s="20" t="s">
        <v>466</v>
      </c>
      <c r="G248" s="8" t="str">
        <f t="shared" si="3"/>
        <v>SAFIEF AEIMEN</v>
      </c>
    </row>
    <row r="249" spans="1:7" x14ac:dyDescent="0.25">
      <c r="A249" s="8">
        <v>42894.069918981484</v>
      </c>
      <c r="B249" t="s">
        <v>496</v>
      </c>
      <c r="C249" t="s">
        <v>844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42894.090208333335</v>
      </c>
      <c r="B250" t="s">
        <v>508</v>
      </c>
      <c r="C250" t="s">
        <v>845</v>
      </c>
      <c r="D250" s="141">
        <v>2630000</v>
      </c>
      <c r="E250" t="s">
        <v>465</v>
      </c>
      <c r="F250" s="20" t="s">
        <v>466</v>
      </c>
      <c r="G250" s="8" t="str">
        <f t="shared" si="3"/>
        <v>SAFIEF AEIMEN</v>
      </c>
    </row>
    <row r="251" spans="1:7" x14ac:dyDescent="0.25">
      <c r="A251" s="8">
        <v>42893.057488425926</v>
      </c>
      <c r="B251" t="s">
        <v>375</v>
      </c>
      <c r="C251" t="s">
        <v>555</v>
      </c>
      <c r="D251" s="141">
        <v>2610000</v>
      </c>
      <c r="E251" t="s">
        <v>428</v>
      </c>
      <c r="F251" s="20" t="s">
        <v>429</v>
      </c>
      <c r="G251" s="8" t="str">
        <f t="shared" si="3"/>
        <v>MAGEE KENYA</v>
      </c>
    </row>
    <row r="252" spans="1:7" x14ac:dyDescent="0.25">
      <c r="A252" s="8">
        <v>42893.071006944447</v>
      </c>
      <c r="B252" t="s">
        <v>545</v>
      </c>
      <c r="C252" t="s">
        <v>556</v>
      </c>
      <c r="D252" s="141">
        <v>3000000</v>
      </c>
      <c r="E252" t="s">
        <v>439</v>
      </c>
      <c r="F252" s="20" t="s">
        <v>440</v>
      </c>
      <c r="G252" s="8" t="str">
        <f t="shared" si="3"/>
        <v>FORTUNATO FRANK</v>
      </c>
    </row>
    <row r="253" spans="1:7" x14ac:dyDescent="0.25">
      <c r="A253" s="8">
        <v>42893.07167824074</v>
      </c>
      <c r="B253" t="s">
        <v>545</v>
      </c>
      <c r="C253" t="s">
        <v>556</v>
      </c>
      <c r="D253" s="141">
        <v>3000000</v>
      </c>
      <c r="E253" t="s">
        <v>439</v>
      </c>
      <c r="F253" s="20" t="s">
        <v>440</v>
      </c>
      <c r="G253" s="8" t="str">
        <f t="shared" si="3"/>
        <v>FORTUNATO FRANK</v>
      </c>
    </row>
    <row r="254" spans="1:7" x14ac:dyDescent="0.25">
      <c r="A254" s="8">
        <v>42893.074675925927</v>
      </c>
      <c r="B254" t="s">
        <v>545</v>
      </c>
      <c r="C254" t="s">
        <v>556</v>
      </c>
      <c r="D254" s="141">
        <v>3000000</v>
      </c>
      <c r="E254" t="s">
        <v>439</v>
      </c>
      <c r="F254" s="20" t="s">
        <v>440</v>
      </c>
      <c r="G254" s="8" t="str">
        <f t="shared" si="3"/>
        <v>FORTUNATO FRANK</v>
      </c>
    </row>
    <row r="255" spans="1:7" x14ac:dyDescent="0.25">
      <c r="A255" s="8">
        <v>42893.090601851851</v>
      </c>
      <c r="B255" t="s">
        <v>378</v>
      </c>
      <c r="C255" t="s">
        <v>557</v>
      </c>
      <c r="D255" s="141">
        <v>2610000</v>
      </c>
      <c r="E255" t="s">
        <v>428</v>
      </c>
      <c r="F255" s="20" t="s">
        <v>429</v>
      </c>
      <c r="G255" s="8" t="str">
        <f t="shared" si="3"/>
        <v>MAGEE KENYA</v>
      </c>
    </row>
    <row r="256" spans="1:7" x14ac:dyDescent="0.25">
      <c r="A256" s="8">
        <v>42892.071006944447</v>
      </c>
      <c r="B256" t="s">
        <v>496</v>
      </c>
      <c r="C256" t="s">
        <v>519</v>
      </c>
      <c r="D256" s="141">
        <v>2090000</v>
      </c>
      <c r="E256" t="s">
        <v>497</v>
      </c>
      <c r="F256" s="20" t="s">
        <v>194</v>
      </c>
      <c r="G256" s="8" t="str">
        <f t="shared" si="3"/>
        <v>HAITHCOX MICHAEL</v>
      </c>
    </row>
    <row r="257" spans="1:7" x14ac:dyDescent="0.25">
      <c r="A257" s="8">
        <v>42892.090775462966</v>
      </c>
      <c r="B257" t="s">
        <v>362</v>
      </c>
      <c r="C257" t="s">
        <v>520</v>
      </c>
      <c r="D257" s="141">
        <v>2970000</v>
      </c>
      <c r="E257" t="s">
        <v>385</v>
      </c>
      <c r="F257" s="20" t="s">
        <v>386</v>
      </c>
      <c r="G257" s="8" t="str">
        <f t="shared" si="3"/>
        <v>GUZMAN DANNY</v>
      </c>
    </row>
    <row r="258" spans="1:7" x14ac:dyDescent="0.25">
      <c r="A258" s="8">
        <v>42892.09138888889</v>
      </c>
      <c r="B258" t="s">
        <v>362</v>
      </c>
      <c r="C258" t="s">
        <v>520</v>
      </c>
      <c r="D258" s="141">
        <v>2970000</v>
      </c>
      <c r="E258" t="s">
        <v>385</v>
      </c>
      <c r="F258" s="20" t="s">
        <v>386</v>
      </c>
      <c r="G258" s="8" t="str">
        <f t="shared" si="3"/>
        <v>GUZMAN DANNY</v>
      </c>
    </row>
    <row r="259" spans="1:7" x14ac:dyDescent="0.25">
      <c r="A259" s="8">
        <v>42892.092372685183</v>
      </c>
      <c r="B259" t="s">
        <v>362</v>
      </c>
      <c r="C259" t="s">
        <v>520</v>
      </c>
      <c r="D259" s="141">
        <v>2970000</v>
      </c>
      <c r="E259" t="s">
        <v>385</v>
      </c>
      <c r="F259" s="20" t="s">
        <v>386</v>
      </c>
      <c r="G259" s="8" t="str">
        <f t="shared" ref="G259:G322" si="4">E259&amp;" "&amp;F259</f>
        <v>GUZMAN DANNY</v>
      </c>
    </row>
    <row r="260" spans="1:7" x14ac:dyDescent="0.25">
      <c r="A260" s="8">
        <v>42888.081956018519</v>
      </c>
      <c r="B260" t="s">
        <v>370</v>
      </c>
      <c r="C260" t="s">
        <v>475</v>
      </c>
      <c r="D260" s="141">
        <v>2630000</v>
      </c>
      <c r="E260" t="s">
        <v>465</v>
      </c>
      <c r="F260" s="20" t="s">
        <v>466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463</v>
      </c>
      <c r="C261" t="s">
        <v>476</v>
      </c>
      <c r="D261" s="141">
        <v>910000</v>
      </c>
      <c r="E261" t="s">
        <v>477</v>
      </c>
      <c r="F261" s="20" t="s">
        <v>478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463</v>
      </c>
      <c r="C262" t="s">
        <v>476</v>
      </c>
      <c r="D262" s="141">
        <v>910000</v>
      </c>
      <c r="E262" t="s">
        <v>477</v>
      </c>
      <c r="F262" s="20" t="s">
        <v>478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406</v>
      </c>
      <c r="C263" t="s">
        <v>479</v>
      </c>
      <c r="D263" s="141">
        <v>3000000</v>
      </c>
      <c r="E263" t="s">
        <v>439</v>
      </c>
      <c r="F263" s="20" t="s">
        <v>440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464</v>
      </c>
      <c r="C264" t="s">
        <v>476</v>
      </c>
      <c r="D264" s="141">
        <v>910000</v>
      </c>
      <c r="E264" t="s">
        <v>477</v>
      </c>
      <c r="F264" s="20" t="s">
        <v>478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423</v>
      </c>
      <c r="C265" t="s">
        <v>443</v>
      </c>
      <c r="D265" s="141">
        <v>2140000</v>
      </c>
      <c r="E265" t="s">
        <v>420</v>
      </c>
      <c r="F265" s="20" t="s">
        <v>421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442</v>
      </c>
      <c r="D266" s="141">
        <v>2000000</v>
      </c>
      <c r="E266" t="s">
        <v>424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437</v>
      </c>
      <c r="C267" t="s">
        <v>444</v>
      </c>
      <c r="D267" s="141">
        <v>3000000</v>
      </c>
      <c r="E267" t="s">
        <v>439</v>
      </c>
      <c r="F267" s="20" t="s">
        <v>440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404</v>
      </c>
      <c r="C268" t="s">
        <v>436</v>
      </c>
      <c r="D268" s="141">
        <v>2680000</v>
      </c>
      <c r="E268" t="s">
        <v>426</v>
      </c>
      <c r="F268" s="20" t="s">
        <v>427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445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438</v>
      </c>
      <c r="C270" t="s">
        <v>446</v>
      </c>
      <c r="D270" s="141">
        <v>2610000</v>
      </c>
      <c r="E270" t="s">
        <v>428</v>
      </c>
      <c r="F270" s="20" t="s">
        <v>429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447</v>
      </c>
      <c r="D271" s="141">
        <v>2140000</v>
      </c>
      <c r="E271" t="s">
        <v>420</v>
      </c>
      <c r="F271" s="20" t="s">
        <v>421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435</v>
      </c>
      <c r="C272" t="s">
        <v>448</v>
      </c>
      <c r="D272" s="141">
        <v>3000000</v>
      </c>
      <c r="E272" t="s">
        <v>439</v>
      </c>
      <c r="F272" s="20" t="s">
        <v>440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405</v>
      </c>
      <c r="C273" t="s">
        <v>441</v>
      </c>
      <c r="D273" s="141">
        <v>2680000</v>
      </c>
      <c r="E273" t="s">
        <v>426</v>
      </c>
      <c r="F273" s="20" t="s">
        <v>427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449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434</v>
      </c>
      <c r="C275" t="s">
        <v>450</v>
      </c>
      <c r="D275" s="141">
        <v>2610000</v>
      </c>
      <c r="E275" t="s">
        <v>428</v>
      </c>
      <c r="F275" s="20" t="s">
        <v>429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437</v>
      </c>
      <c r="C276" t="s">
        <v>451</v>
      </c>
      <c r="D276" s="141">
        <v>3000000</v>
      </c>
      <c r="E276" t="s">
        <v>439</v>
      </c>
      <c r="F276" s="20" t="s">
        <v>440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438</v>
      </c>
      <c r="C277" t="s">
        <v>452</v>
      </c>
      <c r="D277" s="141">
        <v>2610000</v>
      </c>
      <c r="E277" t="s">
        <v>428</v>
      </c>
      <c r="F277" s="20" t="s">
        <v>429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408</v>
      </c>
      <c r="C278" t="s">
        <v>409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407</v>
      </c>
      <c r="C279" t="s">
        <v>413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414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405</v>
      </c>
      <c r="C281" t="s">
        <v>410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411</v>
      </c>
      <c r="C282" t="s">
        <v>412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404</v>
      </c>
      <c r="C283" t="s">
        <v>410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406</v>
      </c>
      <c r="C284" t="s">
        <v>415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404</v>
      </c>
      <c r="C285" t="s">
        <v>410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408</v>
      </c>
      <c r="C286" t="s">
        <v>409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411</v>
      </c>
      <c r="C287" t="s">
        <v>412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416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408</v>
      </c>
      <c r="C289" t="s">
        <v>409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405</v>
      </c>
      <c r="C290" t="s">
        <v>410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405</v>
      </c>
      <c r="C291" t="s">
        <v>410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405</v>
      </c>
      <c r="C292" t="s">
        <v>410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405</v>
      </c>
      <c r="C293" t="s">
        <v>410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411</v>
      </c>
      <c r="C294" t="s">
        <v>412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521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62.76</v>
      </c>
      <c r="B2" s="179">
        <v>0.46</v>
      </c>
      <c r="C2" s="179">
        <v>53.15</v>
      </c>
      <c r="D2" s="8">
        <v>42893</v>
      </c>
      <c r="E2" s="179">
        <v>0.71</v>
      </c>
      <c r="F2" s="179" t="s">
        <v>522</v>
      </c>
      <c r="G2" s="179">
        <v>317.95999999999998</v>
      </c>
      <c r="H2" s="179">
        <v>3.0999999999999999E-3</v>
      </c>
      <c r="I2" s="179">
        <v>0.1</v>
      </c>
      <c r="J2" s="179" t="s">
        <v>523</v>
      </c>
      <c r="K2" s="179">
        <v>1019.56</v>
      </c>
      <c r="L2" s="179" t="s">
        <v>499</v>
      </c>
      <c r="M2" s="179">
        <v>62.76</v>
      </c>
      <c r="N2" s="179">
        <v>1496815200</v>
      </c>
      <c r="O2" s="179">
        <v>5</v>
      </c>
      <c r="P2" s="179">
        <v>259</v>
      </c>
      <c r="Q2" s="179">
        <v>0.35</v>
      </c>
      <c r="R2"/>
    </row>
    <row r="3" spans="1:18" x14ac:dyDescent="0.25">
      <c r="A3" s="179">
        <v>60.92</v>
      </c>
      <c r="B3" s="179">
        <v>0.35</v>
      </c>
      <c r="C3" s="179">
        <v>51.72</v>
      </c>
      <c r="D3" s="8">
        <v>42893.041666666664</v>
      </c>
      <c r="E3" s="179">
        <v>0.72</v>
      </c>
      <c r="F3" s="179" t="s">
        <v>522</v>
      </c>
      <c r="G3" s="179">
        <v>318.70999999999998</v>
      </c>
      <c r="H3" s="179">
        <v>2E-3</v>
      </c>
      <c r="I3" s="179">
        <v>0.05</v>
      </c>
      <c r="J3" s="179" t="s">
        <v>523</v>
      </c>
      <c r="K3" s="179">
        <v>1019.49</v>
      </c>
      <c r="L3" s="179" t="s">
        <v>499</v>
      </c>
      <c r="M3" s="179">
        <v>60.92</v>
      </c>
      <c r="N3" s="179">
        <v>1496818800</v>
      </c>
      <c r="O3" s="179">
        <v>4.8099999999999996</v>
      </c>
      <c r="P3" s="179">
        <v>224</v>
      </c>
      <c r="Q3" s="179">
        <v>3.85</v>
      </c>
      <c r="R3"/>
    </row>
    <row r="4" spans="1:18" x14ac:dyDescent="0.25">
      <c r="A4" s="179">
        <v>59.6</v>
      </c>
      <c r="B4" s="179">
        <v>0.28000000000000003</v>
      </c>
      <c r="C4" s="179">
        <v>50</v>
      </c>
      <c r="D4" s="8">
        <v>42893.083333333336</v>
      </c>
      <c r="E4" s="179">
        <v>0.71</v>
      </c>
      <c r="F4" s="179" t="s">
        <v>522</v>
      </c>
      <c r="G4" s="179">
        <v>319.45999999999998</v>
      </c>
      <c r="H4" s="179">
        <v>1.6999999999999999E-3</v>
      </c>
      <c r="I4" s="179">
        <v>0.04</v>
      </c>
      <c r="J4" s="179" t="s">
        <v>523</v>
      </c>
      <c r="K4" s="179">
        <v>1019.42</v>
      </c>
      <c r="L4" s="179" t="s">
        <v>499</v>
      </c>
      <c r="M4" s="179">
        <v>59.6</v>
      </c>
      <c r="N4" s="179">
        <v>1496822400</v>
      </c>
      <c r="O4" s="179">
        <v>4.95</v>
      </c>
      <c r="P4" s="179">
        <v>253</v>
      </c>
      <c r="Q4" s="179">
        <v>2.42</v>
      </c>
      <c r="R4"/>
    </row>
    <row r="5" spans="1:18" x14ac:dyDescent="0.25">
      <c r="A5" s="179">
        <v>57.86</v>
      </c>
      <c r="B5" s="179">
        <v>0.21</v>
      </c>
      <c r="C5" s="179">
        <v>49.07</v>
      </c>
      <c r="D5" s="8">
        <v>42893.125</v>
      </c>
      <c r="E5" s="179">
        <v>0.72</v>
      </c>
      <c r="F5" s="179" t="s">
        <v>846</v>
      </c>
      <c r="G5" s="179">
        <v>320.20999999999998</v>
      </c>
      <c r="H5" s="179">
        <v>1.1999999999999999E-3</v>
      </c>
      <c r="I5" s="179">
        <v>0.02</v>
      </c>
      <c r="J5" s="179" t="s">
        <v>523</v>
      </c>
      <c r="K5" s="179">
        <v>1019.34</v>
      </c>
      <c r="L5" s="179" t="s">
        <v>847</v>
      </c>
      <c r="M5" s="179">
        <v>57.86</v>
      </c>
      <c r="N5" s="179">
        <v>1496826000</v>
      </c>
      <c r="O5" s="179">
        <v>4.5</v>
      </c>
      <c r="P5" s="179">
        <v>133</v>
      </c>
      <c r="Q5" s="179">
        <v>1.48</v>
      </c>
      <c r="R5"/>
    </row>
    <row r="6" spans="1:18" x14ac:dyDescent="0.25">
      <c r="A6" s="179">
        <v>56.92</v>
      </c>
      <c r="B6" s="179">
        <v>0.2</v>
      </c>
      <c r="C6" s="179">
        <v>49.57</v>
      </c>
      <c r="D6" s="8">
        <v>42893.166666666664</v>
      </c>
      <c r="E6" s="179">
        <v>0.76</v>
      </c>
      <c r="F6" s="179" t="s">
        <v>846</v>
      </c>
      <c r="G6" s="179">
        <v>319.79000000000002</v>
      </c>
      <c r="H6" s="179">
        <v>8.9999999999999998E-4</v>
      </c>
      <c r="I6" s="179">
        <v>0.01</v>
      </c>
      <c r="J6" s="179" t="s">
        <v>523</v>
      </c>
      <c r="K6" s="179">
        <v>1019.47</v>
      </c>
      <c r="L6" s="179" t="s">
        <v>847</v>
      </c>
      <c r="M6" s="179">
        <v>56.92</v>
      </c>
      <c r="N6" s="179">
        <v>1496829600</v>
      </c>
      <c r="O6" s="179">
        <v>4.4000000000000004</v>
      </c>
      <c r="P6" s="179">
        <v>211</v>
      </c>
      <c r="Q6" s="179">
        <v>1.18</v>
      </c>
      <c r="R6"/>
    </row>
    <row r="7" spans="1:18" x14ac:dyDescent="0.25">
      <c r="A7" s="179">
        <v>55.72</v>
      </c>
      <c r="B7" s="179">
        <v>0.2</v>
      </c>
      <c r="C7" s="179">
        <v>48.77</v>
      </c>
      <c r="D7" s="8">
        <v>42893.208333333336</v>
      </c>
      <c r="E7" s="179">
        <v>0.77</v>
      </c>
      <c r="F7" s="179" t="s">
        <v>846</v>
      </c>
      <c r="G7" s="179">
        <v>318.89</v>
      </c>
      <c r="H7" s="179">
        <v>0</v>
      </c>
      <c r="I7" s="179">
        <v>0</v>
      </c>
      <c r="J7" s="179"/>
      <c r="K7" s="179">
        <v>1019.65</v>
      </c>
      <c r="L7" s="179" t="s">
        <v>847</v>
      </c>
      <c r="M7" s="179">
        <v>55.72</v>
      </c>
      <c r="N7" s="179">
        <v>1496833200</v>
      </c>
      <c r="O7" s="179">
        <v>7.14</v>
      </c>
      <c r="P7" s="179">
        <v>226</v>
      </c>
      <c r="Q7" s="179">
        <v>1.82</v>
      </c>
      <c r="R7"/>
    </row>
    <row r="8" spans="1:18" x14ac:dyDescent="0.25">
      <c r="A8" s="179">
        <v>54.75</v>
      </c>
      <c r="B8" s="179">
        <v>0.26</v>
      </c>
      <c r="C8" s="179">
        <v>47.67</v>
      </c>
      <c r="D8" s="8">
        <v>42893.25</v>
      </c>
      <c r="E8" s="179">
        <v>0.77</v>
      </c>
      <c r="F8" s="179" t="s">
        <v>498</v>
      </c>
      <c r="G8" s="179">
        <v>318.08999999999997</v>
      </c>
      <c r="H8" s="179">
        <v>0</v>
      </c>
      <c r="I8" s="179">
        <v>0</v>
      </c>
      <c r="J8" s="179"/>
      <c r="K8" s="179">
        <v>1019.58</v>
      </c>
      <c r="L8" s="179" t="s">
        <v>499</v>
      </c>
      <c r="M8" s="179">
        <v>54.75</v>
      </c>
      <c r="N8" s="179">
        <v>1496836800</v>
      </c>
      <c r="O8" s="179">
        <v>9.8000000000000007</v>
      </c>
      <c r="P8" s="179">
        <v>238</v>
      </c>
      <c r="Q8" s="179">
        <v>1.53</v>
      </c>
      <c r="R8"/>
    </row>
    <row r="9" spans="1:18" x14ac:dyDescent="0.25">
      <c r="A9" s="179">
        <v>57.9</v>
      </c>
      <c r="B9" s="179">
        <v>0.23</v>
      </c>
      <c r="C9" s="179">
        <v>49.28</v>
      </c>
      <c r="D9" s="8">
        <v>42893.291666666664</v>
      </c>
      <c r="E9" s="179">
        <v>0.73</v>
      </c>
      <c r="F9" s="179" t="s">
        <v>848</v>
      </c>
      <c r="G9" s="179">
        <v>317.31</v>
      </c>
      <c r="H9" s="179">
        <v>0</v>
      </c>
      <c r="I9" s="179">
        <v>0</v>
      </c>
      <c r="J9" s="179"/>
      <c r="K9" s="179">
        <v>1018.96</v>
      </c>
      <c r="L9" s="179" t="s">
        <v>847</v>
      </c>
      <c r="M9" s="179">
        <v>57.9</v>
      </c>
      <c r="N9" s="179">
        <v>1496840400</v>
      </c>
      <c r="O9" s="179">
        <v>3.81</v>
      </c>
      <c r="P9" s="179">
        <v>239</v>
      </c>
      <c r="Q9" s="179">
        <v>1.2</v>
      </c>
      <c r="R9"/>
    </row>
    <row r="10" spans="1:18" x14ac:dyDescent="0.25">
      <c r="A10" s="179">
        <v>64.55</v>
      </c>
      <c r="B10" s="179">
        <v>0.16</v>
      </c>
      <c r="C10" s="179">
        <v>52.4</v>
      </c>
      <c r="D10" s="8">
        <v>42893.333333333336</v>
      </c>
      <c r="E10" s="179">
        <v>0.65</v>
      </c>
      <c r="F10" s="179" t="s">
        <v>848</v>
      </c>
      <c r="G10" s="179">
        <v>316.64</v>
      </c>
      <c r="H10" s="179">
        <v>0</v>
      </c>
      <c r="I10" s="179">
        <v>0</v>
      </c>
      <c r="J10" s="179"/>
      <c r="K10" s="179">
        <v>1018.04</v>
      </c>
      <c r="L10" s="179" t="s">
        <v>847</v>
      </c>
      <c r="M10" s="179">
        <v>64.55</v>
      </c>
      <c r="N10" s="179">
        <v>1496844000</v>
      </c>
      <c r="O10" s="179">
        <v>9.9600000000000009</v>
      </c>
      <c r="P10" s="179">
        <v>101</v>
      </c>
      <c r="Q10" s="179">
        <v>0.49</v>
      </c>
      <c r="R10"/>
    </row>
    <row r="11" spans="1:18" x14ac:dyDescent="0.25">
      <c r="A11" s="179">
        <v>67.760000000000005</v>
      </c>
      <c r="B11" s="179">
        <v>0.13</v>
      </c>
      <c r="C11" s="179">
        <v>52.58</v>
      </c>
      <c r="D11" s="8">
        <v>42893.375</v>
      </c>
      <c r="E11" s="179">
        <v>0.57999999999999996</v>
      </c>
      <c r="F11" s="179" t="s">
        <v>848</v>
      </c>
      <c r="G11" s="179">
        <v>316.83999999999997</v>
      </c>
      <c r="H11" s="179">
        <v>0</v>
      </c>
      <c r="I11" s="179">
        <v>0</v>
      </c>
      <c r="J11" s="179"/>
      <c r="K11" s="179">
        <v>1017.04</v>
      </c>
      <c r="L11" s="179" t="s">
        <v>847</v>
      </c>
      <c r="M11" s="179">
        <v>67.760000000000005</v>
      </c>
      <c r="N11" s="179">
        <v>1496847600</v>
      </c>
      <c r="O11" s="179">
        <v>3.31</v>
      </c>
      <c r="P11" s="179">
        <v>146</v>
      </c>
      <c r="Q11" s="179">
        <v>1.1200000000000001</v>
      </c>
      <c r="R11"/>
    </row>
    <row r="12" spans="1:18" x14ac:dyDescent="0.25">
      <c r="A12" s="179">
        <v>72.150000000000006</v>
      </c>
      <c r="B12" s="179">
        <v>0.12</v>
      </c>
      <c r="C12" s="179">
        <v>51.82</v>
      </c>
      <c r="D12" s="8">
        <v>42893.416666666664</v>
      </c>
      <c r="E12" s="179">
        <v>0.49</v>
      </c>
      <c r="F12" s="179" t="s">
        <v>848</v>
      </c>
      <c r="G12" s="179">
        <v>318.81</v>
      </c>
      <c r="H12" s="179">
        <v>0</v>
      </c>
      <c r="I12" s="179">
        <v>0</v>
      </c>
      <c r="J12" s="179"/>
      <c r="K12" s="179">
        <v>1016</v>
      </c>
      <c r="L12" s="179" t="s">
        <v>847</v>
      </c>
      <c r="M12" s="179">
        <v>72.150000000000006</v>
      </c>
      <c r="N12" s="179">
        <v>1496851200</v>
      </c>
      <c r="O12" s="179">
        <v>3.31</v>
      </c>
      <c r="P12" s="179">
        <v>148</v>
      </c>
      <c r="Q12" s="179">
        <v>2.5099999999999998</v>
      </c>
      <c r="R12"/>
    </row>
    <row r="13" spans="1:18" x14ac:dyDescent="0.25">
      <c r="A13" s="179">
        <v>76.25</v>
      </c>
      <c r="B13" s="179">
        <v>0.13</v>
      </c>
      <c r="C13" s="179">
        <v>50.38</v>
      </c>
      <c r="D13" s="8">
        <v>42893.458333333336</v>
      </c>
      <c r="E13" s="179">
        <v>0.4</v>
      </c>
      <c r="F13" s="179" t="s">
        <v>848</v>
      </c>
      <c r="G13" s="179">
        <v>321.64999999999998</v>
      </c>
      <c r="H13" s="179">
        <v>0</v>
      </c>
      <c r="I13" s="179">
        <v>0</v>
      </c>
      <c r="J13" s="179"/>
      <c r="K13" s="179">
        <v>1014.93</v>
      </c>
      <c r="L13" s="179" t="s">
        <v>847</v>
      </c>
      <c r="M13" s="179">
        <v>76.25</v>
      </c>
      <c r="N13" s="179">
        <v>1496854800</v>
      </c>
      <c r="O13" s="179">
        <v>3.38</v>
      </c>
      <c r="P13" s="179">
        <v>121</v>
      </c>
      <c r="Q13" s="179">
        <v>3.04</v>
      </c>
      <c r="R13"/>
    </row>
    <row r="14" spans="1:18" x14ac:dyDescent="0.25">
      <c r="A14" s="179">
        <v>79.97</v>
      </c>
      <c r="B14" s="179">
        <v>0.18</v>
      </c>
      <c r="C14" s="179">
        <v>50.19</v>
      </c>
      <c r="D14" s="8">
        <v>42893.5</v>
      </c>
      <c r="E14" s="179">
        <v>0.35</v>
      </c>
      <c r="F14" s="179" t="s">
        <v>848</v>
      </c>
      <c r="G14" s="179">
        <v>323.42</v>
      </c>
      <c r="H14" s="179">
        <v>0</v>
      </c>
      <c r="I14" s="179">
        <v>0</v>
      </c>
      <c r="J14" s="179"/>
      <c r="K14" s="179">
        <v>1014.02</v>
      </c>
      <c r="L14" s="179" t="s">
        <v>847</v>
      </c>
      <c r="M14" s="179">
        <v>80.709999999999994</v>
      </c>
      <c r="N14" s="179">
        <v>1496858400</v>
      </c>
      <c r="O14" s="179">
        <v>3.48</v>
      </c>
      <c r="P14" s="179">
        <v>84</v>
      </c>
      <c r="Q14" s="179">
        <v>2.72</v>
      </c>
      <c r="R14"/>
    </row>
    <row r="15" spans="1:18" x14ac:dyDescent="0.25">
      <c r="A15" s="179">
        <v>81.53</v>
      </c>
      <c r="B15" s="179">
        <v>0.25</v>
      </c>
      <c r="C15" s="179">
        <v>49.35</v>
      </c>
      <c r="D15" s="8">
        <v>42893.541666666664</v>
      </c>
      <c r="E15" s="179">
        <v>0.31</v>
      </c>
      <c r="F15" s="179" t="s">
        <v>498</v>
      </c>
      <c r="G15" s="179">
        <v>323.19</v>
      </c>
      <c r="H15" s="179">
        <v>2.0999999999999999E-3</v>
      </c>
      <c r="I15" s="179">
        <v>0.05</v>
      </c>
      <c r="J15" s="179" t="s">
        <v>523</v>
      </c>
      <c r="K15" s="179">
        <v>1013.41</v>
      </c>
      <c r="L15" s="179" t="s">
        <v>499</v>
      </c>
      <c r="M15" s="179">
        <v>83.3</v>
      </c>
      <c r="N15" s="179">
        <v>1496862000</v>
      </c>
      <c r="O15" s="179">
        <v>3.54</v>
      </c>
      <c r="P15" s="179">
        <v>58</v>
      </c>
      <c r="Q15" s="179">
        <v>2.2799999999999998</v>
      </c>
      <c r="R15"/>
    </row>
    <row r="16" spans="1:18" x14ac:dyDescent="0.25">
      <c r="A16" s="179">
        <v>82.68</v>
      </c>
      <c r="B16" s="179">
        <v>0.34</v>
      </c>
      <c r="C16" s="179">
        <v>48.97</v>
      </c>
      <c r="D16" s="8">
        <v>42893.583333333336</v>
      </c>
      <c r="E16" s="179">
        <v>0.28999999999999998</v>
      </c>
      <c r="F16" s="179" t="s">
        <v>498</v>
      </c>
      <c r="G16" s="179">
        <v>321.88</v>
      </c>
      <c r="H16" s="179">
        <v>4.5999999999999999E-3</v>
      </c>
      <c r="I16" s="179">
        <v>0.19</v>
      </c>
      <c r="J16" s="179" t="s">
        <v>523</v>
      </c>
      <c r="K16" s="179">
        <v>1012.95</v>
      </c>
      <c r="L16" s="179" t="s">
        <v>499</v>
      </c>
      <c r="M16" s="179">
        <v>84.94</v>
      </c>
      <c r="N16" s="179">
        <v>1496865600</v>
      </c>
      <c r="O16" s="179">
        <v>10</v>
      </c>
      <c r="P16" s="179">
        <v>45</v>
      </c>
      <c r="Q16" s="179">
        <v>2.87</v>
      </c>
      <c r="R16"/>
    </row>
    <row r="17" spans="1:18" x14ac:dyDescent="0.25">
      <c r="A17" s="179">
        <v>81.290000000000006</v>
      </c>
      <c r="B17" s="179">
        <v>0.42</v>
      </c>
      <c r="C17" s="179">
        <v>50.9</v>
      </c>
      <c r="D17" s="8">
        <v>42893.625</v>
      </c>
      <c r="E17" s="179">
        <v>0.33</v>
      </c>
      <c r="F17" s="179" t="s">
        <v>523</v>
      </c>
      <c r="G17" s="179">
        <v>320.27999999999997</v>
      </c>
      <c r="H17" s="179">
        <v>5.8999999999999999E-3</v>
      </c>
      <c r="I17" s="179">
        <v>0.27</v>
      </c>
      <c r="J17" s="179" t="s">
        <v>523</v>
      </c>
      <c r="K17" s="179">
        <v>1012.6</v>
      </c>
      <c r="L17" s="179" t="s">
        <v>558</v>
      </c>
      <c r="M17" s="179">
        <v>82.68</v>
      </c>
      <c r="N17" s="179">
        <v>1496869200</v>
      </c>
      <c r="O17" s="179">
        <v>3.43</v>
      </c>
      <c r="P17" s="179">
        <v>357</v>
      </c>
      <c r="Q17" s="179">
        <v>2.9</v>
      </c>
      <c r="R17"/>
    </row>
    <row r="18" spans="1:18" x14ac:dyDescent="0.25">
      <c r="A18" s="179">
        <v>79.87</v>
      </c>
      <c r="B18" s="179">
        <v>0.49</v>
      </c>
      <c r="C18" s="179">
        <v>51.28</v>
      </c>
      <c r="D18" s="8">
        <v>42893.666666666664</v>
      </c>
      <c r="E18" s="179">
        <v>0.36</v>
      </c>
      <c r="F18" s="179" t="s">
        <v>523</v>
      </c>
      <c r="G18" s="179">
        <v>318.20999999999998</v>
      </c>
      <c r="H18" s="179">
        <v>5.3E-3</v>
      </c>
      <c r="I18" s="179">
        <v>0.23</v>
      </c>
      <c r="J18" s="179" t="s">
        <v>523</v>
      </c>
      <c r="K18" s="179">
        <v>1012.19</v>
      </c>
      <c r="L18" s="179" t="s">
        <v>558</v>
      </c>
      <c r="M18" s="179">
        <v>80.319999999999993</v>
      </c>
      <c r="N18" s="179">
        <v>1496872800</v>
      </c>
      <c r="O18" s="179">
        <v>3.37</v>
      </c>
      <c r="P18" s="179">
        <v>41</v>
      </c>
      <c r="Q18" s="179">
        <v>1.27</v>
      </c>
      <c r="R18"/>
    </row>
    <row r="19" spans="1:18" x14ac:dyDescent="0.25">
      <c r="A19" s="179">
        <v>79.63</v>
      </c>
      <c r="B19" s="179">
        <v>0.59</v>
      </c>
      <c r="C19" s="179">
        <v>52.03</v>
      </c>
      <c r="D19" s="8">
        <v>42893.708333333336</v>
      </c>
      <c r="E19" s="179">
        <v>0.38</v>
      </c>
      <c r="F19" s="179" t="s">
        <v>523</v>
      </c>
      <c r="G19" s="179">
        <v>315.86</v>
      </c>
      <c r="H19" s="179">
        <v>6.1999999999999998E-3</v>
      </c>
      <c r="I19" s="179">
        <v>0.28999999999999998</v>
      </c>
      <c r="J19" s="179" t="s">
        <v>523</v>
      </c>
      <c r="K19" s="179">
        <v>1011.92</v>
      </c>
      <c r="L19" s="179" t="s">
        <v>558</v>
      </c>
      <c r="M19" s="179">
        <v>79.63</v>
      </c>
      <c r="N19" s="179">
        <v>1496876400</v>
      </c>
      <c r="O19" s="179">
        <v>3.38</v>
      </c>
      <c r="P19" s="179">
        <v>64</v>
      </c>
      <c r="Q19" s="179">
        <v>0.65</v>
      </c>
      <c r="R19"/>
    </row>
    <row r="20" spans="1:18" x14ac:dyDescent="0.25">
      <c r="A20" s="179">
        <v>79.739999999999995</v>
      </c>
      <c r="B20" s="179">
        <v>0.6</v>
      </c>
      <c r="C20" s="179">
        <v>51.54</v>
      </c>
      <c r="D20" s="8">
        <v>42893.75</v>
      </c>
      <c r="E20" s="179">
        <v>0.38</v>
      </c>
      <c r="F20" s="179" t="s">
        <v>498</v>
      </c>
      <c r="G20" s="179">
        <v>314.58</v>
      </c>
      <c r="H20" s="179">
        <v>1.1999999999999999E-3</v>
      </c>
      <c r="I20" s="179">
        <v>0.02</v>
      </c>
      <c r="J20" s="179" t="s">
        <v>523</v>
      </c>
      <c r="K20" s="179">
        <v>1011.9</v>
      </c>
      <c r="L20" s="179" t="s">
        <v>524</v>
      </c>
      <c r="M20" s="179">
        <v>79.739999999999995</v>
      </c>
      <c r="N20" s="179">
        <v>1496880000</v>
      </c>
      <c r="O20" s="179">
        <v>3.48</v>
      </c>
      <c r="P20" s="179">
        <v>342</v>
      </c>
      <c r="Q20" s="179">
        <v>1.1499999999999999</v>
      </c>
      <c r="R20"/>
    </row>
    <row r="21" spans="1:18" x14ac:dyDescent="0.25">
      <c r="A21" s="179">
        <v>77.33</v>
      </c>
      <c r="B21" s="179">
        <v>0.55000000000000004</v>
      </c>
      <c r="C21" s="179">
        <v>50.89</v>
      </c>
      <c r="D21" s="8">
        <v>42893.791666666664</v>
      </c>
      <c r="E21" s="179">
        <v>0.4</v>
      </c>
      <c r="F21" s="179" t="s">
        <v>498</v>
      </c>
      <c r="G21" s="179">
        <v>315.2</v>
      </c>
      <c r="H21" s="179">
        <v>0</v>
      </c>
      <c r="I21" s="179">
        <v>0</v>
      </c>
      <c r="J21" s="179"/>
      <c r="K21" s="179">
        <v>1012.05</v>
      </c>
      <c r="L21" s="179" t="s">
        <v>499</v>
      </c>
      <c r="M21" s="179">
        <v>77.33</v>
      </c>
      <c r="N21" s="179">
        <v>1496883600</v>
      </c>
      <c r="O21" s="179">
        <v>3.73</v>
      </c>
      <c r="P21" s="179">
        <v>86</v>
      </c>
      <c r="Q21" s="179">
        <v>0.97</v>
      </c>
      <c r="R21"/>
    </row>
    <row r="22" spans="1:18" x14ac:dyDescent="0.25">
      <c r="A22" s="179">
        <v>74.2</v>
      </c>
      <c r="B22" s="179">
        <v>0.37</v>
      </c>
      <c r="C22" s="179">
        <v>50.21</v>
      </c>
      <c r="D22" s="8">
        <v>42893.833333333336</v>
      </c>
      <c r="E22" s="179">
        <v>0.43</v>
      </c>
      <c r="F22" s="179" t="s">
        <v>498</v>
      </c>
      <c r="G22" s="179">
        <v>316.89</v>
      </c>
      <c r="H22" s="179">
        <v>0</v>
      </c>
      <c r="I22" s="179">
        <v>0</v>
      </c>
      <c r="J22" s="179"/>
      <c r="K22" s="179">
        <v>1012.58</v>
      </c>
      <c r="L22" s="179" t="s">
        <v>499</v>
      </c>
      <c r="M22" s="179">
        <v>74.2</v>
      </c>
      <c r="N22" s="179">
        <v>1496887200</v>
      </c>
      <c r="O22" s="179">
        <v>4.22</v>
      </c>
      <c r="P22" s="179">
        <v>111</v>
      </c>
      <c r="Q22" s="179">
        <v>1.58</v>
      </c>
      <c r="R22"/>
    </row>
    <row r="23" spans="1:18" x14ac:dyDescent="0.25">
      <c r="A23" s="179">
        <v>70.87</v>
      </c>
      <c r="B23" s="179">
        <v>0.27</v>
      </c>
      <c r="C23" s="179">
        <v>48.7</v>
      </c>
      <c r="D23" s="8">
        <v>42893.875</v>
      </c>
      <c r="E23" s="179">
        <v>0.45</v>
      </c>
      <c r="F23" s="179" t="s">
        <v>522</v>
      </c>
      <c r="G23" s="179">
        <v>318.55</v>
      </c>
      <c r="H23" s="179">
        <v>0</v>
      </c>
      <c r="I23" s="179">
        <v>0</v>
      </c>
      <c r="J23" s="179"/>
      <c r="K23" s="179">
        <v>1013.37</v>
      </c>
      <c r="L23" s="179" t="s">
        <v>499</v>
      </c>
      <c r="M23" s="179">
        <v>70.87</v>
      </c>
      <c r="N23" s="179">
        <v>1496890800</v>
      </c>
      <c r="O23" s="179">
        <v>5.09</v>
      </c>
      <c r="P23" s="179">
        <v>199</v>
      </c>
      <c r="Q23" s="179">
        <v>1.03</v>
      </c>
      <c r="R23"/>
    </row>
    <row r="24" spans="1:18" x14ac:dyDescent="0.25">
      <c r="A24" s="179">
        <v>66.41</v>
      </c>
      <c r="B24" s="179">
        <v>0.3</v>
      </c>
      <c r="C24" s="179">
        <v>56.23</v>
      </c>
      <c r="D24" s="8">
        <v>42893.916666666664</v>
      </c>
      <c r="E24" s="179">
        <v>0.7</v>
      </c>
      <c r="F24" s="179" t="s">
        <v>522</v>
      </c>
      <c r="G24" s="179">
        <v>319.86</v>
      </c>
      <c r="H24" s="179">
        <v>0</v>
      </c>
      <c r="I24" s="179">
        <v>0</v>
      </c>
      <c r="J24" s="179"/>
      <c r="K24" s="179">
        <v>1014.5</v>
      </c>
      <c r="L24" s="179" t="s">
        <v>499</v>
      </c>
      <c r="M24" s="179">
        <v>66.41</v>
      </c>
      <c r="N24" s="179">
        <v>1496894400</v>
      </c>
      <c r="O24" s="179">
        <v>4.33</v>
      </c>
      <c r="P24" s="179">
        <v>356</v>
      </c>
      <c r="Q24" s="179">
        <v>3.81</v>
      </c>
      <c r="R24"/>
    </row>
    <row r="25" spans="1:18" x14ac:dyDescent="0.25">
      <c r="A25" s="179">
        <v>63.01</v>
      </c>
      <c r="B25" s="179">
        <v>0.36</v>
      </c>
      <c r="C25" s="179">
        <v>56.95</v>
      </c>
      <c r="D25" s="8">
        <v>42893.958333333336</v>
      </c>
      <c r="E25" s="179">
        <v>0.81</v>
      </c>
      <c r="F25" s="179" t="s">
        <v>522</v>
      </c>
      <c r="G25" s="179">
        <v>321.14</v>
      </c>
      <c r="H25" s="179">
        <v>0</v>
      </c>
      <c r="I25" s="179">
        <v>0</v>
      </c>
      <c r="J25" s="179"/>
      <c r="K25" s="179">
        <v>1015.75</v>
      </c>
      <c r="L25" s="179" t="s">
        <v>499</v>
      </c>
      <c r="M25" s="179">
        <v>63.01</v>
      </c>
      <c r="N25" s="179">
        <v>1496898000</v>
      </c>
      <c r="O25" s="179">
        <v>2.52</v>
      </c>
      <c r="P25" s="179">
        <v>291</v>
      </c>
      <c r="Q25" s="179">
        <v>1.62</v>
      </c>
      <c r="R25"/>
    </row>
    <row r="26" spans="1:18" x14ac:dyDescent="0.25">
      <c r="A26" s="179">
        <v>61.54</v>
      </c>
      <c r="B26" s="179">
        <v>0.36</v>
      </c>
      <c r="C26" s="179">
        <v>56.31</v>
      </c>
      <c r="D26" s="8">
        <v>42894</v>
      </c>
      <c r="E26" s="179">
        <v>0.83</v>
      </c>
      <c r="F26" s="179" t="s">
        <v>522</v>
      </c>
      <c r="G26" s="179">
        <v>322.2</v>
      </c>
      <c r="H26" s="179">
        <v>0</v>
      </c>
      <c r="I26" s="179">
        <v>0</v>
      </c>
      <c r="J26" s="179"/>
      <c r="K26" s="179">
        <v>1016.51</v>
      </c>
      <c r="L26" s="179" t="s">
        <v>499</v>
      </c>
      <c r="M26" s="179">
        <v>61.54</v>
      </c>
      <c r="N26" s="179">
        <v>1496901600</v>
      </c>
      <c r="O26" s="179">
        <v>2.17</v>
      </c>
      <c r="P26" s="179">
        <v>309</v>
      </c>
      <c r="Q26" s="179">
        <v>2.37</v>
      </c>
      <c r="R26"/>
    </row>
    <row r="27" spans="1:18" x14ac:dyDescent="0.25">
      <c r="A27" s="179">
        <v>60.06</v>
      </c>
      <c r="B27" s="179">
        <v>0.25</v>
      </c>
      <c r="C27" s="179">
        <v>56.34</v>
      </c>
      <c r="D27" s="8">
        <v>42894.041666666664</v>
      </c>
      <c r="E27" s="179">
        <v>0.88</v>
      </c>
      <c r="F27" s="179" t="s">
        <v>522</v>
      </c>
      <c r="G27" s="179">
        <v>322.77999999999997</v>
      </c>
      <c r="H27" s="179">
        <v>0</v>
      </c>
      <c r="I27" s="179">
        <v>0</v>
      </c>
      <c r="J27" s="179"/>
      <c r="K27" s="179">
        <v>1015.98</v>
      </c>
      <c r="L27" s="179" t="s">
        <v>499</v>
      </c>
      <c r="M27" s="179">
        <v>60.06</v>
      </c>
      <c r="N27" s="179">
        <v>1496905200</v>
      </c>
      <c r="O27" s="179">
        <v>2.11</v>
      </c>
      <c r="P27" s="179">
        <v>74</v>
      </c>
      <c r="Q27" s="179">
        <v>0.97</v>
      </c>
      <c r="R27"/>
    </row>
    <row r="28" spans="1:18" x14ac:dyDescent="0.25">
      <c r="A28" s="179">
        <v>58.37</v>
      </c>
      <c r="B28" s="179">
        <v>0.21</v>
      </c>
      <c r="C28" s="179">
        <v>55.07</v>
      </c>
      <c r="D28" s="8">
        <v>42894.083333333336</v>
      </c>
      <c r="E28" s="179">
        <v>0.89</v>
      </c>
      <c r="F28" s="179" t="s">
        <v>846</v>
      </c>
      <c r="G28" s="179">
        <v>323.36</v>
      </c>
      <c r="H28" s="179">
        <v>0</v>
      </c>
      <c r="I28" s="179">
        <v>0</v>
      </c>
      <c r="J28" s="179"/>
      <c r="K28" s="179">
        <v>1015.5</v>
      </c>
      <c r="L28" s="179" t="s">
        <v>847</v>
      </c>
      <c r="M28" s="179">
        <v>58.37</v>
      </c>
      <c r="N28" s="179">
        <v>1496908800</v>
      </c>
      <c r="O28" s="179">
        <v>2.06</v>
      </c>
      <c r="P28" s="179">
        <v>230</v>
      </c>
      <c r="Q28" s="179">
        <v>0.97</v>
      </c>
      <c r="R28"/>
    </row>
    <row r="29" spans="1:18" x14ac:dyDescent="0.25">
      <c r="A29" s="179">
        <v>57.76</v>
      </c>
      <c r="B29" s="179">
        <v>0.19</v>
      </c>
      <c r="C29" s="179">
        <v>54.6</v>
      </c>
      <c r="D29" s="8">
        <v>42894.125</v>
      </c>
      <c r="E29" s="179">
        <v>0.89</v>
      </c>
      <c r="F29" s="179" t="s">
        <v>846</v>
      </c>
      <c r="G29" s="179">
        <v>323.94</v>
      </c>
      <c r="H29" s="179">
        <v>0</v>
      </c>
      <c r="I29" s="179">
        <v>0</v>
      </c>
      <c r="J29" s="179"/>
      <c r="K29" s="179">
        <v>1015.03</v>
      </c>
      <c r="L29" s="179" t="s">
        <v>847</v>
      </c>
      <c r="M29" s="179">
        <v>57.76</v>
      </c>
      <c r="N29" s="179">
        <v>1496912400</v>
      </c>
      <c r="O29" s="179">
        <v>9.59</v>
      </c>
      <c r="P29" s="179">
        <v>186</v>
      </c>
      <c r="Q29" s="179">
        <v>1.73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2"/>
  <sheetViews>
    <sheetView workbookViewId="0">
      <selection activeCell="D13" sqref="D1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42893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454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455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1008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1009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1010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1011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1012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1013</v>
      </c>
      <c r="J25" s="143" t="s">
        <v>148</v>
      </c>
      <c r="M25" s="157" t="b">
        <v>1</v>
      </c>
    </row>
    <row r="26" spans="3:24" x14ac:dyDescent="0.25">
      <c r="C26" t="s">
        <v>1014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C:\Users\stu\Documents\GitHub\eaglep3-reporting\EC\2017-06-07-refined-times.txt</v>
      </c>
    </row>
    <row r="27" spans="3:24" x14ac:dyDescent="0.25">
      <c r="C27" t="s">
        <v>1015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C:\Users\stu\Documents\GitHub\eaglep3-reporting\EC\2017-06-07-Enforcements.txt</v>
      </c>
    </row>
    <row r="28" spans="3:24" x14ac:dyDescent="0.25">
      <c r="C28" t="s">
        <v>1016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C:\Users\stu\Documents\GitHub\eaglep3-reporting\EC\2017-06-07-Runs-refined.txt</v>
      </c>
    </row>
    <row r="29" spans="3:24" x14ac:dyDescent="0.25">
      <c r="C29" t="s">
        <v>1017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C:\Users\stu\Documents\GitHub\eaglep3-reporting\EC\2017-06-07-Trips.txt</v>
      </c>
    </row>
    <row r="30" spans="3:24" x14ac:dyDescent="0.25">
      <c r="C30" t="s">
        <v>1018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C:\Users\stu\Documents\GitHub\eaglep3-reporting\EC\2017-06-07-Weather.txt</v>
      </c>
    </row>
    <row r="31" spans="3:24" x14ac:dyDescent="0.25">
      <c r="C31" t="s">
        <v>1019</v>
      </c>
      <c r="J31" s="143" t="s">
        <v>198</v>
      </c>
      <c r="M31" s="157" t="s">
        <v>199</v>
      </c>
    </row>
    <row r="32" spans="3:24" x14ac:dyDescent="0.25">
      <c r="C32" t="s">
        <v>1020</v>
      </c>
    </row>
    <row r="33" spans="3:3" x14ac:dyDescent="0.25">
      <c r="C33" t="s">
        <v>1021</v>
      </c>
    </row>
    <row r="34" spans="3:3" x14ac:dyDescent="0.25">
      <c r="C34" t="s">
        <v>1022</v>
      </c>
    </row>
    <row r="35" spans="3:3" x14ac:dyDescent="0.25">
      <c r="C35" t="s">
        <v>1023</v>
      </c>
    </row>
    <row r="36" spans="3:3" x14ac:dyDescent="0.25">
      <c r="C36" t="s">
        <v>1024</v>
      </c>
    </row>
    <row r="37" spans="3:3" x14ac:dyDescent="0.25">
      <c r="C37" t="s">
        <v>1025</v>
      </c>
    </row>
    <row r="38" spans="3:3" x14ac:dyDescent="0.25">
      <c r="C38" t="s">
        <v>1026</v>
      </c>
    </row>
    <row r="39" spans="3:3" x14ac:dyDescent="0.25">
      <c r="C39" t="s">
        <v>1027</v>
      </c>
    </row>
    <row r="40" spans="3:3" x14ac:dyDescent="0.25">
      <c r="C40" t="s">
        <v>1028</v>
      </c>
    </row>
    <row r="41" spans="3:3" x14ac:dyDescent="0.25">
      <c r="C41" t="s">
        <v>1029</v>
      </c>
    </row>
    <row r="42" spans="3:3" x14ac:dyDescent="0.25">
      <c r="C42" t="s">
        <v>1030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2017-06-09T15:32:39Z</dcterms:modified>
</cp:coreProperties>
</file>