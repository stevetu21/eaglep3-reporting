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Enforcements!$A$6:$AC$42</definedName>
    <definedName name="_xlnm._FilterDatabase" localSheetId="2" hidden="1">'Missing Trips'!$A$2:$J$143</definedName>
    <definedName name="_xlnm._FilterDatabase" localSheetId="0" hidden="1">'Train Runs'!$A$12:$AG$222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9" l="1"/>
  <c r="C31" i="9"/>
  <c r="B32" i="9"/>
  <c r="C33" i="9" s="1"/>
  <c r="C32" i="9"/>
  <c r="B33" i="9"/>
  <c r="B34" i="9"/>
  <c r="C35" i="9" s="1"/>
  <c r="C34" i="9"/>
  <c r="B35" i="9"/>
  <c r="B36" i="9"/>
  <c r="C37" i="9" s="1"/>
  <c r="C36" i="9"/>
  <c r="B37" i="9"/>
  <c r="B38" i="9"/>
  <c r="C39" i="9" s="1"/>
  <c r="C38" i="9"/>
  <c r="B39" i="9"/>
  <c r="B40" i="9"/>
  <c r="C41" i="9" s="1"/>
  <c r="C40" i="9"/>
  <c r="B41" i="9"/>
  <c r="B42" i="9"/>
  <c r="C43" i="9" s="1"/>
  <c r="C42" i="9"/>
  <c r="B43" i="9"/>
  <c r="B44" i="9"/>
  <c r="C45" i="9" s="1"/>
  <c r="C44" i="9"/>
  <c r="B45" i="9"/>
  <c r="B46" i="9"/>
  <c r="C47" i="9" s="1"/>
  <c r="C46" i="9"/>
  <c r="B47" i="9"/>
  <c r="B48" i="9"/>
  <c r="C49" i="9" s="1"/>
  <c r="C48" i="9"/>
  <c r="B49" i="9"/>
  <c r="B50" i="9"/>
  <c r="C51" i="9" s="1"/>
  <c r="C50" i="9"/>
  <c r="B51" i="9"/>
  <c r="B52" i="9"/>
  <c r="C53" i="9" s="1"/>
  <c r="C52" i="9"/>
  <c r="B53" i="9"/>
  <c r="B54" i="9"/>
  <c r="C55" i="9" s="1"/>
  <c r="C54" i="9"/>
  <c r="B55" i="9"/>
  <c r="B56" i="9"/>
  <c r="C57" i="9" s="1"/>
  <c r="C56" i="9"/>
  <c r="B57" i="9"/>
  <c r="B58" i="9"/>
  <c r="C59" i="9" s="1"/>
  <c r="C58" i="9"/>
  <c r="B59" i="9"/>
  <c r="B60" i="9"/>
  <c r="C61" i="9" s="1"/>
  <c r="C60" i="9"/>
  <c r="B61" i="9"/>
  <c r="B62" i="9"/>
  <c r="C63" i="9" s="1"/>
  <c r="C62" i="9"/>
  <c r="B63" i="9"/>
  <c r="B64" i="9"/>
  <c r="C65" i="9" s="1"/>
  <c r="C64" i="9"/>
  <c r="B65" i="9"/>
  <c r="B66" i="9"/>
  <c r="C67" i="9" s="1"/>
  <c r="C66" i="9"/>
  <c r="B67" i="9"/>
  <c r="B68" i="9"/>
  <c r="C69" i="9" s="1"/>
  <c r="C68" i="9"/>
  <c r="B69" i="9"/>
  <c r="B70" i="9"/>
  <c r="C71" i="9" s="1"/>
  <c r="C70" i="9"/>
  <c r="B71" i="9"/>
  <c r="B72" i="9"/>
  <c r="C73" i="9" s="1"/>
  <c r="C72" i="9"/>
  <c r="B73" i="9"/>
  <c r="B74" i="9"/>
  <c r="C75" i="9" s="1"/>
  <c r="C74" i="9"/>
  <c r="B75" i="9"/>
  <c r="B76" i="9"/>
  <c r="C77" i="9" s="1"/>
  <c r="C76" i="9"/>
  <c r="B77" i="9"/>
  <c r="B78" i="9"/>
  <c r="C79" i="9" s="1"/>
  <c r="C78" i="9"/>
  <c r="B79" i="9"/>
  <c r="B80" i="9"/>
  <c r="C81" i="9" s="1"/>
  <c r="C80" i="9"/>
  <c r="B81" i="9"/>
  <c r="B82" i="9"/>
  <c r="C83" i="9" s="1"/>
  <c r="C82" i="9"/>
  <c r="B83" i="9"/>
  <c r="X177" i="1"/>
  <c r="P176" i="1"/>
  <c r="K176" i="1"/>
  <c r="L176" i="1"/>
  <c r="M176" i="1"/>
  <c r="V176" i="1"/>
  <c r="Y176" i="1"/>
  <c r="Z176" i="1"/>
  <c r="AA176" i="1" s="1"/>
  <c r="AB176" i="1"/>
  <c r="AC176" i="1"/>
  <c r="AD176" i="1"/>
  <c r="T176" i="1" s="1"/>
  <c r="AE176" i="1"/>
  <c r="AF176" i="1"/>
  <c r="AH176" i="1"/>
  <c r="AM176" i="1"/>
  <c r="X161" i="1"/>
  <c r="K160" i="1"/>
  <c r="L160" i="1"/>
  <c r="M160" i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X156" i="1"/>
  <c r="K155" i="1"/>
  <c r="L155" i="1"/>
  <c r="M155" i="1"/>
  <c r="V155" i="1"/>
  <c r="Y155" i="1"/>
  <c r="Z155" i="1"/>
  <c r="AA155" i="1"/>
  <c r="AB155" i="1"/>
  <c r="AC155" i="1"/>
  <c r="AD155" i="1"/>
  <c r="T155" i="1" s="1"/>
  <c r="AE155" i="1"/>
  <c r="AF155" i="1"/>
  <c r="AH155" i="1"/>
  <c r="AM155" i="1"/>
  <c r="K154" i="1"/>
  <c r="L154" i="1"/>
  <c r="M154" i="1"/>
  <c r="N154" i="1"/>
  <c r="V154" i="1"/>
  <c r="Y154" i="1"/>
  <c r="Z154" i="1"/>
  <c r="AA154" i="1"/>
  <c r="AB154" i="1"/>
  <c r="AC154" i="1"/>
  <c r="AD154" i="1"/>
  <c r="T154" i="1" s="1"/>
  <c r="AE154" i="1"/>
  <c r="AF154" i="1"/>
  <c r="AH154" i="1"/>
  <c r="AM154" i="1"/>
  <c r="P102" i="1"/>
  <c r="X63" i="1"/>
  <c r="K14" i="1"/>
  <c r="L14" i="1"/>
  <c r="M14" i="1"/>
  <c r="N14" i="1" s="1"/>
  <c r="V14" i="1"/>
  <c r="S16" i="3" s="1"/>
  <c r="Y14" i="1"/>
  <c r="Z14" i="1"/>
  <c r="AB14" i="1"/>
  <c r="AC14" i="1"/>
  <c r="AD14" i="1"/>
  <c r="T14" i="1" s="1"/>
  <c r="AE14" i="1"/>
  <c r="R17" i="3" s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S18" i="3" s="1"/>
  <c r="Y16" i="1"/>
  <c r="Z16" i="1"/>
  <c r="AB16" i="1"/>
  <c r="AC16" i="1"/>
  <c r="AD16" i="1"/>
  <c r="T16" i="1" s="1"/>
  <c r="AE16" i="1"/>
  <c r="AF16" i="1"/>
  <c r="AH16" i="1"/>
  <c r="AM16" i="1"/>
  <c r="K17" i="1"/>
  <c r="L17" i="1"/>
  <c r="M17" i="1"/>
  <c r="N17" i="1" s="1"/>
  <c r="V17" i="1"/>
  <c r="S27" i="3" s="1"/>
  <c r="Y17" i="1"/>
  <c r="Z17" i="1"/>
  <c r="AB17" i="1"/>
  <c r="AC17" i="1"/>
  <c r="AD17" i="1"/>
  <c r="AG17" i="1" s="1"/>
  <c r="AE17" i="1"/>
  <c r="R27" i="3" s="1"/>
  <c r="AF17" i="1"/>
  <c r="AH17" i="1"/>
  <c r="AM17" i="1"/>
  <c r="K18" i="1"/>
  <c r="L18" i="1"/>
  <c r="M18" i="1"/>
  <c r="N18" i="1" s="1"/>
  <c r="V18" i="1"/>
  <c r="S11" i="3" s="1"/>
  <c r="Y18" i="1"/>
  <c r="Z18" i="1"/>
  <c r="AA18" i="1" s="1"/>
  <c r="AB18" i="1"/>
  <c r="AC18" i="1"/>
  <c r="AD18" i="1"/>
  <c r="T18" i="1" s="1"/>
  <c r="AE18" i="1"/>
  <c r="R11" i="3" s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R12" i="3" s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S19" i="3" s="1"/>
  <c r="Y30" i="1"/>
  <c r="Z30" i="1"/>
  <c r="AA30" i="1" s="1"/>
  <c r="AB30" i="1"/>
  <c r="AC30" i="1"/>
  <c r="AD30" i="1"/>
  <c r="AE30" i="1"/>
  <c r="R19" i="3" s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K32" i="1"/>
  <c r="L32" i="1"/>
  <c r="M32" i="1"/>
  <c r="P32" i="1" s="1"/>
  <c r="V32" i="1"/>
  <c r="S8" i="3" s="1"/>
  <c r="Y32" i="1"/>
  <c r="Z32" i="1"/>
  <c r="AB32" i="1"/>
  <c r="AC32" i="1"/>
  <c r="AD32" i="1"/>
  <c r="AG32" i="1" s="1"/>
  <c r="AE32" i="1"/>
  <c r="R7" i="3" s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S20" i="3" s="1"/>
  <c r="Y34" i="1"/>
  <c r="Z34" i="1"/>
  <c r="AB34" i="1"/>
  <c r="AC34" i="1"/>
  <c r="AD34" i="1"/>
  <c r="AG34" i="1" s="1"/>
  <c r="AE34" i="1"/>
  <c r="R20" i="3" s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8" i="1"/>
  <c r="L38" i="1"/>
  <c r="M38" i="1"/>
  <c r="N38" i="1" s="1"/>
  <c r="V38" i="1"/>
  <c r="Y38" i="1"/>
  <c r="Z38" i="1"/>
  <c r="AA38" i="1" s="1"/>
  <c r="AB38" i="1"/>
  <c r="AC38" i="1"/>
  <c r="AD38" i="1"/>
  <c r="AG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I41" i="1" s="1"/>
  <c r="AB41" i="1"/>
  <c r="AC41" i="1"/>
  <c r="AD41" i="1"/>
  <c r="AG41" i="1" s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N43" i="1" s="1"/>
  <c r="V43" i="1"/>
  <c r="Y43" i="1"/>
  <c r="Z43" i="1"/>
  <c r="AA43" i="1"/>
  <c r="AB43" i="1"/>
  <c r="AC43" i="1"/>
  <c r="AD43" i="1"/>
  <c r="T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S10" i="3" s="1"/>
  <c r="Y45" i="1"/>
  <c r="Z45" i="1"/>
  <c r="AA45" i="1" s="1"/>
  <c r="AB45" i="1"/>
  <c r="AC45" i="1"/>
  <c r="AD45" i="1"/>
  <c r="AE45" i="1"/>
  <c r="R10" i="3" s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I49" i="1" s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P51" i="1" s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K52" i="1"/>
  <c r="L52" i="1"/>
  <c r="M52" i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I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K57" i="1"/>
  <c r="L57" i="1"/>
  <c r="M57" i="1"/>
  <c r="N57" i="1" s="1"/>
  <c r="V57" i="1"/>
  <c r="Y57" i="1"/>
  <c r="Z57" i="1"/>
  <c r="AA57" i="1" s="1"/>
  <c r="W57" i="1" s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S28" i="3" s="1"/>
  <c r="Y60" i="1"/>
  <c r="Z60" i="1"/>
  <c r="AB60" i="1"/>
  <c r="AC60" i="1"/>
  <c r="AD60" i="1"/>
  <c r="X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K62" i="1"/>
  <c r="L62" i="1"/>
  <c r="M62" i="1"/>
  <c r="N62" i="1" s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K63" i="1"/>
  <c r="L63" i="1"/>
  <c r="M63" i="1"/>
  <c r="N63" i="1" s="1"/>
  <c r="T63" i="1"/>
  <c r="V63" i="1"/>
  <c r="Y63" i="1"/>
  <c r="Z63" i="1"/>
  <c r="AI63" i="1" s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K65" i="1"/>
  <c r="L65" i="1"/>
  <c r="M65" i="1"/>
  <c r="N65" i="1" s="1"/>
  <c r="V65" i="1"/>
  <c r="Y65" i="1"/>
  <c r="Z65" i="1"/>
  <c r="AI65" i="1" s="1"/>
  <c r="AB65" i="1"/>
  <c r="AC65" i="1"/>
  <c r="AD65" i="1"/>
  <c r="AG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T67" i="1"/>
  <c r="V67" i="1"/>
  <c r="Y67" i="1"/>
  <c r="Z67" i="1"/>
  <c r="AI67" i="1" s="1"/>
  <c r="AB67" i="1"/>
  <c r="AC67" i="1"/>
  <c r="AD67" i="1"/>
  <c r="AG67" i="1" s="1"/>
  <c r="AE67" i="1"/>
  <c r="AF67" i="1"/>
  <c r="AH67" i="1"/>
  <c r="AM67" i="1"/>
  <c r="K68" i="1"/>
  <c r="L68" i="1"/>
  <c r="M68" i="1"/>
  <c r="N68" i="1"/>
  <c r="V68" i="1"/>
  <c r="Y68" i="1"/>
  <c r="Z68" i="1"/>
  <c r="AB68" i="1"/>
  <c r="AC68" i="1"/>
  <c r="AD68" i="1"/>
  <c r="AE68" i="1"/>
  <c r="AF68" i="1"/>
  <c r="AH68" i="1"/>
  <c r="AM68" i="1"/>
  <c r="K69" i="1"/>
  <c r="L69" i="1"/>
  <c r="M69" i="1"/>
  <c r="N69" i="1"/>
  <c r="V69" i="1"/>
  <c r="Y69" i="1"/>
  <c r="Z69" i="1"/>
  <c r="AI69" i="1" s="1"/>
  <c r="AB69" i="1"/>
  <c r="AC69" i="1"/>
  <c r="AD69" i="1"/>
  <c r="AG69" i="1" s="1"/>
  <c r="AE69" i="1"/>
  <c r="AF69" i="1"/>
  <c r="AH69" i="1"/>
  <c r="AM69" i="1"/>
  <c r="K70" i="1"/>
  <c r="L70" i="1"/>
  <c r="M70" i="1"/>
  <c r="N70" i="1" s="1"/>
  <c r="V70" i="1"/>
  <c r="X70" i="1"/>
  <c r="Y70" i="1"/>
  <c r="Z70" i="1"/>
  <c r="AB70" i="1"/>
  <c r="AC70" i="1"/>
  <c r="AD70" i="1"/>
  <c r="T70" i="1" s="1"/>
  <c r="AE70" i="1"/>
  <c r="AF70" i="1"/>
  <c r="AG70" i="1"/>
  <c r="AH70" i="1"/>
  <c r="AM70" i="1"/>
  <c r="K71" i="1"/>
  <c r="L71" i="1"/>
  <c r="M71" i="1"/>
  <c r="N71" i="1"/>
  <c r="V71" i="1"/>
  <c r="Y71" i="1"/>
  <c r="Z71" i="1"/>
  <c r="AB71" i="1"/>
  <c r="AC71" i="1"/>
  <c r="AD71" i="1"/>
  <c r="AG71" i="1" s="1"/>
  <c r="AE71" i="1"/>
  <c r="AF71" i="1"/>
  <c r="AH71" i="1"/>
  <c r="AI71" i="1"/>
  <c r="AM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K73" i="1"/>
  <c r="L73" i="1"/>
  <c r="M73" i="1"/>
  <c r="N73" i="1"/>
  <c r="V73" i="1"/>
  <c r="Y73" i="1"/>
  <c r="Z73" i="1"/>
  <c r="AB73" i="1"/>
  <c r="AC73" i="1"/>
  <c r="AD73" i="1"/>
  <c r="AG73" i="1" s="1"/>
  <c r="AE73" i="1"/>
  <c r="AF73" i="1"/>
  <c r="AH73" i="1"/>
  <c r="AI73" i="1"/>
  <c r="AM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K75" i="1"/>
  <c r="L75" i="1"/>
  <c r="M75" i="1"/>
  <c r="N75" i="1" s="1"/>
  <c r="T75" i="1"/>
  <c r="V75" i="1"/>
  <c r="X75" i="1"/>
  <c r="Y75" i="1"/>
  <c r="Z75" i="1"/>
  <c r="AA75" i="1" s="1"/>
  <c r="W75" i="1" s="1"/>
  <c r="AB75" i="1"/>
  <c r="AC75" i="1"/>
  <c r="AD75" i="1"/>
  <c r="AG75" i="1" s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A77" i="1" s="1"/>
  <c r="W77" i="1" s="1"/>
  <c r="AB77" i="1"/>
  <c r="AC77" i="1"/>
  <c r="AD77" i="1"/>
  <c r="AG77" i="1" s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K79" i="1"/>
  <c r="L79" i="1"/>
  <c r="M79" i="1"/>
  <c r="N79" i="1" s="1"/>
  <c r="V79" i="1"/>
  <c r="Y79" i="1"/>
  <c r="Z79" i="1"/>
  <c r="AI79" i="1" s="1"/>
  <c r="AB79" i="1"/>
  <c r="AC79" i="1"/>
  <c r="AD79" i="1"/>
  <c r="AG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K81" i="1"/>
  <c r="L81" i="1"/>
  <c r="M81" i="1"/>
  <c r="N81" i="1" s="1"/>
  <c r="V81" i="1"/>
  <c r="Y81" i="1"/>
  <c r="Z81" i="1"/>
  <c r="AI81" i="1" s="1"/>
  <c r="AB81" i="1"/>
  <c r="AC81" i="1"/>
  <c r="AD81" i="1"/>
  <c r="AG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K83" i="1"/>
  <c r="L83" i="1"/>
  <c r="M83" i="1"/>
  <c r="N83" i="1" s="1"/>
  <c r="V83" i="1"/>
  <c r="S21" i="3" s="1"/>
  <c r="Y83" i="1"/>
  <c r="Z83" i="1"/>
  <c r="AB83" i="1"/>
  <c r="AC83" i="1"/>
  <c r="AD83" i="1"/>
  <c r="AG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K87" i="1"/>
  <c r="L87" i="1"/>
  <c r="M87" i="1"/>
  <c r="N87" i="1" s="1"/>
  <c r="V87" i="1"/>
  <c r="Y87" i="1"/>
  <c r="Z87" i="1"/>
  <c r="AI87" i="1" s="1"/>
  <c r="AB87" i="1"/>
  <c r="AC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K89" i="1"/>
  <c r="L89" i="1"/>
  <c r="M89" i="1"/>
  <c r="N89" i="1" s="1"/>
  <c r="V89" i="1"/>
  <c r="Y89" i="1"/>
  <c r="Z89" i="1"/>
  <c r="AI89" i="1" s="1"/>
  <c r="AB89" i="1"/>
  <c r="AC89" i="1"/>
  <c r="AD89" i="1"/>
  <c r="AG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K97" i="1"/>
  <c r="L97" i="1"/>
  <c r="M97" i="1"/>
  <c r="N97" i="1" s="1"/>
  <c r="V97" i="1"/>
  <c r="S23" i="3" s="1"/>
  <c r="Y97" i="1"/>
  <c r="AA97" i="1" s="1"/>
  <c r="W97" i="1" s="1"/>
  <c r="Z97" i="1"/>
  <c r="AB97" i="1"/>
  <c r="AC97" i="1"/>
  <c r="AD97" i="1"/>
  <c r="T97" i="1" s="1"/>
  <c r="AE97" i="1"/>
  <c r="R22" i="3" s="1"/>
  <c r="AF97" i="1"/>
  <c r="AG97" i="1"/>
  <c r="AI97" i="1" s="1"/>
  <c r="AH97" i="1"/>
  <c r="AM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K99" i="1"/>
  <c r="L99" i="1"/>
  <c r="M99" i="1"/>
  <c r="N99" i="1" s="1"/>
  <c r="V99" i="1"/>
  <c r="S24" i="3" s="1"/>
  <c r="Y99" i="1"/>
  <c r="Z99" i="1"/>
  <c r="AB99" i="1"/>
  <c r="AC99" i="1"/>
  <c r="AD99" i="1"/>
  <c r="AG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R13" i="3" s="1"/>
  <c r="AF100" i="1"/>
  <c r="AH100" i="1"/>
  <c r="AM100" i="1"/>
  <c r="K101" i="1"/>
  <c r="L101" i="1"/>
  <c r="M101" i="1"/>
  <c r="N101" i="1"/>
  <c r="V101" i="1"/>
  <c r="Y101" i="1"/>
  <c r="Z101" i="1"/>
  <c r="AI101" i="1" s="1"/>
  <c r="AB101" i="1"/>
  <c r="AC101" i="1"/>
  <c r="AD101" i="1"/>
  <c r="AG101" i="1" s="1"/>
  <c r="AE101" i="1"/>
  <c r="AF101" i="1"/>
  <c r="AH101" i="1"/>
  <c r="AM101" i="1"/>
  <c r="K102" i="1"/>
  <c r="L102" i="1"/>
  <c r="M102" i="1"/>
  <c r="V102" i="1"/>
  <c r="Y102" i="1"/>
  <c r="Z102" i="1"/>
  <c r="AB102" i="1"/>
  <c r="AC102" i="1"/>
  <c r="AD102" i="1"/>
  <c r="AE102" i="1"/>
  <c r="R14" i="3" s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K121" i="1"/>
  <c r="L121" i="1"/>
  <c r="M121" i="1"/>
  <c r="N121" i="1" s="1"/>
  <c r="V121" i="1"/>
  <c r="S26" i="3" s="1"/>
  <c r="Y121" i="1"/>
  <c r="Z121" i="1"/>
  <c r="AB121" i="1"/>
  <c r="AC121" i="1"/>
  <c r="AD121" i="1"/>
  <c r="AG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K123" i="1"/>
  <c r="L123" i="1"/>
  <c r="M123" i="1"/>
  <c r="N123" i="1" s="1"/>
  <c r="V123" i="1"/>
  <c r="Y123" i="1"/>
  <c r="Z123" i="1"/>
  <c r="AI123" i="1" s="1"/>
  <c r="AB123" i="1"/>
  <c r="AC123" i="1"/>
  <c r="AD123" i="1"/>
  <c r="AG123" i="1" s="1"/>
  <c r="AE123" i="1"/>
  <c r="AF123" i="1"/>
  <c r="AH123" i="1"/>
  <c r="AM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K125" i="1"/>
  <c r="L125" i="1"/>
  <c r="M125" i="1"/>
  <c r="N125" i="1" s="1"/>
  <c r="T125" i="1"/>
  <c r="V125" i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K143" i="1"/>
  <c r="L143" i="1"/>
  <c r="M143" i="1"/>
  <c r="N143" i="1" s="1"/>
  <c r="V143" i="1"/>
  <c r="S25" i="3" s="1"/>
  <c r="Y143" i="1"/>
  <c r="Z143" i="1"/>
  <c r="AB143" i="1"/>
  <c r="AC143" i="1"/>
  <c r="AD143" i="1"/>
  <c r="AG143" i="1" s="1"/>
  <c r="AE143" i="1"/>
  <c r="R25" i="3" s="1"/>
  <c r="AF143" i="1"/>
  <c r="AH143" i="1"/>
  <c r="AM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1" i="1"/>
  <c r="AM161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2" i="1"/>
  <c r="AM162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3" i="1"/>
  <c r="AM163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4" i="1"/>
  <c r="AM164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5" i="1"/>
  <c r="AM165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6" i="1"/>
  <c r="AM16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7" i="1"/>
  <c r="AM167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8" i="1"/>
  <c r="AM168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9" i="1"/>
  <c r="AM169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70" i="1"/>
  <c r="AM17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1" i="1"/>
  <c r="AM17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2" i="1"/>
  <c r="AM172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3" i="1"/>
  <c r="AM173" i="1"/>
  <c r="K226" i="1"/>
  <c r="L226" i="1"/>
  <c r="M226" i="1"/>
  <c r="N226" i="1" s="1"/>
  <c r="V226" i="1"/>
  <c r="Y226" i="1"/>
  <c r="Z226" i="1"/>
  <c r="AB226" i="1"/>
  <c r="AC226" i="1"/>
  <c r="AD226" i="1"/>
  <c r="AG226" i="1" s="1"/>
  <c r="AI226" i="1" s="1"/>
  <c r="AE226" i="1"/>
  <c r="AF226" i="1"/>
  <c r="AH174" i="1"/>
  <c r="AM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K228" i="1"/>
  <c r="L228" i="1"/>
  <c r="M228" i="1"/>
  <c r="N228" i="1" s="1"/>
  <c r="V228" i="1"/>
  <c r="S39" i="3" s="1"/>
  <c r="Y228" i="1"/>
  <c r="Z228" i="1"/>
  <c r="AI228" i="1" s="1"/>
  <c r="AB228" i="1"/>
  <c r="AC228" i="1"/>
  <c r="AD228" i="1"/>
  <c r="AG228" i="1" s="1"/>
  <c r="AE228" i="1"/>
  <c r="R39" i="3" s="1"/>
  <c r="AF228" i="1"/>
  <c r="AH177" i="1"/>
  <c r="AM17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8" i="1"/>
  <c r="AM178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9" i="1"/>
  <c r="AM179" i="1"/>
  <c r="K231" i="1"/>
  <c r="L231" i="1"/>
  <c r="M231" i="1"/>
  <c r="N231" i="1" s="1"/>
  <c r="V231" i="1"/>
  <c r="Y231" i="1"/>
  <c r="Z231" i="1"/>
  <c r="AA231" i="1" s="1"/>
  <c r="AB231" i="1"/>
  <c r="AC231" i="1"/>
  <c r="AD231" i="1"/>
  <c r="AG231" i="1" s="1"/>
  <c r="AE231" i="1"/>
  <c r="AF231" i="1"/>
  <c r="AH180" i="1"/>
  <c r="AM180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1" i="1"/>
  <c r="AM181" i="1"/>
  <c r="K158" i="1"/>
  <c r="L158" i="1"/>
  <c r="M158" i="1"/>
  <c r="N158" i="1"/>
  <c r="V158" i="1"/>
  <c r="X158" i="1"/>
  <c r="Y158" i="1"/>
  <c r="Z158" i="1"/>
  <c r="AA158" i="1" s="1"/>
  <c r="AB158" i="1"/>
  <c r="AC158" i="1"/>
  <c r="AD158" i="1"/>
  <c r="AG158" i="1" s="1"/>
  <c r="AE158" i="1"/>
  <c r="AF158" i="1"/>
  <c r="AH182" i="1"/>
  <c r="AM182" i="1"/>
  <c r="K159" i="1"/>
  <c r="L159" i="1"/>
  <c r="M159" i="1"/>
  <c r="N159" i="1" s="1"/>
  <c r="V159" i="1"/>
  <c r="S34" i="3" s="1"/>
  <c r="Y159" i="1"/>
  <c r="Z159" i="1"/>
  <c r="AB159" i="1"/>
  <c r="AC159" i="1"/>
  <c r="AD159" i="1"/>
  <c r="AG159" i="1" s="1"/>
  <c r="AE159" i="1"/>
  <c r="R34" i="3" s="1"/>
  <c r="AF159" i="1"/>
  <c r="AH183" i="1"/>
  <c r="AM183" i="1"/>
  <c r="K161" i="1"/>
  <c r="L161" i="1"/>
  <c r="M161" i="1"/>
  <c r="N161" i="1"/>
  <c r="V161" i="1"/>
  <c r="Y161" i="1"/>
  <c r="Z161" i="1"/>
  <c r="AB161" i="1"/>
  <c r="AC161" i="1"/>
  <c r="AD161" i="1"/>
  <c r="AG161" i="1" s="1"/>
  <c r="AE161" i="1"/>
  <c r="AF161" i="1"/>
  <c r="AH184" i="1"/>
  <c r="AM18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5" i="1"/>
  <c r="AM185" i="1"/>
  <c r="K163" i="1"/>
  <c r="L163" i="1"/>
  <c r="M163" i="1"/>
  <c r="N163" i="1" s="1"/>
  <c r="V163" i="1"/>
  <c r="S36" i="3" s="1"/>
  <c r="Y163" i="1"/>
  <c r="Z163" i="1"/>
  <c r="AB163" i="1"/>
  <c r="AC163" i="1"/>
  <c r="AD163" i="1"/>
  <c r="AE163" i="1"/>
  <c r="R36" i="3" s="1"/>
  <c r="AF163" i="1"/>
  <c r="AH186" i="1"/>
  <c r="AM186" i="1"/>
  <c r="K164" i="1"/>
  <c r="L164" i="1"/>
  <c r="M164" i="1"/>
  <c r="N164" i="1" s="1"/>
  <c r="V164" i="1"/>
  <c r="S30" i="3" s="1"/>
  <c r="Y164" i="1"/>
  <c r="Z164" i="1"/>
  <c r="AB164" i="1"/>
  <c r="AC164" i="1"/>
  <c r="AD164" i="1"/>
  <c r="AG164" i="1" s="1"/>
  <c r="AE164" i="1"/>
  <c r="R30" i="3" s="1"/>
  <c r="AF164" i="1"/>
  <c r="AH187" i="1"/>
  <c r="AM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9" i="1"/>
  <c r="AM189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90" i="1"/>
  <c r="AM190" i="1"/>
  <c r="K168" i="1"/>
  <c r="L168" i="1"/>
  <c r="M168" i="1"/>
  <c r="N168" i="1" s="1"/>
  <c r="V168" i="1"/>
  <c r="S31" i="3" s="1"/>
  <c r="Y168" i="1"/>
  <c r="Z168" i="1"/>
  <c r="AB168" i="1"/>
  <c r="AC168" i="1"/>
  <c r="AD168" i="1"/>
  <c r="T168" i="1" s="1"/>
  <c r="AE168" i="1"/>
  <c r="R31" i="3" s="1"/>
  <c r="AF168" i="1"/>
  <c r="AH191" i="1"/>
  <c r="AM19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2" i="1"/>
  <c r="AM192" i="1"/>
  <c r="K170" i="1"/>
  <c r="L170" i="1"/>
  <c r="M170" i="1"/>
  <c r="N170" i="1" s="1"/>
  <c r="V170" i="1"/>
  <c r="S32" i="3" s="1"/>
  <c r="Y170" i="1"/>
  <c r="Z170" i="1"/>
  <c r="AB170" i="1"/>
  <c r="AC170" i="1"/>
  <c r="AD170" i="1"/>
  <c r="T170" i="1" s="1"/>
  <c r="AE170" i="1"/>
  <c r="R32" i="3" s="1"/>
  <c r="AF170" i="1"/>
  <c r="AH193" i="1"/>
  <c r="AM19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AM194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5" i="1"/>
  <c r="AM195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6" i="1"/>
  <c r="AM196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7" i="1"/>
  <c r="AM197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198" i="1"/>
  <c r="AM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0" i="1"/>
  <c r="AM20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1" i="1"/>
  <c r="AM201" i="1"/>
  <c r="K180" i="1"/>
  <c r="L180" i="1"/>
  <c r="M180" i="1"/>
  <c r="N180" i="1" s="1"/>
  <c r="V180" i="1"/>
  <c r="S33" i="3" s="1"/>
  <c r="Y180" i="1"/>
  <c r="Z180" i="1"/>
  <c r="AA180" i="1" s="1"/>
  <c r="W180" i="1" s="1"/>
  <c r="AB180" i="1"/>
  <c r="AC180" i="1"/>
  <c r="AD180" i="1"/>
  <c r="AG180" i="1" s="1"/>
  <c r="AE180" i="1"/>
  <c r="R33" i="3" s="1"/>
  <c r="AF180" i="1"/>
  <c r="AH202" i="1"/>
  <c r="AM202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3" i="1"/>
  <c r="AM203" i="1"/>
  <c r="K182" i="1"/>
  <c r="L182" i="1"/>
  <c r="M182" i="1"/>
  <c r="N182" i="1" s="1"/>
  <c r="V182" i="1"/>
  <c r="Y182" i="1"/>
  <c r="Z182" i="1"/>
  <c r="AA182" i="1" s="1"/>
  <c r="W182" i="1" s="1"/>
  <c r="AB182" i="1"/>
  <c r="AC182" i="1"/>
  <c r="AD182" i="1"/>
  <c r="AG182" i="1" s="1"/>
  <c r="AE182" i="1"/>
  <c r="AF182" i="1"/>
  <c r="AH204" i="1"/>
  <c r="AM20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5" i="1"/>
  <c r="AM205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6" i="1"/>
  <c r="AM206" i="1"/>
  <c r="K185" i="1"/>
  <c r="L185" i="1"/>
  <c r="M185" i="1"/>
  <c r="N185" i="1" s="1"/>
  <c r="V185" i="1"/>
  <c r="Y185" i="1"/>
  <c r="Z185" i="1"/>
  <c r="AB185" i="1"/>
  <c r="AC185" i="1"/>
  <c r="AD185" i="1"/>
  <c r="AE185" i="1"/>
  <c r="R37" i="3" s="1"/>
  <c r="AF185" i="1"/>
  <c r="AH207" i="1"/>
  <c r="AM207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8" i="1"/>
  <c r="AM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0" i="1"/>
  <c r="AM210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1" i="1"/>
  <c r="AM21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2" i="1"/>
  <c r="AM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K192" i="1"/>
  <c r="L192" i="1"/>
  <c r="M192" i="1"/>
  <c r="N192" i="1" s="1"/>
  <c r="V192" i="1"/>
  <c r="Y192" i="1"/>
  <c r="Z192" i="1"/>
  <c r="AA192" i="1" s="1"/>
  <c r="AB192" i="1"/>
  <c r="AC192" i="1"/>
  <c r="AD192" i="1"/>
  <c r="AG192" i="1" s="1"/>
  <c r="AE192" i="1"/>
  <c r="AF192" i="1"/>
  <c r="AH214" i="1"/>
  <c r="AM21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5" i="1"/>
  <c r="AM21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6" i="1"/>
  <c r="AM21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7" i="1"/>
  <c r="AM217" i="1"/>
  <c r="K196" i="1"/>
  <c r="L196" i="1"/>
  <c r="M196" i="1"/>
  <c r="N196" i="1" s="1"/>
  <c r="V196" i="1"/>
  <c r="S29" i="3" s="1"/>
  <c r="Y196" i="1"/>
  <c r="Z196" i="1"/>
  <c r="AA196" i="1" s="1"/>
  <c r="W196" i="1" s="1"/>
  <c r="AB196" i="1"/>
  <c r="AC196" i="1"/>
  <c r="AD196" i="1"/>
  <c r="AG196" i="1" s="1"/>
  <c r="AE196" i="1"/>
  <c r="R29" i="3" s="1"/>
  <c r="AF196" i="1"/>
  <c r="AH218" i="1"/>
  <c r="AM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AM219" i="1"/>
  <c r="K198" i="1"/>
  <c r="L198" i="1"/>
  <c r="M198" i="1"/>
  <c r="N198" i="1" s="1"/>
  <c r="V198" i="1"/>
  <c r="Y198" i="1"/>
  <c r="Z198" i="1"/>
  <c r="AA198" i="1" s="1"/>
  <c r="W198" i="1" s="1"/>
  <c r="AB198" i="1"/>
  <c r="AC198" i="1"/>
  <c r="AD198" i="1"/>
  <c r="AG198" i="1" s="1"/>
  <c r="AE198" i="1"/>
  <c r="AF198" i="1"/>
  <c r="AH220" i="1"/>
  <c r="AM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2" i="1"/>
  <c r="AM22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3" i="1"/>
  <c r="AM223" i="1"/>
  <c r="K202" i="1"/>
  <c r="L202" i="1"/>
  <c r="M202" i="1"/>
  <c r="P202" i="1" s="1"/>
  <c r="V202" i="1"/>
  <c r="Y202" i="1"/>
  <c r="Z202" i="1"/>
  <c r="AB202" i="1"/>
  <c r="AC202" i="1"/>
  <c r="AD202" i="1"/>
  <c r="AG202" i="1" s="1"/>
  <c r="AE202" i="1"/>
  <c r="AF202" i="1"/>
  <c r="AH224" i="1"/>
  <c r="AM22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5" i="1"/>
  <c r="AM22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6" i="1"/>
  <c r="AM226" i="1"/>
  <c r="K218" i="1"/>
  <c r="L218" i="1"/>
  <c r="M218" i="1"/>
  <c r="N218" i="1" s="1"/>
  <c r="V218" i="1"/>
  <c r="S40" i="3" s="1"/>
  <c r="Y218" i="1"/>
  <c r="Z218" i="1"/>
  <c r="AB218" i="1"/>
  <c r="AC218" i="1"/>
  <c r="AD218" i="1"/>
  <c r="AE218" i="1"/>
  <c r="R41" i="3" s="1"/>
  <c r="AF218" i="1"/>
  <c r="AH227" i="1"/>
  <c r="AM22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8" i="1"/>
  <c r="AM22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9" i="1"/>
  <c r="AM229" i="1"/>
  <c r="K221" i="1"/>
  <c r="L221" i="1"/>
  <c r="M221" i="1"/>
  <c r="N221" i="1" s="1"/>
  <c r="V221" i="1"/>
  <c r="S38" i="3" s="1"/>
  <c r="Y221" i="1"/>
  <c r="Z221" i="1"/>
  <c r="AA221" i="1" s="1"/>
  <c r="W221" i="1" s="1"/>
  <c r="AB221" i="1"/>
  <c r="AC221" i="1"/>
  <c r="AD221" i="1"/>
  <c r="AG221" i="1" s="1"/>
  <c r="AE221" i="1"/>
  <c r="R38" i="3" s="1"/>
  <c r="AF221" i="1"/>
  <c r="AH230" i="1"/>
  <c r="AM23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1" i="1"/>
  <c r="AM231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2" i="1"/>
  <c r="AM232" i="1"/>
  <c r="M16" i="3"/>
  <c r="U16" i="3"/>
  <c r="T16" i="3" s="1"/>
  <c r="V16" i="3"/>
  <c r="W16" i="3"/>
  <c r="X16" i="3"/>
  <c r="AC16" i="3"/>
  <c r="M17" i="3"/>
  <c r="U17" i="3"/>
  <c r="V17" i="3"/>
  <c r="W17" i="3"/>
  <c r="X17" i="3"/>
  <c r="M27" i="3"/>
  <c r="U27" i="3"/>
  <c r="AC27" i="3" s="1"/>
  <c r="V27" i="3"/>
  <c r="W27" i="3"/>
  <c r="X27" i="3"/>
  <c r="M40" i="3"/>
  <c r="U40" i="3"/>
  <c r="AC40" i="3" s="1"/>
  <c r="V40" i="3"/>
  <c r="W40" i="3"/>
  <c r="X40" i="3"/>
  <c r="M41" i="3"/>
  <c r="U41" i="3"/>
  <c r="T41" i="3" s="1"/>
  <c r="V41" i="3"/>
  <c r="W41" i="3"/>
  <c r="X41" i="3"/>
  <c r="M18" i="3"/>
  <c r="R18" i="3"/>
  <c r="U18" i="3"/>
  <c r="V18" i="3"/>
  <c r="W18" i="3"/>
  <c r="X18" i="3"/>
  <c r="M11" i="3"/>
  <c r="U11" i="3"/>
  <c r="AC11" i="3" s="1"/>
  <c r="V11" i="3"/>
  <c r="W11" i="3"/>
  <c r="X11" i="3"/>
  <c r="M34" i="3"/>
  <c r="U34" i="3"/>
  <c r="AC34" i="3" s="1"/>
  <c r="V34" i="3"/>
  <c r="W34" i="3"/>
  <c r="X34" i="3"/>
  <c r="M35" i="3"/>
  <c r="R35" i="3"/>
  <c r="U35" i="3"/>
  <c r="T35" i="3" s="1"/>
  <c r="V35" i="3"/>
  <c r="W35" i="3"/>
  <c r="X35" i="3"/>
  <c r="AC35" i="3"/>
  <c r="M12" i="3"/>
  <c r="S12" i="3"/>
  <c r="U12" i="3"/>
  <c r="V12" i="3"/>
  <c r="W12" i="3"/>
  <c r="Y12" i="3" s="1"/>
  <c r="X12" i="3"/>
  <c r="M36" i="3"/>
  <c r="U36" i="3"/>
  <c r="AC36" i="3" s="1"/>
  <c r="V36" i="3"/>
  <c r="W36" i="3"/>
  <c r="X36" i="3"/>
  <c r="M19" i="3"/>
  <c r="U19" i="3"/>
  <c r="AC19" i="3" s="1"/>
  <c r="V19" i="3"/>
  <c r="W19" i="3"/>
  <c r="X19" i="3"/>
  <c r="M30" i="3"/>
  <c r="U30" i="3"/>
  <c r="V30" i="3"/>
  <c r="W30" i="3"/>
  <c r="X30" i="3"/>
  <c r="AC30" i="3"/>
  <c r="M9" i="3"/>
  <c r="S9" i="3"/>
  <c r="U9" i="3"/>
  <c r="V9" i="3"/>
  <c r="W9" i="3"/>
  <c r="X9" i="3"/>
  <c r="M7" i="3"/>
  <c r="U7" i="3"/>
  <c r="AC7" i="3" s="1"/>
  <c r="V7" i="3"/>
  <c r="W7" i="3"/>
  <c r="X7" i="3"/>
  <c r="M8" i="3"/>
  <c r="U8" i="3"/>
  <c r="AC8" i="3" s="1"/>
  <c r="V8" i="3"/>
  <c r="W8" i="3"/>
  <c r="X8" i="3"/>
  <c r="M20" i="3"/>
  <c r="U20" i="3"/>
  <c r="T20" i="3" s="1"/>
  <c r="V20" i="3"/>
  <c r="W20" i="3"/>
  <c r="X20" i="3"/>
  <c r="AC20" i="3"/>
  <c r="M10" i="3"/>
  <c r="U10" i="3"/>
  <c r="V10" i="3"/>
  <c r="W10" i="3"/>
  <c r="X10" i="3"/>
  <c r="M31" i="3"/>
  <c r="U31" i="3"/>
  <c r="AC31" i="3" s="1"/>
  <c r="V31" i="3"/>
  <c r="W31" i="3"/>
  <c r="X31" i="3"/>
  <c r="M32" i="3"/>
  <c r="U32" i="3"/>
  <c r="AC32" i="3" s="1"/>
  <c r="V32" i="3"/>
  <c r="W32" i="3"/>
  <c r="X32" i="3"/>
  <c r="M28" i="3"/>
  <c r="R28" i="3"/>
  <c r="U28" i="3"/>
  <c r="V28" i="3"/>
  <c r="W28" i="3"/>
  <c r="X28" i="3"/>
  <c r="AC28" i="3"/>
  <c r="M21" i="3"/>
  <c r="R21" i="3"/>
  <c r="U21" i="3"/>
  <c r="V21" i="3"/>
  <c r="W21" i="3"/>
  <c r="X21" i="3"/>
  <c r="M33" i="3"/>
  <c r="U33" i="3"/>
  <c r="AC33" i="3" s="1"/>
  <c r="V33" i="3"/>
  <c r="W33" i="3"/>
  <c r="Y33" i="3" s="1"/>
  <c r="X33" i="3"/>
  <c r="M13" i="3"/>
  <c r="S13" i="3"/>
  <c r="U13" i="3"/>
  <c r="AC13" i="3" s="1"/>
  <c r="V13" i="3"/>
  <c r="W13" i="3"/>
  <c r="X13" i="3"/>
  <c r="M14" i="3"/>
  <c r="S14" i="3"/>
  <c r="U14" i="3"/>
  <c r="T14" i="3" s="1"/>
  <c r="V14" i="3"/>
  <c r="W14" i="3"/>
  <c r="X14" i="3"/>
  <c r="AC14" i="3"/>
  <c r="M38" i="3"/>
  <c r="U38" i="3"/>
  <c r="AC38" i="3" s="1"/>
  <c r="V38" i="3"/>
  <c r="W38" i="3"/>
  <c r="X38" i="3"/>
  <c r="M22" i="3"/>
  <c r="S22" i="3"/>
  <c r="U22" i="3"/>
  <c r="AC22" i="3" s="1"/>
  <c r="V22" i="3"/>
  <c r="W22" i="3"/>
  <c r="X22" i="3"/>
  <c r="M23" i="3"/>
  <c r="U23" i="3"/>
  <c r="T23" i="3" s="1"/>
  <c r="V23" i="3"/>
  <c r="W23" i="3"/>
  <c r="X23" i="3"/>
  <c r="M24" i="3"/>
  <c r="R24" i="3"/>
  <c r="U24" i="3"/>
  <c r="V24" i="3"/>
  <c r="W24" i="3"/>
  <c r="X24" i="3"/>
  <c r="M37" i="3"/>
  <c r="S37" i="3"/>
  <c r="U37" i="3"/>
  <c r="AC37" i="3" s="1"/>
  <c r="V37" i="3"/>
  <c r="W37" i="3"/>
  <c r="X37" i="3"/>
  <c r="M39" i="3"/>
  <c r="U39" i="3"/>
  <c r="AC39" i="3" s="1"/>
  <c r="V39" i="3"/>
  <c r="W39" i="3"/>
  <c r="X39" i="3"/>
  <c r="M26" i="3"/>
  <c r="R26" i="3"/>
  <c r="U26" i="3"/>
  <c r="T26" i="3" s="1"/>
  <c r="V26" i="3"/>
  <c r="W26" i="3"/>
  <c r="X26" i="3"/>
  <c r="AC26" i="3"/>
  <c r="M29" i="3"/>
  <c r="U29" i="3"/>
  <c r="V29" i="3"/>
  <c r="W29" i="3"/>
  <c r="X29" i="3"/>
  <c r="M25" i="3"/>
  <c r="U25" i="3"/>
  <c r="AC25" i="3" s="1"/>
  <c r="V25" i="3"/>
  <c r="W25" i="3"/>
  <c r="X25" i="3"/>
  <c r="AD36" i="3" l="1"/>
  <c r="Y29" i="3"/>
  <c r="AC41" i="3"/>
  <c r="AC23" i="3"/>
  <c r="AD33" i="3"/>
  <c r="AG176" i="1"/>
  <c r="X176" i="1"/>
  <c r="Y38" i="3"/>
  <c r="AD14" i="3"/>
  <c r="AD39" i="3"/>
  <c r="S35" i="3"/>
  <c r="AG160" i="1"/>
  <c r="W160" i="1" s="1"/>
  <c r="X160" i="1"/>
  <c r="R8" i="3"/>
  <c r="Y27" i="3"/>
  <c r="AD22" i="3"/>
  <c r="AG155" i="1"/>
  <c r="X155" i="1"/>
  <c r="W154" i="1"/>
  <c r="AG154" i="1"/>
  <c r="X154" i="1"/>
  <c r="AD13" i="3"/>
  <c r="R40" i="3"/>
  <c r="AD28" i="3"/>
  <c r="Y17" i="3"/>
  <c r="AE36" i="3"/>
  <c r="Y18" i="3"/>
  <c r="X218" i="1"/>
  <c r="AA202" i="1"/>
  <c r="W202" i="1" s="1"/>
  <c r="X217" i="1"/>
  <c r="X215" i="1"/>
  <c r="AG86" i="1"/>
  <c r="AA49" i="1"/>
  <c r="AG47" i="1"/>
  <c r="U47" i="1" s="1"/>
  <c r="S47" i="1" s="1"/>
  <c r="W43" i="1"/>
  <c r="AD19" i="3"/>
  <c r="T19" i="3"/>
  <c r="Y11" i="3"/>
  <c r="R16" i="3"/>
  <c r="X175" i="1"/>
  <c r="Y25" i="3"/>
  <c r="Y24" i="3"/>
  <c r="Y10" i="3"/>
  <c r="T186" i="1"/>
  <c r="AA165" i="1"/>
  <c r="AI230" i="1"/>
  <c r="AI224" i="1"/>
  <c r="AA217" i="1"/>
  <c r="AA215" i="1"/>
  <c r="W215" i="1" s="1"/>
  <c r="T215" i="1"/>
  <c r="AA213" i="1"/>
  <c r="W213" i="1" s="1"/>
  <c r="AA150" i="1"/>
  <c r="AA146" i="1"/>
  <c r="AA142" i="1"/>
  <c r="AA138" i="1"/>
  <c r="AA134" i="1"/>
  <c r="AA127" i="1"/>
  <c r="W127" i="1" s="1"/>
  <c r="AA116" i="1"/>
  <c r="W116" i="1" s="1"/>
  <c r="T108" i="1"/>
  <c r="X107" i="1"/>
  <c r="AA106" i="1"/>
  <c r="W106" i="1" s="1"/>
  <c r="T105" i="1"/>
  <c r="X105" i="1"/>
  <c r="AA103" i="1"/>
  <c r="AA101" i="1"/>
  <c r="AA86" i="1"/>
  <c r="W86" i="1" s="1"/>
  <c r="AI57" i="1"/>
  <c r="AG43" i="1"/>
  <c r="AI43" i="1" s="1"/>
  <c r="AA36" i="1"/>
  <c r="W36" i="1" s="1"/>
  <c r="AA28" i="1"/>
  <c r="AA24" i="1"/>
  <c r="AA20" i="1"/>
  <c r="X59" i="1"/>
  <c r="Y20" i="3"/>
  <c r="S7" i="3"/>
  <c r="T184" i="1"/>
  <c r="AI232" i="1"/>
  <c r="T213" i="1"/>
  <c r="U213" i="1" s="1"/>
  <c r="S213" i="1" s="1"/>
  <c r="T116" i="1"/>
  <c r="X61" i="1"/>
  <c r="AD17" i="3"/>
  <c r="AD29" i="3"/>
  <c r="Y9" i="3"/>
  <c r="R9" i="3"/>
  <c r="Y34" i="3"/>
  <c r="Y40" i="3"/>
  <c r="Y16" i="3"/>
  <c r="X165" i="1"/>
  <c r="AI131" i="1"/>
  <c r="T118" i="1"/>
  <c r="X118" i="1"/>
  <c r="T91" i="1"/>
  <c r="X38" i="1"/>
  <c r="Y26" i="3"/>
  <c r="Y37" i="3"/>
  <c r="AD24" i="3"/>
  <c r="AE22" i="3"/>
  <c r="AE11" i="3"/>
  <c r="AD32" i="3"/>
  <c r="T32" i="3"/>
  <c r="Y7" i="3"/>
  <c r="Y36" i="3"/>
  <c r="X200" i="1"/>
  <c r="AA199" i="1"/>
  <c r="AI192" i="1"/>
  <c r="AA191" i="1"/>
  <c r="AA186" i="1"/>
  <c r="AA183" i="1"/>
  <c r="AA171" i="1"/>
  <c r="AA168" i="1"/>
  <c r="AA229" i="1"/>
  <c r="X211" i="1"/>
  <c r="X209" i="1"/>
  <c r="X207" i="1"/>
  <c r="AA122" i="1"/>
  <c r="AA118" i="1"/>
  <c r="AI99" i="1"/>
  <c r="AI95" i="1"/>
  <c r="AA91" i="1"/>
  <c r="W91" i="1" s="1"/>
  <c r="AA67" i="1"/>
  <c r="W67" i="1" s="1"/>
  <c r="AA59" i="1"/>
  <c r="W59" i="1" s="1"/>
  <c r="W49" i="1"/>
  <c r="AE31" i="3"/>
  <c r="R23" i="3"/>
  <c r="AD35" i="3"/>
  <c r="T40" i="3"/>
  <c r="S17" i="3"/>
  <c r="AA204" i="1"/>
  <c r="W204" i="1" s="1"/>
  <c r="AA200" i="1"/>
  <c r="W200" i="1" s="1"/>
  <c r="AI194" i="1"/>
  <c r="AA193" i="1"/>
  <c r="AI190" i="1"/>
  <c r="AA190" i="1"/>
  <c r="W190" i="1" s="1"/>
  <c r="AI188" i="1"/>
  <c r="AA173" i="1"/>
  <c r="X171" i="1"/>
  <c r="AA170" i="1"/>
  <c r="X167" i="1"/>
  <c r="AA166" i="1"/>
  <c r="AG165" i="1"/>
  <c r="W165" i="1" s="1"/>
  <c r="AA161" i="1"/>
  <c r="AA211" i="1"/>
  <c r="W211" i="1" s="1"/>
  <c r="T211" i="1"/>
  <c r="AA209" i="1"/>
  <c r="T209" i="1"/>
  <c r="AA207" i="1"/>
  <c r="W207" i="1" s="1"/>
  <c r="T207" i="1"/>
  <c r="AA205" i="1"/>
  <c r="AA133" i="1"/>
  <c r="AA131" i="1"/>
  <c r="W131" i="1" s="1"/>
  <c r="AA130" i="1"/>
  <c r="AA114" i="1"/>
  <c r="W114" i="1" s="1"/>
  <c r="AA108" i="1"/>
  <c r="W108" i="1" s="1"/>
  <c r="X99" i="1"/>
  <c r="AA93" i="1"/>
  <c r="W93" i="1" s="1"/>
  <c r="AA84" i="1"/>
  <c r="AA61" i="1"/>
  <c r="W61" i="1" s="1"/>
  <c r="AA51" i="1"/>
  <c r="W51" i="1" s="1"/>
  <c r="X45" i="1"/>
  <c r="AG42" i="1"/>
  <c r="AI42" i="1" s="1"/>
  <c r="AE13" i="3"/>
  <c r="X173" i="1"/>
  <c r="S41" i="3"/>
  <c r="X220" i="1"/>
  <c r="X202" i="1"/>
  <c r="AA195" i="1"/>
  <c r="T194" i="1"/>
  <c r="T192" i="1"/>
  <c r="AA188" i="1"/>
  <c r="W188" i="1" s="1"/>
  <c r="AA184" i="1"/>
  <c r="AA179" i="1"/>
  <c r="AG171" i="1"/>
  <c r="AA169" i="1"/>
  <c r="T167" i="1"/>
  <c r="AG167" i="1"/>
  <c r="W167" i="1" s="1"/>
  <c r="X231" i="1"/>
  <c r="AA223" i="1"/>
  <c r="W223" i="1" s="1"/>
  <c r="AA201" i="1"/>
  <c r="W201" i="1" s="1"/>
  <c r="X198" i="1"/>
  <c r="AA194" i="1"/>
  <c r="W194" i="1" s="1"/>
  <c r="X188" i="1"/>
  <c r="AA187" i="1"/>
  <c r="AA185" i="1"/>
  <c r="X182" i="1"/>
  <c r="AA178" i="1"/>
  <c r="AG169" i="1"/>
  <c r="X169" i="1"/>
  <c r="X213" i="1"/>
  <c r="AA16" i="1"/>
  <c r="AA227" i="1"/>
  <c r="W227" i="1" s="1"/>
  <c r="AA225" i="1"/>
  <c r="W225" i="1" s="1"/>
  <c r="X214" i="1"/>
  <c r="AA212" i="1"/>
  <c r="W212" i="1" s="1"/>
  <c r="T212" i="1"/>
  <c r="U212" i="1" s="1"/>
  <c r="S212" i="1" s="1"/>
  <c r="X153" i="1"/>
  <c r="X151" i="1"/>
  <c r="X149" i="1"/>
  <c r="X147" i="1"/>
  <c r="X145" i="1"/>
  <c r="X143" i="1"/>
  <c r="X141" i="1"/>
  <c r="X139" i="1"/>
  <c r="X137" i="1"/>
  <c r="X135" i="1"/>
  <c r="X130" i="1"/>
  <c r="AA129" i="1"/>
  <c r="W129" i="1" s="1"/>
  <c r="T129" i="1"/>
  <c r="AA123" i="1"/>
  <c r="W123" i="1" s="1"/>
  <c r="X121" i="1"/>
  <c r="AA112" i="1"/>
  <c r="T112" i="1"/>
  <c r="AG110" i="1"/>
  <c r="U110" i="1" s="1"/>
  <c r="S110" i="1" s="1"/>
  <c r="AA98" i="1"/>
  <c r="W98" i="1" s="1"/>
  <c r="AG94" i="1"/>
  <c r="W94" i="1" s="1"/>
  <c r="X94" i="1"/>
  <c r="AA83" i="1"/>
  <c r="W83" i="1" s="1"/>
  <c r="T83" i="1"/>
  <c r="U83" i="1" s="1"/>
  <c r="S83" i="1" s="1"/>
  <c r="AA76" i="1"/>
  <c r="AA69" i="1"/>
  <c r="W69" i="1" s="1"/>
  <c r="AA66" i="1"/>
  <c r="AA63" i="1"/>
  <c r="W63" i="1" s="1"/>
  <c r="AI61" i="1"/>
  <c r="AI59" i="1"/>
  <c r="AI55" i="1"/>
  <c r="AG54" i="1"/>
  <c r="U54" i="1" s="1"/>
  <c r="S54" i="1" s="1"/>
  <c r="AA53" i="1"/>
  <c r="W53" i="1" s="1"/>
  <c r="AA52" i="1"/>
  <c r="AA34" i="1"/>
  <c r="AA32" i="1"/>
  <c r="W32" i="1" s="1"/>
  <c r="AA29" i="1"/>
  <c r="W29" i="1" s="1"/>
  <c r="T29" i="1"/>
  <c r="U29" i="1" s="1"/>
  <c r="S29" i="1" s="1"/>
  <c r="AA27" i="1"/>
  <c r="T27" i="1"/>
  <c r="U27" i="1" s="1"/>
  <c r="S27" i="1" s="1"/>
  <c r="AA25" i="1"/>
  <c r="T25" i="1"/>
  <c r="U25" i="1" s="1"/>
  <c r="S25" i="1" s="1"/>
  <c r="AA23" i="1"/>
  <c r="T23" i="1"/>
  <c r="AA21" i="1"/>
  <c r="W21" i="1" s="1"/>
  <c r="T21" i="1"/>
  <c r="AA19" i="1"/>
  <c r="T19" i="1"/>
  <c r="U19" i="1" s="1"/>
  <c r="S19" i="1" s="1"/>
  <c r="AA17" i="1"/>
  <c r="W17" i="1" s="1"/>
  <c r="T17" i="1"/>
  <c r="U17" i="1" s="1"/>
  <c r="S17" i="1" s="1"/>
  <c r="X133" i="1"/>
  <c r="X125" i="1"/>
  <c r="X116" i="1"/>
  <c r="U108" i="1"/>
  <c r="X108" i="1"/>
  <c r="W101" i="1"/>
  <c r="X91" i="1"/>
  <c r="X86" i="1"/>
  <c r="AA164" i="1"/>
  <c r="W164" i="1" s="1"/>
  <c r="X227" i="1"/>
  <c r="AA214" i="1"/>
  <c r="W214" i="1" s="1"/>
  <c r="T214" i="1"/>
  <c r="U214" i="1" s="1"/>
  <c r="S214" i="1" s="1"/>
  <c r="X212" i="1"/>
  <c r="AA210" i="1"/>
  <c r="W210" i="1" s="1"/>
  <c r="AA208" i="1"/>
  <c r="AA206" i="1"/>
  <c r="T205" i="1"/>
  <c r="AA156" i="1"/>
  <c r="T156" i="1"/>
  <c r="U156" i="1" s="1"/>
  <c r="S156" i="1" s="1"/>
  <c r="AA153" i="1"/>
  <c r="T153" i="1"/>
  <c r="AA151" i="1"/>
  <c r="T151" i="1"/>
  <c r="U151" i="1" s="1"/>
  <c r="S151" i="1" s="1"/>
  <c r="AA149" i="1"/>
  <c r="W149" i="1" s="1"/>
  <c r="T149" i="1"/>
  <c r="AA147" i="1"/>
  <c r="W147" i="1" s="1"/>
  <c r="T147" i="1"/>
  <c r="U147" i="1" s="1"/>
  <c r="S147" i="1" s="1"/>
  <c r="AA145" i="1"/>
  <c r="W145" i="1" s="1"/>
  <c r="T145" i="1"/>
  <c r="AA143" i="1"/>
  <c r="W143" i="1" s="1"/>
  <c r="T143" i="1"/>
  <c r="U143" i="1" s="1"/>
  <c r="S143" i="1" s="1"/>
  <c r="AA141" i="1"/>
  <c r="W141" i="1" s="1"/>
  <c r="T141" i="1"/>
  <c r="AA139" i="1"/>
  <c r="T139" i="1"/>
  <c r="U139" i="1" s="1"/>
  <c r="S139" i="1" s="1"/>
  <c r="AA137" i="1"/>
  <c r="T137" i="1"/>
  <c r="AA135" i="1"/>
  <c r="T135" i="1"/>
  <c r="U135" i="1" s="1"/>
  <c r="S135" i="1" s="1"/>
  <c r="AG133" i="1"/>
  <c r="AI133" i="1" s="1"/>
  <c r="AA132" i="1"/>
  <c r="X131" i="1"/>
  <c r="X129" i="1"/>
  <c r="AI127" i="1"/>
  <c r="AA126" i="1"/>
  <c r="X122" i="1"/>
  <c r="AA121" i="1"/>
  <c r="W121" i="1" s="1"/>
  <c r="AA119" i="1"/>
  <c r="AA117" i="1"/>
  <c r="AA115" i="1"/>
  <c r="T114" i="1"/>
  <c r="U114" i="1" s="1"/>
  <c r="S114" i="1" s="1"/>
  <c r="AG112" i="1"/>
  <c r="U112" i="1" s="1"/>
  <c r="S112" i="1" s="1"/>
  <c r="AA110" i="1"/>
  <c r="W110" i="1" s="1"/>
  <c r="AA107" i="1"/>
  <c r="X103" i="1"/>
  <c r="AA99" i="1"/>
  <c r="W99" i="1" s="1"/>
  <c r="AA94" i="1"/>
  <c r="AA92" i="1"/>
  <c r="AA85" i="1"/>
  <c r="W85" i="1" s="1"/>
  <c r="X83" i="1"/>
  <c r="AG78" i="1"/>
  <c r="X78" i="1"/>
  <c r="AA65" i="1"/>
  <c r="W65" i="1" s="1"/>
  <c r="X53" i="1"/>
  <c r="AG52" i="1"/>
  <c r="AA47" i="1"/>
  <c r="W47" i="1" s="1"/>
  <c r="X43" i="1"/>
  <c r="AA40" i="1"/>
  <c r="X34" i="1"/>
  <c r="X29" i="1"/>
  <c r="X27" i="1"/>
  <c r="X25" i="1"/>
  <c r="X23" i="1"/>
  <c r="X21" i="1"/>
  <c r="X19" i="1"/>
  <c r="X17" i="1"/>
  <c r="X205" i="1"/>
  <c r="T180" i="1"/>
  <c r="X222" i="1"/>
  <c r="AA219" i="1"/>
  <c r="W219" i="1" s="1"/>
  <c r="X204" i="1"/>
  <c r="AA203" i="1"/>
  <c r="W203" i="1" s="1"/>
  <c r="T202" i="1"/>
  <c r="U202" i="1" s="1"/>
  <c r="S202" i="1" s="1"/>
  <c r="T198" i="1"/>
  <c r="U198" i="1" s="1"/>
  <c r="S198" i="1" s="1"/>
  <c r="AA197" i="1"/>
  <c r="X190" i="1"/>
  <c r="X186" i="1"/>
  <c r="T182" i="1"/>
  <c r="U182" i="1" s="1"/>
  <c r="S182" i="1" s="1"/>
  <c r="AA181" i="1"/>
  <c r="X178" i="1"/>
  <c r="T173" i="1"/>
  <c r="U173" i="1" s="1"/>
  <c r="S173" i="1" s="1"/>
  <c r="AA163" i="1"/>
  <c r="X162" i="1"/>
  <c r="AA159" i="1"/>
  <c r="W159" i="1" s="1"/>
  <c r="X232" i="1"/>
  <c r="AA230" i="1"/>
  <c r="W230" i="1" s="1"/>
  <c r="X228" i="1"/>
  <c r="AA226" i="1"/>
  <c r="X224" i="1"/>
  <c r="AA216" i="1"/>
  <c r="W216" i="1" s="1"/>
  <c r="T133" i="1"/>
  <c r="T131" i="1"/>
  <c r="AG128" i="1"/>
  <c r="AI128" i="1" s="1"/>
  <c r="X128" i="1"/>
  <c r="AI125" i="1"/>
  <c r="AA120" i="1"/>
  <c r="AG119" i="1"/>
  <c r="W119" i="1" s="1"/>
  <c r="X119" i="1"/>
  <c r="AG103" i="1"/>
  <c r="T103" i="1"/>
  <c r="T200" i="1"/>
  <c r="U200" i="1" s="1"/>
  <c r="S200" i="1" s="1"/>
  <c r="X196" i="1"/>
  <c r="T188" i="1"/>
  <c r="U188" i="1" s="1"/>
  <c r="S188" i="1" s="1"/>
  <c r="U169" i="1"/>
  <c r="S169" i="1" s="1"/>
  <c r="X163" i="1"/>
  <c r="X229" i="1"/>
  <c r="X225" i="1"/>
  <c r="U133" i="1"/>
  <c r="S133" i="1" s="1"/>
  <c r="U131" i="1"/>
  <c r="S131" i="1" s="1"/>
  <c r="X114" i="1"/>
  <c r="X110" i="1"/>
  <c r="T196" i="1"/>
  <c r="U196" i="1" s="1"/>
  <c r="S196" i="1" s="1"/>
  <c r="X221" i="1"/>
  <c r="X180" i="1"/>
  <c r="T175" i="1"/>
  <c r="U175" i="1" s="1"/>
  <c r="S175" i="1" s="1"/>
  <c r="AA220" i="1"/>
  <c r="U204" i="1"/>
  <c r="S204" i="1" s="1"/>
  <c r="T204" i="1"/>
  <c r="X194" i="1"/>
  <c r="T190" i="1"/>
  <c r="AA189" i="1"/>
  <c r="T178" i="1"/>
  <c r="AA177" i="1"/>
  <c r="AA162" i="1"/>
  <c r="W162" i="1" s="1"/>
  <c r="X159" i="1"/>
  <c r="AA232" i="1"/>
  <c r="X230" i="1"/>
  <c r="AA228" i="1"/>
  <c r="X226" i="1"/>
  <c r="AA224" i="1"/>
  <c r="X216" i="1"/>
  <c r="AI129" i="1"/>
  <c r="X126" i="1"/>
  <c r="AG124" i="1"/>
  <c r="X124" i="1"/>
  <c r="AI121" i="1"/>
  <c r="X120" i="1"/>
  <c r="AA105" i="1"/>
  <c r="W105" i="1" s="1"/>
  <c r="AI105" i="1"/>
  <c r="T104" i="1"/>
  <c r="X104" i="1"/>
  <c r="AG104" i="1"/>
  <c r="X69" i="1"/>
  <c r="T59" i="1"/>
  <c r="U59" i="1" s="1"/>
  <c r="S59" i="1" s="1"/>
  <c r="T55" i="1"/>
  <c r="U55" i="1" s="1"/>
  <c r="S55" i="1" s="1"/>
  <c r="T45" i="1"/>
  <c r="AA113" i="1"/>
  <c r="AA109" i="1"/>
  <c r="AA102" i="1"/>
  <c r="T101" i="1"/>
  <c r="U101" i="1" s="1"/>
  <c r="S101" i="1" s="1"/>
  <c r="AA100" i="1"/>
  <c r="T99" i="1"/>
  <c r="U99" i="1" s="1"/>
  <c r="S99" i="1" s="1"/>
  <c r="X97" i="1"/>
  <c r="AA95" i="1"/>
  <c r="W95" i="1" s="1"/>
  <c r="T95" i="1"/>
  <c r="AG90" i="1"/>
  <c r="U90" i="1" s="1"/>
  <c r="S90" i="1" s="1"/>
  <c r="X90" i="1"/>
  <c r="AA88" i="1"/>
  <c r="X87" i="1"/>
  <c r="AI85" i="1"/>
  <c r="AI83" i="1"/>
  <c r="AA81" i="1"/>
  <c r="W81" i="1" s="1"/>
  <c r="AA79" i="1"/>
  <c r="W79" i="1" s="1"/>
  <c r="T79" i="1"/>
  <c r="AG74" i="1"/>
  <c r="U74" i="1" s="1"/>
  <c r="X74" i="1"/>
  <c r="AA72" i="1"/>
  <c r="X71" i="1"/>
  <c r="T65" i="1"/>
  <c r="AA64" i="1"/>
  <c r="U63" i="1"/>
  <c r="S63" i="1" s="1"/>
  <c r="X57" i="1"/>
  <c r="AA56" i="1"/>
  <c r="X51" i="1"/>
  <c r="T49" i="1"/>
  <c r="U49" i="1" s="1"/>
  <c r="S49" i="1" s="1"/>
  <c r="AG48" i="1"/>
  <c r="U48" i="1" s="1"/>
  <c r="S48" i="1" s="1"/>
  <c r="X47" i="1"/>
  <c r="AG46" i="1"/>
  <c r="U46" i="1" s="1"/>
  <c r="AG45" i="1"/>
  <c r="W45" i="1" s="1"/>
  <c r="AA44" i="1"/>
  <c r="AA41" i="1"/>
  <c r="W41" i="1" s="1"/>
  <c r="X39" i="1"/>
  <c r="AA37" i="1"/>
  <c r="X35" i="1"/>
  <c r="AA33" i="1"/>
  <c r="W33" i="1" s="1"/>
  <c r="X31" i="1"/>
  <c r="AG15" i="1"/>
  <c r="U15" i="1" s="1"/>
  <c r="X15" i="1"/>
  <c r="U65" i="1"/>
  <c r="S65" i="1" s="1"/>
  <c r="X65" i="1"/>
  <c r="X55" i="1"/>
  <c r="T53" i="1"/>
  <c r="U53" i="1" s="1"/>
  <c r="S53" i="1" s="1"/>
  <c r="U43" i="1"/>
  <c r="S43" i="1" s="1"/>
  <c r="X40" i="1"/>
  <c r="X36" i="1"/>
  <c r="X32" i="1"/>
  <c r="AA14" i="1"/>
  <c r="AA111" i="1"/>
  <c r="X101" i="1"/>
  <c r="X95" i="1"/>
  <c r="AI93" i="1"/>
  <c r="AI91" i="1"/>
  <c r="AA90" i="1"/>
  <c r="W90" i="1" s="1"/>
  <c r="AA89" i="1"/>
  <c r="W89" i="1" s="1"/>
  <c r="AA87" i="1"/>
  <c r="W87" i="1" s="1"/>
  <c r="T87" i="1"/>
  <c r="AG82" i="1"/>
  <c r="AI82" i="1" s="1"/>
  <c r="X82" i="1"/>
  <c r="AA80" i="1"/>
  <c r="X79" i="1"/>
  <c r="AI77" i="1"/>
  <c r="AI75" i="1"/>
  <c r="AA73" i="1"/>
  <c r="W73" i="1" s="1"/>
  <c r="AA71" i="1"/>
  <c r="W71" i="1" s="1"/>
  <c r="T71" i="1"/>
  <c r="U71" i="1" s="1"/>
  <c r="S71" i="1" s="1"/>
  <c r="T69" i="1"/>
  <c r="U69" i="1" s="1"/>
  <c r="S69" i="1" s="1"/>
  <c r="AA68" i="1"/>
  <c r="U67" i="1"/>
  <c r="X67" i="1"/>
  <c r="T61" i="1"/>
  <c r="U61" i="1" s="1"/>
  <c r="S61" i="1" s="1"/>
  <c r="T57" i="1"/>
  <c r="U57" i="1" s="1"/>
  <c r="S57" i="1" s="1"/>
  <c r="AG56" i="1"/>
  <c r="U56" i="1" s="1"/>
  <c r="T51" i="1"/>
  <c r="U51" i="1" s="1"/>
  <c r="AG50" i="1"/>
  <c r="U50" i="1" s="1"/>
  <c r="S50" i="1" s="1"/>
  <c r="X49" i="1"/>
  <c r="AA48" i="1"/>
  <c r="AA46" i="1"/>
  <c r="W46" i="1" s="1"/>
  <c r="AG44" i="1"/>
  <c r="U44" i="1" s="1"/>
  <c r="S44" i="1" s="1"/>
  <c r="X42" i="1"/>
  <c r="X41" i="1"/>
  <c r="AA39" i="1"/>
  <c r="W39" i="1" s="1"/>
  <c r="X37" i="1"/>
  <c r="AA35" i="1"/>
  <c r="X33" i="1"/>
  <c r="AA31" i="1"/>
  <c r="W31" i="1" s="1"/>
  <c r="AA15" i="1"/>
  <c r="X223" i="1"/>
  <c r="T220" i="1"/>
  <c r="X219" i="1"/>
  <c r="T203" i="1"/>
  <c r="U203" i="1" s="1"/>
  <c r="S203" i="1" s="1"/>
  <c r="X203" i="1"/>
  <c r="T201" i="1"/>
  <c r="U201" i="1" s="1"/>
  <c r="S201" i="1" s="1"/>
  <c r="X201" i="1"/>
  <c r="T195" i="1"/>
  <c r="X195" i="1"/>
  <c r="AG195" i="1"/>
  <c r="W195" i="1" s="1"/>
  <c r="W192" i="1"/>
  <c r="AI212" i="1"/>
  <c r="U190" i="1"/>
  <c r="S190" i="1" s="1"/>
  <c r="T187" i="1"/>
  <c r="X187" i="1"/>
  <c r="AG187" i="1"/>
  <c r="AI187" i="1" s="1"/>
  <c r="W184" i="1"/>
  <c r="AI204" i="1"/>
  <c r="T179" i="1"/>
  <c r="X179" i="1"/>
  <c r="AG179" i="1"/>
  <c r="W175" i="1"/>
  <c r="AI196" i="1"/>
  <c r="T218" i="1"/>
  <c r="AG199" i="1"/>
  <c r="W199" i="1" s="1"/>
  <c r="T199" i="1"/>
  <c r="X199" i="1"/>
  <c r="AA222" i="1"/>
  <c r="T221" i="1"/>
  <c r="U221" i="1" s="1"/>
  <c r="S221" i="1" s="1"/>
  <c r="AG220" i="1"/>
  <c r="AA218" i="1"/>
  <c r="AI225" i="1"/>
  <c r="AI223" i="1"/>
  <c r="AG197" i="1"/>
  <c r="T197" i="1"/>
  <c r="X197" i="1"/>
  <c r="AI214" i="1"/>
  <c r="U192" i="1"/>
  <c r="S192" i="1" s="1"/>
  <c r="T189" i="1"/>
  <c r="X189" i="1"/>
  <c r="AG189" i="1"/>
  <c r="W186" i="1"/>
  <c r="U184" i="1"/>
  <c r="S184" i="1" s="1"/>
  <c r="T181" i="1"/>
  <c r="X181" i="1"/>
  <c r="AG181" i="1"/>
  <c r="AI181" i="1" s="1"/>
  <c r="W178" i="1"/>
  <c r="AI198" i="1"/>
  <c r="AI216" i="1"/>
  <c r="U194" i="1"/>
  <c r="S194" i="1" s="1"/>
  <c r="T191" i="1"/>
  <c r="X191" i="1"/>
  <c r="AG191" i="1"/>
  <c r="U186" i="1"/>
  <c r="S186" i="1" s="1"/>
  <c r="T183" i="1"/>
  <c r="X183" i="1"/>
  <c r="AG183" i="1"/>
  <c r="W183" i="1" s="1"/>
  <c r="AI200" i="1"/>
  <c r="U178" i="1"/>
  <c r="S178" i="1" s="1"/>
  <c r="T222" i="1"/>
  <c r="T223" i="1"/>
  <c r="U223" i="1" s="1"/>
  <c r="S223" i="1" s="1"/>
  <c r="AG222" i="1"/>
  <c r="AI222" i="1" s="1"/>
  <c r="T219" i="1"/>
  <c r="U219" i="1" s="1"/>
  <c r="S219" i="1" s="1"/>
  <c r="AG218" i="1"/>
  <c r="AI218" i="1" s="1"/>
  <c r="T193" i="1"/>
  <c r="X193" i="1"/>
  <c r="AG193" i="1"/>
  <c r="X192" i="1"/>
  <c r="T185" i="1"/>
  <c r="X185" i="1"/>
  <c r="AG185" i="1"/>
  <c r="AI185" i="1" s="1"/>
  <c r="X184" i="1"/>
  <c r="AI202" i="1"/>
  <c r="U180" i="1"/>
  <c r="S180" i="1" s="1"/>
  <c r="W173" i="1"/>
  <c r="X164" i="1"/>
  <c r="AI184" i="1"/>
  <c r="AI182" i="1"/>
  <c r="AI180" i="1"/>
  <c r="AI179" i="1"/>
  <c r="AI178" i="1"/>
  <c r="AI175" i="1"/>
  <c r="AI173" i="1"/>
  <c r="AI171" i="1"/>
  <c r="U215" i="1"/>
  <c r="S215" i="1" s="1"/>
  <c r="AI169" i="1"/>
  <c r="AI167" i="1"/>
  <c r="U211" i="1"/>
  <c r="S211" i="1" s="1"/>
  <c r="AI165" i="1"/>
  <c r="T210" i="1"/>
  <c r="X210" i="1"/>
  <c r="AG210" i="1"/>
  <c r="AI210" i="1" s="1"/>
  <c r="U207" i="1"/>
  <c r="S207" i="1" s="1"/>
  <c r="AI161" i="1"/>
  <c r="AI156" i="1"/>
  <c r="AI151" i="1"/>
  <c r="AI147" i="1"/>
  <c r="AI143" i="1"/>
  <c r="AI139" i="1"/>
  <c r="AI135" i="1"/>
  <c r="W209" i="1"/>
  <c r="W205" i="1"/>
  <c r="W153" i="1"/>
  <c r="W137" i="1"/>
  <c r="AG177" i="1"/>
  <c r="AI177" i="1" s="1"/>
  <c r="AG174" i="1"/>
  <c r="AI174" i="1" s="1"/>
  <c r="AG172" i="1"/>
  <c r="AI172" i="1" s="1"/>
  <c r="AG170" i="1"/>
  <c r="W170" i="1" s="1"/>
  <c r="AG168" i="1"/>
  <c r="AG166" i="1"/>
  <c r="AI166" i="1" s="1"/>
  <c r="T163" i="1"/>
  <c r="U209" i="1"/>
  <c r="S209" i="1" s="1"/>
  <c r="T208" i="1"/>
  <c r="X208" i="1"/>
  <c r="AG208" i="1"/>
  <c r="AI208" i="1" s="1"/>
  <c r="U205" i="1"/>
  <c r="S205" i="1" s="1"/>
  <c r="AI158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X174" i="1"/>
  <c r="X172" i="1"/>
  <c r="X170" i="1"/>
  <c r="X168" i="1"/>
  <c r="X166" i="1"/>
  <c r="U165" i="1"/>
  <c r="S165" i="1" s="1"/>
  <c r="T164" i="1"/>
  <c r="U164" i="1" s="1"/>
  <c r="S164" i="1" s="1"/>
  <c r="AG163" i="1"/>
  <c r="T162" i="1"/>
  <c r="U162" i="1" s="1"/>
  <c r="S162" i="1" s="1"/>
  <c r="W161" i="1"/>
  <c r="T161" i="1"/>
  <c r="U161" i="1" s="1"/>
  <c r="S161" i="1" s="1"/>
  <c r="T159" i="1"/>
  <c r="U159" i="1" s="1"/>
  <c r="S159" i="1" s="1"/>
  <c r="W158" i="1"/>
  <c r="T158" i="1"/>
  <c r="U158" i="1" s="1"/>
  <c r="S158" i="1" s="1"/>
  <c r="W232" i="1"/>
  <c r="T232" i="1"/>
  <c r="U232" i="1" s="1"/>
  <c r="S232" i="1" s="1"/>
  <c r="W231" i="1"/>
  <c r="T231" i="1"/>
  <c r="U231" i="1" s="1"/>
  <c r="S231" i="1" s="1"/>
  <c r="T230" i="1"/>
  <c r="U230" i="1" s="1"/>
  <c r="S230" i="1" s="1"/>
  <c r="W229" i="1"/>
  <c r="T229" i="1"/>
  <c r="U229" i="1" s="1"/>
  <c r="S229" i="1" s="1"/>
  <c r="W228" i="1"/>
  <c r="T228" i="1"/>
  <c r="U228" i="1" s="1"/>
  <c r="S228" i="1" s="1"/>
  <c r="T227" i="1"/>
  <c r="U227" i="1" s="1"/>
  <c r="S227" i="1" s="1"/>
  <c r="W226" i="1"/>
  <c r="T226" i="1"/>
  <c r="U226" i="1" s="1"/>
  <c r="S226" i="1" s="1"/>
  <c r="T225" i="1"/>
  <c r="U225" i="1" s="1"/>
  <c r="S225" i="1" s="1"/>
  <c r="W224" i="1"/>
  <c r="T224" i="1"/>
  <c r="U224" i="1" s="1"/>
  <c r="S224" i="1" s="1"/>
  <c r="W217" i="1"/>
  <c r="T217" i="1"/>
  <c r="U217" i="1" s="1"/>
  <c r="S217" i="1" s="1"/>
  <c r="T216" i="1"/>
  <c r="U216" i="1" s="1"/>
  <c r="S216" i="1" s="1"/>
  <c r="W156" i="1"/>
  <c r="W151" i="1"/>
  <c r="W139" i="1"/>
  <c r="W135" i="1"/>
  <c r="AI124" i="1"/>
  <c r="AG206" i="1"/>
  <c r="AG157" i="1"/>
  <c r="AG152" i="1"/>
  <c r="AG150" i="1"/>
  <c r="W150" i="1" s="1"/>
  <c r="AG148" i="1"/>
  <c r="AG146" i="1"/>
  <c r="AG144" i="1"/>
  <c r="AG142" i="1"/>
  <c r="AG140" i="1"/>
  <c r="AG138" i="1"/>
  <c r="AG136" i="1"/>
  <c r="AG134" i="1"/>
  <c r="W134" i="1" s="1"/>
  <c r="AG132" i="1"/>
  <c r="W132" i="1" s="1"/>
  <c r="AG130" i="1"/>
  <c r="T130" i="1"/>
  <c r="T126" i="1"/>
  <c r="T122" i="1"/>
  <c r="U116" i="1"/>
  <c r="S116" i="1" s="1"/>
  <c r="AI116" i="1"/>
  <c r="X206" i="1"/>
  <c r="X157" i="1"/>
  <c r="X152" i="1"/>
  <c r="X150" i="1"/>
  <c r="X148" i="1"/>
  <c r="X146" i="1"/>
  <c r="X144" i="1"/>
  <c r="X142" i="1"/>
  <c r="X140" i="1"/>
  <c r="X138" i="1"/>
  <c r="X136" i="1"/>
  <c r="X134" i="1"/>
  <c r="X132" i="1"/>
  <c r="AA128" i="1"/>
  <c r="T127" i="1"/>
  <c r="U127" i="1" s="1"/>
  <c r="S127" i="1" s="1"/>
  <c r="AG126" i="1"/>
  <c r="W126" i="1" s="1"/>
  <c r="AA124" i="1"/>
  <c r="W124" i="1" s="1"/>
  <c r="U124" i="1"/>
  <c r="S124" i="1" s="1"/>
  <c r="T123" i="1"/>
  <c r="U123" i="1" s="1"/>
  <c r="S123" i="1" s="1"/>
  <c r="AG122" i="1"/>
  <c r="T121" i="1"/>
  <c r="U121" i="1" s="1"/>
  <c r="S121" i="1" s="1"/>
  <c r="W120" i="1"/>
  <c r="T120" i="1"/>
  <c r="U120" i="1" s="1"/>
  <c r="S120" i="1" s="1"/>
  <c r="T119" i="1"/>
  <c r="W118" i="1"/>
  <c r="AI100" i="1"/>
  <c r="U129" i="1"/>
  <c r="S129" i="1" s="1"/>
  <c r="X127" i="1"/>
  <c r="U125" i="1"/>
  <c r="S125" i="1" s="1"/>
  <c r="X123" i="1"/>
  <c r="AI120" i="1"/>
  <c r="U118" i="1"/>
  <c r="S118" i="1" s="1"/>
  <c r="AI118" i="1"/>
  <c r="T117" i="1"/>
  <c r="X117" i="1"/>
  <c r="AG117" i="1"/>
  <c r="W117" i="1" s="1"/>
  <c r="AI114" i="1"/>
  <c r="U104" i="1"/>
  <c r="S104" i="1" s="1"/>
  <c r="AG115" i="1"/>
  <c r="W115" i="1" s="1"/>
  <c r="AG113" i="1"/>
  <c r="AG111" i="1"/>
  <c r="AI110" i="1"/>
  <c r="AG109" i="1"/>
  <c r="W109" i="1" s="1"/>
  <c r="AI108" i="1"/>
  <c r="S108" i="1"/>
  <c r="AG107" i="1"/>
  <c r="T107" i="1"/>
  <c r="AG106" i="1"/>
  <c r="X106" i="1"/>
  <c r="AA104" i="1"/>
  <c r="W104" i="1" s="1"/>
  <c r="AG102" i="1"/>
  <c r="W102" i="1" s="1"/>
  <c r="U97" i="1"/>
  <c r="S97" i="1" s="1"/>
  <c r="U78" i="1"/>
  <c r="S78" i="1" s="1"/>
  <c r="X115" i="1"/>
  <c r="X113" i="1"/>
  <c r="X111" i="1"/>
  <c r="X109" i="1"/>
  <c r="U105" i="1"/>
  <c r="S105" i="1" s="1"/>
  <c r="AI58" i="1"/>
  <c r="AI104" i="1"/>
  <c r="W100" i="1"/>
  <c r="T98" i="1"/>
  <c r="U98" i="1" s="1"/>
  <c r="S98" i="1" s="1"/>
  <c r="X98" i="1"/>
  <c r="U86" i="1"/>
  <c r="S86" i="1" s="1"/>
  <c r="U70" i="1"/>
  <c r="S70" i="1" s="1"/>
  <c r="T102" i="1"/>
  <c r="X102" i="1"/>
  <c r="T100" i="1"/>
  <c r="U100" i="1" s="1"/>
  <c r="S100" i="1" s="1"/>
  <c r="X100" i="1"/>
  <c r="AI98" i="1"/>
  <c r="X96" i="1"/>
  <c r="T93" i="1"/>
  <c r="U93" i="1" s="1"/>
  <c r="S93" i="1" s="1"/>
  <c r="AG92" i="1"/>
  <c r="X92" i="1"/>
  <c r="T89" i="1"/>
  <c r="U89" i="1" s="1"/>
  <c r="S89" i="1" s="1"/>
  <c r="AG88" i="1"/>
  <c r="X88" i="1"/>
  <c r="T85" i="1"/>
  <c r="U85" i="1" s="1"/>
  <c r="S85" i="1" s="1"/>
  <c r="AG84" i="1"/>
  <c r="X84" i="1"/>
  <c r="AA82" i="1"/>
  <c r="T81" i="1"/>
  <c r="U81" i="1" s="1"/>
  <c r="S81" i="1" s="1"/>
  <c r="AG80" i="1"/>
  <c r="X80" i="1"/>
  <c r="AA78" i="1"/>
  <c r="W78" i="1" s="1"/>
  <c r="T77" i="1"/>
  <c r="U77" i="1" s="1"/>
  <c r="S77" i="1" s="1"/>
  <c r="AG76" i="1"/>
  <c r="X76" i="1"/>
  <c r="AA74" i="1"/>
  <c r="W74" i="1" s="1"/>
  <c r="T73" i="1"/>
  <c r="U73" i="1" s="1"/>
  <c r="S73" i="1" s="1"/>
  <c r="AG72" i="1"/>
  <c r="X72" i="1"/>
  <c r="AA70" i="1"/>
  <c r="W70" i="1" s="1"/>
  <c r="AG68" i="1"/>
  <c r="W68" i="1" s="1"/>
  <c r="AG66" i="1"/>
  <c r="W66" i="1" s="1"/>
  <c r="AG64" i="1"/>
  <c r="AG62" i="1"/>
  <c r="W62" i="1" s="1"/>
  <c r="AG60" i="1"/>
  <c r="AA54" i="1"/>
  <c r="AI50" i="1"/>
  <c r="U95" i="1"/>
  <c r="S95" i="1" s="1"/>
  <c r="X93" i="1"/>
  <c r="U91" i="1"/>
  <c r="S91" i="1" s="1"/>
  <c r="X89" i="1"/>
  <c r="U87" i="1"/>
  <c r="S87" i="1" s="1"/>
  <c r="X85" i="1"/>
  <c r="X81" i="1"/>
  <c r="U79" i="1"/>
  <c r="S79" i="1" s="1"/>
  <c r="X77" i="1"/>
  <c r="U75" i="1"/>
  <c r="S75" i="1" s="1"/>
  <c r="X73" i="1"/>
  <c r="S67" i="1"/>
  <c r="AI52" i="1"/>
  <c r="AI44" i="1"/>
  <c r="AI29" i="1"/>
  <c r="AI25" i="1"/>
  <c r="U21" i="1"/>
  <c r="S21" i="1" s="1"/>
  <c r="AI21" i="1"/>
  <c r="AI17" i="1"/>
  <c r="W92" i="1"/>
  <c r="AI86" i="1"/>
  <c r="W84" i="1"/>
  <c r="W80" i="1"/>
  <c r="AI78" i="1"/>
  <c r="S74" i="1"/>
  <c r="AI74" i="1"/>
  <c r="AI70" i="1"/>
  <c r="AA60" i="1"/>
  <c r="AA58" i="1"/>
  <c r="W58" i="1" s="1"/>
  <c r="U52" i="1"/>
  <c r="AA50" i="1"/>
  <c r="W50" i="1" s="1"/>
  <c r="S46" i="1"/>
  <c r="AI46" i="1"/>
  <c r="AA42" i="1"/>
  <c r="W42" i="1" s="1"/>
  <c r="AG96" i="1"/>
  <c r="T68" i="1"/>
  <c r="X68" i="1"/>
  <c r="T66" i="1"/>
  <c r="X66" i="1"/>
  <c r="T64" i="1"/>
  <c r="X64" i="1"/>
  <c r="T62" i="1"/>
  <c r="T60" i="1"/>
  <c r="T58" i="1"/>
  <c r="U58" i="1" s="1"/>
  <c r="S58" i="1" s="1"/>
  <c r="X58" i="1"/>
  <c r="S56" i="1"/>
  <c r="AI56" i="1"/>
  <c r="W25" i="1"/>
  <c r="X56" i="1"/>
  <c r="X54" i="1"/>
  <c r="X52" i="1"/>
  <c r="X50" i="1"/>
  <c r="X48" i="1"/>
  <c r="X46" i="1"/>
  <c r="X44" i="1"/>
  <c r="T41" i="1"/>
  <c r="U41" i="1" s="1"/>
  <c r="S41" i="1" s="1"/>
  <c r="W40" i="1"/>
  <c r="T40" i="1"/>
  <c r="U40" i="1" s="1"/>
  <c r="S40" i="1" s="1"/>
  <c r="T39" i="1"/>
  <c r="U39" i="1" s="1"/>
  <c r="S39" i="1" s="1"/>
  <c r="W38" i="1"/>
  <c r="T38" i="1"/>
  <c r="U38" i="1" s="1"/>
  <c r="S38" i="1" s="1"/>
  <c r="W37" i="1"/>
  <c r="T37" i="1"/>
  <c r="U37" i="1" s="1"/>
  <c r="S37" i="1" s="1"/>
  <c r="T36" i="1"/>
  <c r="U36" i="1" s="1"/>
  <c r="S36" i="1" s="1"/>
  <c r="W35" i="1"/>
  <c r="T35" i="1"/>
  <c r="U35" i="1" s="1"/>
  <c r="S35" i="1" s="1"/>
  <c r="W34" i="1"/>
  <c r="T34" i="1"/>
  <c r="U34" i="1" s="1"/>
  <c r="S34" i="1" s="1"/>
  <c r="T33" i="1"/>
  <c r="U33" i="1" s="1"/>
  <c r="S33" i="1" s="1"/>
  <c r="T32" i="1"/>
  <c r="U32" i="1" s="1"/>
  <c r="S32" i="1" s="1"/>
  <c r="T31" i="1"/>
  <c r="U31" i="1" s="1"/>
  <c r="S31" i="1" s="1"/>
  <c r="W27" i="1"/>
  <c r="W23" i="1"/>
  <c r="W19" i="1"/>
  <c r="AI40" i="1"/>
  <c r="AI39" i="1"/>
  <c r="AI38" i="1"/>
  <c r="AI37" i="1"/>
  <c r="AI36" i="1"/>
  <c r="AI35" i="1"/>
  <c r="AI34" i="1"/>
  <c r="AI33" i="1"/>
  <c r="AI32" i="1"/>
  <c r="AI31" i="1"/>
  <c r="T30" i="1"/>
  <c r="X30" i="1"/>
  <c r="AG30" i="1"/>
  <c r="W30" i="1" s="1"/>
  <c r="AI27" i="1"/>
  <c r="U23" i="1"/>
  <c r="S23" i="1" s="1"/>
  <c r="AI23" i="1"/>
  <c r="AI19" i="1"/>
  <c r="AG28" i="1"/>
  <c r="AG26" i="1"/>
  <c r="AG24" i="1"/>
  <c r="AG22" i="1"/>
  <c r="W22" i="1" s="1"/>
  <c r="AG20" i="1"/>
  <c r="AG18" i="1"/>
  <c r="AG16" i="1"/>
  <c r="S15" i="1"/>
  <c r="AG14" i="1"/>
  <c r="W14" i="1" s="1"/>
  <c r="X28" i="1"/>
  <c r="X26" i="1"/>
  <c r="X24" i="1"/>
  <c r="X22" i="1"/>
  <c r="X20" i="1"/>
  <c r="X18" i="1"/>
  <c r="X16" i="1"/>
  <c r="AC29" i="3"/>
  <c r="AD31" i="3"/>
  <c r="AE7" i="3"/>
  <c r="AE40" i="3"/>
  <c r="AD26" i="3"/>
  <c r="AE26" i="3"/>
  <c r="T22" i="3"/>
  <c r="Y13" i="3"/>
  <c r="AD20" i="3"/>
  <c r="T8" i="3"/>
  <c r="T11" i="3"/>
  <c r="AD18" i="3"/>
  <c r="Y41" i="3"/>
  <c r="AD40" i="3"/>
  <c r="AD16" i="3"/>
  <c r="AD7" i="3"/>
  <c r="Y39" i="3"/>
  <c r="Y22" i="3"/>
  <c r="Y21" i="3"/>
  <c r="Y31" i="3"/>
  <c r="Y8" i="3"/>
  <c r="AD30" i="3"/>
  <c r="Y35" i="3"/>
  <c r="AD41" i="3"/>
  <c r="T39" i="3"/>
  <c r="AD23" i="3"/>
  <c r="AE23" i="3"/>
  <c r="Y14" i="3"/>
  <c r="AE33" i="3"/>
  <c r="AC21" i="3"/>
  <c r="T28" i="3"/>
  <c r="Y32" i="3"/>
  <c r="AE10" i="3"/>
  <c r="AD8" i="3"/>
  <c r="AE8" i="3"/>
  <c r="T7" i="3"/>
  <c r="T30" i="3"/>
  <c r="Y19" i="3"/>
  <c r="AE12" i="3"/>
  <c r="T34" i="3"/>
  <c r="T27" i="3"/>
  <c r="Y28" i="3"/>
  <c r="Y30" i="3"/>
  <c r="AE39" i="3"/>
  <c r="AC24" i="3"/>
  <c r="T13" i="3"/>
  <c r="AE32" i="3"/>
  <c r="T31" i="3"/>
  <c r="AE9" i="3"/>
  <c r="AE19" i="3"/>
  <c r="T36" i="3"/>
  <c r="AE27" i="3"/>
  <c r="Y23" i="3"/>
  <c r="AC10" i="3"/>
  <c r="AC9" i="3"/>
  <c r="AC12" i="3"/>
  <c r="AC18" i="3"/>
  <c r="AC17" i="3"/>
  <c r="AE37" i="3"/>
  <c r="AE38" i="3"/>
  <c r="T38" i="3"/>
  <c r="AE25" i="3"/>
  <c r="T25" i="3"/>
  <c r="T37" i="3"/>
  <c r="AE21" i="3"/>
  <c r="T33" i="3"/>
  <c r="AD25" i="3"/>
  <c r="AE29" i="3"/>
  <c r="T29" i="3"/>
  <c r="AD37" i="3"/>
  <c r="AE24" i="3"/>
  <c r="T24" i="3"/>
  <c r="AD38" i="3"/>
  <c r="AE14" i="3"/>
  <c r="AD21" i="3"/>
  <c r="AE28" i="3"/>
  <c r="T21" i="3"/>
  <c r="AD10" i="3"/>
  <c r="AE20" i="3"/>
  <c r="T10" i="3"/>
  <c r="AD9" i="3"/>
  <c r="AE30" i="3"/>
  <c r="T9" i="3"/>
  <c r="AD12" i="3"/>
  <c r="AE35" i="3"/>
  <c r="T12" i="3"/>
  <c r="AD11" i="3"/>
  <c r="AE18" i="3"/>
  <c r="T18" i="3"/>
  <c r="AD27" i="3"/>
  <c r="AE17" i="3"/>
  <c r="T17" i="3"/>
  <c r="AE41" i="3"/>
  <c r="AE16" i="3"/>
  <c r="AI176" i="1" l="1"/>
  <c r="U176" i="1"/>
  <c r="S176" i="1" s="1"/>
  <c r="W176" i="1"/>
  <c r="AI160" i="1"/>
  <c r="U160" i="1"/>
  <c r="S160" i="1" s="1"/>
  <c r="U155" i="1"/>
  <c r="S155" i="1" s="1"/>
  <c r="AI155" i="1"/>
  <c r="W155" i="1"/>
  <c r="U154" i="1"/>
  <c r="S154" i="1" s="1"/>
  <c r="AI154" i="1"/>
  <c r="AI119" i="1"/>
  <c r="W142" i="1"/>
  <c r="AI15" i="1"/>
  <c r="AI48" i="1"/>
  <c r="AI90" i="1"/>
  <c r="U94" i="1"/>
  <c r="S94" i="1" s="1"/>
  <c r="W111" i="1"/>
  <c r="U119" i="1"/>
  <c r="S119" i="1" s="1"/>
  <c r="U128" i="1"/>
  <c r="S128" i="1" s="1"/>
  <c r="W191" i="1"/>
  <c r="W179" i="1"/>
  <c r="W60" i="1"/>
  <c r="AI94" i="1"/>
  <c r="W48" i="1"/>
  <c r="W82" i="1"/>
  <c r="AI54" i="1"/>
  <c r="W54" i="1"/>
  <c r="W72" i="1"/>
  <c r="W76" i="1"/>
  <c r="W113" i="1"/>
  <c r="W128" i="1"/>
  <c r="W168" i="1"/>
  <c r="W220" i="1"/>
  <c r="W15" i="1"/>
  <c r="AI47" i="1"/>
  <c r="W56" i="1"/>
  <c r="W52" i="1"/>
  <c r="U42" i="1"/>
  <c r="S42" i="1" s="1"/>
  <c r="W88" i="1"/>
  <c r="U82" i="1"/>
  <c r="S82" i="1" s="1"/>
  <c r="W206" i="1"/>
  <c r="W189" i="1"/>
  <c r="U167" i="1"/>
  <c r="S167" i="1" s="1"/>
  <c r="AI112" i="1"/>
  <c r="W163" i="1"/>
  <c r="W171" i="1"/>
  <c r="S51" i="1"/>
  <c r="W64" i="1"/>
  <c r="W187" i="1"/>
  <c r="W181" i="1"/>
  <c r="U171" i="1"/>
  <c r="S171" i="1" s="1"/>
  <c r="AI168" i="1"/>
  <c r="W169" i="1"/>
  <c r="W112" i="1"/>
  <c r="W185" i="1"/>
  <c r="W133" i="1"/>
  <c r="AI163" i="1"/>
  <c r="W208" i="1"/>
  <c r="W166" i="1"/>
  <c r="AI206" i="1"/>
  <c r="AI170" i="1"/>
  <c r="AI183" i="1"/>
  <c r="U103" i="1"/>
  <c r="S103" i="1" s="1"/>
  <c r="AI103" i="1"/>
  <c r="W44" i="1"/>
  <c r="W103" i="1"/>
  <c r="AI220" i="1"/>
  <c r="U45" i="1"/>
  <c r="S45" i="1" s="1"/>
  <c r="AI45" i="1"/>
  <c r="U96" i="1"/>
  <c r="S96" i="1" s="1"/>
  <c r="AI96" i="1"/>
  <c r="AI60" i="1"/>
  <c r="U60" i="1"/>
  <c r="S60" i="1" s="1"/>
  <c r="U107" i="1"/>
  <c r="S107" i="1" s="1"/>
  <c r="AI107" i="1"/>
  <c r="AI130" i="1"/>
  <c r="U130" i="1"/>
  <c r="S130" i="1" s="1"/>
  <c r="AI138" i="1"/>
  <c r="U138" i="1"/>
  <c r="S138" i="1" s="1"/>
  <c r="AI146" i="1"/>
  <c r="U146" i="1"/>
  <c r="S146" i="1" s="1"/>
  <c r="U172" i="1"/>
  <c r="S172" i="1" s="1"/>
  <c r="AI195" i="1"/>
  <c r="AI227" i="1"/>
  <c r="U218" i="1"/>
  <c r="S218" i="1" s="1"/>
  <c r="U197" i="1"/>
  <c r="S197" i="1" s="1"/>
  <c r="AI219" i="1"/>
  <c r="U199" i="1"/>
  <c r="S199" i="1" s="1"/>
  <c r="AI221" i="1"/>
  <c r="AI14" i="1"/>
  <c r="U14" i="1"/>
  <c r="S14" i="1" s="1"/>
  <c r="AI18" i="1"/>
  <c r="U18" i="1"/>
  <c r="S18" i="1" s="1"/>
  <c r="AI26" i="1"/>
  <c r="U26" i="1"/>
  <c r="S26" i="1" s="1"/>
  <c r="AI68" i="1"/>
  <c r="U68" i="1"/>
  <c r="S68" i="1" s="1"/>
  <c r="W107" i="1"/>
  <c r="AI122" i="1"/>
  <c r="U122" i="1"/>
  <c r="S122" i="1" s="1"/>
  <c r="AI126" i="1"/>
  <c r="U126" i="1"/>
  <c r="S126" i="1" s="1"/>
  <c r="AI20" i="1"/>
  <c r="U20" i="1"/>
  <c r="S20" i="1" s="1"/>
  <c r="AI28" i="1"/>
  <c r="U28" i="1"/>
  <c r="S28" i="1" s="1"/>
  <c r="W20" i="1"/>
  <c r="W28" i="1"/>
  <c r="AI62" i="1"/>
  <c r="U62" i="1"/>
  <c r="S62" i="1" s="1"/>
  <c r="AI113" i="1"/>
  <c r="U113" i="1"/>
  <c r="S113" i="1" s="1"/>
  <c r="AI117" i="1"/>
  <c r="U117" i="1"/>
  <c r="S117" i="1" s="1"/>
  <c r="AI132" i="1"/>
  <c r="U132" i="1"/>
  <c r="S132" i="1" s="1"/>
  <c r="AI140" i="1"/>
  <c r="U140" i="1"/>
  <c r="S140" i="1" s="1"/>
  <c r="AI148" i="1"/>
  <c r="U148" i="1"/>
  <c r="S148" i="1" s="1"/>
  <c r="AI157" i="1"/>
  <c r="U157" i="1"/>
  <c r="S157" i="1" s="1"/>
  <c r="W122" i="1"/>
  <c r="AI162" i="1"/>
  <c r="U208" i="1"/>
  <c r="S208" i="1" s="1"/>
  <c r="U166" i="1"/>
  <c r="S166" i="1" s="1"/>
  <c r="AI189" i="1"/>
  <c r="U174" i="1"/>
  <c r="S174" i="1" s="1"/>
  <c r="AI197" i="1"/>
  <c r="W140" i="1"/>
  <c r="W148" i="1"/>
  <c r="W157" i="1"/>
  <c r="U185" i="1"/>
  <c r="S185" i="1" s="1"/>
  <c r="AI207" i="1"/>
  <c r="U193" i="1"/>
  <c r="S193" i="1" s="1"/>
  <c r="AI215" i="1"/>
  <c r="W193" i="1"/>
  <c r="W174" i="1"/>
  <c r="W222" i="1"/>
  <c r="W197" i="1"/>
  <c r="AI22" i="1"/>
  <c r="U22" i="1"/>
  <c r="S22" i="1" s="1"/>
  <c r="AI64" i="1"/>
  <c r="U64" i="1"/>
  <c r="S64" i="1" s="1"/>
  <c r="AI106" i="1"/>
  <c r="U106" i="1"/>
  <c r="S106" i="1" s="1"/>
  <c r="AI142" i="1"/>
  <c r="U142" i="1"/>
  <c r="S142" i="1" s="1"/>
  <c r="AI150" i="1"/>
  <c r="U150" i="1"/>
  <c r="S150" i="1" s="1"/>
  <c r="AI159" i="1"/>
  <c r="U206" i="1"/>
  <c r="S206" i="1" s="1"/>
  <c r="AI186" i="1"/>
  <c r="U163" i="1"/>
  <c r="S163" i="1" s="1"/>
  <c r="U168" i="1"/>
  <c r="S168" i="1" s="1"/>
  <c r="AI191" i="1"/>
  <c r="U177" i="1"/>
  <c r="S177" i="1" s="1"/>
  <c r="AI199" i="1"/>
  <c r="W172" i="1"/>
  <c r="U191" i="1"/>
  <c r="S191" i="1" s="1"/>
  <c r="AI213" i="1"/>
  <c r="U181" i="1"/>
  <c r="S181" i="1" s="1"/>
  <c r="AI203" i="1"/>
  <c r="U189" i="1"/>
  <c r="S189" i="1" s="1"/>
  <c r="AI211" i="1"/>
  <c r="W218" i="1"/>
  <c r="U179" i="1"/>
  <c r="S179" i="1" s="1"/>
  <c r="AI201" i="1"/>
  <c r="U187" i="1"/>
  <c r="S187" i="1" s="1"/>
  <c r="AI209" i="1"/>
  <c r="U195" i="1"/>
  <c r="S195" i="1" s="1"/>
  <c r="AI217" i="1"/>
  <c r="AI111" i="1"/>
  <c r="U111" i="1"/>
  <c r="S111" i="1" s="1"/>
  <c r="AI115" i="1"/>
  <c r="U115" i="1"/>
  <c r="S115" i="1" s="1"/>
  <c r="AI134" i="1"/>
  <c r="U134" i="1"/>
  <c r="S134" i="1" s="1"/>
  <c r="AI16" i="1"/>
  <c r="U16" i="1"/>
  <c r="S16" i="1" s="1"/>
  <c r="AI24" i="1"/>
  <c r="U24" i="1"/>
  <c r="S24" i="1" s="1"/>
  <c r="AI30" i="1"/>
  <c r="U30" i="1"/>
  <c r="S30" i="1" s="1"/>
  <c r="W18" i="1"/>
  <c r="W26" i="1"/>
  <c r="W16" i="1"/>
  <c r="W24" i="1"/>
  <c r="AI66" i="1"/>
  <c r="U66" i="1"/>
  <c r="S66" i="1" s="1"/>
  <c r="AI72" i="1"/>
  <c r="U72" i="1"/>
  <c r="S72" i="1" s="1"/>
  <c r="AI76" i="1"/>
  <c r="U76" i="1"/>
  <c r="S76" i="1" s="1"/>
  <c r="AI80" i="1"/>
  <c r="U80" i="1"/>
  <c r="S80" i="1" s="1"/>
  <c r="AI84" i="1"/>
  <c r="U84" i="1"/>
  <c r="S84" i="1" s="1"/>
  <c r="AI88" i="1"/>
  <c r="U88" i="1"/>
  <c r="S88" i="1" s="1"/>
  <c r="AI92" i="1"/>
  <c r="U92" i="1"/>
  <c r="S92" i="1" s="1"/>
  <c r="W96" i="1"/>
  <c r="AI102" i="1"/>
  <c r="U102" i="1"/>
  <c r="S102" i="1" s="1"/>
  <c r="AI109" i="1"/>
  <c r="U109" i="1"/>
  <c r="S109" i="1" s="1"/>
  <c r="AI136" i="1"/>
  <c r="U136" i="1"/>
  <c r="S136" i="1" s="1"/>
  <c r="AI144" i="1"/>
  <c r="U144" i="1"/>
  <c r="S144" i="1" s="1"/>
  <c r="AI152" i="1"/>
  <c r="U152" i="1"/>
  <c r="S152" i="1" s="1"/>
  <c r="W130" i="1"/>
  <c r="W138" i="1"/>
  <c r="W146" i="1"/>
  <c r="U170" i="1"/>
  <c r="S170" i="1" s="1"/>
  <c r="AI193" i="1"/>
  <c r="W136" i="1"/>
  <c r="W144" i="1"/>
  <c r="W152" i="1"/>
  <c r="AI164" i="1"/>
  <c r="U210" i="1"/>
  <c r="S210" i="1" s="1"/>
  <c r="AI231" i="1"/>
  <c r="U222" i="1"/>
  <c r="S222" i="1" s="1"/>
  <c r="W177" i="1"/>
  <c r="U183" i="1"/>
  <c r="S183" i="1" s="1"/>
  <c r="AI205" i="1"/>
  <c r="AI229" i="1"/>
  <c r="U220" i="1"/>
  <c r="S220" i="1" s="1"/>
  <c r="B4" i="6"/>
  <c r="S15" i="3"/>
  <c r="M15" i="3"/>
  <c r="R15" i="3"/>
  <c r="U15" i="3"/>
  <c r="V15" i="3"/>
  <c r="W15" i="3"/>
  <c r="X15" i="3"/>
  <c r="AC15" i="3" l="1"/>
  <c r="AD34" i="3"/>
  <c r="AE34" i="3"/>
  <c r="Y15" i="3"/>
  <c r="B5" i="6"/>
  <c r="I4" i="6"/>
  <c r="F4" i="6"/>
  <c r="J4" i="6"/>
  <c r="G4" i="6"/>
  <c r="AE15" i="3"/>
  <c r="T15" i="3"/>
  <c r="AD15" i="3"/>
  <c r="B3" i="6"/>
  <c r="F3" i="6" s="1"/>
  <c r="G5" i="6" l="1"/>
  <c r="I5" i="6"/>
  <c r="J5" i="6"/>
  <c r="F5" i="6"/>
  <c r="B6" i="6"/>
  <c r="I3" i="6"/>
  <c r="G3" i="6"/>
  <c r="J3" i="6"/>
  <c r="Z13" i="1"/>
  <c r="Y13" i="1"/>
  <c r="G6" i="6" l="1"/>
  <c r="I6" i="6"/>
  <c r="F6" i="6"/>
  <c r="J6" i="6"/>
  <c r="B7" i="6"/>
  <c r="B8" i="6" l="1"/>
  <c r="G7" i="6"/>
  <c r="F7" i="6"/>
  <c r="I7" i="6"/>
  <c r="J7" i="6"/>
  <c r="AM13" i="1"/>
  <c r="B9" i="6" l="1"/>
  <c r="I8" i="6"/>
  <c r="F8" i="6"/>
  <c r="J8" i="6"/>
  <c r="G8" i="6"/>
  <c r="H8" i="6"/>
  <c r="M28" i="5"/>
  <c r="G9" i="6" l="1"/>
  <c r="I9" i="6"/>
  <c r="J9" i="6"/>
  <c r="F9" i="6"/>
  <c r="H9" i="6"/>
  <c r="B10" i="6"/>
  <c r="B11" i="6" l="1"/>
  <c r="G10" i="6"/>
  <c r="H10" i="6"/>
  <c r="F10" i="6"/>
  <c r="I10" i="6"/>
  <c r="J10" i="6"/>
  <c r="B12" i="6" l="1"/>
  <c r="G11" i="6"/>
  <c r="F11" i="6"/>
  <c r="J11" i="6"/>
  <c r="I11" i="6"/>
  <c r="H11" i="6"/>
  <c r="B13" i="6" l="1"/>
  <c r="I12" i="6"/>
  <c r="F12" i="6"/>
  <c r="J12" i="6"/>
  <c r="G12" i="6"/>
  <c r="H12" i="6"/>
  <c r="G13" i="6" l="1"/>
  <c r="I13" i="6"/>
  <c r="J13" i="6"/>
  <c r="F13" i="6"/>
  <c r="H13" i="6"/>
  <c r="B14" i="6"/>
  <c r="G14" i="6" l="1"/>
  <c r="H14" i="6"/>
  <c r="J14" i="6"/>
  <c r="I14" i="6"/>
  <c r="F14" i="6"/>
  <c r="B1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27" i="3" s="1"/>
  <c r="G22" i="4"/>
  <c r="G23" i="4"/>
  <c r="G24" i="4"/>
  <c r="N18" i="3" s="1"/>
  <c r="G25" i="4"/>
  <c r="G26" i="4"/>
  <c r="G27" i="4"/>
  <c r="G28" i="4"/>
  <c r="G29" i="4"/>
  <c r="N11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12" i="3" s="1"/>
  <c r="G44" i="4"/>
  <c r="G45" i="4"/>
  <c r="N19" i="3" s="1"/>
  <c r="G46" i="4"/>
  <c r="G47" i="4"/>
  <c r="G48" i="4"/>
  <c r="N36" i="3" s="1"/>
  <c r="G49" i="4"/>
  <c r="G50" i="4"/>
  <c r="G51" i="4"/>
  <c r="G52" i="4"/>
  <c r="N20" i="3" s="1"/>
  <c r="G53" i="4"/>
  <c r="N30" i="3" s="1"/>
  <c r="G54" i="4"/>
  <c r="G55" i="4"/>
  <c r="G56" i="4"/>
  <c r="G57" i="4"/>
  <c r="G58" i="4"/>
  <c r="G59" i="4"/>
  <c r="N10" i="3" s="1"/>
  <c r="G60" i="4"/>
  <c r="G61" i="4"/>
  <c r="G62" i="4"/>
  <c r="G63" i="4"/>
  <c r="G64" i="4"/>
  <c r="G65" i="4"/>
  <c r="N31" i="3" s="1"/>
  <c r="G66" i="4"/>
  <c r="G67" i="4"/>
  <c r="G68" i="4"/>
  <c r="G69" i="4"/>
  <c r="G70" i="4"/>
  <c r="G71" i="4"/>
  <c r="N32" i="3" s="1"/>
  <c r="G72" i="4"/>
  <c r="G73" i="4"/>
  <c r="G74" i="4"/>
  <c r="G75" i="4"/>
  <c r="G76" i="4"/>
  <c r="G77" i="4"/>
  <c r="G78" i="4"/>
  <c r="G79" i="4"/>
  <c r="G80" i="4"/>
  <c r="G81" i="4"/>
  <c r="G82" i="4"/>
  <c r="N2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21" i="3" s="1"/>
  <c r="G129" i="4"/>
  <c r="H4" i="6" s="1"/>
  <c r="G130" i="4"/>
  <c r="G131" i="4"/>
  <c r="G132" i="4"/>
  <c r="G133" i="4"/>
  <c r="G134" i="4"/>
  <c r="N33" i="3" s="1"/>
  <c r="G135" i="4"/>
  <c r="G136" i="4"/>
  <c r="G137" i="4"/>
  <c r="H6" i="6" s="1"/>
  <c r="G138" i="4"/>
  <c r="H5" i="6" s="1"/>
  <c r="G139" i="4"/>
  <c r="G140" i="4"/>
  <c r="G141" i="4"/>
  <c r="G142" i="4"/>
  <c r="G143" i="4"/>
  <c r="N13" i="3" s="1"/>
  <c r="G144" i="4"/>
  <c r="G145" i="4"/>
  <c r="G146" i="4"/>
  <c r="G147" i="4"/>
  <c r="G148" i="4"/>
  <c r="G149" i="4"/>
  <c r="N24" i="3" s="1"/>
  <c r="G150" i="4"/>
  <c r="G151" i="4"/>
  <c r="G152" i="4"/>
  <c r="N38" i="3" s="1"/>
  <c r="G153" i="4"/>
  <c r="G154" i="4"/>
  <c r="G155" i="4"/>
  <c r="G156" i="4"/>
  <c r="N37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39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26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9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15" i="3" s="1"/>
  <c r="G223" i="4"/>
  <c r="G224" i="4"/>
  <c r="G225" i="4"/>
  <c r="G226" i="4"/>
  <c r="G227" i="4"/>
  <c r="N25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22" i="3"/>
  <c r="H7" i="6"/>
  <c r="N40" i="3"/>
  <c r="N41" i="3"/>
  <c r="N16" i="3"/>
  <c r="N17" i="3"/>
  <c r="N14" i="3"/>
  <c r="N9" i="3"/>
  <c r="N7" i="3"/>
  <c r="N8" i="3"/>
  <c r="N34" i="3"/>
  <c r="N35" i="3"/>
  <c r="B16" i="6"/>
  <c r="G15" i="6"/>
  <c r="F15" i="6"/>
  <c r="J15" i="6"/>
  <c r="I15" i="6"/>
  <c r="H15" i="6"/>
  <c r="H3" i="6"/>
  <c r="L13" i="1"/>
  <c r="I16" i="6" l="1"/>
  <c r="F16" i="6"/>
  <c r="J16" i="6"/>
  <c r="G16" i="6"/>
  <c r="H16" i="6"/>
  <c r="B1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G17" i="6" l="1"/>
  <c r="I17" i="6"/>
  <c r="J17" i="6"/>
  <c r="F17" i="6"/>
  <c r="H17" i="6"/>
  <c r="B18" i="6"/>
  <c r="K13" i="1"/>
  <c r="M13" i="1"/>
  <c r="N13" i="1" s="1"/>
  <c r="V13" i="1"/>
  <c r="AB13" i="1"/>
  <c r="AC13" i="1"/>
  <c r="AD13" i="1"/>
  <c r="X14" i="1" s="1"/>
  <c r="AE13" i="1"/>
  <c r="G18" i="6" l="1"/>
  <c r="H18" i="6"/>
  <c r="I18" i="6"/>
  <c r="F18" i="6"/>
  <c r="J18" i="6"/>
  <c r="B19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0" i="6" l="1"/>
  <c r="G19" i="6"/>
  <c r="F19" i="6"/>
  <c r="I19" i="6"/>
  <c r="J19" i="6"/>
  <c r="H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1" i="6" l="1"/>
  <c r="I20" i="6"/>
  <c r="F20" i="6"/>
  <c r="J20" i="6"/>
  <c r="G20" i="6"/>
  <c r="H20" i="6"/>
  <c r="M30" i="5"/>
  <c r="M29" i="5"/>
  <c r="M27" i="5"/>
  <c r="G21" i="6" l="1"/>
  <c r="I21" i="6"/>
  <c r="J21" i="6"/>
  <c r="F21" i="6"/>
  <c r="H21" i="6"/>
  <c r="B22" i="6"/>
  <c r="M26" i="5"/>
  <c r="G22" i="6" l="1"/>
  <c r="H22" i="6"/>
  <c r="I22" i="6"/>
  <c r="F22" i="6"/>
  <c r="J22" i="6"/>
  <c r="B23" i="6"/>
  <c r="AH13" i="1"/>
  <c r="J7" i="1"/>
  <c r="B24" i="6" l="1"/>
  <c r="G23" i="6"/>
  <c r="F23" i="6"/>
  <c r="I23" i="6"/>
  <c r="J23" i="6"/>
  <c r="H23" i="6"/>
  <c r="X6" i="1"/>
  <c r="W6" i="1"/>
  <c r="V6" i="1"/>
  <c r="S6" i="1"/>
  <c r="R2" i="1"/>
  <c r="I2" i="1"/>
  <c r="O6" i="1"/>
  <c r="N6" i="1"/>
  <c r="M6" i="1"/>
  <c r="J6" i="1"/>
  <c r="I24" i="6" l="1"/>
  <c r="F24" i="6"/>
  <c r="J24" i="6"/>
  <c r="G24" i="6"/>
  <c r="H24" i="6"/>
  <c r="B25" i="6"/>
  <c r="P3" i="5"/>
  <c r="G25" i="6" l="1"/>
  <c r="I25" i="6"/>
  <c r="J25" i="6"/>
  <c r="F25" i="6"/>
  <c r="H25" i="6"/>
  <c r="B26" i="6"/>
  <c r="M18" i="5"/>
  <c r="G26" i="6" l="1"/>
  <c r="H26" i="6"/>
  <c r="I26" i="6"/>
  <c r="F26" i="6"/>
  <c r="J26" i="6"/>
  <c r="B27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8" i="6" l="1"/>
  <c r="G27" i="6"/>
  <c r="F27" i="6"/>
  <c r="I27" i="6"/>
  <c r="J27" i="6"/>
  <c r="H27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9" i="6" l="1"/>
  <c r="I28" i="6"/>
  <c r="F28" i="6"/>
  <c r="J28" i="6"/>
  <c r="G28" i="6"/>
  <c r="H28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I29" i="6" l="1"/>
  <c r="F29" i="6"/>
  <c r="J29" i="6"/>
  <c r="G29" i="6"/>
  <c r="H29" i="6"/>
  <c r="B30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H30" i="6"/>
  <c r="J30" i="6"/>
  <c r="G30" i="6"/>
  <c r="I30" i="6"/>
  <c r="B31" i="6"/>
  <c r="U13" i="1"/>
  <c r="S13" i="1" s="1"/>
  <c r="O2" i="3"/>
  <c r="O3" i="3" s="1"/>
  <c r="I31" i="6" l="1"/>
  <c r="F31" i="6"/>
  <c r="J31" i="6"/>
  <c r="G31" i="6"/>
  <c r="H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I32" i="6" l="1"/>
  <c r="J32" i="6"/>
  <c r="F32" i="6"/>
  <c r="G32" i="6"/>
  <c r="H32" i="6"/>
  <c r="B33" i="6"/>
  <c r="J8" i="1"/>
  <c r="J4" i="1"/>
  <c r="S8" i="1"/>
  <c r="S4" i="1"/>
  <c r="F33" i="6" l="1"/>
  <c r="I33" i="6"/>
  <c r="J33" i="6"/>
  <c r="H33" i="6"/>
  <c r="G33" i="6"/>
  <c r="B34" i="6"/>
  <c r="S9" i="1"/>
  <c r="J9" i="1"/>
  <c r="B35" i="6" l="1"/>
  <c r="F34" i="6"/>
  <c r="I34" i="6"/>
  <c r="G34" i="6"/>
  <c r="J34" i="6"/>
  <c r="H34" i="6"/>
  <c r="S11" i="1"/>
  <c r="A11" i="1"/>
  <c r="B36" i="6" l="1"/>
  <c r="G35" i="6"/>
  <c r="I35" i="6"/>
  <c r="H35" i="6"/>
  <c r="J35" i="6"/>
  <c r="F35" i="6"/>
  <c r="B1" i="6"/>
  <c r="A5" i="3"/>
  <c r="G36" i="6" l="1"/>
  <c r="F36" i="6"/>
  <c r="I36" i="6"/>
  <c r="J36" i="6"/>
  <c r="H36" i="6"/>
  <c r="B37" i="6"/>
  <c r="F37" i="6" l="1"/>
  <c r="I37" i="6"/>
  <c r="J37" i="6"/>
  <c r="G37" i="6"/>
  <c r="H37" i="6"/>
  <c r="B38" i="6"/>
  <c r="B39" i="6" l="1"/>
  <c r="J38" i="6"/>
  <c r="G38" i="6"/>
  <c r="I38" i="6"/>
  <c r="F38" i="6"/>
  <c r="H38" i="6"/>
  <c r="F39" i="6" l="1"/>
  <c r="G39" i="6"/>
  <c r="H39" i="6"/>
  <c r="I39" i="6"/>
  <c r="J39" i="6"/>
  <c r="B40" i="6"/>
  <c r="J40" i="6" l="1"/>
  <c r="H40" i="6"/>
  <c r="I40" i="6"/>
  <c r="F40" i="6"/>
  <c r="G40" i="6"/>
  <c r="B41" i="6"/>
  <c r="B42" i="6" l="1"/>
  <c r="J41" i="6"/>
  <c r="F41" i="6"/>
  <c r="H41" i="6"/>
  <c r="G41" i="6"/>
  <c r="I41" i="6"/>
  <c r="F42" i="6" l="1"/>
  <c r="I42" i="6"/>
  <c r="G42" i="6"/>
  <c r="H42" i="6"/>
  <c r="J42" i="6"/>
  <c r="B43" i="6"/>
  <c r="G43" i="6" l="1"/>
  <c r="I43" i="6"/>
  <c r="H43" i="6"/>
  <c r="J43" i="6"/>
  <c r="F43" i="6"/>
  <c r="B44" i="6"/>
  <c r="F44" i="6" l="1"/>
  <c r="H44" i="6"/>
  <c r="I44" i="6"/>
  <c r="J44" i="6"/>
  <c r="G44" i="6"/>
  <c r="B45" i="6"/>
  <c r="F45" i="6" l="1"/>
  <c r="I45" i="6"/>
  <c r="J45" i="6"/>
  <c r="G45" i="6"/>
  <c r="H45" i="6"/>
  <c r="B46" i="6"/>
  <c r="B47" i="6" l="1"/>
  <c r="F46" i="6"/>
  <c r="H46" i="6"/>
  <c r="J46" i="6"/>
  <c r="I46" i="6"/>
  <c r="G46" i="6"/>
  <c r="F47" i="6" l="1"/>
  <c r="H47" i="6"/>
  <c r="J47" i="6"/>
  <c r="I47" i="6"/>
  <c r="G47" i="6"/>
  <c r="B48" i="6"/>
  <c r="J48" i="6" l="1"/>
  <c r="H48" i="6"/>
  <c r="F48" i="6"/>
  <c r="I48" i="6"/>
  <c r="G48" i="6"/>
  <c r="B49" i="6"/>
  <c r="B50" i="6" l="1"/>
  <c r="F49" i="6"/>
  <c r="G49" i="6"/>
  <c r="H49" i="6"/>
  <c r="I49" i="6"/>
  <c r="J49" i="6"/>
  <c r="B51" i="6" l="1"/>
  <c r="H50" i="6"/>
  <c r="I50" i="6"/>
  <c r="F50" i="6"/>
  <c r="J50" i="6"/>
  <c r="G50" i="6"/>
  <c r="B52" i="6" l="1"/>
  <c r="I51" i="6"/>
  <c r="F51" i="6"/>
  <c r="H51" i="6"/>
  <c r="J51" i="6"/>
  <c r="G51" i="6"/>
  <c r="F52" i="6" l="1"/>
  <c r="G52" i="6"/>
  <c r="I52" i="6"/>
  <c r="J52" i="6"/>
  <c r="H52" i="6"/>
  <c r="B53" i="6"/>
  <c r="F53" i="6" l="1"/>
  <c r="I53" i="6"/>
  <c r="J53" i="6"/>
  <c r="H53" i="6"/>
  <c r="G53" i="6"/>
  <c r="B54" i="6"/>
  <c r="F54" i="6" l="1"/>
  <c r="H54" i="6"/>
  <c r="G54" i="6"/>
  <c r="J54" i="6"/>
  <c r="I54" i="6"/>
  <c r="B55" i="6"/>
  <c r="B56" i="6" l="1"/>
  <c r="I55" i="6"/>
  <c r="G55" i="6"/>
  <c r="F55" i="6"/>
  <c r="H55" i="6"/>
  <c r="J55" i="6"/>
  <c r="J56" i="6" l="1"/>
  <c r="H56" i="6"/>
  <c r="F56" i="6"/>
  <c r="I56" i="6"/>
  <c r="G56" i="6"/>
  <c r="B57" i="6"/>
  <c r="H57" i="6" l="1"/>
  <c r="J57" i="6"/>
  <c r="F57" i="6"/>
  <c r="G57" i="6"/>
  <c r="I57" i="6"/>
  <c r="B58" i="6"/>
  <c r="H58" i="6" l="1"/>
  <c r="J58" i="6"/>
  <c r="F58" i="6"/>
  <c r="I58" i="6"/>
  <c r="G58" i="6"/>
  <c r="B59" i="6"/>
  <c r="H59" i="6" l="1"/>
  <c r="J59" i="6"/>
  <c r="I59" i="6"/>
  <c r="F59" i="6"/>
  <c r="G59" i="6"/>
  <c r="B60" i="6"/>
  <c r="I60" i="6" l="1"/>
  <c r="G60" i="6"/>
  <c r="F60" i="6"/>
  <c r="H60" i="6"/>
  <c r="J60" i="6"/>
  <c r="B61" i="6"/>
  <c r="B62" i="6" l="1"/>
  <c r="J61" i="6"/>
  <c r="I61" i="6"/>
  <c r="G61" i="6"/>
  <c r="F61" i="6"/>
  <c r="H61" i="6"/>
  <c r="B63" i="6" l="1"/>
  <c r="J62" i="6"/>
  <c r="I62" i="6"/>
  <c r="G62" i="6"/>
  <c r="F62" i="6"/>
  <c r="H62" i="6"/>
  <c r="I63" i="6" l="1"/>
  <c r="F63" i="6"/>
  <c r="H63" i="6"/>
  <c r="J63" i="6"/>
  <c r="G63" i="6"/>
  <c r="B64" i="6"/>
  <c r="B65" i="6" l="1"/>
  <c r="F64" i="6"/>
  <c r="I64" i="6"/>
  <c r="G64" i="6"/>
  <c r="J64" i="6"/>
  <c r="H64" i="6"/>
  <c r="G65" i="6" l="1"/>
  <c r="F65" i="6"/>
  <c r="I65" i="6"/>
  <c r="H65" i="6"/>
  <c r="J65" i="6"/>
  <c r="B66" i="6"/>
  <c r="I66" i="6" l="1"/>
  <c r="F66" i="6"/>
  <c r="J66" i="6"/>
  <c r="G66" i="6"/>
  <c r="H66" i="6"/>
  <c r="B67" i="6"/>
  <c r="G67" i="6" l="1"/>
  <c r="H67" i="6"/>
  <c r="I67" i="6"/>
  <c r="J67" i="6"/>
  <c r="F67" i="6"/>
  <c r="B68" i="6"/>
  <c r="B69" i="6" l="1"/>
  <c r="I68" i="6"/>
  <c r="J68" i="6"/>
  <c r="H68" i="6"/>
  <c r="F68" i="6"/>
  <c r="G68" i="6"/>
  <c r="J69" i="6" l="1"/>
  <c r="I69" i="6"/>
  <c r="G69" i="6"/>
  <c r="F69" i="6"/>
  <c r="H69" i="6"/>
  <c r="B70" i="6"/>
  <c r="B71" i="6" l="1"/>
  <c r="G70" i="6"/>
  <c r="J70" i="6"/>
  <c r="I70" i="6"/>
  <c r="F70" i="6"/>
  <c r="H70" i="6"/>
  <c r="I71" i="6" l="1"/>
  <c r="F71" i="6"/>
  <c r="G71" i="6"/>
  <c r="J71" i="6"/>
  <c r="H71" i="6"/>
  <c r="B72" i="6"/>
  <c r="B73" i="6" l="1"/>
  <c r="I72" i="6"/>
  <c r="F72" i="6"/>
  <c r="G72" i="6"/>
  <c r="J72" i="6"/>
  <c r="H72" i="6"/>
  <c r="G73" i="6" l="1"/>
  <c r="H73" i="6"/>
  <c r="J73" i="6"/>
  <c r="I73" i="6"/>
  <c r="F73" i="6"/>
  <c r="B74" i="6"/>
  <c r="B75" i="6" l="1"/>
  <c r="G74" i="6"/>
  <c r="H74" i="6"/>
  <c r="J74" i="6"/>
  <c r="F74" i="6"/>
  <c r="I74" i="6"/>
  <c r="F75" i="6" l="1"/>
  <c r="G75" i="6"/>
  <c r="I75" i="6"/>
  <c r="H75" i="6"/>
  <c r="J75" i="6"/>
  <c r="B76" i="6"/>
  <c r="G76" i="6" l="1"/>
  <c r="F76" i="6"/>
  <c r="H76" i="6"/>
  <c r="I76" i="6"/>
  <c r="J76" i="6"/>
  <c r="B77" i="6"/>
  <c r="B78" i="6" l="1"/>
  <c r="J77" i="6"/>
  <c r="G77" i="6"/>
  <c r="I77" i="6"/>
  <c r="F77" i="6"/>
  <c r="H77" i="6"/>
  <c r="B79" i="6" l="1"/>
  <c r="J78" i="6"/>
  <c r="I78" i="6"/>
  <c r="G78" i="6"/>
  <c r="F78" i="6"/>
  <c r="H78" i="6"/>
  <c r="H79" i="6" l="1"/>
  <c r="F79" i="6"/>
  <c r="G79" i="6"/>
  <c r="J79" i="6"/>
  <c r="I79" i="6"/>
  <c r="B80" i="6"/>
  <c r="B81" i="6" l="1"/>
  <c r="F80" i="6"/>
  <c r="I80" i="6"/>
  <c r="G80" i="6"/>
  <c r="J80" i="6"/>
  <c r="H80" i="6"/>
  <c r="B82" i="6" l="1"/>
  <c r="J81" i="6"/>
  <c r="F81" i="6"/>
  <c r="G81" i="6"/>
  <c r="H81" i="6"/>
  <c r="I81" i="6"/>
  <c r="I82" i="6" l="1"/>
  <c r="F82" i="6"/>
  <c r="J82" i="6"/>
  <c r="G82" i="6"/>
  <c r="H82" i="6"/>
  <c r="B83" i="6"/>
  <c r="I83" i="6" l="1"/>
  <c r="H83" i="6"/>
  <c r="J83" i="6"/>
  <c r="G83" i="6"/>
  <c r="F83" i="6"/>
  <c r="B84" i="6"/>
  <c r="B85" i="6" l="1"/>
  <c r="I84" i="6"/>
  <c r="J84" i="6"/>
  <c r="H84" i="6"/>
  <c r="F84" i="6"/>
  <c r="G84" i="6"/>
  <c r="J85" i="6" l="1"/>
  <c r="G85" i="6"/>
  <c r="F85" i="6"/>
  <c r="H85" i="6"/>
  <c r="I85" i="6"/>
  <c r="B86" i="6"/>
  <c r="I86" i="6" l="1"/>
  <c r="G86" i="6"/>
  <c r="H86" i="6"/>
  <c r="J86" i="6"/>
  <c r="F86" i="6"/>
  <c r="B87" i="6"/>
  <c r="G87" i="6" l="1"/>
  <c r="F87" i="6"/>
  <c r="H87" i="6"/>
  <c r="J87" i="6"/>
  <c r="I87" i="6"/>
  <c r="B88" i="6"/>
  <c r="B89" i="6" l="1"/>
  <c r="J88" i="6"/>
  <c r="F88" i="6"/>
  <c r="H88" i="6"/>
  <c r="G88" i="6"/>
  <c r="I88" i="6"/>
  <c r="B90" i="6" l="1"/>
  <c r="J89" i="6"/>
  <c r="F89" i="6"/>
  <c r="G89" i="6"/>
  <c r="H89" i="6"/>
  <c r="I89" i="6"/>
  <c r="H90" i="6" l="1"/>
  <c r="G90" i="6"/>
  <c r="I90" i="6"/>
  <c r="F90" i="6"/>
  <c r="J90" i="6"/>
  <c r="B91" i="6"/>
  <c r="G91" i="6" l="1"/>
  <c r="I91" i="6"/>
  <c r="H91" i="6"/>
  <c r="J91" i="6"/>
  <c r="F91" i="6"/>
  <c r="B92" i="6"/>
  <c r="B93" i="6" l="1"/>
  <c r="J92" i="6"/>
  <c r="F92" i="6"/>
  <c r="H92" i="6"/>
  <c r="G92" i="6"/>
  <c r="I92" i="6"/>
  <c r="B94" i="6" l="1"/>
  <c r="J93" i="6"/>
  <c r="I93" i="6"/>
  <c r="F93" i="6"/>
  <c r="G93" i="6"/>
  <c r="H93" i="6"/>
  <c r="B95" i="6" l="1"/>
  <c r="J94" i="6"/>
  <c r="F94" i="6"/>
  <c r="I94" i="6"/>
  <c r="G94" i="6"/>
  <c r="H94" i="6"/>
  <c r="I95" i="6" l="1"/>
  <c r="J95" i="6"/>
  <c r="F95" i="6"/>
  <c r="H95" i="6"/>
  <c r="G95" i="6"/>
  <c r="B96" i="6"/>
  <c r="F96" i="6" l="1"/>
  <c r="J96" i="6"/>
  <c r="H96" i="6"/>
  <c r="G96" i="6"/>
  <c r="I96" i="6"/>
  <c r="B97" i="6"/>
  <c r="J97" i="6" l="1"/>
  <c r="I97" i="6"/>
  <c r="G97" i="6"/>
  <c r="F97" i="6"/>
  <c r="H97" i="6"/>
  <c r="B98" i="6"/>
  <c r="B99" i="6" l="1"/>
  <c r="F98" i="6"/>
  <c r="G98" i="6"/>
  <c r="H98" i="6"/>
  <c r="I98" i="6"/>
  <c r="J98" i="6"/>
  <c r="F99" i="6" l="1"/>
  <c r="G99" i="6"/>
  <c r="H99" i="6"/>
  <c r="I99" i="6"/>
  <c r="J99" i="6"/>
  <c r="B100" i="6"/>
  <c r="B101" i="6" l="1"/>
  <c r="J100" i="6"/>
  <c r="F100" i="6"/>
  <c r="I100" i="6"/>
  <c r="G100" i="6"/>
  <c r="H100" i="6"/>
  <c r="F101" i="6" l="1"/>
  <c r="H101" i="6"/>
  <c r="I101" i="6"/>
  <c r="G101" i="6"/>
  <c r="J101" i="6"/>
  <c r="B102" i="6"/>
  <c r="B103" i="6" l="1"/>
  <c r="H102" i="6"/>
  <c r="G102" i="6"/>
  <c r="I102" i="6"/>
  <c r="F102" i="6"/>
  <c r="J102" i="6"/>
  <c r="B104" i="6" l="1"/>
  <c r="J103" i="6"/>
  <c r="H103" i="6"/>
  <c r="I103" i="6"/>
  <c r="F103" i="6"/>
  <c r="G103" i="6"/>
  <c r="J104" i="6" l="1"/>
  <c r="H104" i="6"/>
  <c r="F104" i="6"/>
  <c r="G104" i="6"/>
  <c r="I104" i="6"/>
  <c r="B105" i="6"/>
  <c r="I105" i="6" l="1"/>
  <c r="J105" i="6"/>
  <c r="F105" i="6"/>
  <c r="H105" i="6"/>
  <c r="G105" i="6"/>
  <c r="B106" i="6"/>
  <c r="B107" i="6" l="1"/>
  <c r="F106" i="6"/>
  <c r="I106" i="6"/>
  <c r="J106" i="6"/>
  <c r="G106" i="6"/>
  <c r="H106" i="6"/>
  <c r="B108" i="6" l="1"/>
  <c r="F107" i="6"/>
  <c r="I107" i="6"/>
  <c r="G107" i="6"/>
  <c r="H107" i="6"/>
  <c r="J107" i="6"/>
  <c r="B109" i="6" l="1"/>
  <c r="J108" i="6"/>
  <c r="I108" i="6"/>
  <c r="H108" i="6"/>
  <c r="G108" i="6"/>
  <c r="F108" i="6"/>
  <c r="B110" i="6" l="1"/>
  <c r="H109" i="6"/>
  <c r="I109" i="6"/>
  <c r="J109" i="6"/>
  <c r="F109" i="6"/>
  <c r="G109" i="6"/>
  <c r="I110" i="6" l="1"/>
  <c r="G110" i="6"/>
  <c r="H110" i="6"/>
  <c r="J110" i="6"/>
  <c r="F110" i="6"/>
  <c r="B111" i="6"/>
  <c r="B112" i="6" l="1"/>
  <c r="G111" i="6"/>
  <c r="I111" i="6"/>
  <c r="J111" i="6"/>
  <c r="H111" i="6"/>
  <c r="F111" i="6"/>
  <c r="F112" i="6" l="1"/>
  <c r="H112" i="6"/>
  <c r="J112" i="6"/>
  <c r="G112" i="6"/>
  <c r="I112" i="6"/>
  <c r="B113" i="6"/>
  <c r="H113" i="6" l="1"/>
  <c r="F113" i="6"/>
  <c r="G113" i="6"/>
  <c r="J113" i="6"/>
  <c r="I113" i="6"/>
  <c r="B114" i="6"/>
  <c r="I114" i="6" l="1"/>
  <c r="H114" i="6"/>
  <c r="G114" i="6"/>
  <c r="F114" i="6"/>
  <c r="J114" i="6"/>
  <c r="B115" i="6"/>
  <c r="H115" i="6" l="1"/>
  <c r="I115" i="6"/>
  <c r="J115" i="6"/>
  <c r="G115" i="6"/>
  <c r="F115" i="6"/>
  <c r="B116" i="6"/>
  <c r="J116" i="6" l="1"/>
  <c r="G116" i="6"/>
  <c r="F116" i="6"/>
  <c r="I116" i="6"/>
  <c r="H116" i="6"/>
  <c r="B117" i="6"/>
  <c r="J117" i="6" l="1"/>
  <c r="F117" i="6"/>
  <c r="H117" i="6"/>
  <c r="I117" i="6"/>
  <c r="G117" i="6"/>
  <c r="B118" i="6"/>
  <c r="I118" i="6" l="1"/>
  <c r="G118" i="6"/>
  <c r="H118" i="6"/>
  <c r="F118" i="6"/>
  <c r="J118" i="6"/>
  <c r="B119" i="6"/>
  <c r="B120" i="6" l="1"/>
  <c r="J119" i="6"/>
  <c r="G119" i="6"/>
  <c r="H119" i="6"/>
  <c r="F119" i="6"/>
  <c r="I119" i="6"/>
  <c r="J120" i="6" l="1"/>
  <c r="F120" i="6"/>
  <c r="H120" i="6"/>
  <c r="G120" i="6"/>
  <c r="I120" i="6"/>
  <c r="B121" i="6"/>
  <c r="B122" i="6" l="1"/>
  <c r="J121" i="6"/>
  <c r="G121" i="6"/>
  <c r="H121" i="6"/>
  <c r="F121" i="6"/>
  <c r="I121" i="6"/>
  <c r="B123" i="6" l="1"/>
  <c r="F122" i="6"/>
  <c r="H122" i="6"/>
  <c r="I122" i="6"/>
  <c r="G122" i="6"/>
  <c r="J122" i="6"/>
  <c r="B124" i="6" l="1"/>
  <c r="J123" i="6"/>
  <c r="I123" i="6"/>
  <c r="F123" i="6"/>
  <c r="G123" i="6"/>
  <c r="H123" i="6"/>
  <c r="B125" i="6" l="1"/>
  <c r="J124" i="6"/>
  <c r="H124" i="6"/>
  <c r="G124" i="6"/>
  <c r="I124" i="6"/>
  <c r="F124" i="6"/>
  <c r="G125" i="6" l="1"/>
  <c r="I125" i="6"/>
  <c r="H125" i="6"/>
  <c r="J125" i="6"/>
  <c r="F125" i="6"/>
  <c r="B126" i="6"/>
  <c r="B127" i="6" l="1"/>
  <c r="J126" i="6"/>
  <c r="F126" i="6"/>
  <c r="I126" i="6"/>
  <c r="G126" i="6"/>
  <c r="H126" i="6"/>
  <c r="F127" i="6" l="1"/>
  <c r="G127" i="6"/>
  <c r="I127" i="6"/>
  <c r="H127" i="6"/>
  <c r="J127" i="6"/>
  <c r="B128" i="6"/>
  <c r="F128" i="6" l="1"/>
  <c r="H128" i="6"/>
  <c r="G128" i="6"/>
  <c r="I128" i="6"/>
  <c r="J128" i="6"/>
  <c r="B129" i="6"/>
  <c r="J129" i="6" l="1"/>
  <c r="H129" i="6"/>
  <c r="F129" i="6"/>
  <c r="I129" i="6"/>
  <c r="G129" i="6"/>
  <c r="B130" i="6"/>
  <c r="I130" i="6" l="1"/>
  <c r="F130" i="6"/>
  <c r="H130" i="6"/>
  <c r="G130" i="6"/>
  <c r="J130" i="6"/>
  <c r="B131" i="6"/>
  <c r="F131" i="6" l="1"/>
  <c r="H131" i="6"/>
  <c r="G131" i="6"/>
  <c r="J131" i="6"/>
  <c r="I131" i="6"/>
  <c r="B132" i="6"/>
  <c r="J132" i="6" l="1"/>
  <c r="F132" i="6"/>
  <c r="G132" i="6"/>
  <c r="H132" i="6"/>
  <c r="I132" i="6"/>
  <c r="B133" i="6"/>
  <c r="G133" i="6" l="1"/>
  <c r="H133" i="6"/>
  <c r="I133" i="6"/>
  <c r="J133" i="6"/>
  <c r="F133" i="6"/>
  <c r="B134" i="6"/>
  <c r="B135" i="6" l="1"/>
  <c r="H134" i="6"/>
  <c r="G134" i="6"/>
  <c r="I134" i="6"/>
  <c r="J134" i="6"/>
  <c r="F134" i="6"/>
  <c r="B136" i="6" l="1"/>
  <c r="J135" i="6"/>
  <c r="G135" i="6"/>
  <c r="H135" i="6"/>
  <c r="F135" i="6"/>
  <c r="I135" i="6"/>
  <c r="H136" i="6" l="1"/>
  <c r="F136" i="6"/>
  <c r="G136" i="6"/>
  <c r="I136" i="6"/>
  <c r="J136" i="6"/>
  <c r="B137" i="6"/>
  <c r="F137" i="6" l="1"/>
  <c r="I137" i="6"/>
  <c r="H137" i="6"/>
  <c r="J137" i="6"/>
  <c r="G137" i="6"/>
  <c r="B138" i="6"/>
  <c r="F138" i="6" l="1"/>
  <c r="G138" i="6"/>
  <c r="J138" i="6"/>
  <c r="H138" i="6"/>
  <c r="I138" i="6"/>
  <c r="B139" i="6"/>
  <c r="B140" i="6" l="1"/>
  <c r="H139" i="6"/>
  <c r="I139" i="6"/>
  <c r="J139" i="6"/>
  <c r="F139" i="6"/>
  <c r="G139" i="6"/>
  <c r="B141" i="6" l="1"/>
  <c r="J140" i="6"/>
  <c r="I140" i="6"/>
  <c r="H140" i="6"/>
  <c r="G140" i="6"/>
  <c r="F140" i="6"/>
  <c r="B143" i="6" l="1"/>
  <c r="B142" i="6"/>
  <c r="F141" i="6"/>
  <c r="I141" i="6"/>
  <c r="G141" i="6"/>
  <c r="H141" i="6"/>
  <c r="J141" i="6"/>
  <c r="G142" i="6" l="1"/>
  <c r="H142" i="6"/>
  <c r="J142" i="6"/>
  <c r="F142" i="6"/>
  <c r="I142" i="6"/>
  <c r="J143" i="6"/>
  <c r="F143" i="6"/>
  <c r="G143" i="6"/>
  <c r="H143" i="6"/>
  <c r="I1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<sst xmlns="http://schemas.openxmlformats.org/spreadsheetml/2006/main" count="2614" uniqueCount="928">
  <si>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</si>
  <si>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</si>
  <si>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</si>
  <si>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</si>
  <si>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</si>
  <si>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</si>
  <si>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</si>
  <si>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</si>
  <si>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</si>
  <si>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</si>
  <si>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</si>
  <si>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</si>
  <si>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</si>
  <si>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</si>
  <si>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</si>
  <si>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</si>
  <si>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</si>
  <si>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</si>
  <si>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</si>
  <si>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</si>
  <si>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</si>
  <si>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</si>
  <si>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</si>
  <si>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</si>
  <si>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</si>
  <si>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</si>
  <si>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</si>
  <si>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</si>
  <si>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</si>
  <si>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</si>
  <si>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</si>
  <si>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</si>
  <si>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</si>
  <si>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</si>
  <si>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</si>
  <si>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</si>
  <si>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</si>
  <si>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</si>
  <si>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</si>
  <si>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</si>
  <si>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</si>
  <si>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</si>
  <si>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</si>
  <si>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</si>
  <si>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</si>
  <si>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</si>
  <si>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</si>
  <si>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</si>
  <si>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</si>
  <si>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</si>
  <si>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</si>
  <si>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</si>
  <si>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</si>
  <si>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</si>
  <si>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</si>
  <si>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</si>
  <si>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</si>
  <si>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</si>
  <si>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</si>
  <si>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</si>
  <si>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</si>
  <si>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</si>
  <si>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</si>
  <si>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</si>
  <si>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</si>
  <si>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</si>
  <si>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</si>
  <si>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</si>
  <si>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</si>
  <si>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</si>
  <si>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</si>
  <si>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</si>
  <si>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</si>
  <si>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</si>
  <si>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</si>
  <si>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</si>
  <si>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</si>
  <si>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</si>
  <si>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</si>
  <si>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</si>
  <si>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</si>
  <si>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</si>
  <si>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</si>
  <si>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</si>
  <si>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</si>
  <si>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</si>
  <si>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</si>
  <si>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</si>
  <si>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</si>
  <si>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</si>
  <si>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</si>
  <si>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</si>
  <si>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</si>
  <si>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</si>
  <si>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</si>
  <si>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</si>
  <si>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</si>
  <si>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</si>
  <si>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</si>
  <si>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</si>
  <si>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</si>
  <si>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</si>
  <si>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</si>
  <si>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</si>
  <si>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</si>
  <si>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</si>
  <si>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</si>
  <si>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</si>
  <si>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</si>
  <si>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</si>
  <si>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</si>
  <si>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</si>
  <si>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</si>
  <si>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</si>
  <si>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</si>
  <si>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</si>
  <si>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</si>
  <si>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</si>
  <si>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</si>
  <si>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</si>
  <si>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</si>
  <si>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</si>
  <si>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</si>
  <si>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</si>
  <si>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</si>
  <si>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</si>
  <si>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</si>
  <si>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</si>
  <si>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</si>
  <si>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</si>
  <si>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</si>
  <si>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</si>
  <si>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</si>
  <si>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</si>
  <si>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</si>
  <si>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</si>
  <si>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</si>
  <si>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</si>
  <si>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</si>
  <si>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</si>
  <si>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</si>
  <si>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</si>
  <si>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</si>
  <si>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</si>
  <si>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</si>
  <si>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</si>
  <si>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</si>
  <si>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</si>
  <si>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</si>
  <si>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</si>
  <si>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</si>
  <si>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</si>
  <si>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</si>
  <si>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</si>
  <si>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</si>
  <si>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</si>
  <si>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</si>
  <si>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</si>
  <si>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</si>
  <si>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</si>
  <si>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</si>
  <si>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</si>
  <si>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</si>
  <si>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</si>
  <si>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</si>
  <si>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</si>
  <si>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</si>
  <si>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</si>
  <si>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</si>
  <si>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</si>
  <si>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</si>
  <si>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</si>
  <si>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</si>
  <si>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</si>
  <si>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</si>
  <si>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</si>
  <si>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</si>
  <si>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</si>
  <si>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</si>
  <si>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</si>
  <si>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</si>
  <si>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</si>
  <si>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</si>
  <si>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</si>
  <si>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</si>
  <si>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</si>
  <si>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</si>
  <si>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</si>
  <si>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</si>
  <si>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</si>
  <si>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</si>
  <si>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</si>
  <si>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</si>
  <si>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</si>
  <si>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</si>
  <si>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</si>
  <si>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</si>
  <si>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</si>
  <si>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</si>
  <si>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</si>
  <si>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</si>
  <si>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</si>
  <si>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</si>
  <si>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</si>
  <si>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</si>
  <si>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</si>
  <si>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</si>
  <si>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</si>
  <si>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</si>
  <si>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</si>
  <si>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</si>
  <si>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</si>
  <si>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</si>
  <si>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</si>
  <si>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</si>
  <si>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</si>
  <si>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</si>
  <si>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</si>
  <si>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</si>
  <si>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</si>
  <si>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</si>
  <si>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</si>
  <si>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</si>
  <si>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</si>
  <si>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</si>
  <si>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</si>
  <si>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</si>
  <si>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</si>
  <si>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</si>
  <si>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</si>
  <si>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</si>
  <si>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</si>
  <si>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</si>
  <si>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</si>
  <si>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</si>
  <si>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</si>
  <si>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</si>
  <si>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</si>
  <si>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</si>
  <si>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</si>
  <si>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</si>
  <si>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</si>
  <si>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</si>
  <si>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</si>
  <si>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</si>
  <si>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</si>
  <si>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</si>
  <si>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</si>
  <si>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</si>
  <si>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</si>
  <si>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</si>
  <si>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</si>
  <si>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</si>
  <si>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</si>
  <si>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</si>
  <si>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</si>
  <si>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</si>
  <si>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</si>
  <si>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</si>
  <si>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</si>
  <si>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</si>
  <si>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</si>
  <si>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</si>
  <si>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</si>
  <si>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</si>
  <si>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</si>
  <si>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</si>
  <si>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</si>
  <si>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</si>
  <si>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</si>
  <si>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204:152</t>
  </si>
  <si>
    <t>204:158</t>
  </si>
  <si>
    <t>204:141</t>
  </si>
  <si>
    <t>204:232971</t>
  </si>
  <si>
    <t>204:457</t>
  </si>
  <si>
    <t>204:156</t>
  </si>
  <si>
    <t>300:58931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</si>
  <si>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</si>
  <si>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</si>
  <si>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</si>
  <si>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</si>
  <si>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</si>
  <si>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</si>
  <si>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</si>
  <si>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YORK</t>
  </si>
  <si>
    <t>EDGAR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</si>
  <si>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</si>
  <si>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</si>
  <si>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</si>
  <si>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</si>
  <si>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</si>
  <si>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</si>
  <si>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</si>
  <si>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rtdc.l.rtdc.4021:itc</t>
  </si>
  <si>
    <t>rtdc.l.rtdc.4007:itc</t>
  </si>
  <si>
    <t>rtdc.l.rtdc.4031:itc</t>
  </si>
  <si>
    <t>204:232990</t>
  </si>
  <si>
    <t>204:475</t>
  </si>
  <si>
    <t>204:232983</t>
  </si>
  <si>
    <t>204:233298</t>
  </si>
  <si>
    <t>204:446</t>
  </si>
  <si>
    <t>rtdc.l.rtdc.4032:itc</t>
  </si>
  <si>
    <t>CRAYTON</t>
  </si>
  <si>
    <t>QUNTRELL</t>
  </si>
  <si>
    <t>204:233295</t>
  </si>
  <si>
    <t>300:58613</t>
  </si>
  <si>
    <t>rtdc.l.rtdc.4010:itc</t>
  </si>
  <si>
    <t>PERMANENT SPEED RESTRICTION</t>
  </si>
  <si>
    <t>Speed (6)</t>
  </si>
  <si>
    <t>Y</t>
  </si>
  <si>
    <t>DUNCAN</t>
  </si>
  <si>
    <t>SHEILA</t>
  </si>
  <si>
    <t>precipAccumulation</t>
  </si>
  <si>
    <t>precipType</t>
  </si>
  <si>
    <t>snow</t>
  </si>
  <si>
    <t>204:469</t>
  </si>
  <si>
    <t>204:233314</t>
  </si>
  <si>
    <t>204:165</t>
  </si>
  <si>
    <t>204:466</t>
  </si>
  <si>
    <t>300:58617</t>
  </si>
  <si>
    <t>rtdc.l.rtdc.4001:itc</t>
  </si>
  <si>
    <t>204:232987</t>
  </si>
  <si>
    <t>204:136</t>
  </si>
  <si>
    <t>204:233301</t>
  </si>
  <si>
    <t>204:232993</t>
  </si>
  <si>
    <t>204:233299</t>
  </si>
  <si>
    <t>204:484</t>
  </si>
  <si>
    <t>204:232968</t>
  </si>
  <si>
    <t>204:233006</t>
  </si>
  <si>
    <t>204:960</t>
  </si>
  <si>
    <t>rtdc.l.rtdc.4019:itc</t>
  </si>
  <si>
    <t>JOHN</t>
  </si>
  <si>
    <t>ROBINSON</t>
  </si>
  <si>
    <t>KADDIBA</t>
  </si>
  <si>
    <t>rtdc.l.rtdc.4020:itc</t>
  </si>
  <si>
    <t>SHOOK</t>
  </si>
  <si>
    <t>rtdc.l.rtdc.4028:itc</t>
  </si>
  <si>
    <t>rtdc.l.rtdc.4027:itc</t>
  </si>
  <si>
    <t>DIANE</t>
  </si>
  <si>
    <t>Mostly Cloudy</t>
  </si>
  <si>
    <t>204:233293</t>
  </si>
  <si>
    <t>204:233309</t>
  </si>
  <si>
    <t>204:232969</t>
  </si>
  <si>
    <t>204:233276</t>
  </si>
  <si>
    <t>204:232994</t>
  </si>
  <si>
    <t>204:440</t>
  </si>
  <si>
    <t>204:232984</t>
  </si>
  <si>
    <t>204:233330</t>
  </si>
  <si>
    <t>204:232974</t>
  </si>
  <si>
    <t>204:438</t>
  </si>
  <si>
    <t>204:233280</t>
  </si>
  <si>
    <t>300:23346</t>
  </si>
  <si>
    <t>300:58935</t>
  </si>
  <si>
    <t>204:675</t>
  </si>
  <si>
    <t>300:58623</t>
  </si>
  <si>
    <t>rtdc.l.rtdc.4026:itc</t>
  </si>
  <si>
    <t>240-08</t>
  </si>
  <si>
    <t>MAELZER</t>
  </si>
  <si>
    <t>KURT</t>
  </si>
  <si>
    <t>DAVIS</t>
  </si>
  <si>
    <t>WENDY</t>
  </si>
  <si>
    <t>ROMERO</t>
  </si>
  <si>
    <t>CHAD</t>
  </si>
  <si>
    <t>KAMDEN</t>
  </si>
  <si>
    <t>PERKINS</t>
  </si>
  <si>
    <t>DARREN</t>
  </si>
  <si>
    <t>SAFIEF</t>
  </si>
  <si>
    <t>AEIMEN</t>
  </si>
  <si>
    <t>309-08</t>
  </si>
  <si>
    <t>242-08</t>
  </si>
  <si>
    <t>244-08</t>
  </si>
  <si>
    <t>311-08</t>
  </si>
  <si>
    <t>313-08</t>
  </si>
  <si>
    <t>315-08</t>
  </si>
  <si>
    <t>Partly Cloudy</t>
  </si>
  <si>
    <t>partly-cloudy-day</t>
  </si>
  <si>
    <t>rain</t>
  </si>
  <si>
    <t>204:138</t>
  </si>
  <si>
    <t>204:233317</t>
  </si>
  <si>
    <t>204:233318</t>
  </si>
  <si>
    <t>204:726</t>
  </si>
  <si>
    <t>204:233304</t>
  </si>
  <si>
    <t>204:232985</t>
  </si>
  <si>
    <t>204:1164</t>
  </si>
  <si>
    <t>204:233308</t>
  </si>
  <si>
    <t>204:233319</t>
  </si>
  <si>
    <t>204:233307</t>
  </si>
  <si>
    <t>204:471</t>
  </si>
  <si>
    <t>204:170</t>
  </si>
  <si>
    <t>204:161</t>
  </si>
  <si>
    <t>204:232964</t>
  </si>
  <si>
    <t>204:232978</t>
  </si>
  <si>
    <t>204:233323</t>
  </si>
  <si>
    <t>204:233274</t>
  </si>
  <si>
    <t>204:233306</t>
  </si>
  <si>
    <t>204:172</t>
  </si>
  <si>
    <t>204:233286</t>
  </si>
  <si>
    <t>204:482</t>
  </si>
  <si>
    <t>204:497</t>
  </si>
  <si>
    <t>204:163</t>
  </si>
  <si>
    <t>204:232980</t>
  </si>
  <si>
    <t>204:233004</t>
  </si>
  <si>
    <t>300:58621</t>
  </si>
  <si>
    <t>204:766</t>
  </si>
  <si>
    <t>204:233002</t>
  </si>
  <si>
    <t>204:127</t>
  </si>
  <si>
    <t>300:58611</t>
  </si>
  <si>
    <t>204:154</t>
  </si>
  <si>
    <t>204:420</t>
  </si>
  <si>
    <t>204:232996</t>
  </si>
  <si>
    <t>204:233347</t>
  </si>
  <si>
    <t>204:132</t>
  </si>
  <si>
    <t>204:477</t>
  </si>
  <si>
    <t>204:233283</t>
  </si>
  <si>
    <t>204:233281</t>
  </si>
  <si>
    <t>204:473</t>
  </si>
  <si>
    <t>204:130</t>
  </si>
  <si>
    <t>300:23301</t>
  </si>
  <si>
    <t>204:435</t>
  </si>
  <si>
    <t>start /low /b %USERPROFILE%\Documents\GitHub\eaglep3\Utilities\DownloadLogsFromS3.py --loco 4010 --day 2017-01-09</t>
  </si>
  <si>
    <t>Onboard in-route failure</t>
  </si>
  <si>
    <t>Wi-MAX data drop</t>
  </si>
  <si>
    <t>Early arrival</t>
  </si>
  <si>
    <t>Banner without braking</t>
  </si>
  <si>
    <t>104-09</t>
  </si>
  <si>
    <t>102-09</t>
  </si>
  <si>
    <t>105-09</t>
  </si>
  <si>
    <t>901-09</t>
  </si>
  <si>
    <t>106-09</t>
  </si>
  <si>
    <t>801-09</t>
  </si>
  <si>
    <t>116-09</t>
  </si>
  <si>
    <t>805-09</t>
  </si>
  <si>
    <t>118-09</t>
  </si>
  <si>
    <t>806-09</t>
  </si>
  <si>
    <t>120-09</t>
  </si>
  <si>
    <t>122-09</t>
  </si>
  <si>
    <t>133-09</t>
  </si>
  <si>
    <t>810-09</t>
  </si>
  <si>
    <t>812-09</t>
  </si>
  <si>
    <t>147-09</t>
  </si>
  <si>
    <t>170-09</t>
  </si>
  <si>
    <t>822-09</t>
  </si>
  <si>
    <t>187-09</t>
  </si>
  <si>
    <t>189-09</t>
  </si>
  <si>
    <t>904-09</t>
  </si>
  <si>
    <t>184-09</t>
  </si>
  <si>
    <t>186-09</t>
  </si>
  <si>
    <t>827-09</t>
  </si>
  <si>
    <t>rtdc.l.rtdc.4015:itc</t>
  </si>
  <si>
    <t>74-09</t>
  </si>
  <si>
    <t>208-09</t>
  </si>
  <si>
    <t>838-09</t>
  </si>
  <si>
    <t>rtdc.l.rtdc.4045:itc</t>
  </si>
  <si>
    <t>230-09</t>
  </si>
  <si>
    <t>302-09</t>
  </si>
  <si>
    <t>101-09</t>
  </si>
  <si>
    <t>304-09</t>
  </si>
  <si>
    <t>103-09</t>
  </si>
  <si>
    <t>306-09</t>
  </si>
  <si>
    <t>STARKS</t>
  </si>
  <si>
    <t>ANGELINA</t>
  </si>
  <si>
    <t>308-09</t>
  </si>
  <si>
    <t>BONDS</t>
  </si>
  <si>
    <t>REYNALDO</t>
  </si>
  <si>
    <t>310-09</t>
  </si>
  <si>
    <t>107-09</t>
  </si>
  <si>
    <t>109-09</t>
  </si>
  <si>
    <t>111-09</t>
  </si>
  <si>
    <t>113-09</t>
  </si>
  <si>
    <t>800-09</t>
  </si>
  <si>
    <t>108-09</t>
  </si>
  <si>
    <t>115-09</t>
  </si>
  <si>
    <t>110-09</t>
  </si>
  <si>
    <t>117-09</t>
  </si>
  <si>
    <t>112-09</t>
  </si>
  <si>
    <t>119-09</t>
  </si>
  <si>
    <t>114-09</t>
  </si>
  <si>
    <t>902-09</t>
  </si>
  <si>
    <t>121-09</t>
  </si>
  <si>
    <t>803-09</t>
  </si>
  <si>
    <t>123-09</t>
  </si>
  <si>
    <t>125-09</t>
  </si>
  <si>
    <t>804-09</t>
  </si>
  <si>
    <t>127-09</t>
  </si>
  <si>
    <t>807-09</t>
  </si>
  <si>
    <t>129-09</t>
  </si>
  <si>
    <t>124-09</t>
  </si>
  <si>
    <t>126-09</t>
  </si>
  <si>
    <t>131-09</t>
  </si>
  <si>
    <t>808-09</t>
  </si>
  <si>
    <t>809-09</t>
  </si>
  <si>
    <t>128-09</t>
  </si>
  <si>
    <t>135-09</t>
  </si>
  <si>
    <t>811-09</t>
  </si>
  <si>
    <t>130-09</t>
  </si>
  <si>
    <t>137-09</t>
  </si>
  <si>
    <t>132-09</t>
  </si>
  <si>
    <t>139-09</t>
  </si>
  <si>
    <t>903-09</t>
  </si>
  <si>
    <t>134-09</t>
  </si>
  <si>
    <t>141-09</t>
  </si>
  <si>
    <t>136-09</t>
  </si>
  <si>
    <t>143-09</t>
  </si>
  <si>
    <t>138-09</t>
  </si>
  <si>
    <t>813-09</t>
  </si>
  <si>
    <t>145-09</t>
  </si>
  <si>
    <t>140-09</t>
  </si>
  <si>
    <t>142-09</t>
  </si>
  <si>
    <t>814-09</t>
  </si>
  <si>
    <t>149-09</t>
  </si>
  <si>
    <t>YANAI</t>
  </si>
  <si>
    <t>IAN</t>
  </si>
  <si>
    <t>144-09</t>
  </si>
  <si>
    <t>151-09</t>
  </si>
  <si>
    <t>815-09</t>
  </si>
  <si>
    <t>146-09</t>
  </si>
  <si>
    <t>153-09</t>
  </si>
  <si>
    <t>155-09</t>
  </si>
  <si>
    <t>148-09</t>
  </si>
  <si>
    <t>150-09</t>
  </si>
  <si>
    <t>816-09</t>
  </si>
  <si>
    <t>157-09</t>
  </si>
  <si>
    <t>152-09</t>
  </si>
  <si>
    <t>154-09</t>
  </si>
  <si>
    <t>159-09</t>
  </si>
  <si>
    <t>YANG</t>
  </si>
  <si>
    <t>JAN</t>
  </si>
  <si>
    <t>817-09</t>
  </si>
  <si>
    <t>161-09</t>
  </si>
  <si>
    <t>50-09</t>
  </si>
  <si>
    <t>156-09</t>
  </si>
  <si>
    <t>163-09</t>
  </si>
  <si>
    <t>CLARK</t>
  </si>
  <si>
    <t>KATHLEEN</t>
  </si>
  <si>
    <t>158-09</t>
  </si>
  <si>
    <t>818-09</t>
  </si>
  <si>
    <t>165-09</t>
  </si>
  <si>
    <t>ADANE</t>
  </si>
  <si>
    <t>ELSHADAY</t>
  </si>
  <si>
    <t>167-09</t>
  </si>
  <si>
    <t>160-09</t>
  </si>
  <si>
    <t>rtdc.l.rtdc.4016:itc</t>
  </si>
  <si>
    <t>51-09</t>
  </si>
  <si>
    <t>819-09</t>
  </si>
  <si>
    <t>162-09</t>
  </si>
  <si>
    <t>169-09</t>
  </si>
  <si>
    <t>164-09</t>
  </si>
  <si>
    <t>166-09</t>
  </si>
  <si>
    <t>171-09</t>
  </si>
  <si>
    <t>COMELLA</t>
  </si>
  <si>
    <t>JUSTIN</t>
  </si>
  <si>
    <t>820-09</t>
  </si>
  <si>
    <t>173-09</t>
  </si>
  <si>
    <t>168-09</t>
  </si>
  <si>
    <t>175-09</t>
  </si>
  <si>
    <t>177-09</t>
  </si>
  <si>
    <t>821-09</t>
  </si>
  <si>
    <t>SIMMONS</t>
  </si>
  <si>
    <t>SHYHESHA</t>
  </si>
  <si>
    <t>172-09</t>
  </si>
  <si>
    <t>179-09</t>
  </si>
  <si>
    <t>174-09</t>
  </si>
  <si>
    <t>181-09</t>
  </si>
  <si>
    <t>176-09</t>
  </si>
  <si>
    <t>183-09</t>
  </si>
  <si>
    <t>178-09</t>
  </si>
  <si>
    <t>180-09</t>
  </si>
  <si>
    <t>185-09</t>
  </si>
  <si>
    <t>823-09</t>
  </si>
  <si>
    <t>182-09</t>
  </si>
  <si>
    <t>824-09</t>
  </si>
  <si>
    <t>191-09</t>
  </si>
  <si>
    <t>193-09</t>
  </si>
  <si>
    <t>825-09</t>
  </si>
  <si>
    <t>188-09</t>
  </si>
  <si>
    <t>195-09</t>
  </si>
  <si>
    <t>190-09</t>
  </si>
  <si>
    <t>826-09</t>
  </si>
  <si>
    <t>197-09</t>
  </si>
  <si>
    <t>192-09</t>
  </si>
  <si>
    <t>199-09</t>
  </si>
  <si>
    <t>194-09</t>
  </si>
  <si>
    <t>828-09</t>
  </si>
  <si>
    <t>201-09</t>
  </si>
  <si>
    <t>196-09</t>
  </si>
  <si>
    <t>829-09</t>
  </si>
  <si>
    <t>203-09</t>
  </si>
  <si>
    <t>831-09</t>
  </si>
  <si>
    <t>198-09</t>
  </si>
  <si>
    <t>830-09</t>
  </si>
  <si>
    <t>205-09</t>
  </si>
  <si>
    <t>200-09</t>
  </si>
  <si>
    <t>207-09</t>
  </si>
  <si>
    <t>202-09</t>
  </si>
  <si>
    <t>832-09</t>
  </si>
  <si>
    <t>833-09</t>
  </si>
  <si>
    <t>209-09</t>
  </si>
  <si>
    <t>204-09</t>
  </si>
  <si>
    <t>76-09</t>
  </si>
  <si>
    <t>65-09</t>
  </si>
  <si>
    <t>MAHAN</t>
  </si>
  <si>
    <t>DUANE</t>
  </si>
  <si>
    <t>211-09</t>
  </si>
  <si>
    <t>835-09</t>
  </si>
  <si>
    <t>75-09</t>
  </si>
  <si>
    <t>834-09</t>
  </si>
  <si>
    <t>206-09</t>
  </si>
  <si>
    <t>213-09</t>
  </si>
  <si>
    <t>215-09</t>
  </si>
  <si>
    <t>78-09</t>
  </si>
  <si>
    <t>836-09</t>
  </si>
  <si>
    <t>77-09</t>
  </si>
  <si>
    <t>210-09</t>
  </si>
  <si>
    <t>217-09</t>
  </si>
  <si>
    <t>212-09</t>
  </si>
  <si>
    <t>837-09</t>
  </si>
  <si>
    <t>219-09</t>
  </si>
  <si>
    <t>STORY</t>
  </si>
  <si>
    <t>SAMANTHA</t>
  </si>
  <si>
    <t>839-09</t>
  </si>
  <si>
    <t>214-09</t>
  </si>
  <si>
    <t>303-09</t>
  </si>
  <si>
    <t>216-09</t>
  </si>
  <si>
    <t>221-09</t>
  </si>
  <si>
    <t>218-09</t>
  </si>
  <si>
    <t>906-09</t>
  </si>
  <si>
    <t>305-09</t>
  </si>
  <si>
    <t>841-09</t>
  </si>
  <si>
    <t>220-09</t>
  </si>
  <si>
    <t>223-09</t>
  </si>
  <si>
    <t>840-09</t>
  </si>
  <si>
    <t>307-09</t>
  </si>
  <si>
    <t>222-09</t>
  </si>
  <si>
    <t>225-09</t>
  </si>
  <si>
    <t>224-09</t>
  </si>
  <si>
    <t>227-09</t>
  </si>
  <si>
    <t>843-09</t>
  </si>
  <si>
    <t>842-09</t>
  </si>
  <si>
    <t>226-09</t>
  </si>
  <si>
    <t>229-09</t>
  </si>
  <si>
    <t>845-09</t>
  </si>
  <si>
    <t>231-09</t>
  </si>
  <si>
    <t>228-09</t>
  </si>
  <si>
    <t>844-09</t>
  </si>
  <si>
    <t>233-09</t>
  </si>
  <si>
    <t>847-09</t>
  </si>
  <si>
    <t>235-09</t>
  </si>
  <si>
    <t>232-09</t>
  </si>
  <si>
    <t>908-09</t>
  </si>
  <si>
    <t>234-09</t>
  </si>
  <si>
    <t>237-09</t>
  </si>
  <si>
    <t>239-09</t>
  </si>
  <si>
    <t>236-09</t>
  </si>
  <si>
    <t>238-09</t>
  </si>
  <si>
    <t>241-09</t>
  </si>
  <si>
    <t>243-09</t>
  </si>
  <si>
    <t>240-09</t>
  </si>
  <si>
    <t>309-09</t>
  </si>
  <si>
    <t>311-09</t>
  </si>
  <si>
    <t>244-09</t>
  </si>
  <si>
    <t>313-09</t>
  </si>
  <si>
    <t>315-09</t>
  </si>
  <si>
    <t>204:732</t>
  </si>
  <si>
    <t>204:233321</t>
  </si>
  <si>
    <t>204:232681</t>
  </si>
  <si>
    <t>204:189</t>
  </si>
  <si>
    <t>204:746</t>
  </si>
  <si>
    <t>204:232673</t>
  </si>
  <si>
    <t>204:233297</t>
  </si>
  <si>
    <t>204:232679</t>
  </si>
  <si>
    <t>204:233300</t>
  </si>
  <si>
    <t>204:826</t>
  </si>
  <si>
    <t>204:480</t>
  </si>
  <si>
    <t>204:233315</t>
  </si>
  <si>
    <t>204:233312</t>
  </si>
  <si>
    <t>204:232992</t>
  </si>
  <si>
    <t>204:748</t>
  </si>
  <si>
    <t>204:703</t>
  </si>
  <si>
    <t>204:27293</t>
  </si>
  <si>
    <t>204:233340</t>
  </si>
  <si>
    <t>204:233282</t>
  </si>
  <si>
    <t>204:232975</t>
  </si>
  <si>
    <t>204:233337</t>
  </si>
  <si>
    <t>204:233017</t>
  </si>
  <si>
    <t>204:64469</t>
  </si>
  <si>
    <t>204:86376</t>
  </si>
  <si>
    <t>204:233278</t>
  </si>
  <si>
    <t>204:431</t>
  </si>
  <si>
    <t>204:233011</t>
  </si>
  <si>
    <t>204:125</t>
  </si>
  <si>
    <t>204:442</t>
  </si>
  <si>
    <t>204:233015</t>
  </si>
  <si>
    <t>204:233145</t>
  </si>
  <si>
    <t>204:233328</t>
  </si>
  <si>
    <t>204:424</t>
  </si>
  <si>
    <t>204:233311</t>
  </si>
  <si>
    <t>204:174</t>
  </si>
  <si>
    <t>204:458</t>
  </si>
  <si>
    <t>204:232965</t>
  </si>
  <si>
    <t>204:233010</t>
  </si>
  <si>
    <t>204:221</t>
  </si>
  <si>
    <t>204:233331</t>
  </si>
  <si>
    <t>204:233028</t>
  </si>
  <si>
    <t>204:233216</t>
  </si>
  <si>
    <t>204:232961</t>
  </si>
  <si>
    <t>204:233359</t>
  </si>
  <si>
    <t>204:233036</t>
  </si>
  <si>
    <t>204:544</t>
  </si>
  <si>
    <t>204:167</t>
  </si>
  <si>
    <t>204:233287</t>
  </si>
  <si>
    <t>204:232972</t>
  </si>
  <si>
    <t>204:127772</t>
  </si>
  <si>
    <t>204:232998</t>
  </si>
  <si>
    <t>204:232991</t>
  </si>
  <si>
    <t>204:1177</t>
  </si>
  <si>
    <t>204:232963</t>
  </si>
  <si>
    <t>204:906</t>
  </si>
  <si>
    <t>204:415</t>
  </si>
  <si>
    <t>204:233303</t>
  </si>
  <si>
    <t>204:227848</t>
  </si>
  <si>
    <t>204:232976</t>
  </si>
  <si>
    <t>204:233389</t>
  </si>
  <si>
    <t>204:233100</t>
  </si>
  <si>
    <t>204:233419</t>
  </si>
  <si>
    <t>204:233087</t>
  </si>
  <si>
    <t>300:23101</t>
  </si>
  <si>
    <t>204:1231</t>
  </si>
  <si>
    <t>300:23310</t>
  </si>
  <si>
    <t>300:20519</t>
  </si>
  <si>
    <t>300:23295</t>
  </si>
  <si>
    <t>300:25109</t>
  </si>
  <si>
    <t>300:22252</t>
  </si>
  <si>
    <t>300:22858</t>
  </si>
  <si>
    <t>300:22766</t>
  </si>
  <si>
    <t>300:22773</t>
  </si>
  <si>
    <t>300:22932</t>
  </si>
  <si>
    <t>204:861</t>
  </si>
  <si>
    <t>204:1179</t>
  </si>
  <si>
    <t>300:24290</t>
  </si>
  <si>
    <t>204:1466</t>
  </si>
  <si>
    <t>204:1469</t>
  </si>
  <si>
    <t>204:1479</t>
  </si>
  <si>
    <t>300:23175</t>
  </si>
  <si>
    <t>204:86</t>
  </si>
  <si>
    <t>204:330</t>
  </si>
  <si>
    <t>300:22043</t>
  </si>
  <si>
    <t>204:934</t>
  </si>
  <si>
    <t>204:1249</t>
  </si>
  <si>
    <t>300:31193</t>
  </si>
  <si>
    <t>300:22051</t>
  </si>
  <si>
    <t>204:140</t>
  </si>
  <si>
    <t>300:58711</t>
  </si>
  <si>
    <t>204:624</t>
  </si>
  <si>
    <t>204:918</t>
  </si>
  <si>
    <t>300:59010</t>
  </si>
  <si>
    <t>204:972</t>
  </si>
  <si>
    <t>300:58986</t>
  </si>
  <si>
    <t>300:58656</t>
  </si>
  <si>
    <t>204:664</t>
  </si>
  <si>
    <t>204:901</t>
  </si>
  <si>
    <t>300:59018</t>
  </si>
  <si>
    <t>300:58705</t>
  </si>
  <si>
    <t>204:974</t>
  </si>
  <si>
    <t>204:677</t>
  </si>
  <si>
    <t>204:923</t>
  </si>
  <si>
    <t>300:59014</t>
  </si>
  <si>
    <t>300:58694</t>
  </si>
  <si>
    <t>204:670</t>
  </si>
  <si>
    <t>204:971</t>
  </si>
  <si>
    <t>300:58928</t>
  </si>
  <si>
    <t>204:1006</t>
  </si>
  <si>
    <t>300:58924</t>
  </si>
  <si>
    <t>204:685</t>
  </si>
  <si>
    <t>300:58922</t>
  </si>
  <si>
    <t>300:58609</t>
  </si>
  <si>
    <t>204:965</t>
  </si>
  <si>
    <t>204:969</t>
  </si>
  <si>
    <t>300:58918</t>
  </si>
  <si>
    <t>300:58606</t>
  </si>
  <si>
    <t>204:691</t>
  </si>
  <si>
    <t>204:978</t>
  </si>
  <si>
    <t>300:58958</t>
  </si>
  <si>
    <t>300:58643</t>
  </si>
  <si>
    <t>204:689</t>
  </si>
  <si>
    <t>204:981</t>
  </si>
  <si>
    <t>300:58615</t>
  </si>
  <si>
    <t>204:936</t>
  </si>
  <si>
    <t>300:58916</t>
  </si>
  <si>
    <t>300:58604</t>
  </si>
  <si>
    <t>204:946</t>
  </si>
  <si>
    <t>300:58602</t>
  </si>
  <si>
    <t>204:652</t>
  </si>
  <si>
    <t>300:58946</t>
  </si>
  <si>
    <t>300:58638</t>
  </si>
  <si>
    <t>204:951</t>
  </si>
  <si>
    <t>204:666</t>
  </si>
  <si>
    <t>204:983</t>
  </si>
  <si>
    <t>300:58939</t>
  </si>
  <si>
    <t>204:696</t>
  </si>
  <si>
    <t>204:953</t>
  </si>
  <si>
    <t>204:663</t>
  </si>
  <si>
    <t>204:976</t>
  </si>
  <si>
    <t>300:58636</t>
  </si>
  <si>
    <t>204:682</t>
  </si>
  <si>
    <t>204:943</t>
  </si>
  <si>
    <t>300:58956</t>
  </si>
  <si>
    <t>300:58589</t>
  </si>
  <si>
    <t>300:57083</t>
  </si>
  <si>
    <t>300:30288</t>
  </si>
  <si>
    <t>300:23461</t>
  </si>
  <si>
    <t>204:671</t>
  </si>
  <si>
    <t>204:964</t>
  </si>
  <si>
    <t>300:25458</t>
  </si>
  <si>
    <t>300:23209</t>
  </si>
  <si>
    <t>204:633</t>
  </si>
  <si>
    <t>300:28780</t>
  </si>
  <si>
    <t>300:21753</t>
  </si>
  <si>
    <t>start /low /b %USERPROFILE%\Documents\GitHub\eaglep3\Utilities\DownloadLogsFromS3.py --loco 4004 --day 2017-01-09</t>
  </si>
  <si>
    <t>start /low /b %USERPROFILE%\Documents\GitHub\eaglep3\Utilities\DownloadLogsFromS3.py --loco 4046 --day 2017-01-09</t>
  </si>
  <si>
    <t>start /low /b %USERPROFILE%\Documents\GitHub\eaglep3\Utilities\DownloadLogsFromS3.py --loco 4003 --day 2017-01-09</t>
  </si>
  <si>
    <t>start /low /b %USERPROFILE%\Documents\GitHub\eaglep3\Utilities\DownloadLogsFromS3.py --loco 4013 --day 2017-01-09</t>
  </si>
  <si>
    <t>start /low /b %USERPROFILE%\Documents\GitHub\eaglep3\Utilities\DownloadLogsFromS3.py --loco 4012 --day 2017-01-09</t>
  </si>
  <si>
    <t>start /low /b %USERPROFILE%\Documents\GitHub\eaglep3\Utilities\DownloadLogsFromS3.py --loco 4042 --day 2017-01-09</t>
  </si>
  <si>
    <t>start /low /b %USERPROFILE%\Documents\GitHub\eaglep3\Utilities\DownloadLogsFromS3.py --loco 4026 --day 2017-01-09</t>
  </si>
  <si>
    <t>start /low /b %USERPROFILE%\Documents\GitHub\eaglep3\Utilities\DownloadLogsFromS3.py --loco 4032 --day 2017-01-09</t>
  </si>
  <si>
    <t>start /low /b %USERPROFILE%\Documents\GitHub\eaglep3\Utilities\DownloadLogsFromS3.py --loco 4041 --day 2017-01-09</t>
  </si>
  <si>
    <t>start /low /b %USERPROFILE%\Documents\GitHub\eaglep3\Utilities\DownloadLogsFromS3.py --loco 4043 --day 2017-01-09</t>
  </si>
  <si>
    <t>start /low /b %USERPROFILE%\Documents\GitHub\eaglep3\Utilities\DownloadLogsFromS3.py --loco 4045 --day 2017-01-10</t>
  </si>
  <si>
    <t>start /low /b %USERPROFILE%\Documents\GitHub\eaglep3\Utilities\DownloadLogsFromS3.py --loco 4019 --day 2017-01-10</t>
  </si>
  <si>
    <t>start /low /b %USERPROFILE%\Documents\GitHub\eaglep3\Utilities\DownloadLogsFromS3.py --loco 4013 --day 2017-01-10</t>
  </si>
  <si>
    <t>start /low /b %USERPROFILE%\Documents\GitHub\eaglep3\Utilities\DownloadLogsFromS3.py --loco 4030 --day 2017-01-09</t>
  </si>
  <si>
    <t>start /low /b %USERPROFILE%\Documents\GitHub\eaglep3\Utilities\DownloadLogsFromS3.py --loco 4029 --day 2017-01-09</t>
  </si>
  <si>
    <t>Repeated early arrival enforcements @ York &amp; Josephine</t>
  </si>
  <si>
    <t>Onboard in-route failure delayed departure</t>
  </si>
  <si>
    <t>Premature downgrade at 40th 2N</t>
  </si>
  <si>
    <t>At 15:08:48, the train was about 100 ft from 40th 2N when it dropped from PROCEED CAB to STOP. Do logs indicate any out-of-ordinary behaviors at this time?</t>
  </si>
  <si>
    <t>DTO Efficiency Test</t>
  </si>
  <si>
    <t>EC1981RH 197-1T 1S STOP, cleared afterward</t>
  </si>
  <si>
    <t>Early arrival (41st)</t>
  </si>
  <si>
    <t>242-09</t>
  </si>
  <si>
    <t>802-09</t>
  </si>
  <si>
    <t>False occupancy at Westminster</t>
  </si>
  <si>
    <t>CCROC/crew/equipment mismatch delayed departure</t>
  </si>
  <si>
    <t>SYS :2017/01/09 11:46:50.571:ENFORCEMENT:Reactive Enforcement Action:  Target Number: 000061ED  Target Speed:   0.0  Current Speed:  31.4</t>
  </si>
  <si>
    <t>SYS :2017/01/09 11:46:51.139:ENFORCEMENT:Reactive Enforcement Action:  Target Number: 000061EC  Target Speed:   0.0  Current Speed:  31.0</t>
  </si>
  <si>
    <t>SYS :2017/01/09 11:50:57.673:ENFORCEMENT:Predictive Enforcement Action:  Target Number: 00001009  Target Speed:   0.0  Current Speed:   4.8</t>
  </si>
  <si>
    <t>SYS :2017/01/09 11:50:57.701:ENFORCEMENT:Predictive Enforcement Action:  Target Number: 00001009  Target Speed:   0.0  Current Speed:   4.8</t>
  </si>
  <si>
    <t>SYS :2017/01/09 11:50:57.926:ENFORCEMENT:Predictive Enforcement Action:  Target Number: 00001009  Target Speed:   0.0  Current Speed:   4.8</t>
  </si>
  <si>
    <t>SYS :2017/01/09 11:51:28.665:ENFORCEMENT:Predictive Enforcement Action:  Target Number: 00001009  Target Speed:   0.0  Current Speed:   2.8</t>
  </si>
  <si>
    <t>SYS :2017/01/09 11:51:28.699:ENFORCEMENT:Predictive Enforcement Action:  Target Number: 00001009  Target Speed:   0.0  Current Speed:   2.8</t>
  </si>
  <si>
    <t>SYS :2017/01/09 11:51:28.931:ENFORCEMENT:Predictive Enforcement Action:  Target Number: 00001009  Target Speed:   0.0  Current Speed:   2.8</t>
  </si>
  <si>
    <t>SYS :2017/01/09 11:53:50.063:ENFORCEMENT:Predictive Enforcement Action:  Target Number: 00001002  Target Speed:   0.0  Current Speed:   5.1</t>
  </si>
  <si>
    <t>SYS :2017/01/09 11:53:50.346:ENFORCEMENT:Predictive Enforcement Action:  Target Number: 00001002  Target Speed:   0.0  Current Speed:   5.1</t>
  </si>
  <si>
    <t>SYS :2017/01/09 11:53:50.672:ENFORCEMENT:Predictive Enforcement Action:  Target Number: 00001002  Target Speed:   0.0  Current Speed:   5.1</t>
  </si>
  <si>
    <t>SYS :2017/01/09 12:05:52.272:ENFORCEMENT:Predictive Enforcement Action:  Target Number: 00001002  Target Speed:   0.0  Current Speed:   2.3</t>
  </si>
  <si>
    <t>SYS :2017/01/09 12:05:52.273:ENFORCEMENT:Predictive Enforcement Action:  Target Number: 00001002  Target Speed:   0.0  Current Speed:   2.3</t>
  </si>
  <si>
    <t>SYS :2017/01/09 12:05:52.542:ENFORCEMENT:Predictive Enforcement Action:  Target Number: 00001002  Target Speed:   0.0  Current Speed:   2.6</t>
  </si>
  <si>
    <t>SYS :2017/01/09 12:06:34.268:ENFORCEMENT:Reactive Enforcement Action:  Target Number: 00001002  Target Speed:   0.0  Current Speed:   0.7</t>
  </si>
  <si>
    <t>SYS :2017/01/09 12:06:34.272:ENFORCEMENT:Reactive Enforcement Action:  Target Number: 00001002  Target Speed:   0.0  Current Speed:   0.7</t>
  </si>
  <si>
    <t>SYS :2017/01/09 12:06:34.538:ENFORCEMENT:Reactive Enforcement Action:  Target Number: 00001002  Target Speed:   0.0  Current Speed:   1.0</t>
  </si>
  <si>
    <t>SYS :2017/01/09 12:24:03.570:ENFORCEMENT:Predictive Enforcement Action:  Target Number: 00001019  Target Speed:   0.0  Current Speed:   3.7</t>
  </si>
  <si>
    <t>SYS :2017/01/09 12:24:04.138:ENFORCEMENT:Predictive Enforcement Action:  Target Number: 00001019  Target Speed:   0.0  Current Speed:   3.7</t>
  </si>
  <si>
    <t>SYS :2017/01/09 12:45:04.711:ENFORCEMENT:Predictive Enforcement Action:  Target Number: 000102CE  Target Speed:  30.0  Current Speed:  41.1</t>
  </si>
  <si>
    <t>SYS :2017/01/09 12:45:04.835:ENFORCEMENT:Predictive Enforcement Action:  Target Number: 000102CB  Target Speed:  30.0  Current Speed:  41.1</t>
  </si>
  <si>
    <t>SYS :2017/01/09 13:06:26.273:ENFORCEMENT:Predictive Enforcement Action:  Target Number: 00001005  Target Speed:   0.0  Current Speed:   1.8</t>
  </si>
  <si>
    <t>SYS :2017/01/09 13:06:26.540:ENFORCEMENT:Predictive Enforcement Action:  Target Number: 00001005  Target Speed:   0.0  Current Speed:   1.8</t>
  </si>
  <si>
    <t>SYS :2017/01/09 13:07:23.272:ENFORCEMENT:Predictive Enforcement Action:  Target Number: 00001005  Target Speed:   0.0  Current Speed:   1.2</t>
  </si>
  <si>
    <t>SYS :2017/01/09 13:07:23.281:ENFORCEMENT:Predictive Enforcement Action:  Target Number: 00001004  Target Speed:   0.0  Current Speed:   0.9</t>
  </si>
  <si>
    <t>SYS :2017/01/09 13:07:23.539:ENFORCEMENT:Predictive Enforcement Action:  Target Number: 00001005  Target Speed:   0.0  Current Speed:   1.2</t>
  </si>
  <si>
    <t>SYS :2017/01/09 13:27:33.512:ENFORCEMENT:Reactive Enforcement Action:  Target Number: 00010020  Target Speed:  35.0  Current Speed:  40.6</t>
  </si>
  <si>
    <t>SYS :2017/01/09 13:27:33.762:ENFORCEMENT:Reactive Enforcement Action:  Target Number: 00010020  Target Speed:  35.0  Current Speed:  40.6</t>
  </si>
  <si>
    <t>SYS :2017/01/09 14:06:18.301:ENFORCEMENT:Reactive Enforcement Action:  Target Number: 00001008  Target Speed:   0.0  Current Speed:   0.5</t>
  </si>
  <si>
    <t>SYS :2017/01/09 14:06:19.280:ENFORCEMENT:Reactive Enforcement Action:  Target Number: 00001007  Target Speed:   0.0  Current Speed:   0.6</t>
  </si>
  <si>
    <t>SYS :2017/01/09 14:06:19.542:ENFORCEMENT:Reactive Enforcement Action:  Target Number: 00001008  Target Speed:   0.0  Current Speed:   0.6</t>
  </si>
  <si>
    <t>SYS :2017/01/09 14:20:42.659:ENFORCEMENT:Predictive Enforcement Action:  Target Number: 00001003  Target Speed:   0.0  Current Speed:   3.7</t>
  </si>
  <si>
    <t>SYS :2017/01/09 14:20:42.739:ENFORCEMENT:Predictive Enforcement Action:  Target Number: 00001003  Target Speed:   0.0  Current Speed:   3.7</t>
  </si>
  <si>
    <t>SYS :2017/01/09 14:26:41.006:ENFORCEMENT:Predictive Enforcement Action:  Target Number: 00001005  Target Speed:   0.0  Current Speed:   1.7</t>
  </si>
  <si>
    <t>SYS :2017/01/09 14:26:41.367:ENFORCEMENT:Predictive Enforcement Action:  Target Number: 00001005  Target Speed:   0.0  Current Speed:   1.7</t>
  </si>
  <si>
    <t>SYS :2017/01/09 14:26:41.481:ENFORCEMENT:Predictive Enforcement Action:  Target Number: 00001005  Target Speed:   0.0  Current Speed:   1.7</t>
  </si>
  <si>
    <t>SYS :2017/01/09 14:28:23.144:ENFORCEMENT:Predictive Enforcement Action:  Target Number: 00017014  Target Speed:  17.0  Current Speed:  22.3</t>
  </si>
  <si>
    <t>SYS :2017/01/09 14:28:23.520:ENFORCEMENT:Predictive Enforcement Action:  Target Number: 00017014  Target Speed:  17.0  Current Speed:  22.3</t>
  </si>
  <si>
    <t>SYS :2017/01/09 14:29:04.141:ENFORCEMENT:Predictive Enforcement Action:  Target Number: 00017014  Target Speed:   0.0  Current Speed:   5.3</t>
  </si>
  <si>
    <t>SYS :2017/01/09 14:29:04.516:ENFORCEMENT:Predictive Enforcement Action:  Target Number: 00017014  Target Speed:   0.0  Current Speed:   5.3</t>
  </si>
  <si>
    <t>SYS :2017/01/09 14:29:43.145:ENFORCEMENT:Reactive Enforcement Action:  Target Number: 00017014  Target Speed:   0.0  Current Speed:   5.0</t>
  </si>
  <si>
    <t>SYS :2017/01/09 14:29:43.515:ENFORCEMENT:Reactive Enforcement Action:  Target Number: 00017014  Target Speed:   0.0  Current Speed:   5.0</t>
  </si>
  <si>
    <t>SYS :2017/01/09 14:50:54.082:ENFORCEMENT:Reactive Enforcement Action:  Target Number: 00010068  Target Speed:  30.0  Current Speed:  35.0</t>
  </si>
  <si>
    <t>SYS :2017/01/09 14:50:54.357:ENFORCEMENT:Reactive Enforcement Action:  Target Number: 0001005B  Target Speed:  30.0  Current Speed:  35.0</t>
  </si>
  <si>
    <t>SYS :2017/01/09 14:50:54.705:ENFORCEMENT:Reactive Enforcement Action:  Target Number: 0001005B  Target Speed:  30.0  Current Speed:  35.0</t>
  </si>
  <si>
    <t>SYS :2017/01/09 14:50:54.954:ENFORCEMENT:Predictive Enforcement Action:  Target Number: 00001008  Target Speed:   0.0  Current Speed:   4.6</t>
  </si>
  <si>
    <t>SYS :2017/01/09 14:50:55.209:ENFORCEMENT:Predictive Enforcement Action:  Target Number: 00001008  Target Speed:   0.0  Current Speed:   4.6</t>
  </si>
  <si>
    <t>SYS :2017/01/09 14:50:55.424:ENFORCEMENT:Predictive Enforcement Action:  Target Number: 00001008  Target Speed:   0.0  Current Speed:   4.6</t>
  </si>
  <si>
    <t>SYS :2017/01/09 15:06:15.540:ENFORCEMENT:Reactive Enforcement Action:  Target Number: 0000100A  Target Speed:   0.0  Current Speed:   0.2</t>
  </si>
  <si>
    <t>SYS :2017/01/09 15:26:34.375:ENFORCEMENT:Predictive Enforcement Action:  Target Number: 00001008  Target Speed:   0.0  Current Speed:   3.1</t>
  </si>
  <si>
    <t>SYS :2017/01/09 15:26:34.482:ENFORCEMENT:Predictive Enforcement Action:  Target Number: 00001008  Target Speed:   0.0  Current Speed:   3.1</t>
  </si>
  <si>
    <t>SYS :2017/01/09 15:26:35.008:ENFORCEMENT:Predictive Enforcement Action:  Target Number: 00001008  Target Speed:   0.0  Current Speed:   3.1</t>
  </si>
  <si>
    <t>SYS :2017/01/09 15:55:52.939:ENFORCEMENT:Predictive Enforcement Action:  Target Number: 00001022  Target Speed:   0.0  Current Speed:   5.0</t>
  </si>
  <si>
    <t>SYS :2017/01/09 15:55:53.035:ENFORCEMENT:Predictive Enforcement Action:  Target Number: 00001022  Target Speed:   0.0  Current Speed:   5.0</t>
  </si>
  <si>
    <t>SYS :2017/01/09 17:07:25.064:ENFORCEMENT:Predictive Enforcement Action:  Target Number: 00001009  Target Speed:   0.0  Current Speed:   9.9</t>
  </si>
  <si>
    <t>SYS :2017/01/09 17:07:25.344:ENFORCEMENT:Predictive Enforcement Action:  Target Number: 00001009  Target Speed:   0.0  Current Speed:   9.9</t>
  </si>
  <si>
    <t>SYS :2017/01/09 17:07:25.666:ENFORCEMENT:Predictive Enforcement Action:  Target Number: 00001009  Target Speed:   0.0  Current Speed:   9.9</t>
  </si>
  <si>
    <t>SYS :2017/01/09 20:53:07.677:ENFORCEMENT:Predictive Enforcement Action:  Target Number: 00001014  Target Speed:   0.0  Current Speed:   3.3</t>
  </si>
  <si>
    <t>SYS :2017/01/09 20:53:07.687:ENFORCEMENT:Predictive Enforcement Action:  Target Number: 00001014  Target Speed:   0.0  Current Speed:   3.3</t>
  </si>
  <si>
    <t>SYS :2017/01/09 20:53:07.926:ENFORCEMENT:Predictive Enforcement Action:  Target Number: 00001014  Target Speed:   0.0  Current Speed:   3.3</t>
  </si>
  <si>
    <t>SYS :2017/01/09 21:46:42.044:ENFORCEMENT:Predictive Enforcement Action:  Target Number: 0000617E  Target Speed:   0.0  Current Speed:  77.7</t>
  </si>
  <si>
    <t>SYS :2017/01/09 21:46:42.241:ENFORCEMENT:Predictive Enforcement Action:  Target Number: 0000617C  Target Speed:   0.0  Current Speed:  77.7</t>
  </si>
  <si>
    <t>SYS :2017/01/09 21:46:42.496:ENFORCEMENT:Predictive Enforcement Action:  Target Number: 000061DB  Target Speed:   0.0  Current Speed:  77.7</t>
  </si>
  <si>
    <t>SYS :2017/01/09 22:08:51.075:ENFORCEMENT:Reactive Enforcement Action:  Target Number: 000061FA  Target Speed:   0.0  Current Speed:  40.7</t>
  </si>
  <si>
    <t>SYS :2017/01/09 22:08:51.358:ENFORCEMENT:Reactive Enforcement Action:  Target Number: 000061D2  Target Speed:   0.0  Current Speed:  40.7</t>
  </si>
  <si>
    <t>SYS :2017/01/09 22:08:51.670:ENFORCEMENT:Reactive Enforcement Action:  Target Number: 000061D7  Target Speed:   0.0  Current Speed:  40.7</t>
  </si>
  <si>
    <t>SYS :2017/01/09 22:09:28.059:ENFORCEMENT:Reactive Enforcement Action:  Target Number: 000061FA  Target Speed:   0.0  Current Speed:   1.3</t>
  </si>
  <si>
    <t>SYS :2017/01/09 22:09:28.334:ENFORCEMENT:Reactive Enforcement Action:  Target Number: 000061D2  Target Speed:   0.0  Current Speed:   1.3</t>
  </si>
  <si>
    <t>SYS :2017/01/09 22:09:28.656:ENFORCEMENT:Reactive Enforcement Action:  Target Number: 000061D7  Target Speed:   0.0  Current Speed:   1.3</t>
  </si>
  <si>
    <t>SYS :2017/01/09 22:37:50.665:ENFORCEMENT:Predictive Enforcement Action:  Target Number: 00001016  Target Speed:   0.0  Current Speed:  12.1</t>
  </si>
  <si>
    <t>SYS :2017/01/09 22:38:40.664:ENFORCEMENT:Predictive Enforcement Action:  Target Number: 00001016  Target Speed:   0.0  Current Speed:   5.3</t>
  </si>
  <si>
    <t>SYS :2017/01/09 22:50:33.186:ENFORCEMENT:Predictive Enforcement Action:  Target Number: 0000100D  Target Speed:   0.0  Current Speed:   3.9</t>
  </si>
  <si>
    <t>SYS :2017/01/09 22:50:33.751:ENFORCEMENT:Predictive Enforcement Action:  Target Number: 00001011  Target Speed:   0.0  Current Speed:   3.9</t>
  </si>
  <si>
    <t>SYS :2017/01/09 23:04:59.270:ENFORCEMENT:Predictive Enforcement Action:  Target Number: 00001014  Target Speed:   0.0  Current Speed:   9.3</t>
  </si>
  <si>
    <t>SYS :2017/01/10 01:35:03.336:ENFORCEMENT:Predictive Enforcement Action:  Target Number: 00001017  Target Speed:   0.0  Current Speed:   2.9</t>
  </si>
  <si>
    <t>SYS :2017/01/10 01:35:03.475:ENFORCEMENT:Predictive Enforcement Action:  Target Number: 00001017  Target Speed:   0.0  Current Speed:   2.9</t>
  </si>
  <si>
    <t>SYS :2017/01/10 01:35:03.644:ENFORCEMENT:Predictive Enforcement Action:  Target Number: 00001005  Target Speed:   0.0  Current Speed:   2.9</t>
  </si>
  <si>
    <t>SYS :2017/01/10 01:51:53.528:ENFORCEMENT:Predictive Enforcement Action:  Target Number: 00017012  Target Speed:   0.0  Current Speed:  34.8</t>
  </si>
  <si>
    <t>SYS :2017/01/10 01:51:54.683:ENFORCEMENT:Predictive Enforcement Action:  Target Number: 00017012  Target Speed:   0.0  Current Speed:  33.4</t>
  </si>
  <si>
    <t>SYS :2017/01/10 01:51:54.831:ENFORCEMENT:Predictive Enforcement Action:  Target Number: 00017012  Target Speed:   0.0  Current Speed:  33.4</t>
  </si>
  <si>
    <t>SYS :2017/01/10 05:38:07.366:ENFORCEMENT:Predictive Enforcement Action:  Target Number: 00001031  Target Speed:   0.0  Current Speed:   5.8</t>
  </si>
  <si>
    <t>SYS :2017/01/10 05:38:07.433:ENFORCEMENT:Predictive Enforcement Action:  Target Number: 00001031  Target Speed:   0.0  Current Speed:   5.8</t>
  </si>
  <si>
    <t>SYS :2017/01/10 05:38:07.916:ENFORCEMENT:Predictive Enforcement Action:  Target Number: 00001030  Target Speed:   0.0  Current Speed:   5.8</t>
  </si>
  <si>
    <t>Went active too close to Westminster 2S</t>
  </si>
  <si>
    <t>Did not init - CCROC/crew/equipment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</si>
</sst>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8"/>
  <sheetViews>
    <sheetView tabSelected="1" topLeftCell="A148" workbookViewId="0">
      <selection activeCell="R155" sqref="R155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42744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42744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COUNTIFS($N$13:$N$9355,"&gt;0",$AG$13:$AG$9355,I1)</f>
        <v>140</v>
      </c>
      <c r="K5" s="41"/>
      <c r="L5" s="41"/>
      <c r="M5" s="42">
        <f>AVERAGEIFS($N$13:$N$9355,$AG$13:$AG$9355,I1)</f>
        <v>38.839880952869343</v>
      </c>
      <c r="N5" s="40">
        <f t="array" ref="N5">MIN(IF($AG$13:$AG$9355=I1,IF(ISNUMBER($N$13:$N$9355),IF($N$13:$N$9355&gt;0,$N$13:$N$9355))))</f>
        <v>34.583333329064772</v>
      </c>
      <c r="O5" s="3">
        <f t="array" ref="O5">MAX(IF($AG$13:$AG$9355=I1,IF(ISNUMBER($N$13:$N$9355),IF($N$13:$N$9355&gt;0,$N$13:$N$9355))))</f>
        <v>48.433333329157904</v>
      </c>
      <c r="P5" s="2"/>
      <c r="R5" s="76" t="s">
        <v>17</v>
      </c>
      <c r="S5" s="52">
        <f>COUNTIFS($N$13:$N$9355,"&gt;0",$AG$13:$AG$9355,R1)</f>
        <v>44</v>
      </c>
      <c r="T5" s="41"/>
      <c r="U5" s="164"/>
      <c r="V5" s="42">
        <f>AVERAGEIFS($N$13:$N$9355,$AG$13:$AG$9355,R1)</f>
        <v>15.716287879622541</v>
      </c>
      <c r="W5" s="40">
        <f t="array" ref="W5">MIN(IF($AG$13:$AG$9355=R1,IF(ISNUMBER($N$13:$N$9355),IF($N$13:$N$9355&gt;0,$N$13:$N$9355))))</f>
        <v>13.699999996460974</v>
      </c>
      <c r="X5" s="169">
        <f t="array" ref="X5">MAX(IF($AG$13:$AG$9355=R1,IF(ISNUMBER($N$13:$N$9355),IF($N$13:$N$9355&gt;0,$N$13:$N$9355))))</f>
        <v>20.316666669677943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COUNT($O$13:$O$131)</f>
        <v>0</v>
      </c>
      <c r="K6" s="41"/>
      <c r="L6" s="41"/>
      <c r="M6" s="42">
        <f>IFERROR(AVERAGE($O$13:$O$131),0)</f>
        <v>0</v>
      </c>
      <c r="N6" s="40">
        <f>MIN($O$13:$O$131)</f>
        <v>0</v>
      </c>
      <c r="O6" s="3">
        <f>MAX($O$13:$O$131)</f>
        <v>0</v>
      </c>
      <c r="P6" s="2"/>
      <c r="R6" s="77" t="s">
        <v>43</v>
      </c>
      <c r="S6" s="52">
        <f>COUNT($O$13:$O$131)</f>
        <v>0</v>
      </c>
      <c r="T6" s="41"/>
      <c r="U6" s="164"/>
      <c r="V6" s="42">
        <f>IFERROR(AVERAGE($O$13:$O$131),0)</f>
        <v>0</v>
      </c>
      <c r="W6" s="40">
        <f>MIN($O$13:$O$131)</f>
        <v>0</v>
      </c>
      <c r="X6" s="169">
        <f>MAX($O$13:$O$131)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COUNTIFS($P$13:$P$9355,"&gt;0",$AG$13:$AG$9355,I1)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COUNTIFS($P$13:$P$9355,"&gt;0",$AG$13:$AG$9355,R1)</f>
        <v>3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140</v>
      </c>
      <c r="K8" s="41"/>
      <c r="L8" s="41"/>
      <c r="M8" s="42">
        <f>M5</f>
        <v>38.839880952869343</v>
      </c>
      <c r="N8" s="40">
        <f>N5</f>
        <v>34.583333329064772</v>
      </c>
      <c r="O8" s="3">
        <f>O5</f>
        <v>48.433333329157904</v>
      </c>
      <c r="P8" s="2"/>
      <c r="R8" s="76" t="s">
        <v>16</v>
      </c>
      <c r="S8" s="52">
        <f>S5</f>
        <v>44</v>
      </c>
      <c r="T8" s="41"/>
      <c r="U8" s="164"/>
      <c r="V8" s="42">
        <f>V5</f>
        <v>15.716287879622541</v>
      </c>
      <c r="W8" s="40">
        <f>W5</f>
        <v>13.699999996460974</v>
      </c>
      <c r="X8" s="169">
        <f>X5</f>
        <v>20.316666669677943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0.97222222222222221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0.93617021276595747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- 2017-01-09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AVERAGE(S13:S95)</f>
        <v>0.99796747967479682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289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455</v>
      </c>
      <c r="B13" s="7">
        <v>4046</v>
      </c>
      <c r="C13" s="22" t="s">
        <v>203</v>
      </c>
      <c r="D13" s="22" t="s">
        <v>662</v>
      </c>
      <c r="E13" s="13">
        <v>42744.13208333333</v>
      </c>
      <c r="F13" s="13">
        <v>42744.136006944442</v>
      </c>
      <c r="G13" s="7">
        <v>1</v>
      </c>
      <c r="H13" s="22" t="s">
        <v>663</v>
      </c>
      <c r="I13" s="13">
        <v>42744.161817129629</v>
      </c>
      <c r="J13" s="7">
        <v>0</v>
      </c>
      <c r="K13" s="105" t="str">
        <f t="shared" ref="K13:K76" si="0">IF(ISEVEN(B13),(B13-1)&amp;"/"&amp;B13,B13&amp;"/"&amp;(B13+1))</f>
        <v>4045/4046</v>
      </c>
      <c r="L13" s="22" t="str">
        <f>VLOOKUP(A13,'Trips&amp;Operators'!$C$1:$G$99999,5,FALSE)</f>
        <v>OUN ZACK</v>
      </c>
      <c r="M13" s="6">
        <f t="shared" ref="M13:M76" si="1">I13-F13</f>
        <v>2.5810185186855961E-2</v>
      </c>
      <c r="N13" s="7">
        <f t="shared" ref="N13:N31" si="2">24*60*SUM($M13:$M13)</f>
        <v>37.166666669072583</v>
      </c>
      <c r="O13" s="7"/>
      <c r="P13" s="7"/>
      <c r="Q13" s="23"/>
      <c r="R13" s="23"/>
      <c r="S13" s="32">
        <f t="shared" ref="S13:S50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https://search-rtdc-monitor-bjffxe2xuh6vdkpspy63sjmuny.us-east-1.es.amazonaws.com/_plugin/kibana/#/discover/Steve-Slow-Train-Analysis-(2080s-and-2083s)?_g=(refreshInterval:(display:Off,section:0,value:0),time:(from:'2017-01-09 02:10:12-700',mode:absolute,to:'2017-01-09 04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49" t="str">
        <f t="shared" ref="W13:W76" si="6">IF(AA13&lt;IF(AG13="EC",23,5.65),"Y","N")</f>
        <v>N</v>
      </c>
      <c r="X13" s="173" t="e">
        <f t="shared" ref="X13:X58" si="7">VALUE(LEFT(AD13,4))-VALUE(LEFT(AD12,4))</f>
        <v>#VALUE!</v>
      </c>
      <c r="Y13" s="64">
        <f t="shared" ref="Y13:Y76" si="8">RIGHT(D13,LEN(D13)-4)/10000</f>
        <v>7.3200000000000001E-2</v>
      </c>
      <c r="Z13" s="64">
        <f t="shared" ref="Z13:Z76" si="9">RIGHT(H13,LEN(H13)-4)/10000</f>
        <v>23.332100000000001</v>
      </c>
      <c r="AA13" s="64">
        <f t="shared" ref="AA13:AA76" si="10">ABS(Z13-Y13)</f>
        <v>23.258900000000001</v>
      </c>
      <c r="AB13" s="61" t="e">
        <f>VLOOKUP(A13,Enforcements!$C$7:$K$17,8,0)</f>
        <v>#N/A</v>
      </c>
      <c r="AC13" s="57" t="e">
        <f>VLOOKUP(A13,Enforcements!$C$7:$E$17,3,0)</f>
        <v>#N/A</v>
      </c>
      <c r="AD13" s="58" t="str">
        <f t="shared" ref="AD13:AD76" si="11">IF(LEN(A13)=6,"0"&amp;A13,A13)</f>
        <v>0101-09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/stypes="app*4046*20170109*"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4046 --swversion DE.1.0.8.0 --startMP 204:732 --initTime 2017-01-09T03:10:12 --startdatetime 2017-01-09T03:15:51 --delay 1 --endMP 204:233321 --enddatetime 2017-01-09T03:53:01 --enforcementcount 0 &gt;&gt;C:\Users\stu\Documents\GitHub\eaglep3-reporting\EC\2017-01-09-refined-times.txt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{"issue":{"subject":"","project_id":79,"tracker_id":40,"status_id":1,"priority_id":2,"assigned_to_id":23,"start_date":"2017-01-09","description":"","custom_fields":[{"id":1,"name":"Subdivision","value":"EC"},{"id":4,"name":"Milepost","value":"23.3321"},{"id":17,"name":"Train ID","value":"101-09"},{"id":16,"name":"Locomotive ID","value":"4046"},{"id":130,"name":"Impact","value":""},{"id":150,"name":"Time of Event (Mountain Time)","value":"03:53:01"},{"id":151,"name":"Denver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4046 --day 2017-01-09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425</v>
      </c>
      <c r="B14" s="7">
        <v>4032</v>
      </c>
      <c r="C14" s="22" t="s">
        <v>203</v>
      </c>
      <c r="D14" s="22" t="s">
        <v>664</v>
      </c>
      <c r="E14" s="13">
        <v>42744.167395833334</v>
      </c>
      <c r="F14" s="13">
        <v>42744.174513888887</v>
      </c>
      <c r="G14" s="7">
        <v>1</v>
      </c>
      <c r="H14" s="22" t="s">
        <v>665</v>
      </c>
      <c r="I14" s="13">
        <v>42744.202499999999</v>
      </c>
      <c r="J14" s="7">
        <v>0</v>
      </c>
      <c r="K14" s="105" t="str">
        <f t="shared" si="0"/>
        <v>4031/4032</v>
      </c>
      <c r="L14" s="22" t="str">
        <f>VLOOKUP(A14,'Trips&amp;Operators'!$C$1:$G$99999,5,FALSE)</f>
        <v>OUN ZACK</v>
      </c>
      <c r="M14" s="6">
        <f t="shared" si="1"/>
        <v>2.7986111112113576E-2</v>
      </c>
      <c r="N14" s="7">
        <f t="shared" si="2"/>
        <v>40.30000000144355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03:01:03-700',mode:absolute,to:'2017-01-09 05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23.2681</v>
      </c>
      <c r="Z14" s="64">
        <f t="shared" si="9"/>
        <v>1.89E-2</v>
      </c>
      <c r="AA14" s="64">
        <f t="shared" si="10"/>
        <v>23.249200000000002</v>
      </c>
      <c r="AB14" s="61" t="str">
        <f>VLOOKUP(A14,Enforcements!$C$7:$K$17,8,0)</f>
        <v>Form based authority (4)</v>
      </c>
      <c r="AC14" s="57" t="str">
        <f>VLOOKUP(A14,Enforcements!$C$7:$E$17,3,0)</f>
        <v>TRACK WARRANT AUTHORITY</v>
      </c>
      <c r="AD14" s="58" t="str">
        <f t="shared" si="11"/>
        <v>0102-09</v>
      </c>
      <c r="AE14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14" s="84" t="str">
        <f t="shared" si="13"/>
        <v>"C:\Program Files (x86)\AstroGrep\AstroGrep.exe" /spath="%USERPROFILE%\AppData\Local\Temp\OnboardLogs" /stypes="app*4032*20170109*"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4032 --swversion DE.1.0.8.0 --startMP 204:232681 --initTime 2017-01-09T04:01:03 --startdatetime 2017-01-09T04:11:18 --delay 1 --endMP 204:189 --enddatetime 2017-01-09T04:51:36 --enforcementcount 0 &gt;&gt;C:\Users\stu\Documents\GitHub\eaglep3-reporting\EC\2017-01-09-refined-times.txt</v>
      </c>
      <c r="AI14" s="115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{"issue":{"subject":"","project_id":79,"tracker_id":40,"status_id":1,"priority_id":2,"assigned_to_id":23,"start_date":"2017-01-09","description":"","custom_fields":[{"id":1,"name":"Subdivision","value":"EC"},{"id":4,"name":"Milepost","value":"0.0189"},{"id":17,"name":"Train ID","value":"102-09"},{"id":16,"name":"Locomotive ID","value":"4032"},{"id":130,"name":"Impact","value":""},{"id":150,"name":"Time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5" si="20">"start /low /b "&amp;dls3logs&amp;" --loco "&amp;B14&amp;" --day "&amp;TEXT(F14,"YYYY-MM-DD")</f>
        <v>start /low /b %USERPROFILE%\Documents\GitHub\eaglep3\Utilities\DownloadLogsFromS3.py --loco 4032 --day 2017-01-09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457</v>
      </c>
      <c r="B15" s="7">
        <v>4042</v>
      </c>
      <c r="C15" s="22" t="s">
        <v>203</v>
      </c>
      <c r="D15" s="22" t="s">
        <v>666</v>
      </c>
      <c r="E15" s="13">
        <v>42744.155729166669</v>
      </c>
      <c r="F15" s="13">
        <v>42744.157326388886</v>
      </c>
      <c r="G15" s="7">
        <v>1</v>
      </c>
      <c r="H15" s="22" t="s">
        <v>385</v>
      </c>
      <c r="I15" s="13">
        <v>42744.182662037034</v>
      </c>
      <c r="J15" s="7">
        <v>0</v>
      </c>
      <c r="K15" s="105" t="str">
        <f t="shared" si="0"/>
        <v>4041/4042</v>
      </c>
      <c r="L15" s="22" t="str">
        <f>VLOOKUP(A15,'Trips&amp;Operators'!$C$1:$G$99999,5,FALSE)</f>
        <v>MAELZER KURT</v>
      </c>
      <c r="M15" s="6">
        <f t="shared" si="1"/>
        <v>2.5335648148029577E-2</v>
      </c>
      <c r="N15" s="7">
        <f t="shared" si="2"/>
        <v>36.483333333162591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02:44:15-700',mode:absolute,to:'2017-01-09 05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7.46E-2</v>
      </c>
      <c r="Z15" s="64">
        <f t="shared" si="9"/>
        <v>23.331900000000001</v>
      </c>
      <c r="AA15" s="64">
        <f t="shared" si="10"/>
        <v>23.257300000000001</v>
      </c>
      <c r="AB15" s="61" t="e">
        <f>VLOOKUP(A15,Enforcements!$C$7:$K$17,8,0)</f>
        <v>#N/A</v>
      </c>
      <c r="AC15" s="57" t="e">
        <f>VLOOKUP(A15,Enforcements!$C$7:$E$17,3,0)</f>
        <v>#N/A</v>
      </c>
      <c r="AD15" s="58" t="str">
        <f t="shared" si="11"/>
        <v>0103-09</v>
      </c>
      <c r="AE15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15" s="84" t="str">
        <f t="shared" si="13"/>
        <v>"C:\Program Files (x86)\AstroGrep\AstroGrep.exe" /spath="%USERPROFILE%\AppData\Local\Temp\OnboardLogs" /stypes="app*4042*20170109*"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103-09 --locoid 4042 --swversion DE.1.0.8.0 --startMP 204:746 --initTime 2017-01-09T03:44:15 --startdatetime 2017-01-09T03:46:33 --delay 1 --endMP 204:233319 --enddatetime 2017-01-09T04:23:02 --enforcementcount 0 &gt;&gt;C:\Users\stu\Documents\GitHub\eaglep3-reporting\EC\2017-01-09-refined-times.txt</v>
      </c>
      <c r="AI1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{"issue":{"subject":"","project_id":79,"tracker_id":40,"status_id":1,"priority_id":2,"assigned_to_id":23,"start_date":"2017-01-09","description":"","custom_fields":[{"id":1,"name":"Subdivision","value":"EC"},{"id":4,"name":"Milepost","value":"23.3319"},{"id":17,"name":"Train ID","value":"103-09"},{"id":16,"name":"Locomotive ID","value":"4042"},{"id":130,"name":"Impact","value":""},{"id":150,"name":"Time of Event (Mountain Time)","value":"04:23:02"},{"id":151,"name":"Denver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4042 --day 2017-01-09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424</v>
      </c>
      <c r="B16" s="7">
        <v>4026</v>
      </c>
      <c r="C16" s="22" t="s">
        <v>203</v>
      </c>
      <c r="D16" s="22" t="s">
        <v>667</v>
      </c>
      <c r="E16" s="13">
        <v>42744.189166666663</v>
      </c>
      <c r="F16" s="13">
        <v>42744.195416666669</v>
      </c>
      <c r="G16" s="7">
        <v>1</v>
      </c>
      <c r="H16" s="22" t="s">
        <v>272</v>
      </c>
      <c r="I16" s="13">
        <v>42744.225092592591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2.9675925921765156E-2</v>
      </c>
      <c r="N16" s="7">
        <f t="shared" si="2"/>
        <v>42.733333327341825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03:32:24-700',mode:absolute,to:'2017-01-09 06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23.267299999999999</v>
      </c>
      <c r="Z16" s="64">
        <f t="shared" si="9"/>
        <v>1.41E-2</v>
      </c>
      <c r="AA16" s="64">
        <f t="shared" si="10"/>
        <v>23.2532</v>
      </c>
      <c r="AB16" s="61" t="str">
        <f>VLOOKUP(A16,Enforcements!$C$7:$K$17,8,0)</f>
        <v>Signal based authority (5)</v>
      </c>
      <c r="AC16" s="57" t="str">
        <f>VLOOKUP(A16,Enforcements!$C$7:$E$17,3,0)</f>
        <v>SIGNAL</v>
      </c>
      <c r="AD16" s="58" t="str">
        <f t="shared" si="11"/>
        <v>0104-09</v>
      </c>
      <c r="AE16" s="87" t="str">
        <f t="shared" si="12"/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AF16" s="84" t="str">
        <f t="shared" si="13"/>
        <v>"C:\Program Files (x86)\AstroGrep\AstroGrep.exe" /spath="%USERPROFILE%\AppData\Local\Temp\OnboardLogs" /stypes="app*4026*20170109*"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104-09 --locoid 4026 --swversion DE.1.0.8.0 --startMP 204:232673 --initTime 2017-01-09T04:32:24 --startdatetime 2017-01-09T04:41:24 --delay 1 --endMP 204:141 --enddatetime 2017-01-09T05:24:08 --enforcementcount 0 &gt;&gt;C:\Users\stu\Documents\GitHub\eaglep3-reporting\EC\2017-01-09-refined-times.txt</v>
      </c>
      <c r="AI1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ID","value":"104-09"},{"id":16,"name":"Locomotive ID","value":"4026"},{"id":130,"name":"Impact","value":""},{"id":150,"name":"Time of Event (Mountain Time)","value":"05:24:08"},{"id":151,"name":"Denver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4026 --day 2017-01-09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426</v>
      </c>
      <c r="B17" s="7">
        <v>4003</v>
      </c>
      <c r="C17" s="22" t="s">
        <v>203</v>
      </c>
      <c r="D17" s="22" t="s">
        <v>403</v>
      </c>
      <c r="E17" s="13">
        <v>42744.176481481481</v>
      </c>
      <c r="F17" s="13">
        <v>42744.178402777776</v>
      </c>
      <c r="G17" s="7">
        <v>1</v>
      </c>
      <c r="H17" s="22" t="s">
        <v>668</v>
      </c>
      <c r="I17" s="13">
        <v>42744.20412037037</v>
      </c>
      <c r="J17" s="7">
        <v>0</v>
      </c>
      <c r="K17" s="105" t="str">
        <f t="shared" si="0"/>
        <v>4003/4004</v>
      </c>
      <c r="L17" s="22" t="str">
        <f>VLOOKUP(A17,'Trips&amp;Operators'!$C$1:$G$99999,5,FALSE)</f>
        <v>STARKS ANGELINA</v>
      </c>
      <c r="M17" s="6">
        <f t="shared" si="1"/>
        <v>2.5717592594446614E-2</v>
      </c>
      <c r="N17" s="7">
        <f t="shared" si="2"/>
        <v>37.033333336003125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03:14:08-700',mode:absolute,to:'2017-01-09 05:53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7.6600000000000001E-2</v>
      </c>
      <c r="Z17" s="64">
        <f t="shared" si="9"/>
        <v>23.329699999999999</v>
      </c>
      <c r="AA17" s="64">
        <f t="shared" si="10"/>
        <v>23.2531</v>
      </c>
      <c r="AB17" s="61" t="e">
        <f>VLOOKUP(A17,Enforcements!$C$7:$K$17,8,0)</f>
        <v>#N/A</v>
      </c>
      <c r="AC17" s="57" t="e">
        <f>VLOOKUP(A17,Enforcements!$C$7:$E$17,3,0)</f>
        <v>#N/A</v>
      </c>
      <c r="AD17" s="58" t="str">
        <f t="shared" si="11"/>
        <v>0105-09</v>
      </c>
      <c r="AE17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7" s="84" t="str">
        <f t="shared" si="13"/>
        <v>"C:\Program Files (x86)\AstroGrep\AstroGrep.exe" /spath="%USERPROFILE%\AppData\Local\Temp\OnboardLogs" /stypes="app*4003*20170109*"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105-09 --locoid 4003 --swversion DE.1.0.8.0 --startMP 204:766 --initTime 2017-01-09T04:14:08 --startdatetime 2017-01-09T04:16:54 --delay 1 --endMP 204:233297 --enddatetime 2017-01-09T04:53:56 --enforcementcount 0 &gt;&gt;C:\Users\stu\Documents\GitHub\eaglep3-reporting\EC\2017-01-09-refined-times.txt</v>
      </c>
      <c r="AI1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{"issue":{"subject":"","project_id":79,"tracker_id":40,"status_id":1,"priority_id":2,"assigned_to_id":23,"start_date":"2017-01-09","description":"","custom_fields":[{"id":1,"name":"Subdivision","value":"EC"},{"id":4,"name":"Milepost","value":"23.3297"},{"id":17,"name":"Train ID","value":"105-09"},{"id":16,"name":"Locomotive ID","value":"4003"},{"id":130,"name":"Impact","value":""},{"id":150,"name":"Time of Event (Mountain Time)","value":"04:53:56"},{"id":151,"name":"Denver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4003 --day 2017-01-09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428</v>
      </c>
      <c r="B18" s="7">
        <v>4010</v>
      </c>
      <c r="C18" s="22" t="s">
        <v>203</v>
      </c>
      <c r="D18" s="22" t="s">
        <v>669</v>
      </c>
      <c r="E18" s="13">
        <v>42744.213217592594</v>
      </c>
      <c r="F18" s="13">
        <v>42744.216157407405</v>
      </c>
      <c r="G18" s="7">
        <v>1</v>
      </c>
      <c r="H18" s="22" t="s">
        <v>209</v>
      </c>
      <c r="I18" s="13">
        <v>42744.245196759257</v>
      </c>
      <c r="J18" s="7">
        <v>0</v>
      </c>
      <c r="K18" s="105" t="str">
        <f t="shared" si="0"/>
        <v>4009/4010</v>
      </c>
      <c r="L18" s="22" t="str">
        <f>VLOOKUP(A18,'Trips&amp;Operators'!$C$1:$G$99999,5,FALSE)</f>
        <v>STARKS ANGELINA</v>
      </c>
      <c r="M18" s="6">
        <f t="shared" si="1"/>
        <v>2.9039351851679385E-2</v>
      </c>
      <c r="N18" s="7">
        <f t="shared" si="2"/>
        <v>41.816666666418314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04:07:02-700',mode:absolute,to:'2017-01-09 06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23.267900000000001</v>
      </c>
      <c r="Z18" s="64">
        <f t="shared" si="9"/>
        <v>1.4999999999999999E-2</v>
      </c>
      <c r="AA18" s="64">
        <f t="shared" si="10"/>
        <v>23.2529</v>
      </c>
      <c r="AB18" s="61" t="str">
        <f>VLOOKUP(A18,Enforcements!$C$7:$K$17,8,0)</f>
        <v>Speed (6)</v>
      </c>
      <c r="AC18" s="57" t="str">
        <f>VLOOKUP(A18,Enforcements!$C$7:$E$17,3,0)</f>
        <v>PERMANENT SPEED RESTRICTION</v>
      </c>
      <c r="AD18" s="58" t="str">
        <f t="shared" si="11"/>
        <v>0106-09</v>
      </c>
      <c r="AE18" s="87" t="str">
        <f t="shared" si="12"/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AF18" s="84" t="str">
        <f t="shared" si="13"/>
        <v>"C:\Program Files (x86)\AstroGrep\AstroGrep.exe" /spath="%USERPROFILE%\AppData\Local\Temp\OnboardLogs" /stypes="app*4010*20170109*"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106-09 --locoid 4010 --swversion DE.1.0.8.0 --startMP 204:232679 --initTime 2017-01-09T05:07:02 --startdatetime 2017-01-09T05:11:16 --delay 1 --endMP 204:150 --enddatetime 2017-01-09T05:53:05 --enforcementcount 0 &gt;&gt;C:\Users\stu\Documents\GitHub\eaglep3-reporting\EC\2017-01-09-refined-times.txt</v>
      </c>
      <c r="AI1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ID","value":"106-09"},{"id":16,"name":"Locomotive ID","value":"4010"},{"id":130,"name":"Impact","value":""},{"id":150,"name":"Time of Event (Mountain Time)","value":"05:53:05"},{"id":151,"name":"Denver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4010 --day 2017-01-09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465</v>
      </c>
      <c r="B19" s="7">
        <v>4044</v>
      </c>
      <c r="C19" s="22" t="s">
        <v>203</v>
      </c>
      <c r="D19" s="22" t="s">
        <v>277</v>
      </c>
      <c r="E19" s="13">
        <v>42744.183472222219</v>
      </c>
      <c r="F19" s="13">
        <v>42744.187928240739</v>
      </c>
      <c r="G19" s="7">
        <v>1</v>
      </c>
      <c r="H19" s="22" t="s">
        <v>396</v>
      </c>
      <c r="I19" s="13">
        <v>42744.213356481479</v>
      </c>
      <c r="J19" s="7">
        <v>0</v>
      </c>
      <c r="K19" s="105" t="str">
        <f t="shared" si="0"/>
        <v>4043/4044</v>
      </c>
      <c r="L19" s="22" t="str">
        <f>VLOOKUP(A19,'Trips&amp;Operators'!$C$1:$G$99999,5,FALSE)</f>
        <v>BONDS REYNALDO</v>
      </c>
      <c r="M19" s="6">
        <f t="shared" si="1"/>
        <v>2.5428240740438923E-2</v>
      </c>
      <c r="N19" s="7">
        <f t="shared" si="2"/>
        <v>36.616666666232049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03:24:12-700',mode:absolute,to:'2017-01-09 06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4.4400000000000002E-2</v>
      </c>
      <c r="Z19" s="64">
        <f t="shared" si="9"/>
        <v>23.328600000000002</v>
      </c>
      <c r="AA19" s="64">
        <f t="shared" si="10"/>
        <v>23.284200000000002</v>
      </c>
      <c r="AB19" s="61" t="e">
        <f>VLOOKUP(A19,Enforcements!$C$7:$K$17,8,0)</f>
        <v>#N/A</v>
      </c>
      <c r="AC19" s="57" t="e">
        <f>VLOOKUP(A19,Enforcements!$C$7:$E$17,3,0)</f>
        <v>#N/A</v>
      </c>
      <c r="AD19" s="58" t="str">
        <f t="shared" si="11"/>
        <v>0107-09</v>
      </c>
      <c r="AE19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9" s="84" t="str">
        <f t="shared" si="13"/>
        <v>"C:\Program Files (x86)\AstroGrep\AstroGrep.exe" /spath="%USERPROFILE%\AppData\Local\Temp\OnboardLogs" /stypes="app*4044*20170109*"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107-09 --locoid 4044 --swversion DE.1.0.8.0 --startMP 204:444 --initTime 2017-01-09T04:24:12 --startdatetime 2017-01-09T04:30:37 --delay 1 --endMP 204:233286 --enddatetime 2017-01-09T05:07:14 --enforcementcount 0 &gt;&gt;C:\Users\stu\Documents\GitHub\eaglep3-reporting\EC\2017-01-09-refined-times.txt</v>
      </c>
      <c r="AI1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{"issue":{"subject":"","project_id":79,"tracker_id":40,"status_id":1,"priority_id":2,"assigned_to_id":23,"start_date":"2017-01-09","description":"","custom_fields":[{"id":1,"name":"Subdivision","value":"EC"},{"id":4,"name":"Milepost","value":"23.3286"},{"id":17,"name":"Train ID","value":"107-09"},{"id":16,"name":"Locomotive ID","value":"4044"},{"id":130,"name":"Impact","value":""},{"id":150,"name":"Time of Event (Mountain Time)","value":"05:07:14"},{"id":151,"name":"Denver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4044 --day 2017-01-09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470</v>
      </c>
      <c r="B20" s="7">
        <v>4043</v>
      </c>
      <c r="C20" s="22" t="s">
        <v>203</v>
      </c>
      <c r="D20" s="22" t="s">
        <v>296</v>
      </c>
      <c r="E20" s="13">
        <v>42744.218391203707</v>
      </c>
      <c r="F20" s="13">
        <v>42744.226574074077</v>
      </c>
      <c r="G20" s="7">
        <v>1</v>
      </c>
      <c r="H20" s="22" t="s">
        <v>275</v>
      </c>
      <c r="I20" s="13">
        <v>42744.253831018519</v>
      </c>
      <c r="J20" s="7">
        <v>0</v>
      </c>
      <c r="K20" s="105" t="str">
        <f t="shared" si="0"/>
        <v>4043/4044</v>
      </c>
      <c r="L20" s="22" t="str">
        <f>VLOOKUP(A20,'Trips&amp;Operators'!$C$1:$G$99999,5,FALSE)</f>
        <v>BONDS REYNALDO</v>
      </c>
      <c r="M20" s="6">
        <f t="shared" si="1"/>
        <v>2.7256944442342501E-2</v>
      </c>
      <c r="N20" s="7">
        <f t="shared" si="2"/>
        <v>39.249999996973202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04:14:29-700',mode:absolute,to:'2017-01-09 07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23.298999999999999</v>
      </c>
      <c r="Z20" s="64">
        <f t="shared" si="9"/>
        <v>1.5599999999999999E-2</v>
      </c>
      <c r="AA20" s="64">
        <f t="shared" si="10"/>
        <v>23.2834</v>
      </c>
      <c r="AB20" s="61" t="e">
        <f>VLOOKUP(A20,Enforcements!$C$7:$K$17,8,0)</f>
        <v>#N/A</v>
      </c>
      <c r="AC20" s="57" t="e">
        <f>VLOOKUP(A20,Enforcements!$C$7:$E$17,3,0)</f>
        <v>#N/A</v>
      </c>
      <c r="AD20" s="58" t="str">
        <f t="shared" si="11"/>
        <v>0108-09</v>
      </c>
      <c r="AE20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20" s="84" t="str">
        <f t="shared" si="13"/>
        <v>"C:\Program Files (x86)\AstroGrep\AstroGrep.exe" /spath="%USERPROFILE%\AppData\Local\Temp\OnboardLogs" /stypes="app*4043*20170109*"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108-09 --locoid 4043 --swversion DE.1.0.8.0 --startMP 204:232990 --initTime 2017-01-09T05:14:29 --startdatetime 2017-01-09T05:26:16 --delay 1 --endMP 204:156 --enddatetime 2017-01-09T06:05:31 --enforcementcount 0 &gt;&gt;C:\Users\stu\Documents\GitHub\eaglep3-reporting\EC\2017-01-09-refined-times.txt</v>
      </c>
      <c r="AI2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ID","value":"108-09"},{"id":16,"name":"Locomotive ID","value":"4043"},{"id":130,"name":"Impact","value":""},{"id":150,"name":"Time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4043 --day 2017-01-09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466</v>
      </c>
      <c r="B21" s="7">
        <v>4020</v>
      </c>
      <c r="C21" s="22" t="s">
        <v>203</v>
      </c>
      <c r="D21" s="22" t="s">
        <v>300</v>
      </c>
      <c r="E21" s="13">
        <v>42744.193761574075</v>
      </c>
      <c r="F21" s="13">
        <v>42744.198182870372</v>
      </c>
      <c r="G21" s="7">
        <v>2</v>
      </c>
      <c r="H21" s="22" t="s">
        <v>670</v>
      </c>
      <c r="I21" s="13">
        <v>42744.225775462961</v>
      </c>
      <c r="J21" s="7">
        <v>0</v>
      </c>
      <c r="K21" s="105" t="str">
        <f t="shared" si="0"/>
        <v>4019/4020</v>
      </c>
      <c r="L21" s="22" t="str">
        <f>VLOOKUP(A21,'Trips&amp;Operators'!$C$1:$G$99999,5,FALSE)</f>
        <v>SHOOK JOHN</v>
      </c>
      <c r="M21" s="6">
        <f t="shared" si="1"/>
        <v>2.7592592588916887E-2</v>
      </c>
      <c r="N21" s="7">
        <f t="shared" si="2"/>
        <v>39.733333328040317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03:39:01-700',mode:absolute,to:'2017-01-09 06:25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4.4600000000000001E-2</v>
      </c>
      <c r="Z21" s="64">
        <f t="shared" si="9"/>
        <v>23.33</v>
      </c>
      <c r="AA21" s="64">
        <f t="shared" si="10"/>
        <v>23.285399999999999</v>
      </c>
      <c r="AB21" s="61" t="e">
        <f>VLOOKUP(A21,Enforcements!$C$7:$K$17,8,0)</f>
        <v>#N/A</v>
      </c>
      <c r="AC21" s="57" t="e">
        <f>VLOOKUP(A21,Enforcements!$C$7:$E$17,3,0)</f>
        <v>#N/A</v>
      </c>
      <c r="AD21" s="58" t="str">
        <f t="shared" si="11"/>
        <v>0109-09</v>
      </c>
      <c r="AE21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21" s="84" t="str">
        <f t="shared" si="13"/>
        <v>"C:\Program Files (x86)\AstroGrep\AstroGrep.exe" /spath="%USERPROFILE%\AppData\Local\Temp\OnboardLogs" /stypes="app*4020*20170109*"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109-09 --locoid 4020 --swversion DE.1.0.8.0 --startMP 204:446 --initTime 2017-01-09T04:39:01 --startdatetime 2017-01-09T04:45:23 --delay 2 --endMP 204:233300 --enddatetime 2017-01-09T05:25:07 --enforcementcount 0 &gt;&gt;C:\Users\stu\Documents\GitHub\eaglep3-reporting\EC\2017-01-09-refined-times.txt</v>
      </c>
      <c r="AI2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{"issue":{"subject":"","project_id":79,"tracker_id":40,"status_id":1,"priority_id":2,"assigned_to_id":23,"start_date":"2017-01-09","description":"","custom_fields":[{"id":1,"name":"Subdivision","value":"EC"},{"id":4,"name":"Milepost","value":"23.33"},{"id":17,"name":"Train ID","value":"109-09"},{"id":16,"name":"Locomotive ID","value":"4020"},{"id":130,"name":"Impact","value":""},{"id":150,"name":"Time of Event (Mountain Time)","value":"05:25:07"},{"id":151,"name":"Denver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4020 --day 2017-01-09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472</v>
      </c>
      <c r="B22" s="7">
        <v>4019</v>
      </c>
      <c r="C22" s="22" t="s">
        <v>203</v>
      </c>
      <c r="D22" s="22" t="s">
        <v>409</v>
      </c>
      <c r="E22" s="13">
        <v>42744.227696759262</v>
      </c>
      <c r="F22" s="13">
        <v>42744.237037037034</v>
      </c>
      <c r="G22" s="7">
        <v>1</v>
      </c>
      <c r="H22" s="22" t="s">
        <v>209</v>
      </c>
      <c r="I22" s="13">
        <v>42744.265810185185</v>
      </c>
      <c r="J22" s="7">
        <v>0</v>
      </c>
      <c r="K22" s="105" t="str">
        <f t="shared" si="0"/>
        <v>4019/4020</v>
      </c>
      <c r="L22" s="22" t="str">
        <f>VLOOKUP(A22,'Trips&amp;Operators'!$C$1:$G$99999,5,FALSE)</f>
        <v>SHOOK JOHN</v>
      </c>
      <c r="M22" s="6">
        <f t="shared" si="1"/>
        <v>2.8773148151230998E-2</v>
      </c>
      <c r="N22" s="7">
        <f t="shared" si="2"/>
        <v>41.433333337772638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04:27:53-700',mode:absolute,to:'2017-01-09 07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23.299600000000002</v>
      </c>
      <c r="Z22" s="64">
        <f t="shared" si="9"/>
        <v>1.4999999999999999E-2</v>
      </c>
      <c r="AA22" s="64">
        <f t="shared" si="10"/>
        <v>23.284600000000001</v>
      </c>
      <c r="AB22" s="61" t="e">
        <f>VLOOKUP(A22,Enforcements!$C$7:$K$17,8,0)</f>
        <v>#N/A</v>
      </c>
      <c r="AC22" s="57" t="e">
        <f>VLOOKUP(A22,Enforcements!$C$7:$E$17,3,0)</f>
        <v>#N/A</v>
      </c>
      <c r="AD22" s="58" t="str">
        <f t="shared" si="11"/>
        <v>0110-09</v>
      </c>
      <c r="AE22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22" s="84" t="str">
        <f t="shared" si="13"/>
        <v>"C:\Program Files (x86)\AstroGrep\AstroGrep.exe" /spath="%USERPROFILE%\AppData\Local\Temp\OnboardLogs" /stypes="app*4019*20170109*"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110-09 --locoid 4019 --swversion DE.1.0.8.0 --startMP 204:232996 --initTime 2017-01-09T05:27:53 --startdatetime 2017-01-09T05:41:20 --delay 1 --endMP 204:150 --enddatetime 2017-01-09T06:22:46 --enforcementcount 0 &gt;&gt;C:\Users\stu\Documents\GitHub\eaglep3-reporting\EC\2017-01-09-refined-times.txt</v>
      </c>
      <c r="AI2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ID","value":"110-09"},{"id":16,"name":"Locomotive ID","value":"4019"},{"id":130,"name":"Impact","value":""},{"id":150,"name":"Time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4019 --day 2017-01-09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467</v>
      </c>
      <c r="B23" s="7">
        <v>4046</v>
      </c>
      <c r="C23" s="22" t="s">
        <v>203</v>
      </c>
      <c r="D23" s="22" t="s">
        <v>671</v>
      </c>
      <c r="E23" s="13">
        <v>42744.204826388886</v>
      </c>
      <c r="F23" s="13">
        <v>42744.208518518521</v>
      </c>
      <c r="G23" s="7">
        <v>1</v>
      </c>
      <c r="H23" s="22" t="s">
        <v>304</v>
      </c>
      <c r="I23" s="13">
        <v>42744.232731481483</v>
      </c>
      <c r="J23" s="7">
        <v>0</v>
      </c>
      <c r="K23" s="105" t="str">
        <f t="shared" si="0"/>
        <v>4045/4046</v>
      </c>
      <c r="L23" s="22" t="str">
        <f>VLOOKUP(A23,'Trips&amp;Operators'!$C$1:$G$99999,5,FALSE)</f>
        <v>YORK EDGAR</v>
      </c>
      <c r="M23" s="6">
        <f t="shared" si="1"/>
        <v>2.421296296233777E-2</v>
      </c>
      <c r="N23" s="7">
        <f t="shared" si="2"/>
        <v>34.866666665766388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03:54:57-700',mode:absolute,to:'2017-01-09 06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8.2600000000000007E-2</v>
      </c>
      <c r="Z23" s="64">
        <f t="shared" si="9"/>
        <v>23.329499999999999</v>
      </c>
      <c r="AA23" s="64">
        <f t="shared" si="10"/>
        <v>23.2469</v>
      </c>
      <c r="AB23" s="61" t="e">
        <f>VLOOKUP(A23,Enforcements!$C$7:$K$17,8,0)</f>
        <v>#N/A</v>
      </c>
      <c r="AC23" s="57" t="e">
        <f>VLOOKUP(A23,Enforcements!$C$7:$E$17,3,0)</f>
        <v>#N/A</v>
      </c>
      <c r="AD23" s="58" t="str">
        <f t="shared" si="11"/>
        <v>0111-09</v>
      </c>
      <c r="AE23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23" s="84" t="str">
        <f t="shared" si="13"/>
        <v>"C:\Program Files (x86)\AstroGrep\AstroGrep.exe" /spath="%USERPROFILE%\AppData\Local\Temp\OnboardLogs" /stypes="app*4046*20170109*"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111-09 --locoid 4046 --swversion DE.1.0.8.0 --startMP 204:826 --initTime 2017-01-09T04:54:57 --startdatetime 2017-01-09T05:00:16 --delay 1 --endMP 204:233295 --enddatetime 2017-01-09T05:35:08 --enforcementcount 0 &gt;&gt;C:\Users\stu\Documents\GitHub\eaglep3-reporting\EC\2017-01-09-refined-times.txt</v>
      </c>
      <c r="AI2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ID","value":"111-09"},{"id":16,"name":"Locomotive ID","value":"4046"},{"id":130,"name":"Impact","value":""},{"id":150,"name":"Time of Event (Mountain Time)","value":"05:35:08"},{"id":151,"name":"Denver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4046 --day 2017-01-09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474</v>
      </c>
      <c r="B24" s="7">
        <v>4045</v>
      </c>
      <c r="C24" s="22" t="s">
        <v>203</v>
      </c>
      <c r="D24" s="22" t="s">
        <v>400</v>
      </c>
      <c r="E24" s="13">
        <v>42744.233946759261</v>
      </c>
      <c r="F24" s="13">
        <v>42744.247395833336</v>
      </c>
      <c r="G24" s="7">
        <v>0</v>
      </c>
      <c r="H24" s="22" t="s">
        <v>209</v>
      </c>
      <c r="I24" s="13">
        <v>42744.274097222224</v>
      </c>
      <c r="J24" s="7">
        <v>0</v>
      </c>
      <c r="K24" s="105" t="str">
        <f t="shared" si="0"/>
        <v>4045/4046</v>
      </c>
      <c r="L24" s="22" t="str">
        <f>VLOOKUP(A24,'Trips&amp;Operators'!$C$1:$G$99999,5,FALSE)</f>
        <v>YORK EDGAR</v>
      </c>
      <c r="M24" s="6">
        <f t="shared" si="1"/>
        <v>2.6701388887886424E-2</v>
      </c>
      <c r="N24" s="7">
        <f t="shared" si="2"/>
        <v>38.44999999855645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04:36:53-700',mode:absolute,to:'2017-01-09 07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23.297999999999998</v>
      </c>
      <c r="Z24" s="64">
        <f t="shared" si="9"/>
        <v>1.4999999999999999E-2</v>
      </c>
      <c r="AA24" s="64">
        <f t="shared" si="10"/>
        <v>23.282999999999998</v>
      </c>
      <c r="AB24" s="61" t="e">
        <f>VLOOKUP(A24,Enforcements!$C$7:$K$17,8,0)</f>
        <v>#N/A</v>
      </c>
      <c r="AC24" s="57" t="e">
        <f>VLOOKUP(A24,Enforcements!$C$7:$E$17,3,0)</f>
        <v>#N/A</v>
      </c>
      <c r="AD24" s="58" t="str">
        <f t="shared" si="11"/>
        <v>0112-09</v>
      </c>
      <c r="AE24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24" s="84" t="str">
        <f t="shared" si="13"/>
        <v>"C:\Program Files (x86)\AstroGrep\AstroGrep.exe" /spath="%USERPROFILE%\AppData\Local\Temp\OnboardLogs" /stypes="app*4045*20170109*"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112-09 --locoid 4045 --swversion DE.1.0.8.0 --startMP 204:232980 --initTime 2017-01-09T05:36:53 --startdatetime 2017-01-09T05:56:15 --delay 0 --endMP 204:150 --enddatetime 2017-01-09T06:34:42 --enforcementcount 0 &gt;&gt;C:\Users\stu\Documents\GitHub\eaglep3-reporting\EC\2017-01-09-refined-times.txt</v>
      </c>
      <c r="AI2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ID","value":"112-09"},{"id":16,"name":"Locomotive ID","value":"4045"},{"id":130,"name":"Impact","value":""},{"id":150,"name":"Time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4045 --day 2017-01-09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468</v>
      </c>
      <c r="B25" s="7">
        <v>4031</v>
      </c>
      <c r="C25" s="22" t="s">
        <v>203</v>
      </c>
      <c r="D25" s="22" t="s">
        <v>672</v>
      </c>
      <c r="E25" s="13">
        <v>42744.211909722224</v>
      </c>
      <c r="F25" s="13">
        <v>42744.218958333331</v>
      </c>
      <c r="G25" s="7">
        <v>1</v>
      </c>
      <c r="H25" s="22" t="s">
        <v>673</v>
      </c>
      <c r="I25" s="13">
        <v>42744.244166666664</v>
      </c>
      <c r="J25" s="7">
        <v>0</v>
      </c>
      <c r="K25" s="105" t="str">
        <f t="shared" si="0"/>
        <v>4031/4032</v>
      </c>
      <c r="L25" s="22" t="str">
        <f>VLOOKUP(A25,'Trips&amp;Operators'!$C$1:$G$99999,5,FALSE)</f>
        <v>OUN ZACK</v>
      </c>
      <c r="M25" s="6">
        <f t="shared" si="1"/>
        <v>2.5208333332557231E-2</v>
      </c>
      <c r="N25" s="7">
        <f t="shared" si="2"/>
        <v>36.299999998882413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04:05:09-700',mode:absolute,to:'2017-01-09 06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4.8000000000000001E-2</v>
      </c>
      <c r="Z25" s="64">
        <f t="shared" si="9"/>
        <v>23.331499999999998</v>
      </c>
      <c r="AA25" s="64">
        <f t="shared" si="10"/>
        <v>23.2835</v>
      </c>
      <c r="AB25" s="61" t="e">
        <f>VLOOKUP(A25,Enforcements!$C$7:$K$17,8,0)</f>
        <v>#N/A</v>
      </c>
      <c r="AC25" s="57" t="e">
        <f>VLOOKUP(A25,Enforcements!$C$7:$E$17,3,0)</f>
        <v>#N/A</v>
      </c>
      <c r="AD25" s="58" t="str">
        <f t="shared" si="11"/>
        <v>0113-09</v>
      </c>
      <c r="AE25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25" s="84" t="str">
        <f t="shared" si="13"/>
        <v>"C:\Program Files (x86)\AstroGrep\AstroGrep.exe" /spath="%USERPROFILE%\AppData\Local\Temp\OnboardLogs" /stypes="app*4031*20170109*"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113-09 --locoid 4031 --swversion DE.1.0.8.0 --startMP 204:480 --initTime 2017-01-09T05:05:09 --startdatetime 2017-01-09T05:15:18 --delay 1 --endMP 204:233315 --enddatetime 2017-01-09T05:51:36 --enforcementcount 0 &gt;&gt;C:\Users\stu\Documents\GitHub\eaglep3-reporting\EC\2017-01-09-refined-times.txt</v>
      </c>
      <c r="AI2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{"issue":{"subject":"","project_id":79,"tracker_id":40,"status_id":1,"priority_id":2,"assigned_to_id":23,"start_date":"2017-01-09","description":"","custom_fields":[{"id":1,"name":"Subdivision","value":"EC"},{"id":4,"name":"Milepost","value":"23.3315"},{"id":17,"name":"Train ID","value":"113-09"},{"id":16,"name":"Locomotive ID","value":"4031"},{"id":130,"name":"Impact","value":""},{"id":150,"name":"Time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4031 --day 2017-01-09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476</v>
      </c>
      <c r="B26" s="7">
        <v>4032</v>
      </c>
      <c r="C26" s="22" t="s">
        <v>203</v>
      </c>
      <c r="D26" s="22" t="s">
        <v>328</v>
      </c>
      <c r="E26" s="13">
        <v>42744.252326388887</v>
      </c>
      <c r="F26" s="13">
        <v>42744.257847222223</v>
      </c>
      <c r="G26" s="7">
        <v>1</v>
      </c>
      <c r="H26" s="22" t="s">
        <v>272</v>
      </c>
      <c r="I26" s="13">
        <v>42744.285324074073</v>
      </c>
      <c r="J26" s="7">
        <v>0</v>
      </c>
      <c r="K26" s="105" t="str">
        <f t="shared" si="0"/>
        <v>4031/4032</v>
      </c>
      <c r="L26" s="22" t="str">
        <f>VLOOKUP(A26,'Trips&amp;Operators'!$C$1:$G$99999,5,FALSE)</f>
        <v>OUN ZACK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05:03:21-700',mode:absolute,to:'2017-01-09 07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23.300599999999999</v>
      </c>
      <c r="Z26" s="64">
        <f t="shared" si="9"/>
        <v>1.41E-2</v>
      </c>
      <c r="AA26" s="64">
        <f t="shared" si="10"/>
        <v>23.2865</v>
      </c>
      <c r="AB26" s="61" t="e">
        <f>VLOOKUP(A26,Enforcements!$C$7:$K$17,8,0)</f>
        <v>#N/A</v>
      </c>
      <c r="AC26" s="57" t="e">
        <f>VLOOKUP(A26,Enforcements!$C$7:$E$17,3,0)</f>
        <v>#N/A</v>
      </c>
      <c r="AD26" s="58" t="str">
        <f t="shared" si="11"/>
        <v>0114-09</v>
      </c>
      <c r="AE26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26" s="84" t="str">
        <f t="shared" si="13"/>
        <v>"C:\Program Files (x86)\AstroGrep\AstroGrep.exe" /spath="%USERPROFILE%\AppData\Local\Temp\OnboardLogs" /stypes="app*4032*20170109*"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114-09 --locoid 4032 --swversion DE.1.0.8.0 --startMP 204:233006 --initTime 2017-01-09T06:03:21 --startdatetime 2017-01-09T06:11:18 --delay 1 --endMP 204:141 --enddatetime 2017-01-09T06:50:52 --enforcementcount 0 &gt;&gt;C:\Users\stu\Documents\GitHub\eaglep3-reporting\EC\2017-01-09-refined-times.txt</v>
      </c>
      <c r="AI2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ID","value":"114-09"},{"id":16,"name":"Locomotive ID","value":"4032"},{"id":130,"name":"Impact","value":""},{"id":150,"name":"Time of Event (Mountain Time)","value":"06:50:52"},{"id":151,"name":"Denver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4032 --day 2017-01-09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471</v>
      </c>
      <c r="B27" s="7">
        <v>4011</v>
      </c>
      <c r="C27" s="22" t="s">
        <v>203</v>
      </c>
      <c r="D27" s="22" t="s">
        <v>383</v>
      </c>
      <c r="E27" s="13">
        <v>42744.226354166669</v>
      </c>
      <c r="F27" s="13">
        <v>42744.229317129626</v>
      </c>
      <c r="G27" s="7">
        <v>2</v>
      </c>
      <c r="H27" s="22" t="s">
        <v>674</v>
      </c>
      <c r="I27" s="13">
        <v>42744.254259259258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ROBINSON KADDIBA</v>
      </c>
      <c r="M27" s="6">
        <f t="shared" si="1"/>
        <v>2.4942129632108845E-2</v>
      </c>
      <c r="N27" s="7">
        <f t="shared" si="2"/>
        <v>35.916666670236737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04:25:57-700',mode:absolute,to:'2017-01-09 07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0.1164</v>
      </c>
      <c r="Z27" s="64">
        <f t="shared" si="9"/>
        <v>23.331199999999999</v>
      </c>
      <c r="AA27" s="64">
        <f t="shared" si="10"/>
        <v>23.2148</v>
      </c>
      <c r="AB27" s="61" t="e">
        <f>VLOOKUP(A27,Enforcements!$C$7:$K$17,8,0)</f>
        <v>#N/A</v>
      </c>
      <c r="AC27" s="57" t="e">
        <f>VLOOKUP(A27,Enforcements!$C$7:$E$17,3,0)</f>
        <v>#N/A</v>
      </c>
      <c r="AD27" s="58" t="str">
        <f t="shared" si="11"/>
        <v>0115-09</v>
      </c>
      <c r="AE27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27" s="84" t="str">
        <f t="shared" si="13"/>
        <v>"C:\Program Files (x86)\AstroGrep\AstroGrep.exe" /spath="%USERPROFILE%\AppData\Local\Temp\OnboardLogs" /stypes="app*4011*20170109*"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115-09 --locoid 4011 --swversion DE.1.0.8.0 --startMP 204:1164 --initTime 2017-01-09T05:25:57 --startdatetime 2017-01-09T05:30:13 --delay 2 --endMP 204:233312 --enddatetime 2017-01-09T06:06:08 --enforcementcount 0 &gt;&gt;C:\Users\stu\Documents\GitHub\eaglep3-reporting\EC\2017-01-09-refined-times.txt</v>
      </c>
      <c r="AI2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{"issue":{"subject":"","project_id":79,"tracker_id":40,"status_id":1,"priority_id":2,"assigned_to_id":23,"start_date":"2017-01-09","description":"","custom_fields":[{"id":1,"name":"Subdivision","value":"EC"},{"id":4,"name":"Milepost","value":"23.3312"},{"id":17,"name":"Train ID","value":"115-09"},{"id":16,"name":"Locomotive ID","value":"4011"},{"id":130,"name":"Impact","value":""},{"id":150,"name":"Time of Event (Mountain Time)","value":"06:06:08"},{"id":151,"name":"Denver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4011 --day 2017-01-09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430</v>
      </c>
      <c r="B28" s="7">
        <v>4012</v>
      </c>
      <c r="C28" s="22" t="s">
        <v>203</v>
      </c>
      <c r="D28" s="22" t="s">
        <v>675</v>
      </c>
      <c r="E28" s="13">
        <v>42744.263923611114</v>
      </c>
      <c r="F28" s="13">
        <v>42744.268240740741</v>
      </c>
      <c r="G28" s="7">
        <v>1</v>
      </c>
      <c r="H28" s="22" t="s">
        <v>317</v>
      </c>
      <c r="I28" s="13">
        <v>42744.297384259262</v>
      </c>
      <c r="J28" s="7">
        <v>0</v>
      </c>
      <c r="K28" s="105" t="str">
        <f t="shared" si="0"/>
        <v>4011/4012</v>
      </c>
      <c r="L28" s="22" t="str">
        <f>VLOOKUP(A28,'Trips&amp;Operators'!$C$1:$G$99999,5,FALSE)</f>
        <v>ROBINSON KADDIBA</v>
      </c>
      <c r="M28" s="6">
        <f t="shared" si="1"/>
        <v>2.9143518520868383E-2</v>
      </c>
      <c r="N28" s="7">
        <f t="shared" si="2"/>
        <v>41.966666670050472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05:20:03-700',mode:absolute,to:'2017-01-09 08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23.299199999999999</v>
      </c>
      <c r="Z28" s="64">
        <f t="shared" si="9"/>
        <v>1.6500000000000001E-2</v>
      </c>
      <c r="AA28" s="64">
        <f t="shared" si="10"/>
        <v>23.282699999999998</v>
      </c>
      <c r="AB28" s="61" t="str">
        <f>VLOOKUP(A28,Enforcements!$C$7:$K$17,8,0)</f>
        <v>Speed (6)</v>
      </c>
      <c r="AC28" s="57" t="str">
        <f>VLOOKUP(A28,Enforcements!$C$7:$E$17,3,0)</f>
        <v>PERMANENT SPEED RESTRICTION</v>
      </c>
      <c r="AD28" s="58" t="str">
        <f t="shared" si="11"/>
        <v>0116-09</v>
      </c>
      <c r="AE28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28" s="84" t="str">
        <f t="shared" si="13"/>
        <v>"C:\Program Files (x86)\AstroGrep\AstroGrep.exe" /spath="%USERPROFILE%\AppData\Local\Temp\OnboardLogs" /stypes="app*4012*20170109*"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116-09 --locoid 4012 --swversion DE.1.0.8.0 --startMP 204:232992 --initTime 2017-01-09T06:20:03 --startdatetime 2017-01-09T06:26:16 --delay 1 --endMP 204:165 --enddatetime 2017-01-09T07:08:14 --enforcementcount 0 &gt;&gt;C:\Users\stu\Documents\GitHub\eaglep3-reporting\EC\2017-01-09-refined-times.txt</v>
      </c>
      <c r="AI2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{"issue":{"subject":"","project_id":79,"tracker_id":40,"status_id":1,"priority_id":2,"assigned_to_id":23,"start_date":"2017-01-09","description":"","custom_fields":[{"id":1,"name":"Subdivision","value":"EC"},{"id":4,"name":"Milepost","value":"0.0165"},{"id":17,"name":"Train ID","value":"116-09"},{"id":16,"name":"Locomotive ID","value":"4012"},{"id":130,"name":"Impact","value":""},{"id":150,"name":"Time of Event (Mountain Time)","value":"07:08:14"},{"id":151,"name":"Denver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4012 --day 2017-01-09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473</v>
      </c>
      <c r="B29" s="7">
        <v>4042</v>
      </c>
      <c r="C29" s="22" t="s">
        <v>203</v>
      </c>
      <c r="D29" s="22" t="s">
        <v>676</v>
      </c>
      <c r="E29" s="13">
        <v>42744.231504629628</v>
      </c>
      <c r="F29" s="13">
        <v>42744.240057870367</v>
      </c>
      <c r="G29" s="7">
        <v>0</v>
      </c>
      <c r="H29" s="22" t="s">
        <v>670</v>
      </c>
      <c r="I29" s="13">
        <v>42744.266261574077</v>
      </c>
      <c r="J29" s="7">
        <v>0</v>
      </c>
      <c r="K29" s="105" t="str">
        <f t="shared" si="0"/>
        <v>4041/4042</v>
      </c>
      <c r="L29" s="22" t="str">
        <f>VLOOKUP(A29,'Trips&amp;Operators'!$C$1:$G$99999,5,FALSE)</f>
        <v>MAELZER KURT</v>
      </c>
      <c r="M29" s="6">
        <f t="shared" si="1"/>
        <v>2.620370371005265E-2</v>
      </c>
      <c r="N29" s="7">
        <f t="shared" si="2"/>
        <v>37.733333342475817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04:33:22-700',mode:absolute,to:'2017-01-09 07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7.4800000000000005E-2</v>
      </c>
      <c r="Z29" s="64">
        <f t="shared" si="9"/>
        <v>23.33</v>
      </c>
      <c r="AA29" s="64">
        <f t="shared" si="10"/>
        <v>23.255199999999999</v>
      </c>
      <c r="AB29" s="61" t="e">
        <f>VLOOKUP(A29,Enforcements!$C$7:$K$17,8,0)</f>
        <v>#N/A</v>
      </c>
      <c r="AC29" s="57" t="e">
        <f>VLOOKUP(A29,Enforcements!$C$7:$E$17,3,0)</f>
        <v>#N/A</v>
      </c>
      <c r="AD29" s="58" t="str">
        <f t="shared" si="11"/>
        <v>0117-09</v>
      </c>
      <c r="AE29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29" s="84" t="str">
        <f t="shared" si="13"/>
        <v>"C:\Program Files (x86)\AstroGrep\AstroGrep.exe" /spath="%USERPROFILE%\AppData\Local\Temp\OnboardLogs" /stypes="app*4042*20170109*"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117-09 --locoid 4042 --swversion DE.1.0.8.0 --startMP 204:748 --initTime 2017-01-09T05:33:22 --startdatetime 2017-01-09T05:45:41 --delay 0 --endMP 204:233300 --enddatetime 2017-01-09T06:23:25 --enforcementcount 0 &gt;&gt;C:\Users\stu\Documents\GitHub\eaglep3-reporting\EC\2017-01-09-refined-times.txt</v>
      </c>
      <c r="AI2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{"issue":{"subject":"","project_id":79,"tracker_id":40,"status_id":1,"priority_id":2,"assigned_to_id":23,"start_date":"2017-01-09","description":"","custom_fields":[{"id":1,"name":"Subdivision","value":"EC"},{"id":4,"name":"Milepost","value":"23.33"},{"id":17,"name":"Train ID","value":"117-09"},{"id":16,"name":"Locomotive ID","value":"4042"},{"id":130,"name":"Impact","value":""},{"id":150,"name":"Time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4042 --day 2017-01-09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432</v>
      </c>
      <c r="B30" s="7">
        <v>4041</v>
      </c>
      <c r="C30" s="22" t="s">
        <v>203</v>
      </c>
      <c r="D30" s="22" t="s">
        <v>324</v>
      </c>
      <c r="E30" s="13">
        <v>42744.273946759262</v>
      </c>
      <c r="F30" s="13">
        <v>42744.278865740744</v>
      </c>
      <c r="G30" s="7">
        <v>1</v>
      </c>
      <c r="H30" s="22" t="s">
        <v>244</v>
      </c>
      <c r="I30" s="13">
        <v>42744.30609953704</v>
      </c>
      <c r="J30" s="7">
        <v>0</v>
      </c>
      <c r="K30" s="105" t="str">
        <f t="shared" si="0"/>
        <v>4041/4042</v>
      </c>
      <c r="L30" s="22" t="str">
        <f>VLOOKUP(A30,'Trips&amp;Operators'!$C$1:$G$99999,5,FALSE)</f>
        <v>MAELZER KURT</v>
      </c>
      <c r="M30" s="6">
        <f t="shared" si="1"/>
        <v>2.7233796296059154E-2</v>
      </c>
      <c r="N30" s="7">
        <f t="shared" si="2"/>
        <v>39.216666666325182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05:34:29-700',mode:absolute,to:'2017-01-09 08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23.299299999999999</v>
      </c>
      <c r="Z30" s="64">
        <f t="shared" si="9"/>
        <v>1.3899999999999999E-2</v>
      </c>
      <c r="AA30" s="64">
        <f t="shared" si="10"/>
        <v>23.285399999999999</v>
      </c>
      <c r="AB30" s="61" t="e">
        <f>VLOOKUP(A30,Enforcements!$C$7:$K$17,8,0)</f>
        <v>#N/A</v>
      </c>
      <c r="AC30" s="57" t="e">
        <f>VLOOKUP(A30,Enforcements!$C$7:$E$17,3,0)</f>
        <v>#N/A</v>
      </c>
      <c r="AD30" s="58" t="str">
        <f t="shared" si="11"/>
        <v>0118-09</v>
      </c>
      <c r="AE30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30" s="84" t="str">
        <f t="shared" si="13"/>
        <v>"C:\Program Files (x86)\AstroGrep\AstroGrep.exe" /spath="%USERPROFILE%\AppData\Local\Temp\OnboardLogs" /stypes="app*4041*20170109*"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118-09 --locoid 4041 --swversion DE.1.0.8.0 --startMP 204:232993 --initTime 2017-01-09T06:34:29 --startdatetime 2017-01-09T06:41:34 --delay 1 --endMP 204:139 --enddatetime 2017-01-09T07:20:47 --enforcementcount 0 &gt;&gt;C:\Users\stu\Documents\GitHub\eaglep3-reporting\EC\2017-01-09-refined-times.txt</v>
      </c>
      <c r="AI3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ID","value":"118-09"},{"id":16,"name":"Locomotive ID","value":"4041"},{"id":130,"name":"Impact","value":""},{"id":150,"name":"Time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4041 --day 2017-01-09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475</v>
      </c>
      <c r="B31" s="7">
        <v>4003</v>
      </c>
      <c r="C31" s="22" t="s">
        <v>203</v>
      </c>
      <c r="D31" s="22" t="s">
        <v>677</v>
      </c>
      <c r="E31" s="13">
        <v>42744.248576388891</v>
      </c>
      <c r="F31" s="13">
        <v>42744.251168981478</v>
      </c>
      <c r="G31" s="7">
        <v>1</v>
      </c>
      <c r="H31" s="22" t="s">
        <v>379</v>
      </c>
      <c r="I31" s="13">
        <v>42744.277708333335</v>
      </c>
      <c r="J31" s="7">
        <v>0</v>
      </c>
      <c r="K31" s="105" t="str">
        <f t="shared" si="0"/>
        <v>4003/4004</v>
      </c>
      <c r="L31" s="22" t="str">
        <f>VLOOKUP(A31,'Trips&amp;Operators'!$C$1:$G$99999,5,FALSE)</f>
        <v>STARKS ANGELINA</v>
      </c>
      <c r="M31" s="6">
        <f t="shared" si="1"/>
        <v>2.6539351856627036E-2</v>
      </c>
      <c r="N31" s="7">
        <f t="shared" si="2"/>
        <v>38.216666673542932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04:57:57-700',mode:absolute,to:'2017-01-09 07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7.0300000000000001E-2</v>
      </c>
      <c r="Z31" s="64">
        <f t="shared" si="9"/>
        <v>23.331800000000001</v>
      </c>
      <c r="AA31" s="64">
        <f t="shared" si="10"/>
        <v>23.261500000000002</v>
      </c>
      <c r="AB31" s="61" t="e">
        <f>VLOOKUP(A31,Enforcements!$C$7:$K$17,8,0)</f>
        <v>#N/A</v>
      </c>
      <c r="AC31" s="57" t="e">
        <f>VLOOKUP(A31,Enforcements!$C$7:$E$17,3,0)</f>
        <v>#N/A</v>
      </c>
      <c r="AD31" s="58" t="str">
        <f t="shared" si="11"/>
        <v>0119-09</v>
      </c>
      <c r="AE31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31" s="84" t="str">
        <f t="shared" si="13"/>
        <v>"C:\Program Files (x86)\AstroGrep\AstroGrep.exe" /spath="%USERPROFILE%\AppData\Local\Temp\OnboardLogs" /stypes="app*4003*20170109*"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119-09 --locoid 4003 --swversion DE.1.0.8.0 --startMP 204:703 --initTime 2017-01-09T05:57:57 --startdatetime 2017-01-09T06:01:41 --delay 1 --endMP 204:233318 --enddatetime 2017-01-09T06:39:54 --enforcementcount 0 &gt;&gt;C:\Users\stu\Documents\GitHub\eaglep3-reporting\EC\2017-01-09-refined-times.txt</v>
      </c>
      <c r="AI3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{"issue":{"subject":"","project_id":79,"tracker_id":40,"status_id":1,"priority_id":2,"assigned_to_id":23,"start_date":"2017-01-09","description":"","custom_fields":[{"id":1,"name":"Subdivision","value":"EC"},{"id":4,"name":"Milepost","value":"23.3318"},{"id":17,"name":"Train ID","value":"119-09"},{"id":16,"name":"Locomotive ID","value":"4003"},{"id":130,"name":"Impact","value":""},{"id":150,"name":"Time of Event (Mountain Time)","value":"06:39:54"},{"id":151,"name":"Denver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4003 --day 2017-01-09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434</v>
      </c>
      <c r="B32" s="7">
        <v>4004</v>
      </c>
      <c r="C32" s="22" t="s">
        <v>203</v>
      </c>
      <c r="D32" s="22" t="s">
        <v>342</v>
      </c>
      <c r="E32" s="13">
        <v>42744.286516203705</v>
      </c>
      <c r="F32" s="13">
        <v>42744.2890625</v>
      </c>
      <c r="G32" s="7">
        <v>1</v>
      </c>
      <c r="H32" s="22" t="s">
        <v>678</v>
      </c>
      <c r="I32" s="13">
        <v>42744.311527777776</v>
      </c>
      <c r="J32" s="7">
        <v>0</v>
      </c>
      <c r="K32" s="105" t="str">
        <f t="shared" si="0"/>
        <v>4003/4004</v>
      </c>
      <c r="L32" s="22" t="str">
        <f>VLOOKUP(A32,'Trips&amp;Operators'!$C$1:$G$99999,5,FALSE)</f>
        <v>STARKS ANGELINA</v>
      </c>
      <c r="M32" s="6">
        <f t="shared" si="1"/>
        <v>2.2465277776063886E-2</v>
      </c>
      <c r="N32" s="7"/>
      <c r="O32" s="7"/>
      <c r="P32" s="7">
        <f>24*60*SUM($M32:$M32)</f>
        <v>32.349999997531995</v>
      </c>
      <c r="Q32" s="23"/>
      <c r="R32" s="23" t="s">
        <v>832</v>
      </c>
      <c r="S32" s="32">
        <f t="shared" si="3"/>
        <v>0.91666666666666663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11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2" s="49" t="str">
        <f t="shared" si="6"/>
        <v>Y</v>
      </c>
      <c r="X32" s="173">
        <f t="shared" si="7"/>
        <v>1</v>
      </c>
      <c r="Y32" s="64">
        <f t="shared" si="8"/>
        <v>23.296900000000001</v>
      </c>
      <c r="Z32" s="64">
        <f t="shared" si="9"/>
        <v>2.7292999999999998</v>
      </c>
      <c r="AA32" s="64">
        <f t="shared" si="10"/>
        <v>20.567600000000002</v>
      </c>
      <c r="AB32" s="61" t="str">
        <f>VLOOKUP(A32,Enforcements!$C$7:$K$17,8,0)</f>
        <v>Bulletin (2)</v>
      </c>
      <c r="AC32" s="57" t="str">
        <f>VLOOKUP(A32,Enforcements!$C$7:$E$17,3,0)</f>
        <v>GRADE CROSSING</v>
      </c>
      <c r="AD32" s="58" t="str">
        <f t="shared" si="11"/>
        <v>0120-09</v>
      </c>
      <c r="AE32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32" s="84" t="str">
        <f t="shared" si="13"/>
        <v>"C:\Program Files (x86)\AstroGrep\AstroGrep.exe" /spath="%USERPROFILE%\AppData\Local\Temp\OnboardLogs" /stypes="app*4004*20170109*"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120-09 --locoid 4004 --swversion DE.1.0.8.0 --startMP 204:232969 --initTime 2017-01-09T06:52:35 --startdatetime 2017-01-09T06:56:15 --delay 1 --endMP 204:27293 --enddatetime 2017-01-09T07:28:36 --enforcementcount 0 &gt;&gt;C:\Users\stu\Documents\GitHub\eaglep3-reporting\EC\2017-01-09-refined-times.txt</v>
      </c>
      <c r="AI32" s="115" t="str">
        <f t="shared" si="19"/>
        <v>echo {"issue":{"subject":"Repeated early arrival enforcements @ York &amp; Josephine","project_id":79,"tracker_id":40,"status_id":1,"priority_id":2,"assigned_to_id":23,"start_date":"2017-01-09","description":"","custom_fields":[{"id":1,"name":"Subdivision","value":"EC"},{"id":4,"name":"Milepost","value":"2.7293"},{"id":17,"name":"Train ID","value":"120-09"},{"id":16,"name":"Locomotive ID","value":"4004"},{"id":130,"name":"Impact","value":""},{"id":150,"name":"Time of Event (Mountain Time)","value":"07:28:36"},{"id":151,"name":"Denver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4004 --day 2017-01-09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478</v>
      </c>
      <c r="B33" s="7">
        <v>4044</v>
      </c>
      <c r="C33" s="22" t="s">
        <v>203</v>
      </c>
      <c r="D33" s="22" t="s">
        <v>418</v>
      </c>
      <c r="E33" s="13">
        <v>42744.255601851852</v>
      </c>
      <c r="F33" s="13">
        <v>42744.260821759257</v>
      </c>
      <c r="G33" s="7">
        <v>1</v>
      </c>
      <c r="H33" s="22" t="s">
        <v>679</v>
      </c>
      <c r="I33" s="13">
        <v>42744.286770833336</v>
      </c>
      <c r="J33" s="7">
        <v>0</v>
      </c>
      <c r="K33" s="105" t="str">
        <f t="shared" si="0"/>
        <v>4043/4044</v>
      </c>
      <c r="L33" s="22" t="str">
        <f>VLOOKUP(A33,'Trips&amp;Operators'!$C$1:$G$99999,5,FALSE)</f>
        <v>BONDS REYNALDO</v>
      </c>
      <c r="M33" s="6">
        <f t="shared" si="1"/>
        <v>2.5949074079107959E-2</v>
      </c>
      <c r="N33" s="7">
        <f t="shared" ref="N33:N50" si="21">24*60*SUM($M33:$M33)</f>
        <v>37.366666673915461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05:08:04-700',mode:absolute,to:'2017-01-09 07:52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4.3499999999999997E-2</v>
      </c>
      <c r="Z33" s="64">
        <f t="shared" si="9"/>
        <v>23.334</v>
      </c>
      <c r="AA33" s="64">
        <f t="shared" si="10"/>
        <v>23.290499999999998</v>
      </c>
      <c r="AB33" s="61" t="e">
        <f>VLOOKUP(A33,Enforcements!$C$7:$K$17,8,0)</f>
        <v>#N/A</v>
      </c>
      <c r="AC33" s="57" t="e">
        <f>VLOOKUP(A33,Enforcements!$C$7:$E$17,3,0)</f>
        <v>#N/A</v>
      </c>
      <c r="AD33" s="58" t="str">
        <f t="shared" si="11"/>
        <v>0121-09</v>
      </c>
      <c r="AE33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33" s="84" t="str">
        <f t="shared" si="13"/>
        <v>"C:\Program Files (x86)\AstroGrep\AstroGrep.exe" /spath="%USERPROFILE%\AppData\Local\Temp\OnboardLogs" /stypes="app*4044*20170109*"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121-09 --locoid 4044 --swversion DE.1.0.8.0 --startMP 204:435 --initTime 2017-01-09T06:08:04 --startdatetime 2017-01-09T06:15:35 --delay 1 --endMP 204:233340 --enddatetime 2017-01-09T06:52:57 --enforcementcount 0 &gt;&gt;C:\Users\stu\Documents\GitHub\eaglep3-reporting\EC\2017-01-09-refined-times.txt</v>
      </c>
      <c r="AI3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{"issue":{"subject":"","project_id":79,"tracker_id":40,"status_id":1,"priority_id":2,"assigned_to_id":23,"start_date":"2017-01-09","description":"","custom_fields":[{"id":1,"name":"Subdivision","value":"EC"},{"id":4,"name":"Milepost","value":"23.334"},{"id":17,"name":"Train ID","value":"121-09"},{"id":16,"name":"Locomotive ID","value":"4044"},{"id":130,"name":"Impact","value":""},{"id":150,"name":"Time of Event (Mountain Time)","value":"06:52:57"},{"id":151,"name":"Denver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4044 --day 2017-01-09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435</v>
      </c>
      <c r="B34" s="7">
        <v>4043</v>
      </c>
      <c r="C34" s="22" t="s">
        <v>203</v>
      </c>
      <c r="D34" s="22" t="s">
        <v>382</v>
      </c>
      <c r="E34" s="13">
        <v>42744.294791666667</v>
      </c>
      <c r="F34" s="13">
        <v>42744.299618055556</v>
      </c>
      <c r="G34" s="7">
        <v>1</v>
      </c>
      <c r="H34" s="22" t="s">
        <v>191</v>
      </c>
      <c r="I34" s="13">
        <v>42744.327094907407</v>
      </c>
      <c r="J34" s="7">
        <v>0</v>
      </c>
      <c r="K34" s="105" t="str">
        <f t="shared" si="0"/>
        <v>4043/4044</v>
      </c>
      <c r="L34" s="22" t="str">
        <f>VLOOKUP(A34,'Trips&amp;Operators'!$C$1:$G$99999,5,FALSE)</f>
        <v>BONDS REYNALDO</v>
      </c>
      <c r="M34" s="6">
        <f t="shared" si="1"/>
        <v>2.7476851850224193E-2</v>
      </c>
      <c r="N34" s="7">
        <f t="shared" si="21"/>
        <v>39.566666664322838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06:04:30-700',mode:absolute,to:'2017-01-09 08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23.298500000000001</v>
      </c>
      <c r="Z34" s="64">
        <f t="shared" si="9"/>
        <v>1.49E-2</v>
      </c>
      <c r="AA34" s="64">
        <f t="shared" si="10"/>
        <v>23.2836</v>
      </c>
      <c r="AB34" s="61" t="e">
        <f>VLOOKUP(A34,Enforcements!$C$7:$K$17,8,0)</f>
        <v>#N/A</v>
      </c>
      <c r="AC34" s="57" t="e">
        <f>VLOOKUP(A34,Enforcements!$C$7:$E$17,3,0)</f>
        <v>#N/A</v>
      </c>
      <c r="AD34" s="58" t="str">
        <f t="shared" si="11"/>
        <v>0122-09</v>
      </c>
      <c r="AE34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34" s="84" t="str">
        <f t="shared" si="13"/>
        <v>"C:\Program Files (x86)\AstroGrep\AstroGrep.exe" /spath="%USERPROFILE%\AppData\Local\Temp\OnboardLogs" /stypes="app*4043*20170109*"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122-09 --locoid 4043 --swversion DE.1.0.8.0 --startMP 204:232985 --initTime 2017-01-09T07:04:30 --startdatetime 2017-01-09T07:11:27 --delay 1 --endMP 204:149 --enddatetime 2017-01-09T07:51:01 --enforcementcount 0 &gt;&gt;C:\Users\stu\Documents\GitHub\eaglep3-reporting\EC\2017-01-09-refined-times.txt</v>
      </c>
      <c r="AI3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ID","value":"122-09"},{"id":16,"name":"Locomotive ID","value":"4043"},{"id":130,"name":"Impact","value":""},{"id":150,"name":"Time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4043 --day 2017-01-09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480</v>
      </c>
      <c r="B35" s="7">
        <v>4020</v>
      </c>
      <c r="C35" s="22" t="s">
        <v>203</v>
      </c>
      <c r="D35" s="22" t="s">
        <v>274</v>
      </c>
      <c r="E35" s="13">
        <v>42744.267534722225</v>
      </c>
      <c r="F35" s="13">
        <v>42744.27103009259</v>
      </c>
      <c r="G35" s="7">
        <v>1</v>
      </c>
      <c r="H35" s="22" t="s">
        <v>680</v>
      </c>
      <c r="I35" s="13">
        <v>42744.298900462964</v>
      </c>
      <c r="J35" s="7">
        <v>0</v>
      </c>
      <c r="K35" s="105" t="str">
        <f t="shared" si="0"/>
        <v>4019/4020</v>
      </c>
      <c r="L35" s="22" t="str">
        <f>VLOOKUP(A35,'Trips&amp;Operators'!$C$1:$G$99999,5,FALSE)</f>
        <v>SHOOK JOHN</v>
      </c>
      <c r="M35" s="6">
        <f t="shared" si="1"/>
        <v>2.7870370373420883E-2</v>
      </c>
      <c r="N35" s="7">
        <f t="shared" si="21"/>
        <v>40.133333337726071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05:25:15-700',mode:absolute,to:'2017-01-09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4.5699999999999998E-2</v>
      </c>
      <c r="Z35" s="64">
        <f t="shared" si="9"/>
        <v>23.328199999999999</v>
      </c>
      <c r="AA35" s="64">
        <f t="shared" si="10"/>
        <v>23.282499999999999</v>
      </c>
      <c r="AB35" s="61" t="e">
        <f>VLOOKUP(A35,Enforcements!$C$7:$K$17,8,0)</f>
        <v>#N/A</v>
      </c>
      <c r="AC35" s="57" t="e">
        <f>VLOOKUP(A35,Enforcements!$C$7:$E$17,3,0)</f>
        <v>#N/A</v>
      </c>
      <c r="AD35" s="58" t="str">
        <f t="shared" si="11"/>
        <v>0123-09</v>
      </c>
      <c r="AE35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35" s="84" t="str">
        <f t="shared" si="13"/>
        <v>"C:\Program Files (x86)\AstroGrep\AstroGrep.exe" /spath="%USERPROFILE%\AppData\Local\Temp\OnboardLogs" /stypes="app*4020*20170109*"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123-09 --locoid 4020 --swversion DE.1.0.8.0 --startMP 204:457 --initTime 2017-01-09T06:25:15 --startdatetime 2017-01-09T06:30:17 --delay 1 --endMP 204:233282 --enddatetime 2017-01-09T07:10:25 --enforcementcount 0 &gt;&gt;C:\Users\stu\Documents\GitHub\eaglep3-reporting\EC\2017-01-09-refined-times.txt</v>
      </c>
      <c r="AI3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{"issue":{"subject":"","project_id":79,"tracker_id":40,"status_id":1,"priority_id":2,"assigned_to_id":23,"start_date":"2017-01-09","description":"","custom_fields":[{"id":1,"name":"Subdivision","value":"EC"},{"id":4,"name":"Milepost","value":"23.3282"},{"id":17,"name":"Train ID","value":"123-09"},{"id":16,"name":"Locomotive ID","value":"4020"},{"id":130,"name":"Impact","value":""},{"id":150,"name":"Time of Event (Mountain Time)","value":"07:10:25"},{"id":151,"name":"Denver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4020 --day 2017-01-09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486</v>
      </c>
      <c r="B36" s="7">
        <v>4019</v>
      </c>
      <c r="C36" s="22" t="s">
        <v>203</v>
      </c>
      <c r="D36" s="22" t="s">
        <v>257</v>
      </c>
      <c r="E36" s="13">
        <v>42744.300717592596</v>
      </c>
      <c r="F36" s="13">
        <v>42744.309918981482</v>
      </c>
      <c r="G36" s="7">
        <v>1</v>
      </c>
      <c r="H36" s="22" t="s">
        <v>209</v>
      </c>
      <c r="I36" s="13">
        <v>42744.337638888886</v>
      </c>
      <c r="J36" s="7">
        <v>0</v>
      </c>
      <c r="K36" s="105" t="str">
        <f t="shared" si="0"/>
        <v>4019/4020</v>
      </c>
      <c r="L36" s="22" t="str">
        <f>VLOOKUP(A36,'Trips&amp;Operators'!$C$1:$G$99999,5,FALSE)</f>
        <v>SHOOK JOHN</v>
      </c>
      <c r="M36" s="6">
        <f t="shared" si="1"/>
        <v>2.7719907404389232E-2</v>
      </c>
      <c r="N36" s="7">
        <f t="shared" si="21"/>
        <v>39.916666662320495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06:13:02-700',mode:absolute,to:'2017-01-09 09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23.2973</v>
      </c>
      <c r="Z36" s="64">
        <f t="shared" si="9"/>
        <v>1.4999999999999999E-2</v>
      </c>
      <c r="AA36" s="64">
        <f t="shared" si="10"/>
        <v>23.282299999999999</v>
      </c>
      <c r="AB36" s="61" t="e">
        <f>VLOOKUP(A36,Enforcements!$C$7:$K$17,8,0)</f>
        <v>#N/A</v>
      </c>
      <c r="AC36" s="57" t="e">
        <f>VLOOKUP(A36,Enforcements!$C$7:$E$17,3,0)</f>
        <v>#N/A</v>
      </c>
      <c r="AD36" s="58" t="str">
        <f t="shared" si="11"/>
        <v>0124-09</v>
      </c>
      <c r="AE36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36" s="84" t="str">
        <f t="shared" si="13"/>
        <v>"C:\Program Files (x86)\AstroGrep\AstroGrep.exe" /spath="%USERPROFILE%\AppData\Local\Temp\OnboardLogs" /stypes="app*4019*20170109*"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124-09 --locoid 4019 --swversion DE.1.0.8.0 --startMP 204:232973 --initTime 2017-01-09T07:13:02 --startdatetime 2017-01-09T07:26:17 --delay 1 --endMP 204:150 --enddatetime 2017-01-09T08:06:12 --enforcementcount 0 &gt;&gt;C:\Users\stu\Documents\GitHub\eaglep3-reporting\EC\2017-01-09-refined-times.txt</v>
      </c>
      <c r="AI3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ID","value":"124-09"},{"id":16,"name":"Locomotive ID","value":"4019"},{"id":130,"name":"Impact","value":""},{"id":150,"name":"Time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4019 --day 2017-01-09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481</v>
      </c>
      <c r="B37" s="7">
        <v>4046</v>
      </c>
      <c r="C37" s="22" t="s">
        <v>203</v>
      </c>
      <c r="D37" s="22" t="s">
        <v>256</v>
      </c>
      <c r="E37" s="13">
        <v>42744.275127314817</v>
      </c>
      <c r="F37" s="13">
        <v>42744.281412037039</v>
      </c>
      <c r="G37" s="7">
        <v>1</v>
      </c>
      <c r="H37" s="22" t="s">
        <v>304</v>
      </c>
      <c r="I37" s="13">
        <v>42744.305902777778</v>
      </c>
      <c r="J37" s="7">
        <v>0</v>
      </c>
      <c r="K37" s="105" t="str">
        <f t="shared" si="0"/>
        <v>4045/4046</v>
      </c>
      <c r="L37" s="22" t="str">
        <f>VLOOKUP(A37,'Trips&amp;Operators'!$C$1:$G$99999,5,FALSE)</f>
        <v>YORK EDGAR</v>
      </c>
      <c r="M37" s="6">
        <f t="shared" si="1"/>
        <v>2.4490740739565808E-2</v>
      </c>
      <c r="N37" s="7">
        <f t="shared" si="21"/>
        <v>35.266666664974764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05:36:11-700',mode:absolute,to:'2017-01-09 08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4.4900000000000002E-2</v>
      </c>
      <c r="Z37" s="64">
        <f t="shared" si="9"/>
        <v>23.329499999999999</v>
      </c>
      <c r="AA37" s="64">
        <f t="shared" si="10"/>
        <v>23.284600000000001</v>
      </c>
      <c r="AB37" s="61" t="e">
        <f>VLOOKUP(A37,Enforcements!$C$7:$K$17,8,0)</f>
        <v>#N/A</v>
      </c>
      <c r="AC37" s="57" t="e">
        <f>VLOOKUP(A37,Enforcements!$C$7:$E$17,3,0)</f>
        <v>#N/A</v>
      </c>
      <c r="AD37" s="58" t="str">
        <f t="shared" si="11"/>
        <v>0125-09</v>
      </c>
      <c r="AE37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37" s="84" t="str">
        <f t="shared" si="13"/>
        <v>"C:\Program Files (x86)\AstroGrep\AstroGrep.exe" /spath="%USERPROFILE%\AppData\Local\Temp\OnboardLogs" /stypes="app*4046*20170109*"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125-09 --locoid 4046 --swversion DE.1.0.8.0 --startMP 204:449 --initTime 2017-01-09T06:36:11 --startdatetime 2017-01-09T06:45:14 --delay 1 --endMP 204:233295 --enddatetime 2017-01-09T07:20:30 --enforcementcount 0 &gt;&gt;C:\Users\stu\Documents\GitHub\eaglep3-reporting\EC\2017-01-09-refined-times.txt</v>
      </c>
      <c r="AI3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ID","value":"125-09"},{"id":16,"name":"Locomotive ID","value":"4046"},{"id":130,"name":"Impact","value":""},{"id":150,"name":"Time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4046 --day 2017-01-09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487</v>
      </c>
      <c r="B38" s="7">
        <v>4045</v>
      </c>
      <c r="C38" s="22" t="s">
        <v>203</v>
      </c>
      <c r="D38" s="22" t="s">
        <v>390</v>
      </c>
      <c r="E38" s="13">
        <v>42744.306990740741</v>
      </c>
      <c r="F38" s="13">
        <v>42744.320416666669</v>
      </c>
      <c r="G38" s="7">
        <v>0</v>
      </c>
      <c r="H38" s="22" t="s">
        <v>209</v>
      </c>
      <c r="I38" s="13">
        <v>42744.346932870372</v>
      </c>
      <c r="J38" s="7">
        <v>0</v>
      </c>
      <c r="K38" s="105" t="str">
        <f t="shared" si="0"/>
        <v>4045/4046</v>
      </c>
      <c r="L38" s="22" t="str">
        <f>VLOOKUP(A38,'Trips&amp;Operators'!$C$1:$G$99999,5,FALSE)</f>
        <v>YORK EDGAR</v>
      </c>
      <c r="M38" s="6">
        <f t="shared" si="1"/>
        <v>2.6516203703067731E-2</v>
      </c>
      <c r="N38" s="7">
        <f t="shared" si="21"/>
        <v>38.183333332417533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06:22:04-700',mode:absolute,to:'2017-01-09 09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23.296399999999998</v>
      </c>
      <c r="Z38" s="64">
        <f t="shared" si="9"/>
        <v>1.4999999999999999E-2</v>
      </c>
      <c r="AA38" s="64">
        <f t="shared" si="10"/>
        <v>23.281399999999998</v>
      </c>
      <c r="AB38" s="61" t="e">
        <f>VLOOKUP(A38,Enforcements!$C$7:$K$17,8,0)</f>
        <v>#N/A</v>
      </c>
      <c r="AC38" s="57" t="e">
        <f>VLOOKUP(A38,Enforcements!$C$7:$E$17,3,0)</f>
        <v>#N/A</v>
      </c>
      <c r="AD38" s="58" t="str">
        <f t="shared" si="11"/>
        <v>0126-09</v>
      </c>
      <c r="AE38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38" s="84" t="str">
        <f t="shared" si="13"/>
        <v>"C:\Program Files (x86)\AstroGrep\AstroGrep.exe" /spath="%USERPROFILE%\AppData\Local\Temp\OnboardLogs" /stypes="app*4045*20170109*"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126-09 --locoid 4045 --swversion DE.1.0.8.0 --startMP 204:232964 --initTime 2017-01-09T07:22:04 --startdatetime 2017-01-09T07:41:24 --delay 0 --endMP 204:150 --enddatetime 2017-01-09T08:19:35 --enforcementcount 0 &gt;&gt;C:\Users\stu\Documents\GitHub\eaglep3-reporting\EC\2017-01-09-refined-times.txt</v>
      </c>
      <c r="AI3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ID","value":"126-09"},{"id":16,"name":"Locomotive ID","value":"4045"},{"id":130,"name":"Impact","value":""},{"id":150,"name":"Time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4045 --day 2017-01-09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483</v>
      </c>
      <c r="B39" s="7">
        <v>4031</v>
      </c>
      <c r="C39" s="22" t="s">
        <v>203</v>
      </c>
      <c r="D39" s="22" t="s">
        <v>349</v>
      </c>
      <c r="E39" s="13">
        <v>42744.287002314813</v>
      </c>
      <c r="F39" s="13">
        <v>42744.291909722226</v>
      </c>
      <c r="G39" s="7">
        <v>1</v>
      </c>
      <c r="H39" s="22" t="s">
        <v>341</v>
      </c>
      <c r="I39" s="13">
        <v>42744.317812499998</v>
      </c>
      <c r="J39" s="7">
        <v>0</v>
      </c>
      <c r="K39" s="105" t="str">
        <f t="shared" si="0"/>
        <v>4031/4032</v>
      </c>
      <c r="L39" s="22" t="str">
        <f>VLOOKUP(A39,'Trips&amp;Operators'!$C$1:$G$99999,5,FALSE)</f>
        <v>OUN ZACK</v>
      </c>
      <c r="M39" s="6">
        <f t="shared" si="1"/>
        <v>2.5902777771989349E-2</v>
      </c>
      <c r="N39" s="7">
        <f t="shared" si="21"/>
        <v>37.299999991664663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05:53:17-700',mode:absolute,to:'2017-01-09 08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4.3799999999999999E-2</v>
      </c>
      <c r="Z39" s="64">
        <f t="shared" si="9"/>
        <v>23.3309</v>
      </c>
      <c r="AA39" s="64">
        <f t="shared" si="10"/>
        <v>23.287099999999999</v>
      </c>
      <c r="AB39" s="61" t="e">
        <f>VLOOKUP(A39,Enforcements!$C$7:$K$17,8,0)</f>
        <v>#N/A</v>
      </c>
      <c r="AC39" s="57" t="e">
        <f>VLOOKUP(A39,Enforcements!$C$7:$E$17,3,0)</f>
        <v>#N/A</v>
      </c>
      <c r="AD39" s="58" t="str">
        <f t="shared" si="11"/>
        <v>0127-09</v>
      </c>
      <c r="AE39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39" s="84" t="str">
        <f t="shared" si="13"/>
        <v>"C:\Program Files (x86)\AstroGrep\AstroGrep.exe" /spath="%USERPROFILE%\AppData\Local\Temp\OnboardLogs" /stypes="app*4031*20170109*"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127-09 --locoid 4031 --swversion DE.1.0.8.0 --startMP 204:438 --initTime 2017-01-09T06:53:17 --startdatetime 2017-01-09T07:00:21 --delay 1 --endMP 204:233309 --enddatetime 2017-01-09T07:37:39 --enforcementcount 0 &gt;&gt;C:\Users\stu\Documents\GitHub\eaglep3-reporting\EC\2017-01-09-refined-times.txt</v>
      </c>
      <c r="AI3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{"issue":{"subject":"","project_id":79,"tracker_id":40,"status_id":1,"priority_id":2,"assigned_to_id":23,"start_date":"2017-01-09","description":"","custom_fields":[{"id":1,"name":"Subdivision","value":"EC"},{"id":4,"name":"Milepost","value":"23.3309"},{"id":17,"name":"Train ID","value":"127-09"},{"id":16,"name":"Locomotive ID","value":"4031"},{"id":130,"name":"Impact","value":""},{"id":150,"name":"Time of Event (Mountain Time)","value":"07:37:39"},{"id":151,"name":"Denver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4031 --day 2017-01-09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491</v>
      </c>
      <c r="B40" s="7">
        <v>4032</v>
      </c>
      <c r="C40" s="22" t="s">
        <v>203</v>
      </c>
      <c r="D40" s="22" t="s">
        <v>346</v>
      </c>
      <c r="E40" s="13">
        <v>42744.322870370372</v>
      </c>
      <c r="F40" s="13">
        <v>42744.36478009259</v>
      </c>
      <c r="G40" s="7">
        <v>1</v>
      </c>
      <c r="H40" s="22" t="s">
        <v>272</v>
      </c>
      <c r="I40" s="13">
        <v>42744.389618055553</v>
      </c>
      <c r="J40" s="7">
        <v>0</v>
      </c>
      <c r="K40" s="105" t="str">
        <f t="shared" si="0"/>
        <v>4031/4032</v>
      </c>
      <c r="L40" s="22" t="str">
        <f>VLOOKUP(A40,'Trips&amp;Operators'!$C$1:$G$99999,5,FALSE)</f>
        <v>OUN ZACK</v>
      </c>
      <c r="M40" s="6">
        <f t="shared" si="1"/>
        <v>2.4837962962919846E-2</v>
      </c>
      <c r="N40" s="7">
        <f t="shared" si="21"/>
        <v>35.766666666604578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06:44:56-700',mode:absolute,to:'2017-01-09 10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23.298400000000001</v>
      </c>
      <c r="Z40" s="64">
        <f t="shared" si="9"/>
        <v>1.41E-2</v>
      </c>
      <c r="AA40" s="64">
        <f t="shared" si="10"/>
        <v>23.284300000000002</v>
      </c>
      <c r="AB40" s="61" t="e">
        <f>VLOOKUP(A40,Enforcements!$C$7:$K$17,8,0)</f>
        <v>#N/A</v>
      </c>
      <c r="AC40" s="57" t="e">
        <f>VLOOKUP(A40,Enforcements!$C$7:$E$17,3,0)</f>
        <v>#N/A</v>
      </c>
      <c r="AD40" s="58" t="str">
        <f t="shared" si="11"/>
        <v>0128-09</v>
      </c>
      <c r="AE40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40" s="84" t="str">
        <f t="shared" si="13"/>
        <v>"C:\Program Files (x86)\AstroGrep\AstroGrep.exe" /spath="%USERPROFILE%\AppData\Local\Temp\OnboardLogs" /stypes="app*4032*20170109*" /stext=" 16:.+((SYSTEM_STATE.+slice.+state.+changed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128-09 --locoid 4032 --swversion DE.1.0.8.0 --startMP 204:232984 --initTime 2017-01-09T07:44:56 --startdatetime 2017-01-09T08:45:17 --delay 1 --endMP 204:141 --enddatetime 2017-01-09T09:21:03 --enforcementcount 0 &gt;&gt;C:\Users\stu\Documents\GitHub\eaglep3-reporting\EC\2017-01-09-refined-times.txt</v>
      </c>
      <c r="AI4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ID","value":"128-09"},{"id":16,"name":"Locomotive ID","value":"4032"},{"id":130,"name":"Impact","value":""},{"id":150,"name":"Time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4032 --day 2017-01-09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485</v>
      </c>
      <c r="B41" s="7">
        <v>4011</v>
      </c>
      <c r="C41" s="22" t="s">
        <v>203</v>
      </c>
      <c r="D41" s="22" t="s">
        <v>412</v>
      </c>
      <c r="E41" s="13">
        <v>42744.299016203702</v>
      </c>
      <c r="F41" s="13">
        <v>42744.302303240744</v>
      </c>
      <c r="G41" s="7">
        <v>1</v>
      </c>
      <c r="H41" s="22" t="s">
        <v>378</v>
      </c>
      <c r="I41" s="13">
        <v>42744.327407407407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ROBINSON KADDIBA</v>
      </c>
      <c r="M41" s="6">
        <f t="shared" si="1"/>
        <v>2.5104166663368233E-2</v>
      </c>
      <c r="N41" s="7">
        <f t="shared" si="21"/>
        <v>36.149999995250255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06:10:35-700',mode:absolute,to:'2017-01-09 08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4.7699999999999999E-2</v>
      </c>
      <c r="Z41" s="64">
        <f t="shared" si="9"/>
        <v>23.331700000000001</v>
      </c>
      <c r="AA41" s="64">
        <f t="shared" si="10"/>
        <v>23.284000000000002</v>
      </c>
      <c r="AB41" s="61" t="e">
        <f>VLOOKUP(A41,Enforcements!$C$7:$K$17,8,0)</f>
        <v>#N/A</v>
      </c>
      <c r="AC41" s="57" t="e">
        <f>VLOOKUP(A41,Enforcements!$C$7:$E$17,3,0)</f>
        <v>#N/A</v>
      </c>
      <c r="AD41" s="58" t="str">
        <f t="shared" si="11"/>
        <v>0129-09</v>
      </c>
      <c r="AE41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41" s="84" t="str">
        <f t="shared" si="13"/>
        <v>"C:\Program Files (x86)\AstroGrep\AstroGrep.exe" /spath="%USERPROFILE%\AppData\Local\Temp\OnboardLogs" /stypes="app*4011*20170109*"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129-09 --locoid 4011 --swversion DE.1.0.8.0 --startMP 204:477 --initTime 2017-01-09T07:10:35 --startdatetime 2017-01-09T07:15:19 --delay 1 --endMP 204:233317 --enddatetime 2017-01-09T07:51:28 --enforcementcount 0 &gt;&gt;C:\Users\stu\Documents\GitHub\eaglep3-reporting\EC\2017-01-09-refined-times.txt</v>
      </c>
      <c r="AI4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{"issue":{"subject":"","project_id":79,"tracker_id":40,"status_id":1,"priority_id":2,"assigned_to_id":23,"start_date":"2017-01-09","description":"","custom_fields":[{"id":1,"name":"Subdivision","value":"EC"},{"id":4,"name":"Milepost","value":"23.3317"},{"id":17,"name":"Train ID","value":"129-09"},{"id":16,"name":"Locomotive ID","value":"4011"},{"id":130,"name":"Impact","value":""},{"id":150,"name":"Time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4011 --day 2017-01-09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494</v>
      </c>
      <c r="B42" s="7">
        <v>4012</v>
      </c>
      <c r="C42" s="22" t="s">
        <v>203</v>
      </c>
      <c r="D42" s="22" t="s">
        <v>401</v>
      </c>
      <c r="E42" s="13">
        <v>42744.3362037037</v>
      </c>
      <c r="F42" s="13">
        <v>42744.341180555559</v>
      </c>
      <c r="G42" s="7">
        <v>1</v>
      </c>
      <c r="H42" s="22" t="s">
        <v>228</v>
      </c>
      <c r="I42" s="13">
        <v>42744.368078703701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ROBINSON KADDIBA</v>
      </c>
      <c r="M42" s="6">
        <f t="shared" si="1"/>
        <v>2.6898148142208811E-2</v>
      </c>
      <c r="N42" s="7">
        <f t="shared" si="21"/>
        <v>38.733333324780688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07:04:08-700',mode:absolute,to:'2017-01-09 09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23.3004</v>
      </c>
      <c r="Z42" s="64">
        <f t="shared" si="9"/>
        <v>1.4500000000000001E-2</v>
      </c>
      <c r="AA42" s="64">
        <f t="shared" si="10"/>
        <v>23.285899999999998</v>
      </c>
      <c r="AB42" s="61" t="e">
        <f>VLOOKUP(A42,Enforcements!$C$7:$K$17,8,0)</f>
        <v>#N/A</v>
      </c>
      <c r="AC42" s="57" t="e">
        <f>VLOOKUP(A42,Enforcements!$C$7:$E$17,3,0)</f>
        <v>#N/A</v>
      </c>
      <c r="AD42" s="58" t="str">
        <f t="shared" si="11"/>
        <v>0130-09</v>
      </c>
      <c r="AE42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42" s="84" t="str">
        <f t="shared" si="13"/>
        <v>"C:\Program Files (x86)\AstroGrep\AstroGrep.exe" /spath="%USERPROFILE%\AppData\Local\Temp\OnboardLogs" /stypes="app*4012*20170109*"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130-09 --locoid 4012 --swversion DE.1.0.8.0 --startMP 204:233004 --initTime 2017-01-09T08:04:08 --startdatetime 2017-01-09T08:11:18 --delay 1 --endMP 204:145 --enddatetime 2017-01-09T08:50:02 --enforcementcount 0 &gt;&gt;C:\Users\stu\Documents\GitHub\eaglep3-reporting\EC\2017-01-09-refined-times.txt</v>
      </c>
      <c r="AI4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ID","value":"130-09"},{"id":16,"name":"Locomotive ID","value":"4012"},{"id":130,"name":"Impact","value":""},{"id":150,"name":"Time of Event (Mountain Time)","value":"08:50:02"},{"id":151,"name":"Denver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4012 --day 2017-01-09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488</v>
      </c>
      <c r="B43" s="7">
        <v>4042</v>
      </c>
      <c r="C43" s="22" t="s">
        <v>203</v>
      </c>
      <c r="D43" s="22" t="s">
        <v>318</v>
      </c>
      <c r="E43" s="13">
        <v>42744.308587962965</v>
      </c>
      <c r="F43" s="13">
        <v>42744.3128125</v>
      </c>
      <c r="G43" s="7">
        <v>1</v>
      </c>
      <c r="H43" s="22" t="s">
        <v>386</v>
      </c>
      <c r="I43" s="13">
        <v>42744.341203703705</v>
      </c>
      <c r="J43" s="7">
        <v>0</v>
      </c>
      <c r="K43" s="105" t="str">
        <f t="shared" si="0"/>
        <v>4041/4042</v>
      </c>
      <c r="L43" s="22" t="str">
        <f>VLOOKUP(A43,'Trips&amp;Operators'!$C$1:$G$99999,5,FALSE)</f>
        <v>MAELZER KURT</v>
      </c>
      <c r="M43" s="6">
        <f t="shared" si="1"/>
        <v>2.8391203704813961E-2</v>
      </c>
      <c r="N43" s="7">
        <f t="shared" si="21"/>
        <v>40.883333334932104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06:24:22-700',mode:absolute,to:'2017-01-09 09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4.6600000000000003E-2</v>
      </c>
      <c r="Z43" s="64">
        <f t="shared" si="9"/>
        <v>23.3307</v>
      </c>
      <c r="AA43" s="64">
        <f t="shared" si="10"/>
        <v>23.284099999999999</v>
      </c>
      <c r="AB43" s="61" t="e">
        <f>VLOOKUP(A43,Enforcements!$C$7:$K$17,8,0)</f>
        <v>#N/A</v>
      </c>
      <c r="AC43" s="57" t="e">
        <f>VLOOKUP(A43,Enforcements!$C$7:$E$17,3,0)</f>
        <v>#N/A</v>
      </c>
      <c r="AD43" s="58" t="str">
        <f t="shared" si="11"/>
        <v>0131-09</v>
      </c>
      <c r="AE43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43" s="84" t="str">
        <f t="shared" si="13"/>
        <v>"C:\Program Files (x86)\AstroGrep\AstroGrep.exe" /spath="%USERPROFILE%\AppData\Local\Temp\OnboardLogs" /stypes="app*4042*20170109*"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131-09 --locoid 4042 --swversion DE.1.0.8.0 --startMP 204:466 --initTime 2017-01-09T07:24:22 --startdatetime 2017-01-09T07:30:27 --delay 1 --endMP 204:233307 --enddatetime 2017-01-09T08:11:20 --enforcementcount 0 &gt;&gt;C:\Users\stu\Documents\GitHub\eaglep3-reporting\EC\2017-01-09-refined-times.txt</v>
      </c>
      <c r="AI4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{"issue":{"subject":"","project_id":79,"tracker_id":40,"status_id":1,"priority_id":2,"assigned_to_id":23,"start_date":"2017-01-09","description":"","custom_fields":[{"id":1,"name":"Subdivision","value":"EC"},{"id":4,"name":"Milepost","value":"23.3307"},{"id":17,"name":"Train ID","value":"131-09"},{"id":16,"name":"Locomotive ID","value":"4042"},{"id":130,"name":"Impact","value":""},{"id":150,"name":"Time of Event (Mountain Time)","value":"08:11:20"},{"id":151,"name":"Denver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4042 --day 2017-01-09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496</v>
      </c>
      <c r="B44" s="7">
        <v>4041</v>
      </c>
      <c r="C44" s="22" t="s">
        <v>203</v>
      </c>
      <c r="D44" s="22" t="s">
        <v>681</v>
      </c>
      <c r="E44" s="13">
        <v>42744.34752314815</v>
      </c>
      <c r="F44" s="13">
        <v>42744.351631944446</v>
      </c>
      <c r="G44" s="7">
        <v>1</v>
      </c>
      <c r="H44" s="22" t="s">
        <v>244</v>
      </c>
      <c r="I44" s="13">
        <v>42744.379212962966</v>
      </c>
      <c r="J44" s="7">
        <v>0</v>
      </c>
      <c r="K44" s="105" t="str">
        <f t="shared" si="0"/>
        <v>4041/4042</v>
      </c>
      <c r="L44" s="22" t="str">
        <f>VLOOKUP(A44,'Trips&amp;Operators'!$C$1:$G$99999,5,FALSE)</f>
        <v>MAELZER KURT</v>
      </c>
      <c r="M44" s="6">
        <f t="shared" si="1"/>
        <v>2.7581018519413192E-2</v>
      </c>
      <c r="N44" s="7">
        <f t="shared" si="21"/>
        <v>39.716666667954996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07:20:26-700',mode:absolute,to:'2017-01-09 10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23.297499999999999</v>
      </c>
      <c r="Z44" s="64">
        <f t="shared" si="9"/>
        <v>1.3899999999999999E-2</v>
      </c>
      <c r="AA44" s="64">
        <f t="shared" si="10"/>
        <v>23.2836</v>
      </c>
      <c r="AB44" s="61" t="e">
        <f>VLOOKUP(A44,Enforcements!$C$7:$K$17,8,0)</f>
        <v>#N/A</v>
      </c>
      <c r="AC44" s="57" t="e">
        <f>VLOOKUP(A44,Enforcements!$C$7:$E$17,3,0)</f>
        <v>#N/A</v>
      </c>
      <c r="AD44" s="58" t="str">
        <f t="shared" si="11"/>
        <v>0132-09</v>
      </c>
      <c r="AE44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44" s="84" t="str">
        <f t="shared" si="13"/>
        <v>"C:\Program Files (x86)\AstroGrep\AstroGrep.exe" /spath="%USERPROFILE%\AppData\Local\Temp\OnboardLogs" /stypes="app*4041*20170109*"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132-09 --locoid 4041 --swversion DE.1.0.8.0 --startMP 204:232975 --initTime 2017-01-09T08:20:26 --startdatetime 2017-01-09T08:26:21 --delay 1 --endMP 204:139 --enddatetime 2017-01-09T09:06:04 --enforcementcount 0 &gt;&gt;C:\Users\stu\Documents\GitHub\eaglep3-reporting\EC\2017-01-09-refined-times.txt</v>
      </c>
      <c r="AI4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ID","value":"132-09"},{"id":16,"name":"Locomotive ID","value":"4041"},{"id":130,"name":"Impact","value":""},{"id":150,"name":"Time of Event (Mountain Time)","value":"09:06:04"},{"id":151,"name":"Denver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4041 --day 2017-01-09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436</v>
      </c>
      <c r="B45" s="7">
        <v>4003</v>
      </c>
      <c r="C45" s="22" t="s">
        <v>203</v>
      </c>
      <c r="D45" s="22" t="s">
        <v>408</v>
      </c>
      <c r="E45" s="13">
        <v>42744.319965277777</v>
      </c>
      <c r="F45" s="13">
        <v>42744.323101851849</v>
      </c>
      <c r="G45" s="7">
        <v>1</v>
      </c>
      <c r="H45" s="22" t="s">
        <v>340</v>
      </c>
      <c r="I45" s="13">
        <v>42744.349444444444</v>
      </c>
      <c r="J45" s="7">
        <v>0</v>
      </c>
      <c r="K45" s="105" t="str">
        <f t="shared" si="0"/>
        <v>4003/4004</v>
      </c>
      <c r="L45" s="22" t="str">
        <f>VLOOKUP(A45,'Trips&amp;Operators'!$C$1:$G$99999,5,FALSE)</f>
        <v>STARKS ANGELINA</v>
      </c>
      <c r="M45" s="6">
        <f t="shared" si="1"/>
        <v>2.6342592595028691E-2</v>
      </c>
      <c r="N45" s="7">
        <f t="shared" si="21"/>
        <v>37.933333336841315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06:40:45-700',mode:absolute,to:'2017-01-09 09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5" s="49" t="str">
        <f t="shared" si="6"/>
        <v>N</v>
      </c>
      <c r="X45" s="173">
        <f t="shared" si="7"/>
        <v>1</v>
      </c>
      <c r="Y45" s="64">
        <f t="shared" si="8"/>
        <v>4.2000000000000003E-2</v>
      </c>
      <c r="Z45" s="64">
        <f t="shared" si="9"/>
        <v>23.3293</v>
      </c>
      <c r="AA45" s="64">
        <f t="shared" si="10"/>
        <v>23.287299999999998</v>
      </c>
      <c r="AB45" s="61" t="str">
        <f>VLOOKUP(A45,Enforcements!$C$7:$K$17,8,0)</f>
        <v>Speed (6)</v>
      </c>
      <c r="AC45" s="57" t="str">
        <f>VLOOKUP(A45,Enforcements!$C$7:$E$17,3,0)</f>
        <v>PERMANENT SPEED RESTRICTION</v>
      </c>
      <c r="AD45" s="58" t="str">
        <f t="shared" si="11"/>
        <v>0133-09</v>
      </c>
      <c r="AE45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45" s="84" t="str">
        <f t="shared" si="13"/>
        <v>"C:\Program Files (x86)\AstroGrep\AstroGrep.exe" /spath="%USERPROFILE%\AppData\Local\Temp\OnboardLogs" /stypes="app*4003*20170109*"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133-09 --locoid 4003 --swversion DE.1.0.8.0 --startMP 204:420 --initTime 2017-01-09T07:40:45 --startdatetime 2017-01-09T07:45:16 --delay 1 --endMP 204:233293 --enddatetime 2017-01-09T08:23:12 --enforcementcount 0 &gt;&gt;C:\Users\stu\Documents\GitHub\eaglep3-reporting\EC\2017-01-09-refined-times.txt</v>
      </c>
      <c r="AI4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ID","value":"133-09"},{"id":16,"name":"Locomotive ID","value":"4003"},{"id":130,"name":"Impact","value":""},{"id":150,"name":"Time of Event (Mountain Time)","value":"08:23:12"},{"id":151,"name":"Denver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4003 --day 2017-01-09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499</v>
      </c>
      <c r="B46" s="7">
        <v>4004</v>
      </c>
      <c r="C46" s="22" t="s">
        <v>203</v>
      </c>
      <c r="D46" s="22" t="s">
        <v>382</v>
      </c>
      <c r="E46" s="13">
        <v>42744.359259259261</v>
      </c>
      <c r="F46" s="13">
        <v>42744.362037037034</v>
      </c>
      <c r="G46" s="7">
        <v>2</v>
      </c>
      <c r="H46" s="22" t="s">
        <v>272</v>
      </c>
      <c r="I46" s="13">
        <v>42744.390949074077</v>
      </c>
      <c r="J46" s="7">
        <v>0</v>
      </c>
      <c r="K46" s="105" t="str">
        <f t="shared" si="0"/>
        <v>4003/4004</v>
      </c>
      <c r="L46" s="22" t="str">
        <f>VLOOKUP(A46,'Trips&amp;Operators'!$C$1:$G$99999,5,FALSE)</f>
        <v>STARKS ANGELINA</v>
      </c>
      <c r="M46" s="6">
        <f t="shared" si="1"/>
        <v>2.8912037043482997E-2</v>
      </c>
      <c r="N46" s="7">
        <f t="shared" si="21"/>
        <v>41.633333342615515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07:37:20-700',mode:absolute,to:'2017-01-09 10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6" s="49" t="str">
        <f t="shared" si="6"/>
        <v>N</v>
      </c>
      <c r="X46" s="173">
        <f t="shared" si="7"/>
        <v>1</v>
      </c>
      <c r="Y46" s="64">
        <f t="shared" si="8"/>
        <v>23.298500000000001</v>
      </c>
      <c r="Z46" s="64">
        <f t="shared" si="9"/>
        <v>1.41E-2</v>
      </c>
      <c r="AA46" s="64">
        <f t="shared" si="10"/>
        <v>23.284400000000002</v>
      </c>
      <c r="AB46" s="61" t="e">
        <f>VLOOKUP(A46,Enforcements!$C$7:$K$17,8,0)</f>
        <v>#N/A</v>
      </c>
      <c r="AC46" s="57" t="e">
        <f>VLOOKUP(A46,Enforcements!$C$7:$E$17,3,0)</f>
        <v>#N/A</v>
      </c>
      <c r="AD46" s="58" t="str">
        <f t="shared" si="11"/>
        <v>0134-09</v>
      </c>
      <c r="AE46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46" s="84" t="str">
        <f t="shared" si="13"/>
        <v>"C:\Program Files (x86)\AstroGrep\AstroGrep.exe" /spath="%USERPROFILE%\AppData\Local\Temp\OnboardLogs" /stypes="app*4004*20170109*"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134-09 --locoid 4004 --swversion DE.1.0.8.0 --startMP 204:232985 --initTime 2017-01-09T08:37:20 --startdatetime 2017-01-09T08:41:20 --delay 2 --endMP 204:141 --enddatetime 2017-01-09T09:22:58 --enforcementcount 0 &gt;&gt;C:\Users\stu\Documents\GitHub\eaglep3-reporting\EC\2017-01-09-refined-times.txt</v>
      </c>
      <c r="AI4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ID","value":"134-09"},{"id":16,"name":"Locomotive ID","value":"4004"},{"id":130,"name":"Impact","value":""},{"id":150,"name":"Time of Event (Mountain Time)","value":"09:22:58"},{"id":151,"name":"Denver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4004 --day 2017-01-09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492</v>
      </c>
      <c r="B47" s="7">
        <v>4044</v>
      </c>
      <c r="C47" s="22" t="s">
        <v>203</v>
      </c>
      <c r="D47" s="22" t="s">
        <v>241</v>
      </c>
      <c r="E47" s="13">
        <v>42744.328900462962</v>
      </c>
      <c r="F47" s="13">
        <v>42744.333645833336</v>
      </c>
      <c r="G47" s="7">
        <v>1</v>
      </c>
      <c r="H47" s="22" t="s">
        <v>682</v>
      </c>
      <c r="I47" s="13">
        <v>42744.360254629632</v>
      </c>
      <c r="J47" s="7">
        <v>0</v>
      </c>
      <c r="K47" s="105" t="str">
        <f t="shared" si="0"/>
        <v>4043/4044</v>
      </c>
      <c r="L47" s="22" t="str">
        <f>VLOOKUP(A47,'Trips&amp;Operators'!$C$1:$G$99999,5,FALSE)</f>
        <v>BONDS REYNALDO</v>
      </c>
      <c r="M47" s="6">
        <f t="shared" si="1"/>
        <v>2.6608796295477077E-2</v>
      </c>
      <c r="N47" s="7">
        <f t="shared" si="21"/>
        <v>38.316666665486991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06:53:37-700',mode:absolute,to:'2017-01-09 09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7" s="49" t="str">
        <f t="shared" si="6"/>
        <v>N</v>
      </c>
      <c r="X47" s="173">
        <f t="shared" si="7"/>
        <v>1</v>
      </c>
      <c r="Y47" s="64">
        <f t="shared" si="8"/>
        <v>4.53E-2</v>
      </c>
      <c r="Z47" s="64">
        <f t="shared" si="9"/>
        <v>23.3337</v>
      </c>
      <c r="AA47" s="64">
        <f t="shared" si="10"/>
        <v>23.288399999999999</v>
      </c>
      <c r="AB47" s="61" t="e">
        <f>VLOOKUP(A47,Enforcements!$C$7:$K$17,8,0)</f>
        <v>#N/A</v>
      </c>
      <c r="AC47" s="57" t="e">
        <f>VLOOKUP(A47,Enforcements!$C$7:$E$17,3,0)</f>
        <v>#N/A</v>
      </c>
      <c r="AD47" s="58" t="str">
        <f t="shared" si="11"/>
        <v>0135-09</v>
      </c>
      <c r="AE47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47" s="84" t="str">
        <f t="shared" si="13"/>
        <v>"C:\Program Files (x86)\AstroGrep\AstroGrep.exe" /spath="%USERPROFILE%\AppData\Local\Temp\OnboardLogs" /stypes="app*4044*20170109*"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135-09 --locoid 4044 --swversion DE.1.0.8.0 --startMP 204:453 --initTime 2017-01-09T07:53:37 --startdatetime 2017-01-09T08:00:27 --delay 1 --endMP 204:233337 --enddatetime 2017-01-09T08:38:46 --enforcementcount 0 &gt;&gt;C:\Users\stu\Documents\GitHub\eaglep3-reporting\EC\2017-01-09-refined-times.txt</v>
      </c>
      <c r="AI4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{"issue":{"subject":"","project_id":79,"tracker_id":40,"status_id":1,"priority_id":2,"assigned_to_id":23,"start_date":"2017-01-09","description":"","custom_fields":[{"id":1,"name":"Subdivision","value":"EC"},{"id":4,"name":"Milepost","value":"23.3337"},{"id":17,"name":"Train ID","value":"135-09"},{"id":16,"name":"Locomotive ID","value":"4044"},{"id":130,"name":"Impact","value":""},{"id":150,"name":"Time of Event (Mountain Time)","value":"08:38:46"},{"id":151,"name":"Denver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4044 --day 2017-01-09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501</v>
      </c>
      <c r="B48" s="7">
        <v>4043</v>
      </c>
      <c r="C48" s="22" t="s">
        <v>203</v>
      </c>
      <c r="D48" s="22" t="s">
        <v>675</v>
      </c>
      <c r="E48" s="13">
        <v>42744.369803240741</v>
      </c>
      <c r="F48" s="13">
        <v>42744.372407407405</v>
      </c>
      <c r="G48" s="7">
        <v>1</v>
      </c>
      <c r="H48" s="22" t="s">
        <v>243</v>
      </c>
      <c r="I48" s="13">
        <v>42744.400509259256</v>
      </c>
      <c r="J48" s="7">
        <v>0</v>
      </c>
      <c r="K48" s="105" t="str">
        <f t="shared" si="0"/>
        <v>4043/4044</v>
      </c>
      <c r="L48" s="22" t="str">
        <f>VLOOKUP(A48,'Trips&amp;Operators'!$C$1:$G$99999,5,FALSE)</f>
        <v>BONDS REYNALDO</v>
      </c>
      <c r="M48" s="6">
        <f t="shared" si="1"/>
        <v>2.810185185080627E-2</v>
      </c>
      <c r="N48" s="7">
        <f t="shared" si="21"/>
        <v>40.466666665161029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07:52:31-700',mode:absolute,to:'2017-01-09 10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8" s="49" t="str">
        <f t="shared" si="6"/>
        <v>N</v>
      </c>
      <c r="X48" s="173">
        <f t="shared" si="7"/>
        <v>1</v>
      </c>
      <c r="Y48" s="64">
        <f t="shared" si="8"/>
        <v>23.299199999999999</v>
      </c>
      <c r="Z48" s="64">
        <f t="shared" si="9"/>
        <v>1.47E-2</v>
      </c>
      <c r="AA48" s="64">
        <f t="shared" si="10"/>
        <v>23.284499999999998</v>
      </c>
      <c r="AB48" s="61" t="e">
        <f>VLOOKUP(A48,Enforcements!$C$7:$K$17,8,0)</f>
        <v>#N/A</v>
      </c>
      <c r="AC48" s="57" t="e">
        <f>VLOOKUP(A48,Enforcements!$C$7:$E$17,3,0)</f>
        <v>#N/A</v>
      </c>
      <c r="AD48" s="58" t="str">
        <f t="shared" si="11"/>
        <v>0136-09</v>
      </c>
      <c r="AE48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48" s="84" t="str">
        <f t="shared" si="13"/>
        <v>"C:\Program Files (x86)\AstroGrep\AstroGrep.exe" /spath="%USERPROFILE%\AppData\Local\Temp\OnboardLogs" /stypes="app*4043*20170109*"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136-09 --locoid 4043 --swversion DE.1.0.8.0 --startMP 204:232992 --initTime 2017-01-09T08:52:31 --startdatetime 2017-01-09T08:56:16 --delay 1 --endMP 204:147 --enddatetime 2017-01-09T09:36:44 --enforcementcount 0 &gt;&gt;C:\Users\stu\Documents\GitHub\eaglep3-reporting\EC\2017-01-09-refined-times.txt</v>
      </c>
      <c r="AI4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{"issue":{"subject":"","project_id":79,"tracker_id":40,"status_id":1,"priority_id":2,"assigned_to_id":23,"start_date":"2017-01-09","description":"","custom_fields":[{"id":1,"name":"Subdivision","value":"EC"},{"id":4,"name":"Milepost","value":"0.0147"},{"id":17,"name":"Train ID","value":"136-09"},{"id":16,"name":"Locomotive ID","value":"4043"},{"id":130,"name":"Impact","value":""},{"id":150,"name":"Time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4043 --day 2017-01-09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495</v>
      </c>
      <c r="B49" s="7">
        <v>4020</v>
      </c>
      <c r="C49" s="22" t="s">
        <v>203</v>
      </c>
      <c r="D49" s="22" t="s">
        <v>281</v>
      </c>
      <c r="E49" s="13">
        <v>42744.339548611111</v>
      </c>
      <c r="F49" s="13">
        <v>42744.343935185185</v>
      </c>
      <c r="G49" s="7">
        <v>1</v>
      </c>
      <c r="H49" s="22" t="s">
        <v>394</v>
      </c>
      <c r="I49" s="13">
        <v>42744.369733796295</v>
      </c>
      <c r="J49" s="7">
        <v>0</v>
      </c>
      <c r="K49" s="105" t="str">
        <f t="shared" si="0"/>
        <v>4019/4020</v>
      </c>
      <c r="L49" s="22" t="str">
        <f>VLOOKUP(A49,'Trips&amp;Operators'!$C$1:$G$99999,5,FALSE)</f>
        <v>SHOOK JOHN</v>
      </c>
      <c r="M49" s="6">
        <f t="shared" si="1"/>
        <v>2.5798611110076308E-2</v>
      </c>
      <c r="N49" s="7">
        <f t="shared" si="21"/>
        <v>37.149999998509884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07:08:57-700',mode:absolute,to:'2017-01-09 09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9" s="49" t="str">
        <f t="shared" si="6"/>
        <v>N</v>
      </c>
      <c r="X49" s="173">
        <f t="shared" si="7"/>
        <v>1</v>
      </c>
      <c r="Y49" s="64">
        <f t="shared" si="8"/>
        <v>4.7800000000000002E-2</v>
      </c>
      <c r="Z49" s="64">
        <f t="shared" si="9"/>
        <v>23.3306</v>
      </c>
      <c r="AA49" s="64">
        <f t="shared" si="10"/>
        <v>23.282800000000002</v>
      </c>
      <c r="AB49" s="61" t="e">
        <f>VLOOKUP(A49,Enforcements!$C$7:$K$17,8,0)</f>
        <v>#N/A</v>
      </c>
      <c r="AC49" s="57" t="e">
        <f>VLOOKUP(A49,Enforcements!$C$7:$E$17,3,0)</f>
        <v>#N/A</v>
      </c>
      <c r="AD49" s="58" t="str">
        <f t="shared" si="11"/>
        <v>0137-09</v>
      </c>
      <c r="AE49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49" s="84" t="str">
        <f t="shared" si="13"/>
        <v>"C:\Program Files (x86)\AstroGrep\AstroGrep.exe" /spath="%USERPROFILE%\AppData\Local\Temp\OnboardLogs" /stypes="app*4020*20170109*"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137-09 --locoid 4020 --swversion DE.1.0.8.0 --startMP 204:478 --initTime 2017-01-09T08:08:57 --startdatetime 2017-01-09T08:15:16 --delay 1 --endMP 204:233306 --enddatetime 2017-01-09T08:52:25 --enforcementcount 0 &gt;&gt;C:\Users\stu\Documents\GitHub\eaglep3-reporting\EC\2017-01-09-refined-times.txt</v>
      </c>
      <c r="AI4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{"issue":{"subject":"","project_id":79,"tracker_id":40,"status_id":1,"priority_id":2,"assigned_to_id":23,"start_date":"2017-01-09","description":"","custom_fields":[{"id":1,"name":"Subdivision","value":"EC"},{"id":4,"name":"Milepost","value":"23.3306"},{"id":17,"name":"Train ID","value":"137-09"},{"id":16,"name":"Locomotive ID","value":"4020"},{"id":130,"name":"Impact","value":""},{"id":150,"name":"Time of Event (Mountain Time)","value":"08:52:25"},{"id":151,"name":"Denver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4020 --day 2017-01-09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503</v>
      </c>
      <c r="B50" s="7">
        <v>4019</v>
      </c>
      <c r="C50" s="22" t="s">
        <v>203</v>
      </c>
      <c r="D50" s="22" t="s">
        <v>683</v>
      </c>
      <c r="E50" s="13">
        <v>42744.371412037035</v>
      </c>
      <c r="F50" s="13">
        <v>42744.382835648146</v>
      </c>
      <c r="G50" s="7">
        <v>1</v>
      </c>
      <c r="H50" s="22" t="s">
        <v>411</v>
      </c>
      <c r="I50" s="13">
        <v>42744.410613425927</v>
      </c>
      <c r="J50" s="7">
        <v>0</v>
      </c>
      <c r="K50" s="105" t="str">
        <f t="shared" si="0"/>
        <v>4019/4020</v>
      </c>
      <c r="L50" s="22" t="str">
        <f>VLOOKUP(A50,'Trips&amp;Operators'!$C$1:$G$99999,5,FALSE)</f>
        <v>SHOOK JOHN</v>
      </c>
      <c r="M50" s="6">
        <f t="shared" si="1"/>
        <v>2.7777777781011537E-2</v>
      </c>
      <c r="N50" s="7">
        <f t="shared" si="21"/>
        <v>40.000000004656613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07:54:50-700',mode:absolute,to:'2017-01-09 10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0" s="49" t="str">
        <f t="shared" si="6"/>
        <v>N</v>
      </c>
      <c r="X50" s="173">
        <f t="shared" si="7"/>
        <v>1</v>
      </c>
      <c r="Y50" s="64">
        <f t="shared" si="8"/>
        <v>23.3017</v>
      </c>
      <c r="Z50" s="64">
        <f t="shared" si="9"/>
        <v>1.32E-2</v>
      </c>
      <c r="AA50" s="64">
        <f t="shared" si="10"/>
        <v>23.288499999999999</v>
      </c>
      <c r="AB50" s="61" t="e">
        <f>VLOOKUP(A50,Enforcements!$C$7:$K$17,8,0)</f>
        <v>#N/A</v>
      </c>
      <c r="AC50" s="57" t="e">
        <f>VLOOKUP(A50,Enforcements!$C$7:$E$17,3,0)</f>
        <v>#N/A</v>
      </c>
      <c r="AD50" s="58" t="str">
        <f t="shared" si="11"/>
        <v>0138-09</v>
      </c>
      <c r="AE50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50" s="84" t="str">
        <f t="shared" si="13"/>
        <v>"C:\Program Files (x86)\AstroGrep\AstroGrep.exe" /spath="%USERPROFILE%\AppData\Local\Temp\OnboardLogs" /stypes="app*4019*20170109*"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138-09 --locoid 4019 --swversion DE.1.0.8.0 --startMP 204:233017 --initTime 2017-01-09T08:54:50 --startdatetime 2017-01-09T09:11:17 --delay 1 --endMP 204:132 --enddatetime 2017-01-09T09:51:17 --enforcementcount 0 &gt;&gt;C:\Users\stu\Documents\GitHub\eaglep3-reporting\EC\2017-01-09-refined-times.txt</v>
      </c>
      <c r="AI5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{"issue":{"subject":"","project_id":79,"tracker_id":40,"status_id":1,"priority_id":2,"assigned_to_id":23,"start_date":"2017-01-09","description":"","custom_fields":[{"id":1,"name":"Subdivision","value":"EC"},{"id":4,"name":"Milepost","value":"0.0132"},{"id":17,"name":"Train ID","value":"138-09"},{"id":16,"name":"Locomotive ID","value":"4019"},{"id":130,"name":"Impact","value":""},{"id":150,"name":"Time of Event (Mountain Time)","value":"09:51:17"},{"id":151,"name":"Denver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4019 --day 2017-01-09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497</v>
      </c>
      <c r="B51" s="7">
        <v>4046</v>
      </c>
      <c r="C51" s="22" t="s">
        <v>203</v>
      </c>
      <c r="D51" s="22" t="s">
        <v>397</v>
      </c>
      <c r="E51" s="13">
        <v>42744.348263888889</v>
      </c>
      <c r="F51" s="13">
        <v>42744.348865740743</v>
      </c>
      <c r="G51" s="7">
        <v>0</v>
      </c>
      <c r="H51" s="22" t="s">
        <v>684</v>
      </c>
      <c r="I51" s="13">
        <v>42744.364363425928</v>
      </c>
      <c r="J51" s="7">
        <v>0</v>
      </c>
      <c r="K51" s="105" t="str">
        <f t="shared" si="0"/>
        <v>4045/4046</v>
      </c>
      <c r="L51" s="22" t="str">
        <f>VLOOKUP(A51,'Trips&amp;Operators'!$C$1:$G$99999,5,FALSE)</f>
        <v>YORK EDGAR</v>
      </c>
      <c r="M51" s="6">
        <f t="shared" si="1"/>
        <v>1.5497685184527654E-2</v>
      </c>
      <c r="N51" s="7"/>
      <c r="O51" s="7"/>
      <c r="P51" s="7">
        <f>24*60*SUM($M51:$M52)</f>
        <v>41.899999998277053</v>
      </c>
      <c r="Q51" s="23"/>
      <c r="R51" s="23" t="s">
        <v>421</v>
      </c>
      <c r="S51" s="32">
        <f>SUM(U51:U52)/IF(AG51="EC",12,1)</f>
        <v>0.91666666666666663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9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07:21:30-700',mode:absolute,to:'2017-01-09 09:44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1" s="49" t="str">
        <f t="shared" si="6"/>
        <v>Y</v>
      </c>
      <c r="X51" s="173">
        <f t="shared" si="7"/>
        <v>1</v>
      </c>
      <c r="Y51" s="64">
        <f t="shared" si="8"/>
        <v>4.82E-2</v>
      </c>
      <c r="Z51" s="64">
        <f t="shared" si="9"/>
        <v>6.4469000000000003</v>
      </c>
      <c r="AA51" s="64">
        <f t="shared" si="10"/>
        <v>6.3987000000000007</v>
      </c>
      <c r="AB51" s="61" t="e">
        <f>VLOOKUP(A51,Enforcements!$C$7:$K$17,8,0)</f>
        <v>#N/A</v>
      </c>
      <c r="AC51" s="57" t="e">
        <f>VLOOKUP(A51,Enforcements!$C$7:$E$17,3,0)</f>
        <v>#N/A</v>
      </c>
      <c r="AD51" s="58" t="str">
        <f t="shared" si="11"/>
        <v>0139-09</v>
      </c>
      <c r="AE51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51" s="84" t="str">
        <f t="shared" si="13"/>
        <v>"C:\Program Files (x86)\AstroGrep\AstroGrep.exe" /spath="%USERPROFILE%\AppData\Local\Temp\OnboardLogs" /stypes="app*4046*20170109*" /stext=" 15:.+((SYSTEM_STATE.+slice.+state.+changed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139-09 --locoid 4046 --swversion DE.1.0.8.0 --startMP 204:482 --initTime 2017-01-09T08:21:30 --startdatetime 2017-01-09T08:22:22 --delay 0 --endMP 204:64469 --enddatetime 2017-01-09T08:44:41 --enforcementcount 0 &gt;&gt;C:\Users\stu\Documents\GitHub\eaglep3-reporting\EC\2017-01-09-refined-times.txt</v>
      </c>
      <c r="AI51" s="115" t="str">
        <f t="shared" si="19"/>
        <v>echo {"issue":{"subject":"Wi-MAX data drop","project_id":79,"tracker_id":40,"status_id":1,"priority_id":2,"assigned_to_id":23,"start_date":"2017-01-09","description":"","custom_fields":[{"id":1,"name":"Subdivision","value":"EC"},{"id":4,"name":"Milepost","value":"6.4469"},{"id":17,"name":"Train ID","value":"139-09"},{"id":16,"name":"Locomotive ID","value":"4046"},{"id":130,"name":"Impact","value":""},{"id":150,"name":"Time of Event (Mountain Time)","value":"08:44:41"},{"id":151,"name":"Denver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4046 --day 2017-01-09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497</v>
      </c>
      <c r="B52" s="7">
        <v>4046</v>
      </c>
      <c r="C52" s="22" t="s">
        <v>203</v>
      </c>
      <c r="D52" s="22" t="s">
        <v>685</v>
      </c>
      <c r="E52" s="13">
        <v>42744.368032407408</v>
      </c>
      <c r="F52" s="13">
        <v>42744.368634259263</v>
      </c>
      <c r="G52" s="7">
        <v>0</v>
      </c>
      <c r="H52" s="22" t="s">
        <v>686</v>
      </c>
      <c r="I52" s="13">
        <v>42744.382233796299</v>
      </c>
      <c r="J52" s="7">
        <v>0</v>
      </c>
      <c r="K52" s="105" t="str">
        <f t="shared" si="0"/>
        <v>4045/4046</v>
      </c>
      <c r="L52" s="22" t="str">
        <f>VLOOKUP(A52,'Trips&amp;Operators'!$C$1:$G$99999,5,FALSE)</f>
        <v>YORK EDGAR</v>
      </c>
      <c r="M52" s="6">
        <f t="shared" si="1"/>
        <v>1.3599537036498077E-2</v>
      </c>
      <c r="N52" s="7"/>
      <c r="O52" s="7"/>
      <c r="P52" s="7"/>
      <c r="Q52" s="23"/>
      <c r="R52" s="23"/>
      <c r="S52" s="32"/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07:49:58-700',mode:absolute,to:'2017-01-09 10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2" s="49" t="str">
        <f t="shared" si="6"/>
        <v>Y</v>
      </c>
      <c r="X52" s="173">
        <f t="shared" si="7"/>
        <v>0</v>
      </c>
      <c r="Y52" s="64">
        <f t="shared" si="8"/>
        <v>8.6376000000000008</v>
      </c>
      <c r="Z52" s="64">
        <f t="shared" si="9"/>
        <v>23.3278</v>
      </c>
      <c r="AA52" s="64">
        <f t="shared" si="10"/>
        <v>14.690199999999999</v>
      </c>
      <c r="AB52" s="61" t="e">
        <f>VLOOKUP(A52,Enforcements!$C$7:$K$17,8,0)</f>
        <v>#N/A</v>
      </c>
      <c r="AC52" s="57" t="e">
        <f>VLOOKUP(A52,Enforcements!$C$7:$E$17,3,0)</f>
        <v>#N/A</v>
      </c>
      <c r="AD52" s="58" t="str">
        <f t="shared" si="11"/>
        <v>0139-09</v>
      </c>
      <c r="AE52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52" s="84" t="str">
        <f t="shared" si="13"/>
        <v>"C:\Program Files (x86)\AstroGrep\AstroGrep.exe" /spath="%USERPROFILE%\AppData\Local\Temp\OnboardLogs" /stypes="app*4046*20170109*"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139-09 --locoid 4046 --swversion DE.1.0.8.0 --startMP 204:86376 --initTime 2017-01-09T08:49:58 --startdatetime 2017-01-09T08:50:50 --delay 0 --endMP 204:233278 --enddatetime 2017-01-09T09:10:25 --enforcementcount 0 &gt;&gt;C:\Users\stu\Documents\GitHub\eaglep3-reporting\EC\2017-01-09-refined-times.txt</v>
      </c>
      <c r="AI5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{"issue":{"subject":"","project_id":79,"tracker_id":40,"status_id":1,"priority_id":2,"assigned_to_id":23,"start_date":"2017-01-09","description":"","custom_fields":[{"id":1,"name":"Subdivision","value":"EC"},{"id":4,"name":"Milepost","value":"23.3278"},{"id":17,"name":"Train ID","value":"139-09"},{"id":16,"name":"Locomotive ID","value":"4046"},{"id":130,"name":"Impact","value":""},{"id":150,"name":"Time of Event (Mountain Time)","value":"09:10:25"},{"id":151,"name":"Denver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4046 --day 2017-01-09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506</v>
      </c>
      <c r="B53" s="7">
        <v>4045</v>
      </c>
      <c r="C53" s="22" t="s">
        <v>203</v>
      </c>
      <c r="D53" s="22" t="s">
        <v>246</v>
      </c>
      <c r="E53" s="13">
        <v>42744.383101851854</v>
      </c>
      <c r="F53" s="13">
        <v>42744.393252314818</v>
      </c>
      <c r="G53" s="7">
        <v>1</v>
      </c>
      <c r="H53" s="22" t="s">
        <v>322</v>
      </c>
      <c r="I53" s="13">
        <v>42744.419016203705</v>
      </c>
      <c r="J53" s="7">
        <v>0</v>
      </c>
      <c r="K53" s="105" t="str">
        <f t="shared" si="0"/>
        <v>4045/4046</v>
      </c>
      <c r="L53" s="22" t="str">
        <f>VLOOKUP(A53,'Trips&amp;Operators'!$C$1:$G$99999,5,FALSE)</f>
        <v>YORK EDGAR</v>
      </c>
      <c r="M53" s="6">
        <f t="shared" si="1"/>
        <v>2.5763888887013309E-2</v>
      </c>
      <c r="N53" s="7">
        <f t="shared" ref="N53:N84" si="22">24*60*SUM($M53:$M53)</f>
        <v>37.099999997299165</v>
      </c>
      <c r="O53" s="7"/>
      <c r="P53" s="7"/>
      <c r="Q53" s="23"/>
      <c r="R53" s="23"/>
      <c r="S53" s="32">
        <f t="shared" ref="S53:S84" si="23">SUM(U53:U53)/IF(AG53="EC",12,1)</f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08:11:40-700',mode:absolute,to:'2017-01-09 11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3" s="49" t="str">
        <f t="shared" si="6"/>
        <v>N</v>
      </c>
      <c r="X53" s="173">
        <f t="shared" si="7"/>
        <v>1</v>
      </c>
      <c r="Y53" s="64">
        <f t="shared" si="8"/>
        <v>23.297699999999999</v>
      </c>
      <c r="Z53" s="64">
        <f t="shared" si="9"/>
        <v>1.3599999999999999E-2</v>
      </c>
      <c r="AA53" s="64">
        <f t="shared" si="10"/>
        <v>23.284099999999999</v>
      </c>
      <c r="AB53" s="61" t="e">
        <f>VLOOKUP(A53,Enforcements!$C$7:$K$17,8,0)</f>
        <v>#N/A</v>
      </c>
      <c r="AC53" s="57" t="e">
        <f>VLOOKUP(A53,Enforcements!$C$7:$E$17,3,0)</f>
        <v>#N/A</v>
      </c>
      <c r="AD53" s="58" t="str">
        <f t="shared" si="11"/>
        <v>0140-09</v>
      </c>
      <c r="AE53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53" s="84" t="str">
        <f t="shared" si="13"/>
        <v>"C:\Program Files (x86)\AstroGrep\AstroGrep.exe" /spath="%USERPROFILE%\AppData\Local\Temp\OnboardLogs" /stypes="app*4045*20170109*"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140-09 --locoid 4045 --swversion DE.1.0.8.0 --startMP 204:232977 --initTime 2017-01-09T09:11:40 --startdatetime 2017-01-09T09:26:17 --delay 1 --endMP 204:136 --enddatetime 2017-01-09T10:03:23 --enforcementcount 0 &gt;&gt;C:\Users\stu\Documents\GitHub\eaglep3-reporting\EC\2017-01-09-refined-times.txt</v>
      </c>
      <c r="AI5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ID","value":"140-09"},{"id":16,"name":"Locomotive ID","value":"4045"},{"id":130,"name":"Impact","value":""},{"id":150,"name":"Time of Event (Mountain Time)","value":"10:03:23"},{"id":151,"name":"Denver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4045 --day 2017-01-09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500</v>
      </c>
      <c r="B54" s="7">
        <v>4031</v>
      </c>
      <c r="C54" s="22" t="s">
        <v>203</v>
      </c>
      <c r="D54" s="22" t="s">
        <v>687</v>
      </c>
      <c r="E54" s="13">
        <v>42744.361724537041</v>
      </c>
      <c r="F54" s="13">
        <v>42744.36478009259</v>
      </c>
      <c r="G54" s="7">
        <v>1</v>
      </c>
      <c r="H54" s="22" t="s">
        <v>316</v>
      </c>
      <c r="I54" s="13">
        <v>42744.389618055553</v>
      </c>
      <c r="J54" s="7">
        <v>0</v>
      </c>
      <c r="K54" s="105" t="str">
        <f t="shared" si="0"/>
        <v>4031/4032</v>
      </c>
      <c r="L54" s="22" t="str">
        <f>VLOOKUP(A54,'Trips&amp;Operators'!$C$1:$G$99999,5,FALSE)</f>
        <v>OUN ZACK</v>
      </c>
      <c r="M54" s="6">
        <f t="shared" si="1"/>
        <v>2.4837962962919846E-2</v>
      </c>
      <c r="N54" s="7">
        <f t="shared" si="22"/>
        <v>35.766666666604578</v>
      </c>
      <c r="O54" s="7"/>
      <c r="P54" s="7"/>
      <c r="Q54" s="23"/>
      <c r="R54" s="23"/>
      <c r="S54" s="32">
        <f t="shared" si="23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07:40:53-700',mode:absolute,to:'2017-01-09 10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4" s="49" t="str">
        <f t="shared" si="6"/>
        <v>N</v>
      </c>
      <c r="X54" s="173">
        <f t="shared" si="7"/>
        <v>1</v>
      </c>
      <c r="Y54" s="64">
        <f t="shared" si="8"/>
        <v>4.3099999999999999E-2</v>
      </c>
      <c r="Z54" s="64">
        <f t="shared" si="9"/>
        <v>23.331399999999999</v>
      </c>
      <c r="AA54" s="64">
        <f t="shared" si="10"/>
        <v>23.2883</v>
      </c>
      <c r="AB54" s="61" t="e">
        <f>VLOOKUP(A54,Enforcements!$C$7:$K$17,8,0)</f>
        <v>#N/A</v>
      </c>
      <c r="AC54" s="57" t="e">
        <f>VLOOKUP(A54,Enforcements!$C$7:$E$17,3,0)</f>
        <v>#N/A</v>
      </c>
      <c r="AD54" s="58" t="str">
        <f t="shared" si="11"/>
        <v>0141-09</v>
      </c>
      <c r="AE54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54" s="84" t="str">
        <f t="shared" si="13"/>
        <v>"C:\Program Files (x86)\AstroGrep\AstroGrep.exe" /spath="%USERPROFILE%\AppData\Local\Temp\OnboardLogs" /stypes="app*4031*20170109*"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141-09 --locoid 4031 --swversion DE.1.0.8.0 --startMP 204:431 --initTime 2017-01-09T08:40:53 --startdatetime 2017-01-09T08:45:17 --delay 1 --endMP 204:233314 --enddatetime 2017-01-09T09:21:03 --enforcementcount 0 &gt;&gt;C:\Users\stu\Documents\GitHub\eaglep3-reporting\EC\2017-01-09-refined-times.txt</v>
      </c>
      <c r="AI5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{"issue":{"subject":"","project_id":79,"tracker_id":40,"status_id":1,"priority_id":2,"assigned_to_id":23,"start_date":"2017-01-09","description":"","custom_fields":[{"id":1,"name":"Subdivision","value":"EC"},{"id":4,"name":"Milepost","value":"23.3314"},{"id":17,"name":"Train ID","value":"141-09"},{"id":16,"name":"Locomotive ID","value":"4031"},{"id":130,"name":"Impact","value":""},{"id":150,"name":"Time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4031 --day 2017-01-09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507</v>
      </c>
      <c r="B55" s="7">
        <v>4032</v>
      </c>
      <c r="C55" s="22" t="s">
        <v>203</v>
      </c>
      <c r="D55" s="22" t="s">
        <v>688</v>
      </c>
      <c r="E55" s="13">
        <v>42744.398125</v>
      </c>
      <c r="F55" s="13">
        <v>42744.403657407405</v>
      </c>
      <c r="G55" s="7">
        <v>1</v>
      </c>
      <c r="H55" s="22" t="s">
        <v>689</v>
      </c>
      <c r="I55" s="13">
        <v>42744.430185185185</v>
      </c>
      <c r="J55" s="7">
        <v>0</v>
      </c>
      <c r="K55" s="105" t="str">
        <f t="shared" si="0"/>
        <v>4031/4032</v>
      </c>
      <c r="L55" s="22" t="str">
        <f>VLOOKUP(A55,'Trips&amp;Operators'!$C$1:$G$99999,5,FALSE)</f>
        <v>OUN ZACK</v>
      </c>
      <c r="M55" s="6">
        <f t="shared" si="1"/>
        <v>2.6527777779847383E-2</v>
      </c>
      <c r="N55" s="7">
        <f t="shared" si="22"/>
        <v>38.200000002980232</v>
      </c>
      <c r="O55" s="7"/>
      <c r="P55" s="7"/>
      <c r="Q55" s="23"/>
      <c r="R55" s="23"/>
      <c r="S55" s="32">
        <f t="shared" si="23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08:33:18-700',mode:absolute,to:'2017-01-09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5" s="49" t="str">
        <f t="shared" si="6"/>
        <v>N</v>
      </c>
      <c r="X55" s="173">
        <f t="shared" si="7"/>
        <v>1</v>
      </c>
      <c r="Y55" s="64">
        <f t="shared" si="8"/>
        <v>23.301100000000002</v>
      </c>
      <c r="Z55" s="64">
        <f t="shared" si="9"/>
        <v>1.2500000000000001E-2</v>
      </c>
      <c r="AA55" s="64">
        <f t="shared" si="10"/>
        <v>23.288600000000002</v>
      </c>
      <c r="AB55" s="61" t="e">
        <f>VLOOKUP(A55,Enforcements!$C$7:$K$17,8,0)</f>
        <v>#N/A</v>
      </c>
      <c r="AC55" s="57" t="e">
        <f>VLOOKUP(A55,Enforcements!$C$7:$E$17,3,0)</f>
        <v>#N/A</v>
      </c>
      <c r="AD55" s="58" t="str">
        <f t="shared" si="11"/>
        <v>0142-09</v>
      </c>
      <c r="AE55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55" s="84" t="str">
        <f t="shared" si="13"/>
        <v>"C:\Program Files (x86)\AstroGrep\AstroGrep.exe" /spath="%USERPROFILE%\AppData\Local\Temp\OnboardLogs" /stypes="app*4032*20170109*"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142-09 --locoid 4032 --swversion DE.1.0.8.0 --startMP 204:233011 --initTime 2017-01-09T09:33:18 --startdatetime 2017-01-09T09:41:16 --delay 1 --endMP 204:125 --enddatetime 2017-01-09T10:19:28 --enforcementcount 0 &gt;&gt;C:\Users\stu\Documents\GitHub\eaglep3-reporting\EC\2017-01-09-refined-times.txt</v>
      </c>
      <c r="AI5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{"issue":{"subject":"","project_id":79,"tracker_id":40,"status_id":1,"priority_id":2,"assigned_to_id":23,"start_date":"2017-01-09","description":"","custom_fields":[{"id":1,"name":"Subdivision","value":"EC"},{"id":4,"name":"Milepost","value":"0.0125"},{"id":17,"name":"Train ID","value":"142-09"},{"id":16,"name":"Locomotive ID","value":"4032"},{"id":130,"name":"Impact","value":""},{"id":150,"name":"Time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4032 --day 2017-01-09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502</v>
      </c>
      <c r="B56" s="7">
        <v>4011</v>
      </c>
      <c r="C56" s="22" t="s">
        <v>203</v>
      </c>
      <c r="D56" s="22" t="s">
        <v>690</v>
      </c>
      <c r="E56" s="13">
        <v>42744.371307870373</v>
      </c>
      <c r="F56" s="13">
        <v>42744.375173611108</v>
      </c>
      <c r="G56" s="7">
        <v>2</v>
      </c>
      <c r="H56" s="22" t="s">
        <v>347</v>
      </c>
      <c r="I56" s="13">
        <v>42744.399942129632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ROBINSON KADDIBA</v>
      </c>
      <c r="M56" s="6">
        <f t="shared" si="1"/>
        <v>2.4768518524069805E-2</v>
      </c>
      <c r="N56" s="7">
        <f t="shared" si="22"/>
        <v>35.666666674660519</v>
      </c>
      <c r="O56" s="7"/>
      <c r="P56" s="7"/>
      <c r="Q56" s="23"/>
      <c r="R56" s="23"/>
      <c r="S56" s="32">
        <f t="shared" si="2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07:54:41-700',mode:absolute,to:'2017-01-09 10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6" s="49" t="str">
        <f t="shared" si="6"/>
        <v>N</v>
      </c>
      <c r="X56" s="173">
        <f t="shared" si="7"/>
        <v>1</v>
      </c>
      <c r="Y56" s="64">
        <f t="shared" si="8"/>
        <v>4.4200000000000003E-2</v>
      </c>
      <c r="Z56" s="64">
        <f t="shared" si="9"/>
        <v>23.332999999999998</v>
      </c>
      <c r="AA56" s="64">
        <f t="shared" si="10"/>
        <v>23.288799999999998</v>
      </c>
      <c r="AB56" s="61" t="e">
        <f>VLOOKUP(A56,Enforcements!$C$7:$K$17,8,0)</f>
        <v>#N/A</v>
      </c>
      <c r="AC56" s="57" t="e">
        <f>VLOOKUP(A56,Enforcements!$C$7:$E$17,3,0)</f>
        <v>#N/A</v>
      </c>
      <c r="AD56" s="58" t="str">
        <f t="shared" si="11"/>
        <v>0143-09</v>
      </c>
      <c r="AE56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56" s="84" t="str">
        <f t="shared" si="13"/>
        <v>"C:\Program Files (x86)\AstroGrep\AstroGrep.exe" /spath="%USERPROFILE%\AppData\Local\Temp\OnboardLogs" /stypes="app*4011*20170109*"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143-09 --locoid 4011 --swversion DE.1.0.8.0 --startMP 204:442 --initTime 2017-01-09T08:54:41 --startdatetime 2017-01-09T09:00:15 --delay 2 --endMP 204:233330 --enddatetime 2017-01-09T09:35:55 --enforcementcount 0 &gt;&gt;C:\Users\stu\Documents\GitHub\eaglep3-reporting\EC\2017-01-09-refined-times.txt</v>
      </c>
      <c r="AI5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{"issue":{"subject":"","project_id":79,"tracker_id":40,"status_id":1,"priority_id":2,"assigned_to_id":23,"start_date":"2017-01-09","description":"","custom_fields":[{"id":1,"name":"Subdivision","value":"EC"},{"id":4,"name":"Milepost","value":"23.333"},{"id":17,"name":"Train ID","value":"143-09"},{"id":16,"name":"Locomotive ID","value":"4011"},{"id":130,"name":"Impact","value":""},{"id":150,"name":"Time of Event (Mountain Time)","value":"09:35:55"},{"id":151,"name":"Denver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4011 --day 2017-01-09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512</v>
      </c>
      <c r="B57" s="7">
        <v>4012</v>
      </c>
      <c r="C57" s="22" t="s">
        <v>203</v>
      </c>
      <c r="D57" s="22" t="s">
        <v>691</v>
      </c>
      <c r="E57" s="13">
        <v>42744.409247685187</v>
      </c>
      <c r="F57" s="13">
        <v>42744.414074074077</v>
      </c>
      <c r="G57" s="7">
        <v>1</v>
      </c>
      <c r="H57" s="22" t="s">
        <v>209</v>
      </c>
      <c r="I57" s="13">
        <v>42744.442395833335</v>
      </c>
      <c r="J57" s="7">
        <v>0</v>
      </c>
      <c r="K57" s="105" t="str">
        <f t="shared" si="0"/>
        <v>4011/4012</v>
      </c>
      <c r="L57" s="22" t="str">
        <f>VLOOKUP(A57,'Trips&amp;Operators'!$C$1:$G$99999,5,FALSE)</f>
        <v>ROBINSON KADDIBA</v>
      </c>
      <c r="M57" s="6">
        <f t="shared" si="1"/>
        <v>2.8321759258687962E-2</v>
      </c>
      <c r="N57" s="7">
        <f t="shared" si="22"/>
        <v>40.783333332510665</v>
      </c>
      <c r="O57" s="7"/>
      <c r="P57" s="7"/>
      <c r="Q57" s="23"/>
      <c r="R57" s="23"/>
      <c r="S57" s="32">
        <f t="shared" si="2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08:49:19-700',mode:absolute,to:'2017-01-09 11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7" s="49" t="str">
        <f t="shared" si="6"/>
        <v>N</v>
      </c>
      <c r="X57" s="173">
        <f t="shared" si="7"/>
        <v>1</v>
      </c>
      <c r="Y57" s="64">
        <f t="shared" si="8"/>
        <v>23.301500000000001</v>
      </c>
      <c r="Z57" s="64">
        <f t="shared" si="9"/>
        <v>1.4999999999999999E-2</v>
      </c>
      <c r="AA57" s="64">
        <f t="shared" si="10"/>
        <v>23.2865</v>
      </c>
      <c r="AB57" s="61" t="e">
        <f>VLOOKUP(A57,Enforcements!$C$7:$K$17,8,0)</f>
        <v>#N/A</v>
      </c>
      <c r="AC57" s="57" t="e">
        <f>VLOOKUP(A57,Enforcements!$C$7:$E$17,3,0)</f>
        <v>#N/A</v>
      </c>
      <c r="AD57" s="58" t="str">
        <f t="shared" si="11"/>
        <v>0144-09</v>
      </c>
      <c r="AE57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57" s="84" t="str">
        <f t="shared" si="13"/>
        <v>"C:\Program Files (x86)\AstroGrep\AstroGrep.exe" /spath="%USERPROFILE%\AppData\Local\Temp\OnboardLogs" /stypes="app*4012*20170109*"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144-09 --locoid 4012 --swversion DE.1.0.8.0 --startMP 204:233015 --initTime 2017-01-09T09:49:19 --startdatetime 2017-01-09T09:56:16 --delay 1 --endMP 204:150 --enddatetime 2017-01-09T10:37:03 --enforcementcount 0 &gt;&gt;C:\Users\stu\Documents\GitHub\eaglep3-reporting\EC\2017-01-09-refined-times.txt</v>
      </c>
      <c r="AI5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ID","value":"144-09"},{"id":16,"name":"Locomotive ID","value":"4012"},{"id":130,"name":"Impact","value":""},{"id":150,"name":"Time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4012 --day 2017-01-09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505</v>
      </c>
      <c r="B58" s="7">
        <v>4042</v>
      </c>
      <c r="C58" s="22" t="s">
        <v>203</v>
      </c>
      <c r="D58" s="22" t="s">
        <v>194</v>
      </c>
      <c r="E58" s="13">
        <v>42744.382175925923</v>
      </c>
      <c r="F58" s="13">
        <v>42744.385752314818</v>
      </c>
      <c r="G58" s="7">
        <v>0</v>
      </c>
      <c r="H58" s="22" t="s">
        <v>392</v>
      </c>
      <c r="I58" s="13">
        <v>42744.411215277774</v>
      </c>
      <c r="J58" s="7">
        <v>0</v>
      </c>
      <c r="K58" s="105" t="str">
        <f t="shared" si="0"/>
        <v>4041/4042</v>
      </c>
      <c r="L58" s="22" t="str">
        <f>VLOOKUP(A58,'Trips&amp;Operators'!$C$1:$G$99999,5,FALSE)</f>
        <v>MAELZER KURT</v>
      </c>
      <c r="M58" s="6">
        <f t="shared" si="1"/>
        <v>2.5462962956225965E-2</v>
      </c>
      <c r="N58" s="7">
        <f t="shared" si="22"/>
        <v>36.66666665696539</v>
      </c>
      <c r="O58" s="7"/>
      <c r="P58" s="7"/>
      <c r="Q58" s="23"/>
      <c r="R58" s="23"/>
      <c r="S58" s="32">
        <f t="shared" si="2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08:10:20-700',mode:absolute,to:'2017-01-09 10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8" s="49" t="str">
        <f t="shared" si="6"/>
        <v>N</v>
      </c>
      <c r="X58" s="173">
        <f t="shared" si="7"/>
        <v>1</v>
      </c>
      <c r="Y58" s="64">
        <f t="shared" si="8"/>
        <v>4.5100000000000001E-2</v>
      </c>
      <c r="Z58" s="64">
        <f t="shared" si="9"/>
        <v>23.3323</v>
      </c>
      <c r="AA58" s="64">
        <f t="shared" si="10"/>
        <v>23.287199999999999</v>
      </c>
      <c r="AB58" s="61" t="e">
        <f>VLOOKUP(A58,Enforcements!$C$7:$K$17,8,0)</f>
        <v>#N/A</v>
      </c>
      <c r="AC58" s="57" t="e">
        <f>VLOOKUP(A58,Enforcements!$C$7:$E$17,3,0)</f>
        <v>#N/A</v>
      </c>
      <c r="AD58" s="58" t="str">
        <f t="shared" si="11"/>
        <v>0145-09</v>
      </c>
      <c r="AE58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58" s="84" t="str">
        <f t="shared" si="13"/>
        <v>"C:\Program Files (x86)\AstroGrep\AstroGrep.exe" /spath="%USERPROFILE%\AppData\Local\Temp\OnboardLogs" /stypes="app*4042*20170109*"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145-09 --locoid 4042 --swversion DE.1.0.8.0 --startMP 204:451 --initTime 2017-01-09T09:10:20 --startdatetime 2017-01-09T09:15:29 --delay 0 --endMP 204:233323 --enddatetime 2017-01-09T09:52:09 --enforcementcount 0 &gt;&gt;C:\Users\stu\Documents\GitHub\eaglep3-reporting\EC\2017-01-09-refined-times.txt</v>
      </c>
      <c r="AI5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{"issue":{"subject":"","project_id":79,"tracker_id":40,"status_id":1,"priority_id":2,"assigned_to_id":23,"start_date":"2017-01-09","description":"","custom_fields":[{"id":1,"name":"Subdivision","value":"EC"},{"id":4,"name":"Milepost","value":"23.3323"},{"id":17,"name":"Train ID","value":"145-09"},{"id":16,"name":"Locomotive ID","value":"4042"},{"id":130,"name":"Impact","value":""},{"id":150,"name":"Time of Event (Mountain Time)","value":"09:52:09"},{"id":151,"name":"Denver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4042 --day 2017-01-09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515</v>
      </c>
      <c r="B59" s="7">
        <v>4041</v>
      </c>
      <c r="C59" s="22" t="s">
        <v>203</v>
      </c>
      <c r="D59" s="22" t="s">
        <v>287</v>
      </c>
      <c r="E59" s="13">
        <v>42744.416631944441</v>
      </c>
      <c r="F59" s="13">
        <v>42744.418310185189</v>
      </c>
      <c r="G59" s="7">
        <v>0</v>
      </c>
      <c r="H59" s="22" t="s">
        <v>377</v>
      </c>
      <c r="I59" s="13">
        <v>42744.451944444445</v>
      </c>
      <c r="J59" s="7">
        <v>0</v>
      </c>
      <c r="K59" s="105" t="str">
        <f t="shared" si="0"/>
        <v>4041/4042</v>
      </c>
      <c r="L59" s="22" t="str">
        <f>VLOOKUP(A59,'Trips&amp;Operators'!$C$1:$G$99999,5,FALSE)</f>
        <v>MAELZER KURT</v>
      </c>
      <c r="M59" s="6">
        <f t="shared" si="1"/>
        <v>3.3634259256359655E-2</v>
      </c>
      <c r="N59" s="7">
        <f t="shared" si="22"/>
        <v>48.433333329157904</v>
      </c>
      <c r="O59" s="7"/>
      <c r="P59" s="7"/>
      <c r="Q59" s="23"/>
      <c r="R59" s="23" t="s">
        <v>833</v>
      </c>
      <c r="S59" s="32">
        <f t="shared" si="2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08:59:57-700',mode:absolute,to:'2017-01-09 11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9" s="49" t="str">
        <f t="shared" si="6"/>
        <v>N</v>
      </c>
      <c r="X59" s="173">
        <f t="shared" ref="X59:X63" si="24">VALUE(LEFT(AD59,4))-VALUE(LEFT(AD58,4))</f>
        <v>1</v>
      </c>
      <c r="Y59" s="64">
        <f t="shared" si="8"/>
        <v>23.3</v>
      </c>
      <c r="Z59" s="64">
        <f t="shared" si="9"/>
        <v>1.38E-2</v>
      </c>
      <c r="AA59" s="64">
        <f t="shared" si="10"/>
        <v>23.286200000000001</v>
      </c>
      <c r="AB59" s="61" t="e">
        <f>VLOOKUP(A59,Enforcements!$C$7:$K$17,8,0)</f>
        <v>#N/A</v>
      </c>
      <c r="AC59" s="57" t="e">
        <f>VLOOKUP(A59,Enforcements!$C$7:$E$17,3,0)</f>
        <v>#N/A</v>
      </c>
      <c r="AD59" s="58" t="str">
        <f t="shared" si="11"/>
        <v>0146-09</v>
      </c>
      <c r="AE59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59" s="84" t="str">
        <f t="shared" si="13"/>
        <v>"C:\Program Files (x86)\AstroGrep\AstroGrep.exe" /spath="%USERPROFILE%\AppData\Local\Temp\OnboardLogs" /stypes="app*4041*20170109*"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146-09 --locoid 4041 --swversion DE.1.0.8.0 --startMP 204:233000 --initTime 2017-01-09T09:59:57 --startdatetime 2017-01-09T10:02:22 --delay 0 --endMP 204:138 --enddatetime 2017-01-09T10:50:48 --enforcementcount 0 &gt;&gt;C:\Users\stu\Documents\GitHub\eaglep3-reporting\EC\2017-01-09-refined-times.txt</v>
      </c>
      <c r="AI59" s="115" t="str">
        <f t="shared" si="19"/>
        <v>echo {"issue":{"subject":"Onboard in-route failure delayed departure","project_id":79,"tracker_id":40,"status_id":1,"priority_id":2,"assigned_to_id":23,"start_date":"2017-01-09","description":"","custom_fields":[{"id":1,"name":"Subdivision","value":"EC"},{"id":4,"name":"Milepost","value":"0.0138"},{"id":17,"name":"Train ID","value":"146-09"},{"id":16,"name":"Locomotive ID","value":"4041"},{"id":130,"name":"Impact","value":""},{"id":150,"name":"Time of Event (Mountain Time)","value":"10:50:48"},{"id":151,"name":"Denver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4041 --day 2017-01-09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439</v>
      </c>
      <c r="B60" s="7">
        <v>4003</v>
      </c>
      <c r="C60" s="22" t="s">
        <v>203</v>
      </c>
      <c r="D60" s="22" t="s">
        <v>256</v>
      </c>
      <c r="E60" s="13">
        <v>42744.392905092594</v>
      </c>
      <c r="F60" s="13">
        <v>42744.435127314813</v>
      </c>
      <c r="G60" s="7">
        <v>1</v>
      </c>
      <c r="H60" s="22" t="s">
        <v>692</v>
      </c>
      <c r="I60" s="13">
        <v>42744.462488425925</v>
      </c>
      <c r="J60" s="7">
        <v>0</v>
      </c>
      <c r="K60" s="105" t="str">
        <f t="shared" si="0"/>
        <v>4003/4004</v>
      </c>
      <c r="L60" s="22" t="str">
        <f>VLOOKUP(A60,'Trips&amp;Operators'!$C$1:$G$99999,5,FALSE)</f>
        <v>STARKS ANGELINA</v>
      </c>
      <c r="M60" s="6">
        <f t="shared" si="1"/>
        <v>2.73611111115315E-2</v>
      </c>
      <c r="N60" s="7">
        <f t="shared" si="22"/>
        <v>39.40000000060536</v>
      </c>
      <c r="O60" s="7"/>
      <c r="P60" s="7"/>
      <c r="Q60" s="23"/>
      <c r="R60" s="23"/>
      <c r="S60" s="32">
        <f t="shared" si="2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08:25:47-700',mode:absolute,to:'2017-01-09 12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0" s="49" t="str">
        <f t="shared" si="6"/>
        <v>N</v>
      </c>
      <c r="X60" s="173">
        <f t="shared" si="24"/>
        <v>1</v>
      </c>
      <c r="Y60" s="64">
        <f t="shared" si="8"/>
        <v>4.4900000000000002E-2</v>
      </c>
      <c r="Z60" s="64">
        <f t="shared" si="9"/>
        <v>23.314499999999999</v>
      </c>
      <c r="AA60" s="64">
        <f t="shared" si="10"/>
        <v>23.269600000000001</v>
      </c>
      <c r="AB60" s="61" t="e">
        <f>VLOOKUP(A60,Enforcements!$C$7:$K$17,8,0)</f>
        <v>#N/A</v>
      </c>
      <c r="AC60" s="57" t="e">
        <f>VLOOKUP(A60,Enforcements!$C$7:$E$17,3,0)</f>
        <v>#N/A</v>
      </c>
      <c r="AD60" s="58" t="str">
        <f t="shared" si="11"/>
        <v>0147-09</v>
      </c>
      <c r="AE60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60" s="84" t="str">
        <f t="shared" si="13"/>
        <v>"C:\Program Files (x86)\AstroGrep\AstroGrep.exe" /spath="%USERPROFILE%\AppData\Local\Temp\OnboardLogs" /stypes="app*4003*20170109*"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147-09 --locoid 4003 --swversion DE.1.0.8.0 --startMP 204:449 --initTime 2017-01-09T09:25:47 --startdatetime 2017-01-09T10:26:35 --delay 1 --endMP 204:233145 --enddatetime 2017-01-09T11:05:59 --enforcementcount 0 &gt;&gt;C:\Users\stu\Documents\GitHub\eaglep3-reporting\EC\2017-01-09-refined-times.txt</v>
      </c>
      <c r="AI6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{"issue":{"subject":"","project_id":79,"tracker_id":40,"status_id":1,"priority_id":2,"assigned_to_id":23,"start_date":"2017-01-09","description":"","custom_fields":[{"id":1,"name":"Subdivision","value":"EC"},{"id":4,"name":"Milepost","value":"23.3145"},{"id":17,"name":"Train ID","value":"147-09"},{"id":16,"name":"Locomotive ID","value":"4003"},{"id":130,"name":"Impact","value":""},{"id":150,"name":"Time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4003 --day 2017-01-09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518</v>
      </c>
      <c r="B61" s="7">
        <v>4004</v>
      </c>
      <c r="C61" s="22" t="s">
        <v>203</v>
      </c>
      <c r="D61" s="22" t="s">
        <v>296</v>
      </c>
      <c r="E61" s="13">
        <v>42744.434131944443</v>
      </c>
      <c r="F61" s="13">
        <v>42744.435127314813</v>
      </c>
      <c r="G61" s="7">
        <v>1</v>
      </c>
      <c r="H61" s="22" t="s">
        <v>228</v>
      </c>
      <c r="I61" s="13">
        <v>42744.462488425925</v>
      </c>
      <c r="J61" s="7">
        <v>0</v>
      </c>
      <c r="K61" s="105" t="str">
        <f t="shared" si="0"/>
        <v>4003/4004</v>
      </c>
      <c r="L61" s="22" t="str">
        <f>VLOOKUP(A61,'Trips&amp;Operators'!$C$1:$G$99999,5,FALSE)</f>
        <v>STARKS ANGELINA</v>
      </c>
      <c r="M61" s="6">
        <f t="shared" si="1"/>
        <v>2.73611111115315E-2</v>
      </c>
      <c r="N61" s="7">
        <f t="shared" si="22"/>
        <v>39.40000000060536</v>
      </c>
      <c r="O61" s="7"/>
      <c r="P61" s="7"/>
      <c r="Q61" s="23"/>
      <c r="R61" s="23"/>
      <c r="S61" s="32">
        <f t="shared" si="23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09:25:09-700',mode:absolute,to:'2017-01-09 12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1" s="49" t="str">
        <f t="shared" si="6"/>
        <v>N</v>
      </c>
      <c r="X61" s="173">
        <f t="shared" si="24"/>
        <v>1</v>
      </c>
      <c r="Y61" s="64">
        <f t="shared" si="8"/>
        <v>23.298999999999999</v>
      </c>
      <c r="Z61" s="64">
        <f t="shared" si="9"/>
        <v>1.4500000000000001E-2</v>
      </c>
      <c r="AA61" s="64">
        <f t="shared" si="10"/>
        <v>23.284499999999998</v>
      </c>
      <c r="AB61" s="61" t="e">
        <f>VLOOKUP(A61,Enforcements!$C$7:$K$17,8,0)</f>
        <v>#N/A</v>
      </c>
      <c r="AC61" s="57" t="e">
        <f>VLOOKUP(A61,Enforcements!$C$7:$E$17,3,0)</f>
        <v>#N/A</v>
      </c>
      <c r="AD61" s="58" t="str">
        <f t="shared" si="11"/>
        <v>0148-09</v>
      </c>
      <c r="AE61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61" s="84" t="str">
        <f t="shared" si="13"/>
        <v>"C:\Program Files (x86)\AstroGrep\AstroGrep.exe" /spath="%USERPROFILE%\AppData\Local\Temp\OnboardLogs" /stypes="app*4004*20170109*"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148-09 --locoid 4004 --swversion DE.1.0.8.0 --startMP 204:232990 --initTime 2017-01-09T10:25:09 --startdatetime 2017-01-09T10:26:35 --delay 1 --endMP 204:145 --enddatetime 2017-01-09T11:05:59 --enforcementcount 0 &gt;&gt;C:\Users\stu\Documents\GitHub\eaglep3-reporting\EC\2017-01-09-refined-times.txt</v>
      </c>
      <c r="AI6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ID","value":"148-09"},{"id":16,"name":"Locomotive ID","value":"4004"},{"id":130,"name":"Impact","value":""},{"id":150,"name":"Time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4004 --day 2017-01-09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509</v>
      </c>
      <c r="B62" s="7">
        <v>4044</v>
      </c>
      <c r="C62" s="22" t="s">
        <v>203</v>
      </c>
      <c r="D62" s="22" t="s">
        <v>280</v>
      </c>
      <c r="E62" s="13">
        <v>42744.402546296296</v>
      </c>
      <c r="F62" s="13">
        <v>42744.406469907408</v>
      </c>
      <c r="G62" s="7">
        <v>1</v>
      </c>
      <c r="H62" s="22" t="s">
        <v>670</v>
      </c>
      <c r="I62" s="13">
        <v>42744.433668981481</v>
      </c>
      <c r="J62" s="7">
        <v>0</v>
      </c>
      <c r="K62" s="105" t="str">
        <f t="shared" si="0"/>
        <v>4043/4044</v>
      </c>
      <c r="L62" s="22" t="str">
        <f>VLOOKUP(A62,'Trips&amp;Operators'!$C$1:$G$99999,5,FALSE)</f>
        <v>YANAI IAN</v>
      </c>
      <c r="M62" s="6">
        <f t="shared" si="1"/>
        <v>2.7199074072996154E-2</v>
      </c>
      <c r="N62" s="7">
        <f t="shared" si="22"/>
        <v>39.166666665114462</v>
      </c>
      <c r="O62" s="7"/>
      <c r="P62" s="7"/>
      <c r="Q62" s="23"/>
      <c r="R62" s="23"/>
      <c r="S62" s="32">
        <f t="shared" si="23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08:39:40-700',mode:absolute,to:'2017-01-09 11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2" s="49" t="str">
        <f t="shared" si="6"/>
        <v>N</v>
      </c>
      <c r="X62" s="173">
        <f t="shared" si="24"/>
        <v>1</v>
      </c>
      <c r="Y62" s="64">
        <f t="shared" si="8"/>
        <v>4.3700000000000003E-2</v>
      </c>
      <c r="Z62" s="64">
        <f t="shared" si="9"/>
        <v>23.33</v>
      </c>
      <c r="AA62" s="64">
        <f t="shared" si="10"/>
        <v>23.286299999999997</v>
      </c>
      <c r="AB62" s="61" t="e">
        <f>VLOOKUP(A62,Enforcements!$C$7:$K$17,8,0)</f>
        <v>#N/A</v>
      </c>
      <c r="AC62" s="57" t="e">
        <f>VLOOKUP(A62,Enforcements!$C$7:$E$17,3,0)</f>
        <v>#N/A</v>
      </c>
      <c r="AD62" s="58" t="str">
        <f t="shared" si="11"/>
        <v>0149-09</v>
      </c>
      <c r="AE62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62" s="84" t="str">
        <f t="shared" si="13"/>
        <v>"C:\Program Files (x86)\AstroGrep\AstroGrep.exe" /spath="%USERPROFILE%\AppData\Local\Temp\OnboardLogs" /stypes="app*4044*20170109*"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149-09 --locoid 4044 --swversion DE.1.0.8.0 --startMP 204:437 --initTime 2017-01-09T09:39:40 --startdatetime 2017-01-09T09:45:19 --delay 1 --endMP 204:233300 --enddatetime 2017-01-09T10:24:29 --enforcementcount 0 &gt;&gt;C:\Users\stu\Documents\GitHub\eaglep3-reporting\EC\2017-01-09-refined-times.txt</v>
      </c>
      <c r="AI6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{"issue":{"subject":"","project_id":79,"tracker_id":40,"status_id":1,"priority_id":2,"assigned_to_id":23,"start_date":"2017-01-09","description":"","custom_fields":[{"id":1,"name":"Subdivision","value":"EC"},{"id":4,"name":"Milepost","value":"23.33"},{"id":17,"name":"Train ID","value":"149-09"},{"id":16,"name":"Locomotive ID","value":"4044"},{"id":130,"name":"Impact","value":""},{"id":150,"name":"Time of Event (Mountain Time)","value":"10:24:29"},{"id":151,"name":"Denver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4044 --day 2017-01-09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519</v>
      </c>
      <c r="B63" s="7">
        <v>4043</v>
      </c>
      <c r="C63" s="22" t="s">
        <v>203</v>
      </c>
      <c r="D63" s="22" t="s">
        <v>298</v>
      </c>
      <c r="E63" s="13">
        <v>42744.435381944444</v>
      </c>
      <c r="F63" s="13">
        <v>42744.445324074077</v>
      </c>
      <c r="G63" s="7">
        <v>1</v>
      </c>
      <c r="H63" s="22" t="s">
        <v>275</v>
      </c>
      <c r="I63" s="13">
        <v>42744.471412037034</v>
      </c>
      <c r="J63" s="7">
        <v>0</v>
      </c>
      <c r="K63" s="105" t="str">
        <f t="shared" si="0"/>
        <v>4043/4044</v>
      </c>
      <c r="L63" s="22" t="str">
        <f>VLOOKUP(A63,'Trips&amp;Operators'!$C$1:$G$99999,5,FALSE)</f>
        <v>YANAI IAN</v>
      </c>
      <c r="M63" s="6">
        <f t="shared" si="1"/>
        <v>2.6087962956808042E-2</v>
      </c>
      <c r="N63" s="7">
        <f t="shared" si="22"/>
        <v>37.56666665780358</v>
      </c>
      <c r="O63" s="7"/>
      <c r="P63" s="7"/>
      <c r="Q63" s="23"/>
      <c r="R63" s="23"/>
      <c r="S63" s="32">
        <f t="shared" si="23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09:26:57-700',mode:absolute,to:'2017-01-09 12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3" s="49" t="str">
        <f t="shared" si="6"/>
        <v>N</v>
      </c>
      <c r="X63" s="173">
        <f t="shared" si="24"/>
        <v>1</v>
      </c>
      <c r="Y63" s="64">
        <f t="shared" si="8"/>
        <v>23.298300000000001</v>
      </c>
      <c r="Z63" s="64">
        <f t="shared" si="9"/>
        <v>1.5599999999999999E-2</v>
      </c>
      <c r="AA63" s="64">
        <f t="shared" si="10"/>
        <v>23.282700000000002</v>
      </c>
      <c r="AB63" s="61" t="e">
        <f>VLOOKUP(A63,Enforcements!$C$7:$K$17,8,0)</f>
        <v>#N/A</v>
      </c>
      <c r="AC63" s="57" t="e">
        <f>VLOOKUP(A63,Enforcements!$C$7:$E$17,3,0)</f>
        <v>#N/A</v>
      </c>
      <c r="AD63" s="58" t="str">
        <f t="shared" si="11"/>
        <v>0150-09</v>
      </c>
      <c r="AE63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63" s="84" t="str">
        <f t="shared" si="13"/>
        <v>"C:\Program Files (x86)\AstroGrep\AstroGrep.exe" /spath="%USERPROFILE%\AppData\Local\Temp\OnboardLogs" /stypes="app*4043*20170109*"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150-09 --locoid 4043 --swversion DE.1.0.8.0 --startMP 204:232983 --initTime 2017-01-09T10:26:57 --startdatetime 2017-01-09T10:41:16 --delay 1 --endMP 204:156 --enddatetime 2017-01-09T11:18:50 --enforcementcount 0 &gt;&gt;C:\Users\stu\Documents\GitHub\eaglep3-reporting\EC\2017-01-09-refined-times.txt</v>
      </c>
      <c r="AI6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ID","value":"150-09"},{"id":16,"name":"Locomotive ID","value":"4043"},{"id":130,"name":"Impact","value":""},{"id":150,"name":"Time of Event (Mountain Time)","value":"11:18:50"},{"id":151,"name":"Denver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4043 --day 2017-01-09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513</v>
      </c>
      <c r="B64" s="7">
        <v>4020</v>
      </c>
      <c r="C64" s="22" t="s">
        <v>203</v>
      </c>
      <c r="D64" s="22" t="s">
        <v>690</v>
      </c>
      <c r="E64" s="13">
        <v>42744.412488425929</v>
      </c>
      <c r="F64" s="13">
        <v>42744.416851851849</v>
      </c>
      <c r="G64" s="7">
        <v>1</v>
      </c>
      <c r="H64" s="22" t="s">
        <v>693</v>
      </c>
      <c r="I64" s="13">
        <v>42744.443055555559</v>
      </c>
      <c r="J64" s="7">
        <v>0</v>
      </c>
      <c r="K64" s="105" t="str">
        <f t="shared" si="0"/>
        <v>4019/4020</v>
      </c>
      <c r="L64" s="22" t="str">
        <f>VLOOKUP(A64,'Trips&amp;Operators'!$C$1:$G$99999,5,FALSE)</f>
        <v>SHOOK JOHN</v>
      </c>
      <c r="M64" s="6">
        <f t="shared" si="1"/>
        <v>2.620370371005265E-2</v>
      </c>
      <c r="N64" s="7">
        <f t="shared" si="22"/>
        <v>37.733333342475817</v>
      </c>
      <c r="O64" s="7"/>
      <c r="P64" s="7"/>
      <c r="Q64" s="23"/>
      <c r="R64" s="23"/>
      <c r="S64" s="32">
        <f t="shared" si="23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08:53:59-700',mode:absolute,to:'2017-01-09 11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4" s="49" t="str">
        <f t="shared" si="6"/>
        <v>N</v>
      </c>
      <c r="X64" s="173">
        <f t="shared" ref="X64:X95" si="25">VALUE(LEFT(AD64,4))-VALUE(LEFT(AD63,4))</f>
        <v>1</v>
      </c>
      <c r="Y64" s="64">
        <f t="shared" si="8"/>
        <v>4.4200000000000003E-2</v>
      </c>
      <c r="Z64" s="64">
        <f t="shared" si="9"/>
        <v>23.332799999999999</v>
      </c>
      <c r="AA64" s="64">
        <f t="shared" si="10"/>
        <v>23.288599999999999</v>
      </c>
      <c r="AB64" s="61" t="e">
        <f>VLOOKUP(A64,Enforcements!$C$7:$K$17,8,0)</f>
        <v>#N/A</v>
      </c>
      <c r="AC64" s="57" t="e">
        <f>VLOOKUP(A64,Enforcements!$C$7:$E$17,3,0)</f>
        <v>#N/A</v>
      </c>
      <c r="AD64" s="58" t="str">
        <f t="shared" si="11"/>
        <v>0151-09</v>
      </c>
      <c r="AE64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64" s="84" t="str">
        <f t="shared" si="13"/>
        <v>"C:\Program Files (x86)\AstroGrep\AstroGrep.exe" /spath="%USERPROFILE%\AppData\Local\Temp\OnboardLogs" /stypes="app*4020*20170109*"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151-09 --locoid 4020 --swversion DE.1.0.8.0 --startMP 204:442 --initTime 2017-01-09T09:53:59 --startdatetime 2017-01-09T10:00:16 --delay 1 --endMP 204:233328 --enddatetime 2017-01-09T10:38:00 --enforcementcount 0 &gt;&gt;C:\Users\stu\Documents\GitHub\eaglep3-reporting\EC\2017-01-09-refined-times.txt</v>
      </c>
      <c r="AI6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{"issue":{"subject":"","project_id":79,"tracker_id":40,"status_id":1,"priority_id":2,"assigned_to_id":23,"start_date":"2017-01-09","description":"","custom_fields":[{"id":1,"name":"Subdivision","value":"EC"},{"id":4,"name":"Milepost","value":"23.3328"},{"id":17,"name":"Train ID","value":"151-09"},{"id":16,"name":"Locomotive ID","value":"4020"},{"id":130,"name":"Impact","value":""},{"id":150,"name":"Time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4020 --day 2017-01-09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522</v>
      </c>
      <c r="B65" s="7">
        <v>4019</v>
      </c>
      <c r="C65" s="22" t="s">
        <v>203</v>
      </c>
      <c r="D65" s="22" t="s">
        <v>287</v>
      </c>
      <c r="E65" s="13">
        <v>42744.445127314815</v>
      </c>
      <c r="F65" s="13">
        <v>42744.455752314818</v>
      </c>
      <c r="G65" s="7">
        <v>0</v>
      </c>
      <c r="H65" s="22" t="s">
        <v>399</v>
      </c>
      <c r="I65" s="13">
        <v>42744.483761574076</v>
      </c>
      <c r="J65" s="7">
        <v>0</v>
      </c>
      <c r="K65" s="105" t="str">
        <f t="shared" si="0"/>
        <v>4019/4020</v>
      </c>
      <c r="L65" s="22" t="str">
        <f>VLOOKUP(A65,'Trips&amp;Operators'!$C$1:$G$99999,5,FALSE)</f>
        <v>SHOOK JOHN</v>
      </c>
      <c r="M65" s="6">
        <f t="shared" si="1"/>
        <v>2.8009259258396924E-2</v>
      </c>
      <c r="N65" s="7">
        <f t="shared" si="22"/>
        <v>40.33333333209157</v>
      </c>
      <c r="O65" s="7"/>
      <c r="P65" s="7"/>
      <c r="Q65" s="23"/>
      <c r="R65" s="23"/>
      <c r="S65" s="32">
        <f t="shared" si="23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09:40:59-700',mode:absolute,to:'2017-01-09 12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5" s="49" t="str">
        <f t="shared" si="6"/>
        <v>N</v>
      </c>
      <c r="X65" s="173">
        <f t="shared" si="25"/>
        <v>1</v>
      </c>
      <c r="Y65" s="64">
        <f t="shared" si="8"/>
        <v>23.3</v>
      </c>
      <c r="Z65" s="64">
        <f t="shared" si="9"/>
        <v>1.6299999999999999E-2</v>
      </c>
      <c r="AA65" s="64">
        <f t="shared" si="10"/>
        <v>23.2837</v>
      </c>
      <c r="AB65" s="61" t="e">
        <f>VLOOKUP(A65,Enforcements!$C$7:$K$17,8,0)</f>
        <v>#N/A</v>
      </c>
      <c r="AC65" s="57" t="e">
        <f>VLOOKUP(A65,Enforcements!$C$7:$E$17,3,0)</f>
        <v>#N/A</v>
      </c>
      <c r="AD65" s="58" t="str">
        <f t="shared" si="11"/>
        <v>0152-09</v>
      </c>
      <c r="AE65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65" s="84" t="str">
        <f t="shared" si="13"/>
        <v>"C:\Program Files (x86)\AstroGrep\AstroGrep.exe" /spath="%USERPROFILE%\AppData\Local\Temp\OnboardLogs" /stypes="app*4019*20170109*"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152-09 --locoid 4019 --swversion DE.1.0.8.0 --startMP 204:233000 --initTime 2017-01-09T10:40:59 --startdatetime 2017-01-09T10:56:17 --delay 0 --endMP 204:163 --enddatetime 2017-01-09T11:36:37 --enforcementcount 0 &gt;&gt;C:\Users\stu\Documents\GitHub\eaglep3-reporting\EC\2017-01-09-refined-times.txt</v>
      </c>
      <c r="AI6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{"issue":{"subject":"","project_id":79,"tracker_id":40,"status_id":1,"priority_id":2,"assigned_to_id":23,"start_date":"2017-01-09","description":"","custom_fields":[{"id":1,"name":"Subdivision","value":"EC"},{"id":4,"name":"Milepost","value":"0.0163"},{"id":17,"name":"Train ID","value":"152-09"},{"id":16,"name":"Locomotive ID","value":"4019"},{"id":130,"name":"Impact","value":""},{"id":150,"name":"Time of Event (Mountain Time)","value":"11:36:37"},{"id":151,"name":"Denver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4019 --day 2017-01-09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516</v>
      </c>
      <c r="B66" s="7">
        <v>4046</v>
      </c>
      <c r="C66" s="22" t="s">
        <v>203</v>
      </c>
      <c r="D66" s="22" t="s">
        <v>193</v>
      </c>
      <c r="E66" s="13">
        <v>42744.420416666668</v>
      </c>
      <c r="F66" s="13">
        <v>42744.427384259259</v>
      </c>
      <c r="G66" s="7">
        <v>1</v>
      </c>
      <c r="H66" s="22" t="s">
        <v>674</v>
      </c>
      <c r="I66" s="13">
        <v>42744.452465277776</v>
      </c>
      <c r="J66" s="7">
        <v>0</v>
      </c>
      <c r="K66" s="105" t="str">
        <f t="shared" si="0"/>
        <v>4045/4046</v>
      </c>
      <c r="L66" s="22" t="str">
        <f>VLOOKUP(A66,'Trips&amp;Operators'!$C$1:$G$99999,5,FALSE)</f>
        <v>YORK EDGAR</v>
      </c>
      <c r="M66" s="6">
        <f t="shared" si="1"/>
        <v>2.5081018517084885E-2</v>
      </c>
      <c r="N66" s="7">
        <f t="shared" si="22"/>
        <v>36.116666664602235</v>
      </c>
      <c r="O66" s="7"/>
      <c r="P66" s="7"/>
      <c r="Q66" s="23"/>
      <c r="R66" s="23"/>
      <c r="S66" s="32">
        <f t="shared" si="23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09:05:24-700',mode:absolute,to:'2017-01-09 11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6" s="49" t="str">
        <f t="shared" si="6"/>
        <v>N</v>
      </c>
      <c r="X66" s="173">
        <f t="shared" si="25"/>
        <v>1</v>
      </c>
      <c r="Y66" s="64">
        <f t="shared" si="8"/>
        <v>4.4699999999999997E-2</v>
      </c>
      <c r="Z66" s="64">
        <f t="shared" si="9"/>
        <v>23.331199999999999</v>
      </c>
      <c r="AA66" s="64">
        <f t="shared" si="10"/>
        <v>23.2865</v>
      </c>
      <c r="AB66" s="61" t="e">
        <f>VLOOKUP(A66,Enforcements!$C$7:$K$17,8,0)</f>
        <v>#N/A</v>
      </c>
      <c r="AC66" s="57" t="e">
        <f>VLOOKUP(A66,Enforcements!$C$7:$E$17,3,0)</f>
        <v>#N/A</v>
      </c>
      <c r="AD66" s="58" t="str">
        <f t="shared" si="11"/>
        <v>0153-09</v>
      </c>
      <c r="AE66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66" s="84" t="str">
        <f t="shared" si="13"/>
        <v>"C:\Program Files (x86)\AstroGrep\AstroGrep.exe" /spath="%USERPROFILE%\AppData\Local\Temp\OnboardLogs" /stypes="app*4046*20170109*"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153-09 --locoid 4046 --swversion DE.1.0.8.0 --startMP 204:447 --initTime 2017-01-09T10:05:24 --startdatetime 2017-01-09T10:15:26 --delay 1 --endMP 204:233312 --enddatetime 2017-01-09T10:51:33 --enforcementcount 0 &gt;&gt;C:\Users\stu\Documents\GitHub\eaglep3-reporting\EC\2017-01-09-refined-times.txt</v>
      </c>
      <c r="AI6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{"issue":{"subject":"","project_id":79,"tracker_id":40,"status_id":1,"priority_id":2,"assigned_to_id":23,"start_date":"2017-01-09","description":"","custom_fields":[{"id":1,"name":"Subdivision","value":"EC"},{"id":4,"name":"Milepost","value":"23.3312"},{"id":17,"name":"Train ID","value":"153-09"},{"id":16,"name":"Locomotive ID","value":"4046"},{"id":130,"name":"Impact","value":""},{"id":150,"name":"Time of Event (Mountain Time)","value":"10:51:33"},{"id":151,"name":"Denver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4046 --day 2017-01-09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523</v>
      </c>
      <c r="B67" s="7">
        <v>4045</v>
      </c>
      <c r="C67" s="22" t="s">
        <v>203</v>
      </c>
      <c r="D67" s="22" t="s">
        <v>278</v>
      </c>
      <c r="E67" s="13">
        <v>42744.453379629631</v>
      </c>
      <c r="F67" s="13">
        <v>42744.466574074075</v>
      </c>
      <c r="G67" s="7">
        <v>0</v>
      </c>
      <c r="H67" s="22" t="s">
        <v>228</v>
      </c>
      <c r="I67" s="13">
        <v>42744.492013888892</v>
      </c>
      <c r="J67" s="7">
        <v>0</v>
      </c>
      <c r="K67" s="105" t="str">
        <f t="shared" si="0"/>
        <v>4045/4046</v>
      </c>
      <c r="L67" s="22" t="str">
        <f>VLOOKUP(A67,'Trips&amp;Operators'!$C$1:$G$99999,5,FALSE)</f>
        <v>YORK EDGAR</v>
      </c>
      <c r="M67" s="6">
        <f t="shared" si="1"/>
        <v>2.5439814817218576E-2</v>
      </c>
      <c r="N67" s="7">
        <f t="shared" si="22"/>
        <v>36.633333336794749</v>
      </c>
      <c r="O67" s="7"/>
      <c r="P67" s="7"/>
      <c r="Q67" s="23"/>
      <c r="R67" s="23"/>
      <c r="S67" s="32">
        <f t="shared" si="23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09:52:52-700',mode:absolute,to:'2017-01-09 12:48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7" s="49" t="str">
        <f t="shared" si="6"/>
        <v>N</v>
      </c>
      <c r="X67" s="173">
        <f t="shared" si="25"/>
        <v>1</v>
      </c>
      <c r="Y67" s="64">
        <f t="shared" si="8"/>
        <v>23.2989</v>
      </c>
      <c r="Z67" s="64">
        <f t="shared" si="9"/>
        <v>1.4500000000000001E-2</v>
      </c>
      <c r="AA67" s="64">
        <f t="shared" si="10"/>
        <v>23.284399999999998</v>
      </c>
      <c r="AB67" s="61" t="e">
        <f>VLOOKUP(A67,Enforcements!$C$7:$K$17,8,0)</f>
        <v>#N/A</v>
      </c>
      <c r="AC67" s="57" t="e">
        <f>VLOOKUP(A67,Enforcements!$C$7:$E$17,3,0)</f>
        <v>#N/A</v>
      </c>
      <c r="AD67" s="58" t="str">
        <f t="shared" si="11"/>
        <v>0154-09</v>
      </c>
      <c r="AE67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67" s="84" t="str">
        <f t="shared" si="13"/>
        <v>"C:\Program Files (x86)\AstroGrep\AstroGrep.exe" /spath="%USERPROFILE%\AppData\Local\Temp\OnboardLogs" /stypes="app*4045*20170109*"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154-09 --locoid 4045 --swversion DE.1.0.8.0 --startMP 204:232989 --initTime 2017-01-09T10:52:52 --startdatetime 2017-01-09T11:11:52 --delay 0 --endMP 204:145 --enddatetime 2017-01-09T11:48:30 --enforcementcount 0 &gt;&gt;C:\Users\stu\Documents\GitHub\eaglep3-reporting\EC\2017-01-09-refined-times.txt</v>
      </c>
      <c r="AI6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ID","value":"154-09"},{"id":16,"name":"Locomotive ID","value":"4045"},{"id":130,"name":"Impact","value":""},{"id":150,"name":"Time of Event (Mountain Time)","value":"11:48:30"},{"id":151,"name":"Denver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4045 --day 2017-01-09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517</v>
      </c>
      <c r="B68" s="7">
        <v>4031</v>
      </c>
      <c r="C68" s="22" t="s">
        <v>203</v>
      </c>
      <c r="D68" s="22" t="s">
        <v>694</v>
      </c>
      <c r="E68" s="13">
        <v>42744.433148148149</v>
      </c>
      <c r="F68" s="13">
        <v>42744.437673611108</v>
      </c>
      <c r="G68" s="7">
        <v>1</v>
      </c>
      <c r="H68" s="22" t="s">
        <v>695</v>
      </c>
      <c r="I68" s="13">
        <v>42744.463437500002</v>
      </c>
      <c r="J68" s="7">
        <v>0</v>
      </c>
      <c r="K68" s="105" t="str">
        <f t="shared" si="0"/>
        <v>4031/4032</v>
      </c>
      <c r="L68" s="22" t="str">
        <f>VLOOKUP(A68,'Trips&amp;Operators'!$C$1:$G$99999,5,FALSE)</f>
        <v>DAVIS WENDY</v>
      </c>
      <c r="M68" s="6">
        <f t="shared" si="1"/>
        <v>2.5763888894289266E-2</v>
      </c>
      <c r="N68" s="7">
        <f t="shared" si="22"/>
        <v>37.100000007776543</v>
      </c>
      <c r="O68" s="7"/>
      <c r="P68" s="7"/>
      <c r="Q68" s="23"/>
      <c r="R68" s="23"/>
      <c r="S68" s="32">
        <f t="shared" si="23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09:23:44-700',mode:absolute,to:'2017-01-09 12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8" s="49" t="str">
        <f t="shared" si="6"/>
        <v>N</v>
      </c>
      <c r="X68" s="173">
        <f t="shared" si="25"/>
        <v>1</v>
      </c>
      <c r="Y68" s="64">
        <f t="shared" si="8"/>
        <v>4.24E-2</v>
      </c>
      <c r="Z68" s="64">
        <f t="shared" si="9"/>
        <v>23.331099999999999</v>
      </c>
      <c r="AA68" s="64">
        <f t="shared" si="10"/>
        <v>23.288699999999999</v>
      </c>
      <c r="AB68" s="61" t="e">
        <f>VLOOKUP(A68,Enforcements!$C$7:$K$17,8,0)</f>
        <v>#N/A</v>
      </c>
      <c r="AC68" s="57" t="e">
        <f>VLOOKUP(A68,Enforcements!$C$7:$E$17,3,0)</f>
        <v>#N/A</v>
      </c>
      <c r="AD68" s="58" t="str">
        <f t="shared" si="11"/>
        <v>0155-09</v>
      </c>
      <c r="AE68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68" s="84" t="str">
        <f t="shared" si="13"/>
        <v>"C:\Program Files (x86)\AstroGrep\AstroGrep.exe" /spath="%USERPROFILE%\AppData\Local\Temp\OnboardLogs" /stypes="app*4031*20170109*"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155-09 --locoid 4031 --swversion DE.1.0.8.0 --startMP 204:424 --initTime 2017-01-09T10:23:44 --startdatetime 2017-01-09T10:30:15 --delay 1 --endMP 204:233311 --enddatetime 2017-01-09T11:07:21 --enforcementcount 0 &gt;&gt;C:\Users\stu\Documents\GitHub\eaglep3-reporting\EC\2017-01-09-refined-times.txt</v>
      </c>
      <c r="AI6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{"issue":{"subject":"","project_id":79,"tracker_id":40,"status_id":1,"priority_id":2,"assigned_to_id":23,"start_date":"2017-01-09","description":"","custom_fields":[{"id":1,"name":"Subdivision","value":"EC"},{"id":4,"name":"Milepost","value":"23.3311"},{"id":17,"name":"Train ID","value":"155-09"},{"id":16,"name":"Locomotive ID","value":"4031"},{"id":130,"name":"Impact","value":""},{"id":150,"name":"Time of Event (Mountain Time)","value":"11:07:21"},{"id":151,"name":"Denver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4031 --day 2017-01-09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530</v>
      </c>
      <c r="B69" s="7">
        <v>4032</v>
      </c>
      <c r="C69" s="22" t="s">
        <v>203</v>
      </c>
      <c r="D69" s="22" t="s">
        <v>346</v>
      </c>
      <c r="E69" s="13">
        <v>42744.473252314812</v>
      </c>
      <c r="F69" s="13">
        <v>42744.4765625</v>
      </c>
      <c r="G69" s="7">
        <v>1</v>
      </c>
      <c r="H69" s="22" t="s">
        <v>696</v>
      </c>
      <c r="I69" s="13">
        <v>42744.505219907405</v>
      </c>
      <c r="J69" s="7">
        <v>0</v>
      </c>
      <c r="K69" s="105" t="str">
        <f t="shared" si="0"/>
        <v>4031/4032</v>
      </c>
      <c r="L69" s="22" t="str">
        <f>VLOOKUP(A69,'Trips&amp;Operators'!$C$1:$G$99999,5,FALSE)</f>
        <v>DAVIS WENDY</v>
      </c>
      <c r="M69" s="6">
        <f t="shared" si="1"/>
        <v>2.8657407405262347E-2</v>
      </c>
      <c r="N69" s="7">
        <f t="shared" si="22"/>
        <v>41.26666666357778</v>
      </c>
      <c r="O69" s="7"/>
      <c r="P69" s="7"/>
      <c r="Q69" s="23"/>
      <c r="R69" s="23"/>
      <c r="S69" s="32">
        <f t="shared" si="23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10:21:29-700',mode:absolute,to:'2017-01-09 13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9" s="49" t="str">
        <f t="shared" si="6"/>
        <v>N</v>
      </c>
      <c r="X69" s="173">
        <f t="shared" si="25"/>
        <v>1</v>
      </c>
      <c r="Y69" s="64">
        <f t="shared" si="8"/>
        <v>23.298400000000001</v>
      </c>
      <c r="Z69" s="64">
        <f t="shared" si="9"/>
        <v>1.7399999999999999E-2</v>
      </c>
      <c r="AA69" s="64">
        <f t="shared" si="10"/>
        <v>23.281000000000002</v>
      </c>
      <c r="AB69" s="61" t="e">
        <f>VLOOKUP(A69,Enforcements!$C$7:$K$17,8,0)</f>
        <v>#N/A</v>
      </c>
      <c r="AC69" s="57" t="e">
        <f>VLOOKUP(A69,Enforcements!$C$7:$E$17,3,0)</f>
        <v>#N/A</v>
      </c>
      <c r="AD69" s="58" t="str">
        <f t="shared" si="11"/>
        <v>0156-09</v>
      </c>
      <c r="AE69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69" s="84" t="str">
        <f t="shared" si="13"/>
        <v>"C:\Program Files (x86)\AstroGrep\AstroGrep.exe" /spath="%USERPROFILE%\AppData\Local\Temp\OnboardLogs" /stypes="app*4032*20170109*"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156-09 --locoid 4032 --swversion DE.1.0.8.0 --startMP 204:232984 --initTime 2017-01-09T11:21:29 --startdatetime 2017-01-09T11:26:15 --delay 1 --endMP 204:174 --enddatetime 2017-01-09T12:07:31 --enforcementcount 0 &gt;&gt;C:\Users\stu\Documents\GitHub\eaglep3-reporting\EC\2017-01-09-refined-times.txt</v>
      </c>
      <c r="AI6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{"issue":{"subject":"","project_id":79,"tracker_id":40,"status_id":1,"priority_id":2,"assigned_to_id":23,"start_date":"2017-01-09","description":"","custom_fields":[{"id":1,"name":"Subdivision","value":"EC"},{"id":4,"name":"Milepost","value":"0.0174"},{"id":17,"name":"Train ID","value":"156-09"},{"id":16,"name":"Locomotive ID","value":"4032"},{"id":130,"name":"Impact","value":""},{"id":150,"name":"Time of Event (Mountain Time)","value":"12:07:31"},{"id":151,"name":"Denver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4032 --day 2017-01-09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521</v>
      </c>
      <c r="B70" s="7">
        <v>4011</v>
      </c>
      <c r="C70" s="22" t="s">
        <v>203</v>
      </c>
      <c r="D70" s="22" t="s">
        <v>697</v>
      </c>
      <c r="E70" s="13">
        <v>42744.444039351853</v>
      </c>
      <c r="F70" s="13">
        <v>42744.448125000003</v>
      </c>
      <c r="G70" s="7">
        <v>1</v>
      </c>
      <c r="H70" s="22" t="s">
        <v>384</v>
      </c>
      <c r="I70" s="13">
        <v>42744.474317129629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ROBINSON KADDIBA</v>
      </c>
      <c r="M70" s="6">
        <f t="shared" si="1"/>
        <v>2.619212962599704E-2</v>
      </c>
      <c r="N70" s="7">
        <f t="shared" si="22"/>
        <v>37.716666661435738</v>
      </c>
      <c r="O70" s="7"/>
      <c r="P70" s="7"/>
      <c r="Q70" s="23"/>
      <c r="R70" s="23"/>
      <c r="S70" s="32">
        <f t="shared" si="23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09:39:25-700',mode:absolute,to:'2017-01-09 12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0" s="49" t="str">
        <f t="shared" si="6"/>
        <v>N</v>
      </c>
      <c r="X70" s="173">
        <f t="shared" si="25"/>
        <v>1</v>
      </c>
      <c r="Y70" s="64">
        <f t="shared" si="8"/>
        <v>4.58E-2</v>
      </c>
      <c r="Z70" s="64">
        <f t="shared" si="9"/>
        <v>23.3308</v>
      </c>
      <c r="AA70" s="64">
        <f t="shared" si="10"/>
        <v>23.285</v>
      </c>
      <c r="AB70" s="61" t="e">
        <f>VLOOKUP(A70,Enforcements!$C$7:$K$17,8,0)</f>
        <v>#N/A</v>
      </c>
      <c r="AC70" s="57" t="e">
        <f>VLOOKUP(A70,Enforcements!$C$7:$E$17,3,0)</f>
        <v>#N/A</v>
      </c>
      <c r="AD70" s="58" t="str">
        <f t="shared" si="11"/>
        <v>0157-09</v>
      </c>
      <c r="AE70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70" s="84" t="str">
        <f t="shared" si="13"/>
        <v>"C:\Program Files (x86)\AstroGrep\AstroGrep.exe" /spath="%USERPROFILE%\AppData\Local\Temp\OnboardLogs" /stypes="app*4011*20170109*"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157-09 --locoid 4011 --swversion DE.1.0.8.0 --startMP 204:458 --initTime 2017-01-09T10:39:25 --startdatetime 2017-01-09T10:45:18 --delay 1 --endMP 204:233308 --enddatetime 2017-01-09T11:23:01 --enforcementcount 0 &gt;&gt;C:\Users\stu\Documents\GitHub\eaglep3-reporting\EC\2017-01-09-refined-times.txt</v>
      </c>
      <c r="AI7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{"issue":{"subject":"","project_id":79,"tracker_id":40,"status_id":1,"priority_id":2,"assigned_to_id":23,"start_date":"2017-01-09","description":"","custom_fields":[{"id":1,"name":"Subdivision","value":"EC"},{"id":4,"name":"Milepost","value":"23.3308"},{"id":17,"name":"Train ID","value":"157-09"},{"id":16,"name":"Locomotive ID","value":"4011"},{"id":130,"name":"Impact","value":""},{"id":150,"name":"Time of Event (Mountain Time)","value":"11:23:01"},{"id":151,"name":"Denver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4011 --day 2017-01-09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534</v>
      </c>
      <c r="B71" s="7">
        <v>4012</v>
      </c>
      <c r="C71" s="22" t="s">
        <v>203</v>
      </c>
      <c r="D71" s="22" t="s">
        <v>298</v>
      </c>
      <c r="E71" s="13">
        <v>42744.483819444446</v>
      </c>
      <c r="F71" s="13">
        <v>42744.487037037034</v>
      </c>
      <c r="G71" s="7">
        <v>1</v>
      </c>
      <c r="H71" s="22" t="s">
        <v>275</v>
      </c>
      <c r="I71" s="13">
        <v>42744.515138888892</v>
      </c>
      <c r="J71" s="7">
        <v>0</v>
      </c>
      <c r="K71" s="105" t="str">
        <f t="shared" si="0"/>
        <v>4011/4012</v>
      </c>
      <c r="L71" s="22" t="str">
        <f>VLOOKUP(A71,'Trips&amp;Operators'!$C$1:$G$99999,5,FALSE)</f>
        <v>ROBINSON KADDIBA</v>
      </c>
      <c r="M71" s="6">
        <f t="shared" si="1"/>
        <v>2.8101851858082227E-2</v>
      </c>
      <c r="N71" s="7">
        <f t="shared" si="22"/>
        <v>40.466666675638407</v>
      </c>
      <c r="O71" s="7"/>
      <c r="P71" s="7"/>
      <c r="Q71" s="23"/>
      <c r="R71" s="23"/>
      <c r="S71" s="32">
        <f t="shared" si="23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10:36:42-700',mode:absolute,to:'2017-01-09 13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1" s="49" t="str">
        <f t="shared" si="6"/>
        <v>N</v>
      </c>
      <c r="X71" s="173">
        <f t="shared" si="25"/>
        <v>1</v>
      </c>
      <c r="Y71" s="64">
        <f t="shared" si="8"/>
        <v>23.298300000000001</v>
      </c>
      <c r="Z71" s="64">
        <f t="shared" si="9"/>
        <v>1.5599999999999999E-2</v>
      </c>
      <c r="AA71" s="64">
        <f t="shared" si="10"/>
        <v>23.282700000000002</v>
      </c>
      <c r="AB71" s="61" t="e">
        <f>VLOOKUP(A71,Enforcements!$C$7:$K$17,8,0)</f>
        <v>#N/A</v>
      </c>
      <c r="AC71" s="57" t="e">
        <f>VLOOKUP(A71,Enforcements!$C$7:$E$17,3,0)</f>
        <v>#N/A</v>
      </c>
      <c r="AD71" s="58" t="str">
        <f t="shared" si="11"/>
        <v>0158-09</v>
      </c>
      <c r="AE71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71" s="84" t="str">
        <f t="shared" si="13"/>
        <v>"C:\Program Files (x86)\AstroGrep\AstroGrep.exe" /spath="%USERPROFILE%\AppData\Local\Temp\OnboardLogs" /stypes="app*4012*20170109*"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158-09 --locoid 4012 --swversion DE.1.0.8.0 --startMP 204:232983 --initTime 2017-01-09T11:36:42 --startdatetime 2017-01-09T11:41:20 --delay 1 --endMP 204:156 --enddatetime 2017-01-09T12:21:48 --enforcementcount 0 &gt;&gt;C:\Users\stu\Documents\GitHub\eaglep3-reporting\EC\2017-01-09-refined-times.txt</v>
      </c>
      <c r="AI7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ID","value":"158-09"},{"id":16,"name":"Locomotive ID","value":"4012"},{"id":130,"name":"Impact","value":""},{"id":150,"name":"Time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4012 --day 2017-01-09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524</v>
      </c>
      <c r="B72" s="7">
        <v>4042</v>
      </c>
      <c r="C72" s="22" t="s">
        <v>203</v>
      </c>
      <c r="D72" s="22" t="s">
        <v>387</v>
      </c>
      <c r="E72" s="13">
        <v>42744.455925925926</v>
      </c>
      <c r="F72" s="13">
        <v>42744.458773148152</v>
      </c>
      <c r="G72" s="7">
        <v>2</v>
      </c>
      <c r="H72" s="22" t="s">
        <v>686</v>
      </c>
      <c r="I72" s="13">
        <v>42744.483819444446</v>
      </c>
      <c r="J72" s="7">
        <v>0</v>
      </c>
      <c r="K72" s="105" t="str">
        <f t="shared" si="0"/>
        <v>4041/4042</v>
      </c>
      <c r="L72" s="22" t="str">
        <f>VLOOKUP(A72,'Trips&amp;Operators'!$C$1:$G$99999,5,FALSE)</f>
        <v>YANG JAN</v>
      </c>
      <c r="M72" s="6">
        <f t="shared" si="1"/>
        <v>2.5046296294021886E-2</v>
      </c>
      <c r="N72" s="7">
        <f t="shared" si="22"/>
        <v>36.066666663391516</v>
      </c>
      <c r="O72" s="7"/>
      <c r="P72" s="7"/>
      <c r="Q72" s="23"/>
      <c r="R72" s="23"/>
      <c r="S72" s="32">
        <f t="shared" si="23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09:56:32-700',mode:absolute,to:'2017-01-09 12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2" s="49" t="str">
        <f t="shared" si="6"/>
        <v>N</v>
      </c>
      <c r="X72" s="173">
        <f t="shared" si="25"/>
        <v>1</v>
      </c>
      <c r="Y72" s="64">
        <f t="shared" si="8"/>
        <v>4.7100000000000003E-2</v>
      </c>
      <c r="Z72" s="64">
        <f t="shared" si="9"/>
        <v>23.3278</v>
      </c>
      <c r="AA72" s="64">
        <f t="shared" si="10"/>
        <v>23.2807</v>
      </c>
      <c r="AB72" s="61" t="e">
        <f>VLOOKUP(A72,Enforcements!$C$7:$K$17,8,0)</f>
        <v>#N/A</v>
      </c>
      <c r="AC72" s="57" t="e">
        <f>VLOOKUP(A72,Enforcements!$C$7:$E$17,3,0)</f>
        <v>#N/A</v>
      </c>
      <c r="AD72" s="58" t="str">
        <f t="shared" si="11"/>
        <v>0159-09</v>
      </c>
      <c r="AE72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72" s="84" t="str">
        <f t="shared" si="13"/>
        <v>"C:\Program Files (x86)\AstroGrep\AstroGrep.exe" /spath="%USERPROFILE%\AppData\Local\Temp\OnboardLogs" /stypes="app*4042*20170109*"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159-09 --locoid 4042 --swversion DE.1.0.8.0 --startMP 204:471 --initTime 2017-01-09T10:56:32 --startdatetime 2017-01-09T11:00:38 --delay 2 --endMP 204:233278 --enddatetime 2017-01-09T11:36:42 --enforcementcount 0 &gt;&gt;C:\Users\stu\Documents\GitHub\eaglep3-reporting\EC\2017-01-09-refined-times.txt</v>
      </c>
      <c r="AI7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{"issue":{"subject":"","project_id":79,"tracker_id":40,"status_id":1,"priority_id":2,"assigned_to_id":23,"start_date":"2017-01-09","description":"","custom_fields":[{"id":1,"name":"Subdivision","value":"EC"},{"id":4,"name":"Milepost","value":"23.3278"},{"id":17,"name":"Train ID","value":"159-09"},{"id":16,"name":"Locomotive ID","value":"4042"},{"id":130,"name":"Impact","value":""},{"id":150,"name":"Time of Event (Mountain Time)","value":"11:36:42"},{"id":151,"name":"Denver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4042 --day 2017-01-09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540</v>
      </c>
      <c r="B73" s="7">
        <v>4041</v>
      </c>
      <c r="C73" s="22" t="s">
        <v>203</v>
      </c>
      <c r="D73" s="22" t="s">
        <v>698</v>
      </c>
      <c r="E73" s="13">
        <v>42744.494722222225</v>
      </c>
      <c r="F73" s="13">
        <v>42744.497685185182</v>
      </c>
      <c r="G73" s="7">
        <v>1</v>
      </c>
      <c r="H73" s="22" t="s">
        <v>247</v>
      </c>
      <c r="I73" s="13">
        <v>42744.525405092594</v>
      </c>
      <c r="J73" s="7">
        <v>0</v>
      </c>
      <c r="K73" s="105" t="str">
        <f t="shared" si="0"/>
        <v>4041/4042</v>
      </c>
      <c r="L73" s="22" t="str">
        <f>VLOOKUP(A73,'Trips&amp;Operators'!$C$1:$G$99999,5,FALSE)</f>
        <v>YANG JAN</v>
      </c>
      <c r="M73" s="6">
        <f t="shared" si="1"/>
        <v>2.771990741166519E-2</v>
      </c>
      <c r="N73" s="7">
        <f t="shared" si="22"/>
        <v>39.916666672797874</v>
      </c>
      <c r="O73" s="7"/>
      <c r="P73" s="7"/>
      <c r="Q73" s="23"/>
      <c r="R73" s="23"/>
      <c r="S73" s="32">
        <f t="shared" si="23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10:52:24-700',mode:absolute,to:'2017-01-09 13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3" s="49" t="str">
        <f t="shared" si="6"/>
        <v>N</v>
      </c>
      <c r="X73" s="173">
        <f t="shared" si="25"/>
        <v>1</v>
      </c>
      <c r="Y73" s="64">
        <f t="shared" si="8"/>
        <v>23.296500000000002</v>
      </c>
      <c r="Z73" s="64">
        <f t="shared" si="9"/>
        <v>1.6E-2</v>
      </c>
      <c r="AA73" s="64">
        <f t="shared" si="10"/>
        <v>23.280500000000004</v>
      </c>
      <c r="AB73" s="61" t="e">
        <f>VLOOKUP(A73,Enforcements!$C$7:$K$17,8,0)</f>
        <v>#N/A</v>
      </c>
      <c r="AC73" s="57" t="e">
        <f>VLOOKUP(A73,Enforcements!$C$7:$E$17,3,0)</f>
        <v>#N/A</v>
      </c>
      <c r="AD73" s="58" t="str">
        <f t="shared" si="11"/>
        <v>0160-09</v>
      </c>
      <c r="AE73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73" s="84" t="str">
        <f t="shared" si="13"/>
        <v>"C:\Program Files (x86)\AstroGrep\AstroGrep.exe" /spath="%USERPROFILE%\AppData\Local\Temp\OnboardLogs" /stypes="app*4041*20170109*"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160-09 --locoid 4041 --swversion DE.1.0.8.0 --startMP 204:232965 --initTime 2017-01-09T11:52:24 --startdatetime 2017-01-09T11:56:40 --delay 1 --endMP 204:160 --enddatetime 2017-01-09T12:36:35 --enforcementcount 0 &gt;&gt;C:\Users\stu\Documents\GitHub\eaglep3-reporting\EC\2017-01-09-refined-times.txt</v>
      </c>
      <c r="AI7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{"issue":{"subject":"","project_id":79,"tracker_id":40,"status_id":1,"priority_id":2,"assigned_to_id":23,"start_date":"2017-01-09","description":"","custom_fields":[{"id":1,"name":"Subdivision","value":"EC"},{"id":4,"name":"Milepost","value":"0.016"},{"id":17,"name":"Train ID","value":"160-09"},{"id":16,"name":"Locomotive ID","value":"4041"},{"id":130,"name":"Impact","value":""},{"id":150,"name":"Time of Event (Mountain Time)","value":"12:36:35"},{"id":151,"name":"Denver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4041 --day 2017-01-09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528</v>
      </c>
      <c r="B74" s="7">
        <v>4003</v>
      </c>
      <c r="C74" s="22" t="s">
        <v>203</v>
      </c>
      <c r="D74" s="22" t="s">
        <v>194</v>
      </c>
      <c r="E74" s="13">
        <v>42744.466296296298</v>
      </c>
      <c r="F74" s="13">
        <v>42744.469386574077</v>
      </c>
      <c r="G74" s="7">
        <v>2</v>
      </c>
      <c r="H74" s="22" t="s">
        <v>340</v>
      </c>
      <c r="I74" s="13">
        <v>42744.496874999997</v>
      </c>
      <c r="J74" s="7">
        <v>0</v>
      </c>
      <c r="K74" s="105" t="str">
        <f t="shared" si="0"/>
        <v>4003/4004</v>
      </c>
      <c r="L74" s="22" t="str">
        <f>VLOOKUP(A74,'Trips&amp;Operators'!$C$1:$G$99999,5,FALSE)</f>
        <v>DAVIS MICHAEL</v>
      </c>
      <c r="M74" s="6">
        <f t="shared" si="1"/>
        <v>2.7488425919727888E-2</v>
      </c>
      <c r="N74" s="7">
        <f t="shared" si="22"/>
        <v>39.583333324408159</v>
      </c>
      <c r="O74" s="7"/>
      <c r="P74" s="7"/>
      <c r="Q74" s="23"/>
      <c r="R74" s="23"/>
      <c r="S74" s="32">
        <f t="shared" si="23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10:11:28-700',mode:absolute,to:'2017-01-09 12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4" s="49" t="str">
        <f t="shared" si="6"/>
        <v>N</v>
      </c>
      <c r="X74" s="173">
        <f t="shared" si="25"/>
        <v>1</v>
      </c>
      <c r="Y74" s="64">
        <f t="shared" si="8"/>
        <v>4.5100000000000001E-2</v>
      </c>
      <c r="Z74" s="64">
        <f t="shared" si="9"/>
        <v>23.3293</v>
      </c>
      <c r="AA74" s="64">
        <f t="shared" si="10"/>
        <v>23.284199999999998</v>
      </c>
      <c r="AB74" s="61" t="e">
        <f>VLOOKUP(A74,Enforcements!$C$7:$K$17,8,0)</f>
        <v>#N/A</v>
      </c>
      <c r="AC74" s="57" t="e">
        <f>VLOOKUP(A74,Enforcements!$C$7:$E$17,3,0)</f>
        <v>#N/A</v>
      </c>
      <c r="AD74" s="58" t="str">
        <f t="shared" si="11"/>
        <v>0161-09</v>
      </c>
      <c r="AE74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74" s="84" t="str">
        <f t="shared" si="13"/>
        <v>"C:\Program Files (x86)\AstroGrep\AstroGrep.exe" /spath="%USERPROFILE%\AppData\Local\Temp\OnboardLogs" /stypes="app*4003*20170109*"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161-09 --locoid 4003 --swversion DE.1.0.8.0 --startMP 204:451 --initTime 2017-01-09T11:11:28 --startdatetime 2017-01-09T11:15:55 --delay 2 --endMP 204:233293 --enddatetime 2017-01-09T11:55:30 --enforcementcount 0 &gt;&gt;C:\Users\stu\Documents\GitHub\eaglep3-reporting\EC\2017-01-09-refined-times.txt</v>
      </c>
      <c r="AI7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ID","value":"161-09"},{"id":16,"name":"Locomotive ID","value":"4003"},{"id":130,"name":"Impact","value":""},{"id":150,"name":"Time of Event (Mountain Time)","value":"11:55:30"},{"id":151,"name":"Denver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4003 --day 2017-01-09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544</v>
      </c>
      <c r="B75" s="7">
        <v>4004</v>
      </c>
      <c r="C75" s="22" t="s">
        <v>203</v>
      </c>
      <c r="D75" s="22" t="s">
        <v>321</v>
      </c>
      <c r="E75" s="13">
        <v>42744.505532407406</v>
      </c>
      <c r="F75" s="13">
        <v>42744.508287037039</v>
      </c>
      <c r="G75" s="7">
        <v>1</v>
      </c>
      <c r="H75" s="22" t="s">
        <v>228</v>
      </c>
      <c r="I75" s="13">
        <v>42744.536793981482</v>
      </c>
      <c r="J75" s="7">
        <v>0</v>
      </c>
      <c r="K75" s="105" t="str">
        <f t="shared" si="0"/>
        <v>4003/4004</v>
      </c>
      <c r="L75" s="22" t="str">
        <f>VLOOKUP(A75,'Trips&amp;Operators'!$C$1:$G$99999,5,FALSE)</f>
        <v>DAVIS MICHAEL</v>
      </c>
      <c r="M75" s="6">
        <f t="shared" si="1"/>
        <v>2.8506944443506654E-2</v>
      </c>
      <c r="N75" s="7">
        <f t="shared" si="22"/>
        <v>41.049999998649582</v>
      </c>
      <c r="O75" s="7"/>
      <c r="P75" s="7"/>
      <c r="Q75" s="23"/>
      <c r="R75" s="23"/>
      <c r="S75" s="32">
        <f t="shared" si="23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11:07:58-700',mode:absolute,to:'2017-01-09 13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5" s="49" t="str">
        <f t="shared" si="6"/>
        <v>N</v>
      </c>
      <c r="X75" s="173">
        <f t="shared" si="25"/>
        <v>1</v>
      </c>
      <c r="Y75" s="64">
        <f t="shared" si="8"/>
        <v>23.2987</v>
      </c>
      <c r="Z75" s="64">
        <f t="shared" si="9"/>
        <v>1.4500000000000001E-2</v>
      </c>
      <c r="AA75" s="64">
        <f t="shared" si="10"/>
        <v>23.284199999999998</v>
      </c>
      <c r="AB75" s="61" t="e">
        <f>VLOOKUP(A75,Enforcements!$C$7:$K$17,8,0)</f>
        <v>#N/A</v>
      </c>
      <c r="AC75" s="57" t="e">
        <f>VLOOKUP(A75,Enforcements!$C$7:$E$17,3,0)</f>
        <v>#N/A</v>
      </c>
      <c r="AD75" s="58" t="str">
        <f t="shared" si="11"/>
        <v>0162-09</v>
      </c>
      <c r="AE75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75" s="84" t="str">
        <f t="shared" si="13"/>
        <v>"C:\Program Files (x86)\AstroGrep\AstroGrep.exe" /spath="%USERPROFILE%\AppData\Local\Temp\OnboardLogs" /stypes="app*4004*20170109*"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162-09 --locoid 4004 --swversion DE.1.0.8.0 --startMP 204:232987 --initTime 2017-01-09T12:07:58 --startdatetime 2017-01-09T12:11:56 --delay 1 --endMP 204:145 --enddatetime 2017-01-09T12:52:59 --enforcementcount 0 &gt;&gt;C:\Users\stu\Documents\GitHub\eaglep3-reporting\EC\2017-01-09-refined-times.txt</v>
      </c>
      <c r="AI7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ID","value":"162-09"},{"id":16,"name":"Locomotive ID","value":"4004"},{"id":130,"name":"Impact","value":""},{"id":150,"name":"Time of Event (Mountain Time)","value":"12:52:59"},{"id":151,"name":"Denver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4004 --day 2017-01-09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531</v>
      </c>
      <c r="B76" s="7">
        <v>4044</v>
      </c>
      <c r="C76" s="22" t="s">
        <v>203</v>
      </c>
      <c r="D76" s="22" t="s">
        <v>280</v>
      </c>
      <c r="E76" s="13">
        <v>42744.473692129628</v>
      </c>
      <c r="F76" s="13">
        <v>42744.47965277778</v>
      </c>
      <c r="G76" s="7">
        <v>1</v>
      </c>
      <c r="H76" s="22" t="s">
        <v>323</v>
      </c>
      <c r="I76" s="13">
        <v>42744.505393518521</v>
      </c>
      <c r="J76" s="7">
        <v>0</v>
      </c>
      <c r="K76" s="105" t="str">
        <f t="shared" si="0"/>
        <v>4043/4044</v>
      </c>
      <c r="L76" s="22" t="str">
        <f>VLOOKUP(A76,'Trips&amp;Operators'!$C$1:$G$99999,5,FALSE)</f>
        <v>CLARK KATHLEEN</v>
      </c>
      <c r="M76" s="6">
        <f t="shared" si="1"/>
        <v>2.5740740740729962E-2</v>
      </c>
      <c r="N76" s="7">
        <f t="shared" si="22"/>
        <v>37.066666666651145</v>
      </c>
      <c r="O76" s="7"/>
      <c r="P76" s="7"/>
      <c r="Q76" s="23"/>
      <c r="R76" s="23"/>
      <c r="S76" s="32">
        <f t="shared" si="23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10:22:07-700',mode:absolute,to:'2017-01-09 13:07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6" s="49" t="str">
        <f t="shared" si="6"/>
        <v>N</v>
      </c>
      <c r="X76" s="173">
        <f t="shared" si="25"/>
        <v>1</v>
      </c>
      <c r="Y76" s="64">
        <f t="shared" si="8"/>
        <v>4.3700000000000003E-2</v>
      </c>
      <c r="Z76" s="64">
        <f t="shared" si="9"/>
        <v>23.330100000000002</v>
      </c>
      <c r="AA76" s="64">
        <f t="shared" si="10"/>
        <v>23.2864</v>
      </c>
      <c r="AB76" s="61" t="e">
        <f>VLOOKUP(A76,Enforcements!$C$7:$K$17,8,0)</f>
        <v>#N/A</v>
      </c>
      <c r="AC76" s="57" t="e">
        <f>VLOOKUP(A76,Enforcements!$C$7:$E$17,3,0)</f>
        <v>#N/A</v>
      </c>
      <c r="AD76" s="58" t="str">
        <f t="shared" si="11"/>
        <v>0163-09</v>
      </c>
      <c r="AE76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76" s="84" t="str">
        <f t="shared" si="13"/>
        <v>"C:\Program Files (x86)\AstroGrep\AstroGrep.exe" /spath="%USERPROFILE%\AppData\Local\Temp\OnboardLogs" /stypes="app*4044*20170109*"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ref="AH76:AH139" si="2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163-09 --locoid 4044 --swversion DE.1.0.8.0 --startMP 204:437 --initTime 2017-01-09T11:22:07 --startdatetime 2017-01-09T11:30:42 --delay 1 --endMP 204:233301 --enddatetime 2017-01-09T12:07:46 --enforcementcount 0 &gt;&gt;C:\Users\stu\Documents\GitHub\eaglep3-reporting\EC\2017-01-09-refined-times.txt</v>
      </c>
      <c r="AI76" s="115" t="str">
        <f t="shared" ref="AI76:AI139" si="2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{"issue":{"subject":"","project_id":79,"tracker_id":40,"status_id":1,"priority_id":2,"assigned_to_id":23,"start_date":"2017-01-09","description":"","custom_fields":[{"id":1,"name":"Subdivision","value":"EC"},{"id":4,"name":"Milepost","value":"23.3301"},{"id":17,"name":"Train ID","value":"163-09"},{"id":16,"name":"Locomotive ID","value":"4044"},{"id":130,"name":"Impact","value":""},{"id":150,"name":"Time of Event (Mountain Time)","value":"12:07:46"},{"id":151,"name":"Denver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ref="AM76:AM139" si="28">"start /low /b "&amp;dls3logs&amp;" --loco "&amp;B76&amp;" --day "&amp;TEXT(F76,"YYYY-MM-DD")</f>
        <v>start /low /b %USERPROFILE%\Documents\GitHub\eaglep3\Utilities\DownloadLogsFromS3.py --loco 4044 --day 2017-01-09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546</v>
      </c>
      <c r="B77" s="7">
        <v>4043</v>
      </c>
      <c r="C77" s="22" t="s">
        <v>203</v>
      </c>
      <c r="D77" s="22" t="s">
        <v>273</v>
      </c>
      <c r="E77" s="13">
        <v>42744.514363425929</v>
      </c>
      <c r="F77" s="13">
        <v>42744.518240740741</v>
      </c>
      <c r="G77" s="7">
        <v>1</v>
      </c>
      <c r="H77" s="22" t="s">
        <v>271</v>
      </c>
      <c r="I77" s="13">
        <v>42744.546909722223</v>
      </c>
      <c r="J77" s="7">
        <v>0</v>
      </c>
      <c r="K77" s="105" t="str">
        <f t="shared" ref="K77:K140" si="29">IF(ISEVEN(B77),(B77-1)&amp;"/"&amp;B77,B77&amp;"/"&amp;(B77+1))</f>
        <v>4043/4044</v>
      </c>
      <c r="L77" s="22" t="str">
        <f>VLOOKUP(A77,'Trips&amp;Operators'!$C$1:$G$99999,5,FALSE)</f>
        <v>CLARK KATHLEEN</v>
      </c>
      <c r="M77" s="6">
        <f t="shared" ref="M77:M140" si="30">I77-F77</f>
        <v>2.8668981482042E-2</v>
      </c>
      <c r="N77" s="7">
        <f t="shared" si="22"/>
        <v>41.28333333414048</v>
      </c>
      <c r="O77" s="7"/>
      <c r="P77" s="7"/>
      <c r="Q77" s="23"/>
      <c r="R77" s="23"/>
      <c r="S77" s="32">
        <f t="shared" si="23"/>
        <v>1</v>
      </c>
      <c r="T77" s="47" t="str">
        <f t="shared" ref="T77:T140" si="31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https://search-rtdc-monitor-bjffxe2xuh6vdkpspy63sjmuny.us-east-1.es.amazonaws.com/_plugin/kibana/#/discover/Steve-Slow-Train-Analysis-(2080s-and-2083s)?_g=(refreshInterval:(display:Off,section:0,value:0),time:(from:'2017-01-09 11:20:41-700',mode:absolute,to:'2017-01-09 14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7" s="49" t="str">
        <f t="shared" ref="W77:W140" si="33">IF(AA77&lt;IF(AG77="EC",23,5.65),"Y","N")</f>
        <v>N</v>
      </c>
      <c r="X77" s="173">
        <f t="shared" si="25"/>
        <v>1</v>
      </c>
      <c r="Y77" s="64">
        <f t="shared" ref="Y77:Y140" si="34">RIGHT(D77,LEN(D77)-4)/10000</f>
        <v>23.2971</v>
      </c>
      <c r="Z77" s="64">
        <f t="shared" ref="Z77:Z140" si="35">RIGHT(H77,LEN(H77)-4)/10000</f>
        <v>1.5800000000000002E-2</v>
      </c>
      <c r="AA77" s="64">
        <f t="shared" ref="AA77:AA140" si="36">ABS(Z77-Y77)</f>
        <v>23.281300000000002</v>
      </c>
      <c r="AB77" s="61" t="e">
        <f>VLOOKUP(A77,Enforcements!$C$7:$K$17,8,0)</f>
        <v>#N/A</v>
      </c>
      <c r="AC77" s="57" t="e">
        <f>VLOOKUP(A77,Enforcements!$C$7:$E$17,3,0)</f>
        <v>#N/A</v>
      </c>
      <c r="AD77" s="58" t="str">
        <f t="shared" ref="AD77:AD140" si="37">IF(LEN(A77)=6,"0"&amp;A77,A77)</f>
        <v>0164-09</v>
      </c>
      <c r="AE77" s="8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77" s="84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/stypes="app*4043*20170109*" /stext=" 20:.+((SYSTEM_STATE.+slice.+state.+changed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88" t="str">
        <f t="shared" si="26"/>
        <v>"%USERPROFILE%\Documents\GitHub\eaglep3\Utilities\RefineRTDCRunTimes.py" --tripid 164-09 --locoid 4043 --swversion DE.1.0.8.0 --startMP 204:232971 --initTime 2017-01-09T12:20:41 --startdatetime 2017-01-09T12:26:16 --delay 1 --endMP 204:158 --enddatetime 2017-01-09T13:07:33 --enforcementcount 0 &gt;&gt;C:\Users\stu\Documents\GitHub\eaglep3-reporting\EC\2017-01-09-refined-times.txt</v>
      </c>
      <c r="AI7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{"issue":{"subject":"","project_id":79,"tracker_id":40,"status_id":1,"priority_id":2,"assigned_to_id":23,"start_date":"2017-01-09","description":"","custom_fields":[{"id":1,"name":"Subdivision","value":"EC"},{"id":4,"name":"Milepost","value":"0.0158"},{"id":17,"name":"Train ID","value":"164-09"},{"id":16,"name":"Locomotive ID","value":"4043"},{"id":130,"name":"Impact","value":""},{"id":150,"name":"Time of Event (Mountain Time)","value":"13:07:33"},{"id":151,"name":"Denver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8"/>
        <v>start /low /b %USERPROFILE%\Documents\GitHub\eaglep3\Utilities\DownloadLogsFromS3.py --loco 4043 --day 2017-01-09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536</v>
      </c>
      <c r="B78" s="7">
        <v>4020</v>
      </c>
      <c r="C78" s="22" t="s">
        <v>203</v>
      </c>
      <c r="D78" s="22" t="s">
        <v>193</v>
      </c>
      <c r="E78" s="13">
        <v>42744.487638888888</v>
      </c>
      <c r="F78" s="13">
        <v>42744.489837962959</v>
      </c>
      <c r="G78" s="7">
        <v>1</v>
      </c>
      <c r="H78" s="22" t="s">
        <v>410</v>
      </c>
      <c r="I78" s="13">
        <v>42744.5153587963</v>
      </c>
      <c r="J78" s="7">
        <v>0</v>
      </c>
      <c r="K78" s="105" t="str">
        <f t="shared" si="29"/>
        <v>4019/4020</v>
      </c>
      <c r="L78" s="22" t="str">
        <f>VLOOKUP(A78,'Trips&amp;Operators'!$C$1:$G$99999,5,FALSE)</f>
        <v>ADANE ELSHADAY</v>
      </c>
      <c r="M78" s="6">
        <f t="shared" si="30"/>
        <v>2.5520833340124227E-2</v>
      </c>
      <c r="N78" s="7">
        <f t="shared" si="22"/>
        <v>36.750000009778887</v>
      </c>
      <c r="O78" s="7"/>
      <c r="P78" s="7"/>
      <c r="Q78" s="23"/>
      <c r="R78" s="23"/>
      <c r="S78" s="32">
        <f t="shared" si="23"/>
        <v>1</v>
      </c>
      <c r="T78" s="47" t="str">
        <f t="shared" si="31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10:42:12-700',mode:absolute,to:'2017-01-09 13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8" s="49" t="str">
        <f t="shared" si="33"/>
        <v>N</v>
      </c>
      <c r="X78" s="173">
        <f t="shared" si="25"/>
        <v>1</v>
      </c>
      <c r="Y78" s="64">
        <f t="shared" si="34"/>
        <v>4.4699999999999997E-2</v>
      </c>
      <c r="Z78" s="64">
        <f t="shared" si="35"/>
        <v>23.334700000000002</v>
      </c>
      <c r="AA78" s="64">
        <f t="shared" si="36"/>
        <v>23.290000000000003</v>
      </c>
      <c r="AB78" s="61" t="e">
        <f>VLOOKUP(A78,Enforcements!$C$7:$K$17,8,0)</f>
        <v>#N/A</v>
      </c>
      <c r="AC78" s="57" t="e">
        <f>VLOOKUP(A78,Enforcements!$C$7:$E$17,3,0)</f>
        <v>#N/A</v>
      </c>
      <c r="AD78" s="58" t="str">
        <f t="shared" si="37"/>
        <v>0165-09</v>
      </c>
      <c r="AE78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78" s="84" t="str">
        <f t="shared" si="39"/>
        <v>"C:\Program Files (x86)\AstroGrep\AstroGrep.exe" /spath="%USERPROFILE%\AppData\Local\Temp\OnboardLogs" /stypes="app*4020*20170109*" /stext=" 19:.+((SYSTEM_STATE.+slice.+state.+changed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88" t="str">
        <f t="shared" si="26"/>
        <v>"%USERPROFILE%\Documents\GitHub\eaglep3\Utilities\RefineRTDCRunTimes.py" --tripid 165-09 --locoid 4020 --swversion DE.1.0.8.0 --startMP 204:447 --initTime 2017-01-09T11:42:12 --startdatetime 2017-01-09T11:45:22 --delay 1 --endMP 204:233347 --enddatetime 2017-01-09T12:22:07 --enforcementcount 0 &gt;&gt;C:\Users\stu\Documents\GitHub\eaglep3-reporting\EC\2017-01-09-refined-times.txt</v>
      </c>
      <c r="AI7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{"issue":{"subject":"","project_id":79,"tracker_id":40,"status_id":1,"priority_id":2,"assigned_to_id":23,"start_date":"2017-01-09","description":"","custom_fields":[{"id":1,"name":"Subdivision","value":"EC"},{"id":4,"name":"Milepost","value":"23.3347"},{"id":17,"name":"Train ID","value":"165-09"},{"id":16,"name":"Locomotive ID","value":"4020"},{"id":130,"name":"Impact","value":""},{"id":150,"name":"Time of Event (Mountain Time)","value":"12:22:07"},{"id":151,"name":"Denver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28"/>
        <v>start /low /b %USERPROFILE%\Documents\GitHub\eaglep3\Utilities\DownloadLogsFromS3.py --loco 4020 --day 2017-01-09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547</v>
      </c>
      <c r="B79" s="7">
        <v>4019</v>
      </c>
      <c r="C79" s="22" t="s">
        <v>203</v>
      </c>
      <c r="D79" s="22" t="s">
        <v>699</v>
      </c>
      <c r="E79" s="13">
        <v>42744.517407407409</v>
      </c>
      <c r="F79" s="13">
        <v>42744.528807870367</v>
      </c>
      <c r="G79" s="7">
        <v>2</v>
      </c>
      <c r="H79" s="22" t="s">
        <v>228</v>
      </c>
      <c r="I79" s="13">
        <v>42744.554907407408</v>
      </c>
      <c r="J79" s="7">
        <v>0</v>
      </c>
      <c r="K79" s="105" t="str">
        <f t="shared" si="29"/>
        <v>4019/4020</v>
      </c>
      <c r="L79" s="22" t="str">
        <f>VLOOKUP(A79,'Trips&amp;Operators'!$C$1:$G$99999,5,FALSE)</f>
        <v>ADANE ELSHADAY</v>
      </c>
      <c r="M79" s="6">
        <f t="shared" si="30"/>
        <v>2.6099537040863652E-2</v>
      </c>
      <c r="N79" s="7">
        <f t="shared" si="22"/>
        <v>37.583333338843659</v>
      </c>
      <c r="O79" s="7"/>
      <c r="P79" s="7"/>
      <c r="Q79" s="23"/>
      <c r="R79" s="23"/>
      <c r="S79" s="32">
        <f t="shared" si="23"/>
        <v>1</v>
      </c>
      <c r="T79" s="47" t="str">
        <f t="shared" si="31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11:25:04-700',mode:absolute,to:'2017-01-09 14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9" s="49" t="str">
        <f t="shared" si="33"/>
        <v>N</v>
      </c>
      <c r="X79" s="173">
        <f t="shared" si="25"/>
        <v>1</v>
      </c>
      <c r="Y79" s="64">
        <f t="shared" si="34"/>
        <v>23.300999999999998</v>
      </c>
      <c r="Z79" s="64">
        <f t="shared" si="35"/>
        <v>1.4500000000000001E-2</v>
      </c>
      <c r="AA79" s="64">
        <f t="shared" si="36"/>
        <v>23.286499999999997</v>
      </c>
      <c r="AB79" s="61" t="e">
        <f>VLOOKUP(A79,Enforcements!$C$7:$K$17,8,0)</f>
        <v>#N/A</v>
      </c>
      <c r="AC79" s="57" t="e">
        <f>VLOOKUP(A79,Enforcements!$C$7:$E$17,3,0)</f>
        <v>#N/A</v>
      </c>
      <c r="AD79" s="58" t="str">
        <f t="shared" si="37"/>
        <v>0166-09</v>
      </c>
      <c r="AE79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79" s="84" t="str">
        <f t="shared" si="39"/>
        <v>"C:\Program Files (x86)\AstroGrep\AstroGrep.exe" /spath="%USERPROFILE%\AppData\Local\Temp\OnboardLogs" /stypes="app*4019*20170109*" /stext=" 20:.+((SYSTEM_STATE.+slice.+state.+changed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88" t="str">
        <f t="shared" si="26"/>
        <v>"%USERPROFILE%\Documents\GitHub\eaglep3\Utilities\RefineRTDCRunTimes.py" --tripid 166-09 --locoid 4019 --swversion DE.1.0.8.0 --startMP 204:233010 --initTime 2017-01-09T12:25:04 --startdatetime 2017-01-09T12:41:29 --delay 2 --endMP 204:145 --enddatetime 2017-01-09T13:19:04 --enforcementcount 0 &gt;&gt;C:\Users\stu\Documents\GitHub\eaglep3-reporting\EC\2017-01-09-refined-times.txt</v>
      </c>
      <c r="AI7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ID","value":"166-09"},{"id":16,"name":"Locomotive ID","value":"4019"},{"id":130,"name":"Impact","value":""},{"id":150,"name":"Time of Event (Mountain Time)","value":"13:19:04"},{"id":151,"name":"Denver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28"/>
        <v>start /low /b %USERPROFILE%\Documents\GitHub\eaglep3\Utilities\DownloadLogsFromS3.py --loco 4019 --day 2017-01-09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539</v>
      </c>
      <c r="B80" s="7">
        <v>4046</v>
      </c>
      <c r="C80" s="22" t="s">
        <v>203</v>
      </c>
      <c r="D80" s="22" t="s">
        <v>286</v>
      </c>
      <c r="E80" s="13">
        <v>42744.493761574071</v>
      </c>
      <c r="F80" s="13">
        <v>42744.500254629631</v>
      </c>
      <c r="G80" s="7">
        <v>1</v>
      </c>
      <c r="H80" s="22" t="s">
        <v>695</v>
      </c>
      <c r="I80" s="13">
        <v>42744.525717592594</v>
      </c>
      <c r="J80" s="7">
        <v>0</v>
      </c>
      <c r="K80" s="105" t="str">
        <f t="shared" si="29"/>
        <v>4045/4046</v>
      </c>
      <c r="L80" s="22" t="str">
        <f>VLOOKUP(A80,'Trips&amp;Operators'!$C$1:$G$99999,5,FALSE)</f>
        <v>CRAYTON QUNTRELL</v>
      </c>
      <c r="M80" s="6">
        <f t="shared" si="30"/>
        <v>2.5462962963501923E-2</v>
      </c>
      <c r="N80" s="7">
        <f t="shared" si="22"/>
        <v>36.666666667442769</v>
      </c>
      <c r="O80" s="7"/>
      <c r="P80" s="7"/>
      <c r="Q80" s="23"/>
      <c r="R80" s="23"/>
      <c r="S80" s="32">
        <f t="shared" si="23"/>
        <v>1</v>
      </c>
      <c r="T80" s="47" t="str">
        <f t="shared" si="31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10:51:01-700',mode:absolute,to:'2017-01-09 13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0" s="49" t="str">
        <f t="shared" si="33"/>
        <v>N</v>
      </c>
      <c r="X80" s="173">
        <f t="shared" si="25"/>
        <v>1</v>
      </c>
      <c r="Y80" s="64">
        <f t="shared" si="34"/>
        <v>4.6699999999999998E-2</v>
      </c>
      <c r="Z80" s="64">
        <f t="shared" si="35"/>
        <v>23.331099999999999</v>
      </c>
      <c r="AA80" s="64">
        <f t="shared" si="36"/>
        <v>23.284399999999998</v>
      </c>
      <c r="AB80" s="61" t="e">
        <f>VLOOKUP(A80,Enforcements!$C$7:$K$17,8,0)</f>
        <v>#N/A</v>
      </c>
      <c r="AC80" s="57" t="e">
        <f>VLOOKUP(A80,Enforcements!$C$7:$E$17,3,0)</f>
        <v>#N/A</v>
      </c>
      <c r="AD80" s="58" t="str">
        <f t="shared" si="37"/>
        <v>0167-09</v>
      </c>
      <c r="AE80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80" s="84" t="str">
        <f t="shared" si="39"/>
        <v>"C:\Program Files (x86)\AstroGrep\AstroGrep.exe" /spath="%USERPROFILE%\AppData\Local\Temp\OnboardLogs" /stypes="app*4046*20170109*" /stext=" 19:.+((SYSTEM_STATE.+slice.+state.+changed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88" t="str">
        <f t="shared" si="26"/>
        <v>"%USERPROFILE%\Documents\GitHub\eaglep3\Utilities\RefineRTDCRunTimes.py" --tripid 167-09 --locoid 4046 --swversion DE.1.0.8.0 --startMP 204:467 --initTime 2017-01-09T11:51:01 --startdatetime 2017-01-09T12:00:22 --delay 1 --endMP 204:233311 --enddatetime 2017-01-09T12:37:02 --enforcementcount 0 &gt;&gt;C:\Users\stu\Documents\GitHub\eaglep3-reporting\EC\2017-01-09-refined-times.txt</v>
      </c>
      <c r="AI8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{"issue":{"subject":"","project_id":79,"tracker_id":40,"status_id":1,"priority_id":2,"assigned_to_id":23,"start_date":"2017-01-09","description":"","custom_fields":[{"id":1,"name":"Subdivision","value":"EC"},{"id":4,"name":"Milepost","value":"23.3311"},{"id":17,"name":"Train ID","value":"167-09"},{"id":16,"name":"Locomotive ID","value":"4046"},{"id":130,"name":"Impact","value":""},{"id":150,"name":"Time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28"/>
        <v>start /low /b %USERPROFILE%\Documents\GitHub\eaglep3\Utilities\DownloadLogsFromS3.py --loco 4046 --day 2017-01-09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553</v>
      </c>
      <c r="B81" s="7">
        <v>4045</v>
      </c>
      <c r="C81" s="22" t="s">
        <v>203</v>
      </c>
      <c r="D81" s="22" t="s">
        <v>253</v>
      </c>
      <c r="E81" s="13">
        <v>42744.532048611109</v>
      </c>
      <c r="F81" s="13">
        <v>42744.539675925924</v>
      </c>
      <c r="G81" s="7">
        <v>1</v>
      </c>
      <c r="H81" s="22" t="s">
        <v>700</v>
      </c>
      <c r="I81" s="13">
        <v>42744.569606481484</v>
      </c>
      <c r="J81" s="7">
        <v>0</v>
      </c>
      <c r="K81" s="105" t="str">
        <f t="shared" si="29"/>
        <v>4045/4046</v>
      </c>
      <c r="L81" s="22" t="str">
        <f>VLOOKUP(A81,'Trips&amp;Operators'!$C$1:$G$99999,5,FALSE)</f>
        <v>CRAYTON QUNTRELL</v>
      </c>
      <c r="M81" s="6">
        <f t="shared" si="30"/>
        <v>2.9930555559985805E-2</v>
      </c>
      <c r="N81" s="7">
        <f t="shared" si="22"/>
        <v>43.10000000637956</v>
      </c>
      <c r="O81" s="7"/>
      <c r="P81" s="7"/>
      <c r="Q81" s="23"/>
      <c r="R81" s="23"/>
      <c r="S81" s="32">
        <f t="shared" si="23"/>
        <v>1</v>
      </c>
      <c r="T81" s="47" t="str">
        <f t="shared" si="31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11:46:09-700',mode:absolute,to:'2017-01-09 14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1" s="49" t="str">
        <f t="shared" si="33"/>
        <v>N</v>
      </c>
      <c r="X81" s="173">
        <f t="shared" si="25"/>
        <v>1</v>
      </c>
      <c r="Y81" s="64">
        <f t="shared" si="34"/>
        <v>23.2986</v>
      </c>
      <c r="Z81" s="64">
        <f t="shared" si="35"/>
        <v>2.2100000000000002E-2</v>
      </c>
      <c r="AA81" s="64">
        <f t="shared" si="36"/>
        <v>23.276500000000002</v>
      </c>
      <c r="AB81" s="61" t="e">
        <f>VLOOKUP(A81,Enforcements!$C$7:$K$17,8,0)</f>
        <v>#N/A</v>
      </c>
      <c r="AC81" s="57" t="e">
        <f>VLOOKUP(A81,Enforcements!$C$7:$E$17,3,0)</f>
        <v>#N/A</v>
      </c>
      <c r="AD81" s="58" t="str">
        <f t="shared" si="37"/>
        <v>0168-09</v>
      </c>
      <c r="AE81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81" s="84" t="str">
        <f t="shared" si="39"/>
        <v>"C:\Program Files (x86)\AstroGrep\AstroGrep.exe" /spath="%USERPROFILE%\AppData\Local\Temp\OnboardLogs" /stypes="app*4045*20170109*" /stext=" 20:.+((SYSTEM_STATE.+slice.+state.+changed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88" t="str">
        <f t="shared" si="26"/>
        <v>"%USERPROFILE%\Documents\GitHub\eaglep3\Utilities\RefineRTDCRunTimes.py" --tripid 168-09 --locoid 4045 --swversion DE.1.0.8.0 --startMP 204:232986 --initTime 2017-01-09T12:46:09 --startdatetime 2017-01-09T12:57:08 --delay 1 --endMP 204:221 --enddatetime 2017-01-09T13:40:14 --enforcementcount 0 &gt;&gt;C:\Users\stu\Documents\GitHub\eaglep3-reporting\EC\2017-01-09-refined-times.txt</v>
      </c>
      <c r="AI8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{"issue":{"subject":"","project_id":79,"tracker_id":40,"status_id":1,"priority_id":2,"assigned_to_id":23,"start_date":"2017-01-09","description":"","custom_fields":[{"id":1,"name":"Subdivision","value":"EC"},{"id":4,"name":"Milepost","value":"0.0221"},{"id":17,"name":"Train ID","value":"168-09"},{"id":16,"name":"Locomotive ID","value":"4045"},{"id":130,"name":"Impact","value":""},{"id":150,"name":"Time of Event (Mountain Time)","value":"13:40:14"},{"id":151,"name":"Denver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28"/>
        <v>start /low /b %USERPROFILE%\Documents\GitHub\eaglep3\Utilities\DownloadLogsFromS3.py --loco 4045 --day 2017-01-09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545</v>
      </c>
      <c r="B82" s="7">
        <v>4031</v>
      </c>
      <c r="C82" s="22" t="s">
        <v>203</v>
      </c>
      <c r="D82" s="22" t="s">
        <v>690</v>
      </c>
      <c r="E82" s="13">
        <v>42744.508263888885</v>
      </c>
      <c r="F82" s="13">
        <v>42744.510810185187</v>
      </c>
      <c r="G82" s="7">
        <v>1</v>
      </c>
      <c r="H82" s="22" t="s">
        <v>701</v>
      </c>
      <c r="I82" s="13">
        <v>42744.536423611113</v>
      </c>
      <c r="J82" s="7">
        <v>0</v>
      </c>
      <c r="K82" s="105" t="str">
        <f t="shared" si="29"/>
        <v>4031/4032</v>
      </c>
      <c r="L82" s="22" t="str">
        <f>VLOOKUP(A82,'Trips&amp;Operators'!$C$1:$G$99999,5,FALSE)</f>
        <v>HOLCOMB KAMDEN</v>
      </c>
      <c r="M82" s="6">
        <f t="shared" si="30"/>
        <v>2.5613425925257616E-2</v>
      </c>
      <c r="N82" s="7">
        <f t="shared" si="22"/>
        <v>36.883333332370967</v>
      </c>
      <c r="O82" s="7"/>
      <c r="P82" s="7"/>
      <c r="Q82" s="23"/>
      <c r="R82" s="23"/>
      <c r="S82" s="32">
        <f t="shared" si="23"/>
        <v>1</v>
      </c>
      <c r="T82" s="47" t="str">
        <f t="shared" si="31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11:11:54-700',mode:absolute,to:'2017-01-09 13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2" s="49" t="str">
        <f t="shared" si="33"/>
        <v>N</v>
      </c>
      <c r="X82" s="173">
        <f t="shared" si="25"/>
        <v>1</v>
      </c>
      <c r="Y82" s="64">
        <f t="shared" si="34"/>
        <v>4.4200000000000003E-2</v>
      </c>
      <c r="Z82" s="64">
        <f t="shared" si="35"/>
        <v>23.333100000000002</v>
      </c>
      <c r="AA82" s="64">
        <f t="shared" si="36"/>
        <v>23.288900000000002</v>
      </c>
      <c r="AB82" s="61" t="e">
        <f>VLOOKUP(A82,Enforcements!$C$7:$K$17,8,0)</f>
        <v>#N/A</v>
      </c>
      <c r="AC82" s="57" t="e">
        <f>VLOOKUP(A82,Enforcements!$C$7:$E$17,3,0)</f>
        <v>#N/A</v>
      </c>
      <c r="AD82" s="58" t="str">
        <f t="shared" si="37"/>
        <v>0169-09</v>
      </c>
      <c r="AE82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82" s="84" t="str">
        <f t="shared" si="39"/>
        <v>"C:\Program Files (x86)\AstroGrep\AstroGrep.exe" /spath="%USERPROFILE%\AppData\Local\Temp\OnboardLogs" /stypes="app*4031*20170109*" /stext=" 19:.+((SYSTEM_STATE.+slice.+state.+changed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88" t="str">
        <f t="shared" si="26"/>
        <v>"%USERPROFILE%\Documents\GitHub\eaglep3\Utilities\RefineRTDCRunTimes.py" --tripid 169-09 --locoid 4031 --swversion DE.1.0.8.0 --startMP 204:442 --initTime 2017-01-09T12:11:54 --startdatetime 2017-01-09T12:15:34 --delay 1 --endMP 204:233331 --enddatetime 2017-01-09T12:52:27 --enforcementcount 0 &gt;&gt;C:\Users\stu\Documents\GitHub\eaglep3-reporting\EC\2017-01-09-refined-times.txt</v>
      </c>
      <c r="AI8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{"issue":{"subject":"","project_id":79,"tracker_id":40,"status_id":1,"priority_id":2,"assigned_to_id":23,"start_date":"2017-01-09","description":"","custom_fields":[{"id":1,"name":"Subdivision","value":"EC"},{"id":4,"name":"Milepost","value":"23.3331"},{"id":17,"name":"Train ID","value":"169-09"},{"id":16,"name":"Locomotive ID","value":"4031"},{"id":130,"name":"Impact","value":""},{"id":150,"name":"Time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28"/>
        <v>start /low /b %USERPROFILE%\Documents\GitHub\eaglep3\Utilities\DownloadLogsFromS3.py --loco 4031 --day 2017-01-09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440</v>
      </c>
      <c r="B83" s="7">
        <v>4032</v>
      </c>
      <c r="C83" s="22" t="s">
        <v>203</v>
      </c>
      <c r="D83" s="22" t="s">
        <v>702</v>
      </c>
      <c r="E83" s="13">
        <v>42744.539942129632</v>
      </c>
      <c r="F83" s="13">
        <v>42744.549791666665</v>
      </c>
      <c r="G83" s="7">
        <v>1</v>
      </c>
      <c r="H83" s="22" t="s">
        <v>228</v>
      </c>
      <c r="I83" s="13">
        <v>42744.578576388885</v>
      </c>
      <c r="J83" s="7">
        <v>0</v>
      </c>
      <c r="K83" s="105" t="str">
        <f t="shared" si="29"/>
        <v>4031/4032</v>
      </c>
      <c r="L83" s="22" t="str">
        <f>VLOOKUP(A83,'Trips&amp;Operators'!$C$1:$G$99999,5,FALSE)</f>
        <v>HOLCOMB KAMDEN</v>
      </c>
      <c r="M83" s="6">
        <f t="shared" si="30"/>
        <v>2.8784722220734693E-2</v>
      </c>
      <c r="N83" s="7">
        <f t="shared" si="22"/>
        <v>41.449999997857958</v>
      </c>
      <c r="O83" s="7"/>
      <c r="P83" s="7"/>
      <c r="Q83" s="23"/>
      <c r="R83" s="23"/>
      <c r="S83" s="32">
        <f t="shared" si="23"/>
        <v>1</v>
      </c>
      <c r="T83" s="47" t="str">
        <f t="shared" si="31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11:57:31-700',mode:absolute,to:'2017-01-09 14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3" s="49" t="str">
        <f t="shared" si="33"/>
        <v>N</v>
      </c>
      <c r="X83" s="173">
        <f t="shared" si="25"/>
        <v>1</v>
      </c>
      <c r="Y83" s="64">
        <f t="shared" si="34"/>
        <v>23.302800000000001</v>
      </c>
      <c r="Z83" s="64">
        <f t="shared" si="35"/>
        <v>1.4500000000000001E-2</v>
      </c>
      <c r="AA83" s="64">
        <f t="shared" si="36"/>
        <v>23.2883</v>
      </c>
      <c r="AB83" s="61" t="e">
        <f>VLOOKUP(A83,Enforcements!$C$7:$K$17,8,0)</f>
        <v>#N/A</v>
      </c>
      <c r="AC83" s="57" t="e">
        <f>VLOOKUP(A83,Enforcements!$C$7:$E$17,3,0)</f>
        <v>#N/A</v>
      </c>
      <c r="AD83" s="58" t="str">
        <f t="shared" si="37"/>
        <v>0170-09</v>
      </c>
      <c r="AE83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83" s="84" t="str">
        <f t="shared" si="39"/>
        <v>"C:\Program Files (x86)\AstroGrep\AstroGrep.exe" /spath="%USERPROFILE%\AppData\Local\Temp\OnboardLogs" /stypes="app*4032*20170109*"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88" t="str">
        <f t="shared" si="26"/>
        <v>"%USERPROFILE%\Documents\GitHub\eaglep3\Utilities\RefineRTDCRunTimes.py" --tripid 170-09 --locoid 4032 --swversion DE.1.0.8.0 --startMP 204:233028 --initTime 2017-01-09T12:57:31 --startdatetime 2017-01-09T13:11:42 --delay 1 --endMP 204:145 --enddatetime 2017-01-09T13:53:09 --enforcementcount 0 &gt;&gt;C:\Users\stu\Documents\GitHub\eaglep3-reporting\EC\2017-01-09-refined-times.txt</v>
      </c>
      <c r="AI8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ID","value":"170-09"},{"id":16,"name":"Locomotive ID","value":"4032"},{"id":130,"name":"Impact","value":""},{"id":150,"name":"Time of Event (Mountain Time)","value":"13:53:09"},{"id":151,"name":"Denver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28"/>
        <v>start /low /b %USERPROFILE%\Documents\GitHub\eaglep3\Utilities\DownloadLogsFromS3.py --loco 4032 --day 2017-01-09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548</v>
      </c>
      <c r="B84" s="7">
        <v>4011</v>
      </c>
      <c r="C84" s="22" t="s">
        <v>203</v>
      </c>
      <c r="D84" s="22" t="s">
        <v>286</v>
      </c>
      <c r="E84" s="13">
        <v>42744.518576388888</v>
      </c>
      <c r="F84" s="13">
        <v>42744.52103009259</v>
      </c>
      <c r="G84" s="7">
        <v>2</v>
      </c>
      <c r="H84" s="22" t="s">
        <v>680</v>
      </c>
      <c r="I84" s="13">
        <v>42744.549687500003</v>
      </c>
      <c r="J84" s="7">
        <v>0</v>
      </c>
      <c r="K84" s="105" t="str">
        <f t="shared" si="29"/>
        <v>4011/4012</v>
      </c>
      <c r="L84" s="22" t="str">
        <f>VLOOKUP(A84,'Trips&amp;Operators'!$C$1:$G$99999,5,FALSE)</f>
        <v>COMELLA JUSTIN</v>
      </c>
      <c r="M84" s="6">
        <f t="shared" si="30"/>
        <v>2.8657407412538305E-2</v>
      </c>
      <c r="N84" s="7">
        <f t="shared" si="22"/>
        <v>41.266666674055159</v>
      </c>
      <c r="O84" s="7"/>
      <c r="P84" s="7"/>
      <c r="Q84" s="23"/>
      <c r="R84" s="23"/>
      <c r="S84" s="32">
        <f t="shared" si="23"/>
        <v>1</v>
      </c>
      <c r="T84" s="47" t="str">
        <f t="shared" si="31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11:26:45-700',mode:absolute,to:'2017-01-09 14:11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4" s="49" t="str">
        <f t="shared" si="33"/>
        <v>N</v>
      </c>
      <c r="X84" s="173">
        <f t="shared" si="25"/>
        <v>1</v>
      </c>
      <c r="Y84" s="64">
        <f t="shared" si="34"/>
        <v>4.6699999999999998E-2</v>
      </c>
      <c r="Z84" s="64">
        <f t="shared" si="35"/>
        <v>23.328199999999999</v>
      </c>
      <c r="AA84" s="64">
        <f t="shared" si="36"/>
        <v>23.281499999999998</v>
      </c>
      <c r="AB84" s="61" t="e">
        <f>VLOOKUP(A84,Enforcements!$C$7:$K$17,8,0)</f>
        <v>#N/A</v>
      </c>
      <c r="AC84" s="57" t="e">
        <f>VLOOKUP(A84,Enforcements!$C$7:$E$17,3,0)</f>
        <v>#N/A</v>
      </c>
      <c r="AD84" s="58" t="str">
        <f t="shared" si="37"/>
        <v>0171-09</v>
      </c>
      <c r="AE84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84" s="84" t="str">
        <f t="shared" si="39"/>
        <v>"C:\Program Files (x86)\AstroGrep\AstroGrep.exe" /spath="%USERPROFILE%\AppData\Local\Temp\OnboardLogs" /stypes="app*4011*20170109*" /stext=" 20:.+((SYSTEM_STATE.+slice.+state.+changed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88" t="str">
        <f t="shared" si="26"/>
        <v>"%USERPROFILE%\Documents\GitHub\eaglep3\Utilities\RefineRTDCRunTimes.py" --tripid 171-09 --locoid 4011 --swversion DE.1.0.8.0 --startMP 204:467 --initTime 2017-01-09T12:26:45 --startdatetime 2017-01-09T12:30:17 --delay 2 --endMP 204:233282 --enddatetime 2017-01-09T13:11:33 --enforcementcount 0 &gt;&gt;C:\Users\stu\Documents\GitHub\eaglep3-reporting\EC\2017-01-09-refined-times.txt</v>
      </c>
      <c r="AI8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{"issue":{"subject":"","project_id":79,"tracker_id":40,"status_id":1,"priority_id":2,"assigned_to_id":23,"start_date":"2017-01-09","description":"","custom_fields":[{"id":1,"name":"Subdivision","value":"EC"},{"id":4,"name":"Milepost","value":"23.3282"},{"id":17,"name":"Train ID","value":"171-09"},{"id":16,"name":"Locomotive ID","value":"4011"},{"id":130,"name":"Impact","value":""},{"id":150,"name":"Time of Event (Mountain Time)","value":"13:11:33"},{"id":151,"name":"Denver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28"/>
        <v>start /low /b %USERPROFILE%\Documents\GitHub\eaglep3\Utilities\DownloadLogsFromS3.py --loco 4011 --day 2017-01-09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559</v>
      </c>
      <c r="B85" s="7">
        <v>4012</v>
      </c>
      <c r="C85" s="22" t="s">
        <v>203</v>
      </c>
      <c r="D85" s="22" t="s">
        <v>698</v>
      </c>
      <c r="E85" s="13">
        <v>42744.553229166668</v>
      </c>
      <c r="F85" s="13">
        <v>42744.559918981482</v>
      </c>
      <c r="G85" s="7">
        <v>5</v>
      </c>
      <c r="H85" s="22" t="s">
        <v>191</v>
      </c>
      <c r="I85" s="13">
        <v>42744.590011574073</v>
      </c>
      <c r="J85" s="7">
        <v>0</v>
      </c>
      <c r="K85" s="105" t="str">
        <f t="shared" si="29"/>
        <v>4011/4012</v>
      </c>
      <c r="L85" s="22" t="str">
        <f>VLOOKUP(A85,'Trips&amp;Operators'!$C$1:$G$99999,5,FALSE)</f>
        <v>COMELLA JUSTIN</v>
      </c>
      <c r="M85" s="6">
        <f t="shared" si="30"/>
        <v>3.0092592591245193E-2</v>
      </c>
      <c r="N85" s="7">
        <f t="shared" ref="N85:N101" si="41">24*60*SUM($M85:$M85)</f>
        <v>43.333333331393078</v>
      </c>
      <c r="O85" s="7"/>
      <c r="P85" s="7"/>
      <c r="Q85" s="23"/>
      <c r="R85" s="23"/>
      <c r="S85" s="32">
        <f t="shared" ref="S85:S116" si="42">SUM(U85:U85)/IF(AG85="EC",12,1)</f>
        <v>1</v>
      </c>
      <c r="T85" s="47" t="str">
        <f t="shared" si="31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12:16:39-700',mode:absolute,to:'2017-01-09 15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5" s="49" t="str">
        <f t="shared" si="33"/>
        <v>N</v>
      </c>
      <c r="X85" s="173">
        <f t="shared" si="25"/>
        <v>1</v>
      </c>
      <c r="Y85" s="64">
        <f t="shared" si="34"/>
        <v>23.296500000000002</v>
      </c>
      <c r="Z85" s="64">
        <f t="shared" si="35"/>
        <v>1.49E-2</v>
      </c>
      <c r="AA85" s="64">
        <f t="shared" si="36"/>
        <v>23.281600000000001</v>
      </c>
      <c r="AB85" s="61" t="e">
        <f>VLOOKUP(A85,Enforcements!$C$7:$K$17,8,0)</f>
        <v>#N/A</v>
      </c>
      <c r="AC85" s="57" t="e">
        <f>VLOOKUP(A85,Enforcements!$C$7:$E$17,3,0)</f>
        <v>#N/A</v>
      </c>
      <c r="AD85" s="58" t="str">
        <f t="shared" si="37"/>
        <v>0172-09</v>
      </c>
      <c r="AE85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85" s="84" t="str">
        <f t="shared" si="39"/>
        <v>"C:\Program Files (x86)\AstroGrep\AstroGrep.exe" /spath="%USERPROFILE%\AppData\Local\Temp\OnboardLogs" /stypes="app*4012*20170109*" /stext=" 21:.+((SYSTEM_STATE.+slice.+state.+changed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88" t="str">
        <f t="shared" si="26"/>
        <v>"%USERPROFILE%\Documents\GitHub\eaglep3\Utilities\RefineRTDCRunTimes.py" --tripid 172-09 --locoid 4012 --swversion DE.1.0.8.0 --startMP 204:232965 --initTime 2017-01-09T13:16:39 --startdatetime 2017-01-09T13:26:17 --delay 5 --endMP 204:149 --enddatetime 2017-01-09T14:09:37 --enforcementcount 0 &gt;&gt;C:\Users\stu\Documents\GitHub\eaglep3-reporting\EC\2017-01-09-refined-times.txt</v>
      </c>
      <c r="AI8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ID","value":"172-09"},{"id":16,"name":"Locomotive ID","value":"4012"},{"id":130,"name":"Impact","value":""},{"id":150,"name":"Time of Event (Mountain Time)","value":"14:09:37"},{"id":151,"name":"Denver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28"/>
        <v>start /low /b %USERPROFILE%\Documents\GitHub\eaglep3\Utilities\DownloadLogsFromS3.py --loco 4012 --day 2017-01-09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552</v>
      </c>
      <c r="B86" s="7">
        <v>4042</v>
      </c>
      <c r="C86" s="22" t="s">
        <v>203</v>
      </c>
      <c r="D86" s="22" t="s">
        <v>193</v>
      </c>
      <c r="E86" s="13">
        <v>42744.527604166666</v>
      </c>
      <c r="F86" s="13">
        <v>42744.531631944446</v>
      </c>
      <c r="G86" s="7">
        <v>1</v>
      </c>
      <c r="H86" s="22" t="s">
        <v>299</v>
      </c>
      <c r="I86" s="13">
        <v>42744.558946759258</v>
      </c>
      <c r="J86" s="7">
        <v>0</v>
      </c>
      <c r="K86" s="105" t="str">
        <f t="shared" si="29"/>
        <v>4041/4042</v>
      </c>
      <c r="L86" s="22" t="str">
        <f>VLOOKUP(A86,'Trips&amp;Operators'!$C$1:$G$99999,5,FALSE)</f>
        <v>YANG JAN</v>
      </c>
      <c r="M86" s="6">
        <f t="shared" si="30"/>
        <v>2.7314814811688848E-2</v>
      </c>
      <c r="N86" s="7">
        <f t="shared" si="41"/>
        <v>39.333333328831941</v>
      </c>
      <c r="O86" s="7"/>
      <c r="P86" s="7"/>
      <c r="Q86" s="23"/>
      <c r="R86" s="23"/>
      <c r="S86" s="32">
        <f t="shared" si="42"/>
        <v>1</v>
      </c>
      <c r="T86" s="47" t="str">
        <f t="shared" si="31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11:39:45-700',mode:absolute,to:'2017-01-09 14:24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6" s="49" t="str">
        <f t="shared" si="33"/>
        <v>N</v>
      </c>
      <c r="X86" s="173">
        <f t="shared" si="25"/>
        <v>1</v>
      </c>
      <c r="Y86" s="64">
        <f t="shared" si="34"/>
        <v>4.4699999999999997E-2</v>
      </c>
      <c r="Z86" s="64">
        <f t="shared" si="35"/>
        <v>23.329799999999999</v>
      </c>
      <c r="AA86" s="64">
        <f t="shared" si="36"/>
        <v>23.2851</v>
      </c>
      <c r="AB86" s="61" t="e">
        <f>VLOOKUP(A86,Enforcements!$C$7:$K$17,8,0)</f>
        <v>#N/A</v>
      </c>
      <c r="AC86" s="57" t="e">
        <f>VLOOKUP(A86,Enforcements!$C$7:$E$17,3,0)</f>
        <v>#N/A</v>
      </c>
      <c r="AD86" s="58" t="str">
        <f t="shared" si="37"/>
        <v>0173-09</v>
      </c>
      <c r="AE86" s="87" t="str">
        <f t="shared" si="38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86" s="84" t="str">
        <f t="shared" si="39"/>
        <v>"C:\Program Files (x86)\AstroGrep\AstroGrep.exe" /spath="%USERPROFILE%\AppData\Local\Temp\OnboardLogs" /stypes="app*4042*20170109*" /stext=" 20:.+((SYSTEM_STATE.+slice.+state.+changed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88" t="str">
        <f t="shared" si="26"/>
        <v>"%USERPROFILE%\Documents\GitHub\eaglep3\Utilities\RefineRTDCRunTimes.py" --tripid 173-09 --locoid 4042 --swversion DE.1.0.8.0 --startMP 204:447 --initTime 2017-01-09T12:39:45 --startdatetime 2017-01-09T12:45:33 --delay 1 --endMP 204:233298 --enddatetime 2017-01-09T13:24:53 --enforcementcount 0 &gt;&gt;C:\Users\stu\Documents\GitHub\eaglep3-reporting\EC\2017-01-09-refined-times.txt</v>
      </c>
      <c r="AI8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{"issue":{"subject":"","project_id":79,"tracker_id":40,"status_id":1,"priority_id":2,"assigned_to_id":23,"start_date":"2017-01-09","description":"","custom_fields":[{"id":1,"name":"Subdivision","value":"EC"},{"id":4,"name":"Milepost","value":"23.3298"},{"id":17,"name":"Train ID","value":"173-09"},{"id":16,"name":"Locomotive ID","value":"4042"},{"id":130,"name":"Impact","value":""},{"id":150,"name":"Time of Event (Mountain Time)","value":"13:24:53"},{"id":151,"name":"Denver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28"/>
        <v>start /low /b %USERPROFILE%\Documents\GitHub\eaglep3\Utilities\DownloadLogsFromS3.py --loco 4042 --day 2017-01-09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561</v>
      </c>
      <c r="B87" s="7">
        <v>4041</v>
      </c>
      <c r="C87" s="22" t="s">
        <v>203</v>
      </c>
      <c r="D87" s="22" t="s">
        <v>321</v>
      </c>
      <c r="E87" s="13">
        <v>42744.560960648145</v>
      </c>
      <c r="F87" s="13">
        <v>42744.570497685185</v>
      </c>
      <c r="G87" s="7">
        <v>1</v>
      </c>
      <c r="H87" s="22" t="s">
        <v>322</v>
      </c>
      <c r="I87" s="13">
        <v>42744.598263888889</v>
      </c>
      <c r="J87" s="7">
        <v>0</v>
      </c>
      <c r="K87" s="105" t="str">
        <f t="shared" si="29"/>
        <v>4041/4042</v>
      </c>
      <c r="L87" s="22" t="str">
        <f>VLOOKUP(A87,'Trips&amp;Operators'!$C$1:$G$99999,5,FALSE)</f>
        <v>YANG JAN</v>
      </c>
      <c r="M87" s="6">
        <f t="shared" si="30"/>
        <v>2.7766203704231884E-2</v>
      </c>
      <c r="N87" s="7">
        <f t="shared" si="41"/>
        <v>39.983333334093913</v>
      </c>
      <c r="O87" s="7"/>
      <c r="P87" s="7"/>
      <c r="Q87" s="23"/>
      <c r="R87" s="23"/>
      <c r="S87" s="32">
        <f t="shared" si="42"/>
        <v>1</v>
      </c>
      <c r="T87" s="47" t="str">
        <f t="shared" si="31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12:27:47-700',mode:absolute,to:'2017-01-09 15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49" t="str">
        <f t="shared" si="33"/>
        <v>N</v>
      </c>
      <c r="X87" s="173">
        <f t="shared" si="25"/>
        <v>1</v>
      </c>
      <c r="Y87" s="64">
        <f t="shared" si="34"/>
        <v>23.2987</v>
      </c>
      <c r="Z87" s="64">
        <f t="shared" si="35"/>
        <v>1.3599999999999999E-2</v>
      </c>
      <c r="AA87" s="64">
        <f t="shared" si="36"/>
        <v>23.2851</v>
      </c>
      <c r="AB87" s="61" t="e">
        <f>VLOOKUP(A87,Enforcements!$C$7:$K$17,8,0)</f>
        <v>#N/A</v>
      </c>
      <c r="AC87" s="57" t="e">
        <f>VLOOKUP(A87,Enforcements!$C$7:$E$17,3,0)</f>
        <v>#N/A</v>
      </c>
      <c r="AD87" s="58" t="str">
        <f t="shared" si="37"/>
        <v>0174-09</v>
      </c>
      <c r="AE87" s="87" t="str">
        <f t="shared" si="38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87" s="84" t="str">
        <f t="shared" si="39"/>
        <v>"C:\Program Files (x86)\AstroGrep\AstroGrep.exe" /spath="%USERPROFILE%\AppData\Local\Temp\OnboardLogs" /stypes="app*4041*20170109*" /stext=" 21:.+((SYSTEM_STATE.+slice.+state.+changed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88" t="str">
        <f t="shared" si="26"/>
        <v>"%USERPROFILE%\Documents\GitHub\eaglep3\Utilities\RefineRTDCRunTimes.py" --tripid 174-09 --locoid 4041 --swversion DE.1.0.8.0 --startMP 204:232987 --initTime 2017-01-09T13:27:47 --startdatetime 2017-01-09T13:41:31 --delay 1 --endMP 204:136 --enddatetime 2017-01-09T14:21:30 --enforcementcount 0 &gt;&gt;C:\Users\stu\Documents\GitHub\eaglep3-reporting\EC\2017-01-09-refined-times.txt</v>
      </c>
      <c r="AI8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ID","value":"174-09"},{"id":16,"name":"Locomotive ID","value":"4041"},{"id":130,"name":"Impact","value":""},{"id":150,"name":"Time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28"/>
        <v>start /low /b %USERPROFILE%\Documents\GitHub\eaglep3\Utilities\DownloadLogsFromS3.py --loco 4041 --day 2017-01-09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554</v>
      </c>
      <c r="B88" s="7">
        <v>4003</v>
      </c>
      <c r="C88" s="22" t="s">
        <v>203</v>
      </c>
      <c r="D88" s="22" t="s">
        <v>256</v>
      </c>
      <c r="E88" s="13">
        <v>42744.538310185184</v>
      </c>
      <c r="F88" s="13">
        <v>42744.542129629626</v>
      </c>
      <c r="G88" s="7">
        <v>1</v>
      </c>
      <c r="H88" s="22" t="s">
        <v>703</v>
      </c>
      <c r="I88" s="13">
        <v>42744.569432870368</v>
      </c>
      <c r="J88" s="7">
        <v>0</v>
      </c>
      <c r="K88" s="105" t="str">
        <f t="shared" si="29"/>
        <v>4003/4004</v>
      </c>
      <c r="L88" s="22" t="str">
        <f>VLOOKUP(A88,'Trips&amp;Operators'!$C$1:$G$99999,5,FALSE)</f>
        <v>DAVIS MICHAEL</v>
      </c>
      <c r="M88" s="6">
        <f t="shared" si="30"/>
        <v>2.7303240742185153E-2</v>
      </c>
      <c r="N88" s="7">
        <f t="shared" si="41"/>
        <v>39.31666666874662</v>
      </c>
      <c r="O88" s="7"/>
      <c r="P88" s="7"/>
      <c r="Q88" s="23"/>
      <c r="R88" s="23"/>
      <c r="S88" s="32">
        <f t="shared" si="42"/>
        <v>1</v>
      </c>
      <c r="T88" s="47" t="str">
        <f t="shared" si="31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11:55:10-700',mode:absolute,to:'2017-01-09 14:39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8" s="49" t="str">
        <f t="shared" si="33"/>
        <v>N</v>
      </c>
      <c r="X88" s="173">
        <f t="shared" si="25"/>
        <v>1</v>
      </c>
      <c r="Y88" s="64">
        <f t="shared" si="34"/>
        <v>4.4900000000000002E-2</v>
      </c>
      <c r="Z88" s="64">
        <f t="shared" si="35"/>
        <v>23.3216</v>
      </c>
      <c r="AA88" s="64">
        <f t="shared" si="36"/>
        <v>23.276700000000002</v>
      </c>
      <c r="AB88" s="61" t="e">
        <f>VLOOKUP(A88,Enforcements!$C$7:$K$17,8,0)</f>
        <v>#N/A</v>
      </c>
      <c r="AC88" s="57" t="e">
        <f>VLOOKUP(A88,Enforcements!$C$7:$E$17,3,0)</f>
        <v>#N/A</v>
      </c>
      <c r="AD88" s="58" t="str">
        <f t="shared" si="37"/>
        <v>0175-09</v>
      </c>
      <c r="AE88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88" s="84" t="str">
        <f t="shared" si="39"/>
        <v>"C:\Program Files (x86)\AstroGrep\AstroGrep.exe" /spath="%USERPROFILE%\AppData\Local\Temp\OnboardLogs" /stypes="app*4003*20170109*" /stext=" 20:.+((SYSTEM_STATE.+slice.+state.+changed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88" t="str">
        <f t="shared" si="26"/>
        <v>"%USERPROFILE%\Documents\GitHub\eaglep3\Utilities\RefineRTDCRunTimes.py" --tripid 175-09 --locoid 4003 --swversion DE.1.0.8.0 --startMP 204:449 --initTime 2017-01-09T12:55:10 --startdatetime 2017-01-09T13:00:40 --delay 1 --endMP 204:233216 --enddatetime 2017-01-09T13:39:59 --enforcementcount 0 &gt;&gt;C:\Users\stu\Documents\GitHub\eaglep3-reporting\EC\2017-01-09-refined-times.txt</v>
      </c>
      <c r="AI8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{"issue":{"subject":"","project_id":79,"tracker_id":40,"status_id":1,"priority_id":2,"assigned_to_id":23,"start_date":"2017-01-09","description":"","custom_fields":[{"id":1,"name":"Subdivision","value":"EC"},{"id":4,"name":"Milepost","value":"23.3216"},{"id":17,"name":"Train ID","value":"175-09"},{"id":16,"name":"Locomotive ID","value":"4003"},{"id":130,"name":"Impact","value":""},{"id":150,"name":"Time of Event (Mountain Time)","value":"13:39:59"},{"id":151,"name":"Denver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28"/>
        <v>start /low /b %USERPROFILE%\Documents\GitHub\eaglep3\Utilities\DownloadLogsFromS3.py --loco 4003 --day 2017-01-09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563</v>
      </c>
      <c r="B89" s="7">
        <v>4004</v>
      </c>
      <c r="C89" s="22" t="s">
        <v>203</v>
      </c>
      <c r="D89" s="22" t="s">
        <v>704</v>
      </c>
      <c r="E89" s="13">
        <v>42744.577187499999</v>
      </c>
      <c r="F89" s="13">
        <v>42744.580983796295</v>
      </c>
      <c r="G89" s="7">
        <v>1</v>
      </c>
      <c r="H89" s="22" t="s">
        <v>209</v>
      </c>
      <c r="I89" s="13">
        <v>42744.608935185184</v>
      </c>
      <c r="J89" s="7">
        <v>0</v>
      </c>
      <c r="K89" s="105" t="str">
        <f t="shared" si="29"/>
        <v>4003/4004</v>
      </c>
      <c r="L89" s="22" t="str">
        <f>VLOOKUP(A89,'Trips&amp;Operators'!$C$1:$G$99999,5,FALSE)</f>
        <v>DAVIS MICHAEL</v>
      </c>
      <c r="M89" s="6">
        <f t="shared" si="30"/>
        <v>2.7951388889050577E-2</v>
      </c>
      <c r="N89" s="7">
        <f t="shared" si="41"/>
        <v>40.250000000232831</v>
      </c>
      <c r="O89" s="7"/>
      <c r="P89" s="7"/>
      <c r="Q89" s="23"/>
      <c r="R89" s="23"/>
      <c r="S89" s="32">
        <f t="shared" si="42"/>
        <v>1</v>
      </c>
      <c r="T89" s="47" t="str">
        <f t="shared" si="31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12:51:09-700',mode:absolute,to:'2017-01-09 15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9" s="49" t="str">
        <f t="shared" si="33"/>
        <v>N</v>
      </c>
      <c r="X89" s="173">
        <f t="shared" si="25"/>
        <v>1</v>
      </c>
      <c r="Y89" s="64">
        <f t="shared" si="34"/>
        <v>23.296099999999999</v>
      </c>
      <c r="Z89" s="64">
        <f t="shared" si="35"/>
        <v>1.4999999999999999E-2</v>
      </c>
      <c r="AA89" s="64">
        <f t="shared" si="36"/>
        <v>23.281099999999999</v>
      </c>
      <c r="AB89" s="61" t="e">
        <f>VLOOKUP(A89,Enforcements!$C$7:$K$17,8,0)</f>
        <v>#N/A</v>
      </c>
      <c r="AC89" s="57" t="e">
        <f>VLOOKUP(A89,Enforcements!$C$7:$E$17,3,0)</f>
        <v>#N/A</v>
      </c>
      <c r="AD89" s="58" t="str">
        <f t="shared" si="37"/>
        <v>0176-09</v>
      </c>
      <c r="AE89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89" s="84" t="str">
        <f t="shared" si="39"/>
        <v>"C:\Program Files (x86)\AstroGrep\AstroGrep.exe" /spath="%USERPROFILE%\AppData\Local\Temp\OnboardLogs" /stypes="app*4004*20170109*" /stext=" 21:.+((SYSTEM_STATE.+slice.+state.+changed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88" t="str">
        <f t="shared" si="26"/>
        <v>"%USERPROFILE%\Documents\GitHub\eaglep3\Utilities\RefineRTDCRunTimes.py" --tripid 176-09 --locoid 4004 --swversion DE.1.0.8.0 --startMP 204:232961 --initTime 2017-01-09T13:51:09 --startdatetime 2017-01-09T13:56:37 --delay 1 --endMP 204:150 --enddatetime 2017-01-09T14:36:52 --enforcementcount 0 &gt;&gt;C:\Users\stu\Documents\GitHub\eaglep3-reporting\EC\2017-01-09-refined-times.txt</v>
      </c>
      <c r="AI8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ID","value":"176-09"},{"id":16,"name":"Locomotive ID","value":"4004"},{"id":130,"name":"Impact","value":""},{"id":150,"name":"Time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28"/>
        <v>start /low /b %USERPROFILE%\Documents\GitHub\eaglep3\Utilities\DownloadLogsFromS3.py --loco 4004 --day 2017-01-09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555</v>
      </c>
      <c r="B90" s="7">
        <v>4044</v>
      </c>
      <c r="C90" s="22" t="s">
        <v>203</v>
      </c>
      <c r="D90" s="22" t="s">
        <v>690</v>
      </c>
      <c r="E90" s="13">
        <v>42744.548148148147</v>
      </c>
      <c r="F90" s="13">
        <v>42744.552256944444</v>
      </c>
      <c r="G90" s="7">
        <v>1</v>
      </c>
      <c r="H90" s="22" t="s">
        <v>668</v>
      </c>
      <c r="I90" s="13">
        <v>42744.579722222225</v>
      </c>
      <c r="J90" s="7">
        <v>0</v>
      </c>
      <c r="K90" s="105" t="str">
        <f t="shared" si="29"/>
        <v>4043/4044</v>
      </c>
      <c r="L90" s="22" t="str">
        <f>VLOOKUP(A90,'Trips&amp;Operators'!$C$1:$G$99999,5,FALSE)</f>
        <v>CLARK KATHLEEN</v>
      </c>
      <c r="M90" s="6">
        <f t="shared" si="30"/>
        <v>2.7465277780720498E-2</v>
      </c>
      <c r="N90" s="7">
        <f t="shared" si="41"/>
        <v>39.550000004237518</v>
      </c>
      <c r="O90" s="7"/>
      <c r="P90" s="7"/>
      <c r="Q90" s="23"/>
      <c r="R90" s="23"/>
      <c r="S90" s="32">
        <f t="shared" si="42"/>
        <v>1</v>
      </c>
      <c r="T90" s="47" t="str">
        <f t="shared" si="31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12:09:20-700',mode:absolute,to:'2017-01-09 14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0" s="49" t="str">
        <f t="shared" si="33"/>
        <v>N</v>
      </c>
      <c r="X90" s="173">
        <f t="shared" si="25"/>
        <v>1</v>
      </c>
      <c r="Y90" s="64">
        <f t="shared" si="34"/>
        <v>4.4200000000000003E-2</v>
      </c>
      <c r="Z90" s="64">
        <f t="shared" si="35"/>
        <v>23.329699999999999</v>
      </c>
      <c r="AA90" s="64">
        <f t="shared" si="36"/>
        <v>23.285499999999999</v>
      </c>
      <c r="AB90" s="61" t="e">
        <f>VLOOKUP(A90,Enforcements!$C$7:$K$17,8,0)</f>
        <v>#N/A</v>
      </c>
      <c r="AC90" s="57" t="e">
        <f>VLOOKUP(A90,Enforcements!$C$7:$E$17,3,0)</f>
        <v>#N/A</v>
      </c>
      <c r="AD90" s="58" t="str">
        <f t="shared" si="37"/>
        <v>0177-09</v>
      </c>
      <c r="AE90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90" s="84" t="str">
        <f t="shared" si="39"/>
        <v>"C:\Program Files (x86)\AstroGrep\AstroGrep.exe" /spath="%USERPROFILE%\AppData\Local\Temp\OnboardLogs" /stypes="app*4044*20170109*" /stext=" 20:.+((SYSTEM_STATE.+slice.+state.+changed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88" t="str">
        <f t="shared" si="26"/>
        <v>"%USERPROFILE%\Documents\GitHub\eaglep3\Utilities\RefineRTDCRunTimes.py" --tripid 177-09 --locoid 4044 --swversion DE.1.0.8.0 --startMP 204:442 --initTime 2017-01-09T13:09:20 --startdatetime 2017-01-09T13:15:15 --delay 1 --endMP 204:233297 --enddatetime 2017-01-09T13:54:48 --enforcementcount 0 &gt;&gt;C:\Users\stu\Documents\GitHub\eaglep3-reporting\EC\2017-01-09-refined-times.txt</v>
      </c>
      <c r="AI9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{"issue":{"subject":"","project_id":79,"tracker_id":40,"status_id":1,"priority_id":2,"assigned_to_id":23,"start_date":"2017-01-09","description":"","custom_fields":[{"id":1,"name":"Subdivision","value":"EC"},{"id":4,"name":"Milepost","value":"23.3297"},{"id":17,"name":"Train ID","value":"177-09"},{"id":16,"name":"Locomotive ID","value":"4044"},{"id":130,"name":"Impact","value":""},{"id":150,"name":"Time of Event (Mountain Time)","value":"13:54:48"},{"id":151,"name":"Denver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28"/>
        <v>start /low /b %USERPROFILE%\Documents\GitHub\eaglep3\Utilities\DownloadLogsFromS3.py --loco 4044 --day 2017-01-09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565</v>
      </c>
      <c r="B91" s="7">
        <v>4043</v>
      </c>
      <c r="C91" s="22" t="s">
        <v>203</v>
      </c>
      <c r="D91" s="22" t="s">
        <v>321</v>
      </c>
      <c r="E91" s="13">
        <v>42744.585972222223</v>
      </c>
      <c r="F91" s="13">
        <v>42744.591157407405</v>
      </c>
      <c r="G91" s="7">
        <v>1</v>
      </c>
      <c r="H91" s="22" t="s">
        <v>275</v>
      </c>
      <c r="I91" s="13">
        <v>42744.620439814818</v>
      </c>
      <c r="J91" s="7">
        <v>0</v>
      </c>
      <c r="K91" s="105" t="str">
        <f t="shared" si="29"/>
        <v>4043/4044</v>
      </c>
      <c r="L91" s="22" t="str">
        <f>VLOOKUP(A91,'Trips&amp;Operators'!$C$1:$G$99999,5,FALSE)</f>
        <v>CLARK KATHLEEN</v>
      </c>
      <c r="M91" s="6">
        <f t="shared" si="30"/>
        <v>2.9282407413120382E-2</v>
      </c>
      <c r="N91" s="7">
        <f t="shared" si="41"/>
        <v>42.166666674893349</v>
      </c>
      <c r="O91" s="7"/>
      <c r="P91" s="7"/>
      <c r="Q91" s="23"/>
      <c r="R91" s="23"/>
      <c r="S91" s="32">
        <f t="shared" si="42"/>
        <v>1</v>
      </c>
      <c r="T91" s="47" t="str">
        <f t="shared" si="31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13:03:48-700',mode:absolute,to:'2017-01-09 15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1" s="49" t="str">
        <f t="shared" si="33"/>
        <v>N</v>
      </c>
      <c r="X91" s="173">
        <f t="shared" si="25"/>
        <v>1</v>
      </c>
      <c r="Y91" s="64">
        <f t="shared" si="34"/>
        <v>23.2987</v>
      </c>
      <c r="Z91" s="64">
        <f t="shared" si="35"/>
        <v>1.5599999999999999E-2</v>
      </c>
      <c r="AA91" s="64">
        <f t="shared" si="36"/>
        <v>23.283100000000001</v>
      </c>
      <c r="AB91" s="61" t="e">
        <f>VLOOKUP(A91,Enforcements!$C$7:$K$17,8,0)</f>
        <v>#N/A</v>
      </c>
      <c r="AC91" s="57" t="e">
        <f>VLOOKUP(A91,Enforcements!$C$7:$E$17,3,0)</f>
        <v>#N/A</v>
      </c>
      <c r="AD91" s="58" t="str">
        <f t="shared" si="37"/>
        <v>0178-09</v>
      </c>
      <c r="AE91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91" s="84" t="str">
        <f t="shared" si="39"/>
        <v>"C:\Program Files (x86)\AstroGrep\AstroGrep.exe" /spath="%USERPROFILE%\AppData\Local\Temp\OnboardLogs" /stypes="app*4043*20170109*"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88" t="str">
        <f t="shared" si="26"/>
        <v>"%USERPROFILE%\Documents\GitHub\eaglep3\Utilities\RefineRTDCRunTimes.py" --tripid 178-09 --locoid 4043 --swversion DE.1.0.8.0 --startMP 204:232987 --initTime 2017-01-09T14:03:48 --startdatetime 2017-01-09T14:11:16 --delay 1 --endMP 204:156 --enddatetime 2017-01-09T14:53:26 --enforcementcount 0 &gt;&gt;C:\Users\stu\Documents\GitHub\eaglep3-reporting\EC\2017-01-09-refined-times.txt</v>
      </c>
      <c r="AI9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ID","value":"178-09"},{"id":16,"name":"Locomotive ID","value":"4043"},{"id":130,"name":"Impact","value":""},{"id":150,"name":"Time of Event (Mountain Time)","value":"14:53:26"},{"id":151,"name":"Denver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28"/>
        <v>start /low /b %USERPROFILE%\Documents\GitHub\eaglep3\Utilities\DownloadLogsFromS3.py --loco 4043 --day 2017-01-09</v>
      </c>
    </row>
    <row r="92" spans="1:91" x14ac:dyDescent="0.25">
      <c r="A92" s="34" t="s">
        <v>560</v>
      </c>
      <c r="B92" s="7">
        <v>4020</v>
      </c>
      <c r="C92" s="22" t="s">
        <v>203</v>
      </c>
      <c r="D92" s="22" t="s">
        <v>286</v>
      </c>
      <c r="E92" s="13">
        <v>42744.55945601852</v>
      </c>
      <c r="F92" s="13">
        <v>42744.601967592593</v>
      </c>
      <c r="G92" s="7">
        <v>1</v>
      </c>
      <c r="H92" s="22" t="s">
        <v>705</v>
      </c>
      <c r="I92" s="13">
        <v>42744.627951388888</v>
      </c>
      <c r="J92" s="7">
        <v>0</v>
      </c>
      <c r="K92" s="105" t="str">
        <f t="shared" si="29"/>
        <v>4019/4020</v>
      </c>
      <c r="L92" s="22" t="str">
        <f>VLOOKUP(A92,'Trips&amp;Operators'!$C$1:$G$99999,5,FALSE)</f>
        <v>ADANE ELSHADAY</v>
      </c>
      <c r="M92" s="6">
        <f t="shared" si="30"/>
        <v>2.5983796294895001E-2</v>
      </c>
      <c r="N92" s="7">
        <f t="shared" si="41"/>
        <v>37.416666664648801</v>
      </c>
      <c r="O92" s="7"/>
      <c r="P92" s="7"/>
      <c r="Q92" s="23"/>
      <c r="R92" s="23"/>
      <c r="S92" s="32">
        <f t="shared" si="42"/>
        <v>1</v>
      </c>
      <c r="T92" s="47" t="str">
        <f t="shared" si="31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12:25:37-700',mode:absolute,to:'2017-01-09 16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2" s="49" t="str">
        <f t="shared" si="33"/>
        <v>N</v>
      </c>
      <c r="X92" s="173">
        <f t="shared" si="25"/>
        <v>1</v>
      </c>
      <c r="Y92" s="64">
        <f t="shared" si="34"/>
        <v>4.6699999999999998E-2</v>
      </c>
      <c r="Z92" s="64">
        <f t="shared" si="35"/>
        <v>23.335899999999999</v>
      </c>
      <c r="AA92" s="64">
        <f t="shared" si="36"/>
        <v>23.289199999999997</v>
      </c>
      <c r="AB92" s="61" t="e">
        <f>VLOOKUP(A92,Enforcements!$C$7:$K$17,8,0)</f>
        <v>#N/A</v>
      </c>
      <c r="AC92" s="57" t="e">
        <f>VLOOKUP(A92,Enforcements!$C$7:$E$17,3,0)</f>
        <v>#N/A</v>
      </c>
      <c r="AD92" s="58" t="str">
        <f t="shared" si="37"/>
        <v>0179-09</v>
      </c>
      <c r="AE92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92" s="84" t="str">
        <f t="shared" si="39"/>
        <v>"C:\Program Files (x86)\AstroGrep\AstroGrep.exe" /spath="%USERPROFILE%\AppData\Local\Temp\OnboardLogs" /stypes="app*4020*20170109*" /stext=" 22:.+((SYSTEM_STATE.+slice.+state.+changed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88" t="str">
        <f t="shared" si="26"/>
        <v>"%USERPROFILE%\Documents\GitHub\eaglep3\Utilities\RefineRTDCRunTimes.py" --tripid 179-09 --locoid 4020 --swversion DE.1.0.8.0 --startMP 204:467 --initTime 2017-01-09T13:25:37 --startdatetime 2017-01-09T14:26:50 --delay 1 --endMP 204:233359 --enddatetime 2017-01-09T15:04:15 --enforcementcount 0 &gt;&gt;C:\Users\stu\Documents\GitHub\eaglep3-reporting\EC\2017-01-09-refined-times.txt</v>
      </c>
      <c r="AI9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{"issue":{"subject":"","project_id":79,"tracker_id":40,"status_id":1,"priority_id":2,"assigned_to_id":23,"start_date":"2017-01-09","description":"","custom_fields":[{"id":1,"name":"Subdivision","value":"EC"},{"id":4,"name":"Milepost","value":"23.3359"},{"id":17,"name":"Train ID","value":"179-09"},{"id":16,"name":"Locomotive ID","value":"4020"},{"id":130,"name":"Impact","value":""},{"id":150,"name":"Time of Event (Mountain Time)","value":"15:04:15"},{"id":151,"name":"Denver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28"/>
        <v>start /low /b %USERPROFILE%\Documents\GitHub\eaglep3\Utilities\DownloadLogsFromS3.py --loco 4020 --day 2017-01-09</v>
      </c>
    </row>
    <row r="93" spans="1:91" x14ac:dyDescent="0.25">
      <c r="A93" s="34" t="s">
        <v>566</v>
      </c>
      <c r="B93" s="7">
        <v>4019</v>
      </c>
      <c r="C93" s="22" t="s">
        <v>203</v>
      </c>
      <c r="D93" s="22" t="s">
        <v>706</v>
      </c>
      <c r="E93" s="13">
        <v>42744.590208333335</v>
      </c>
      <c r="F93" s="13">
        <v>42744.601967592593</v>
      </c>
      <c r="G93" s="7">
        <v>1</v>
      </c>
      <c r="H93" s="22" t="s">
        <v>191</v>
      </c>
      <c r="I93" s="13">
        <v>42744.627951388888</v>
      </c>
      <c r="J93" s="7">
        <v>0</v>
      </c>
      <c r="K93" s="105" t="str">
        <f t="shared" si="29"/>
        <v>4019/4020</v>
      </c>
      <c r="L93" s="22" t="str">
        <f>VLOOKUP(A93,'Trips&amp;Operators'!$C$1:$G$99999,5,FALSE)</f>
        <v>ADANE ELSHADAY</v>
      </c>
      <c r="M93" s="6">
        <f t="shared" si="30"/>
        <v>2.5983796294895001E-2</v>
      </c>
      <c r="N93" s="7">
        <f t="shared" si="41"/>
        <v>37.416666664648801</v>
      </c>
      <c r="O93" s="7"/>
      <c r="P93" s="7"/>
      <c r="Q93" s="23"/>
      <c r="R93" s="23"/>
      <c r="S93" s="32">
        <f t="shared" si="42"/>
        <v>1</v>
      </c>
      <c r="T93" s="47" t="str">
        <f t="shared" si="31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13:09:54-700',mode:absolute,to:'2017-01-09 16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3" s="49" t="str">
        <f t="shared" si="33"/>
        <v>N</v>
      </c>
      <c r="X93" s="173">
        <f t="shared" si="25"/>
        <v>1</v>
      </c>
      <c r="Y93" s="64">
        <f t="shared" si="34"/>
        <v>23.303599999999999</v>
      </c>
      <c r="Z93" s="64">
        <f t="shared" si="35"/>
        <v>1.49E-2</v>
      </c>
      <c r="AA93" s="64">
        <f t="shared" si="36"/>
        <v>23.288699999999999</v>
      </c>
      <c r="AB93" s="61" t="e">
        <f>VLOOKUP(A93,Enforcements!$C$7:$K$17,8,0)</f>
        <v>#N/A</v>
      </c>
      <c r="AC93" s="57" t="e">
        <f>VLOOKUP(A93,Enforcements!$C$7:$E$17,3,0)</f>
        <v>#N/A</v>
      </c>
      <c r="AD93" s="58" t="str">
        <f t="shared" si="37"/>
        <v>0180-09</v>
      </c>
      <c r="AE93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93" s="84" t="str">
        <f t="shared" si="39"/>
        <v>"C:\Program Files (x86)\AstroGrep\AstroGrep.exe" /spath="%USERPROFILE%\AppData\Local\Temp\OnboardLogs" /stypes="app*4019*20170109*" /stext=" 22:.+((SYSTEM_STATE.+slice.+state.+changed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88" t="str">
        <f t="shared" si="26"/>
        <v>"%USERPROFILE%\Documents\GitHub\eaglep3\Utilities\RefineRTDCRunTimes.py" --tripid 180-09 --locoid 4019 --swversion DE.1.0.8.0 --startMP 204:233036 --initTime 2017-01-09T14:09:54 --startdatetime 2017-01-09T14:26:50 --delay 1 --endMP 204:149 --enddatetime 2017-01-09T15:04:15 --enforcementcount 0 &gt;&gt;C:\Users\stu\Documents\GitHub\eaglep3-reporting\EC\2017-01-09-refined-times.txt</v>
      </c>
      <c r="AI9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ID","value":"180-09"},{"id":16,"name":"Locomotive ID","value":"4019"},{"id":130,"name":"Impact","value":""},{"id":150,"name":"Time of Event (Mountain Time)","value":"15:04:15"},{"id":151,"name":"Denver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28"/>
        <v>start /low /b %USERPROFILE%\Documents\GitHub\eaglep3\Utilities\DownloadLogsFromS3.py --loco 4019 --day 2017-01-09</v>
      </c>
    </row>
    <row r="94" spans="1:91" s="21" customFormat="1" x14ac:dyDescent="0.25">
      <c r="A94" s="34" t="s">
        <v>562</v>
      </c>
      <c r="B94" s="7">
        <v>4046</v>
      </c>
      <c r="C94" s="22" t="s">
        <v>203</v>
      </c>
      <c r="D94" s="22" t="s">
        <v>707</v>
      </c>
      <c r="E94" s="13">
        <v>42744.570543981485</v>
      </c>
      <c r="F94" s="13">
        <v>42744.573101851849</v>
      </c>
      <c r="G94" s="7">
        <v>1</v>
      </c>
      <c r="H94" s="22" t="s">
        <v>381</v>
      </c>
      <c r="I94" s="13">
        <v>42744.599398148152</v>
      </c>
      <c r="J94" s="7">
        <v>0</v>
      </c>
      <c r="K94" s="105" t="str">
        <f t="shared" si="29"/>
        <v>4045/4046</v>
      </c>
      <c r="L94" s="22" t="str">
        <f>VLOOKUP(A94,'Trips&amp;Operators'!$C$1:$G$99999,5,FALSE)</f>
        <v>CRAYTON QUNTRELL</v>
      </c>
      <c r="M94" s="6">
        <f t="shared" si="30"/>
        <v>2.6296296302461997E-2</v>
      </c>
      <c r="N94" s="7">
        <f t="shared" si="41"/>
        <v>37.866666675545275</v>
      </c>
      <c r="O94" s="7"/>
      <c r="P94" s="7"/>
      <c r="Q94" s="23"/>
      <c r="R94" s="23"/>
      <c r="S94" s="32">
        <f t="shared" si="42"/>
        <v>1</v>
      </c>
      <c r="T94" s="47" t="str">
        <f t="shared" si="31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12:41:35-700',mode:absolute,to:'2017-01-09 15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4" s="49" t="str">
        <f t="shared" si="33"/>
        <v>N</v>
      </c>
      <c r="X94" s="173">
        <f t="shared" si="25"/>
        <v>1</v>
      </c>
      <c r="Y94" s="64">
        <f t="shared" si="34"/>
        <v>5.4399999999999997E-2</v>
      </c>
      <c r="Z94" s="64">
        <f t="shared" si="35"/>
        <v>23.330400000000001</v>
      </c>
      <c r="AA94" s="64">
        <f t="shared" si="36"/>
        <v>23.276</v>
      </c>
      <c r="AB94" s="61" t="e">
        <f>VLOOKUP(A94,Enforcements!$C$7:$K$17,8,0)</f>
        <v>#N/A</v>
      </c>
      <c r="AC94" s="57" t="e">
        <f>VLOOKUP(A94,Enforcements!$C$7:$E$17,3,0)</f>
        <v>#N/A</v>
      </c>
      <c r="AD94" s="58" t="str">
        <f t="shared" si="37"/>
        <v>0181-09</v>
      </c>
      <c r="AE94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94" s="84" t="str">
        <f t="shared" si="39"/>
        <v>"C:\Program Files (x86)\AstroGrep\AstroGrep.exe" /spath="%USERPROFILE%\AppData\Local\Temp\OnboardLogs" /stypes="app*4046*20170109*" /stext=" 21:.+((SYSTEM_STATE.+slice.+state.+changed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88" t="str">
        <f t="shared" si="26"/>
        <v>"%USERPROFILE%\Documents\GitHub\eaglep3\Utilities\RefineRTDCRunTimes.py" --tripid 181-09 --locoid 4046 --swversion DE.1.0.8.0 --startMP 204:544 --initTime 2017-01-09T13:41:35 --startdatetime 2017-01-09T13:45:16 --delay 1 --endMP 204:233304 --enddatetime 2017-01-09T14:23:08 --enforcementcount 0 &gt;&gt;C:\Users\stu\Documents\GitHub\eaglep3-reporting\EC\2017-01-09-refined-times.txt</v>
      </c>
      <c r="AI9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{"issue":{"subject":"","project_id":79,"tracker_id":40,"status_id":1,"priority_id":2,"assigned_to_id":23,"start_date":"2017-01-09","description":"","custom_fields":[{"id":1,"name":"Subdivision","value":"EC"},{"id":4,"name":"Milepost","value":"23.3304"},{"id":17,"name":"Train ID","value":"181-09"},{"id":16,"name":"Locomotive ID","value":"4046"},{"id":130,"name":"Impact","value":""},{"id":150,"name":"Time of Event (Mountain Time)","value":"14:23:08"},{"id":151,"name":"Denver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28"/>
        <v>start /low /b %USERPROFILE%\Documents\GitHub\eaglep3\Utilities\DownloadLogsFromS3.py --loco 4046 --day 2017-01-09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569</v>
      </c>
      <c r="B95" s="7">
        <v>4045</v>
      </c>
      <c r="C95" s="22" t="s">
        <v>203</v>
      </c>
      <c r="D95" s="22" t="s">
        <v>246</v>
      </c>
      <c r="E95" s="13">
        <v>42744.607430555552</v>
      </c>
      <c r="F95" s="13">
        <v>42744.612025462964</v>
      </c>
      <c r="G95" s="7">
        <v>1</v>
      </c>
      <c r="H95" s="22" t="s">
        <v>243</v>
      </c>
      <c r="I95" s="13">
        <v>42744.639456018522</v>
      </c>
      <c r="J95" s="7">
        <v>0</v>
      </c>
      <c r="K95" s="105" t="str">
        <f t="shared" si="29"/>
        <v>4045/4046</v>
      </c>
      <c r="L95" s="22" t="str">
        <f>VLOOKUP(A95,'Trips&amp;Operators'!$C$1:$G$99999,5,FALSE)</f>
        <v>CRAYTON QUNTRELL</v>
      </c>
      <c r="M95" s="6">
        <f t="shared" si="30"/>
        <v>2.7430555557657499E-2</v>
      </c>
      <c r="N95" s="7">
        <f t="shared" si="41"/>
        <v>39.500000003026798</v>
      </c>
      <c r="O95" s="7"/>
      <c r="P95" s="7"/>
      <c r="Q95" s="23"/>
      <c r="R95" s="23"/>
      <c r="S95" s="32">
        <f t="shared" si="42"/>
        <v>1</v>
      </c>
      <c r="T95" s="47" t="str">
        <f t="shared" si="31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13:34:42-700',mode:absolute,to:'2017-01-09 16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5" s="49" t="str">
        <f t="shared" si="33"/>
        <v>N</v>
      </c>
      <c r="X95" s="173">
        <f t="shared" si="25"/>
        <v>1</v>
      </c>
      <c r="Y95" s="64">
        <f t="shared" si="34"/>
        <v>23.297699999999999</v>
      </c>
      <c r="Z95" s="64">
        <f t="shared" si="35"/>
        <v>1.47E-2</v>
      </c>
      <c r="AA95" s="64">
        <f t="shared" si="36"/>
        <v>23.282999999999998</v>
      </c>
      <c r="AB95" s="61" t="e">
        <f>VLOOKUP(A95,Enforcements!$C$7:$K$17,8,0)</f>
        <v>#N/A</v>
      </c>
      <c r="AC95" s="57" t="e">
        <f>VLOOKUP(A95,Enforcements!$C$7:$E$17,3,0)</f>
        <v>#N/A</v>
      </c>
      <c r="AD95" s="58" t="str">
        <f t="shared" si="37"/>
        <v>0182-09</v>
      </c>
      <c r="AE95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95" s="84" t="str">
        <f t="shared" si="39"/>
        <v>"C:\Program Files (x86)\AstroGrep\AstroGrep.exe" /spath="%USERPROFILE%\AppData\Local\Temp\OnboardLogs" /stypes="app*4045*20170109*" /stext=" 22:.+((SYSTEM_STATE.+slice.+state.+changed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88" t="str">
        <f t="shared" si="26"/>
        <v>"%USERPROFILE%\Documents\GitHub\eaglep3\Utilities\RefineRTDCRunTimes.py" --tripid 182-09 --locoid 4045 --swversion DE.1.0.8.0 --startMP 204:232977 --initTime 2017-01-09T14:34:42 --startdatetime 2017-01-09T14:41:19 --delay 1 --endMP 204:147 --enddatetime 2017-01-09T15:20:49 --enforcementcount 0 &gt;&gt;C:\Users\stu\Documents\GitHub\eaglep3-reporting\EC\2017-01-09-refined-times.txt</v>
      </c>
      <c r="AI9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{"issue":{"subject":"","project_id":79,"tracker_id":40,"status_id":1,"priority_id":2,"assigned_to_id":23,"start_date":"2017-01-09","description":"","custom_fields":[{"id":1,"name":"Subdivision","value":"EC"},{"id":4,"name":"Milepost","value":"0.0147"},{"id":17,"name":"Train ID","value":"182-09"},{"id":16,"name":"Locomotive ID","value":"4045"},{"id":130,"name":"Impact","value":""},{"id":150,"name":"Time of Event (Mountain Time)","value":"15:20:49"},{"id":151,"name":"Denver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28"/>
        <v>start /low /b %USERPROFILE%\Documents\GitHub\eaglep3\Utilities\DownloadLogsFromS3.py --loco 4045 --day 2017-01-09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564</v>
      </c>
      <c r="B96" s="7">
        <v>4031</v>
      </c>
      <c r="C96" s="22" t="s">
        <v>203</v>
      </c>
      <c r="D96" s="22" t="s">
        <v>274</v>
      </c>
      <c r="E96" s="13">
        <v>42744.579814814817</v>
      </c>
      <c r="F96" s="13">
        <v>42744.583587962959</v>
      </c>
      <c r="G96" s="7">
        <v>1</v>
      </c>
      <c r="H96" s="22" t="s">
        <v>325</v>
      </c>
      <c r="I96" s="13">
        <v>42744.608703703707</v>
      </c>
      <c r="J96" s="7">
        <v>0</v>
      </c>
      <c r="K96" s="105" t="str">
        <f t="shared" si="29"/>
        <v>4031/4032</v>
      </c>
      <c r="L96" s="22" t="str">
        <f>VLOOKUP(A96,'Trips&amp;Operators'!$C$1:$G$99999,5,FALSE)</f>
        <v>HOLCOMB KAMDEN</v>
      </c>
      <c r="M96" s="6">
        <f t="shared" si="30"/>
        <v>2.5115740747423843E-2</v>
      </c>
      <c r="N96" s="7">
        <f t="shared" si="41"/>
        <v>36.166666676290333</v>
      </c>
      <c r="O96" s="7"/>
      <c r="P96" s="7"/>
      <c r="Q96" s="23"/>
      <c r="R96" s="23"/>
      <c r="S96" s="32">
        <f t="shared" si="42"/>
        <v>1</v>
      </c>
      <c r="T96" s="47" t="str">
        <f t="shared" si="31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12:54:56-700',mode:absolute,to:'2017-01-09 15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6" s="49" t="str">
        <f t="shared" si="33"/>
        <v>N</v>
      </c>
      <c r="X96" s="173">
        <f t="shared" ref="X96:X127" si="43">VALUE(LEFT(AD96,4))-VALUE(LEFT(AD95,4))</f>
        <v>1</v>
      </c>
      <c r="Y96" s="64">
        <f t="shared" si="34"/>
        <v>4.5699999999999998E-2</v>
      </c>
      <c r="Z96" s="64">
        <f t="shared" si="35"/>
        <v>23.329899999999999</v>
      </c>
      <c r="AA96" s="64">
        <f t="shared" si="36"/>
        <v>23.284199999999998</v>
      </c>
      <c r="AB96" s="61" t="e">
        <f>VLOOKUP(A96,Enforcements!$C$7:$K$17,8,0)</f>
        <v>#N/A</v>
      </c>
      <c r="AC96" s="57" t="e">
        <f>VLOOKUP(A96,Enforcements!$C$7:$E$17,3,0)</f>
        <v>#N/A</v>
      </c>
      <c r="AD96" s="58" t="str">
        <f t="shared" si="37"/>
        <v>0183-09</v>
      </c>
      <c r="AE96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96" s="84" t="str">
        <f t="shared" si="39"/>
        <v>"C:\Program Files (x86)\AstroGrep\AstroGrep.exe" /spath="%USERPROFILE%\AppData\Local\Temp\OnboardLogs" /stypes="app*4031*20170109*" /stext=" 21:.+((SYSTEM_STATE.+slice.+state.+changed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88" t="str">
        <f t="shared" si="26"/>
        <v>"%USERPROFILE%\Documents\GitHub\eaglep3\Utilities\RefineRTDCRunTimes.py" --tripid 183-09 --locoid 4031 --swversion DE.1.0.8.0 --startMP 204:457 --initTime 2017-01-09T13:54:56 --startdatetime 2017-01-09T14:00:22 --delay 1 --endMP 204:233299 --enddatetime 2017-01-09T14:36:32 --enforcementcount 0 &gt;&gt;C:\Users\stu\Documents\GitHub\eaglep3-reporting\EC\2017-01-09-refined-times.txt</v>
      </c>
      <c r="AI9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{"issue":{"subject":"","project_id":79,"tracker_id":40,"status_id":1,"priority_id":2,"assigned_to_id":23,"start_date":"2017-01-09","description":"","custom_fields":[{"id":1,"name":"Subdivision","value":"EC"},{"id":4,"name":"Milepost","value":"23.3299"},{"id":17,"name":"Train ID","value":"183-09"},{"id":16,"name":"Locomotive ID","value":"4031"},{"id":130,"name":"Impact","value":""},{"id":150,"name":"Time of Event (Mountain Time)","value":"14:36:32"},{"id":151,"name":"Denver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28"/>
        <v>start /low /b %USERPROFILE%\Documents\GitHub\eaglep3\Utilities\DownloadLogsFromS3.py --loco 4031 --day 2017-01-09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445</v>
      </c>
      <c r="B97" s="7">
        <v>4032</v>
      </c>
      <c r="C97" s="22" t="s">
        <v>203</v>
      </c>
      <c r="D97" s="22" t="s">
        <v>346</v>
      </c>
      <c r="E97" s="13">
        <v>42744.614953703705</v>
      </c>
      <c r="F97" s="13">
        <v>42744.622581018521</v>
      </c>
      <c r="G97" s="7">
        <v>1</v>
      </c>
      <c r="H97" s="22" t="s">
        <v>708</v>
      </c>
      <c r="I97" s="13">
        <v>42744.651921296296</v>
      </c>
      <c r="J97" s="7">
        <v>0</v>
      </c>
      <c r="K97" s="105" t="str">
        <f t="shared" si="29"/>
        <v>4031/4032</v>
      </c>
      <c r="L97" s="22" t="str">
        <f>VLOOKUP(A97,'Trips&amp;Operators'!$C$1:$G$99999,5,FALSE)</f>
        <v>HOLCOMB KAMDEN</v>
      </c>
      <c r="M97" s="6">
        <f t="shared" si="30"/>
        <v>2.9340277775190771E-2</v>
      </c>
      <c r="N97" s="7">
        <f t="shared" si="41"/>
        <v>42.24999999627471</v>
      </c>
      <c r="O97" s="7"/>
      <c r="P97" s="7"/>
      <c r="Q97" s="23"/>
      <c r="R97" s="23"/>
      <c r="S97" s="32">
        <f t="shared" si="42"/>
        <v>1</v>
      </c>
      <c r="T97" s="47" t="str">
        <f t="shared" si="31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13:45:32-700',mode:absolute,to:'2017-01-09 16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7" s="49" t="str">
        <f t="shared" si="33"/>
        <v>N</v>
      </c>
      <c r="X97" s="173">
        <f t="shared" si="43"/>
        <v>1</v>
      </c>
      <c r="Y97" s="64">
        <f t="shared" si="34"/>
        <v>23.298400000000001</v>
      </c>
      <c r="Z97" s="64">
        <f t="shared" si="35"/>
        <v>1.67E-2</v>
      </c>
      <c r="AA97" s="64">
        <f t="shared" si="36"/>
        <v>23.281700000000001</v>
      </c>
      <c r="AB97" s="61" t="e">
        <f>VLOOKUP(A97,Enforcements!$C$7:$K$17,8,0)</f>
        <v>#N/A</v>
      </c>
      <c r="AC97" s="57" t="e">
        <f>VLOOKUP(A97,Enforcements!$C$7:$E$17,3,0)</f>
        <v>#N/A</v>
      </c>
      <c r="AD97" s="58" t="str">
        <f t="shared" si="37"/>
        <v>0184-09</v>
      </c>
      <c r="AE97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97" s="84" t="str">
        <f t="shared" si="39"/>
        <v>"C:\Program Files (x86)\AstroGrep\AstroGrep.exe" /spath="%USERPROFILE%\AppData\Local\Temp\OnboardLogs" /stypes="app*4032*20170109*" /stext=" 22:.+((SYSTEM_STATE.+slice.+state.+changed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88" t="str">
        <f t="shared" si="26"/>
        <v>"%USERPROFILE%\Documents\GitHub\eaglep3\Utilities\RefineRTDCRunTimes.py" --tripid 184-09 --locoid 4032 --swversion DE.1.0.8.0 --startMP 204:232984 --initTime 2017-01-09T14:45:32 --startdatetime 2017-01-09T14:56:31 --delay 1 --endMP 204:167 --enddatetime 2017-01-09T15:38:46 --enforcementcount 0 &gt;&gt;C:\Users\stu\Documents\GitHub\eaglep3-reporting\EC\2017-01-09-refined-times.txt</v>
      </c>
      <c r="AI9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{"issue":{"subject":"","project_id":79,"tracker_id":40,"status_id":1,"priority_id":2,"assigned_to_id":23,"start_date":"2017-01-09","description":"","custom_fields":[{"id":1,"name":"Subdivision","value":"EC"},{"id":4,"name":"Milepost","value":"0.0167"},{"id":17,"name":"Train ID","value":"184-09"},{"id":16,"name":"Locomotive ID","value":"4032"},{"id":130,"name":"Impact","value":""},{"id":150,"name":"Time of Event (Mountain Time)","value":"15:38:46"},{"id":151,"name":"Denver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28"/>
        <v>start /low /b %USERPROFILE%\Documents\GitHub\eaglep3\Utilities\DownloadLogsFromS3.py --loco 4032 --day 2017-01-09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567</v>
      </c>
      <c r="B98" s="7">
        <v>4011</v>
      </c>
      <c r="C98" s="22" t="s">
        <v>203</v>
      </c>
      <c r="D98" s="22" t="s">
        <v>241</v>
      </c>
      <c r="E98" s="13">
        <v>42744.591261574074</v>
      </c>
      <c r="F98" s="13">
        <v>42744.594259259262</v>
      </c>
      <c r="G98" s="7">
        <v>1</v>
      </c>
      <c r="H98" s="22" t="s">
        <v>709</v>
      </c>
      <c r="I98" s="13">
        <v>42744.619537037041</v>
      </c>
      <c r="J98" s="7">
        <v>0</v>
      </c>
      <c r="K98" s="105" t="str">
        <f t="shared" si="29"/>
        <v>4011/4012</v>
      </c>
      <c r="L98" s="22" t="str">
        <f>VLOOKUP(A98,'Trips&amp;Operators'!$C$1:$G$99999,5,FALSE)</f>
        <v>COMELLA JUSTIN</v>
      </c>
      <c r="M98" s="6">
        <f t="shared" si="30"/>
        <v>2.527777777868323E-2</v>
      </c>
      <c r="N98" s="7">
        <f t="shared" si="41"/>
        <v>36.400000001303852</v>
      </c>
      <c r="O98" s="7"/>
      <c r="P98" s="7"/>
      <c r="Q98" s="23"/>
      <c r="R98" s="23"/>
      <c r="S98" s="32">
        <f t="shared" si="42"/>
        <v>1</v>
      </c>
      <c r="T98" s="47" t="str">
        <f t="shared" si="31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13:11:25-700',mode:absolute,to:'2017-01-09 15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8" s="49" t="str">
        <f t="shared" si="33"/>
        <v>N</v>
      </c>
      <c r="X98" s="173">
        <f t="shared" si="43"/>
        <v>1</v>
      </c>
      <c r="Y98" s="64">
        <f t="shared" si="34"/>
        <v>4.53E-2</v>
      </c>
      <c r="Z98" s="64">
        <f t="shared" si="35"/>
        <v>23.328700000000001</v>
      </c>
      <c r="AA98" s="64">
        <f t="shared" si="36"/>
        <v>23.2834</v>
      </c>
      <c r="AB98" s="61" t="e">
        <f>VLOOKUP(A98,Enforcements!$C$7:$K$17,8,0)</f>
        <v>#N/A</v>
      </c>
      <c r="AC98" s="57" t="e">
        <f>VLOOKUP(A98,Enforcements!$C$7:$E$17,3,0)</f>
        <v>#N/A</v>
      </c>
      <c r="AD98" s="58" t="str">
        <f t="shared" si="37"/>
        <v>0185-09</v>
      </c>
      <c r="AE98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98" s="84" t="str">
        <f t="shared" si="39"/>
        <v>"C:\Program Files (x86)\AstroGrep\AstroGrep.exe" /spath="%USERPROFILE%\AppData\Local\Temp\OnboardLogs" /stypes="app*4011*20170109*" /stext=" 21:.+((SYSTEM_STATE.+slice.+state.+changed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88" t="str">
        <f t="shared" si="26"/>
        <v>"%USERPROFILE%\Documents\GitHub\eaglep3\Utilities\RefineRTDCRunTimes.py" --tripid 185-09 --locoid 4011 --swversion DE.1.0.8.0 --startMP 204:453 --initTime 2017-01-09T14:11:25 --startdatetime 2017-01-09T14:15:44 --delay 1 --endMP 204:233287 --enddatetime 2017-01-09T14:52:08 --enforcementcount 0 &gt;&gt;C:\Users\stu\Documents\GitHub\eaglep3-reporting\EC\2017-01-09-refined-times.txt</v>
      </c>
      <c r="AI9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{"issue":{"subject":"","project_id":79,"tracker_id":40,"status_id":1,"priority_id":2,"assigned_to_id":23,"start_date":"2017-01-09","description":"","custom_fields":[{"id":1,"name":"Subdivision","value":"EC"},{"id":4,"name":"Milepost","value":"23.3287"},{"id":17,"name":"Train ID","value":"185-09"},{"id":16,"name":"Locomotive ID","value":"4011"},{"id":130,"name":"Impact","value":""},{"id":150,"name":"Time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28"/>
        <v>start /low /b %USERPROFILE%\Documents\GitHub\eaglep3\Utilities\DownloadLogsFromS3.py --loco 4011 --day 2017-01-09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4" t="s">
        <v>446</v>
      </c>
      <c r="B99" s="7">
        <v>4012</v>
      </c>
      <c r="C99" s="22" t="s">
        <v>203</v>
      </c>
      <c r="D99" s="22" t="s">
        <v>710</v>
      </c>
      <c r="E99" s="13">
        <v>42744.626250000001</v>
      </c>
      <c r="F99" s="13">
        <v>42744.6328587963</v>
      </c>
      <c r="G99" s="7">
        <v>1</v>
      </c>
      <c r="H99" s="22" t="s">
        <v>389</v>
      </c>
      <c r="I99" s="13">
        <v>42744.660173611112</v>
      </c>
      <c r="J99" s="7">
        <v>0</v>
      </c>
      <c r="K99" s="105" t="str">
        <f t="shared" si="29"/>
        <v>4011/4012</v>
      </c>
      <c r="L99" s="22" t="str">
        <f>VLOOKUP(A99,'Trips&amp;Operators'!$C$1:$G$99999,5,FALSE)</f>
        <v>COMELLA JUSTIN</v>
      </c>
      <c r="M99" s="6">
        <f t="shared" si="30"/>
        <v>2.7314814811688848E-2</v>
      </c>
      <c r="N99" s="7">
        <f t="shared" si="41"/>
        <v>39.333333328831941</v>
      </c>
      <c r="O99" s="7"/>
      <c r="P99" s="7"/>
      <c r="Q99" s="23"/>
      <c r="R99" s="23"/>
      <c r="S99" s="32">
        <f t="shared" si="42"/>
        <v>1</v>
      </c>
      <c r="T99" s="47" t="str">
        <f t="shared" si="31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14:01:48-700',mode:absolute,to:'2017-01-09 16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49" t="str">
        <f t="shared" si="33"/>
        <v>N</v>
      </c>
      <c r="X99" s="173">
        <f t="shared" si="43"/>
        <v>1</v>
      </c>
      <c r="Y99" s="64">
        <f t="shared" si="34"/>
        <v>23.2972</v>
      </c>
      <c r="Z99" s="64">
        <f t="shared" si="35"/>
        <v>1.61E-2</v>
      </c>
      <c r="AA99" s="64">
        <f t="shared" si="36"/>
        <v>23.281099999999999</v>
      </c>
      <c r="AB99" s="61" t="e">
        <f>VLOOKUP(A99,Enforcements!$C$7:$K$17,8,0)</f>
        <v>#N/A</v>
      </c>
      <c r="AC99" s="57" t="e">
        <f>VLOOKUP(A99,Enforcements!$C$7:$E$17,3,0)</f>
        <v>#N/A</v>
      </c>
      <c r="AD99" s="58" t="str">
        <f t="shared" si="37"/>
        <v>0186-09</v>
      </c>
      <c r="AE99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99" s="84" t="str">
        <f t="shared" si="39"/>
        <v>"C:\Program Files (x86)\AstroGrep\AstroGrep.exe" /spath="%USERPROFILE%\AppData\Local\Temp\OnboardLogs" /stypes="app*4012*20170109*"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88" t="str">
        <f t="shared" si="26"/>
        <v>"%USERPROFILE%\Documents\GitHub\eaglep3\Utilities\RefineRTDCRunTimes.py" --tripid 186-09 --locoid 4012 --swversion DE.1.0.8.0 --startMP 204:232972 --initTime 2017-01-09T15:01:48 --startdatetime 2017-01-09T15:11:19 --delay 1 --endMP 204:161 --enddatetime 2017-01-09T15:50:39 --enforcementcount 0 &gt;&gt;C:\Users\stu\Documents\GitHub\eaglep3-reporting\EC\2017-01-09-refined-times.txt</v>
      </c>
      <c r="AI9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{"issue":{"subject":"","project_id":79,"tracker_id":40,"status_id":1,"priority_id":2,"assigned_to_id":23,"start_date":"2017-01-09","description":"","custom_fields":[{"id":1,"name":"Subdivision","value":"EC"},{"id":4,"name":"Milepost","value":"0.0161"},{"id":17,"name":"Train ID","value":"186-09"},{"id":16,"name":"Locomotive ID","value":"4012"},{"id":130,"name":"Impact","value":""},{"id":150,"name":"Time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28"/>
        <v>start /low /b %USERPROFILE%\Documents\GitHub\eaglep3\Utilities\DownloadLogsFromS3.py --loco 4012 --day 2017-01-09</v>
      </c>
    </row>
    <row r="100" spans="1:91" s="21" customFormat="1" x14ac:dyDescent="0.25">
      <c r="A100" s="34" t="s">
        <v>442</v>
      </c>
      <c r="B100" s="7">
        <v>4042</v>
      </c>
      <c r="C100" s="22" t="s">
        <v>203</v>
      </c>
      <c r="D100" s="22" t="s">
        <v>349</v>
      </c>
      <c r="E100" s="13">
        <v>42744.600173611114</v>
      </c>
      <c r="F100" s="13">
        <v>42744.604467592595</v>
      </c>
      <c r="G100" s="7">
        <v>1</v>
      </c>
      <c r="H100" s="22" t="s">
        <v>343</v>
      </c>
      <c r="I100" s="13">
        <v>42744.631296296298</v>
      </c>
      <c r="J100" s="7">
        <v>0</v>
      </c>
      <c r="K100" s="105" t="str">
        <f t="shared" si="29"/>
        <v>4041/4042</v>
      </c>
      <c r="L100" s="22" t="str">
        <f>VLOOKUP(A100,'Trips&amp;Operators'!$C$1:$G$99999,5,FALSE)</f>
        <v>YANG JAN</v>
      </c>
      <c r="M100" s="6">
        <f t="shared" si="30"/>
        <v>2.6828703703358769E-2</v>
      </c>
      <c r="N100" s="7">
        <f t="shared" si="41"/>
        <v>38.633333332836628</v>
      </c>
      <c r="O100" s="7"/>
      <c r="P100" s="7"/>
      <c r="Q100" s="23"/>
      <c r="R100" s="23"/>
      <c r="S100" s="32">
        <f t="shared" si="42"/>
        <v>1</v>
      </c>
      <c r="T100" s="47" t="str">
        <f t="shared" si="31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13:24:15-700',mode:absolute,to:'2017-01-09 16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0" s="49" t="str">
        <f t="shared" si="33"/>
        <v>N</v>
      </c>
      <c r="X100" s="173">
        <f t="shared" si="43"/>
        <v>1</v>
      </c>
      <c r="Y100" s="64">
        <f t="shared" si="34"/>
        <v>4.3799999999999999E-2</v>
      </c>
      <c r="Z100" s="64">
        <f t="shared" si="35"/>
        <v>23.3276</v>
      </c>
      <c r="AA100" s="64">
        <f t="shared" si="36"/>
        <v>23.283799999999999</v>
      </c>
      <c r="AB100" s="61" t="str">
        <f>VLOOKUP(A100,Enforcements!$C$7:$K$17,8,0)</f>
        <v>Signal based authority (5)</v>
      </c>
      <c r="AC100" s="57" t="str">
        <f>VLOOKUP(A100,Enforcements!$C$7:$E$17,3,0)</f>
        <v>SIGNAL</v>
      </c>
      <c r="AD100" s="58" t="str">
        <f t="shared" si="37"/>
        <v>0187-09</v>
      </c>
      <c r="AE100" s="87" t="str">
        <f t="shared" si="38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100" s="84" t="str">
        <f t="shared" si="39"/>
        <v>"C:\Program Files (x86)\AstroGrep\AstroGrep.exe" /spath="%USERPROFILE%\AppData\Local\Temp\OnboardLogs" /stypes="app*4042*20170109*" /stext=" 22:.+((SYSTEM_STATE.+slice.+state.+changed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88" t="str">
        <f t="shared" si="26"/>
        <v>"%USERPROFILE%\Documents\GitHub\eaglep3\Utilities\RefineRTDCRunTimes.py" --tripid 187-09 --locoid 4042 --swversion DE.1.0.8.0 --startMP 204:438 --initTime 2017-01-09T14:24:15 --startdatetime 2017-01-09T14:30:26 --delay 1 --endMP 204:233276 --enddatetime 2017-01-09T15:09:04 --enforcementcount 0 &gt;&gt;C:\Users\stu\Documents\GitHub\eaglep3-reporting\EC\2017-01-09-refined-times.txt</v>
      </c>
      <c r="AI10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{"issue":{"subject":"","project_id":79,"tracker_id":40,"status_id":1,"priority_id":2,"assigned_to_id":23,"start_date":"2017-01-09","description":"","custom_fields":[{"id":1,"name":"Subdivision","value":"EC"},{"id":4,"name":"Milepost","value":"23.3276"},{"id":17,"name":"Train ID","value":"187-09"},{"id":16,"name":"Locomotive ID","value":"4042"},{"id":130,"name":"Impact","value":""},{"id":150,"name":"Time of Event (Mountain Time)","value":"15:09:04"},{"id":151,"name":"Denver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28"/>
        <v>start /low /b %USERPROFILE%\Documents\GitHub\eaglep3\Utilities\DownloadLogsFromS3.py --loco 4042 --day 2017-01-09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574</v>
      </c>
      <c r="B101" s="7">
        <v>4041</v>
      </c>
      <c r="C101" s="22" t="s">
        <v>203</v>
      </c>
      <c r="D101" s="22" t="s">
        <v>246</v>
      </c>
      <c r="E101" s="13">
        <v>42744.639479166668</v>
      </c>
      <c r="F101" s="13">
        <v>42744.643495370372</v>
      </c>
      <c r="G101" s="7">
        <v>2</v>
      </c>
      <c r="H101" s="22" t="s">
        <v>272</v>
      </c>
      <c r="I101" s="13">
        <v>42744.670995370368</v>
      </c>
      <c r="J101" s="7">
        <v>0</v>
      </c>
      <c r="K101" s="105" t="str">
        <f t="shared" si="29"/>
        <v>4041/4042</v>
      </c>
      <c r="L101" s="22" t="str">
        <f>VLOOKUP(A101,'Trips&amp;Operators'!$C$1:$G$99999,5,FALSE)</f>
        <v>YANG JAN</v>
      </c>
      <c r="M101" s="6">
        <f t="shared" si="30"/>
        <v>2.749999999650754E-2</v>
      </c>
      <c r="N101" s="7">
        <f t="shared" si="41"/>
        <v>39.599999994970858</v>
      </c>
      <c r="O101" s="7"/>
      <c r="P101" s="7"/>
      <c r="Q101" s="23"/>
      <c r="R101" s="23"/>
      <c r="S101" s="32">
        <f t="shared" si="42"/>
        <v>1</v>
      </c>
      <c r="T101" s="47" t="str">
        <f t="shared" si="31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14:20:51-700',mode:absolute,to:'2017-01-09 17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1" s="49" t="str">
        <f t="shared" si="33"/>
        <v>N</v>
      </c>
      <c r="X101" s="173">
        <f t="shared" si="43"/>
        <v>1</v>
      </c>
      <c r="Y101" s="64">
        <f t="shared" si="34"/>
        <v>23.297699999999999</v>
      </c>
      <c r="Z101" s="64">
        <f t="shared" si="35"/>
        <v>1.41E-2</v>
      </c>
      <c r="AA101" s="64">
        <f t="shared" si="36"/>
        <v>23.2836</v>
      </c>
      <c r="AB101" s="61" t="e">
        <f>VLOOKUP(A101,Enforcements!$C$7:$K$17,8,0)</f>
        <v>#N/A</v>
      </c>
      <c r="AC101" s="57" t="e">
        <f>VLOOKUP(A101,Enforcements!$C$7:$E$17,3,0)</f>
        <v>#N/A</v>
      </c>
      <c r="AD101" s="58" t="str">
        <f t="shared" si="37"/>
        <v>0188-09</v>
      </c>
      <c r="AE101" s="87" t="str">
        <f t="shared" si="38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101" s="84" t="str">
        <f t="shared" si="39"/>
        <v>"C:\Program Files (x86)\AstroGrep\AstroGrep.exe" /spath="%USERPROFILE%\AppData\Local\Temp\OnboardLogs" /stypes="app*4041*20170109*" /stext=" 23:.+((SYSTEM_STATE.+slice.+state.+changed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88" t="str">
        <f t="shared" si="26"/>
        <v>"%USERPROFILE%\Documents\GitHub\eaglep3\Utilities\RefineRTDCRunTimes.py" --tripid 188-09 --locoid 4041 --swversion DE.1.0.8.0 --startMP 204:232977 --initTime 2017-01-09T15:20:51 --startdatetime 2017-01-09T15:26:38 --delay 2 --endMP 204:141 --enddatetime 2017-01-09T16:06:14 --enforcementcount 0 &gt;&gt;C:\Users\stu\Documents\GitHub\eaglep3-reporting\EC\2017-01-09-refined-times.txt</v>
      </c>
      <c r="AI10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ID","value":"188-09"},{"id":16,"name":"Locomotive ID","value":"4041"},{"id":130,"name":"Impact","value":""},{"id":150,"name":"Time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28"/>
        <v>start /low /b %USERPROFILE%\Documents\GitHub\eaglep3\Utilities\DownloadLogsFromS3.py --loco 4041 --day 2017-01-09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443</v>
      </c>
      <c r="B102" s="7">
        <v>4003</v>
      </c>
      <c r="C102" s="22" t="s">
        <v>203</v>
      </c>
      <c r="D102" s="22" t="s">
        <v>274</v>
      </c>
      <c r="E102" s="13">
        <v>42744.611539351848</v>
      </c>
      <c r="F102" s="13">
        <v>42744.615023148152</v>
      </c>
      <c r="G102" s="7">
        <v>2</v>
      </c>
      <c r="H102" s="22" t="s">
        <v>711</v>
      </c>
      <c r="I102" s="13">
        <v>42744.631574074076</v>
      </c>
      <c r="J102" s="7">
        <v>0</v>
      </c>
      <c r="K102" s="105" t="str">
        <f t="shared" si="29"/>
        <v>4003/4004</v>
      </c>
      <c r="L102" s="22" t="str">
        <f>VLOOKUP(A102,'Trips&amp;Operators'!$C$1:$G$99999,5,FALSE)</f>
        <v>DAVIS MICHAEL</v>
      </c>
      <c r="M102" s="6">
        <f t="shared" si="30"/>
        <v>1.6550925924093463E-2</v>
      </c>
      <c r="N102" s="7"/>
      <c r="O102" s="7"/>
      <c r="P102" s="7">
        <f>24*60*SUM($M102:$M102)</f>
        <v>23.833333330694586</v>
      </c>
      <c r="Q102" s="23"/>
      <c r="R102" s="23" t="s">
        <v>834</v>
      </c>
      <c r="S102" s="32">
        <f t="shared" si="42"/>
        <v>1</v>
      </c>
      <c r="T102" s="47" t="str">
        <f t="shared" si="31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13:40:37-700',mode:absolute,to:'2017-01-09 16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2" s="49" t="str">
        <f t="shared" si="33"/>
        <v>Y</v>
      </c>
      <c r="X102" s="173">
        <f t="shared" si="43"/>
        <v>1</v>
      </c>
      <c r="Y102" s="64">
        <f t="shared" si="34"/>
        <v>4.5699999999999998E-2</v>
      </c>
      <c r="Z102" s="64">
        <f t="shared" si="35"/>
        <v>12.777200000000001</v>
      </c>
      <c r="AA102" s="64">
        <f t="shared" si="36"/>
        <v>12.7315</v>
      </c>
      <c r="AB102" s="61" t="str">
        <f>VLOOKUP(A102,Enforcements!$C$7:$K$17,8,0)</f>
        <v>Signal based authority (5)</v>
      </c>
      <c r="AC102" s="57" t="str">
        <f>VLOOKUP(A102,Enforcements!$C$7:$E$17,3,0)</f>
        <v>SIGNAL</v>
      </c>
      <c r="AD102" s="58" t="str">
        <f t="shared" si="37"/>
        <v>0189-09</v>
      </c>
      <c r="AE102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02" s="84" t="str">
        <f t="shared" si="39"/>
        <v>"C:\Program Files (x86)\AstroGrep\AstroGrep.exe" /spath="%USERPROFILE%\AppData\Local\Temp\OnboardLogs" /stypes="app*4003*20170109*" /stext=" 22:.+((SYSTEM_STATE.+slice.+state.+changed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88" t="str">
        <f t="shared" si="26"/>
        <v>"%USERPROFILE%\Documents\GitHub\eaglep3\Utilities\RefineRTDCRunTimes.py" --tripid 189-09 --locoid 4003 --swversion DE.1.0.8.0 --startMP 204:457 --initTime 2017-01-09T14:40:37 --startdatetime 2017-01-09T14:45:38 --delay 2 --endMP 204:127772 --enddatetime 2017-01-09T15:09:28 --enforcementcount 0 &gt;&gt;C:\Users\stu\Documents\GitHub\eaglep3-reporting\EC\2017-01-09-refined-times.txt</v>
      </c>
      <c r="AI102" s="115" t="str">
        <f t="shared" si="27"/>
        <v>echo {"issue":{"subject":"Premature downgrade at 40th 2N","project_id":79,"tracker_id":40,"status_id":1,"priority_id":2,"assigned_to_id":23,"start_date":"2017-01-09","description":"At 15:08:48, the train was about 100 ft from 40th 2N when it dropped from PROCEED CAB to STOP. Do logs indicate any out-of-ordinary behaviors at this time?","custom_fields":[{"id":1,"name":"Subdivision","value":"EC"},{"id":4,"name":"Milepost","value":"12.7772"},{"id":17,"name":"Train ID","value":"189-09"},{"id":16,"name":"Locomotive ID","value":"4003"},{"id":130,"name":"Impact","value":"Enforcement"},{"id":150,"name":"Time of Event (Mountain Time)","value":"15:09:28"},{"id":151,"name":"Denver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2" s="50" t="s">
        <v>835</v>
      </c>
      <c r="AK102" s="50" t="s">
        <v>125</v>
      </c>
      <c r="AL102" s="50" t="s">
        <v>130</v>
      </c>
      <c r="AM102" s="180" t="str">
        <f t="shared" si="28"/>
        <v>start /low /b %USERPROFILE%\Documents\GitHub\eaglep3\Utilities\DownloadLogsFromS3.py --loco 4003 --day 2017-01-09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576</v>
      </c>
      <c r="B103" s="7">
        <v>4004</v>
      </c>
      <c r="C103" s="22" t="s">
        <v>203</v>
      </c>
      <c r="D103" s="22" t="s">
        <v>246</v>
      </c>
      <c r="E103" s="13">
        <v>42744.651898148149</v>
      </c>
      <c r="F103" s="13">
        <v>42744.653969907406</v>
      </c>
      <c r="G103" s="7">
        <v>2</v>
      </c>
      <c r="H103" s="22" t="s">
        <v>407</v>
      </c>
      <c r="I103" s="13">
        <v>42744.682349537034</v>
      </c>
      <c r="J103" s="7">
        <v>0</v>
      </c>
      <c r="K103" s="105" t="str">
        <f t="shared" si="29"/>
        <v>4003/4004</v>
      </c>
      <c r="L103" s="22" t="str">
        <f>VLOOKUP(A103,'Trips&amp;Operators'!$C$1:$G$99999,5,FALSE)</f>
        <v>DAVIS MICHAEL</v>
      </c>
      <c r="M103" s="6">
        <f t="shared" si="30"/>
        <v>2.8379629628034309E-2</v>
      </c>
      <c r="N103" s="7">
        <f t="shared" ref="N103:N134" si="44">24*60*SUM($M103:$M103)</f>
        <v>40.866666664369404</v>
      </c>
      <c r="O103" s="7"/>
      <c r="P103" s="7"/>
      <c r="Q103" s="23"/>
      <c r="R103" s="23"/>
      <c r="S103" s="32">
        <f t="shared" si="42"/>
        <v>1</v>
      </c>
      <c r="T103" s="47" t="str">
        <f t="shared" si="31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14:38:44-700',mode:absolute,to:'2017-01-09 17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3" s="49" t="str">
        <f t="shared" si="33"/>
        <v>N</v>
      </c>
      <c r="X103" s="173">
        <f t="shared" si="43"/>
        <v>1</v>
      </c>
      <c r="Y103" s="64">
        <f t="shared" si="34"/>
        <v>23.297699999999999</v>
      </c>
      <c r="Z103" s="64">
        <f t="shared" si="35"/>
        <v>1.54E-2</v>
      </c>
      <c r="AA103" s="64">
        <f t="shared" si="36"/>
        <v>23.282299999999999</v>
      </c>
      <c r="AB103" s="61" t="e">
        <f>VLOOKUP(A103,Enforcements!$C$7:$K$17,8,0)</f>
        <v>#N/A</v>
      </c>
      <c r="AC103" s="57" t="e">
        <f>VLOOKUP(A103,Enforcements!$C$7:$E$17,3,0)</f>
        <v>#N/A</v>
      </c>
      <c r="AD103" s="58" t="str">
        <f t="shared" si="37"/>
        <v>0190-09</v>
      </c>
      <c r="AE103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03" s="84" t="str">
        <f t="shared" si="39"/>
        <v>"C:\Program Files (x86)\AstroGrep\AstroGrep.exe" /spath="%USERPROFILE%\AppData\Local\Temp\OnboardLogs" /stypes="app*4004*20170109*" /stext=" 23:.+((SYSTEM_STATE.+slice.+state.+changed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88" t="str">
        <f t="shared" si="26"/>
        <v>"%USERPROFILE%\Documents\GitHub\eaglep3\Utilities\RefineRTDCRunTimes.py" --tripid 190-09 --locoid 4004 --swversion DE.1.0.8.0 --startMP 204:232977 --initTime 2017-01-09T15:38:44 --startdatetime 2017-01-09T15:41:43 --delay 2 --endMP 204:154 --enddatetime 2017-01-09T16:22:35 --enforcementcount 0 &gt;&gt;C:\Users\stu\Documents\GitHub\eaglep3-reporting\EC\2017-01-09-refined-times.txt</v>
      </c>
      <c r="AI10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{"issue":{"subject":"","project_id":79,"tracker_id":40,"status_id":1,"priority_id":2,"assigned_to_id":23,"start_date":"2017-01-09","description":"","custom_fields":[{"id":1,"name":"Subdivision","value":"EC"},{"id":4,"name":"Milepost","value":"0.0154"},{"id":17,"name":"Train ID","value":"190-09"},{"id":16,"name":"Locomotive ID","value":"4004"},{"id":130,"name":"Impact","value":""},{"id":150,"name":"Time of Event (Mountain Time)","value":"16:22:35"},{"id":151,"name":"Denver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28"/>
        <v>start /low /b %USERPROFILE%\Documents\GitHub\eaglep3\Utilities\DownloadLogsFromS3.py --loco 4004 --day 2017-01-09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571</v>
      </c>
      <c r="B104" s="7">
        <v>4044</v>
      </c>
      <c r="C104" s="22" t="s">
        <v>203</v>
      </c>
      <c r="D104" s="22" t="s">
        <v>274</v>
      </c>
      <c r="E104" s="13">
        <v>42744.621631944443</v>
      </c>
      <c r="F104" s="13">
        <v>42744.625185185185</v>
      </c>
      <c r="G104" s="7">
        <v>1</v>
      </c>
      <c r="H104" s="22" t="s">
        <v>350</v>
      </c>
      <c r="I104" s="13">
        <v>42744.652662037035</v>
      </c>
      <c r="J104" s="7">
        <v>0</v>
      </c>
      <c r="K104" s="105" t="str">
        <f t="shared" si="29"/>
        <v>4043/4044</v>
      </c>
      <c r="L104" s="22" t="str">
        <f>VLOOKUP(A104,'Trips&amp;Operators'!$C$1:$G$99999,5,FALSE)</f>
        <v>CLARK KATHLEEN</v>
      </c>
      <c r="M104" s="6">
        <f t="shared" si="30"/>
        <v>2.7476851850224193E-2</v>
      </c>
      <c r="N104" s="7">
        <f t="shared" si="44"/>
        <v>39.566666664322838</v>
      </c>
      <c r="O104" s="7"/>
      <c r="P104" s="7"/>
      <c r="Q104" s="23"/>
      <c r="R104" s="23"/>
      <c r="S104" s="32">
        <f t="shared" si="42"/>
        <v>1</v>
      </c>
      <c r="T104" s="47" t="str">
        <f t="shared" si="31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13:55:09-700',mode:absolute,to:'2017-01-09 16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4" s="49" t="str">
        <f t="shared" si="33"/>
        <v>N</v>
      </c>
      <c r="X104" s="173">
        <f t="shared" si="43"/>
        <v>1</v>
      </c>
      <c r="Y104" s="64">
        <f t="shared" si="34"/>
        <v>4.5699999999999998E-2</v>
      </c>
      <c r="Z104" s="64">
        <f t="shared" si="35"/>
        <v>23.327999999999999</v>
      </c>
      <c r="AA104" s="64">
        <f t="shared" si="36"/>
        <v>23.282299999999999</v>
      </c>
      <c r="AB104" s="61" t="e">
        <f>VLOOKUP(A104,Enforcements!$C$7:$K$17,8,0)</f>
        <v>#N/A</v>
      </c>
      <c r="AC104" s="57" t="e">
        <f>VLOOKUP(A104,Enforcements!$C$7:$E$17,3,0)</f>
        <v>#N/A</v>
      </c>
      <c r="AD104" s="58" t="str">
        <f t="shared" si="37"/>
        <v>0191-09</v>
      </c>
      <c r="AE104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04" s="84" t="str">
        <f t="shared" si="39"/>
        <v>"C:\Program Files (x86)\AstroGrep\AstroGrep.exe" /spath="%USERPROFILE%\AppData\Local\Temp\OnboardLogs" /stypes="app*4044*20170109*" /stext=" 22:.+((SYSTEM_STATE.+slice.+state.+changed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88" t="str">
        <f t="shared" si="26"/>
        <v>"%USERPROFILE%\Documents\GitHub\eaglep3\Utilities\RefineRTDCRunTimes.py" --tripid 191-09 --locoid 4044 --swversion DE.1.0.8.0 --startMP 204:457 --initTime 2017-01-09T14:55:09 --startdatetime 2017-01-09T15:00:16 --delay 1 --endMP 204:233280 --enddatetime 2017-01-09T15:39:50 --enforcementcount 0 &gt;&gt;C:\Users\stu\Documents\GitHub\eaglep3-reporting\EC\2017-01-09-refined-times.txt</v>
      </c>
      <c r="AI10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{"issue":{"subject":"","project_id":79,"tracker_id":40,"status_id":1,"priority_id":2,"assigned_to_id":23,"start_date":"2017-01-09","description":"","custom_fields":[{"id":1,"name":"Subdivision","value":"EC"},{"id":4,"name":"Milepost","value":"23.328"},{"id":17,"name":"Train ID","value":"191-09"},{"id":16,"name":"Locomotive ID","value":"4044"},{"id":130,"name":"Impact","value":""},{"id":150,"name":"Time of Event (Mountain Time)","value":"15:39:50"},{"id":151,"name":"Denver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28"/>
        <v>start /low /b %USERPROFILE%\Documents\GitHub\eaglep3\Utilities\DownloadLogsFromS3.py --loco 4044 --day 2017-01-09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579</v>
      </c>
      <c r="B105" s="7">
        <v>4043</v>
      </c>
      <c r="C105" s="22" t="s">
        <v>203</v>
      </c>
      <c r="D105" s="22" t="s">
        <v>288</v>
      </c>
      <c r="E105" s="13">
        <v>42744.657997685186</v>
      </c>
      <c r="F105" s="13">
        <v>42744.664074074077</v>
      </c>
      <c r="G105" s="7">
        <v>1</v>
      </c>
      <c r="H105" s="22" t="s">
        <v>395</v>
      </c>
      <c r="I105" s="13">
        <v>42744.692627314813</v>
      </c>
      <c r="J105" s="7">
        <v>0</v>
      </c>
      <c r="K105" s="105" t="str">
        <f t="shared" si="29"/>
        <v>4043/4044</v>
      </c>
      <c r="L105" s="22" t="str">
        <f>VLOOKUP(A105,'Trips&amp;Operators'!$C$1:$G$99999,5,FALSE)</f>
        <v>CLARK KATHLEEN</v>
      </c>
      <c r="M105" s="6">
        <f t="shared" si="30"/>
        <v>2.8553240736073349E-2</v>
      </c>
      <c r="N105" s="7">
        <f t="shared" si="44"/>
        <v>41.116666659945622</v>
      </c>
      <c r="O105" s="7"/>
      <c r="P105" s="7"/>
      <c r="Q105" s="23"/>
      <c r="R105" s="23"/>
      <c r="S105" s="32">
        <f t="shared" si="42"/>
        <v>1</v>
      </c>
      <c r="T105" s="47" t="str">
        <f t="shared" si="31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14:47:31-700',mode:absolute,to:'2017-01-09 17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5" s="49" t="str">
        <f t="shared" si="33"/>
        <v>N</v>
      </c>
      <c r="X105" s="173">
        <f t="shared" si="43"/>
        <v>1</v>
      </c>
      <c r="Y105" s="64">
        <f t="shared" si="34"/>
        <v>23.296700000000001</v>
      </c>
      <c r="Z105" s="64">
        <f t="shared" si="35"/>
        <v>1.72E-2</v>
      </c>
      <c r="AA105" s="64">
        <f t="shared" si="36"/>
        <v>23.279500000000002</v>
      </c>
      <c r="AB105" s="61" t="e">
        <f>VLOOKUP(A105,Enforcements!$C$7:$K$17,8,0)</f>
        <v>#N/A</v>
      </c>
      <c r="AC105" s="57" t="e">
        <f>VLOOKUP(A105,Enforcements!$C$7:$E$17,3,0)</f>
        <v>#N/A</v>
      </c>
      <c r="AD105" s="58" t="str">
        <f t="shared" si="37"/>
        <v>0192-09</v>
      </c>
      <c r="AE105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05" s="84" t="str">
        <f t="shared" si="39"/>
        <v>"C:\Program Files (x86)\AstroGrep\AstroGrep.exe" /spath="%USERPROFILE%\AppData\Local\Temp\OnboardLogs" /stypes="app*4043*20170109*" /stext=" 23:.+((SYSTEM_STATE.+slice.+state.+changed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88" t="str">
        <f t="shared" si="26"/>
        <v>"%USERPROFILE%\Documents\GitHub\eaglep3\Utilities\RefineRTDCRunTimes.py" --tripid 192-09 --locoid 4043 --swversion DE.1.0.8.0 --startMP 204:232967 --initTime 2017-01-09T15:47:31 --startdatetime 2017-01-09T15:56:16 --delay 1 --endMP 204:172 --enddatetime 2017-01-09T16:37:23 --enforcementcount 0 &gt;&gt;C:\Users\stu\Documents\GitHub\eaglep3-reporting\EC\2017-01-09-refined-times.txt</v>
      </c>
      <c r="AI10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{"issue":{"subject":"","project_id":79,"tracker_id":40,"status_id":1,"priority_id":2,"assigned_to_id":23,"start_date":"2017-01-09","description":"","custom_fields":[{"id":1,"name":"Subdivision","value":"EC"},{"id":4,"name":"Milepost","value":"0.0172"},{"id":17,"name":"Train ID","value":"192-09"},{"id":16,"name":"Locomotive ID","value":"4043"},{"id":130,"name":"Impact","value":""},{"id":150,"name":"Time of Event (Mountain Time)","value":"16:37:23"},{"id":151,"name":"Denver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28"/>
        <v>start /low /b %USERPROFILE%\Documents\GitHub\eaglep3\Utilities\DownloadLogsFromS3.py --loco 4043 --day 2017-01-09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572</v>
      </c>
      <c r="B106" s="7">
        <v>4020</v>
      </c>
      <c r="C106" s="22" t="s">
        <v>203</v>
      </c>
      <c r="D106" s="22" t="s">
        <v>248</v>
      </c>
      <c r="E106" s="13">
        <v>42744.632916666669</v>
      </c>
      <c r="F106" s="13">
        <v>42744.635763888888</v>
      </c>
      <c r="G106" s="7">
        <v>1</v>
      </c>
      <c r="H106" s="22" t="s">
        <v>385</v>
      </c>
      <c r="I106" s="13">
        <v>42744.66064814815</v>
      </c>
      <c r="J106" s="7">
        <v>0</v>
      </c>
      <c r="K106" s="105" t="str">
        <f t="shared" si="29"/>
        <v>4019/4020</v>
      </c>
      <c r="L106" s="22" t="str">
        <f>VLOOKUP(A106,'Trips&amp;Operators'!$C$1:$G$99999,5,FALSE)</f>
        <v>ADANE ELSHADAY</v>
      </c>
      <c r="M106" s="6">
        <f t="shared" si="30"/>
        <v>2.4884259262762498E-2</v>
      </c>
      <c r="N106" s="7">
        <f t="shared" si="44"/>
        <v>35.833333338377997</v>
      </c>
      <c r="O106" s="7"/>
      <c r="P106" s="7"/>
      <c r="Q106" s="23"/>
      <c r="R106" s="23"/>
      <c r="S106" s="32">
        <f t="shared" si="42"/>
        <v>1</v>
      </c>
      <c r="T106" s="47" t="str">
        <f t="shared" si="31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14:11:24-700',mode:absolute,to:'2017-01-09 16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6" s="49" t="str">
        <f t="shared" si="33"/>
        <v>N</v>
      </c>
      <c r="X106" s="173">
        <f t="shared" si="43"/>
        <v>1</v>
      </c>
      <c r="Y106" s="64">
        <f t="shared" si="34"/>
        <v>4.6199999999999998E-2</v>
      </c>
      <c r="Z106" s="64">
        <f t="shared" si="35"/>
        <v>23.331900000000001</v>
      </c>
      <c r="AA106" s="64">
        <f t="shared" si="36"/>
        <v>23.285700000000002</v>
      </c>
      <c r="AB106" s="61" t="e">
        <f>VLOOKUP(A106,Enforcements!$C$7:$K$17,8,0)</f>
        <v>#N/A</v>
      </c>
      <c r="AC106" s="57" t="e">
        <f>VLOOKUP(A106,Enforcements!$C$7:$E$17,3,0)</f>
        <v>#N/A</v>
      </c>
      <c r="AD106" s="58" t="str">
        <f t="shared" si="37"/>
        <v>0193-09</v>
      </c>
      <c r="AE106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106" s="84" t="str">
        <f t="shared" si="39"/>
        <v>"C:\Program Files (x86)\AstroGrep\AstroGrep.exe" /spath="%USERPROFILE%\AppData\Local\Temp\OnboardLogs" /stypes="app*4020*20170109*" /stext=" 22:.+((SYSTEM_STATE.+slice.+state.+changed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88" t="str">
        <f t="shared" si="26"/>
        <v>"%USERPROFILE%\Documents\GitHub\eaglep3\Utilities\RefineRTDCRunTimes.py" --tripid 193-09 --locoid 4020 --swversion DE.1.0.8.0 --startMP 204:462 --initTime 2017-01-09T15:11:24 --startdatetime 2017-01-09T15:15:30 --delay 1 --endMP 204:233319 --enddatetime 2017-01-09T15:51:20 --enforcementcount 0 &gt;&gt;C:\Users\stu\Documents\GitHub\eaglep3-reporting\EC\2017-01-09-refined-times.txt</v>
      </c>
      <c r="AI10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{"issue":{"subject":"","project_id":79,"tracker_id":40,"status_id":1,"priority_id":2,"assigned_to_id":23,"start_date":"2017-01-09","description":"","custom_fields":[{"id":1,"name":"Subdivision","value":"EC"},{"id":4,"name":"Milepost","value":"23.3319"},{"id":17,"name":"Train ID","value":"193-09"},{"id":16,"name":"Locomotive ID","value":"4020"},{"id":130,"name":"Impact","value":""},{"id":150,"name":"Time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28"/>
        <v>start /low /b %USERPROFILE%\Documents\GitHub\eaglep3\Utilities\DownloadLogsFromS3.py --loco 4020 --day 2017-01-09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581</v>
      </c>
      <c r="B107" s="7">
        <v>4019</v>
      </c>
      <c r="C107" s="22" t="s">
        <v>203</v>
      </c>
      <c r="D107" s="22" t="s">
        <v>712</v>
      </c>
      <c r="E107" s="13">
        <v>42744.662557870368</v>
      </c>
      <c r="F107" s="13">
        <v>42744.674988425926</v>
      </c>
      <c r="G107" s="7">
        <v>1</v>
      </c>
      <c r="H107" s="22" t="s">
        <v>275</v>
      </c>
      <c r="I107" s="13">
        <v>42744.701458333337</v>
      </c>
      <c r="J107" s="7">
        <v>0</v>
      </c>
      <c r="K107" s="105" t="str">
        <f t="shared" si="29"/>
        <v>4019/4020</v>
      </c>
      <c r="L107" s="22" t="str">
        <f>VLOOKUP(A107,'Trips&amp;Operators'!$C$1:$G$99999,5,FALSE)</f>
        <v>ADANE ELSHADAY</v>
      </c>
      <c r="M107" s="6">
        <f t="shared" si="30"/>
        <v>2.6469907410501037E-2</v>
      </c>
      <c r="N107" s="7">
        <f t="shared" si="44"/>
        <v>38.116666671121493</v>
      </c>
      <c r="O107" s="7"/>
      <c r="P107" s="7"/>
      <c r="Q107" s="23"/>
      <c r="R107" s="23"/>
      <c r="S107" s="32">
        <f t="shared" si="42"/>
        <v>1</v>
      </c>
      <c r="T107" s="47" t="str">
        <f t="shared" si="31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14:54:05-700',mode:absolute,to:'2017-01-09 17:50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7" s="49" t="str">
        <f t="shared" si="33"/>
        <v>N</v>
      </c>
      <c r="X107" s="173">
        <f t="shared" si="43"/>
        <v>1</v>
      </c>
      <c r="Y107" s="64">
        <f t="shared" si="34"/>
        <v>23.299800000000001</v>
      </c>
      <c r="Z107" s="64">
        <f t="shared" si="35"/>
        <v>1.5599999999999999E-2</v>
      </c>
      <c r="AA107" s="64">
        <f t="shared" si="36"/>
        <v>23.284200000000002</v>
      </c>
      <c r="AB107" s="61" t="e">
        <f>VLOOKUP(A107,Enforcements!$C$7:$K$17,8,0)</f>
        <v>#N/A</v>
      </c>
      <c r="AC107" s="57" t="e">
        <f>VLOOKUP(A107,Enforcements!$C$7:$E$17,3,0)</f>
        <v>#N/A</v>
      </c>
      <c r="AD107" s="58" t="str">
        <f t="shared" si="37"/>
        <v>0194-09</v>
      </c>
      <c r="AE107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107" s="84" t="str">
        <f t="shared" si="39"/>
        <v>"C:\Program Files (x86)\AstroGrep\AstroGrep.exe" /spath="%USERPROFILE%\AppData\Local\Temp\OnboardLogs" /stypes="app*4019*20170109*"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88" t="str">
        <f t="shared" si="26"/>
        <v>"%USERPROFILE%\Documents\GitHub\eaglep3\Utilities\RefineRTDCRunTimes.py" --tripid 194-09 --locoid 4019 --swversion DE.1.0.8.0 --startMP 204:232998 --initTime 2017-01-09T15:54:05 --startdatetime 2017-01-09T16:11:59 --delay 1 --endMP 204:156 --enddatetime 2017-01-09T16:50:06 --enforcementcount 0 &gt;&gt;C:\Users\stu\Documents\GitHub\eaglep3-reporting\EC\2017-01-09-refined-times.txt</v>
      </c>
      <c r="AI10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ID","value":"194-09"},{"id":16,"name":"Locomotive ID","value":"4019"},{"id":130,"name":"Impact","value":""},{"id":150,"name":"Time of Event (Mountain Time)","value":"16:50:06"},{"id":151,"name":"Denver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28"/>
        <v>start /low /b %USERPROFILE%\Documents\GitHub\eaglep3\Utilities\DownloadLogsFromS3.py --loco 4019 --day 2017-01-09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575</v>
      </c>
      <c r="B108" s="7">
        <v>4046</v>
      </c>
      <c r="C108" s="22" t="s">
        <v>203</v>
      </c>
      <c r="D108" s="22" t="s">
        <v>277</v>
      </c>
      <c r="E108" s="13">
        <v>42744.641284722224</v>
      </c>
      <c r="F108" s="13">
        <v>42744.646111111113</v>
      </c>
      <c r="G108" s="7">
        <v>1</v>
      </c>
      <c r="H108" s="22" t="s">
        <v>396</v>
      </c>
      <c r="I108" s="13">
        <v>42744.671932870369</v>
      </c>
      <c r="J108" s="7">
        <v>0</v>
      </c>
      <c r="K108" s="105" t="str">
        <f t="shared" si="29"/>
        <v>4045/4046</v>
      </c>
      <c r="L108" s="22" t="str">
        <f>VLOOKUP(A108,'Trips&amp;Operators'!$C$1:$G$99999,5,FALSE)</f>
        <v>CRAYTON QUNTRELL</v>
      </c>
      <c r="M108" s="6">
        <f t="shared" si="30"/>
        <v>2.5821759256359655E-2</v>
      </c>
      <c r="N108" s="7">
        <f t="shared" si="44"/>
        <v>37.183333329157904</v>
      </c>
      <c r="O108" s="7"/>
      <c r="P108" s="7"/>
      <c r="Q108" s="23"/>
      <c r="R108" s="23"/>
      <c r="S108" s="32">
        <f t="shared" si="42"/>
        <v>1</v>
      </c>
      <c r="T108" s="47" t="str">
        <f t="shared" si="31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14:23:27-700',mode:absolute,to:'2017-01-09 17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8" s="49" t="str">
        <f t="shared" si="33"/>
        <v>N</v>
      </c>
      <c r="X108" s="173">
        <f t="shared" si="43"/>
        <v>1</v>
      </c>
      <c r="Y108" s="64">
        <f t="shared" si="34"/>
        <v>4.4400000000000002E-2</v>
      </c>
      <c r="Z108" s="64">
        <f t="shared" si="35"/>
        <v>23.328600000000002</v>
      </c>
      <c r="AA108" s="64">
        <f t="shared" si="36"/>
        <v>23.284200000000002</v>
      </c>
      <c r="AB108" s="61" t="e">
        <f>VLOOKUP(A108,Enforcements!$C$7:$K$17,8,0)</f>
        <v>#N/A</v>
      </c>
      <c r="AC108" s="57" t="e">
        <f>VLOOKUP(A108,Enforcements!$C$7:$E$17,3,0)</f>
        <v>#N/A</v>
      </c>
      <c r="AD108" s="58" t="str">
        <f t="shared" si="37"/>
        <v>0195-09</v>
      </c>
      <c r="AE108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08" s="84" t="str">
        <f t="shared" si="39"/>
        <v>"C:\Program Files (x86)\AstroGrep\AstroGrep.exe" /spath="%USERPROFILE%\AppData\Local\Temp\OnboardLogs" /stypes="app*4046*20170109*" /stext=" 23:.+((SYSTEM_STATE.+slice.+state.+changed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88" t="str">
        <f t="shared" si="26"/>
        <v>"%USERPROFILE%\Documents\GitHub\eaglep3\Utilities\RefineRTDCRunTimes.py" --tripid 195-09 --locoid 4046 --swversion DE.1.0.8.0 --startMP 204:444 --initTime 2017-01-09T15:23:27 --startdatetime 2017-01-09T15:30:24 --delay 1 --endMP 204:233286 --enddatetime 2017-01-09T16:07:35 --enforcementcount 0 &gt;&gt;C:\Users\stu\Documents\GitHub\eaglep3-reporting\EC\2017-01-09-refined-times.txt</v>
      </c>
      <c r="AI10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{"issue":{"subject":"","project_id":79,"tracker_id":40,"status_id":1,"priority_id":2,"assigned_to_id":23,"start_date":"2017-01-09","description":"","custom_fields":[{"id":1,"name":"Subdivision","value":"EC"},{"id":4,"name":"Milepost","value":"23.3286"},{"id":17,"name":"Train ID","value":"195-09"},{"id":16,"name":"Locomotive ID","value":"4046"},{"id":130,"name":"Impact","value":""},{"id":150,"name":"Time of Event (Mountain Time)","value":"16:07:35"},{"id":151,"name":"Denver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28"/>
        <v>start /low /b %USERPROFILE%\Documents\GitHub\eaglep3\Utilities\DownloadLogsFromS3.py --loco 4046 --day 2017-01-09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584</v>
      </c>
      <c r="B109" s="7">
        <v>4045</v>
      </c>
      <c r="C109" s="22" t="s">
        <v>203</v>
      </c>
      <c r="D109" s="22" t="s">
        <v>391</v>
      </c>
      <c r="E109" s="13">
        <v>42744.677581018521</v>
      </c>
      <c r="F109" s="13">
        <v>42744.684918981482</v>
      </c>
      <c r="G109" s="7">
        <v>1</v>
      </c>
      <c r="H109" s="22" t="s">
        <v>275</v>
      </c>
      <c r="I109" s="13">
        <v>42744.711944444447</v>
      </c>
      <c r="J109" s="7">
        <v>0</v>
      </c>
      <c r="K109" s="105" t="str">
        <f t="shared" si="29"/>
        <v>4045/4046</v>
      </c>
      <c r="L109" s="22" t="str">
        <f>VLOOKUP(A109,'Trips&amp;Operators'!$C$1:$G$99999,5,FALSE)</f>
        <v>CRAYTON QUNTRELL</v>
      </c>
      <c r="M109" s="6">
        <f t="shared" si="30"/>
        <v>2.7025462964957114E-2</v>
      </c>
      <c r="N109" s="7">
        <f t="shared" si="44"/>
        <v>38.916666669538245</v>
      </c>
      <c r="O109" s="7"/>
      <c r="P109" s="7"/>
      <c r="Q109" s="23"/>
      <c r="R109" s="23"/>
      <c r="S109" s="32">
        <f t="shared" si="42"/>
        <v>1</v>
      </c>
      <c r="T109" s="47" t="str">
        <f t="shared" si="31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15:15:43-700',mode:absolute,to:'2017-01-09 18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9" s="49" t="str">
        <f t="shared" si="33"/>
        <v>N</v>
      </c>
      <c r="X109" s="173">
        <f t="shared" si="43"/>
        <v>1</v>
      </c>
      <c r="Y109" s="64">
        <f t="shared" si="34"/>
        <v>23.297799999999999</v>
      </c>
      <c r="Z109" s="64">
        <f t="shared" si="35"/>
        <v>1.5599999999999999E-2</v>
      </c>
      <c r="AA109" s="64">
        <f t="shared" si="36"/>
        <v>23.2822</v>
      </c>
      <c r="AB109" s="61" t="e">
        <f>VLOOKUP(A109,Enforcements!$C$7:$K$17,8,0)</f>
        <v>#N/A</v>
      </c>
      <c r="AC109" s="57" t="e">
        <f>VLOOKUP(A109,Enforcements!$C$7:$E$17,3,0)</f>
        <v>#N/A</v>
      </c>
      <c r="AD109" s="58" t="str">
        <f t="shared" si="37"/>
        <v>0196-09</v>
      </c>
      <c r="AE109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09" s="84" t="str">
        <f t="shared" si="39"/>
        <v>"C:\Program Files (x86)\AstroGrep\AstroGrep.exe" /spath="%USERPROFILE%\AppData\Local\Temp\OnboardLogs" /stypes="app*4045*20170110*" /stext=" 00:.+((SYSTEM_STATE.+slice.+state.+changed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88" t="str">
        <f t="shared" si="26"/>
        <v>"%USERPROFILE%\Documents\GitHub\eaglep3\Utilities\RefineRTDCRunTimes.py" --tripid 196-09 --locoid 4045 --swversion DE.1.0.8.0 --startMP 204:232978 --initTime 2017-01-09T16:15:43 --startdatetime 2017-01-09T16:26:17 --delay 1 --endMP 204:156 --enddatetime 2017-01-09T17:05:12 --enforcementcount 0 &gt;&gt;C:\Users\stu\Documents\GitHub\eaglep3-reporting\EC\2017-01-09-refined-times.txt</v>
      </c>
      <c r="AI10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ID","value":"196-09"},{"id":16,"name":"Locomotive ID","value":"4045"},{"id":130,"name":"Impact","value":""},{"id":150,"name":"Time of Event (Mountain Time)","value":"17:05:12"},{"id":151,"name":"Denver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28"/>
        <v>start /low /b %USERPROFILE%\Documents\GitHub\eaglep3\Utilities\DownloadLogsFromS3.py --loco 4045 --day 2017-01-09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578</v>
      </c>
      <c r="B110" s="7">
        <v>4031</v>
      </c>
      <c r="C110" s="22" t="s">
        <v>203</v>
      </c>
      <c r="D110" s="22" t="s">
        <v>286</v>
      </c>
      <c r="E110" s="13">
        <v>42744.654537037037</v>
      </c>
      <c r="F110" s="13">
        <v>42744.656469907408</v>
      </c>
      <c r="G110" s="7">
        <v>1</v>
      </c>
      <c r="H110" s="22" t="s">
        <v>394</v>
      </c>
      <c r="I110" s="13">
        <v>42744.683078703703</v>
      </c>
      <c r="J110" s="7">
        <v>0</v>
      </c>
      <c r="K110" s="105" t="str">
        <f t="shared" si="29"/>
        <v>4031/4032</v>
      </c>
      <c r="L110" s="22" t="str">
        <f>VLOOKUP(A110,'Trips&amp;Operators'!$C$1:$G$99999,5,FALSE)</f>
        <v>HOLCOMB KAMDEN</v>
      </c>
      <c r="M110" s="6">
        <f t="shared" si="30"/>
        <v>2.6608796295477077E-2</v>
      </c>
      <c r="N110" s="7">
        <f t="shared" si="44"/>
        <v>38.316666665486991</v>
      </c>
      <c r="O110" s="7"/>
      <c r="P110" s="7"/>
      <c r="Q110" s="23"/>
      <c r="R110" s="23"/>
      <c r="S110" s="32">
        <f t="shared" si="42"/>
        <v>1</v>
      </c>
      <c r="T110" s="47" t="str">
        <f t="shared" si="31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14:42:32-700',mode:absolute,to:'2017-01-09 17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0" s="49" t="str">
        <f t="shared" si="33"/>
        <v>N</v>
      </c>
      <c r="X110" s="173">
        <f t="shared" si="43"/>
        <v>1</v>
      </c>
      <c r="Y110" s="64">
        <f t="shared" si="34"/>
        <v>4.6699999999999998E-2</v>
      </c>
      <c r="Z110" s="64">
        <f t="shared" si="35"/>
        <v>23.3306</v>
      </c>
      <c r="AA110" s="64">
        <f t="shared" si="36"/>
        <v>23.283899999999999</v>
      </c>
      <c r="AB110" s="61" t="e">
        <f>VLOOKUP(A110,Enforcements!$C$7:$K$17,8,0)</f>
        <v>#N/A</v>
      </c>
      <c r="AC110" s="57" t="e">
        <f>VLOOKUP(A110,Enforcements!$C$7:$E$17,3,0)</f>
        <v>#N/A</v>
      </c>
      <c r="AD110" s="58" t="str">
        <f t="shared" si="37"/>
        <v>0197-09</v>
      </c>
      <c r="AE110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110" s="84" t="str">
        <f t="shared" si="39"/>
        <v>"C:\Program Files (x86)\AstroGrep\AstroGrep.exe" /spath="%USERPROFILE%\AppData\Local\Temp\OnboardLogs" /stypes="app*4031*20170109*" /stext=" 23:.+((SYSTEM_STATE.+slice.+state.+changed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88" t="str">
        <f t="shared" si="26"/>
        <v>"%USERPROFILE%\Documents\GitHub\eaglep3\Utilities\RefineRTDCRunTimes.py" --tripid 197-09 --locoid 4031 --swversion DE.1.0.8.0 --startMP 204:467 --initTime 2017-01-09T15:42:32 --startdatetime 2017-01-09T15:45:19 --delay 1 --endMP 204:233306 --enddatetime 2017-01-09T16:23:38 --enforcementcount 0 &gt;&gt;C:\Users\stu\Documents\GitHub\eaglep3-reporting\EC\2017-01-09-refined-times.txt</v>
      </c>
      <c r="AI11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{"issue":{"subject":"","project_id":79,"tracker_id":40,"status_id":1,"priority_id":2,"assigned_to_id":23,"start_date":"2017-01-09","description":"","custom_fields":[{"id":1,"name":"Subdivision","value":"EC"},{"id":4,"name":"Milepost","value":"23.3306"},{"id":17,"name":"Train ID","value":"197-09"},{"id":16,"name":"Locomotive ID","value":"4031"},{"id":130,"name":"Impact","value":""},{"id":150,"name":"Time of Event (Mountain Time)","value":"16:23:38"},{"id":151,"name":"Denver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28"/>
        <v>start /low /b %USERPROFILE%\Documents\GitHub\eaglep3\Utilities\DownloadLogsFromS3.py --loco 4031 --day 2017-01-09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4" t="s">
        <v>588</v>
      </c>
      <c r="B111" s="7">
        <v>4032</v>
      </c>
      <c r="C111" s="22" t="s">
        <v>203</v>
      </c>
      <c r="D111" s="22" t="s">
        <v>344</v>
      </c>
      <c r="E111" s="13">
        <v>42744.687662037039</v>
      </c>
      <c r="F111" s="13">
        <v>42744.695335648146</v>
      </c>
      <c r="G111" s="7">
        <v>1</v>
      </c>
      <c r="H111" s="22" t="s">
        <v>244</v>
      </c>
      <c r="I111" s="13">
        <v>42744.723981481482</v>
      </c>
      <c r="J111" s="7">
        <v>0</v>
      </c>
      <c r="K111" s="105" t="str">
        <f t="shared" si="29"/>
        <v>4031/4032</v>
      </c>
      <c r="L111" s="22" t="str">
        <f>VLOOKUP(A111,'Trips&amp;Operators'!$C$1:$G$99999,5,FALSE)</f>
        <v>HOLCOMB KAMDEN</v>
      </c>
      <c r="M111" s="6">
        <f t="shared" si="30"/>
        <v>2.8645833335758653E-2</v>
      </c>
      <c r="N111" s="7">
        <f t="shared" si="44"/>
        <v>41.25000000349246</v>
      </c>
      <c r="O111" s="7"/>
      <c r="P111" s="7"/>
      <c r="Q111" s="23"/>
      <c r="R111" s="23"/>
      <c r="S111" s="32">
        <f t="shared" si="42"/>
        <v>1</v>
      </c>
      <c r="T111" s="47" t="str">
        <f t="shared" si="31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15:30:14-700',mode:absolute,to:'2017-01-09 18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1" s="49" t="str">
        <f t="shared" si="33"/>
        <v>N</v>
      </c>
      <c r="X111" s="173">
        <f t="shared" si="43"/>
        <v>1</v>
      </c>
      <c r="Y111" s="64">
        <f t="shared" si="34"/>
        <v>23.299399999999999</v>
      </c>
      <c r="Z111" s="64">
        <f t="shared" si="35"/>
        <v>1.3899999999999999E-2</v>
      </c>
      <c r="AA111" s="64">
        <f t="shared" si="36"/>
        <v>23.285499999999999</v>
      </c>
      <c r="AB111" s="61" t="e">
        <f>VLOOKUP(A111,Enforcements!$C$7:$K$17,8,0)</f>
        <v>#N/A</v>
      </c>
      <c r="AC111" s="57" t="e">
        <f>VLOOKUP(A111,Enforcements!$C$7:$E$17,3,0)</f>
        <v>#N/A</v>
      </c>
      <c r="AD111" s="58" t="str">
        <f t="shared" si="37"/>
        <v>0198-09</v>
      </c>
      <c r="AE111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111" s="84" t="str">
        <f t="shared" si="39"/>
        <v>"C:\Program Files (x86)\AstroGrep\AstroGrep.exe" /spath="%USERPROFILE%\AppData\Local\Temp\OnboardLogs" /stypes="app*4032*20170110*" /stext=" 00:.+((SYSTEM_STATE.+slice.+state.+changed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88" t="str">
        <f t="shared" si="26"/>
        <v>"%USERPROFILE%\Documents\GitHub\eaglep3\Utilities\RefineRTDCRunTimes.py" --tripid 198-09 --locoid 4032 --swversion DE.1.0.8.0 --startMP 204:232994 --initTime 2017-01-09T16:30:14 --startdatetime 2017-01-09T16:41:17 --delay 1 --endMP 204:139 --enddatetime 2017-01-09T17:22:32 --enforcementcount 0 &gt;&gt;C:\Users\stu\Documents\GitHub\eaglep3-reporting\EC\2017-01-09-refined-times.txt</v>
      </c>
      <c r="AI11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ID","value":"198-09"},{"id":16,"name":"Locomotive ID","value":"4032"},{"id":130,"name":"Impact","value":""},{"id":150,"name":"Time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28"/>
        <v>start /low /b %USERPROFILE%\Documents\GitHub\eaglep3\Utilities\DownloadLogsFromS3.py --loco 4032 --day 2017-01-09</v>
      </c>
    </row>
    <row r="112" spans="1:91" s="21" customFormat="1" x14ac:dyDescent="0.25">
      <c r="A112" s="34" t="s">
        <v>580</v>
      </c>
      <c r="B112" s="7">
        <v>4011</v>
      </c>
      <c r="C112" s="22" t="s">
        <v>203</v>
      </c>
      <c r="D112" s="22" t="s">
        <v>241</v>
      </c>
      <c r="E112" s="13">
        <v>42744.661365740743</v>
      </c>
      <c r="F112" s="13">
        <v>42744.66684027778</v>
      </c>
      <c r="G112" s="7">
        <v>1</v>
      </c>
      <c r="H112" s="22" t="s">
        <v>340</v>
      </c>
      <c r="I112" s="13">
        <v>42744.692245370374</v>
      </c>
      <c r="J112" s="7">
        <v>0</v>
      </c>
      <c r="K112" s="105" t="str">
        <f t="shared" si="29"/>
        <v>4011/4012</v>
      </c>
      <c r="L112" s="22" t="str">
        <f>VLOOKUP(A112,'Trips&amp;Operators'!$C$1:$G$99999,5,FALSE)</f>
        <v>COMELLA JUSTIN</v>
      </c>
      <c r="M112" s="6">
        <f t="shared" si="30"/>
        <v>2.5405092594155576E-2</v>
      </c>
      <c r="N112" s="7">
        <f t="shared" si="44"/>
        <v>36.58333333558403</v>
      </c>
      <c r="O112" s="7"/>
      <c r="P112" s="7"/>
      <c r="Q112" s="23"/>
      <c r="R112" s="23"/>
      <c r="S112" s="32">
        <f t="shared" si="42"/>
        <v>1</v>
      </c>
      <c r="T112" s="47" t="str">
        <f t="shared" si="31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14:52:22-700',mode:absolute,to:'2017-01-09 17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49" t="str">
        <f t="shared" si="33"/>
        <v>N</v>
      </c>
      <c r="X112" s="173">
        <f t="shared" si="43"/>
        <v>1</v>
      </c>
      <c r="Y112" s="64">
        <f t="shared" si="34"/>
        <v>4.53E-2</v>
      </c>
      <c r="Z112" s="64">
        <f t="shared" si="35"/>
        <v>23.3293</v>
      </c>
      <c r="AA112" s="64">
        <f t="shared" si="36"/>
        <v>23.283999999999999</v>
      </c>
      <c r="AB112" s="61" t="e">
        <f>VLOOKUP(A112,Enforcements!$C$7:$K$17,8,0)</f>
        <v>#N/A</v>
      </c>
      <c r="AC112" s="57" t="e">
        <f>VLOOKUP(A112,Enforcements!$C$7:$E$17,3,0)</f>
        <v>#N/A</v>
      </c>
      <c r="AD112" s="58" t="str">
        <f t="shared" si="37"/>
        <v>0199-09</v>
      </c>
      <c r="AE112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12" s="84" t="str">
        <f t="shared" si="39"/>
        <v>"C:\Program Files (x86)\AstroGrep\AstroGrep.exe" /spath="%USERPROFILE%\AppData\Local\Temp\OnboardLogs" /stypes="app*4011*20170109*" /stext=" 23:.+((SYSTEM_STATE.+slice.+state.+changed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88" t="str">
        <f t="shared" si="26"/>
        <v>"%USERPROFILE%\Documents\GitHub\eaglep3\Utilities\RefineRTDCRunTimes.py" --tripid 199-09 --locoid 4011 --swversion DE.1.0.8.0 --startMP 204:453 --initTime 2017-01-09T15:52:22 --startdatetime 2017-01-09T16:00:15 --delay 1 --endMP 204:233293 --enddatetime 2017-01-09T16:36:50 --enforcementcount 0 &gt;&gt;C:\Users\stu\Documents\GitHub\eaglep3-reporting\EC\2017-01-09-refined-times.txt</v>
      </c>
      <c r="AI11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ID","value":"199-09"},{"id":16,"name":"Locomotive ID","value":"4011"},{"id":130,"name":"Impact","value":""},{"id":150,"name":"Time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28"/>
        <v>start /low /b %USERPROFILE%\Documents\GitHub\eaglep3\Utilities\DownloadLogsFromS3.py --loco 4011 --day 2017-01-09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591</v>
      </c>
      <c r="B113" s="7">
        <v>4012</v>
      </c>
      <c r="C113" s="22" t="s">
        <v>203</v>
      </c>
      <c r="D113" s="22" t="s">
        <v>681</v>
      </c>
      <c r="E113" s="13">
        <v>42744.699571759258</v>
      </c>
      <c r="F113" s="13">
        <v>42744.705752314818</v>
      </c>
      <c r="G113" s="7">
        <v>1</v>
      </c>
      <c r="H113" s="22" t="s">
        <v>275</v>
      </c>
      <c r="I113" s="13">
        <v>42744.734699074077</v>
      </c>
      <c r="J113" s="7">
        <v>0</v>
      </c>
      <c r="K113" s="105" t="str">
        <f t="shared" si="29"/>
        <v>4011/4012</v>
      </c>
      <c r="L113" s="22" t="str">
        <f>VLOOKUP(A113,'Trips&amp;Operators'!$C$1:$G$99999,5,FALSE)</f>
        <v>COMELLA JUSTIN</v>
      </c>
      <c r="M113" s="6">
        <f t="shared" si="30"/>
        <v>2.8946759259270038E-2</v>
      </c>
      <c r="N113" s="7">
        <f t="shared" si="44"/>
        <v>41.683333333348855</v>
      </c>
      <c r="O113" s="7"/>
      <c r="P113" s="7"/>
      <c r="Q113" s="23"/>
      <c r="R113" s="23"/>
      <c r="S113" s="32">
        <f t="shared" si="42"/>
        <v>1</v>
      </c>
      <c r="T113" s="47" t="str">
        <f t="shared" si="31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15:47:23-700',mode:absolute,to:'2017-01-09 18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49" t="str">
        <f t="shared" si="33"/>
        <v>N</v>
      </c>
      <c r="X113" s="173">
        <f t="shared" si="43"/>
        <v>1</v>
      </c>
      <c r="Y113" s="64">
        <f t="shared" si="34"/>
        <v>23.297499999999999</v>
      </c>
      <c r="Z113" s="64">
        <f t="shared" si="35"/>
        <v>1.5599999999999999E-2</v>
      </c>
      <c r="AA113" s="64">
        <f t="shared" si="36"/>
        <v>23.2819</v>
      </c>
      <c r="AB113" s="61" t="e">
        <f>VLOOKUP(A113,Enforcements!$C$7:$K$17,8,0)</f>
        <v>#N/A</v>
      </c>
      <c r="AC113" s="57" t="e">
        <f>VLOOKUP(A113,Enforcements!$C$7:$E$17,3,0)</f>
        <v>#N/A</v>
      </c>
      <c r="AD113" s="58" t="str">
        <f t="shared" si="37"/>
        <v>0200-09</v>
      </c>
      <c r="AE113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13" s="84" t="str">
        <f t="shared" si="39"/>
        <v>"C:\Program Files (x86)\AstroGrep\AstroGrep.exe" /spath="%USERPROFILE%\AppData\Local\Temp\OnboardLogs" /stypes="app*4012*20170110*" /stext=" 00:.+((SYSTEM_STATE.+slice.+state.+changed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88" t="str">
        <f t="shared" si="26"/>
        <v>"%USERPROFILE%\Documents\GitHub\eaglep3\Utilities\RefineRTDCRunTimes.py" --tripid 200-09 --locoid 4012 --swversion DE.1.0.8.0 --startMP 204:232975 --initTime 2017-01-09T16:47:23 --startdatetime 2017-01-09T16:56:17 --delay 1 --endMP 204:156 --enddatetime 2017-01-09T17:37:58 --enforcementcount 0 &gt;&gt;C:\Users\stu\Documents\GitHub\eaglep3-reporting\EC\2017-01-09-refined-times.txt</v>
      </c>
      <c r="AI11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ID","value":"200-09"},{"id":16,"name":"Locomotive ID","value":"4012"},{"id":130,"name":"Impact","value":""},{"id":150,"name":"Time of Event (Mountain Time)","value":"17:37:58"},{"id":151,"name":"Denver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28"/>
        <v>start /low /b %USERPROFILE%\Documents\GitHub\eaglep3\Utilities\DownloadLogsFromS3.py --loco 4012 --day 2017-01-09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583</v>
      </c>
      <c r="B114" s="7">
        <v>4042</v>
      </c>
      <c r="C114" s="22" t="s">
        <v>203</v>
      </c>
      <c r="D114" s="22" t="s">
        <v>193</v>
      </c>
      <c r="E114" s="13">
        <v>42744.675752314812</v>
      </c>
      <c r="F114" s="13">
        <v>42744.678437499999</v>
      </c>
      <c r="G114" s="7">
        <v>3</v>
      </c>
      <c r="H114" s="22" t="s">
        <v>304</v>
      </c>
      <c r="I114" s="13">
        <v>42744.703773148147</v>
      </c>
      <c r="J114" s="7">
        <v>0</v>
      </c>
      <c r="K114" s="105" t="str">
        <f t="shared" si="29"/>
        <v>4041/4042</v>
      </c>
      <c r="L114" s="22" t="str">
        <f>VLOOKUP(A114,'Trips&amp;Operators'!$C$1:$G$99999,5,FALSE)</f>
        <v>YANG JAN</v>
      </c>
      <c r="M114" s="6">
        <f t="shared" si="30"/>
        <v>2.5335648148029577E-2</v>
      </c>
      <c r="N114" s="7">
        <f t="shared" si="44"/>
        <v>36.483333333162591</v>
      </c>
      <c r="O114" s="7"/>
      <c r="P114" s="7"/>
      <c r="Q114" s="23"/>
      <c r="R114" s="23"/>
      <c r="S114" s="32">
        <f t="shared" si="42"/>
        <v>1</v>
      </c>
      <c r="T114" s="47" t="str">
        <f t="shared" si="31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15:13:05-700',mode:absolute,to:'2017-01-09 17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4" s="49" t="str">
        <f t="shared" si="33"/>
        <v>N</v>
      </c>
      <c r="X114" s="173">
        <f t="shared" si="43"/>
        <v>1</v>
      </c>
      <c r="Y114" s="64">
        <f t="shared" si="34"/>
        <v>4.4699999999999997E-2</v>
      </c>
      <c r="Z114" s="64">
        <f t="shared" si="35"/>
        <v>23.329499999999999</v>
      </c>
      <c r="AA114" s="64">
        <f t="shared" si="36"/>
        <v>23.284800000000001</v>
      </c>
      <c r="AB114" s="61" t="e">
        <f>VLOOKUP(A114,Enforcements!$C$7:$K$17,8,0)</f>
        <v>#N/A</v>
      </c>
      <c r="AC114" s="57" t="e">
        <f>VLOOKUP(A114,Enforcements!$C$7:$E$17,3,0)</f>
        <v>#N/A</v>
      </c>
      <c r="AD114" s="58" t="str">
        <f t="shared" si="37"/>
        <v>0201-09</v>
      </c>
      <c r="AE114" s="87" t="str">
        <f t="shared" si="38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114" s="84" t="str">
        <f t="shared" si="39"/>
        <v>"C:\Program Files (x86)\AstroGrep\AstroGrep.exe" /spath="%USERPROFILE%\AppData\Local\Temp\OnboardLogs" /stypes="app*4042*20170109*" /stext=" 23:.+((SYSTEM_STATE.+slice.+state.+changed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88" t="str">
        <f t="shared" si="26"/>
        <v>"%USERPROFILE%\Documents\GitHub\eaglep3\Utilities\RefineRTDCRunTimes.py" --tripid 201-09 --locoid 4042 --swversion DE.1.0.8.0 --startMP 204:447 --initTime 2017-01-09T16:13:05 --startdatetime 2017-01-09T16:16:57 --delay 3 --endMP 204:233295 --enddatetime 2017-01-09T16:53:26 --enforcementcount 0 &gt;&gt;C:\Users\stu\Documents\GitHub\eaglep3-reporting\EC\2017-01-09-refined-times.txt</v>
      </c>
      <c r="AI11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ID","value":"201-09"},{"id":16,"name":"Locomotive ID","value":"4042"},{"id":130,"name":"Impact","value":""},{"id":150,"name":"Time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28"/>
        <v>start /low /b %USERPROFILE%\Documents\GitHub\eaglep3\Utilities\DownloadLogsFromS3.py --loco 4042 --day 2017-01-09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593</v>
      </c>
      <c r="B115" s="7">
        <v>4041</v>
      </c>
      <c r="C115" s="22" t="s">
        <v>203</v>
      </c>
      <c r="D115" s="22" t="s">
        <v>713</v>
      </c>
      <c r="E115" s="13">
        <v>42744.711574074077</v>
      </c>
      <c r="F115" s="13">
        <v>42744.71671296296</v>
      </c>
      <c r="G115" s="7">
        <v>2</v>
      </c>
      <c r="H115" s="22" t="s">
        <v>714</v>
      </c>
      <c r="I115" s="13">
        <v>42744.745289351849</v>
      </c>
      <c r="J115" s="7">
        <v>0</v>
      </c>
      <c r="K115" s="105" t="str">
        <f t="shared" si="29"/>
        <v>4041/4042</v>
      </c>
      <c r="L115" s="22" t="str">
        <f>VLOOKUP(A115,'Trips&amp;Operators'!$C$1:$G$99999,5,FALSE)</f>
        <v>YANG JAN</v>
      </c>
      <c r="M115" s="6">
        <f t="shared" si="30"/>
        <v>2.8576388889632653E-2</v>
      </c>
      <c r="N115" s="7">
        <f t="shared" si="44"/>
        <v>41.150000001071021</v>
      </c>
      <c r="O115" s="7"/>
      <c r="P115" s="7"/>
      <c r="Q115" s="23"/>
      <c r="R115" s="23"/>
      <c r="S115" s="32">
        <f t="shared" si="42"/>
        <v>1</v>
      </c>
      <c r="T115" s="47" t="str">
        <f t="shared" si="31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16:04:40-700',mode:absolute,to:'2017-01-09 18:53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5" s="49" t="str">
        <f t="shared" si="33"/>
        <v>N</v>
      </c>
      <c r="X115" s="173">
        <f t="shared" si="43"/>
        <v>1</v>
      </c>
      <c r="Y115" s="64">
        <f t="shared" si="34"/>
        <v>23.299099999999999</v>
      </c>
      <c r="Z115" s="64">
        <f t="shared" si="35"/>
        <v>0.1177</v>
      </c>
      <c r="AA115" s="64">
        <f t="shared" si="36"/>
        <v>23.1814</v>
      </c>
      <c r="AB115" s="61" t="e">
        <f>VLOOKUP(A115,Enforcements!$C$7:$K$17,8,0)</f>
        <v>#N/A</v>
      </c>
      <c r="AC115" s="57" t="e">
        <f>VLOOKUP(A115,Enforcements!$C$7:$E$17,3,0)</f>
        <v>#N/A</v>
      </c>
      <c r="AD115" s="58" t="str">
        <f t="shared" si="37"/>
        <v>0202-09</v>
      </c>
      <c r="AE115" s="87" t="str">
        <f t="shared" si="38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115" s="84" t="str">
        <f t="shared" si="39"/>
        <v>"C:\Program Files (x86)\AstroGrep\AstroGrep.exe" /spath="%USERPROFILE%\AppData\Local\Temp\OnboardLogs" /stypes="app*4041*20170110*"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88" t="str">
        <f t="shared" si="26"/>
        <v>"%USERPROFILE%\Documents\GitHub\eaglep3\Utilities\RefineRTDCRunTimes.py" --tripid 202-09 --locoid 4041 --swversion DE.1.0.8.0 --startMP 204:232991 --initTime 2017-01-09T17:04:40 --startdatetime 2017-01-09T17:12:04 --delay 2 --endMP 204:1177 --enddatetime 2017-01-09T17:53:13 --enforcementcount 0 &gt;&gt;C:\Users\stu\Documents\GitHub\eaglep3-reporting\EC\2017-01-09-refined-times.txt</v>
      </c>
      <c r="AI11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{"issue":{"subject":"","project_id":79,"tracker_id":40,"status_id":1,"priority_id":2,"assigned_to_id":23,"start_date":"2017-01-09","description":"","custom_fields":[{"id":1,"name":"Subdivision","value":"EC"},{"id":4,"name":"Milepost","value":"0.1177"},{"id":17,"name":"Train ID","value":"202-09"},{"id":16,"name":"Locomotive ID","value":"4041"},{"id":130,"name":"Impact","value":""},{"id":150,"name":"Time of Event (Mountain Time)","value":"17:53:13"},{"id":151,"name":"Denver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28"/>
        <v>start /low /b %USERPROFILE%\Documents\GitHub\eaglep3\Utilities\DownloadLogsFromS3.py --loco 4041 --day 2017-01-09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586</v>
      </c>
      <c r="B116" s="7">
        <v>4003</v>
      </c>
      <c r="C116" s="22" t="s">
        <v>203</v>
      </c>
      <c r="D116" s="22" t="s">
        <v>242</v>
      </c>
      <c r="E116" s="13">
        <v>42744.683900462966</v>
      </c>
      <c r="F116" s="13">
        <v>42744.688043981485</v>
      </c>
      <c r="G116" s="7">
        <v>1</v>
      </c>
      <c r="H116" s="22" t="s">
        <v>340</v>
      </c>
      <c r="I116" s="13">
        <v>42744.716238425928</v>
      </c>
      <c r="J116" s="7">
        <v>0</v>
      </c>
      <c r="K116" s="105" t="str">
        <f t="shared" si="29"/>
        <v>4003/4004</v>
      </c>
      <c r="L116" s="22" t="str">
        <f>VLOOKUP(A116,'Trips&amp;Operators'!$C$1:$G$99999,5,FALSE)</f>
        <v>DAVIS MICHAEL</v>
      </c>
      <c r="M116" s="6">
        <f t="shared" si="30"/>
        <v>2.8194444443215616E-2</v>
      </c>
      <c r="N116" s="7">
        <f t="shared" si="44"/>
        <v>40.599999998230487</v>
      </c>
      <c r="O116" s="7"/>
      <c r="P116" s="7"/>
      <c r="Q116" s="23"/>
      <c r="R116" s="23"/>
      <c r="S116" s="32">
        <f t="shared" si="42"/>
        <v>1</v>
      </c>
      <c r="T116" s="47" t="str">
        <f t="shared" si="31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15:24:49-700',mode:absolute,to:'2017-01-09 18:11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6" s="49" t="str">
        <f t="shared" si="33"/>
        <v>N</v>
      </c>
      <c r="X116" s="173">
        <f t="shared" si="43"/>
        <v>1</v>
      </c>
      <c r="Y116" s="64">
        <f t="shared" si="34"/>
        <v>4.6399999999999997E-2</v>
      </c>
      <c r="Z116" s="64">
        <f t="shared" si="35"/>
        <v>23.3293</v>
      </c>
      <c r="AA116" s="64">
        <f t="shared" si="36"/>
        <v>23.282900000000001</v>
      </c>
      <c r="AB116" s="61" t="e">
        <f>VLOOKUP(A116,Enforcements!$C$7:$K$17,8,0)</f>
        <v>#N/A</v>
      </c>
      <c r="AC116" s="57" t="e">
        <f>VLOOKUP(A116,Enforcements!$C$7:$E$17,3,0)</f>
        <v>#N/A</v>
      </c>
      <c r="AD116" s="58" t="str">
        <f t="shared" si="37"/>
        <v>0203-09</v>
      </c>
      <c r="AE116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16" s="84" t="str">
        <f t="shared" si="39"/>
        <v>"C:\Program Files (x86)\AstroGrep\AstroGrep.exe" /spath="%USERPROFILE%\AppData\Local\Temp\OnboardLogs" /stypes="app*4003*20170110*" /stext=" 00:.+((SYSTEM_STATE.+slice.+state.+changed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88" t="str">
        <f t="shared" si="26"/>
        <v>"%USERPROFILE%\Documents\GitHub\eaglep3\Utilities\RefineRTDCRunTimes.py" --tripid 203-09 --locoid 4003 --swversion DE.1.0.8.0 --startMP 204:464 --initTime 2017-01-09T16:24:49 --startdatetime 2017-01-09T16:30:47 --delay 1 --endMP 204:233293 --enddatetime 2017-01-09T17:11:23 --enforcementcount 0 &gt;&gt;C:\Users\stu\Documents\GitHub\eaglep3-reporting\EC\2017-01-09-refined-times.txt</v>
      </c>
      <c r="AI11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ID","value":"203-09"},{"id":16,"name":"Locomotive ID","value":"4003"},{"id":130,"name":"Impact","value":""},{"id":150,"name":"Time of Event (Mountain Time)","value":"17:11:23"},{"id":151,"name":"Denver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28"/>
        <v>start /low /b %USERPROFILE%\Documents\GitHub\eaglep3\Utilities\DownloadLogsFromS3.py --loco 4003 --day 2017-01-09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597</v>
      </c>
      <c r="B117" s="7">
        <v>4004</v>
      </c>
      <c r="C117" s="22" t="s">
        <v>203</v>
      </c>
      <c r="D117" s="22" t="s">
        <v>715</v>
      </c>
      <c r="E117" s="13">
        <v>42744.722638888888</v>
      </c>
      <c r="F117" s="13">
        <v>42744.72693287037</v>
      </c>
      <c r="G117" s="7">
        <v>1</v>
      </c>
      <c r="H117" s="22" t="s">
        <v>192</v>
      </c>
      <c r="I117" s="13">
        <v>42744.756076388891</v>
      </c>
      <c r="J117" s="7">
        <v>0</v>
      </c>
      <c r="K117" s="105" t="str">
        <f t="shared" si="29"/>
        <v>4003/4004</v>
      </c>
      <c r="L117" s="22" t="str">
        <f>VLOOKUP(A117,'Trips&amp;Operators'!$C$1:$G$99999,5,FALSE)</f>
        <v>DAVIS MICHAEL</v>
      </c>
      <c r="M117" s="6">
        <f t="shared" si="30"/>
        <v>2.9143518520868383E-2</v>
      </c>
      <c r="N117" s="7">
        <f t="shared" si="44"/>
        <v>41.966666670050472</v>
      </c>
      <c r="O117" s="7"/>
      <c r="P117" s="7"/>
      <c r="Q117" s="23"/>
      <c r="R117" s="23"/>
      <c r="S117" s="32">
        <f t="shared" ref="S117:S148" si="45">SUM(U117:U117)/IF(AG117="EC",12,1)</f>
        <v>1</v>
      </c>
      <c r="T117" s="47" t="str">
        <f t="shared" si="31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16:20:36-700',mode:absolute,to:'2017-01-09 19:08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7" s="49" t="str">
        <f t="shared" si="33"/>
        <v>N</v>
      </c>
      <c r="X117" s="173">
        <f t="shared" si="43"/>
        <v>1</v>
      </c>
      <c r="Y117" s="64">
        <f t="shared" si="34"/>
        <v>23.296299999999999</v>
      </c>
      <c r="Z117" s="64">
        <f t="shared" si="35"/>
        <v>1.43E-2</v>
      </c>
      <c r="AA117" s="64">
        <f t="shared" si="36"/>
        <v>23.282</v>
      </c>
      <c r="AB117" s="61" t="e">
        <f>VLOOKUP(A117,Enforcements!$C$7:$K$17,8,0)</f>
        <v>#N/A</v>
      </c>
      <c r="AC117" s="57" t="e">
        <f>VLOOKUP(A117,Enforcements!$C$7:$E$17,3,0)</f>
        <v>#N/A</v>
      </c>
      <c r="AD117" s="58" t="str">
        <f t="shared" si="37"/>
        <v>0204-09</v>
      </c>
      <c r="AE117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17" s="84" t="str">
        <f t="shared" si="39"/>
        <v>"C:\Program Files (x86)\AstroGrep\AstroGrep.exe" /spath="%USERPROFILE%\AppData\Local\Temp\OnboardLogs" /stypes="app*4004*20170110*" /stext=" 01:.+((SYSTEM_STATE.+slice.+state.+changed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88" t="str">
        <f t="shared" si="26"/>
        <v>"%USERPROFILE%\Documents\GitHub\eaglep3\Utilities\RefineRTDCRunTimes.py" --tripid 204-09 --locoid 4004 --swversion DE.1.0.8.0 --startMP 204:232963 --initTime 2017-01-09T17:20:36 --startdatetime 2017-01-09T17:26:47 --delay 1 --endMP 204:143 --enddatetime 2017-01-09T18:08:45 --enforcementcount 0 &gt;&gt;C:\Users\stu\Documents\GitHub\eaglep3-reporting\EC\2017-01-09-refined-times.txt</v>
      </c>
      <c r="AI11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{"issue":{"subject":"","project_id":79,"tracker_id":40,"status_id":1,"priority_id":2,"assigned_to_id":23,"start_date":"2017-01-09","description":"","custom_fields":[{"id":1,"name":"Subdivision","value":"EC"},{"id":4,"name":"Milepost","value":"0.0143"},{"id":17,"name":"Train ID","value":"204-09"},{"id":16,"name":"Locomotive ID","value":"4004"},{"id":130,"name":"Impact","value":""},{"id":150,"name":"Time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28"/>
        <v>start /low /b %USERPROFILE%\Documents\GitHub\eaglep3\Utilities\DownloadLogsFromS3.py --loco 4004 --day 2017-01-09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590</v>
      </c>
      <c r="B118" s="7">
        <v>4044</v>
      </c>
      <c r="C118" s="22" t="s">
        <v>203</v>
      </c>
      <c r="D118" s="22" t="s">
        <v>224</v>
      </c>
      <c r="E118" s="13">
        <v>42744.693912037037</v>
      </c>
      <c r="F118" s="13">
        <v>42744.698101851849</v>
      </c>
      <c r="G118" s="7">
        <v>1</v>
      </c>
      <c r="H118" s="22" t="s">
        <v>414</v>
      </c>
      <c r="I118" s="13">
        <v>42744.728078703702</v>
      </c>
      <c r="J118" s="7">
        <v>0</v>
      </c>
      <c r="K118" s="105" t="str">
        <f t="shared" si="29"/>
        <v>4043/4044</v>
      </c>
      <c r="L118" s="22" t="str">
        <f>VLOOKUP(A118,'Trips&amp;Operators'!$C$1:$G$99999,5,FALSE)</f>
        <v>CLARK KATHLEEN</v>
      </c>
      <c r="M118" s="6">
        <f t="shared" si="30"/>
        <v>2.99768518525525E-2</v>
      </c>
      <c r="N118" s="7">
        <f t="shared" si="44"/>
        <v>43.166666667675599</v>
      </c>
      <c r="O118" s="7"/>
      <c r="P118" s="7"/>
      <c r="Q118" s="23"/>
      <c r="R118" s="23"/>
      <c r="S118" s="32">
        <f t="shared" si="45"/>
        <v>1</v>
      </c>
      <c r="T118" s="47" t="str">
        <f t="shared" si="31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15:39:14-700',mode:absolute,to:'2017-01-09 18:28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8" s="49" t="str">
        <f t="shared" si="33"/>
        <v>N</v>
      </c>
      <c r="X118" s="173">
        <f t="shared" si="43"/>
        <v>1</v>
      </c>
      <c r="Y118" s="64">
        <f t="shared" si="34"/>
        <v>4.5499999999999999E-2</v>
      </c>
      <c r="Z118" s="64">
        <f t="shared" si="35"/>
        <v>23.328099999999999</v>
      </c>
      <c r="AA118" s="64">
        <f t="shared" si="36"/>
        <v>23.282599999999999</v>
      </c>
      <c r="AB118" s="61" t="e">
        <f>VLOOKUP(A118,Enforcements!$C$7:$K$17,8,0)</f>
        <v>#N/A</v>
      </c>
      <c r="AC118" s="57" t="e">
        <f>VLOOKUP(A118,Enforcements!$C$7:$E$17,3,0)</f>
        <v>#N/A</v>
      </c>
      <c r="AD118" s="58" t="str">
        <f t="shared" si="37"/>
        <v>0205-09</v>
      </c>
      <c r="AE118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18" s="84" t="str">
        <f t="shared" si="39"/>
        <v>"C:\Program Files (x86)\AstroGrep\AstroGrep.exe" /spath="%USERPROFILE%\AppData\Local\Temp\OnboardLogs" /stypes="app*4044*20170110*" /stext=" 00:.+((SYSTEM_STATE.+slice.+state.+changed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88" t="str">
        <f t="shared" si="26"/>
        <v>"%USERPROFILE%\Documents\GitHub\eaglep3\Utilities\RefineRTDCRunTimes.py" --tripid 205-09 --locoid 4044 --swversion DE.1.0.8.0 --startMP 204:455 --initTime 2017-01-09T16:39:14 --startdatetime 2017-01-09T16:45:16 --delay 1 --endMP 204:233281 --enddatetime 2017-01-09T17:28:26 --enforcementcount 0 &gt;&gt;C:\Users\stu\Documents\GitHub\eaglep3-reporting\EC\2017-01-09-refined-times.txt</v>
      </c>
      <c r="AI11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{"issue":{"subject":"","project_id":79,"tracker_id":40,"status_id":1,"priority_id":2,"assigned_to_id":23,"start_date":"2017-01-09","description":"","custom_fields":[{"id":1,"name":"Subdivision","value":"EC"},{"id":4,"name":"Milepost","value":"23.3281"},{"id":17,"name":"Train ID","value":"205-09"},{"id":16,"name":"Locomotive ID","value":"4044"},{"id":130,"name":"Impact","value":""},{"id":150,"name":"Time of Event (Mountain Time)","value":"17:28:26"},{"id":151,"name":"Denver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28"/>
        <v>start /low /b %USERPROFILE%\Documents\GitHub\eaglep3\Utilities\DownloadLogsFromS3.py --loco 4044 --day 2017-01-09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606</v>
      </c>
      <c r="B119" s="7">
        <v>4043</v>
      </c>
      <c r="C119" s="22" t="s">
        <v>203</v>
      </c>
      <c r="D119" s="22" t="s">
        <v>710</v>
      </c>
      <c r="E119" s="13">
        <v>42744.734861111108</v>
      </c>
      <c r="F119" s="13">
        <v>42744.737013888887</v>
      </c>
      <c r="G119" s="7">
        <v>1</v>
      </c>
      <c r="H119" s="22" t="s">
        <v>389</v>
      </c>
      <c r="I119" s="13">
        <v>42744.765879629631</v>
      </c>
      <c r="J119" s="7">
        <v>0</v>
      </c>
      <c r="K119" s="105" t="str">
        <f t="shared" si="29"/>
        <v>4043/4044</v>
      </c>
      <c r="L119" s="22" t="str">
        <f>VLOOKUP(A119,'Trips&amp;Operators'!$C$1:$G$99999,5,FALSE)</f>
        <v>CLARK KATHLEEN</v>
      </c>
      <c r="M119" s="6">
        <f t="shared" si="30"/>
        <v>2.8865740743640345E-2</v>
      </c>
      <c r="N119" s="7">
        <f t="shared" si="44"/>
        <v>41.566666670842096</v>
      </c>
      <c r="O119" s="7"/>
      <c r="P119" s="7"/>
      <c r="Q119" s="23"/>
      <c r="R119" s="23"/>
      <c r="S119" s="32">
        <f t="shared" si="45"/>
        <v>1</v>
      </c>
      <c r="T119" s="47" t="str">
        <f t="shared" si="31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16:38:12-700',mode:absolute,to:'2017-01-09 19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9" s="49" t="str">
        <f t="shared" si="33"/>
        <v>N</v>
      </c>
      <c r="X119" s="173">
        <f t="shared" si="43"/>
        <v>1</v>
      </c>
      <c r="Y119" s="64">
        <f t="shared" si="34"/>
        <v>23.2972</v>
      </c>
      <c r="Z119" s="64">
        <f t="shared" si="35"/>
        <v>1.61E-2</v>
      </c>
      <c r="AA119" s="64">
        <f t="shared" si="36"/>
        <v>23.281099999999999</v>
      </c>
      <c r="AB119" s="61" t="e">
        <f>VLOOKUP(A119,Enforcements!$C$7:$K$17,8,0)</f>
        <v>#N/A</v>
      </c>
      <c r="AC119" s="57" t="e">
        <f>VLOOKUP(A119,Enforcements!$C$7:$E$17,3,0)</f>
        <v>#N/A</v>
      </c>
      <c r="AD119" s="58" t="str">
        <f t="shared" si="37"/>
        <v>0206-09</v>
      </c>
      <c r="AE119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19" s="84" t="str">
        <f t="shared" si="39"/>
        <v>"C:\Program Files (x86)\AstroGrep\AstroGrep.exe" /spath="%USERPROFILE%\AppData\Local\Temp\OnboardLogs" /stypes="app*4043*20170110*" /stext=" 01:.+((SYSTEM_STATE.+slice.+state.+changed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88" t="str">
        <f t="shared" si="26"/>
        <v>"%USERPROFILE%\Documents\GitHub\eaglep3\Utilities\RefineRTDCRunTimes.py" --tripid 206-09 --locoid 4043 --swversion DE.1.0.8.0 --startMP 204:232972 --initTime 2017-01-09T17:38:12 --startdatetime 2017-01-09T17:41:18 --delay 1 --endMP 204:161 --enddatetime 2017-01-09T18:22:52 --enforcementcount 0 &gt;&gt;C:\Users\stu\Documents\GitHub\eaglep3-reporting\EC\2017-01-09-refined-times.txt</v>
      </c>
      <c r="AI11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{"issue":{"subject":"","project_id":79,"tracker_id":40,"status_id":1,"priority_id":2,"assigned_to_id":23,"start_date":"2017-01-09","description":"","custom_fields":[{"id":1,"name":"Subdivision","value":"EC"},{"id":4,"name":"Milepost","value":"0.0161"},{"id":17,"name":"Train ID","value":"206-09"},{"id":16,"name":"Locomotive ID","value":"4043"},{"id":130,"name":"Impact","value":""},{"id":150,"name":"Time of Event (Mountain Time)","value":"18:22:52"},{"id":151,"name":"Denver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28"/>
        <v>start /low /b %USERPROFILE%\Documents\GitHub\eaglep3\Utilities\DownloadLogsFromS3.py --loco 4043 --day 2017-01-09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592</v>
      </c>
      <c r="B120" s="7">
        <v>4020</v>
      </c>
      <c r="C120" s="22" t="s">
        <v>203</v>
      </c>
      <c r="D120" s="22" t="s">
        <v>412</v>
      </c>
      <c r="E120" s="13">
        <v>42744.702766203707</v>
      </c>
      <c r="F120" s="13">
        <v>42744.708784722221</v>
      </c>
      <c r="G120" s="7">
        <v>1</v>
      </c>
      <c r="H120" s="22" t="s">
        <v>304</v>
      </c>
      <c r="I120" s="13">
        <v>42744.733854166669</v>
      </c>
      <c r="J120" s="7">
        <v>0</v>
      </c>
      <c r="K120" s="105" t="str">
        <f t="shared" si="29"/>
        <v>4019/4020</v>
      </c>
      <c r="L120" s="22" t="str">
        <f>VLOOKUP(A120,'Trips&amp;Operators'!$C$1:$G$99999,5,FALSE)</f>
        <v>ADANE ELSHADAY</v>
      </c>
      <c r="M120" s="6">
        <f t="shared" si="30"/>
        <v>2.5069444447581191E-2</v>
      </c>
      <c r="N120" s="7">
        <f t="shared" si="44"/>
        <v>36.100000004516914</v>
      </c>
      <c r="O120" s="7"/>
      <c r="P120" s="7"/>
      <c r="Q120" s="23"/>
      <c r="R120" s="23"/>
      <c r="S120" s="32">
        <f t="shared" si="45"/>
        <v>1</v>
      </c>
      <c r="T120" s="47" t="str">
        <f t="shared" si="31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15:51:59-700',mode:absolute,to:'2017-01-09 18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0" s="49" t="str">
        <f t="shared" si="33"/>
        <v>N</v>
      </c>
      <c r="X120" s="173">
        <f t="shared" si="43"/>
        <v>1</v>
      </c>
      <c r="Y120" s="64">
        <f t="shared" si="34"/>
        <v>4.7699999999999999E-2</v>
      </c>
      <c r="Z120" s="64">
        <f t="shared" si="35"/>
        <v>23.329499999999999</v>
      </c>
      <c r="AA120" s="64">
        <f t="shared" si="36"/>
        <v>23.2818</v>
      </c>
      <c r="AB120" s="61" t="e">
        <f>VLOOKUP(A120,Enforcements!$C$7:$K$17,8,0)</f>
        <v>#N/A</v>
      </c>
      <c r="AC120" s="57" t="e">
        <f>VLOOKUP(A120,Enforcements!$C$7:$E$17,3,0)</f>
        <v>#N/A</v>
      </c>
      <c r="AD120" s="58" t="str">
        <f t="shared" si="37"/>
        <v>0207-09</v>
      </c>
      <c r="AE120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120" s="84" t="str">
        <f t="shared" si="39"/>
        <v>"C:\Program Files (x86)\AstroGrep\AstroGrep.exe" /spath="%USERPROFILE%\AppData\Local\Temp\OnboardLogs" /stypes="app*4020*20170110*" /stext=" 00:.+((SYSTEM_STATE.+slice.+state.+changed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88" t="str">
        <f t="shared" si="26"/>
        <v>"%USERPROFILE%\Documents\GitHub\eaglep3\Utilities\RefineRTDCRunTimes.py" --tripid 207-09 --locoid 4020 --swversion DE.1.0.8.0 --startMP 204:477 --initTime 2017-01-09T16:51:59 --startdatetime 2017-01-09T17:00:39 --delay 1 --endMP 204:233295 --enddatetime 2017-01-09T17:36:45 --enforcementcount 0 &gt;&gt;C:\Users\stu\Documents\GitHub\eaglep3-reporting\EC\2017-01-09-refined-times.txt</v>
      </c>
      <c r="AI12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ID","value":"207-09"},{"id":16,"name":"Locomotive ID","value":"4020"},{"id":130,"name":"Impact","value":""},{"id":150,"name":"Time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28"/>
        <v>start /low /b %USERPROFILE%\Documents\GitHub\eaglep3\Utilities\DownloadLogsFromS3.py --loco 4020 --day 2017-01-09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450</v>
      </c>
      <c r="B121" s="7">
        <v>4019</v>
      </c>
      <c r="C121" s="22" t="s">
        <v>203</v>
      </c>
      <c r="D121" s="22" t="s">
        <v>391</v>
      </c>
      <c r="E121" s="13">
        <v>42744.735555555555</v>
      </c>
      <c r="F121" s="13">
        <v>42744.747685185182</v>
      </c>
      <c r="G121" s="7">
        <v>1</v>
      </c>
      <c r="H121" s="22" t="s">
        <v>716</v>
      </c>
      <c r="I121" s="13">
        <v>42744.7734375</v>
      </c>
      <c r="J121" s="7">
        <v>0</v>
      </c>
      <c r="K121" s="105" t="str">
        <f t="shared" si="29"/>
        <v>4019/4020</v>
      </c>
      <c r="L121" s="22" t="str">
        <f>VLOOKUP(A121,'Trips&amp;Operators'!$C$1:$G$99999,5,FALSE)</f>
        <v>ADANE ELSHADAY</v>
      </c>
      <c r="M121" s="6">
        <f t="shared" si="30"/>
        <v>2.5752314817509614E-2</v>
      </c>
      <c r="N121" s="7">
        <f t="shared" si="44"/>
        <v>37.083333337213844</v>
      </c>
      <c r="O121" s="7"/>
      <c r="P121" s="7"/>
      <c r="Q121" s="23"/>
      <c r="R121" s="23"/>
      <c r="S121" s="32">
        <f t="shared" si="45"/>
        <v>1</v>
      </c>
      <c r="T121" s="47" t="str">
        <f t="shared" si="31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16:39:12-700',mode:absolute,to:'2017-01-09 19:33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1" s="49" t="str">
        <f t="shared" si="33"/>
        <v>N</v>
      </c>
      <c r="X121" s="173">
        <f t="shared" si="43"/>
        <v>1</v>
      </c>
      <c r="Y121" s="64">
        <f t="shared" si="34"/>
        <v>23.297799999999999</v>
      </c>
      <c r="Z121" s="64">
        <f t="shared" si="35"/>
        <v>9.06E-2</v>
      </c>
      <c r="AA121" s="64">
        <f t="shared" si="36"/>
        <v>23.2072</v>
      </c>
      <c r="AB121" s="61" t="e">
        <f>VLOOKUP(A121,Enforcements!$C$7:$K$17,8,0)</f>
        <v>#N/A</v>
      </c>
      <c r="AC121" s="57" t="e">
        <f>VLOOKUP(A121,Enforcements!$C$7:$E$17,3,0)</f>
        <v>#N/A</v>
      </c>
      <c r="AD121" s="58" t="str">
        <f t="shared" si="37"/>
        <v>0208-09</v>
      </c>
      <c r="AE121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121" s="84" t="str">
        <f t="shared" si="39"/>
        <v>"C:\Program Files (x86)\AstroGrep\AstroGrep.exe" /spath="%USERPROFILE%\AppData\Local\Temp\OnboardLogs" /stypes="app*4019*20170110*" /stext=" 01:.+((SYSTEM_STATE.+slice.+state.+changed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88" t="str">
        <f t="shared" si="26"/>
        <v>"%USERPROFILE%\Documents\GitHub\eaglep3\Utilities\RefineRTDCRunTimes.py" --tripid 208-09 --locoid 4019 --swversion DE.1.0.8.0 --startMP 204:232978 --initTime 2017-01-09T17:39:12 --startdatetime 2017-01-09T17:56:40 --delay 1 --endMP 204:906 --enddatetime 2017-01-09T18:33:45 --enforcementcount 0 &gt;&gt;C:\Users\stu\Documents\GitHub\eaglep3-reporting\EC\2017-01-09-refined-times.txt</v>
      </c>
      <c r="AI12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{"issue":{"subject":"","project_id":79,"tracker_id":40,"status_id":1,"priority_id":2,"assigned_to_id":23,"start_date":"2017-01-09","description":"","custom_fields":[{"id":1,"name":"Subdivision","value":"EC"},{"id":4,"name":"Milepost","value":"0.0906"},{"id":17,"name":"Train ID","value":"208-09"},{"id":16,"name":"Locomotive ID","value":"4019"},{"id":130,"name":"Impact","value":""},{"id":150,"name":"Time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28"/>
        <v>start /low /b %USERPROFILE%\Documents\GitHub\eaglep3\Utilities\DownloadLogsFromS3.py --loco 4019 --day 2017-01-09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596</v>
      </c>
      <c r="B122" s="7">
        <v>4046</v>
      </c>
      <c r="C122" s="22" t="s">
        <v>203</v>
      </c>
      <c r="D122" s="22" t="s">
        <v>318</v>
      </c>
      <c r="E122" s="13">
        <v>42744.717592592591</v>
      </c>
      <c r="F122" s="13">
        <v>42744.719224537039</v>
      </c>
      <c r="G122" s="7">
        <v>1</v>
      </c>
      <c r="H122" s="22" t="s">
        <v>252</v>
      </c>
      <c r="I122" s="13">
        <v>42744.744537037041</v>
      </c>
      <c r="J122" s="7">
        <v>0</v>
      </c>
      <c r="K122" s="105" t="str">
        <f t="shared" si="29"/>
        <v>4045/4046</v>
      </c>
      <c r="L122" s="22" t="str">
        <f>VLOOKUP(A122,'Trips&amp;Operators'!$C$1:$G$99999,5,FALSE)</f>
        <v>CHANDLER KELVIN</v>
      </c>
      <c r="M122" s="6">
        <f t="shared" si="30"/>
        <v>2.531250000174623E-2</v>
      </c>
      <c r="N122" s="7">
        <f t="shared" si="44"/>
        <v>36.450000002514571</v>
      </c>
      <c r="O122" s="7"/>
      <c r="P122" s="7"/>
      <c r="Q122" s="23"/>
      <c r="R122" s="23"/>
      <c r="S122" s="32">
        <f t="shared" si="45"/>
        <v>1</v>
      </c>
      <c r="T122" s="47" t="str">
        <f t="shared" si="31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16:13:20-700',mode:absolute,to:'2017-01-09 18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2" s="49" t="str">
        <f t="shared" si="33"/>
        <v>N</v>
      </c>
      <c r="X122" s="173">
        <f t="shared" si="43"/>
        <v>1</v>
      </c>
      <c r="Y122" s="64">
        <f t="shared" si="34"/>
        <v>4.6600000000000003E-2</v>
      </c>
      <c r="Z122" s="64">
        <f t="shared" si="35"/>
        <v>23.328900000000001</v>
      </c>
      <c r="AA122" s="64">
        <f t="shared" si="36"/>
        <v>23.282299999999999</v>
      </c>
      <c r="AB122" s="61" t="e">
        <f>VLOOKUP(A122,Enforcements!$C$7:$K$17,8,0)</f>
        <v>#N/A</v>
      </c>
      <c r="AC122" s="57" t="e">
        <f>VLOOKUP(A122,Enforcements!$C$7:$E$17,3,0)</f>
        <v>#N/A</v>
      </c>
      <c r="AD122" s="58" t="str">
        <f t="shared" si="37"/>
        <v>0209-09</v>
      </c>
      <c r="AE122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22" s="84" t="str">
        <f t="shared" si="39"/>
        <v>"C:\Program Files (x86)\AstroGrep\AstroGrep.exe" /spath="%USERPROFILE%\AppData\Local\Temp\OnboardLogs" /stypes="app*4046*20170110*" /stext=" 00:.+((SYSTEM_STATE.+slice.+state.+changed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88" t="str">
        <f t="shared" si="26"/>
        <v>"%USERPROFILE%\Documents\GitHub\eaglep3\Utilities\RefineRTDCRunTimes.py" --tripid 209-09 --locoid 4046 --swversion DE.1.0.8.0 --startMP 204:466 --initTime 2017-01-09T17:13:20 --startdatetime 2017-01-09T17:15:41 --delay 1 --endMP 204:233289 --enddatetime 2017-01-09T17:52:08 --enforcementcount 0 &gt;&gt;C:\Users\stu\Documents\GitHub\eaglep3-reporting\EC\2017-01-09-refined-times.txt</v>
      </c>
      <c r="AI12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{"issue":{"subject":"","project_id":79,"tracker_id":40,"status_id":1,"priority_id":2,"assigned_to_id":23,"start_date":"2017-01-09","description":"","custom_fields":[{"id":1,"name":"Subdivision","value":"EC"},{"id":4,"name":"Milepost","value":"23.3289"},{"id":17,"name":"Train ID","value":"209-09"},{"id":16,"name":"Locomotive ID","value":"4046"},{"id":130,"name":"Impact","value":""},{"id":150,"name":"Time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28"/>
        <v>start /low /b %USERPROFILE%\Documents\GitHub\eaglep3\Utilities\DownloadLogsFromS3.py --loco 4046 --day 2017-01-09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612</v>
      </c>
      <c r="B123" s="7">
        <v>4045</v>
      </c>
      <c r="C123" s="22" t="s">
        <v>203</v>
      </c>
      <c r="D123" s="22" t="s">
        <v>348</v>
      </c>
      <c r="E123" s="13">
        <v>42744.756504629629</v>
      </c>
      <c r="F123" s="13">
        <v>42744.758240740739</v>
      </c>
      <c r="G123" s="7">
        <v>1</v>
      </c>
      <c r="H123" s="22" t="s">
        <v>228</v>
      </c>
      <c r="I123" s="13">
        <v>42744.78565972222</v>
      </c>
      <c r="J123" s="7">
        <v>0</v>
      </c>
      <c r="K123" s="105" t="str">
        <f t="shared" si="29"/>
        <v>4045/4046</v>
      </c>
      <c r="L123" s="22" t="str">
        <f>VLOOKUP(A123,'Trips&amp;Operators'!$C$1:$G$99999,5,FALSE)</f>
        <v>CHANDLER KELVIN</v>
      </c>
      <c r="M123" s="6">
        <f t="shared" si="30"/>
        <v>2.7418981480877846E-2</v>
      </c>
      <c r="N123" s="7">
        <f t="shared" si="44"/>
        <v>39.483333332464099</v>
      </c>
      <c r="O123" s="7"/>
      <c r="P123" s="7"/>
      <c r="Q123" s="23"/>
      <c r="R123" s="23"/>
      <c r="S123" s="32">
        <f t="shared" si="45"/>
        <v>1</v>
      </c>
      <c r="T123" s="47" t="str">
        <f t="shared" si="31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17:09:22-700',mode:absolute,to:'2017-01-09 19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3" s="49" t="str">
        <f t="shared" si="33"/>
        <v>N</v>
      </c>
      <c r="X123" s="173">
        <f t="shared" si="43"/>
        <v>1</v>
      </c>
      <c r="Y123" s="64">
        <f t="shared" si="34"/>
        <v>23.2974</v>
      </c>
      <c r="Z123" s="64">
        <f t="shared" si="35"/>
        <v>1.4500000000000001E-2</v>
      </c>
      <c r="AA123" s="64">
        <f t="shared" si="36"/>
        <v>23.282899999999998</v>
      </c>
      <c r="AB123" s="61" t="e">
        <f>VLOOKUP(A123,Enforcements!$C$7:$K$17,8,0)</f>
        <v>#N/A</v>
      </c>
      <c r="AC123" s="57" t="e">
        <f>VLOOKUP(A123,Enforcements!$C$7:$E$17,3,0)</f>
        <v>#N/A</v>
      </c>
      <c r="AD123" s="58" t="str">
        <f t="shared" si="37"/>
        <v>0210-09</v>
      </c>
      <c r="AE123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23" s="84" t="str">
        <f t="shared" si="39"/>
        <v>"C:\Program Files (x86)\AstroGrep\AstroGrep.exe" /spath="%USERPROFILE%\AppData\Local\Temp\OnboardLogs" /stypes="app*4045*20170110*"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88" t="str">
        <f t="shared" si="26"/>
        <v>"%USERPROFILE%\Documents\GitHub\eaglep3\Utilities\RefineRTDCRunTimes.py" --tripid 210-09 --locoid 4045 --swversion DE.1.0.8.0 --startMP 204:232974 --initTime 2017-01-09T18:09:22 --startdatetime 2017-01-09T18:11:52 --delay 1 --endMP 204:145 --enddatetime 2017-01-09T18:51:21 --enforcementcount 0 &gt;&gt;C:\Users\stu\Documents\GitHub\eaglep3-reporting\EC\2017-01-09-refined-times.txt</v>
      </c>
      <c r="AI12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ID","value":"210-09"},{"id":16,"name":"Locomotive ID","value":"4045"},{"id":130,"name":"Impact","value":""},{"id":150,"name":"Time of Event (Mountain Time)","value":"18:51:21"},{"id":151,"name":"Denver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28"/>
        <v>start /low /b %USERPROFILE%\Documents\GitHub\eaglep3\Utilities\DownloadLogsFromS3.py --loco 4045 --day 2017-01-09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602</v>
      </c>
      <c r="B124" s="7">
        <v>4031</v>
      </c>
      <c r="C124" s="22" t="s">
        <v>203</v>
      </c>
      <c r="D124" s="22" t="s">
        <v>194</v>
      </c>
      <c r="E124" s="13">
        <v>42744.725347222222</v>
      </c>
      <c r="F124" s="13">
        <v>42744.729328703703</v>
      </c>
      <c r="G124" s="7">
        <v>1</v>
      </c>
      <c r="H124" s="22" t="s">
        <v>304</v>
      </c>
      <c r="I124" s="13">
        <v>42744.754918981482</v>
      </c>
      <c r="J124" s="7">
        <v>0</v>
      </c>
      <c r="K124" s="105" t="str">
        <f t="shared" si="29"/>
        <v>4031/4032</v>
      </c>
      <c r="L124" s="22" t="str">
        <f>VLOOKUP(A124,'Trips&amp;Operators'!$C$1:$G$99999,5,FALSE)</f>
        <v>CRAYTON QUNTRELL</v>
      </c>
      <c r="M124" s="6">
        <f t="shared" si="30"/>
        <v>2.5590277778974269E-2</v>
      </c>
      <c r="N124" s="7">
        <f t="shared" si="44"/>
        <v>36.850000001722947</v>
      </c>
      <c r="O124" s="7"/>
      <c r="P124" s="7"/>
      <c r="Q124" s="23"/>
      <c r="R124" s="23"/>
      <c r="S124" s="32">
        <f t="shared" si="45"/>
        <v>1</v>
      </c>
      <c r="T124" s="47" t="str">
        <f t="shared" si="31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16:24:30-700',mode:absolute,to:'2017-01-09 19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4" s="49" t="str">
        <f t="shared" si="33"/>
        <v>N</v>
      </c>
      <c r="X124" s="173">
        <f t="shared" si="43"/>
        <v>1</v>
      </c>
      <c r="Y124" s="64">
        <f t="shared" si="34"/>
        <v>4.5100000000000001E-2</v>
      </c>
      <c r="Z124" s="64">
        <f t="shared" si="35"/>
        <v>23.329499999999999</v>
      </c>
      <c r="AA124" s="64">
        <f t="shared" si="36"/>
        <v>23.284399999999998</v>
      </c>
      <c r="AB124" s="61" t="e">
        <f>VLOOKUP(A124,Enforcements!$C$7:$K$17,8,0)</f>
        <v>#N/A</v>
      </c>
      <c r="AC124" s="57" t="e">
        <f>VLOOKUP(A124,Enforcements!$C$7:$E$17,3,0)</f>
        <v>#N/A</v>
      </c>
      <c r="AD124" s="58" t="str">
        <f t="shared" si="37"/>
        <v>0211-09</v>
      </c>
      <c r="AE124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124" s="84" t="str">
        <f t="shared" si="39"/>
        <v>"C:\Program Files (x86)\AstroGrep\AstroGrep.exe" /spath="%USERPROFILE%\AppData\Local\Temp\OnboardLogs" /stypes="app*4031*20170110*" /stext=" 01:.+((SYSTEM_STATE.+slice.+state.+changed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88" t="str">
        <f t="shared" si="26"/>
        <v>"%USERPROFILE%\Documents\GitHub\eaglep3\Utilities\RefineRTDCRunTimes.py" --tripid 211-09 --locoid 4031 --swversion DE.1.0.8.0 --startMP 204:451 --initTime 2017-01-09T17:24:30 --startdatetime 2017-01-09T17:30:14 --delay 1 --endMP 204:233295 --enddatetime 2017-01-09T18:07:05 --enforcementcount 0 &gt;&gt;C:\Users\stu\Documents\GitHub\eaglep3-reporting\EC\2017-01-09-refined-times.txt</v>
      </c>
      <c r="AI12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ID","value":"211-09"},{"id":16,"name":"Locomotive ID","value":"4031"},{"id":130,"name":"Impact","value":""},{"id":150,"name":"Time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28"/>
        <v>start /low /b %USERPROFILE%\Documents\GitHub\eaglep3\Utilities\DownloadLogsFromS3.py --loco 4031 --day 2017-01-09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614</v>
      </c>
      <c r="B125" s="7">
        <v>4032</v>
      </c>
      <c r="C125" s="22" t="s">
        <v>203</v>
      </c>
      <c r="D125" s="22" t="s">
        <v>246</v>
      </c>
      <c r="E125" s="13">
        <v>42744.761631944442</v>
      </c>
      <c r="F125" s="13">
        <v>42744.768229166664</v>
      </c>
      <c r="G125" s="7">
        <v>1</v>
      </c>
      <c r="H125" s="22" t="s">
        <v>247</v>
      </c>
      <c r="I125" s="13">
        <v>42744.795243055552</v>
      </c>
      <c r="J125" s="7">
        <v>0</v>
      </c>
      <c r="K125" s="105" t="str">
        <f t="shared" si="29"/>
        <v>4031/4032</v>
      </c>
      <c r="L125" s="22" t="str">
        <f>VLOOKUP(A125,'Trips&amp;Operators'!$C$1:$G$99999,5,FALSE)</f>
        <v>CRAYTON QUNTRELL</v>
      </c>
      <c r="M125" s="6">
        <f t="shared" si="30"/>
        <v>2.7013888888177462E-2</v>
      </c>
      <c r="N125" s="7">
        <f t="shared" si="44"/>
        <v>38.899999998975545</v>
      </c>
      <c r="O125" s="7"/>
      <c r="P125" s="7"/>
      <c r="Q125" s="23"/>
      <c r="R125" s="23"/>
      <c r="S125" s="32">
        <f t="shared" si="45"/>
        <v>1</v>
      </c>
      <c r="T125" s="47" t="str">
        <f t="shared" si="31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17:16:45-700',mode:absolute,to:'2017-01-09 20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5" s="49" t="str">
        <f t="shared" si="33"/>
        <v>N</v>
      </c>
      <c r="X125" s="173">
        <f t="shared" si="43"/>
        <v>1</v>
      </c>
      <c r="Y125" s="64">
        <f t="shared" si="34"/>
        <v>23.297699999999999</v>
      </c>
      <c r="Z125" s="64">
        <f t="shared" si="35"/>
        <v>1.6E-2</v>
      </c>
      <c r="AA125" s="64">
        <f t="shared" si="36"/>
        <v>23.281700000000001</v>
      </c>
      <c r="AB125" s="61" t="e">
        <f>VLOOKUP(A125,Enforcements!$C$7:$K$17,8,0)</f>
        <v>#N/A</v>
      </c>
      <c r="AC125" s="57" t="e">
        <f>VLOOKUP(A125,Enforcements!$C$7:$E$17,3,0)</f>
        <v>#N/A</v>
      </c>
      <c r="AD125" s="58" t="str">
        <f t="shared" si="37"/>
        <v>0212-09</v>
      </c>
      <c r="AE125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125" s="84" t="str">
        <f t="shared" si="39"/>
        <v>"C:\Program Files (x86)\AstroGrep\AstroGrep.exe" /spath="%USERPROFILE%\AppData\Local\Temp\OnboardLogs" /stypes="app*4032*20170110*" /stext=" 02:.+((SYSTEM_STATE.+slice.+state.+changed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88" t="str">
        <f t="shared" si="26"/>
        <v>"%USERPROFILE%\Documents\GitHub\eaglep3\Utilities\RefineRTDCRunTimes.py" --tripid 212-09 --locoid 4032 --swversion DE.1.0.8.0 --startMP 204:232977 --initTime 2017-01-09T18:16:45 --startdatetime 2017-01-09T18:26:15 --delay 1 --endMP 204:160 --enddatetime 2017-01-09T19:05:09 --enforcementcount 0 &gt;&gt;C:\Users\stu\Documents\GitHub\eaglep3-reporting\EC\2017-01-09-refined-times.txt</v>
      </c>
      <c r="AI12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{"issue":{"subject":"","project_id":79,"tracker_id":40,"status_id":1,"priority_id":2,"assigned_to_id":23,"start_date":"2017-01-09","description":"","custom_fields":[{"id":1,"name":"Subdivision","value":"EC"},{"id":4,"name":"Milepost","value":"0.016"},{"id":17,"name":"Train ID","value":"212-09"},{"id":16,"name":"Locomotive ID","value":"4032"},{"id":130,"name":"Impact","value":""},{"id":150,"name":"Time of Event (Mountain Time)","value":"19:05:09"},{"id":151,"name":"Denver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28"/>
        <v>start /low /b %USERPROFILE%\Documents\GitHub\eaglep3\Utilities\DownloadLogsFromS3.py --loco 4032 --day 2017-01-09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607</v>
      </c>
      <c r="B126" s="7">
        <v>4011</v>
      </c>
      <c r="C126" s="22" t="s">
        <v>203</v>
      </c>
      <c r="D126" s="22" t="s">
        <v>297</v>
      </c>
      <c r="E126" s="13">
        <v>42744.737326388888</v>
      </c>
      <c r="F126" s="13">
        <v>42744.740011574075</v>
      </c>
      <c r="G126" s="7">
        <v>1</v>
      </c>
      <c r="H126" s="22" t="s">
        <v>673</v>
      </c>
      <c r="I126" s="13">
        <v>42744.765416666669</v>
      </c>
      <c r="J126" s="7">
        <v>0</v>
      </c>
      <c r="K126" s="105" t="str">
        <f t="shared" si="29"/>
        <v>4011/4012</v>
      </c>
      <c r="L126" s="22" t="str">
        <f>VLOOKUP(A126,'Trips&amp;Operators'!$C$1:$G$99999,5,FALSE)</f>
        <v>SMITH MICHAEL</v>
      </c>
      <c r="M126" s="6">
        <f t="shared" si="30"/>
        <v>2.5405092594155576E-2</v>
      </c>
      <c r="N126" s="7">
        <f t="shared" si="44"/>
        <v>36.58333333558403</v>
      </c>
      <c r="O126" s="7"/>
      <c r="P126" s="7"/>
      <c r="Q126" s="23"/>
      <c r="R126" s="23"/>
      <c r="S126" s="32">
        <f t="shared" si="45"/>
        <v>1</v>
      </c>
      <c r="T126" s="47" t="str">
        <f t="shared" si="31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16:41:45-700',mode:absolute,to:'2017-01-09 19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49" t="str">
        <f t="shared" si="33"/>
        <v>N</v>
      </c>
      <c r="X126" s="173">
        <f t="shared" si="43"/>
        <v>1</v>
      </c>
      <c r="Y126" s="64">
        <f t="shared" si="34"/>
        <v>4.7500000000000001E-2</v>
      </c>
      <c r="Z126" s="64">
        <f t="shared" si="35"/>
        <v>23.331499999999998</v>
      </c>
      <c r="AA126" s="64">
        <f t="shared" si="36"/>
        <v>23.283999999999999</v>
      </c>
      <c r="AB126" s="61" t="e">
        <f>VLOOKUP(A126,Enforcements!$C$7:$K$17,8,0)</f>
        <v>#N/A</v>
      </c>
      <c r="AC126" s="57" t="e">
        <f>VLOOKUP(A126,Enforcements!$C$7:$E$17,3,0)</f>
        <v>#N/A</v>
      </c>
      <c r="AD126" s="58" t="str">
        <f t="shared" si="37"/>
        <v>0213-09</v>
      </c>
      <c r="AE126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26" s="84" t="str">
        <f t="shared" si="39"/>
        <v>"C:\Program Files (x86)\AstroGrep\AstroGrep.exe" /spath="%USERPROFILE%\AppData\Local\Temp\OnboardLogs" /stypes="app*4011*20170110*" /stext=" 01:.+((SYSTEM_STATE.+slice.+state.+changed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88" t="str">
        <f t="shared" si="26"/>
        <v>"%USERPROFILE%\Documents\GitHub\eaglep3\Utilities\RefineRTDCRunTimes.py" --tripid 213-09 --locoid 4011 --swversion DE.1.0.8.0 --startMP 204:475 --initTime 2017-01-09T17:41:45 --startdatetime 2017-01-09T17:45:37 --delay 1 --endMP 204:233315 --enddatetime 2017-01-09T18:22:12 --enforcementcount 0 &gt;&gt;C:\Users\stu\Documents\GitHub\eaglep3-reporting\EC\2017-01-09-refined-times.txt</v>
      </c>
      <c r="AI12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{"issue":{"subject":"","project_id":79,"tracker_id":40,"status_id":1,"priority_id":2,"assigned_to_id":23,"start_date":"2017-01-09","description":"","custom_fields":[{"id":1,"name":"Subdivision","value":"EC"},{"id":4,"name":"Milepost","value":"23.3315"},{"id":17,"name":"Train ID","value":"213-09"},{"id":16,"name":"Locomotive ID","value":"4011"},{"id":130,"name":"Impact","value":""},{"id":150,"name":"Time of Event (Mountain Time)","value":"18:22:12"},{"id":151,"name":"Denver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28"/>
        <v>start /low /b %USERPROFILE%\Documents\GitHub\eaglep3\Utilities\DownloadLogsFromS3.py --loco 4011 --day 2017-01-09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620</v>
      </c>
      <c r="B127" s="7">
        <v>4012</v>
      </c>
      <c r="C127" s="22" t="s">
        <v>203</v>
      </c>
      <c r="D127" s="22" t="s">
        <v>278</v>
      </c>
      <c r="E127" s="13">
        <v>42744.771516203706</v>
      </c>
      <c r="F127" s="13">
        <v>42744.778749999998</v>
      </c>
      <c r="G127" s="7">
        <v>1</v>
      </c>
      <c r="H127" s="22" t="s">
        <v>209</v>
      </c>
      <c r="I127" s="13">
        <v>42744.80673611111</v>
      </c>
      <c r="J127" s="7">
        <v>0</v>
      </c>
      <c r="K127" s="105" t="str">
        <f t="shared" si="29"/>
        <v>4011/4012</v>
      </c>
      <c r="L127" s="22" t="str">
        <f>VLOOKUP(A127,'Trips&amp;Operators'!$C$1:$G$99999,5,FALSE)</f>
        <v>SMITH MICHAEL</v>
      </c>
      <c r="M127" s="6">
        <f t="shared" si="30"/>
        <v>2.7986111112113576E-2</v>
      </c>
      <c r="N127" s="7">
        <f t="shared" si="44"/>
        <v>40.30000000144355</v>
      </c>
      <c r="O127" s="7"/>
      <c r="P127" s="7"/>
      <c r="Q127" s="23"/>
      <c r="R127" s="23"/>
      <c r="S127" s="32">
        <f t="shared" si="45"/>
        <v>1</v>
      </c>
      <c r="T127" s="47" t="str">
        <f t="shared" si="31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17:30:59-700',mode:absolute,to:'2017-01-09 20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49" t="str">
        <f t="shared" si="33"/>
        <v>N</v>
      </c>
      <c r="X127" s="173">
        <f t="shared" si="43"/>
        <v>1</v>
      </c>
      <c r="Y127" s="64">
        <f t="shared" si="34"/>
        <v>23.2989</v>
      </c>
      <c r="Z127" s="64">
        <f t="shared" si="35"/>
        <v>1.4999999999999999E-2</v>
      </c>
      <c r="AA127" s="64">
        <f t="shared" si="36"/>
        <v>23.283899999999999</v>
      </c>
      <c r="AB127" s="61" t="e">
        <f>VLOOKUP(A127,Enforcements!$C$7:$K$17,8,0)</f>
        <v>#N/A</v>
      </c>
      <c r="AC127" s="57" t="e">
        <f>VLOOKUP(A127,Enforcements!$C$7:$E$17,3,0)</f>
        <v>#N/A</v>
      </c>
      <c r="AD127" s="58" t="str">
        <f t="shared" si="37"/>
        <v>0214-09</v>
      </c>
      <c r="AE127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27" s="84" t="str">
        <f t="shared" si="39"/>
        <v>"C:\Program Files (x86)\AstroGrep\AstroGrep.exe" /spath="%USERPROFILE%\AppData\Local\Temp\OnboardLogs" /stypes="app*4012*20170110*" /stext=" 02:.+((SYSTEM_STATE.+slice.+state.+changed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88" t="str">
        <f t="shared" si="26"/>
        <v>"%USERPROFILE%\Documents\GitHub\eaglep3\Utilities\RefineRTDCRunTimes.py" --tripid 214-09 --locoid 4012 --swversion DE.1.0.8.0 --startMP 204:232989 --initTime 2017-01-09T18:30:59 --startdatetime 2017-01-09T18:41:24 --delay 1 --endMP 204:150 --enddatetime 2017-01-09T19:21:42 --enforcementcount 0 &gt;&gt;C:\Users\stu\Documents\GitHub\eaglep3-reporting\EC\2017-01-09-refined-times.txt</v>
      </c>
      <c r="AI12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ID","value":"214-09"},{"id":16,"name":"Locomotive ID","value":"4012"},{"id":130,"name":"Impact","value":""},{"id":150,"name":"Time of Event (Mountain Time)","value":"19:21:42"},{"id":151,"name":"Denver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28"/>
        <v>start /low /b %USERPROFILE%\Documents\GitHub\eaglep3\Utilities\DownloadLogsFromS3.py --loco 4012 --day 2017-01-09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608</v>
      </c>
      <c r="B128" s="7">
        <v>4009</v>
      </c>
      <c r="C128" s="22" t="s">
        <v>203</v>
      </c>
      <c r="D128" s="22" t="s">
        <v>274</v>
      </c>
      <c r="E128" s="13">
        <v>42744.741875</v>
      </c>
      <c r="F128" s="13">
        <v>42744.750185185185</v>
      </c>
      <c r="G128" s="7">
        <v>1</v>
      </c>
      <c r="H128" s="22" t="s">
        <v>340</v>
      </c>
      <c r="I128" s="13">
        <v>42744.775740740741</v>
      </c>
      <c r="J128" s="7">
        <v>0</v>
      </c>
      <c r="K128" s="105" t="str">
        <f t="shared" si="29"/>
        <v>4009/4010</v>
      </c>
      <c r="L128" s="22" t="str">
        <f>VLOOKUP(A128,'Trips&amp;Operators'!$C$1:$G$99999,5,FALSE)</f>
        <v>COMELLA JUSTIN</v>
      </c>
      <c r="M128" s="6">
        <f t="shared" si="30"/>
        <v>2.5555555555911269E-2</v>
      </c>
      <c r="N128" s="7">
        <f t="shared" si="44"/>
        <v>36.800000000512227</v>
      </c>
      <c r="O128" s="7"/>
      <c r="P128" s="7"/>
      <c r="Q128" s="23"/>
      <c r="R128" s="23"/>
      <c r="S128" s="32">
        <f t="shared" si="45"/>
        <v>1</v>
      </c>
      <c r="T128" s="47" t="str">
        <f t="shared" si="31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16:48:18-700',mode:absolute,to:'2017-01-09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8" s="49" t="str">
        <f t="shared" si="33"/>
        <v>N</v>
      </c>
      <c r="X128" s="173">
        <f t="shared" ref="X128:X159" si="46">VALUE(LEFT(AD128,4))-VALUE(LEFT(AD127,4))</f>
        <v>1</v>
      </c>
      <c r="Y128" s="64">
        <f t="shared" si="34"/>
        <v>4.5699999999999998E-2</v>
      </c>
      <c r="Z128" s="64">
        <f t="shared" si="35"/>
        <v>23.3293</v>
      </c>
      <c r="AA128" s="64">
        <f t="shared" si="36"/>
        <v>23.2836</v>
      </c>
      <c r="AB128" s="61" t="e">
        <f>VLOOKUP(A128,Enforcements!$C$7:$K$17,8,0)</f>
        <v>#N/A</v>
      </c>
      <c r="AC128" s="57" t="e">
        <f>VLOOKUP(A128,Enforcements!$C$7:$E$17,3,0)</f>
        <v>#N/A</v>
      </c>
      <c r="AD128" s="58" t="str">
        <f t="shared" si="37"/>
        <v>0215-09</v>
      </c>
      <c r="AE128" s="87" t="str">
        <f t="shared" si="38"/>
        <v>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 &amp; aws s3 cp s3://rtdc.mdm.uploadarchive.raw/RTDC4009/ "%USERPROFILE%\AppData\Local\Temp\OnboardLogs"\RTDC4009\2017-01-10 --exclude "*" --recursive --include "*20170110*" &amp; "%USERPROFILE%\Documents\GitHub\mrs-test-scripts\Headless Mode &amp; Sideloading\WalkAndUnGZ.bat" "%USERPROFILE%\AppData\Local\Temp\OnboardLogs"\RTDC4009\2017-01-10</v>
      </c>
      <c r="AF128" s="84" t="str">
        <f t="shared" si="39"/>
        <v>"C:\Program Files (x86)\AstroGrep\AstroGrep.exe" /spath="%USERPROFILE%\AppData\Local\Temp\OnboardLogs" /stypes="app*4009*20170110*" /stext=" 01:.+((SYSTEM_STATE.+slice.+state.+changed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88" t="str">
        <f t="shared" si="26"/>
        <v>"%USERPROFILE%\Documents\GitHub\eaglep3\Utilities\RefineRTDCRunTimes.py" --tripid 215-09 --locoid 4009 --swversion DE.1.0.8.0 --startMP 204:457 --initTime 2017-01-09T17:48:18 --startdatetime 2017-01-09T18:00:16 --delay 1 --endMP 204:233293 --enddatetime 2017-01-09T18:37:04 --enforcementcount 0 &gt;&gt;C:\Users\stu\Documents\GitHub\eaglep3-reporting\EC\2017-01-09-refined-times.txt</v>
      </c>
      <c r="AI12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ID","value":"215-09"},{"id":16,"name":"Locomotive ID","value":"4009"},{"id":130,"name":"Impact","value":""},{"id":150,"name":"Time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28"/>
        <v>start /low /b %USERPROFILE%\Documents\GitHub\eaglep3\Utilities\DownloadLogsFromS3.py --loco 4009 --day 2017-01-09</v>
      </c>
    </row>
    <row r="129" spans="1:91" s="21" customFormat="1" x14ac:dyDescent="0.25">
      <c r="A129" s="34" t="s">
        <v>622</v>
      </c>
      <c r="B129" s="7">
        <v>4010</v>
      </c>
      <c r="C129" s="22" t="s">
        <v>203</v>
      </c>
      <c r="D129" s="22" t="s">
        <v>391</v>
      </c>
      <c r="E129" s="13">
        <v>42744.779189814813</v>
      </c>
      <c r="F129" s="13">
        <v>42744.789074074077</v>
      </c>
      <c r="G129" s="7">
        <v>1</v>
      </c>
      <c r="H129" s="22" t="s">
        <v>708</v>
      </c>
      <c r="I129" s="13">
        <v>42744.816122685188</v>
      </c>
      <c r="J129" s="7">
        <v>0</v>
      </c>
      <c r="K129" s="105" t="str">
        <f t="shared" si="29"/>
        <v>4009/4010</v>
      </c>
      <c r="L129" s="22" t="str">
        <f>VLOOKUP(A129,'Trips&amp;Operators'!$C$1:$G$99999,5,FALSE)</f>
        <v>COMELLA JUSTIN</v>
      </c>
      <c r="M129" s="6">
        <f t="shared" si="30"/>
        <v>2.7048611111240461E-2</v>
      </c>
      <c r="N129" s="7">
        <f t="shared" si="44"/>
        <v>38.950000000186265</v>
      </c>
      <c r="O129" s="7"/>
      <c r="P129" s="7"/>
      <c r="Q129" s="23"/>
      <c r="R129" s="23"/>
      <c r="S129" s="32">
        <f t="shared" si="45"/>
        <v>1</v>
      </c>
      <c r="T129" s="47" t="str">
        <f t="shared" si="31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17:42:02-700',mode:absolute,to:'2017-01-09 20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9" s="49" t="str">
        <f t="shared" si="33"/>
        <v>N</v>
      </c>
      <c r="X129" s="173">
        <f t="shared" si="46"/>
        <v>1</v>
      </c>
      <c r="Y129" s="64">
        <f t="shared" si="34"/>
        <v>23.297799999999999</v>
      </c>
      <c r="Z129" s="64">
        <f t="shared" si="35"/>
        <v>1.67E-2</v>
      </c>
      <c r="AA129" s="64">
        <f t="shared" si="36"/>
        <v>23.281099999999999</v>
      </c>
      <c r="AB129" s="61" t="e">
        <f>VLOOKUP(A129,Enforcements!$C$7:$K$17,8,0)</f>
        <v>#N/A</v>
      </c>
      <c r="AC129" s="57" t="e">
        <f>VLOOKUP(A129,Enforcements!$C$7:$E$17,3,0)</f>
        <v>#N/A</v>
      </c>
      <c r="AD129" s="58" t="str">
        <f t="shared" si="37"/>
        <v>0216-09</v>
      </c>
      <c r="AE129" s="87" t="str">
        <f t="shared" si="38"/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AF129" s="84" t="str">
        <f t="shared" si="39"/>
        <v>"C:\Program Files (x86)\AstroGrep\AstroGrep.exe" /spath="%USERPROFILE%\AppData\Local\Temp\OnboardLogs" /stypes="app*4010*20170110*" /stext=" 02:.+((SYSTEM_STATE.+slice.+state.+changed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88" t="str">
        <f t="shared" si="26"/>
        <v>"%USERPROFILE%\Documents\GitHub\eaglep3\Utilities\RefineRTDCRunTimes.py" --tripid 216-09 --locoid 4010 --swversion DE.1.0.8.0 --startMP 204:232978 --initTime 2017-01-09T18:42:02 --startdatetime 2017-01-09T18:56:16 --delay 1 --endMP 204:167 --enddatetime 2017-01-09T19:35:13 --enforcementcount 0 &gt;&gt;C:\Users\stu\Documents\GitHub\eaglep3-reporting\EC\2017-01-09-refined-times.txt</v>
      </c>
      <c r="AI12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{"issue":{"subject":"","project_id":79,"tracker_id":40,"status_id":1,"priority_id":2,"assigned_to_id":23,"start_date":"2017-01-09","description":"","custom_fields":[{"id":1,"name":"Subdivision","value":"EC"},{"id":4,"name":"Milepost","value":"0.0167"},{"id":17,"name":"Train ID","value":"216-09"},{"id":16,"name":"Locomotive ID","value":"4010"},{"id":130,"name":"Impact","value":""},{"id":150,"name":"Time of Event (Mountain Time)","value":"19:35:13"},{"id":151,"name":"Denver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28"/>
        <v>start /low /b %USERPROFILE%\Documents\GitHub\eaglep3\Utilities\DownloadLogsFromS3.py --loco 4010 --day 2017-01-09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613</v>
      </c>
      <c r="B130" s="7">
        <v>4003</v>
      </c>
      <c r="C130" s="22" t="s">
        <v>203</v>
      </c>
      <c r="D130" s="22" t="s">
        <v>717</v>
      </c>
      <c r="E130" s="13">
        <v>42744.758819444447</v>
      </c>
      <c r="F130" s="13">
        <v>42744.760983796295</v>
      </c>
      <c r="G130" s="7">
        <v>1</v>
      </c>
      <c r="H130" s="22" t="s">
        <v>394</v>
      </c>
      <c r="I130" s="13">
        <v>42744.787303240744</v>
      </c>
      <c r="J130" s="7">
        <v>0</v>
      </c>
      <c r="K130" s="105" t="str">
        <f t="shared" si="29"/>
        <v>4003/4004</v>
      </c>
      <c r="L130" s="22" t="str">
        <f>VLOOKUP(A130,'Trips&amp;Operators'!$C$1:$G$99999,5,FALSE)</f>
        <v>BADERTSCHER DIANE</v>
      </c>
      <c r="M130" s="6">
        <f t="shared" si="30"/>
        <v>2.6319444448745344E-2</v>
      </c>
      <c r="N130" s="7">
        <f t="shared" si="44"/>
        <v>37.900000006193295</v>
      </c>
      <c r="O130" s="7"/>
      <c r="P130" s="7"/>
      <c r="Q130" s="23"/>
      <c r="R130" s="23"/>
      <c r="S130" s="32">
        <f t="shared" si="45"/>
        <v>1</v>
      </c>
      <c r="T130" s="47" t="str">
        <f t="shared" si="31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17:12:42-700',mode:absolute,to:'2017-01-09 19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0" s="49" t="str">
        <f t="shared" si="33"/>
        <v>N</v>
      </c>
      <c r="X130" s="173">
        <f t="shared" si="46"/>
        <v>1</v>
      </c>
      <c r="Y130" s="64">
        <f t="shared" si="34"/>
        <v>4.1500000000000002E-2</v>
      </c>
      <c r="Z130" s="64">
        <f t="shared" si="35"/>
        <v>23.3306</v>
      </c>
      <c r="AA130" s="64">
        <f t="shared" si="36"/>
        <v>23.289100000000001</v>
      </c>
      <c r="AB130" s="61" t="e">
        <f>VLOOKUP(A130,Enforcements!$C$7:$K$17,8,0)</f>
        <v>#N/A</v>
      </c>
      <c r="AC130" s="57" t="e">
        <f>VLOOKUP(A130,Enforcements!$C$7:$E$17,3,0)</f>
        <v>#N/A</v>
      </c>
      <c r="AD130" s="58" t="str">
        <f t="shared" si="37"/>
        <v>0217-09</v>
      </c>
      <c r="AE130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30" s="84" t="str">
        <f t="shared" si="39"/>
        <v>"C:\Program Files (x86)\AstroGrep\AstroGrep.exe" /spath="%USERPROFILE%\AppData\Local\Temp\OnboardLogs" /stypes="app*4003*20170110*" /stext=" 01:.+((SYSTEM_STATE.+slice.+state.+changed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88" t="str">
        <f t="shared" si="26"/>
        <v>"%USERPROFILE%\Documents\GitHub\eaglep3\Utilities\RefineRTDCRunTimes.py" --tripid 217-09 --locoid 4003 --swversion DE.1.0.8.0 --startMP 204:415 --initTime 2017-01-09T18:12:42 --startdatetime 2017-01-09T18:15:49 --delay 1 --endMP 204:233306 --enddatetime 2017-01-09T18:53:43 --enforcementcount 0 &gt;&gt;C:\Users\stu\Documents\GitHub\eaglep3-reporting\EC\2017-01-09-refined-times.txt</v>
      </c>
      <c r="AI13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{"issue":{"subject":"","project_id":79,"tracker_id":40,"status_id":1,"priority_id":2,"assigned_to_id":23,"start_date":"2017-01-09","description":"","custom_fields":[{"id":1,"name":"Subdivision","value":"EC"},{"id":4,"name":"Milepost","value":"23.3306"},{"id":17,"name":"Train ID","value":"217-09"},{"id":16,"name":"Locomotive ID","value":"4003"},{"id":130,"name":"Impact","value":""},{"id":150,"name":"Time of Event (Mountain Time)","value":"18:53:43"},{"id":151,"name":"Denver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28"/>
        <v>start /low /b %USERPROFILE%\Documents\GitHub\eaglep3\Utilities\DownloadLogsFromS3.py --loco 4003 --day 2017-01-09</v>
      </c>
    </row>
    <row r="131" spans="1:91" s="21" customFormat="1" x14ac:dyDescent="0.25">
      <c r="A131" s="34" t="s">
        <v>624</v>
      </c>
      <c r="B131" s="7">
        <v>4004</v>
      </c>
      <c r="C131" s="22" t="s">
        <v>203</v>
      </c>
      <c r="D131" s="22" t="s">
        <v>713</v>
      </c>
      <c r="E131" s="13">
        <v>42744.790138888886</v>
      </c>
      <c r="F131" s="13">
        <v>42744.800196759257</v>
      </c>
      <c r="G131" s="7">
        <v>1</v>
      </c>
      <c r="H131" s="22" t="s">
        <v>244</v>
      </c>
      <c r="I131" s="13">
        <v>42744.82880787037</v>
      </c>
      <c r="J131" s="7">
        <v>0</v>
      </c>
      <c r="K131" s="105" t="str">
        <f t="shared" si="29"/>
        <v>4003/4004</v>
      </c>
      <c r="L131" s="22" t="str">
        <f>VLOOKUP(A131,'Trips&amp;Operators'!$C$1:$G$99999,5,FALSE)</f>
        <v>BADERTSCHER DIANE</v>
      </c>
      <c r="M131" s="6">
        <f t="shared" si="30"/>
        <v>2.8611111112695653E-2</v>
      </c>
      <c r="N131" s="7">
        <f t="shared" si="44"/>
        <v>41.20000000228174</v>
      </c>
      <c r="O131" s="7"/>
      <c r="P131" s="7"/>
      <c r="Q131" s="23"/>
      <c r="R131" s="23"/>
      <c r="S131" s="32">
        <f t="shared" si="45"/>
        <v>1</v>
      </c>
      <c r="T131" s="47" t="str">
        <f t="shared" si="31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17:57:48-700',mode:absolute,to:'2017-01-09 20:53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1" s="49" t="str">
        <f t="shared" si="33"/>
        <v>N</v>
      </c>
      <c r="X131" s="173">
        <f t="shared" si="46"/>
        <v>1</v>
      </c>
      <c r="Y131" s="64">
        <f t="shared" si="34"/>
        <v>23.299099999999999</v>
      </c>
      <c r="Z131" s="64">
        <f t="shared" si="35"/>
        <v>1.3899999999999999E-2</v>
      </c>
      <c r="AA131" s="64">
        <f t="shared" si="36"/>
        <v>23.2852</v>
      </c>
      <c r="AB131" s="61" t="e">
        <f>VLOOKUP(A131,Enforcements!$C$7:$K$17,8,0)</f>
        <v>#N/A</v>
      </c>
      <c r="AC131" s="57" t="e">
        <f>VLOOKUP(A131,Enforcements!$C$7:$E$17,3,0)</f>
        <v>#N/A</v>
      </c>
      <c r="AD131" s="58" t="str">
        <f t="shared" si="37"/>
        <v>0218-09</v>
      </c>
      <c r="AE131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31" s="84" t="str">
        <f t="shared" si="39"/>
        <v>"C:\Program Files (x86)\AstroGrep\AstroGrep.exe" /spath="%USERPROFILE%\AppData\Local\Temp\OnboardLogs" /stypes="app*4004*20170110*"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88" t="str">
        <f t="shared" si="26"/>
        <v>"%USERPROFILE%\Documents\GitHub\eaglep3\Utilities\RefineRTDCRunTimes.py" --tripid 218-09 --locoid 4004 --swversion DE.1.0.8.0 --startMP 204:232991 --initTime 2017-01-09T18:57:48 --startdatetime 2017-01-09T19:12:17 --delay 1 --endMP 204:139 --enddatetime 2017-01-09T19:53:29 --enforcementcount 0 &gt;&gt;C:\Users\stu\Documents\GitHub\eaglep3-reporting\EC\2017-01-09-refined-times.txt</v>
      </c>
      <c r="AI13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ID","value":"218-09"},{"id":16,"name":"Locomotive ID","value":"4004"},{"id":130,"name":"Impact","value":""},{"id":150,"name":"Time of Event (Mountain Time)","value":"19:53:29"},{"id":151,"name":"Denver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28"/>
        <v>start /low /b %USERPROFILE%\Documents\GitHub\eaglep3\Utilities\DownloadLogsFromS3.py --loco 4004 --day 2017-01-09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616</v>
      </c>
      <c r="B132" s="7">
        <v>4044</v>
      </c>
      <c r="C132" s="22" t="s">
        <v>203</v>
      </c>
      <c r="D132" s="22" t="s">
        <v>315</v>
      </c>
      <c r="E132" s="13">
        <v>42744.769062500003</v>
      </c>
      <c r="F132" s="13">
        <v>42744.77140046296</v>
      </c>
      <c r="G132" s="7">
        <v>2</v>
      </c>
      <c r="H132" s="22" t="s">
        <v>718</v>
      </c>
      <c r="I132" s="13">
        <v>42744.796967592592</v>
      </c>
      <c r="J132" s="7">
        <v>0</v>
      </c>
      <c r="K132" s="105" t="str">
        <f t="shared" si="29"/>
        <v>4043/4044</v>
      </c>
      <c r="L132" s="22" t="str">
        <f>VLOOKUP(A132,'Trips&amp;Operators'!$C$1:$G$99999,5,FALSE)</f>
        <v>STORY SAMANTHA</v>
      </c>
      <c r="M132" s="6">
        <f t="shared" si="30"/>
        <v>2.5567129632690921E-2</v>
      </c>
      <c r="N132" s="7">
        <f t="shared" si="44"/>
        <v>36.816666671074927</v>
      </c>
      <c r="O132" s="7"/>
      <c r="P132" s="7"/>
      <c r="Q132" s="23"/>
      <c r="R132" s="23"/>
      <c r="S132" s="32">
        <f t="shared" si="45"/>
        <v>1</v>
      </c>
      <c r="T132" s="47" t="str">
        <f t="shared" si="31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17:27:27-700',mode:absolute,to:'2017-01-09 20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2" s="49" t="str">
        <f t="shared" si="33"/>
        <v>N</v>
      </c>
      <c r="X132" s="173">
        <f t="shared" si="46"/>
        <v>1</v>
      </c>
      <c r="Y132" s="64">
        <f t="shared" si="34"/>
        <v>4.6899999999999997E-2</v>
      </c>
      <c r="Z132" s="64">
        <f t="shared" si="35"/>
        <v>23.330300000000001</v>
      </c>
      <c r="AA132" s="64">
        <f t="shared" si="36"/>
        <v>23.2834</v>
      </c>
      <c r="AB132" s="61" t="e">
        <f>VLOOKUP(A132,Enforcements!$C$7:$K$17,8,0)</f>
        <v>#N/A</v>
      </c>
      <c r="AC132" s="57" t="e">
        <f>VLOOKUP(A132,Enforcements!$C$7:$E$17,3,0)</f>
        <v>#N/A</v>
      </c>
      <c r="AD132" s="58" t="str">
        <f t="shared" si="37"/>
        <v>0219-09</v>
      </c>
      <c r="AE132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32" s="84" t="str">
        <f t="shared" si="39"/>
        <v>"C:\Program Files (x86)\AstroGrep\AstroGrep.exe" /spath="%USERPROFILE%\AppData\Local\Temp\OnboardLogs" /stypes="app*4044*20170110*" /stext=" 02:.+((SYSTEM_STATE.+slice.+state.+changed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88" t="str">
        <f t="shared" si="26"/>
        <v>"%USERPROFILE%\Documents\GitHub\eaglep3\Utilities\RefineRTDCRunTimes.py" --tripid 219-09 --locoid 4044 --swversion DE.1.0.8.0 --startMP 204:469 --initTime 2017-01-09T18:27:27 --startdatetime 2017-01-09T18:30:49 --delay 2 --endMP 204:233303 --enddatetime 2017-01-09T19:07:38 --enforcementcount 0 &gt;&gt;C:\Users\stu\Documents\GitHub\eaglep3-reporting\EC\2017-01-09-refined-times.txt</v>
      </c>
      <c r="AI13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{"issue":{"subject":"","project_id":79,"tracker_id":40,"status_id":1,"priority_id":2,"assigned_to_id":23,"start_date":"2017-01-09","description":"","custom_fields":[{"id":1,"name":"Subdivision","value":"EC"},{"id":4,"name":"Milepost","value":"23.3303"},{"id":17,"name":"Train ID","value":"219-09"},{"id":16,"name":"Locomotive ID","value":"4044"},{"id":130,"name":"Impact","value":""},{"id":150,"name":"Time of Event (Mountain Time)","value":"19:07:38"},{"id":151,"name":"Denver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28"/>
        <v>start /low /b %USERPROFILE%\Documents\GitHub\eaglep3\Utilities\DownloadLogsFromS3.py --loco 4044 --day 2017-01-09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628</v>
      </c>
      <c r="B133" s="7">
        <v>4043</v>
      </c>
      <c r="C133" s="22" t="s">
        <v>203</v>
      </c>
      <c r="D133" s="22" t="s">
        <v>346</v>
      </c>
      <c r="E133" s="13">
        <v>42744.806527777779</v>
      </c>
      <c r="F133" s="13">
        <v>42744.810173611113</v>
      </c>
      <c r="G133" s="7">
        <v>1</v>
      </c>
      <c r="H133" s="22" t="s">
        <v>322</v>
      </c>
      <c r="I133" s="13">
        <v>42744.837638888886</v>
      </c>
      <c r="J133" s="7">
        <v>0</v>
      </c>
      <c r="K133" s="105" t="str">
        <f t="shared" si="29"/>
        <v>4043/4044</v>
      </c>
      <c r="L133" s="22" t="str">
        <f>VLOOKUP(A133,'Trips&amp;Operators'!$C$1:$G$99999,5,FALSE)</f>
        <v>STORY SAMANTHA</v>
      </c>
      <c r="M133" s="6">
        <f t="shared" si="30"/>
        <v>2.7465277773444541E-2</v>
      </c>
      <c r="N133" s="7">
        <f t="shared" si="44"/>
        <v>39.549999993760139</v>
      </c>
      <c r="O133" s="7"/>
      <c r="P133" s="7"/>
      <c r="Q133" s="23"/>
      <c r="R133" s="23"/>
      <c r="S133" s="32">
        <f t="shared" si="45"/>
        <v>1</v>
      </c>
      <c r="T133" s="47" t="str">
        <f t="shared" si="31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18:21:24-700',mode:absolute,to:'2017-01-09 21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3" s="49" t="str">
        <f t="shared" si="33"/>
        <v>N</v>
      </c>
      <c r="X133" s="173">
        <f t="shared" si="46"/>
        <v>1</v>
      </c>
      <c r="Y133" s="64">
        <f t="shared" si="34"/>
        <v>23.298400000000001</v>
      </c>
      <c r="Z133" s="64">
        <f t="shared" si="35"/>
        <v>1.3599999999999999E-2</v>
      </c>
      <c r="AA133" s="64">
        <f t="shared" si="36"/>
        <v>23.284800000000001</v>
      </c>
      <c r="AB133" s="61" t="e">
        <f>VLOOKUP(A133,Enforcements!$C$7:$K$17,8,0)</f>
        <v>#N/A</v>
      </c>
      <c r="AC133" s="57" t="e">
        <f>VLOOKUP(A133,Enforcements!$C$7:$E$17,3,0)</f>
        <v>#N/A</v>
      </c>
      <c r="AD133" s="58" t="str">
        <f t="shared" si="37"/>
        <v>0220-09</v>
      </c>
      <c r="AE133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33" s="84" t="str">
        <f t="shared" si="39"/>
        <v>"C:\Program Files (x86)\AstroGrep\AstroGrep.exe" /spath="%USERPROFILE%\AppData\Local\Temp\OnboardLogs" /stypes="app*4043*20170110*" /stext=" 03:.+((SYSTEM_STATE.+slice.+state.+changed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88" t="str">
        <f t="shared" si="26"/>
        <v>"%USERPROFILE%\Documents\GitHub\eaglep3\Utilities\RefineRTDCRunTimes.py" --tripid 220-09 --locoid 4043 --swversion DE.1.0.8.0 --startMP 204:232984 --initTime 2017-01-09T19:21:24 --startdatetime 2017-01-09T19:26:39 --delay 1 --endMP 204:136 --enddatetime 2017-01-09T20:06:12 --enforcementcount 0 &gt;&gt;C:\Users\stu\Documents\GitHub\eaglep3-reporting\EC\2017-01-09-refined-times.txt</v>
      </c>
      <c r="AI13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ID","value":"220-09"},{"id":16,"name":"Locomotive ID","value":"4043"},{"id":130,"name":"Impact","value":""},{"id":150,"name":"Time of Event (Mountain Time)","value":"20:06:12"},{"id":151,"name":"Denver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28"/>
        <v>start /low /b %USERPROFILE%\Documents\GitHub\eaglep3\Utilities\DownloadLogsFromS3.py --loco 4043 --day 2017-01-09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623</v>
      </c>
      <c r="B134" s="7">
        <v>4046</v>
      </c>
      <c r="C134" s="22" t="s">
        <v>203</v>
      </c>
      <c r="D134" s="22" t="s">
        <v>248</v>
      </c>
      <c r="E134" s="13">
        <v>42744.789224537039</v>
      </c>
      <c r="F134" s="13">
        <v>42744.791990740741</v>
      </c>
      <c r="G134" s="7">
        <v>1</v>
      </c>
      <c r="H134" s="22" t="s">
        <v>719</v>
      </c>
      <c r="I134" s="13">
        <v>42744.816006944442</v>
      </c>
      <c r="J134" s="7">
        <v>0</v>
      </c>
      <c r="K134" s="105" t="str">
        <f t="shared" si="29"/>
        <v>4045/4046</v>
      </c>
      <c r="L134" s="22" t="str">
        <f>VLOOKUP(A134,'Trips&amp;Operators'!$C$1:$G$99999,5,FALSE)</f>
        <v>CHANDLER KELVIN</v>
      </c>
      <c r="M134" s="6">
        <f t="shared" si="30"/>
        <v>2.4016203700739425E-2</v>
      </c>
      <c r="N134" s="7">
        <f t="shared" si="44"/>
        <v>34.583333329064772</v>
      </c>
      <c r="O134" s="7"/>
      <c r="P134" s="7"/>
      <c r="Q134" s="23"/>
      <c r="R134" s="23" t="s">
        <v>836</v>
      </c>
      <c r="S134" s="32">
        <f t="shared" si="45"/>
        <v>1</v>
      </c>
      <c r="T134" s="47" t="str">
        <f t="shared" si="31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17:56:29-700',mode:absolute,to:'2017-01-09 20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49" t="str">
        <f t="shared" si="33"/>
        <v>Y</v>
      </c>
      <c r="X134" s="173">
        <f t="shared" si="46"/>
        <v>1</v>
      </c>
      <c r="Y134" s="64">
        <f t="shared" si="34"/>
        <v>4.6199999999999998E-2</v>
      </c>
      <c r="Z134" s="64">
        <f t="shared" si="35"/>
        <v>22.784800000000001</v>
      </c>
      <c r="AA134" s="64">
        <f t="shared" si="36"/>
        <v>22.738600000000002</v>
      </c>
      <c r="AB134" s="61" t="e">
        <f>VLOOKUP(A134,Enforcements!$C$7:$K$17,8,0)</f>
        <v>#N/A</v>
      </c>
      <c r="AC134" s="57" t="e">
        <f>VLOOKUP(A134,Enforcements!$C$7:$E$17,3,0)</f>
        <v>#N/A</v>
      </c>
      <c r="AD134" s="58" t="str">
        <f t="shared" si="37"/>
        <v>0221-09</v>
      </c>
      <c r="AE134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34" s="84" t="str">
        <f t="shared" si="39"/>
        <v>"C:\Program Files (x86)\AstroGrep\AstroGrep.exe" /spath="%USERPROFILE%\AppData\Local\Temp\OnboardLogs" /stypes="app*4046*20170110*" /stext=" 02:.+((SYSTEM_STATE.+slice.+state.+changed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88" t="str">
        <f t="shared" si="26"/>
        <v>"%USERPROFILE%\Documents\GitHub\eaglep3\Utilities\RefineRTDCRunTimes.py" --tripid 221-09 --locoid 4046 --swversion DE.1.0.8.0 --startMP 204:462 --initTime 2017-01-09T18:56:29 --startdatetime 2017-01-09T19:00:28 --delay 1 --endMP 204:227848 --enddatetime 2017-01-09T19:35:03 --enforcementcount 0 &gt;&gt;C:\Users\stu\Documents\GitHub\eaglep3-reporting\EC\2017-01-09-refined-times.txt</v>
      </c>
      <c r="AI134" s="115" t="str">
        <f t="shared" si="27"/>
        <v>echo {"issue":{"subject":"DTO Efficiency Test","project_id":79,"tracker_id":40,"status_id":1,"priority_id":2,"assigned_to_id":23,"start_date":"2017-01-09","description":"","custom_fields":[{"id":1,"name":"Subdivision","value":"EC"},{"id":4,"name":"Milepost","value":"22.7848"},{"id":17,"name":"Train ID","value":"221-09"},{"id":16,"name":"Locomotive ID","value":"4046"},{"id":130,"name":"Impact","value":""},{"id":150,"name":"Time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28"/>
        <v>start /low /b %USERPROFILE%\Documents\GitHub\eaglep3\Utilities\DownloadLogsFromS3.py --loco 4046 --day 2017-01-09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632</v>
      </c>
      <c r="B135" s="7">
        <v>4045</v>
      </c>
      <c r="C135" s="22" t="s">
        <v>203</v>
      </c>
      <c r="D135" s="22" t="s">
        <v>404</v>
      </c>
      <c r="E135" s="13">
        <v>42744.826296296298</v>
      </c>
      <c r="F135" s="13">
        <v>42744.831388888888</v>
      </c>
      <c r="G135" s="7">
        <v>1</v>
      </c>
      <c r="H135" s="22" t="s">
        <v>270</v>
      </c>
      <c r="I135" s="13">
        <v>42744.858807870369</v>
      </c>
      <c r="J135" s="7">
        <v>0</v>
      </c>
      <c r="K135" s="105" t="str">
        <f t="shared" si="29"/>
        <v>4045/4046</v>
      </c>
      <c r="L135" s="22" t="str">
        <f>VLOOKUP(A135,'Trips&amp;Operators'!$C$1:$G$99999,5,FALSE)</f>
        <v>CHANDLER KELVIN</v>
      </c>
      <c r="M135" s="6">
        <f t="shared" si="30"/>
        <v>2.7418981480877846E-2</v>
      </c>
      <c r="N135" s="7">
        <f t="shared" ref="N135:N154" si="47">24*60*SUM($M135:$M135)</f>
        <v>39.483333332464099</v>
      </c>
      <c r="O135" s="7"/>
      <c r="P135" s="7"/>
      <c r="Q135" s="23"/>
      <c r="R135" s="23"/>
      <c r="S135" s="32">
        <f t="shared" si="45"/>
        <v>1</v>
      </c>
      <c r="T135" s="47" t="str">
        <f t="shared" si="31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18:49:52-700',mode:absolute,to:'2017-01-09 21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49" t="str">
        <f t="shared" si="33"/>
        <v>N</v>
      </c>
      <c r="X135" s="173">
        <f t="shared" si="46"/>
        <v>1</v>
      </c>
      <c r="Y135" s="64">
        <f t="shared" si="34"/>
        <v>23.3002</v>
      </c>
      <c r="Z135" s="64">
        <f t="shared" si="35"/>
        <v>1.52E-2</v>
      </c>
      <c r="AA135" s="64">
        <f t="shared" si="36"/>
        <v>23.285</v>
      </c>
      <c r="AB135" s="61" t="e">
        <f>VLOOKUP(A135,Enforcements!$C$7:$K$17,8,0)</f>
        <v>#N/A</v>
      </c>
      <c r="AC135" s="57" t="e">
        <f>VLOOKUP(A135,Enforcements!$C$7:$E$17,3,0)</f>
        <v>#N/A</v>
      </c>
      <c r="AD135" s="58" t="str">
        <f t="shared" si="37"/>
        <v>0222-09</v>
      </c>
      <c r="AE135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35" s="84" t="str">
        <f t="shared" si="39"/>
        <v>"C:\Program Files (x86)\AstroGrep\AstroGrep.exe" /spath="%USERPROFILE%\AppData\Local\Temp\OnboardLogs" /stypes="app*4045*20170110*"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88" t="str">
        <f t="shared" si="26"/>
        <v>"%USERPROFILE%\Documents\GitHub\eaglep3\Utilities\RefineRTDCRunTimes.py" --tripid 222-09 --locoid 4045 --swversion DE.1.0.8.0 --startMP 204:233002 --initTime 2017-01-09T19:49:52 --startdatetime 2017-01-09T19:57:12 --delay 1 --endMP 204:152 --enddatetime 2017-01-09T20:36:41 --enforcementcount 0 &gt;&gt;C:\Users\stu\Documents\GitHub\eaglep3-reporting\EC\2017-01-09-refined-times.txt</v>
      </c>
      <c r="AI13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{"issue":{"subject":"","project_id":79,"tracker_id":40,"status_id":1,"priority_id":2,"assigned_to_id":23,"start_date":"2017-01-09","description":"","custom_fields":[{"id":1,"name":"Subdivision","value":"EC"},{"id":4,"name":"Milepost","value":"0.0152"},{"id":17,"name":"Train ID","value":"222-09"},{"id":16,"name":"Locomotive ID","value":"4045"},{"id":130,"name":"Impact","value":""},{"id":150,"name":"Time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28"/>
        <v>start /low /b %USERPROFILE%\Documents\GitHub\eaglep3\Utilities\DownloadLogsFromS3.py --loco 4045 --day 2017-01-09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629</v>
      </c>
      <c r="B136" s="7">
        <v>4011</v>
      </c>
      <c r="C136" s="22" t="s">
        <v>203</v>
      </c>
      <c r="D136" s="22" t="s">
        <v>697</v>
      </c>
      <c r="E136" s="13">
        <v>42744.808749999997</v>
      </c>
      <c r="F136" s="13">
        <v>42744.812754629631</v>
      </c>
      <c r="G136" s="7">
        <v>1</v>
      </c>
      <c r="H136" s="22" t="s">
        <v>413</v>
      </c>
      <c r="I136" s="13">
        <v>42744.838136574072</v>
      </c>
      <c r="J136" s="7">
        <v>0</v>
      </c>
      <c r="K136" s="105" t="str">
        <f t="shared" si="29"/>
        <v>4011/4012</v>
      </c>
      <c r="L136" s="22" t="str">
        <f>VLOOKUP(A136,'Trips&amp;Operators'!$C$1:$G$99999,5,FALSE)</f>
        <v>SMITH MICHAEL</v>
      </c>
      <c r="M136" s="6">
        <f t="shared" si="30"/>
        <v>2.5381944440596271E-2</v>
      </c>
      <c r="N136" s="7">
        <f t="shared" si="47"/>
        <v>36.549999994458631</v>
      </c>
      <c r="O136" s="7"/>
      <c r="P136" s="7"/>
      <c r="Q136" s="23"/>
      <c r="R136" s="23"/>
      <c r="S136" s="32">
        <f t="shared" si="45"/>
        <v>1</v>
      </c>
      <c r="T136" s="47" t="str">
        <f t="shared" si="31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18:24:36-700',mode:absolute,to:'2017-01-09 21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49" t="str">
        <f t="shared" si="33"/>
        <v>N</v>
      </c>
      <c r="X136" s="173">
        <f t="shared" si="46"/>
        <v>1</v>
      </c>
      <c r="Y136" s="64">
        <f t="shared" si="34"/>
        <v>4.58E-2</v>
      </c>
      <c r="Z136" s="64">
        <f t="shared" si="35"/>
        <v>23.328299999999999</v>
      </c>
      <c r="AA136" s="64">
        <f t="shared" si="36"/>
        <v>23.282499999999999</v>
      </c>
      <c r="AB136" s="61" t="e">
        <f>VLOOKUP(A136,Enforcements!$C$7:$K$17,8,0)</f>
        <v>#N/A</v>
      </c>
      <c r="AC136" s="57" t="e">
        <f>VLOOKUP(A136,Enforcements!$C$7:$E$17,3,0)</f>
        <v>#N/A</v>
      </c>
      <c r="AD136" s="58" t="str">
        <f t="shared" si="37"/>
        <v>0223-09</v>
      </c>
      <c r="AE136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36" s="84" t="str">
        <f t="shared" si="39"/>
        <v>"C:\Program Files (x86)\AstroGrep\AstroGrep.exe" /spath="%USERPROFILE%\AppData\Local\Temp\OnboardLogs" /stypes="app*4011*20170110*" /stext=" 03:.+((SYSTEM_STATE.+slice.+state.+changed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88" t="str">
        <f t="shared" si="26"/>
        <v>"%USERPROFILE%\Documents\GitHub\eaglep3\Utilities\RefineRTDCRunTimes.py" --tripid 223-09 --locoid 4011 --swversion DE.1.0.8.0 --startMP 204:458 --initTime 2017-01-09T19:24:36 --startdatetime 2017-01-09T19:30:22 --delay 1 --endMP 204:233283 --enddatetime 2017-01-09T20:06:55 --enforcementcount 0 &gt;&gt;C:\Users\stu\Documents\GitHub\eaglep3-reporting\EC\2017-01-09-refined-times.txt</v>
      </c>
      <c r="AI13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{"issue":{"subject":"","project_id":79,"tracker_id":40,"status_id":1,"priority_id":2,"assigned_to_id":23,"start_date":"2017-01-09","description":"","custom_fields":[{"id":1,"name":"Subdivision","value":"EC"},{"id":4,"name":"Milepost","value":"23.3283"},{"id":17,"name":"Train ID","value":"223-09"},{"id":16,"name":"Locomotive ID","value":"4011"},{"id":130,"name":"Impact","value":""},{"id":150,"name":"Time of Event (Mountain Time)","value":"20:06:55"},{"id":151,"name":"Denver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28"/>
        <v>start /low /b %USERPROFILE%\Documents\GitHub\eaglep3\Utilities\DownloadLogsFromS3.py --loco 4011 --day 2017-01-09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634</v>
      </c>
      <c r="B137" s="7">
        <v>4012</v>
      </c>
      <c r="C137" s="22" t="s">
        <v>203</v>
      </c>
      <c r="D137" s="22" t="s">
        <v>713</v>
      </c>
      <c r="E137" s="13">
        <v>42744.842766203707</v>
      </c>
      <c r="F137" s="13">
        <v>42744.851782407408</v>
      </c>
      <c r="G137" s="7">
        <v>1</v>
      </c>
      <c r="H137" s="22" t="s">
        <v>275</v>
      </c>
      <c r="I137" s="13">
        <v>42744.879699074074</v>
      </c>
      <c r="J137" s="7">
        <v>0</v>
      </c>
      <c r="K137" s="105" t="str">
        <f t="shared" si="29"/>
        <v>4011/4012</v>
      </c>
      <c r="L137" s="22" t="str">
        <f>VLOOKUP(A137,'Trips&amp;Operators'!$C$1:$G$99999,5,FALSE)</f>
        <v>SMITH MICHAEL</v>
      </c>
      <c r="M137" s="6">
        <f t="shared" si="30"/>
        <v>2.7916666665987577E-2</v>
      </c>
      <c r="N137" s="7">
        <f t="shared" si="47"/>
        <v>40.199999999022111</v>
      </c>
      <c r="O137" s="7"/>
      <c r="P137" s="7"/>
      <c r="Q137" s="23"/>
      <c r="R137" s="23"/>
      <c r="S137" s="32">
        <f t="shared" si="45"/>
        <v>1</v>
      </c>
      <c r="T137" s="47" t="str">
        <f t="shared" si="31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19:13:35-700',mode:absolute,to:'2017-01-09 22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49" t="str">
        <f t="shared" si="33"/>
        <v>N</v>
      </c>
      <c r="X137" s="173">
        <f t="shared" si="46"/>
        <v>1</v>
      </c>
      <c r="Y137" s="64">
        <f t="shared" si="34"/>
        <v>23.299099999999999</v>
      </c>
      <c r="Z137" s="64">
        <f t="shared" si="35"/>
        <v>1.5599999999999999E-2</v>
      </c>
      <c r="AA137" s="64">
        <f t="shared" si="36"/>
        <v>23.2835</v>
      </c>
      <c r="AB137" s="61" t="e">
        <f>VLOOKUP(A137,Enforcements!$C$7:$K$17,8,0)</f>
        <v>#N/A</v>
      </c>
      <c r="AC137" s="57" t="e">
        <f>VLOOKUP(A137,Enforcements!$C$7:$E$17,3,0)</f>
        <v>#N/A</v>
      </c>
      <c r="AD137" s="58" t="str">
        <f t="shared" si="37"/>
        <v>0224-09</v>
      </c>
      <c r="AE137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37" s="84" t="str">
        <f t="shared" si="39"/>
        <v>"C:\Program Files (x86)\AstroGrep\AstroGrep.exe" /spath="%USERPROFILE%\AppData\Local\Temp\OnboardLogs" /stypes="app*4012*20170110*" /stext=" 04:.+((SYSTEM_STATE.+slice.+state.+changed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88" t="str">
        <f t="shared" si="26"/>
        <v>"%USERPROFILE%\Documents\GitHub\eaglep3\Utilities\RefineRTDCRunTimes.py" --tripid 224-09 --locoid 4012 --swversion DE.1.0.8.0 --startMP 204:232991 --initTime 2017-01-09T20:13:35 --startdatetime 2017-01-09T20:26:34 --delay 1 --endMP 204:156 --enddatetime 2017-01-09T21:06:46 --enforcementcount 0 &gt;&gt;C:\Users\stu\Documents\GitHub\eaglep3-reporting\EC\2017-01-09-refined-times.txt</v>
      </c>
      <c r="AI13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ID","value":"224-09"},{"id":16,"name":"Locomotive ID","value":"4012"},{"id":130,"name":"Impact","value":""},{"id":150,"name":"Time of Event (Mountain Time)","value":"21:06:46"},{"id":151,"name":"Denver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28"/>
        <v>start /low /b %USERPROFILE%\Documents\GitHub\eaglep3\Utilities\DownloadLogsFromS3.py --loco 4012 --day 2017-01-09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633</v>
      </c>
      <c r="B138" s="7">
        <v>4003</v>
      </c>
      <c r="C138" s="22" t="s">
        <v>203</v>
      </c>
      <c r="D138" s="22" t="s">
        <v>345</v>
      </c>
      <c r="E138" s="13">
        <v>42744.831689814811</v>
      </c>
      <c r="F138" s="13">
        <v>42744.833680555559</v>
      </c>
      <c r="G138" s="7">
        <v>1</v>
      </c>
      <c r="H138" s="22" t="s">
        <v>299</v>
      </c>
      <c r="I138" s="13">
        <v>42744.86010416667</v>
      </c>
      <c r="J138" s="7">
        <v>0</v>
      </c>
      <c r="K138" s="105" t="str">
        <f t="shared" si="29"/>
        <v>4003/4004</v>
      </c>
      <c r="L138" s="22" t="str">
        <f>VLOOKUP(A138,'Trips&amp;Operators'!$C$1:$G$99999,5,FALSE)</f>
        <v>BADERTSCHER DIANE</v>
      </c>
      <c r="M138" s="6">
        <f t="shared" si="30"/>
        <v>2.6423611110658385E-2</v>
      </c>
      <c r="N138" s="7">
        <f t="shared" si="47"/>
        <v>38.049999999348074</v>
      </c>
      <c r="O138" s="7"/>
      <c r="P138" s="7"/>
      <c r="Q138" s="23"/>
      <c r="R138" s="23"/>
      <c r="S138" s="32">
        <f t="shared" si="45"/>
        <v>1</v>
      </c>
      <c r="T138" s="47" t="str">
        <f t="shared" si="31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18:57:38-700',mode:absolute,to:'2017-01-09 21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49" t="str">
        <f t="shared" si="33"/>
        <v>N</v>
      </c>
      <c r="X138" s="173">
        <f t="shared" si="46"/>
        <v>1</v>
      </c>
      <c r="Y138" s="64">
        <f t="shared" si="34"/>
        <v>4.3999999999999997E-2</v>
      </c>
      <c r="Z138" s="64">
        <f t="shared" si="35"/>
        <v>23.329799999999999</v>
      </c>
      <c r="AA138" s="64">
        <f t="shared" si="36"/>
        <v>23.285799999999998</v>
      </c>
      <c r="AB138" s="61" t="e">
        <f>VLOOKUP(A138,Enforcements!$C$7:$K$17,8,0)</f>
        <v>#N/A</v>
      </c>
      <c r="AC138" s="57" t="e">
        <f>VLOOKUP(A138,Enforcements!$C$7:$E$17,3,0)</f>
        <v>#N/A</v>
      </c>
      <c r="AD138" s="58" t="str">
        <f t="shared" si="37"/>
        <v>0225-09</v>
      </c>
      <c r="AE138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38" s="84" t="str">
        <f t="shared" si="39"/>
        <v>"C:\Program Files (x86)\AstroGrep\AstroGrep.exe" /spath="%USERPROFILE%\AppData\Local\Temp\OnboardLogs" /stypes="app*4003*20170110*" /stext=" 03:.+((SYSTEM_STATE.+slice.+state.+changed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88" t="str">
        <f t="shared" si="26"/>
        <v>"%USERPROFILE%\Documents\GitHub\eaglep3\Utilities\RefineRTDCRunTimes.py" --tripid 225-09 --locoid 4003 --swversion DE.1.0.8.0 --startMP 204:440 --initTime 2017-01-09T19:57:38 --startdatetime 2017-01-09T20:00:30 --delay 1 --endMP 204:233298 --enddatetime 2017-01-09T20:38:33 --enforcementcount 0 &gt;&gt;C:\Users\stu\Documents\GitHub\eaglep3-reporting\EC\2017-01-09-refined-times.txt</v>
      </c>
      <c r="AI13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{"issue":{"subject":"","project_id":79,"tracker_id":40,"status_id":1,"priority_id":2,"assigned_to_id":23,"start_date":"2017-01-09","description":"","custom_fields":[{"id":1,"name":"Subdivision","value":"EC"},{"id":4,"name":"Milepost","value":"23.3298"},{"id":17,"name":"Train ID","value":"225-09"},{"id":16,"name":"Locomotive ID","value":"4003"},{"id":130,"name":"Impact","value":""},{"id":150,"name":"Time of Event (Mountain Time)","value":"20:38:33"},{"id":151,"name":"Denver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28"/>
        <v>start /low /b %USERPROFILE%\Documents\GitHub\eaglep3\Utilities\DownloadLogsFromS3.py --loco 4003 --day 2017-01-09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638</v>
      </c>
      <c r="B139" s="7">
        <v>4004</v>
      </c>
      <c r="C139" s="22" t="s">
        <v>203</v>
      </c>
      <c r="D139" s="22" t="s">
        <v>720</v>
      </c>
      <c r="E139" s="13">
        <v>42744.867326388892</v>
      </c>
      <c r="F139" s="13">
        <v>42744.872557870367</v>
      </c>
      <c r="G139" s="7">
        <v>1</v>
      </c>
      <c r="H139" s="22" t="s">
        <v>322</v>
      </c>
      <c r="I139" s="13">
        <v>42744.90111111111</v>
      </c>
      <c r="J139" s="7">
        <v>0</v>
      </c>
      <c r="K139" s="105" t="str">
        <f t="shared" si="29"/>
        <v>4003/4004</v>
      </c>
      <c r="L139" s="22" t="str">
        <f>VLOOKUP(A139,'Trips&amp;Operators'!$C$1:$G$99999,5,FALSE)</f>
        <v>BADERTSCHER DIANE</v>
      </c>
      <c r="M139" s="6">
        <f t="shared" si="30"/>
        <v>2.8553240743349306E-2</v>
      </c>
      <c r="N139" s="7">
        <f t="shared" si="47"/>
        <v>41.116666670423001</v>
      </c>
      <c r="O139" s="7"/>
      <c r="P139" s="7"/>
      <c r="Q139" s="23"/>
      <c r="R139" s="23"/>
      <c r="S139" s="32">
        <f t="shared" si="45"/>
        <v>1</v>
      </c>
      <c r="T139" s="47" t="str">
        <f t="shared" si="31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19:48:57-700',mode:absolute,to:'2017-01-09 22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49" t="str">
        <f t="shared" si="33"/>
        <v>N</v>
      </c>
      <c r="X139" s="173">
        <f t="shared" si="46"/>
        <v>1</v>
      </c>
      <c r="Y139" s="64">
        <f t="shared" si="34"/>
        <v>23.297599999999999</v>
      </c>
      <c r="Z139" s="64">
        <f t="shared" si="35"/>
        <v>1.3599999999999999E-2</v>
      </c>
      <c r="AA139" s="64">
        <f t="shared" si="36"/>
        <v>23.283999999999999</v>
      </c>
      <c r="AB139" s="61" t="e">
        <f>VLOOKUP(A139,Enforcements!$C$7:$K$17,8,0)</f>
        <v>#N/A</v>
      </c>
      <c r="AC139" s="57" t="e">
        <f>VLOOKUP(A139,Enforcements!$C$7:$E$17,3,0)</f>
        <v>#N/A</v>
      </c>
      <c r="AD139" s="58" t="str">
        <f t="shared" si="37"/>
        <v>0226-09</v>
      </c>
      <c r="AE139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39" s="84" t="str">
        <f t="shared" si="39"/>
        <v>"C:\Program Files (x86)\AstroGrep\AstroGrep.exe" /spath="%USERPROFILE%\AppData\Local\Temp\OnboardLogs" /stypes="app*4004*20170110*"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88" t="str">
        <f t="shared" si="26"/>
        <v>"%USERPROFILE%\Documents\GitHub\eaglep3\Utilities\RefineRTDCRunTimes.py" --tripid 226-09 --locoid 4004 --swversion DE.1.0.8.0 --startMP 204:232976 --initTime 2017-01-09T20:48:57 --startdatetime 2017-01-09T20:56:29 --delay 1 --endMP 204:136 --enddatetime 2017-01-09T21:37:36 --enforcementcount 0 &gt;&gt;C:\Users\stu\Documents\GitHub\eaglep3-reporting\EC\2017-01-09-refined-times.txt</v>
      </c>
      <c r="AI13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ID","value":"226-09"},{"id":16,"name":"Locomotive ID","value":"4004"},{"id":130,"name":"Impact","value":""},{"id":150,"name":"Time of Event (Mountain Time)","value":"21:37:36"},{"id":151,"name":"Denver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28"/>
        <v>start /low /b %USERPROFILE%\Documents\GitHub\eaglep3\Utilities\DownloadLogsFromS3.py --loco 4004 --day 2017-01-09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635</v>
      </c>
      <c r="B140" s="7">
        <v>4044</v>
      </c>
      <c r="C140" s="22" t="s">
        <v>203</v>
      </c>
      <c r="D140" s="22" t="s">
        <v>418</v>
      </c>
      <c r="E140" s="13">
        <v>42744.844837962963</v>
      </c>
      <c r="F140" s="13">
        <v>42744.854363425926</v>
      </c>
      <c r="G140" s="7">
        <v>2</v>
      </c>
      <c r="H140" s="22" t="s">
        <v>673</v>
      </c>
      <c r="I140" s="13">
        <v>42744.880752314813</v>
      </c>
      <c r="J140" s="7">
        <v>0</v>
      </c>
      <c r="K140" s="105" t="str">
        <f t="shared" si="29"/>
        <v>4043/4044</v>
      </c>
      <c r="L140" s="22" t="str">
        <f>VLOOKUP(A140,'Trips&amp;Operators'!$C$1:$G$99999,5,FALSE)</f>
        <v>STORY SAMANTHA</v>
      </c>
      <c r="M140" s="6">
        <f t="shared" si="30"/>
        <v>2.6388888887595385E-2</v>
      </c>
      <c r="N140" s="7">
        <f t="shared" si="47"/>
        <v>37.999999998137355</v>
      </c>
      <c r="O140" s="7"/>
      <c r="P140" s="7"/>
      <c r="Q140" s="23"/>
      <c r="R140" s="23"/>
      <c r="S140" s="32">
        <f t="shared" si="45"/>
        <v>1</v>
      </c>
      <c r="T140" s="47" t="str">
        <f t="shared" si="31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19:16:34-700',mode:absolute,to:'2017-01-09 22:08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0" s="49" t="str">
        <f t="shared" si="33"/>
        <v>N</v>
      </c>
      <c r="X140" s="173">
        <f t="shared" si="46"/>
        <v>1</v>
      </c>
      <c r="Y140" s="64">
        <f t="shared" si="34"/>
        <v>4.3499999999999997E-2</v>
      </c>
      <c r="Z140" s="64">
        <f t="shared" si="35"/>
        <v>23.331499999999998</v>
      </c>
      <c r="AA140" s="64">
        <f t="shared" si="36"/>
        <v>23.287999999999997</v>
      </c>
      <c r="AB140" s="61" t="e">
        <f>VLOOKUP(A140,Enforcements!$C$7:$K$17,8,0)</f>
        <v>#N/A</v>
      </c>
      <c r="AC140" s="57" t="e">
        <f>VLOOKUP(A140,Enforcements!$C$7:$E$17,3,0)</f>
        <v>#N/A</v>
      </c>
      <c r="AD140" s="58" t="str">
        <f t="shared" si="37"/>
        <v>0227-09</v>
      </c>
      <c r="AE140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40" s="84" t="str">
        <f t="shared" si="39"/>
        <v>"C:\Program Files (x86)\AstroGrep\AstroGrep.exe" /spath="%USERPROFILE%\AppData\Local\Temp\OnboardLogs" /stypes="app*4044*20170110*" /stext=" 04:.+((SYSTEM_STATE.+slice.+state.+changed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88" t="str">
        <f t="shared" ref="AH140:AH206" si="4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227-09 --locoid 4044 --swversion DE.1.0.8.0 --startMP 204:435 --initTime 2017-01-09T20:16:34 --startdatetime 2017-01-09T20:30:17 --delay 2 --endMP 204:233315 --enddatetime 2017-01-09T21:08:17 --enforcementcount 0 &gt;&gt;C:\Users\stu\Documents\GitHub\eaglep3-reporting\EC\2017-01-09-refined-times.txt</v>
      </c>
      <c r="AI140" s="115" t="str">
        <f t="shared" ref="AI140:AI206" si="4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{"issue":{"subject":"","project_id":79,"tracker_id":40,"status_id":1,"priority_id":2,"assigned_to_id":23,"start_date":"2017-01-09","description":"","custom_fields":[{"id":1,"name":"Subdivision","value":"EC"},{"id":4,"name":"Milepost","value":"23.3315"},{"id":17,"name":"Train ID","value":"227-09"},{"id":16,"name":"Locomotive ID","value":"4044"},{"id":130,"name":"Impact","value":""},{"id":150,"name":"Time of Event (Mountain Time)","value":"21:08:17"},{"id":151,"name":"Denver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ref="AM140:AM206" si="50">"start /low /b "&amp;dls3logs&amp;" --loco "&amp;B140&amp;" --day "&amp;TEXT(F140,"YYYY-MM-DD")</f>
        <v>start /low /b %USERPROFILE%\Documents\GitHub\eaglep3\Utilities\DownloadLogsFromS3.py --loco 4044 --day 2017-01-09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642</v>
      </c>
      <c r="B141" s="7">
        <v>4043</v>
      </c>
      <c r="C141" s="22" t="s">
        <v>203</v>
      </c>
      <c r="D141" s="22" t="s">
        <v>401</v>
      </c>
      <c r="E141" s="13">
        <v>42744.888807870368</v>
      </c>
      <c r="F141" s="13">
        <v>42744.893425925926</v>
      </c>
      <c r="G141" s="7">
        <v>1</v>
      </c>
      <c r="H141" s="22" t="s">
        <v>191</v>
      </c>
      <c r="I141" s="13">
        <v>42744.921226851853</v>
      </c>
      <c r="J141" s="7">
        <v>0</v>
      </c>
      <c r="K141" s="105" t="str">
        <f t="shared" ref="K141:K204" si="51">IF(ISEVEN(B141),(B141-1)&amp;"/"&amp;B141,B141&amp;"/"&amp;(B141+1))</f>
        <v>4043/4044</v>
      </c>
      <c r="L141" s="22" t="str">
        <f>VLOOKUP(A141,'Trips&amp;Operators'!$C$1:$G$99999,5,FALSE)</f>
        <v>STORY SAMANTHA</v>
      </c>
      <c r="M141" s="6">
        <f t="shared" ref="M141:M204" si="52">I141-F141</f>
        <v>2.7800925927294884E-2</v>
      </c>
      <c r="N141" s="7">
        <f t="shared" si="47"/>
        <v>40.033333335304633</v>
      </c>
      <c r="O141" s="7"/>
      <c r="P141" s="7"/>
      <c r="Q141" s="23"/>
      <c r="R141" s="23"/>
      <c r="S141" s="32">
        <f t="shared" si="45"/>
        <v>1</v>
      </c>
      <c r="T141" s="47" t="str">
        <f t="shared" ref="T141:T204" si="53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https://search-rtdc-monitor-bjffxe2xuh6vdkpspy63sjmuny.us-east-1.es.amazonaws.com/_plugin/kibana/#/discover/Steve-Slow-Train-Analysis-(2080s-and-2083s)?_g=(refreshInterval:(display:Off,section:0,value:0),time:(from:'2017-01-09 20:19:53-700',mode:absolute,to:'2017-01-09 23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1" s="49" t="str">
        <f t="shared" ref="W141:W204" si="55">IF(AA141&lt;IF(AG141="EC",23,5.65),"Y","N")</f>
        <v>N</v>
      </c>
      <c r="X141" s="173">
        <f t="shared" si="46"/>
        <v>1</v>
      </c>
      <c r="Y141" s="64">
        <f t="shared" ref="Y141:Y204" si="56">RIGHT(D141,LEN(D141)-4)/10000</f>
        <v>23.3004</v>
      </c>
      <c r="Z141" s="64">
        <f t="shared" ref="Z141:Z204" si="57">RIGHT(H141,LEN(H141)-4)/10000</f>
        <v>1.49E-2</v>
      </c>
      <c r="AA141" s="64">
        <f t="shared" ref="AA141:AA204" si="58">ABS(Z141-Y141)</f>
        <v>23.285499999999999</v>
      </c>
      <c r="AB141" s="61" t="e">
        <f>VLOOKUP(A141,Enforcements!$C$7:$K$17,8,0)</f>
        <v>#N/A</v>
      </c>
      <c r="AC141" s="57" t="e">
        <f>VLOOKUP(A141,Enforcements!$C$7:$E$17,3,0)</f>
        <v>#N/A</v>
      </c>
      <c r="AD141" s="58" t="str">
        <f t="shared" ref="AD141:AD204" si="59">IF(LEN(A141)=6,"0"&amp;A141,A141)</f>
        <v>0228-09</v>
      </c>
      <c r="AE141" s="87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41" s="84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/stypes="app*4043*20170110*" /stext=" 05:.+((SYSTEM_STATE.+slice.+state.+changed )|(ment ac)|(multiple cpu faults)|(system.+state.+changed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88" t="str">
        <f t="shared" si="48"/>
        <v>"%USERPROFILE%\Documents\GitHub\eaglep3\Utilities\RefineRTDCRunTimes.py" --tripid 228-09 --locoid 4043 --swversion DE.1.0.8.0 --startMP 204:233004 --initTime 2017-01-09T21:19:53 --startdatetime 2017-01-09T21:26:32 --delay 1 --endMP 204:149 --enddatetime 2017-01-09T22:06:34 --enforcementcount 0 &gt;&gt;C:\Users\stu\Documents\GitHub\eaglep3-reporting\EC\2017-01-09-refined-times.txt</v>
      </c>
      <c r="AI141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ID","value":"228-09"},{"id":16,"name":"Locomotive ID","value":"4043"},{"id":130,"name":"Impact","value":""},{"id":150,"name":"Time of Event (Mountain Time)","value":"22:06:34"},{"id":151,"name":"Denver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50"/>
        <v>start /low /b %USERPROFILE%\Documents\GitHub\eaglep3\Utilities\DownloadLogsFromS3.py --loco 4043 --day 2017-01-09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639</v>
      </c>
      <c r="B142" s="7">
        <v>4046</v>
      </c>
      <c r="C142" s="22" t="s">
        <v>203</v>
      </c>
      <c r="D142" s="22" t="s">
        <v>387</v>
      </c>
      <c r="E142" s="13">
        <v>42744.873495370368</v>
      </c>
      <c r="F142" s="13">
        <v>42744.875358796293</v>
      </c>
      <c r="G142" s="7">
        <v>1</v>
      </c>
      <c r="H142" s="22" t="s">
        <v>385</v>
      </c>
      <c r="I142" s="13">
        <v>42744.900601851848</v>
      </c>
      <c r="J142" s="7">
        <v>0</v>
      </c>
      <c r="K142" s="105" t="str">
        <f t="shared" si="51"/>
        <v>4045/4046</v>
      </c>
      <c r="L142" s="22" t="str">
        <f>VLOOKUP(A142,'Trips&amp;Operators'!$C$1:$G$99999,5,FALSE)</f>
        <v>CHANDLER KELVIN</v>
      </c>
      <c r="M142" s="6">
        <f t="shared" si="52"/>
        <v>2.5243055555620231E-2</v>
      </c>
      <c r="N142" s="7">
        <f t="shared" si="47"/>
        <v>36.350000000093132</v>
      </c>
      <c r="O142" s="7"/>
      <c r="P142" s="7"/>
      <c r="Q142" s="23"/>
      <c r="R142" s="23"/>
      <c r="S142" s="32">
        <f t="shared" si="45"/>
        <v>1</v>
      </c>
      <c r="T142" s="47" t="str">
        <f t="shared" si="53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19:57:50-700',mode:absolute,to:'2017-01-09 22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49" t="str">
        <f t="shared" si="55"/>
        <v>N</v>
      </c>
      <c r="X142" s="173">
        <f t="shared" si="46"/>
        <v>1</v>
      </c>
      <c r="Y142" s="64">
        <f t="shared" si="56"/>
        <v>4.7100000000000003E-2</v>
      </c>
      <c r="Z142" s="64">
        <f t="shared" si="57"/>
        <v>23.331900000000001</v>
      </c>
      <c r="AA142" s="64">
        <f t="shared" si="58"/>
        <v>23.284800000000001</v>
      </c>
      <c r="AB142" s="61" t="e">
        <f>VLOOKUP(A142,Enforcements!$C$7:$K$17,8,0)</f>
        <v>#N/A</v>
      </c>
      <c r="AC142" s="57" t="e">
        <f>VLOOKUP(A142,Enforcements!$C$7:$E$17,3,0)</f>
        <v>#N/A</v>
      </c>
      <c r="AD142" s="58" t="str">
        <f t="shared" si="59"/>
        <v>0229-09</v>
      </c>
      <c r="AE142" s="87" t="str">
        <f t="shared" si="60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42" s="84" t="str">
        <f t="shared" si="61"/>
        <v>"C:\Program Files (x86)\AstroGrep\AstroGrep.exe" /spath="%USERPROFILE%\AppData\Local\Temp\OnboardLogs" /stypes="app*4046*20170110*" /stext=" 04:.+((SYSTEM_STATE.+slice.+state.+changed )|(ment ac)|(multiple cpu faults)|(system.+state.+changed )|(\[timeout)|(PRM\|1\|D)|(kpr)|(kdp)|(\|lc)|(penalty))" /e /r /s</v>
      </c>
      <c r="AG142" s="1" t="str">
        <f t="shared" si="62"/>
        <v>EC</v>
      </c>
      <c r="AH142" s="88" t="str">
        <f t="shared" si="48"/>
        <v>"%USERPROFILE%\Documents\GitHub\eaglep3\Utilities\RefineRTDCRunTimes.py" --tripid 229-09 --locoid 4046 --swversion DE.1.0.8.0 --startMP 204:471 --initTime 2017-01-09T20:57:50 --startdatetime 2017-01-09T21:00:31 --delay 1 --endMP 204:233319 --enddatetime 2017-01-09T21:36:52 --enforcementcount 0 &gt;&gt;C:\Users\stu\Documents\GitHub\eaglep3-reporting\EC\2017-01-09-refined-times.txt</v>
      </c>
      <c r="AI142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{"issue":{"subject":"","project_id":79,"tracker_id":40,"status_id":1,"priority_id":2,"assigned_to_id":23,"start_date":"2017-01-09","description":"","custom_fields":[{"id":1,"name":"Subdivision","value":"EC"},{"id":4,"name":"Milepost","value":"23.3319"},{"id":17,"name":"Train ID","value":"229-09"},{"id":16,"name":"Locomotive ID","value":"4046"},{"id":130,"name":"Impact","value":""},{"id":150,"name":"Time of Event (Mountain Time)","value":"21:36:52"},{"id":151,"name":"Denver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0"/>
        <v>start /low /b %USERPROFILE%\Documents\GitHub\eaglep3\Utilities\DownloadLogsFromS3.py --loco 4046 --day 2017-01-09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453</v>
      </c>
      <c r="B143" s="7">
        <v>4045</v>
      </c>
      <c r="C143" s="22" t="s">
        <v>203</v>
      </c>
      <c r="D143" s="22" t="s">
        <v>327</v>
      </c>
      <c r="E143" s="13">
        <v>42744.912673611114</v>
      </c>
      <c r="F143" s="13">
        <v>42744.914351851854</v>
      </c>
      <c r="G143" s="7">
        <v>0</v>
      </c>
      <c r="H143" s="22" t="s">
        <v>708</v>
      </c>
      <c r="I143" s="13">
        <v>42744.94321759259</v>
      </c>
      <c r="J143" s="7">
        <v>0</v>
      </c>
      <c r="K143" s="105" t="str">
        <f t="shared" si="51"/>
        <v>4045/4046</v>
      </c>
      <c r="L143" s="22" t="str">
        <f>VLOOKUP(A143,'Trips&amp;Operators'!$C$1:$G$99999,5,FALSE)</f>
        <v>CHANDLER KELVIN</v>
      </c>
      <c r="M143" s="6">
        <f t="shared" si="52"/>
        <v>2.8865740736364387E-2</v>
      </c>
      <c r="N143" s="7">
        <f t="shared" si="47"/>
        <v>41.566666660364717</v>
      </c>
      <c r="O143" s="7"/>
      <c r="P143" s="7"/>
      <c r="Q143" s="23"/>
      <c r="R143" s="23"/>
      <c r="S143" s="32">
        <f t="shared" si="45"/>
        <v>1</v>
      </c>
      <c r="T143" s="47" t="str">
        <f t="shared" si="53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20:54:15-700',mode:absolute,to:'2017-01-09 23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49" t="str">
        <f t="shared" si="55"/>
        <v>N</v>
      </c>
      <c r="X143" s="173">
        <f t="shared" si="46"/>
        <v>1</v>
      </c>
      <c r="Y143" s="64">
        <f t="shared" si="56"/>
        <v>23.296800000000001</v>
      </c>
      <c r="Z143" s="64">
        <f t="shared" si="57"/>
        <v>1.67E-2</v>
      </c>
      <c r="AA143" s="64">
        <f t="shared" si="58"/>
        <v>23.280100000000001</v>
      </c>
      <c r="AB143" s="61" t="e">
        <f>VLOOKUP(A143,Enforcements!$C$7:$K$17,8,0)</f>
        <v>#N/A</v>
      </c>
      <c r="AC143" s="57" t="e">
        <f>VLOOKUP(A143,Enforcements!$C$7:$E$17,3,0)</f>
        <v>#N/A</v>
      </c>
      <c r="AD143" s="58" t="str">
        <f t="shared" si="59"/>
        <v>0230-09</v>
      </c>
      <c r="AE143" s="87" t="str">
        <f t="shared" si="60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43" s="84" t="str">
        <f t="shared" si="61"/>
        <v>"C:\Program Files (x86)\AstroGrep\AstroGrep.exe" /spath="%USERPROFILE%\AppData\Local\Temp\OnboardLogs" /stypes="app*4045*20170110*" /stext=" 05:.+((SYSTEM_STATE.+slice.+state.+changed )|(ment ac)|(multiple cpu faults)|(system.+state.+changed )|(\[timeout)|(PRM\|1\|D)|(kpr)|(kdp)|(\|lc)|(penalty))" /e /r /s</v>
      </c>
      <c r="AG143" s="1" t="str">
        <f t="shared" si="62"/>
        <v>EC</v>
      </c>
      <c r="AH143" s="88" t="str">
        <f t="shared" si="48"/>
        <v>"%USERPROFILE%\Documents\GitHub\eaglep3\Utilities\RefineRTDCRunTimes.py" --tripid 230-09 --locoid 4045 --swversion DE.1.0.8.0 --startMP 204:232968 --initTime 2017-01-09T21:54:15 --startdatetime 2017-01-09T21:56:40 --delay 0 --endMP 204:167 --enddatetime 2017-01-09T22:38:14 --enforcementcount 0 &gt;&gt;C:\Users\stu\Documents\GitHub\eaglep3-reporting\EC\2017-01-09-refined-times.txt</v>
      </c>
      <c r="AI143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{"issue":{"subject":"","project_id":79,"tracker_id":40,"status_id":1,"priority_id":2,"assigned_to_id":23,"start_date":"2017-01-09","description":"","custom_fields":[{"id":1,"name":"Subdivision","value":"EC"},{"id":4,"name":"Milepost","value":"0.0167"},{"id":17,"name":"Train ID","value":"230-09"},{"id":16,"name":"Locomotive ID","value":"4045"},{"id":130,"name":"Impact","value":""},{"id":150,"name":"Time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0"/>
        <v>start /low /b %USERPROFILE%\Documents\GitHub\eaglep3\Utilities\DownloadLogsFromS3.py --loco 4045 --day 2017-01-09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641</v>
      </c>
      <c r="B144" s="7">
        <v>4011</v>
      </c>
      <c r="C144" s="22" t="s">
        <v>203</v>
      </c>
      <c r="D144" s="22" t="s">
        <v>224</v>
      </c>
      <c r="E144" s="13">
        <v>42744.888032407405</v>
      </c>
      <c r="F144" s="13">
        <v>42744.896261574075</v>
      </c>
      <c r="G144" s="7">
        <v>1</v>
      </c>
      <c r="H144" s="22" t="s">
        <v>384</v>
      </c>
      <c r="I144" s="13">
        <v>42744.921458333331</v>
      </c>
      <c r="J144" s="7">
        <v>0</v>
      </c>
      <c r="K144" s="105" t="str">
        <f t="shared" si="51"/>
        <v>4011/4012</v>
      </c>
      <c r="L144" s="22" t="str">
        <f>VLOOKUP(A144,'Trips&amp;Operators'!$C$1:$G$99999,5,FALSE)</f>
        <v>SMITH MICHAEL</v>
      </c>
      <c r="M144" s="6">
        <f t="shared" si="52"/>
        <v>2.5196759255777579E-2</v>
      </c>
      <c r="N144" s="7">
        <f t="shared" si="47"/>
        <v>36.283333328319713</v>
      </c>
      <c r="O144" s="7"/>
      <c r="P144" s="7"/>
      <c r="Q144" s="23"/>
      <c r="R144" s="23"/>
      <c r="S144" s="32">
        <f t="shared" si="45"/>
        <v>1</v>
      </c>
      <c r="T144" s="47" t="str">
        <f t="shared" si="53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20:18:46-700',mode:absolute,to:'2017-01-09 23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49" t="str">
        <f t="shared" si="55"/>
        <v>N</v>
      </c>
      <c r="X144" s="173">
        <f t="shared" si="46"/>
        <v>1</v>
      </c>
      <c r="Y144" s="64">
        <f t="shared" si="56"/>
        <v>4.5499999999999999E-2</v>
      </c>
      <c r="Z144" s="64">
        <f t="shared" si="57"/>
        <v>23.3308</v>
      </c>
      <c r="AA144" s="64">
        <f t="shared" si="58"/>
        <v>23.285299999999999</v>
      </c>
      <c r="AB144" s="61" t="e">
        <f>VLOOKUP(A144,Enforcements!$C$7:$K$17,8,0)</f>
        <v>#N/A</v>
      </c>
      <c r="AC144" s="57" t="e">
        <f>VLOOKUP(A144,Enforcements!$C$7:$E$17,3,0)</f>
        <v>#N/A</v>
      </c>
      <c r="AD144" s="58" t="str">
        <f t="shared" si="59"/>
        <v>0231-09</v>
      </c>
      <c r="AE144" s="87" t="str">
        <f t="shared" si="60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44" s="84" t="str">
        <f t="shared" si="61"/>
        <v>"C:\Program Files (x86)\AstroGrep\AstroGrep.exe" /spath="%USERPROFILE%\AppData\Local\Temp\OnboardLogs" /stypes="app*4011*20170110*" /stext=" 05:.+((SYSTEM_STATE.+slice.+state.+changed )|(ment ac)|(multiple cpu faults)|(system.+state.+changed )|(\[timeout)|(PRM\|1\|D)|(kpr)|(kdp)|(\|lc)|(penalty))" /e /r /s</v>
      </c>
      <c r="AG144" s="1" t="str">
        <f t="shared" si="62"/>
        <v>EC</v>
      </c>
      <c r="AH144" s="88" t="str">
        <f t="shared" si="48"/>
        <v>"%USERPROFILE%\Documents\GitHub\eaglep3\Utilities\RefineRTDCRunTimes.py" --tripid 231-09 --locoid 4011 --swversion DE.1.0.8.0 --startMP 204:455 --initTime 2017-01-09T21:18:46 --startdatetime 2017-01-09T21:30:37 --delay 1 --endMP 204:233308 --enddatetime 2017-01-09T22:06:54 --enforcementcount 0 &gt;&gt;C:\Users\stu\Documents\GitHub\eaglep3-reporting\EC\2017-01-09-refined-times.txt</v>
      </c>
      <c r="AI144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{"issue":{"subject":"","project_id":79,"tracker_id":40,"status_id":1,"priority_id":2,"assigned_to_id":23,"start_date":"2017-01-09","description":"","custom_fields":[{"id":1,"name":"Subdivision","value":"EC"},{"id":4,"name":"Milepost","value":"23.3308"},{"id":17,"name":"Train ID","value":"231-09"},{"id":16,"name":"Locomotive ID","value":"4011"},{"id":130,"name":"Impact","value":""},{"id":150,"name":"Time of Event (Mountain Time)","value":"22:06:54"},{"id":151,"name":"Denver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0"/>
        <v>start /low /b %USERPROFILE%\Documents\GitHub\eaglep3\Utilities\DownloadLogsFromS3.py --loco 4011 --day 2017-01-09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647</v>
      </c>
      <c r="B145" s="7">
        <v>4012</v>
      </c>
      <c r="C145" s="22" t="s">
        <v>203</v>
      </c>
      <c r="D145" s="22" t="s">
        <v>298</v>
      </c>
      <c r="E145" s="13">
        <v>42744.928449074076</v>
      </c>
      <c r="F145" s="13">
        <v>42744.935057870367</v>
      </c>
      <c r="G145" s="7">
        <v>1</v>
      </c>
      <c r="H145" s="22" t="s">
        <v>191</v>
      </c>
      <c r="I145" s="13">
        <v>42744.963518518518</v>
      </c>
      <c r="J145" s="7">
        <v>0</v>
      </c>
      <c r="K145" s="105" t="str">
        <f t="shared" si="51"/>
        <v>4011/4012</v>
      </c>
      <c r="L145" s="22" t="str">
        <f>VLOOKUP(A145,'Trips&amp;Operators'!$C$1:$G$99999,5,FALSE)</f>
        <v>SMITH MICHAEL</v>
      </c>
      <c r="M145" s="6">
        <f t="shared" si="52"/>
        <v>2.846064815093996E-2</v>
      </c>
      <c r="N145" s="7">
        <f t="shared" si="47"/>
        <v>40.983333337353542</v>
      </c>
      <c r="O145" s="7"/>
      <c r="P145" s="7"/>
      <c r="Q145" s="23"/>
      <c r="R145" s="23"/>
      <c r="S145" s="32">
        <f t="shared" si="45"/>
        <v>1</v>
      </c>
      <c r="T145" s="47" t="str">
        <f t="shared" si="53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21:16:58-700',mode:absolute,to:'2017-01-10 00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49" t="str">
        <f t="shared" si="55"/>
        <v>N</v>
      </c>
      <c r="X145" s="173">
        <f t="shared" si="46"/>
        <v>1</v>
      </c>
      <c r="Y145" s="64">
        <f t="shared" si="56"/>
        <v>23.298300000000001</v>
      </c>
      <c r="Z145" s="64">
        <f t="shared" si="57"/>
        <v>1.49E-2</v>
      </c>
      <c r="AA145" s="64">
        <f t="shared" si="58"/>
        <v>23.2834</v>
      </c>
      <c r="AB145" s="61" t="e">
        <f>VLOOKUP(A145,Enforcements!$C$7:$K$17,8,0)</f>
        <v>#N/A</v>
      </c>
      <c r="AC145" s="57" t="e">
        <f>VLOOKUP(A145,Enforcements!$C$7:$E$17,3,0)</f>
        <v>#N/A</v>
      </c>
      <c r="AD145" s="58" t="str">
        <f t="shared" si="59"/>
        <v>0232-09</v>
      </c>
      <c r="AE145" s="87" t="str">
        <f t="shared" si="60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45" s="84" t="str">
        <f t="shared" si="61"/>
        <v>"C:\Program Files (x86)\AstroGrep\AstroGrep.exe" /spath="%USERPROFILE%\AppData\Local\Temp\OnboardLogs" /stypes="app*4012*20170110*" /stext=" 06:.+((SYSTEM_STATE.+slice.+state.+changed )|(ment ac)|(multiple cpu faults)|(system.+state.+changed )|(\[timeout)|(PRM\|1\|D)|(kpr)|(kdp)|(\|lc)|(penalty))" /e /r /s</v>
      </c>
      <c r="AG145" s="1" t="str">
        <f t="shared" si="62"/>
        <v>EC</v>
      </c>
      <c r="AH145" s="88" t="str">
        <f t="shared" si="48"/>
        <v>"%USERPROFILE%\Documents\GitHub\eaglep3\Utilities\RefineRTDCRunTimes.py" --tripid 232-09 --locoid 4012 --swversion DE.1.0.8.0 --startMP 204:232983 --initTime 2017-01-09T22:16:58 --startdatetime 2017-01-09T22:26:29 --delay 1 --endMP 204:149 --enddatetime 2017-01-09T23:07:28 --enforcementcount 0 &gt;&gt;C:\Users\stu\Documents\GitHub\eaglep3-reporting\EC\2017-01-09-refined-times.txt</v>
      </c>
      <c r="AI145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ID","value":"232-09"},{"id":16,"name":"Locomotive ID","value":"4012"},{"id":130,"name":"Impact","value":""},{"id":150,"name":"Time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0"/>
        <v>start /low /b %USERPROFILE%\Documents\GitHub\eaglep3\Utilities\DownloadLogsFromS3.py --loco 4012 --day 2017-01-09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644</v>
      </c>
      <c r="B146" s="7">
        <v>4003</v>
      </c>
      <c r="C146" s="22" t="s">
        <v>203</v>
      </c>
      <c r="D146" s="22" t="s">
        <v>349</v>
      </c>
      <c r="E146" s="13">
        <v>42744.90519675926</v>
      </c>
      <c r="F146" s="13">
        <v>42744.917025462964</v>
      </c>
      <c r="G146" s="7">
        <v>1</v>
      </c>
      <c r="H146" s="22" t="s">
        <v>413</v>
      </c>
      <c r="I146" s="13">
        <v>42744.943738425929</v>
      </c>
      <c r="J146" s="7">
        <v>0</v>
      </c>
      <c r="K146" s="105" t="str">
        <f t="shared" si="51"/>
        <v>4003/4004</v>
      </c>
      <c r="L146" s="22" t="str">
        <f>VLOOKUP(A146,'Trips&amp;Operators'!$C$1:$G$99999,5,FALSE)</f>
        <v>BADERTSCHER DIANE</v>
      </c>
      <c r="M146" s="6">
        <f t="shared" si="52"/>
        <v>2.6712962964666076E-2</v>
      </c>
      <c r="N146" s="7">
        <f t="shared" si="47"/>
        <v>38.466666669119149</v>
      </c>
      <c r="O146" s="7"/>
      <c r="P146" s="7"/>
      <c r="Q146" s="23"/>
      <c r="R146" s="23"/>
      <c r="S146" s="32">
        <f t="shared" si="45"/>
        <v>1</v>
      </c>
      <c r="T146" s="47" t="str">
        <f t="shared" si="53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20:43:29-700',mode:absolute,to:'2017-01-09 23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49" t="str">
        <f t="shared" si="55"/>
        <v>N</v>
      </c>
      <c r="X146" s="173">
        <f t="shared" si="46"/>
        <v>1</v>
      </c>
      <c r="Y146" s="64">
        <f t="shared" si="56"/>
        <v>4.3799999999999999E-2</v>
      </c>
      <c r="Z146" s="64">
        <f t="shared" si="57"/>
        <v>23.328299999999999</v>
      </c>
      <c r="AA146" s="64">
        <f t="shared" si="58"/>
        <v>23.284499999999998</v>
      </c>
      <c r="AB146" s="61" t="e">
        <f>VLOOKUP(A146,Enforcements!$C$7:$K$17,8,0)</f>
        <v>#N/A</v>
      </c>
      <c r="AC146" s="57" t="e">
        <f>VLOOKUP(A146,Enforcements!$C$7:$E$17,3,0)</f>
        <v>#N/A</v>
      </c>
      <c r="AD146" s="58" t="str">
        <f t="shared" si="59"/>
        <v>0233-09</v>
      </c>
      <c r="AE146" s="87" t="str">
        <f t="shared" si="60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46" s="84" t="str">
        <f t="shared" si="61"/>
        <v>"C:\Program Files (x86)\AstroGrep\AstroGrep.exe" /spath="%USERPROFILE%\AppData\Local\Temp\OnboardLogs" /stypes="app*4003*20170110*" /stext=" 05:.+((SYSTEM_STATE.+slice.+state.+changed )|(ment ac)|(multiple cpu faults)|(system.+state.+changed )|(\[timeout)|(PRM\|1\|D)|(kpr)|(kdp)|(\|lc)|(penalty))" /e /r /s</v>
      </c>
      <c r="AG146" s="1" t="str">
        <f t="shared" si="62"/>
        <v>EC</v>
      </c>
      <c r="AH146" s="88" t="str">
        <f t="shared" si="48"/>
        <v>"%USERPROFILE%\Documents\GitHub\eaglep3\Utilities\RefineRTDCRunTimes.py" --tripid 233-09 --locoid 4003 --swversion DE.1.0.8.0 --startMP 204:438 --initTime 2017-01-09T21:43:29 --startdatetime 2017-01-09T22:00:31 --delay 1 --endMP 204:233283 --enddatetime 2017-01-09T22:38:59 --enforcementcount 0 &gt;&gt;C:\Users\stu\Documents\GitHub\eaglep3-reporting\EC\2017-01-09-refined-times.txt</v>
      </c>
      <c r="AI146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{"issue":{"subject":"","project_id":79,"tracker_id":40,"status_id":1,"priority_id":2,"assigned_to_id":23,"start_date":"2017-01-09","description":"","custom_fields":[{"id":1,"name":"Subdivision","value":"EC"},{"id":4,"name":"Milepost","value":"23.3283"},{"id":17,"name":"Train ID","value":"233-09"},{"id":16,"name":"Locomotive ID","value":"4003"},{"id":130,"name":"Impact","value":""},{"id":150,"name":"Time of Event (Mountain Time)","value":"22:38:59"},{"id":151,"name":"Denver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0"/>
        <v>start /low /b %USERPROFILE%\Documents\GitHub\eaglep3\Utilities\DownloadLogsFromS3.py --loco 4003 --day 2017-01-09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649</v>
      </c>
      <c r="B147" s="7">
        <v>4004</v>
      </c>
      <c r="C147" s="22" t="s">
        <v>203</v>
      </c>
      <c r="D147" s="22" t="s">
        <v>712</v>
      </c>
      <c r="E147" s="13">
        <v>42744.949548611112</v>
      </c>
      <c r="F147" s="13">
        <v>42744.955868055556</v>
      </c>
      <c r="G147" s="7">
        <v>1</v>
      </c>
      <c r="H147" s="22" t="s">
        <v>405</v>
      </c>
      <c r="I147" s="13">
        <v>42744.984571759262</v>
      </c>
      <c r="J147" s="7">
        <v>0</v>
      </c>
      <c r="K147" s="105" t="str">
        <f t="shared" si="51"/>
        <v>4003/4004</v>
      </c>
      <c r="L147" s="22" t="str">
        <f>VLOOKUP(A147,'Trips&amp;Operators'!$C$1:$G$99999,5,FALSE)</f>
        <v>BADERTSCHER DIANE</v>
      </c>
      <c r="M147" s="6">
        <f t="shared" si="52"/>
        <v>2.8703703705104999E-2</v>
      </c>
      <c r="N147" s="7">
        <f t="shared" si="47"/>
        <v>41.333333335351199</v>
      </c>
      <c r="O147" s="7"/>
      <c r="P147" s="7"/>
      <c r="Q147" s="23"/>
      <c r="R147" s="23"/>
      <c r="S147" s="32">
        <f t="shared" si="45"/>
        <v>1</v>
      </c>
      <c r="T147" s="47" t="str">
        <f t="shared" si="53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21:47:21-700',mode:absolute,to:'2017-01-10 00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49" t="str">
        <f t="shared" si="55"/>
        <v>N</v>
      </c>
      <c r="X147" s="173">
        <f t="shared" si="46"/>
        <v>1</v>
      </c>
      <c r="Y147" s="64">
        <f t="shared" si="56"/>
        <v>23.299800000000001</v>
      </c>
      <c r="Z147" s="64">
        <f t="shared" si="57"/>
        <v>1.2699999999999999E-2</v>
      </c>
      <c r="AA147" s="64">
        <f t="shared" si="58"/>
        <v>23.287100000000002</v>
      </c>
      <c r="AB147" s="61" t="e">
        <f>VLOOKUP(A147,Enforcements!$C$7:$K$17,8,0)</f>
        <v>#N/A</v>
      </c>
      <c r="AC147" s="57" t="e">
        <f>VLOOKUP(A147,Enforcements!$C$7:$E$17,3,0)</f>
        <v>#N/A</v>
      </c>
      <c r="AD147" s="58" t="str">
        <f t="shared" si="59"/>
        <v>0234-09</v>
      </c>
      <c r="AE147" s="87" t="str">
        <f t="shared" si="60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47" s="84" t="str">
        <f t="shared" si="61"/>
        <v>"C:\Program Files (x86)\AstroGrep\AstroGrep.exe" /spath="%USERPROFILE%\AppData\Local\Temp\OnboardLogs" /stypes="app*4004*20170110*" /stext=" 06:.+((SYSTEM_STATE.+slice.+state.+changed )|(ment ac)|(multiple cpu faults)|(system.+state.+changed )|(\[timeout)|(PRM\|1\|D)|(kpr)|(kdp)|(\|lc)|(penalty))" /e /r /s</v>
      </c>
      <c r="AG147" s="1" t="str">
        <f t="shared" si="62"/>
        <v>EC</v>
      </c>
      <c r="AH147" s="88" t="str">
        <f t="shared" si="48"/>
        <v>"%USERPROFILE%\Documents\GitHub\eaglep3\Utilities\RefineRTDCRunTimes.py" --tripid 234-09 --locoid 4004 --swversion DE.1.0.8.0 --startMP 204:232998 --initTime 2017-01-09T22:47:21 --startdatetime 2017-01-09T22:56:27 --delay 1 --endMP 204:127 --enddatetime 2017-01-09T23:37:47 --enforcementcount 0 &gt;&gt;C:\Users\stu\Documents\GitHub\eaglep3-reporting\EC\2017-01-09-refined-times.txt</v>
      </c>
      <c r="AI147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{"issue":{"subject":"","project_id":79,"tracker_id":40,"status_id":1,"priority_id":2,"assigned_to_id":23,"start_date":"2017-01-09","description":"","custom_fields":[{"id":1,"name":"Subdivision","value":"EC"},{"id":4,"name":"Milepost","value":"0.0127"},{"id":17,"name":"Train ID","value":"234-09"},{"id":16,"name":"Locomotive ID","value":"4004"},{"id":130,"name":"Impact","value":""},{"id":150,"name":"Time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0"/>
        <v>start /low /b %USERPROFILE%\Documents\GitHub\eaglep3\Utilities\DownloadLogsFromS3.py --loco 4004 --day 2017-01-09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646</v>
      </c>
      <c r="B148" s="7">
        <v>4044</v>
      </c>
      <c r="C148" s="22" t="s">
        <v>203</v>
      </c>
      <c r="D148" s="22" t="s">
        <v>415</v>
      </c>
      <c r="E148" s="13">
        <v>42744.925219907411</v>
      </c>
      <c r="F148" s="13">
        <v>42744.937800925924</v>
      </c>
      <c r="G148" s="7">
        <v>1</v>
      </c>
      <c r="H148" s="22" t="s">
        <v>721</v>
      </c>
      <c r="I148" s="13">
        <v>42744.963217592594</v>
      </c>
      <c r="J148" s="7">
        <v>0</v>
      </c>
      <c r="K148" s="105" t="str">
        <f t="shared" si="51"/>
        <v>4043/4044</v>
      </c>
      <c r="L148" s="22" t="str">
        <f>VLOOKUP(A148,'Trips&amp;Operators'!$C$1:$G$99999,5,FALSE)</f>
        <v>STORY SAMANTHA</v>
      </c>
      <c r="M148" s="6">
        <f t="shared" si="52"/>
        <v>2.5416666670935228E-2</v>
      </c>
      <c r="N148" s="7">
        <f t="shared" si="47"/>
        <v>36.600000006146729</v>
      </c>
      <c r="O148" s="7"/>
      <c r="P148" s="7"/>
      <c r="Q148" s="23"/>
      <c r="R148" s="23"/>
      <c r="S148" s="32">
        <f t="shared" si="45"/>
        <v>1</v>
      </c>
      <c r="T148" s="47" t="str">
        <f t="shared" si="53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21:12:19-700',mode:absolute,to:'2017-01-10 00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8" s="49" t="str">
        <f t="shared" si="55"/>
        <v>N</v>
      </c>
      <c r="X148" s="173">
        <f t="shared" si="46"/>
        <v>1</v>
      </c>
      <c r="Y148" s="64">
        <f t="shared" si="56"/>
        <v>4.7300000000000002E-2</v>
      </c>
      <c r="Z148" s="64">
        <f t="shared" si="57"/>
        <v>23.338899999999999</v>
      </c>
      <c r="AA148" s="64">
        <f t="shared" si="58"/>
        <v>23.291599999999999</v>
      </c>
      <c r="AB148" s="61" t="e">
        <f>VLOOKUP(A148,Enforcements!$C$7:$K$17,8,0)</f>
        <v>#N/A</v>
      </c>
      <c r="AC148" s="57" t="e">
        <f>VLOOKUP(A148,Enforcements!$C$7:$E$17,3,0)</f>
        <v>#N/A</v>
      </c>
      <c r="AD148" s="58" t="str">
        <f t="shared" si="59"/>
        <v>0235-09</v>
      </c>
      <c r="AE148" s="87" t="str">
        <f t="shared" si="60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48" s="84" t="str">
        <f t="shared" si="61"/>
        <v>"C:\Program Files (x86)\AstroGrep\AstroGrep.exe" /spath="%USERPROFILE%\AppData\Local\Temp\OnboardLogs" /stypes="app*4044*20170110*" /stext=" 06:.+((SYSTEM_STATE.+slice.+state.+changed )|(ment ac)|(multiple cpu faults)|(system.+state.+changed )|(\[timeout)|(PRM\|1\|D)|(kpr)|(kdp)|(\|lc)|(penalty))" /e /r /s</v>
      </c>
      <c r="AG148" s="1" t="str">
        <f t="shared" si="62"/>
        <v>EC</v>
      </c>
      <c r="AH148" s="88" t="str">
        <f t="shared" si="48"/>
        <v>"%USERPROFILE%\Documents\GitHub\eaglep3\Utilities\RefineRTDCRunTimes.py" --tripid 235-09 --locoid 4044 --swversion DE.1.0.8.0 --startMP 204:473 --initTime 2017-01-09T22:12:19 --startdatetime 2017-01-09T22:30:26 --delay 1 --endMP 204:233389 --enddatetime 2017-01-09T23:07:02 --enforcementcount 0 &gt;&gt;C:\Users\stu\Documents\GitHub\eaglep3-reporting\EC\2017-01-09-refined-times.txt</v>
      </c>
      <c r="AI148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{"issue":{"subject":"","project_id":79,"tracker_id":40,"status_id":1,"priority_id":2,"assigned_to_id":23,"start_date":"2017-01-09","description":"","custom_fields":[{"id":1,"name":"Subdivision","value":"EC"},{"id":4,"name":"Milepost","value":"23.3389"},{"id":17,"name":"Train ID","value":"235-09"},{"id":16,"name":"Locomotive ID","value":"4044"},{"id":130,"name":"Impact","value":""},{"id":150,"name":"Time of Event (Mountain Time)","value":"23:07:02"},{"id":151,"name":"Denver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0"/>
        <v>start /low /b %USERPROFILE%\Documents\GitHub\eaglep3\Utilities\DownloadLogsFromS3.py --loco 4044 --day 2017-01-09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4" t="s">
        <v>652</v>
      </c>
      <c r="B149" s="7">
        <v>4043</v>
      </c>
      <c r="C149" s="22" t="s">
        <v>203</v>
      </c>
      <c r="D149" s="22" t="s">
        <v>722</v>
      </c>
      <c r="E149" s="13">
        <v>42744.971006944441</v>
      </c>
      <c r="F149" s="13">
        <v>42744.976770833331</v>
      </c>
      <c r="G149" s="7">
        <v>1</v>
      </c>
      <c r="H149" s="22" t="s">
        <v>270</v>
      </c>
      <c r="I149" s="13">
        <v>42745.004131944443</v>
      </c>
      <c r="J149" s="7">
        <v>0</v>
      </c>
      <c r="K149" s="105" t="str">
        <f t="shared" si="51"/>
        <v>4043/4044</v>
      </c>
      <c r="L149" s="22" t="str">
        <f>VLOOKUP(A149,'Trips&amp;Operators'!$C$1:$G$99999,5,FALSE)</f>
        <v>STORY SAMANTHA</v>
      </c>
      <c r="M149" s="6">
        <f t="shared" si="52"/>
        <v>2.73611111115315E-2</v>
      </c>
      <c r="N149" s="7">
        <f t="shared" si="47"/>
        <v>39.40000000060536</v>
      </c>
      <c r="O149" s="7"/>
      <c r="P149" s="7"/>
      <c r="Q149" s="23"/>
      <c r="R149" s="23"/>
      <c r="S149" s="32">
        <f t="shared" ref="S149:S180" si="63">SUM(U149:U149)/IF(AG149="EC",12,1)</f>
        <v>1</v>
      </c>
      <c r="T149" s="47" t="str">
        <f t="shared" si="53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22:18:15-700',mode:absolute,to:'2017-01-10 01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9" s="49" t="str">
        <f t="shared" si="55"/>
        <v>N</v>
      </c>
      <c r="X149" s="173">
        <f t="shared" si="46"/>
        <v>1</v>
      </c>
      <c r="Y149" s="64">
        <f t="shared" si="56"/>
        <v>23.31</v>
      </c>
      <c r="Z149" s="64">
        <f t="shared" si="57"/>
        <v>1.52E-2</v>
      </c>
      <c r="AA149" s="64">
        <f t="shared" si="58"/>
        <v>23.294799999999999</v>
      </c>
      <c r="AB149" s="61" t="e">
        <f>VLOOKUP(A149,Enforcements!$C$7:$K$17,8,0)</f>
        <v>#N/A</v>
      </c>
      <c r="AC149" s="57" t="e">
        <f>VLOOKUP(A149,Enforcements!$C$7:$E$17,3,0)</f>
        <v>#N/A</v>
      </c>
      <c r="AD149" s="58" t="str">
        <f t="shared" si="59"/>
        <v>0236-09</v>
      </c>
      <c r="AE149" s="87" t="str">
        <f t="shared" si="60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49" s="84" t="str">
        <f t="shared" si="61"/>
        <v>"C:\Program Files (x86)\AstroGrep\AstroGrep.exe" /spath="%USERPROFILE%\AppData\Local\Temp\OnboardLogs" /stypes="app*4043*20170110*" /stext=" 07:.+((SYSTEM_STATE.+slice.+state.+changed )|(ment ac)|(multiple cpu faults)|(system.+state.+changed )|(\[timeout)|(PRM\|1\|D)|(kpr)|(kdp)|(\|lc)|(penalty))" /e /r /s</v>
      </c>
      <c r="AG149" s="1" t="str">
        <f t="shared" si="62"/>
        <v>EC</v>
      </c>
      <c r="AH149" s="88" t="str">
        <f t="shared" si="48"/>
        <v>"%USERPROFILE%\Documents\GitHub\eaglep3\Utilities\RefineRTDCRunTimes.py" --tripid 236-09 --locoid 4043 --swversion DE.1.0.8.0 --startMP 204:233100 --initTime 2017-01-09T23:18:15 --startdatetime 2017-01-09T23:26:33 --delay 1 --endMP 204:152 --enddatetime 2017-01-10T00:05:57 --enforcementcount 0 &gt;&gt;C:\Users\stu\Documents\GitHub\eaglep3-reporting\EC\2017-01-09-refined-times.txt</v>
      </c>
      <c r="AI149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{"issue":{"subject":"","project_id":79,"tracker_id":40,"status_id":1,"priority_id":2,"assigned_to_id":23,"start_date":"2017-01-10","description":"","custom_fields":[{"id":1,"name":"Subdivision","value":"EC"},{"id":4,"name":"Milepost","value":"0.0152"},{"id":17,"name":"Train ID","value":"236-09"},{"id":16,"name":"Locomotive ID","value":"4043"},{"id":130,"name":"Impact","value":""},{"id":150,"name":"Time of Event (Mountain Time)","value":"00:05:57"},{"id":151,"name":"Denver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0"/>
        <v>start /low /b %USERPROFILE%\Documents\GitHub\eaglep3\Utilities\DownloadLogsFromS3.py --loco 4043 --day 2017-01-09</v>
      </c>
    </row>
    <row r="150" spans="1:91" s="21" customFormat="1" x14ac:dyDescent="0.25">
      <c r="A150" s="34" t="s">
        <v>650</v>
      </c>
      <c r="B150" s="7">
        <v>4046</v>
      </c>
      <c r="C150" s="22" t="s">
        <v>203</v>
      </c>
      <c r="D150" s="22" t="s">
        <v>248</v>
      </c>
      <c r="E150" s="13">
        <v>42744.95511574074</v>
      </c>
      <c r="F150" s="13">
        <v>42744.958668981482</v>
      </c>
      <c r="G150" s="7">
        <v>0</v>
      </c>
      <c r="H150" s="22" t="s">
        <v>393</v>
      </c>
      <c r="I150" s="13">
        <v>42744.9841087963</v>
      </c>
      <c r="J150" s="7">
        <v>0</v>
      </c>
      <c r="K150" s="105" t="str">
        <f t="shared" si="51"/>
        <v>4045/4046</v>
      </c>
      <c r="L150" s="22" t="str">
        <f>VLOOKUP(A150,'Trips&amp;Operators'!$C$1:$G$99999,5,FALSE)</f>
        <v>CHANDLER KELVIN</v>
      </c>
      <c r="M150" s="6">
        <f t="shared" si="52"/>
        <v>2.5439814817218576E-2</v>
      </c>
      <c r="N150" s="7">
        <f t="shared" si="47"/>
        <v>36.633333336794749</v>
      </c>
      <c r="O150" s="7"/>
      <c r="P150" s="7"/>
      <c r="Q150" s="23"/>
      <c r="R150" s="23"/>
      <c r="S150" s="32">
        <f t="shared" si="63"/>
        <v>1</v>
      </c>
      <c r="T150" s="47" t="str">
        <f t="shared" si="53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21:55:22-700',mode:absolute,to:'2017-01-10 00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49" t="str">
        <f t="shared" si="55"/>
        <v>N</v>
      </c>
      <c r="X150" s="173">
        <f t="shared" si="46"/>
        <v>1</v>
      </c>
      <c r="Y150" s="64">
        <f t="shared" si="56"/>
        <v>4.6199999999999998E-2</v>
      </c>
      <c r="Z150" s="64">
        <f t="shared" si="57"/>
        <v>23.327400000000001</v>
      </c>
      <c r="AA150" s="64">
        <f t="shared" si="58"/>
        <v>23.281200000000002</v>
      </c>
      <c r="AB150" s="61" t="e">
        <f>VLOOKUP(A150,Enforcements!$C$7:$K$17,8,0)</f>
        <v>#N/A</v>
      </c>
      <c r="AC150" s="57" t="e">
        <f>VLOOKUP(A150,Enforcements!$C$7:$E$17,3,0)</f>
        <v>#N/A</v>
      </c>
      <c r="AD150" s="58" t="str">
        <f t="shared" si="59"/>
        <v>0237-09</v>
      </c>
      <c r="AE150" s="87" t="str">
        <f t="shared" si="60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50" s="84" t="str">
        <f t="shared" si="61"/>
        <v>"C:\Program Files (x86)\AstroGrep\AstroGrep.exe" /spath="%USERPROFILE%\AppData\Local\Temp\OnboardLogs" /stypes="app*4046*20170110*" /stext=" 06:.+((SYSTEM_STATE.+slice.+state.+changed )|(ment ac)|(multiple cpu faults)|(system.+state.+changed )|(\[timeout)|(PRM\|1\|D)|(kpr)|(kdp)|(\|lc)|(penalty))" /e /r /s</v>
      </c>
      <c r="AG150" s="1" t="str">
        <f t="shared" si="62"/>
        <v>EC</v>
      </c>
      <c r="AH150" s="88" t="str">
        <f t="shared" si="48"/>
        <v>"%USERPROFILE%\Documents\GitHub\eaglep3\Utilities\RefineRTDCRunTimes.py" --tripid 237-09 --locoid 4046 --swversion DE.1.0.8.0 --startMP 204:462 --initTime 2017-01-09T22:55:22 --startdatetime 2017-01-09T23:00:29 --delay 0 --endMP 204:233274 --enddatetime 2017-01-09T23:37:07 --enforcementcount 0 &gt;&gt;C:\Users\stu\Documents\GitHub\eaglep3-reporting\EC\2017-01-09-refined-times.txt</v>
      </c>
      <c r="AI150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{"issue":{"subject":"","project_id":79,"tracker_id":40,"status_id":1,"priority_id":2,"assigned_to_id":23,"start_date":"2017-01-09","description":"","custom_fields":[{"id":1,"name":"Subdivision","value":"EC"},{"id":4,"name":"Milepost","value":"23.3274"},{"id":17,"name":"Train ID","value":"237-09"},{"id":16,"name":"Locomotive ID","value":"4046"},{"id":130,"name":"Impact","value":""},{"id":150,"name":"Time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0"/>
        <v>start /low /b %USERPROFILE%\Documents\GitHub\eaglep3\Utilities\DownloadLogsFromS3.py --loco 4046 --day 2017-01-09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4" t="s">
        <v>653</v>
      </c>
      <c r="B151" s="7">
        <v>4045</v>
      </c>
      <c r="C151" s="22" t="s">
        <v>203</v>
      </c>
      <c r="D151" s="22" t="s">
        <v>710</v>
      </c>
      <c r="E151" s="13">
        <v>42744.992106481484</v>
      </c>
      <c r="F151" s="13">
        <v>42744.997604166667</v>
      </c>
      <c r="G151" s="7">
        <v>0</v>
      </c>
      <c r="H151" s="22" t="s">
        <v>317</v>
      </c>
      <c r="I151" s="13">
        <v>42745.026331018518</v>
      </c>
      <c r="J151" s="7">
        <v>0</v>
      </c>
      <c r="K151" s="105" t="str">
        <f t="shared" si="51"/>
        <v>4045/4046</v>
      </c>
      <c r="L151" s="22" t="str">
        <f>VLOOKUP(A151,'Trips&amp;Operators'!$C$1:$G$99999,5,FALSE)</f>
        <v>CHANDLER KELVIN</v>
      </c>
      <c r="M151" s="6">
        <f t="shared" si="52"/>
        <v>2.8726851851388346E-2</v>
      </c>
      <c r="N151" s="7">
        <f t="shared" si="47"/>
        <v>41.366666665999219</v>
      </c>
      <c r="O151" s="7"/>
      <c r="P151" s="7"/>
      <c r="Q151" s="23"/>
      <c r="R151" s="23"/>
      <c r="S151" s="32">
        <f t="shared" si="63"/>
        <v>1</v>
      </c>
      <c r="T151" s="47" t="str">
        <f t="shared" si="53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22:48:38-700',mode:absolute,to:'2017-01-10 01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49" t="str">
        <f t="shared" si="55"/>
        <v>N</v>
      </c>
      <c r="X151" s="173">
        <f t="shared" si="46"/>
        <v>1</v>
      </c>
      <c r="Y151" s="64">
        <f t="shared" si="56"/>
        <v>23.2972</v>
      </c>
      <c r="Z151" s="64">
        <f t="shared" si="57"/>
        <v>1.6500000000000001E-2</v>
      </c>
      <c r="AA151" s="64">
        <f t="shared" si="58"/>
        <v>23.2807</v>
      </c>
      <c r="AB151" s="61" t="e">
        <f>VLOOKUP(A151,Enforcements!$C$7:$K$17,8,0)</f>
        <v>#N/A</v>
      </c>
      <c r="AC151" s="57" t="e">
        <f>VLOOKUP(A151,Enforcements!$C$7:$E$17,3,0)</f>
        <v>#N/A</v>
      </c>
      <c r="AD151" s="58" t="str">
        <f t="shared" si="59"/>
        <v>0238-09</v>
      </c>
      <c r="AE151" s="87" t="str">
        <f t="shared" si="60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51" s="84" t="str">
        <f t="shared" si="61"/>
        <v>"C:\Program Files (x86)\AstroGrep\AstroGrep.exe" /spath="%USERPROFILE%\AppData\Local\Temp\OnboardLogs" /stypes="app*4045*20170110*" /stext=" 07:.+((SYSTEM_STATE.+slice.+state.+changed )|(ment ac)|(multiple cpu faults)|(system.+state.+changed )|(\[timeout)|(PRM\|1\|D)|(kpr)|(kdp)|(\|lc)|(penalty))" /e /r /s</v>
      </c>
      <c r="AG151" s="1" t="str">
        <f t="shared" si="62"/>
        <v>EC</v>
      </c>
      <c r="AH151" s="88" t="str">
        <f t="shared" si="48"/>
        <v>"%USERPROFILE%\Documents\GitHub\eaglep3\Utilities\RefineRTDCRunTimes.py" --tripid 238-09 --locoid 4045 --swversion DE.1.0.8.0 --startMP 204:232972 --initTime 2017-01-09T23:48:38 --startdatetime 2017-01-09T23:56:33 --delay 0 --endMP 204:165 --enddatetime 2017-01-10T00:37:55 --enforcementcount 0 &gt;&gt;C:\Users\stu\Documents\GitHub\eaglep3-reporting\EC\2017-01-09-refined-times.txt</v>
      </c>
      <c r="AI151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{"issue":{"subject":"","project_id":79,"tracker_id":40,"status_id":1,"priority_id":2,"assigned_to_id":23,"start_date":"2017-01-10","description":"","custom_fields":[{"id":1,"name":"Subdivision","value":"EC"},{"id":4,"name":"Milepost","value":"0.0165"},{"id":17,"name":"Train ID","value":"238-09"},{"id":16,"name":"Locomotive ID","value":"4045"},{"id":130,"name":"Impact","value":""},{"id":150,"name":"Time of Event (Mountain Time)","value":"00:37:55"},{"id":151,"name":"Denver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0"/>
        <v>start /low /b %USERPROFILE%\Documents\GitHub\eaglep3\Utilities\DownloadLogsFromS3.py --loco 4045 --day 2017-01-09</v>
      </c>
    </row>
    <row r="152" spans="1:91" s="21" customFormat="1" x14ac:dyDescent="0.25">
      <c r="A152" s="34" t="s">
        <v>651</v>
      </c>
      <c r="B152" s="7">
        <v>4011</v>
      </c>
      <c r="C152" s="22" t="s">
        <v>203</v>
      </c>
      <c r="D152" s="22" t="s">
        <v>387</v>
      </c>
      <c r="E152" s="13">
        <v>42744.968726851854</v>
      </c>
      <c r="F152" s="13">
        <v>42744.979386574072</v>
      </c>
      <c r="G152" s="7">
        <v>1</v>
      </c>
      <c r="H152" s="22" t="s">
        <v>381</v>
      </c>
      <c r="I152" s="13">
        <v>42745.005694444444</v>
      </c>
      <c r="J152" s="7">
        <v>0</v>
      </c>
      <c r="K152" s="105" t="str">
        <f t="shared" si="51"/>
        <v>4011/4012</v>
      </c>
      <c r="L152" s="22" t="str">
        <f>VLOOKUP(A152,'Trips&amp;Operators'!$C$1:$G$99999,5,FALSE)</f>
        <v>SMITH MICHAEL</v>
      </c>
      <c r="M152" s="6">
        <f t="shared" si="52"/>
        <v>2.6307870371965691E-2</v>
      </c>
      <c r="N152" s="7">
        <f t="shared" si="47"/>
        <v>37.883333335630596</v>
      </c>
      <c r="O152" s="7"/>
      <c r="P152" s="7"/>
      <c r="Q152" s="23"/>
      <c r="R152" s="23"/>
      <c r="S152" s="32">
        <f t="shared" si="63"/>
        <v>1</v>
      </c>
      <c r="T152" s="47" t="str">
        <f t="shared" si="53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22:14:58-700',mode:absolute,to:'2017-01-10 01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49" t="str">
        <f t="shared" si="55"/>
        <v>N</v>
      </c>
      <c r="X152" s="173">
        <f t="shared" si="46"/>
        <v>1</v>
      </c>
      <c r="Y152" s="64">
        <f t="shared" si="56"/>
        <v>4.7100000000000003E-2</v>
      </c>
      <c r="Z152" s="64">
        <f t="shared" si="57"/>
        <v>23.330400000000001</v>
      </c>
      <c r="AA152" s="64">
        <f t="shared" si="58"/>
        <v>23.283300000000001</v>
      </c>
      <c r="AB152" s="61" t="e">
        <f>VLOOKUP(A152,Enforcements!$C$7:$K$17,8,0)</f>
        <v>#N/A</v>
      </c>
      <c r="AC152" s="57" t="e">
        <f>VLOOKUP(A152,Enforcements!$C$7:$E$17,3,0)</f>
        <v>#N/A</v>
      </c>
      <c r="AD152" s="58" t="str">
        <f t="shared" si="59"/>
        <v>0239-09</v>
      </c>
      <c r="AE152" s="87" t="str">
        <f t="shared" si="60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52" s="84" t="str">
        <f t="shared" si="61"/>
        <v>"C:\Program Files (x86)\AstroGrep\AstroGrep.exe" /spath="%USERPROFILE%\AppData\Local\Temp\OnboardLogs" /stypes="app*4011*20170110*" /stext=" 07:.+((SYSTEM_STATE.+slice.+state.+changed )|(ment ac)|(multiple cpu faults)|(system.+state.+changed )|(\[timeout)|(PRM\|1\|D)|(kpr)|(kdp)|(\|lc)|(penalty))" /e /r /s</v>
      </c>
      <c r="AG152" s="1" t="str">
        <f t="shared" si="62"/>
        <v>EC</v>
      </c>
      <c r="AH152" s="88" t="str">
        <f t="shared" si="48"/>
        <v>"%USERPROFILE%\Documents\GitHub\eaglep3\Utilities\RefineRTDCRunTimes.py" --tripid 239-09 --locoid 4011 --swversion DE.1.0.8.0 --startMP 204:471 --initTime 2017-01-09T23:14:58 --startdatetime 2017-01-09T23:30:19 --delay 1 --endMP 204:233304 --enddatetime 2017-01-10T00:08:12 --enforcementcount 0 &gt;&gt;C:\Users\stu\Documents\GitHub\eaglep3-reporting\EC\2017-01-09-refined-times.txt</v>
      </c>
      <c r="AI152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{"issue":{"subject":"","project_id":79,"tracker_id":40,"status_id":1,"priority_id":2,"assigned_to_id":23,"start_date":"2017-01-10","description":"","custom_fields":[{"id":1,"name":"Subdivision","value":"EC"},{"id":4,"name":"Milepost","value":"23.3304"},{"id":17,"name":"Train ID","value":"239-09"},{"id":16,"name":"Locomotive ID","value":"4011"},{"id":130,"name":"Impact","value":""},{"id":150,"name":"Time of Event (Mountain Time)","value":"00:08:12"},{"id":151,"name":"Denver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0"/>
        <v>start /low /b %USERPROFILE%\Documents\GitHub\eaglep3\Utilities\DownloadLogsFromS3.py --loco 4011 --day 2017-01-09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656</v>
      </c>
      <c r="B153" s="7">
        <v>4012</v>
      </c>
      <c r="C153" s="22" t="s">
        <v>203</v>
      </c>
      <c r="D153" s="22" t="s">
        <v>324</v>
      </c>
      <c r="E153" s="13">
        <v>42745.01</v>
      </c>
      <c r="F153" s="13">
        <v>42745.018460648149</v>
      </c>
      <c r="G153" s="7">
        <v>1</v>
      </c>
      <c r="H153" s="22" t="s">
        <v>191</v>
      </c>
      <c r="I153" s="13">
        <v>42745.046030092592</v>
      </c>
      <c r="J153" s="7">
        <v>0</v>
      </c>
      <c r="K153" s="105" t="str">
        <f t="shared" si="51"/>
        <v>4011/4012</v>
      </c>
      <c r="L153" s="22" t="str">
        <f>VLOOKUP(A153,'Trips&amp;Operators'!$C$1:$G$99999,5,FALSE)</f>
        <v>SMITH MICHAEL</v>
      </c>
      <c r="M153" s="6">
        <f t="shared" si="52"/>
        <v>2.7569444442633539E-2</v>
      </c>
      <c r="N153" s="7">
        <f t="shared" si="47"/>
        <v>39.699999997392297</v>
      </c>
      <c r="O153" s="7"/>
      <c r="P153" s="7"/>
      <c r="Q153" s="23"/>
      <c r="R153" s="23"/>
      <c r="S153" s="32">
        <f t="shared" si="63"/>
        <v>1</v>
      </c>
      <c r="T153" s="47" t="str">
        <f t="shared" si="53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23:14:24-700',mode:absolute,to:'2017-01-10 02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49" t="str">
        <f t="shared" si="55"/>
        <v>N</v>
      </c>
      <c r="X153" s="173">
        <f t="shared" si="46"/>
        <v>1</v>
      </c>
      <c r="Y153" s="64">
        <f t="shared" si="56"/>
        <v>23.299299999999999</v>
      </c>
      <c r="Z153" s="64">
        <f t="shared" si="57"/>
        <v>1.49E-2</v>
      </c>
      <c r="AA153" s="64">
        <f t="shared" si="58"/>
        <v>23.284399999999998</v>
      </c>
      <c r="AB153" s="61" t="e">
        <f>VLOOKUP(A153,Enforcements!$C$7:$K$17,8,0)</f>
        <v>#N/A</v>
      </c>
      <c r="AC153" s="57" t="e">
        <f>VLOOKUP(A153,Enforcements!$C$7:$E$17,3,0)</f>
        <v>#N/A</v>
      </c>
      <c r="AD153" s="58" t="str">
        <f t="shared" si="59"/>
        <v>0240-09</v>
      </c>
      <c r="AE153" s="87" t="str">
        <f t="shared" si="60"/>
        <v>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 &amp; aws s3 cp s3://rtdc.mdm.uploadarchive.raw/RTDC4012/ "%USERPROFILE%\AppData\Local\Temp\OnboardLogs"\RTDC4012\2017-01-11 --exclude "*" --recursive --include "*20170111*" &amp; "%USERPROFILE%\Documents\GitHub\mrs-test-scripts\Headless Mode &amp; Sideloading\WalkAndUnGZ.bat" "%USERPROFILE%\AppData\Local\Temp\OnboardLogs"\RTDC4012\2017-01-11</v>
      </c>
      <c r="AF153" s="84" t="str">
        <f t="shared" si="61"/>
        <v>"C:\Program Files (x86)\AstroGrep\AstroGrep.exe" /spath="%USERPROFILE%\AppData\Local\Temp\OnboardLogs" /stypes="app*4012*20170110*" /stext=" 08:.+((SYSTEM_STATE.+slice.+state.+changed )|(ment ac)|(multiple cpu faults)|(system.+state.+changed )|(\[timeout)|(PRM\|1\|D)|(kpr)|(kdp)|(\|lc)|(penalty))" /e /r /s</v>
      </c>
      <c r="AG153" s="1" t="str">
        <f t="shared" si="62"/>
        <v>EC</v>
      </c>
      <c r="AH153" s="88" t="str">
        <f t="shared" si="48"/>
        <v>"%USERPROFILE%\Documents\GitHub\eaglep3\Utilities\RefineRTDCRunTimes.py" --tripid 240-09 --locoid 4012 --swversion DE.1.0.8.0 --startMP 204:232993 --initTime 2017-01-10T00:14:24 --startdatetime 2017-01-10T00:26:35 --delay 1 --endMP 204:149 --enddatetime 2017-01-10T01:06:17 --enforcementcount 0 &gt;&gt;C:\Users\stu\Documents\GitHub\eaglep3-reporting\EC\2017-01-09-refined-times.txt</v>
      </c>
      <c r="AI153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ID","value":"240-09"},{"id":16,"name":"Locomotive ID","value":"4012"},{"id":130,"name":"Impact","value":""},{"id":150,"name":"Time of Event (Mountain Time)","value":"01:06:17"},{"id":151,"name":"Denver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0"/>
        <v>start /low /b %USERPROFILE%\Documents\GitHub\eaglep3\Utilities\DownloadLogsFromS3.py --loco 4012 --day 2017-01-10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654</v>
      </c>
      <c r="B154" s="7">
        <v>4003</v>
      </c>
      <c r="C154" s="22" t="s">
        <v>203</v>
      </c>
      <c r="D154" s="22" t="s">
        <v>315</v>
      </c>
      <c r="E154" s="13">
        <v>42744.993067129632</v>
      </c>
      <c r="F154" s="13">
        <v>42745.000219907408</v>
      </c>
      <c r="G154" s="7">
        <v>1</v>
      </c>
      <c r="H154" s="22" t="s">
        <v>668</v>
      </c>
      <c r="I154" s="13">
        <v>42745.026562500003</v>
      </c>
      <c r="J154" s="7">
        <v>0</v>
      </c>
      <c r="K154" s="105" t="str">
        <f t="shared" si="51"/>
        <v>4003/4004</v>
      </c>
      <c r="L154" s="22" t="str">
        <f>VLOOKUP(A154,'Trips&amp;Operators'!$C$1:$G$99999,5,FALSE)</f>
        <v>BADERTSCHER DIANE</v>
      </c>
      <c r="M154" s="6">
        <f t="shared" si="52"/>
        <v>2.6342592595028691E-2</v>
      </c>
      <c r="N154" s="7">
        <f t="shared" si="47"/>
        <v>37.933333336841315</v>
      </c>
      <c r="O154" s="7"/>
      <c r="P154" s="7"/>
      <c r="Q154" s="23"/>
      <c r="R154" s="23"/>
      <c r="S154" s="32">
        <f t="shared" si="63"/>
        <v>1</v>
      </c>
      <c r="T154" s="47" t="str">
        <f t="shared" si="53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22:50:01-700',mode:absolute,to:'2017-01-10 01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4" s="49" t="str">
        <f t="shared" si="55"/>
        <v>N</v>
      </c>
      <c r="X154" s="173">
        <f t="shared" si="46"/>
        <v>1</v>
      </c>
      <c r="Y154" s="64">
        <f t="shared" si="56"/>
        <v>4.6899999999999997E-2</v>
      </c>
      <c r="Z154" s="64">
        <f t="shared" si="57"/>
        <v>23.329699999999999</v>
      </c>
      <c r="AA154" s="64">
        <f t="shared" si="58"/>
        <v>23.282799999999998</v>
      </c>
      <c r="AB154" s="61" t="e">
        <f>VLOOKUP(A154,Enforcements!$C$7:$K$17,8,0)</f>
        <v>#N/A</v>
      </c>
      <c r="AC154" s="57" t="e">
        <f>VLOOKUP(A154,Enforcements!$C$7:$E$17,3,0)</f>
        <v>#N/A</v>
      </c>
      <c r="AD154" s="58" t="str">
        <f t="shared" si="59"/>
        <v>0241-09</v>
      </c>
      <c r="AE154" s="87" t="str">
        <f t="shared" si="60"/>
        <v>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 &amp; 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</v>
      </c>
      <c r="AF154" s="84" t="str">
        <f t="shared" si="61"/>
        <v>"C:\Program Files (x86)\AstroGrep\AstroGrep.exe" /spath="%USERPROFILE%\AppData\Local\Temp\OnboardLogs" /stypes="app*4003*20170110*" /stext=" 07:.+((SYSTEM_STATE.+slice.+state.+changed )|(ment ac)|(multiple cpu faults)|(system.+state.+changed )|(\[timeout)|(PRM\|1\|D)|(kpr)|(kdp)|(\|lc)|(penalty))" /e /r /s</v>
      </c>
      <c r="AG154" s="1" t="str">
        <f t="shared" si="62"/>
        <v>EC</v>
      </c>
      <c r="AH154" s="88" t="str">
        <f t="shared" si="48"/>
        <v>"%USERPROFILE%\Documents\GitHub\eaglep3\Utilities\RefineRTDCRunTimes.py" --tripid 241-09 --locoid 4003 --swversion DE.1.0.8.0 --startMP 204:469 --initTime 2017-01-09T23:50:01 --startdatetime 2017-01-10T00:00:19 --delay 1 --endMP 204:233297 --enddatetime 2017-01-10T00:38:15 --enforcementcount 0 &gt;&gt;C:\Users\stu\Documents\GitHub\eaglep3-reporting\EC\2017-01-09-refined-times.txt</v>
      </c>
      <c r="AI154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{"issue":{"subject":"","project_id":79,"tracker_id":40,"status_id":1,"priority_id":2,"assigned_to_id":23,"start_date":"2017-01-10","description":"","custom_fields":[{"id":1,"name":"Subdivision","value":"EC"},{"id":4,"name":"Milepost","value":"23.3297"},{"id":17,"name":"Train ID","value":"241-09"},{"id":16,"name":"Locomotive ID","value":"4003"},{"id":130,"name":"Impact","value":""},{"id":150,"name":"Time of Event (Mountain Time)","value":"00:38:15"},{"id":151,"name":"Denver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0"/>
        <v>start /low /b %USERPROFILE%\Documents\GitHub\eaglep3\Utilities\DownloadLogsFromS3.py --loco 4003 --day 2017-01-10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839</v>
      </c>
      <c r="B155" s="7"/>
      <c r="C155" s="22" t="s">
        <v>203</v>
      </c>
      <c r="D155" s="22" t="s">
        <v>315</v>
      </c>
      <c r="E155" s="13">
        <v>42744.993067129632</v>
      </c>
      <c r="F155" s="13"/>
      <c r="G155" s="7">
        <v>1</v>
      </c>
      <c r="H155" s="22" t="s">
        <v>668</v>
      </c>
      <c r="I155" s="13"/>
      <c r="J155" s="7">
        <v>0</v>
      </c>
      <c r="K155" s="105" t="str">
        <f t="shared" si="51"/>
        <v>-1/</v>
      </c>
      <c r="L155" s="22" t="e">
        <f>VLOOKUP(A155,'Trips&amp;Operators'!$C$1:$G$99999,5,FALSE)</f>
        <v>#N/A</v>
      </c>
      <c r="M155" s="6">
        <f t="shared" si="52"/>
        <v>0</v>
      </c>
      <c r="N155" s="7"/>
      <c r="O155" s="7"/>
      <c r="P155" s="7">
        <v>1</v>
      </c>
      <c r="Q155" s="23"/>
      <c r="R155" s="23" t="s">
        <v>927</v>
      </c>
      <c r="S155" s="32">
        <f t="shared" si="63"/>
        <v>0</v>
      </c>
      <c r="T155" s="47" t="str">
        <f t="shared" si="53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22:50:01-700',mode:absolute,to:'1900-01-00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5" s="49" t="str">
        <f t="shared" si="55"/>
        <v>N</v>
      </c>
      <c r="X155" s="173">
        <f t="shared" si="46"/>
        <v>1</v>
      </c>
      <c r="Y155" s="64">
        <f t="shared" si="56"/>
        <v>4.6899999999999997E-2</v>
      </c>
      <c r="Z155" s="64">
        <f t="shared" si="57"/>
        <v>23.329699999999999</v>
      </c>
      <c r="AA155" s="64">
        <f t="shared" si="58"/>
        <v>23.282799999999998</v>
      </c>
      <c r="AB155" s="61" t="e">
        <f>VLOOKUP(A155,Enforcements!$C$7:$K$17,8,0)</f>
        <v>#N/A</v>
      </c>
      <c r="AC155" s="57" t="e">
        <f>VLOOKUP(A155,Enforcements!$C$7:$E$17,3,0)</f>
        <v>#N/A</v>
      </c>
      <c r="AD155" s="58" t="str">
        <f t="shared" si="59"/>
        <v>0242-09</v>
      </c>
      <c r="AE155" s="87" t="str">
        <f t="shared" si="6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6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62"/>
        <v>EC</v>
      </c>
      <c r="AH155" s="88" t="str">
        <f t="shared" ref="AH155" si="64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242-09 --locoid  --swversion DE.1.0.8.0 --startMP 204:469 --initTime 2017-01-09T23:50:01 --startdatetime 1900-01-00T00:00:00 --delay 1 --endMP 204:233297 --enddatetime 1900-01-00T00:00:00 --enforcementcount 0 &gt;&gt;C:\Users\stu\Documents\GitHub\eaglep3-reporting\EC\2017-01-09-refined-times.txt</v>
      </c>
      <c r="AI155" s="115" t="str">
        <f t="shared" ref="AI155" si="65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{"issue":{"subject":"Did not init - CCROC/crew/equipment mismatch","project_id":79,"tracker_id":40,"status_id":1,"priority_id":2,"assigned_to_id":23,"start_date":"1900-01-00","description":"","custom_fields":[{"id":1,"name":"Subdivision","value":"EC"},{"id":4,"name":"Milepost","value":"23.3297"},{"id":17,"name":"Train ID","value":"242-09"},{"id":16,"name":"Locomotive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ref="AM155" si="66">"start /low /b "&amp;dls3logs&amp;" --loco "&amp;B155&amp;" --day "&amp;TEXT(F155,"YYYY-MM-DD")</f>
        <v>start /low /b %USERPROFILE%\Documents\GitHub\eaglep3\Utilities\DownloadLogsFromS3.py --loco  --day 1900-01-00</v>
      </c>
    </row>
    <row r="156" spans="1:91" x14ac:dyDescent="0.25">
      <c r="A156" s="34" t="s">
        <v>655</v>
      </c>
      <c r="B156" s="7">
        <v>4044</v>
      </c>
      <c r="C156" s="22" t="s">
        <v>203</v>
      </c>
      <c r="D156" s="22" t="s">
        <v>415</v>
      </c>
      <c r="E156" s="13">
        <v>42745.009571759256</v>
      </c>
      <c r="F156" s="13">
        <v>42745.021203703705</v>
      </c>
      <c r="G156" s="7">
        <v>1</v>
      </c>
      <c r="H156" s="22" t="s">
        <v>723</v>
      </c>
      <c r="I156" s="13">
        <v>42745.046736111108</v>
      </c>
      <c r="J156" s="7">
        <v>0</v>
      </c>
      <c r="K156" s="105" t="str">
        <f t="shared" si="51"/>
        <v>4043/4044</v>
      </c>
      <c r="L156" s="22" t="str">
        <f>VLOOKUP(A156,'Trips&amp;Operators'!$C$1:$G$99999,5,FALSE)</f>
        <v>STORY SAMANTHA</v>
      </c>
      <c r="M156" s="6">
        <f t="shared" si="52"/>
        <v>2.5532407402351964E-2</v>
      </c>
      <c r="N156" s="7">
        <f>24*60*SUM($M156:$M156)</f>
        <v>36.766666659386829</v>
      </c>
      <c r="O156" s="7"/>
      <c r="P156" s="7"/>
      <c r="Q156" s="23"/>
      <c r="R156" s="23"/>
      <c r="S156" s="32">
        <f t="shared" si="63"/>
        <v>1</v>
      </c>
      <c r="T156" s="47" t="str">
        <f t="shared" si="53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23:13:47-700',mode:absolute,to:'2017-01-10 02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6" s="49" t="str">
        <f t="shared" si="55"/>
        <v>N</v>
      </c>
      <c r="X156" s="173">
        <f t="shared" si="46"/>
        <v>1</v>
      </c>
      <c r="Y156" s="64">
        <f t="shared" si="56"/>
        <v>4.7300000000000002E-2</v>
      </c>
      <c r="Z156" s="64">
        <f t="shared" si="57"/>
        <v>23.341899999999999</v>
      </c>
      <c r="AA156" s="64">
        <f t="shared" si="58"/>
        <v>23.294599999999999</v>
      </c>
      <c r="AB156" s="61" t="e">
        <f>VLOOKUP(A156,Enforcements!$C$7:$K$17,8,0)</f>
        <v>#N/A</v>
      </c>
      <c r="AC156" s="57" t="e">
        <f>VLOOKUP(A156,Enforcements!$C$7:$E$17,3,0)</f>
        <v>#N/A</v>
      </c>
      <c r="AD156" s="58" t="str">
        <f t="shared" si="59"/>
        <v>0243-09</v>
      </c>
      <c r="AE156" s="87" t="str">
        <f t="shared" si="60"/>
        <v>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 &amp; 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</v>
      </c>
      <c r="AF156" s="84" t="str">
        <f t="shared" si="61"/>
        <v>"C:\Program Files (x86)\AstroGrep\AstroGrep.exe" /spath="%USERPROFILE%\AppData\Local\Temp\OnboardLogs" /stypes="app*4044*20170110*" /stext=" 08:.+((SYSTEM_STATE.+slice.+state.+changed )|(ment ac)|(multiple cpu faults)|(system.+state.+changed )|(\[timeout)|(PRM\|1\|D)|(kpr)|(kdp)|(\|lc)|(penalty))" /e /r /s</v>
      </c>
      <c r="AG156" s="1" t="str">
        <f t="shared" si="62"/>
        <v>EC</v>
      </c>
      <c r="AH156" s="88" t="str">
        <f t="shared" si="48"/>
        <v>"%USERPROFILE%\Documents\GitHub\eaglep3\Utilities\RefineRTDCRunTimes.py" --tripid 243-09 --locoid 4044 --swversion DE.1.0.8.0 --startMP 204:473 --initTime 2017-01-10T00:13:47 --startdatetime 2017-01-10T00:30:32 --delay 1 --endMP 204:233419 --enddatetime 2017-01-10T01:07:18 --enforcementcount 0 &gt;&gt;C:\Users\stu\Documents\GitHub\eaglep3-reporting\EC\2017-01-09-refined-times.txt</v>
      </c>
      <c r="AI156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{"issue":{"subject":"","project_id":79,"tracker_id":40,"status_id":1,"priority_id":2,"assigned_to_id":23,"start_date":"2017-01-10","description":"","custom_fields":[{"id":1,"name":"Subdivision","value":"EC"},{"id":4,"name":"Milepost","value":"23.3419"},{"id":17,"name":"Train ID","value":"243-09"},{"id":16,"name":"Locomotive ID","value":"4044"},{"id":130,"name":"Impact","value":""},{"id":150,"name":"Time of Event (Mountain Time)","value":"01:07:18"},{"id":151,"name":"Denver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50"/>
        <v>start /low /b %USERPROFILE%\Documents\GitHub\eaglep3\Utilities\DownloadLogsFromS3.py --loco 4044 --day 2017-01-10</v>
      </c>
    </row>
    <row r="157" spans="1:91" s="21" customFormat="1" x14ac:dyDescent="0.25">
      <c r="A157" s="34" t="s">
        <v>659</v>
      </c>
      <c r="B157" s="7">
        <v>4043</v>
      </c>
      <c r="C157" s="22" t="s">
        <v>203</v>
      </c>
      <c r="D157" s="22" t="s">
        <v>724</v>
      </c>
      <c r="E157" s="13">
        <v>42745.052511574075</v>
      </c>
      <c r="F157" s="13">
        <v>42745.060358796298</v>
      </c>
      <c r="G157" s="7">
        <v>1</v>
      </c>
      <c r="H157" s="22" t="s">
        <v>388</v>
      </c>
      <c r="I157" s="13">
        <v>42745.087430555555</v>
      </c>
      <c r="J157" s="7">
        <v>0</v>
      </c>
      <c r="K157" s="105" t="str">
        <f t="shared" si="51"/>
        <v>4043/4044</v>
      </c>
      <c r="L157" s="22" t="str">
        <f>VLOOKUP(A157,'Trips&amp;Operators'!$C$1:$G$99999,5,FALSE)</f>
        <v>STORY SAMANTHA</v>
      </c>
      <c r="M157" s="6">
        <f t="shared" si="52"/>
        <v>2.7071759257523809E-2</v>
      </c>
      <c r="N157" s="7">
        <f>24*60*SUM($M157:$M157)</f>
        <v>38.983333330834284</v>
      </c>
      <c r="O157" s="7"/>
      <c r="P157" s="7"/>
      <c r="Q157" s="23"/>
      <c r="R157" s="23"/>
      <c r="S157" s="32">
        <f t="shared" si="63"/>
        <v>1</v>
      </c>
      <c r="T157" s="47" t="str">
        <f t="shared" si="53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https://search-rtdc-monitor-bjffxe2xuh6vdkpspy63sjmuny.us-east-1.es.amazonaws.com/_plugin/kibana/#/discover/Steve-Slow-Train-Analysis-(2080s-and-2083s)?_g=(refreshInterval:(display:Off,section:0,value:0),time:(from:'2017-01-10 00:15:37-700',mode:absolute,to:'2017-01-10 03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7" s="49" t="str">
        <f t="shared" si="55"/>
        <v>N</v>
      </c>
      <c r="X157" s="173">
        <f t="shared" si="46"/>
        <v>1</v>
      </c>
      <c r="Y157" s="64">
        <f t="shared" si="56"/>
        <v>23.308700000000002</v>
      </c>
      <c r="Z157" s="64">
        <f t="shared" si="57"/>
        <v>1.7000000000000001E-2</v>
      </c>
      <c r="AA157" s="64">
        <f t="shared" si="58"/>
        <v>23.291700000000002</v>
      </c>
      <c r="AB157" s="61" t="e">
        <f>VLOOKUP(A157,Enforcements!$C$7:$K$17,8,0)</f>
        <v>#N/A</v>
      </c>
      <c r="AC157" s="57" t="e">
        <f>VLOOKUP(A157,Enforcements!$C$7:$E$17,3,0)</f>
        <v>#N/A</v>
      </c>
      <c r="AD157" s="58" t="str">
        <f t="shared" si="59"/>
        <v>0244-09</v>
      </c>
      <c r="AE157" s="87" t="str">
        <f t="shared" si="60"/>
        <v>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 &amp; 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</v>
      </c>
      <c r="AF157" s="84" t="str">
        <f t="shared" si="61"/>
        <v>"C:\Program Files (x86)\AstroGrep\AstroGrep.exe" /spath="%USERPROFILE%\AppData\Local\Temp\OnboardLogs" /stypes="app*4043*20170110*" /stext=" 09:.+((SYSTEM_STATE.+slice.+state.+changed )|(ment ac)|(multiple cpu faults)|(system.+state.+changed )|(\[timeout)|(PRM\|1\|D)|(kpr)|(kdp)|(\|lc)|(penalty))" /e /r /s</v>
      </c>
      <c r="AG157" s="1" t="str">
        <f t="shared" si="62"/>
        <v>EC</v>
      </c>
      <c r="AH157" s="88" t="str">
        <f t="shared" si="48"/>
        <v>"%USERPROFILE%\Documents\GitHub\eaglep3\Utilities\RefineRTDCRunTimes.py" --tripid 244-09 --locoid 4043 --swversion DE.1.0.8.0 --startMP 204:233087 --initTime 2017-01-10T01:15:37 --startdatetime 2017-01-10T01:26:55 --delay 1 --endMP 204:170 --enddatetime 2017-01-10T02:05:54 --enforcementcount 0 &gt;&gt;C:\Users\stu\Documents\GitHub\eaglep3-reporting\EC\2017-01-09-refined-times.txt</v>
      </c>
      <c r="AI157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{"issue":{"subject":"","project_id":79,"tracker_id":40,"status_id":1,"priority_id":2,"assigned_to_id":23,"start_date":"2017-01-10","description":"","custom_fields":[{"id":1,"name":"Subdivision","value":"EC"},{"id":4,"name":"Milepost","value":"0.017"},{"id":17,"name":"Train ID","value":"244-09"},{"id":16,"name":"Locomotive ID","value":"4043"},{"id":130,"name":"Impact","value":""},{"id":150,"name":"Time of Event (Mountain Time)","value":"02:05:54"},{"id":151,"name":"Denver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50"/>
        <v>start /low /b %USERPROFILE%\Documents\GitHub\eaglep3\Utilities\DownloadLogsFromS3.py --loco 4043 --day 2017-01-10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469</v>
      </c>
      <c r="B158" s="7">
        <v>4030</v>
      </c>
      <c r="C158" s="22" t="s">
        <v>203</v>
      </c>
      <c r="D158" s="22" t="s">
        <v>751</v>
      </c>
      <c r="E158" s="13">
        <v>42744.213634259257</v>
      </c>
      <c r="F158" s="13">
        <v>42744.215115740742</v>
      </c>
      <c r="G158" s="7">
        <v>1</v>
      </c>
      <c r="H158" s="22" t="s">
        <v>752</v>
      </c>
      <c r="I158" s="13">
        <v>42744.226909722223</v>
      </c>
      <c r="J158" s="7">
        <v>0</v>
      </c>
      <c r="K158" s="105" t="str">
        <f t="shared" si="51"/>
        <v>4029/4030</v>
      </c>
      <c r="L158" s="22" t="str">
        <f>VLOOKUP(A158,'Trips&amp;Operators'!$C$1:$G$99999,5,FALSE)</f>
        <v>DAVIS WENDY</v>
      </c>
      <c r="M158" s="6">
        <f t="shared" si="52"/>
        <v>1.1793981480877846E-2</v>
      </c>
      <c r="N158" s="7">
        <f>24*60*SUM($M158:$M158)</f>
        <v>16.983333332464099</v>
      </c>
      <c r="O158" s="7"/>
      <c r="P158" s="7"/>
      <c r="Q158" s="23"/>
      <c r="R158" s="23"/>
      <c r="S158" s="32">
        <f t="shared" si="63"/>
        <v>1</v>
      </c>
      <c r="T158" s="47" t="str">
        <f t="shared" si="53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04:07:38-700',mode:absolute,to:'2017-01-09 06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8" s="49" t="str">
        <f t="shared" si="55"/>
        <v>N</v>
      </c>
      <c r="X158" s="173">
        <f t="shared" si="46"/>
        <v>556</v>
      </c>
      <c r="Y158" s="64">
        <f t="shared" si="56"/>
        <v>5.8711000000000002</v>
      </c>
      <c r="Z158" s="64">
        <f t="shared" si="57"/>
        <v>6.2399999999999997E-2</v>
      </c>
      <c r="AA158" s="64">
        <f t="shared" si="58"/>
        <v>5.8087</v>
      </c>
      <c r="AB158" s="61" t="e">
        <f>VLOOKUP(A158,Enforcements!$C$7:$K$17,8,0)</f>
        <v>#N/A</v>
      </c>
      <c r="AC158" s="57" t="e">
        <f>VLOOKUP(A158,Enforcements!$C$7:$E$17,3,0)</f>
        <v>#N/A</v>
      </c>
      <c r="AD158" s="58" t="str">
        <f t="shared" si="59"/>
        <v>0800-09</v>
      </c>
      <c r="AE158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58" s="84" t="str">
        <f t="shared" si="61"/>
        <v>"C:\Program Files (x86)\AstroGrep\AstroGrep.exe" /spath="%USERPROFILE%\AppData\Local\Temp\OnboardLogs" /stypes="app*4030*20170109*" /stext=" 12:.+((SYSTEM_STATE.+slice.+state.+changed )|(ment ac)|(multiple cpu faults)|(system.+state.+changed )|(\[timeout)|(PRM\|1\|D)|(kpr)|(kdp)|(\|lc)|(penalty))" /e /r /s</v>
      </c>
      <c r="AG158" s="1" t="str">
        <f t="shared" si="62"/>
        <v>NW</v>
      </c>
      <c r="AH158" s="88" t="str">
        <f t="shared" si="48"/>
        <v>"%USERPROFILE%\Documents\GitHub\eaglep3\Utilities\RefineRTDCRunTimes.py" --tripid 800-09 --locoid 4030 --swversion DE.1.0.8.0 --startMP 300:58711 --initTime 2017-01-09T05:07:38 --startdatetime 2017-01-09T05:09:46 --delay 1 --endMP 204:624 --enddatetime 2017-01-09T05:26:45 --enforcementcount 0 &gt;&gt;C:\Users\stu\Documents\GitHub\eaglep3-reporting\EC\2017-01-09-refined-times.txt</v>
      </c>
      <c r="AI15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{"issue":{"subject":"","project_id":79,"tracker_id":40,"status_id":1,"priority_id":2,"assigned_to_id":23,"start_date":"2017-01-09","description":"","custom_fields":[{"id":1,"name":"Subdivision","value":"NW"},{"id":4,"name":"Milepost","value":"0.0624"},{"id":17,"name":"Train ID","value":"800-09"},{"id":16,"name":"Locomotive ID","value":"4030"},{"id":130,"name":"Impact","value":""},{"id":150,"name":"Time of Event (Mountain Time)","value":"05:26:45"},{"id":151,"name":"Denver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0"/>
        <v>start /low /b %USERPROFILE%\Documents\GitHub\eaglep3\Utilities\DownloadLogsFromS3.py --loco 4030 --day 2017-01-09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429</v>
      </c>
      <c r="B159" s="7">
        <v>4029</v>
      </c>
      <c r="C159" s="22" t="s">
        <v>203</v>
      </c>
      <c r="D159" s="22" t="s">
        <v>753</v>
      </c>
      <c r="E159" s="13">
        <v>42744.24013888889</v>
      </c>
      <c r="F159" s="13">
        <v>42744.244004629632</v>
      </c>
      <c r="G159" s="7">
        <v>1</v>
      </c>
      <c r="H159" s="22" t="s">
        <v>754</v>
      </c>
      <c r="I159" s="13">
        <v>42744.254537037035</v>
      </c>
      <c r="J159" s="7">
        <v>0</v>
      </c>
      <c r="K159" s="105" t="str">
        <f t="shared" si="51"/>
        <v>4029/4030</v>
      </c>
      <c r="L159" s="22" t="str">
        <f>VLOOKUP(A159,'Trips&amp;Operators'!$C$1:$G$99999,5,FALSE)</f>
        <v>DAVIS WENDY</v>
      </c>
      <c r="M159" s="6">
        <f t="shared" si="52"/>
        <v>1.0532407402934041E-2</v>
      </c>
      <c r="N159" s="7">
        <f>24*60*SUM($M159:$M159)</f>
        <v>15.166666660225019</v>
      </c>
      <c r="O159" s="7"/>
      <c r="P159" s="7"/>
      <c r="Q159" s="23"/>
      <c r="R159" s="23"/>
      <c r="S159" s="32">
        <f t="shared" si="63"/>
        <v>1</v>
      </c>
      <c r="T159" s="47" t="str">
        <f t="shared" si="53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04:45:48-700',mode:absolute,to:'2017-01-09 07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9" s="49" t="str">
        <f t="shared" si="55"/>
        <v>N</v>
      </c>
      <c r="X159" s="173">
        <f t="shared" si="46"/>
        <v>1</v>
      </c>
      <c r="Y159" s="64">
        <f t="shared" si="56"/>
        <v>9.1800000000000007E-2</v>
      </c>
      <c r="Z159" s="64">
        <f t="shared" si="57"/>
        <v>5.9009999999999998</v>
      </c>
      <c r="AA159" s="64">
        <f t="shared" si="58"/>
        <v>5.8091999999999997</v>
      </c>
      <c r="AB159" s="61" t="e">
        <f>VLOOKUP(A159,Enforcements!$C$7:$K$17,8,0)</f>
        <v>#N/A</v>
      </c>
      <c r="AC159" s="57" t="e">
        <f>VLOOKUP(A159,Enforcements!$C$7:$E$17,3,0)</f>
        <v>#N/A</v>
      </c>
      <c r="AD159" s="58" t="str">
        <f t="shared" si="59"/>
        <v>0801-09</v>
      </c>
      <c r="AE159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59" s="84" t="str">
        <f t="shared" si="61"/>
        <v>"C:\Program Files (x86)\AstroGrep\AstroGrep.exe" /spath="%USERPROFILE%\AppData\Local\Temp\OnboardLogs" /stypes="app*4029*20170109*" /stext=" 13:.+((SYSTEM_STATE.+slice.+state.+changed )|(ment ac)|(multiple cpu faults)|(system.+state.+changed )|(\[timeout)|(PRM\|1\|D)|(kpr)|(kdp)|(\|lc)|(penalty))" /e /r /s</v>
      </c>
      <c r="AG159" s="1" t="str">
        <f t="shared" si="62"/>
        <v>NW</v>
      </c>
      <c r="AH159" s="88" t="str">
        <f t="shared" si="48"/>
        <v>"%USERPROFILE%\Documents\GitHub\eaglep3\Utilities\RefineRTDCRunTimes.py" --tripid 801-09 --locoid 4029 --swversion DE.1.0.8.0 --startMP 204:918 --initTime 2017-01-09T05:45:48 --startdatetime 2017-01-09T05:51:22 --delay 1 --endMP 300:59010 --enddatetime 2017-01-09T06:06:32 --enforcementcount 0 &gt;&gt;C:\Users\stu\Documents\GitHub\eaglep3-reporting\EC\2017-01-09-refined-times.txt</v>
      </c>
      <c r="AI15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{"issue":{"subject":"","project_id":79,"tracker_id":40,"status_id":1,"priority_id":2,"assigned_to_id":23,"start_date":"2017-01-09","description":"","custom_fields":[{"id":1,"name":"Subdivision","value":"NW"},{"id":4,"name":"Milepost","value":"5.901"},{"id":17,"name":"Train ID","value":"801-09"},{"id":16,"name":"Locomotive ID","value":"4029"},{"id":130,"name":"Impact","value":""},{"id":150,"name":"Time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0"/>
        <v>start /low /b %USERPROFILE%\Documents\GitHub\eaglep3\Utilities\DownloadLogsFromS3.py --loco 4029 --day 2017-01-09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840</v>
      </c>
      <c r="B160" s="7"/>
      <c r="C160" s="22" t="s">
        <v>203</v>
      </c>
      <c r="D160" s="22" t="s">
        <v>753</v>
      </c>
      <c r="E160" s="13">
        <v>42744.24013888889</v>
      </c>
      <c r="F160" s="13"/>
      <c r="G160" s="7">
        <v>1</v>
      </c>
      <c r="H160" s="22" t="s">
        <v>754</v>
      </c>
      <c r="I160" s="13"/>
      <c r="J160" s="7">
        <v>0</v>
      </c>
      <c r="K160" s="105" t="str">
        <f t="shared" si="51"/>
        <v>-1/</v>
      </c>
      <c r="L160" s="22" t="e">
        <f>VLOOKUP(A160,'Trips&amp;Operators'!$C$1:$G$99999,5,FALSE)</f>
        <v>#N/A</v>
      </c>
      <c r="M160" s="6">
        <f t="shared" si="52"/>
        <v>0</v>
      </c>
      <c r="N160" s="7"/>
      <c r="O160" s="7"/>
      <c r="P160" s="7">
        <v>1</v>
      </c>
      <c r="Q160" s="23"/>
      <c r="R160" s="23" t="s">
        <v>841</v>
      </c>
      <c r="S160" s="32">
        <f t="shared" si="63"/>
        <v>0</v>
      </c>
      <c r="T160" s="47" t="str">
        <f t="shared" si="53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04:45:48-700',mode:absolute,to:'1900-01-00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60" s="49" t="str">
        <f t="shared" si="55"/>
        <v>N</v>
      </c>
      <c r="X160" s="173">
        <f t="shared" ref="X160:X191" si="67">VALUE(LEFT(AD160,4))-VALUE(LEFT(AD159,4))</f>
        <v>1</v>
      </c>
      <c r="Y160" s="64">
        <f t="shared" si="56"/>
        <v>9.1800000000000007E-2</v>
      </c>
      <c r="Z160" s="64">
        <f t="shared" si="57"/>
        <v>5.9009999999999998</v>
      </c>
      <c r="AA160" s="64">
        <f t="shared" si="58"/>
        <v>5.8091999999999997</v>
      </c>
      <c r="AB160" s="61" t="e">
        <f>VLOOKUP(A160,Enforcements!$C$7:$K$17,8,0)</f>
        <v>#N/A</v>
      </c>
      <c r="AC160" s="57" t="e">
        <f>VLOOKUP(A160,Enforcements!$C$7:$E$17,3,0)</f>
        <v>#N/A</v>
      </c>
      <c r="AD160" s="58" t="str">
        <f t="shared" si="59"/>
        <v>0802-09</v>
      </c>
      <c r="AE160" s="87" t="str">
        <f t="shared" si="6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0" s="84" t="str">
        <f t="shared" si="6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0" s="1" t="str">
        <f t="shared" si="62"/>
        <v>NW</v>
      </c>
      <c r="AH160" s="88" t="str">
        <f t="shared" ref="AH160" si="68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802-09 --locoid  --swversion DE.1.0.8.0 --startMP 204:918 --initTime 2017-01-09T05:45:48 --startdatetime 1900-01-00T00:00:00 --delay 1 --endMP 300:59010 --enddatetime 1900-01-00T00:00:00 --enforcementcount 0 &gt;&gt;C:\Users\stu\Documents\GitHub\eaglep3-reporting\EC\2017-01-09-refined-times.txt</v>
      </c>
      <c r="AI160" s="115" t="str">
        <f t="shared" ref="AI160" si="69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{"issue":{"subject":"False occupancy at Westminster","project_id":79,"tracker_id":40,"status_id":1,"priority_id":2,"assigned_to_id":23,"start_date":"1900-01-00","description":"","custom_fields":[{"id":1,"name":"Subdivision","value":"NW"},{"id":4,"name":"Milepost","value":"5.901"},{"id":17,"name":"Train ID","value":"802-09"},{"id":16,"name":"Locomotive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ref="AM160" si="70">"start /low /b "&amp;dls3logs&amp;" --loco "&amp;B160&amp;" --day "&amp;TEXT(F160,"YYYY-MM-DD")</f>
        <v>start /low /b %USERPROFILE%\Documents\GitHub\eaglep3\Utilities\DownloadLogsFromS3.py --loco  --day 1900-01-00</v>
      </c>
    </row>
    <row r="161" spans="1:91" s="21" customFormat="1" x14ac:dyDescent="0.25">
      <c r="A161" s="34" t="s">
        <v>479</v>
      </c>
      <c r="B161" s="7">
        <v>4014</v>
      </c>
      <c r="C161" s="22" t="s">
        <v>203</v>
      </c>
      <c r="D161" s="22" t="s">
        <v>755</v>
      </c>
      <c r="E161" s="13">
        <v>42744.263055555559</v>
      </c>
      <c r="F161" s="13">
        <v>42744.264768518522</v>
      </c>
      <c r="G161" s="7">
        <v>1</v>
      </c>
      <c r="H161" s="22" t="s">
        <v>756</v>
      </c>
      <c r="I161" s="13">
        <v>42744.275682870371</v>
      </c>
      <c r="J161" s="7">
        <v>0</v>
      </c>
      <c r="K161" s="105" t="str">
        <f t="shared" si="51"/>
        <v>4013/4014</v>
      </c>
      <c r="L161" s="22" t="str">
        <f>VLOOKUP(A161,'Trips&amp;Operators'!$C$1:$G$99999,5,FALSE)</f>
        <v>DUNCAN SHEILA</v>
      </c>
      <c r="M161" s="6">
        <f t="shared" si="52"/>
        <v>1.0914351849351078E-2</v>
      </c>
      <c r="N161" s="7">
        <f t="shared" ref="N161:N175" si="71">24*60*SUM($M161:$M161)</f>
        <v>15.716666663065553</v>
      </c>
      <c r="O161" s="7"/>
      <c r="P161" s="7"/>
      <c r="Q161" s="23"/>
      <c r="R161" s="23"/>
      <c r="S161" s="32">
        <f t="shared" si="63"/>
        <v>1</v>
      </c>
      <c r="T161" s="47" t="str">
        <f t="shared" si="53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05:18:48-700',mode:absolute,to:'2017-01-09 07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1" s="49" t="str">
        <f t="shared" si="55"/>
        <v>N</v>
      </c>
      <c r="X161" s="173">
        <f t="shared" si="67"/>
        <v>1</v>
      </c>
      <c r="Y161" s="64">
        <f t="shared" si="56"/>
        <v>9.7199999999999995E-2</v>
      </c>
      <c r="Z161" s="64">
        <f t="shared" si="57"/>
        <v>5.8986000000000001</v>
      </c>
      <c r="AA161" s="64">
        <f t="shared" si="58"/>
        <v>5.8014000000000001</v>
      </c>
      <c r="AB161" s="61" t="e">
        <f>VLOOKUP(A161,Enforcements!$C$7:$K$17,8,0)</f>
        <v>#N/A</v>
      </c>
      <c r="AC161" s="57" t="e">
        <f>VLOOKUP(A161,Enforcements!$C$7:$E$17,3,0)</f>
        <v>#N/A</v>
      </c>
      <c r="AD161" s="58" t="str">
        <f t="shared" si="59"/>
        <v>0803-09</v>
      </c>
      <c r="AE16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61" s="84" t="str">
        <f t="shared" si="61"/>
        <v>"C:\Program Files (x86)\AstroGrep\AstroGrep.exe" /spath="%USERPROFILE%\AppData\Local\Temp\OnboardLogs" /stypes="app*4014*20170109*" /stext=" 13:.+((SYSTEM_STATE.+slice.+state.+changed )|(ment ac)|(multiple cpu faults)|(system.+state.+changed )|(\[timeout)|(PRM\|1\|D)|(kpr)|(kdp)|(\|lc)|(penalty))" /e /r /s</v>
      </c>
      <c r="AG161" s="1" t="str">
        <f t="shared" si="62"/>
        <v>NW</v>
      </c>
      <c r="AH161" s="88" t="str">
        <f t="shared" si="48"/>
        <v>"%USERPROFILE%\Documents\GitHub\eaglep3\Utilities\RefineRTDCRunTimes.py" --tripid 803-09 --locoid 4014 --swversion DE.1.0.8.0 --startMP 204:972 --initTime 2017-01-09T06:18:48 --startdatetime 2017-01-09T06:21:16 --delay 1 --endMP 300:58986 --enddatetime 2017-01-09T06:36:59 --enforcementcount 0 &gt;&gt;C:\Users\stu\Documents\GitHub\eaglep3-reporting\EC\2017-01-09-refined-times.txt</v>
      </c>
      <c r="AI16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{"issue":{"subject":"","project_id":79,"tracker_id":40,"status_id":1,"priority_id":2,"assigned_to_id":23,"start_date":"2017-01-09","description":"","custom_fields":[{"id":1,"name":"Subdivision","value":"NW"},{"id":4,"name":"Milepost","value":"5.8986"},{"id":17,"name":"Train ID","value":"803-09"},{"id":16,"name":"Locomotive ID","value":"4014"},{"id":130,"name":"Impact","value":""},{"id":150,"name":"Time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0"/>
        <v>start /low /b %USERPROFILE%\Documents\GitHub\eaglep3\Utilities\DownloadLogsFromS3.py --loco 4014 --day 2017-01-09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482</v>
      </c>
      <c r="B162" s="7">
        <v>4013</v>
      </c>
      <c r="C162" s="22" t="s">
        <v>203</v>
      </c>
      <c r="D162" s="22" t="s">
        <v>757</v>
      </c>
      <c r="E162" s="13">
        <v>42744.276747685188</v>
      </c>
      <c r="F162" s="13">
        <v>42744.278101851851</v>
      </c>
      <c r="G162" s="7">
        <v>1</v>
      </c>
      <c r="H162" s="22" t="s">
        <v>758</v>
      </c>
      <c r="I162" s="13">
        <v>42744.289560185185</v>
      </c>
      <c r="J162" s="7">
        <v>0</v>
      </c>
      <c r="K162" s="105" t="str">
        <f t="shared" si="51"/>
        <v>4013/4014</v>
      </c>
      <c r="L162" s="22" t="str">
        <f>VLOOKUP(A162,'Trips&amp;Operators'!$C$1:$G$99999,5,FALSE)</f>
        <v>DUNCAN SHEILA</v>
      </c>
      <c r="M162" s="6">
        <f t="shared" si="52"/>
        <v>1.1458333334303461E-2</v>
      </c>
      <c r="N162" s="7">
        <f t="shared" si="71"/>
        <v>16.500000001396984</v>
      </c>
      <c r="O162" s="7"/>
      <c r="P162" s="7"/>
      <c r="Q162" s="23"/>
      <c r="R162" s="23"/>
      <c r="S162" s="32">
        <f t="shared" si="63"/>
        <v>1</v>
      </c>
      <c r="T162" s="47" t="str">
        <f t="shared" si="53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05:38:31-700',mode:absolute,to:'2017-01-09 07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2" s="49" t="str">
        <f t="shared" si="55"/>
        <v>N</v>
      </c>
      <c r="X162" s="173">
        <f t="shared" si="67"/>
        <v>1</v>
      </c>
      <c r="Y162" s="64">
        <f t="shared" si="56"/>
        <v>5.8655999999999997</v>
      </c>
      <c r="Z162" s="64">
        <f t="shared" si="57"/>
        <v>6.6400000000000001E-2</v>
      </c>
      <c r="AA162" s="64">
        <f t="shared" si="58"/>
        <v>5.7991999999999999</v>
      </c>
      <c r="AB162" s="61" t="e">
        <f>VLOOKUP(A162,Enforcements!$C$7:$K$17,8,0)</f>
        <v>#N/A</v>
      </c>
      <c r="AC162" s="57" t="e">
        <f>VLOOKUP(A162,Enforcements!$C$7:$E$17,3,0)</f>
        <v>#N/A</v>
      </c>
      <c r="AD162" s="58" t="str">
        <f t="shared" si="59"/>
        <v>0804-09</v>
      </c>
      <c r="AE16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62" s="84" t="str">
        <f t="shared" si="61"/>
        <v>"C:\Program Files (x86)\AstroGrep\AstroGrep.exe" /spath="%USERPROFILE%\AppData\Local\Temp\OnboardLogs" /stypes="app*4013*20170109*" /stext=" 13:.+((SYSTEM_STATE.+slice.+state.+changed )|(ment ac)|(multiple cpu faults)|(system.+state.+changed )|(\[timeout)|(PRM\|1\|D)|(kpr)|(kdp)|(\|lc)|(penalty))" /e /r /s</v>
      </c>
      <c r="AG162" s="1" t="str">
        <f t="shared" si="62"/>
        <v>NW</v>
      </c>
      <c r="AH162" s="88" t="str">
        <f t="shared" si="48"/>
        <v>"%USERPROFILE%\Documents\GitHub\eaglep3\Utilities\RefineRTDCRunTimes.py" --tripid 804-09 --locoid 4013 --swversion DE.1.0.8.0 --startMP 300:58656 --initTime 2017-01-09T06:38:31 --startdatetime 2017-01-09T06:40:28 --delay 1 --endMP 204:664 --enddatetime 2017-01-09T06:56:58 --enforcementcount 0 &gt;&gt;C:\Users\stu\Documents\GitHub\eaglep3-reporting\EC\2017-01-09-refined-times.txt</v>
      </c>
      <c r="AI16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{"issue":{"subject":"","project_id":79,"tracker_id":40,"status_id":1,"priority_id":2,"assigned_to_id":23,"start_date":"2017-01-09","description":"","custom_fields":[{"id":1,"name":"Subdivision","value":"NW"},{"id":4,"name":"Milepost","value":"0.0664"},{"id":17,"name":"Train ID","value":"804-09"},{"id":16,"name":"Locomotive ID","value":"4013"},{"id":130,"name":"Impact","value":""},{"id":150,"name":"Time of Event (Mountain Time)","value":"06:56:58"},{"id":151,"name":"Denver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0"/>
        <v>start /low /b %USERPROFILE%\Documents\GitHub\eaglep3\Utilities\DownloadLogsFromS3.py --loco 4013 --day 2017-01-09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431</v>
      </c>
      <c r="B163" s="7">
        <v>4029</v>
      </c>
      <c r="C163" s="22" t="s">
        <v>203</v>
      </c>
      <c r="D163" s="22" t="s">
        <v>759</v>
      </c>
      <c r="E163" s="13">
        <v>42744.282881944448</v>
      </c>
      <c r="F163" s="13">
        <v>42744.285590277781</v>
      </c>
      <c r="G163" s="7">
        <v>1</v>
      </c>
      <c r="H163" s="22" t="s">
        <v>760</v>
      </c>
      <c r="I163" s="13">
        <v>42744.295925925922</v>
      </c>
      <c r="J163" s="7">
        <v>0</v>
      </c>
      <c r="K163" s="105" t="str">
        <f t="shared" si="51"/>
        <v>4029/4030</v>
      </c>
      <c r="L163" s="22" t="str">
        <f>VLOOKUP(A163,'Trips&amp;Operators'!$C$1:$G$99999,5,FALSE)</f>
        <v>DAVIS WENDY</v>
      </c>
      <c r="M163" s="6">
        <f t="shared" si="52"/>
        <v>1.0335648141335696E-2</v>
      </c>
      <c r="N163" s="7">
        <f t="shared" si="71"/>
        <v>14.883333323523402</v>
      </c>
      <c r="O163" s="7"/>
      <c r="P163" s="7"/>
      <c r="Q163" s="23"/>
      <c r="R163" s="23"/>
      <c r="S163" s="32">
        <f t="shared" si="63"/>
        <v>1</v>
      </c>
      <c r="T163" s="47" t="str">
        <f t="shared" si="53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05:47:21-700',mode:absolute,to:'2017-01-09 08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3" s="49" t="str">
        <f t="shared" si="55"/>
        <v>N</v>
      </c>
      <c r="X163" s="173">
        <f t="shared" si="67"/>
        <v>1</v>
      </c>
      <c r="Y163" s="64">
        <f t="shared" si="56"/>
        <v>9.01E-2</v>
      </c>
      <c r="Z163" s="64">
        <f t="shared" si="57"/>
        <v>5.9017999999999997</v>
      </c>
      <c r="AA163" s="64">
        <f t="shared" si="58"/>
        <v>5.8117000000000001</v>
      </c>
      <c r="AB163" s="61" t="e">
        <f>VLOOKUP(A163,Enforcements!$C$7:$K$17,8,0)</f>
        <v>#N/A</v>
      </c>
      <c r="AC163" s="57" t="e">
        <f>VLOOKUP(A163,Enforcements!$C$7:$E$17,3,0)</f>
        <v>#N/A</v>
      </c>
      <c r="AD163" s="58" t="str">
        <f t="shared" si="59"/>
        <v>0805-09</v>
      </c>
      <c r="AE163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63" s="84" t="str">
        <f t="shared" si="61"/>
        <v>"C:\Program Files (x86)\AstroGrep\AstroGrep.exe" /spath="%USERPROFILE%\AppData\Local\Temp\OnboardLogs" /stypes="app*4029*20170109*" /stext=" 14:.+((SYSTEM_STATE.+slice.+state.+changed )|(ment ac)|(multiple cpu faults)|(system.+state.+changed )|(\[timeout)|(PRM\|1\|D)|(kpr)|(kdp)|(\|lc)|(penalty))" /e /r /s</v>
      </c>
      <c r="AG163" s="1" t="str">
        <f t="shared" si="62"/>
        <v>NW</v>
      </c>
      <c r="AH163" s="88" t="str">
        <f t="shared" si="48"/>
        <v>"%USERPROFILE%\Documents\GitHub\eaglep3\Utilities\RefineRTDCRunTimes.py" --tripid 805-09 --locoid 4029 --swversion DE.1.0.8.0 --startMP 204:901 --initTime 2017-01-09T06:47:21 --startdatetime 2017-01-09T06:51:15 --delay 1 --endMP 300:59018 --enddatetime 2017-01-09T07:06:08 --enforcementcount 0 &gt;&gt;C:\Users\stu\Documents\GitHub\eaglep3-reporting\EC\2017-01-09-refined-times.txt</v>
      </c>
      <c r="AI16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{"issue":{"subject":"","project_id":79,"tracker_id":40,"status_id":1,"priority_id":2,"assigned_to_id":23,"start_date":"2017-01-09","description":"","custom_fields":[{"id":1,"name":"Subdivision","value":"NW"},{"id":4,"name":"Milepost","value":"5.9018"},{"id":17,"name":"Train ID","value":"805-09"},{"id":16,"name":"Locomotive ID","value":"4029"},{"id":130,"name":"Impact","value":""},{"id":150,"name":"Time of Event (Mountain Time)","value":"07:06:08"},{"id":151,"name":"Denver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50"/>
        <v>start /low /b %USERPROFILE%\Documents\GitHub\eaglep3\Utilities\DownloadLogsFromS3.py --loco 4029 --day 2017-01-09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433</v>
      </c>
      <c r="B164" s="7">
        <v>4030</v>
      </c>
      <c r="C164" s="22" t="s">
        <v>203</v>
      </c>
      <c r="D164" s="22" t="s">
        <v>761</v>
      </c>
      <c r="E164" s="13">
        <v>42744.2971875</v>
      </c>
      <c r="F164" s="13">
        <v>42744.298495370371</v>
      </c>
      <c r="G164" s="7">
        <v>1</v>
      </c>
      <c r="H164" s="22" t="s">
        <v>752</v>
      </c>
      <c r="I164" s="13">
        <v>42744.310231481482</v>
      </c>
      <c r="J164" s="7">
        <v>0</v>
      </c>
      <c r="K164" s="105" t="str">
        <f t="shared" si="51"/>
        <v>4029/4030</v>
      </c>
      <c r="L164" s="22" t="str">
        <f>VLOOKUP(A164,'Trips&amp;Operators'!$C$1:$G$99999,5,FALSE)</f>
        <v>DAVIS WENDY</v>
      </c>
      <c r="M164" s="6">
        <f t="shared" si="52"/>
        <v>1.17361111115315E-2</v>
      </c>
      <c r="N164" s="7">
        <f t="shared" si="71"/>
        <v>16.90000000060536</v>
      </c>
      <c r="O164" s="7"/>
      <c r="P164" s="7"/>
      <c r="Q164" s="23"/>
      <c r="R164" s="23"/>
      <c r="S164" s="32">
        <f t="shared" si="63"/>
        <v>1</v>
      </c>
      <c r="T164" s="47" t="str">
        <f t="shared" si="53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06:07:57-700',mode:absolute,to:'2017-01-09 08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4" s="49" t="str">
        <f t="shared" si="55"/>
        <v>N</v>
      </c>
      <c r="X164" s="173">
        <f t="shared" si="67"/>
        <v>1</v>
      </c>
      <c r="Y164" s="64">
        <f t="shared" si="56"/>
        <v>5.8704999999999998</v>
      </c>
      <c r="Z164" s="64">
        <f t="shared" si="57"/>
        <v>6.2399999999999997E-2</v>
      </c>
      <c r="AA164" s="64">
        <f t="shared" si="58"/>
        <v>5.8080999999999996</v>
      </c>
      <c r="AB164" s="61" t="e">
        <f>VLOOKUP(A164,Enforcements!$C$7:$K$17,8,0)</f>
        <v>#N/A</v>
      </c>
      <c r="AC164" s="57" t="e">
        <f>VLOOKUP(A164,Enforcements!$C$7:$E$17,3,0)</f>
        <v>#N/A</v>
      </c>
      <c r="AD164" s="58" t="str">
        <f t="shared" si="59"/>
        <v>0806-09</v>
      </c>
      <c r="AE164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64" s="84" t="str">
        <f t="shared" si="61"/>
        <v>"C:\Program Files (x86)\AstroGrep\AstroGrep.exe" /spath="%USERPROFILE%\AppData\Local\Temp\OnboardLogs" /stypes="app*4030*20170109*" /stext=" 14:.+((SYSTEM_STATE.+slice.+state.+changed )|(ment ac)|(multiple cpu faults)|(system.+state.+changed )|(\[timeout)|(PRM\|1\|D)|(kpr)|(kdp)|(\|lc)|(penalty))" /e /r /s</v>
      </c>
      <c r="AG164" s="1" t="str">
        <f t="shared" si="62"/>
        <v>NW</v>
      </c>
      <c r="AH164" s="88" t="str">
        <f t="shared" si="48"/>
        <v>"%USERPROFILE%\Documents\GitHub\eaglep3\Utilities\RefineRTDCRunTimes.py" --tripid 806-09 --locoid 4030 --swversion DE.1.0.8.0 --startMP 300:58705 --initTime 2017-01-09T07:07:57 --startdatetime 2017-01-09T07:09:50 --delay 1 --endMP 204:624 --enddatetime 2017-01-09T07:26:44 --enforcementcount 0 &gt;&gt;C:\Users\stu\Documents\GitHub\eaglep3-reporting\EC\2017-01-09-refined-times.txt</v>
      </c>
      <c r="AI16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{"issue":{"subject":"","project_id":79,"tracker_id":40,"status_id":1,"priority_id":2,"assigned_to_id":23,"start_date":"2017-01-09","description":"","custom_fields":[{"id":1,"name":"Subdivision","value":"NW"},{"id":4,"name":"Milepost","value":"0.0624"},{"id":17,"name":"Train ID","value":"806-09"},{"id":16,"name":"Locomotive ID","value":"4030"},{"id":130,"name":"Impact","value":""},{"id":150,"name":"Time of Event (Mountain Time)","value":"07:26:44"},{"id":151,"name":"Denver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0"/>
        <v>start /low /b %USERPROFILE%\Documents\GitHub\eaglep3\Utilities\DownloadLogsFromS3.py --loco 4030 --day 2017-01-09</v>
      </c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484</v>
      </c>
      <c r="B165" s="7">
        <v>4014</v>
      </c>
      <c r="C165" s="22" t="s">
        <v>203</v>
      </c>
      <c r="D165" s="22" t="s">
        <v>762</v>
      </c>
      <c r="E165" s="13">
        <v>42744.291226851848</v>
      </c>
      <c r="F165" s="13">
        <v>42744.306481481479</v>
      </c>
      <c r="G165" s="7">
        <v>1</v>
      </c>
      <c r="H165" s="22" t="s">
        <v>352</v>
      </c>
      <c r="I165" s="13">
        <v>42744.316793981481</v>
      </c>
      <c r="J165" s="7">
        <v>0</v>
      </c>
      <c r="K165" s="105" t="str">
        <f t="shared" si="51"/>
        <v>4013/4014</v>
      </c>
      <c r="L165" s="22" t="str">
        <f>VLOOKUP(A165,'Trips&amp;Operators'!$C$1:$G$99999,5,FALSE)</f>
        <v>DUNCAN SHEILA</v>
      </c>
      <c r="M165" s="6">
        <f t="shared" si="52"/>
        <v>1.0312500002328306E-2</v>
      </c>
      <c r="N165" s="7">
        <f t="shared" si="71"/>
        <v>14.850000003352761</v>
      </c>
      <c r="O165" s="7"/>
      <c r="P165" s="7"/>
      <c r="Q165" s="23"/>
      <c r="R165" s="23"/>
      <c r="S165" s="32">
        <f t="shared" si="63"/>
        <v>1</v>
      </c>
      <c r="T165" s="47" t="str">
        <f t="shared" si="53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05:59:22-700',mode:absolute,to:'2017-01-09 08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5" s="49" t="str">
        <f t="shared" si="55"/>
        <v>N</v>
      </c>
      <c r="X165" s="173">
        <f t="shared" si="67"/>
        <v>1</v>
      </c>
      <c r="Y165" s="64">
        <f t="shared" si="56"/>
        <v>9.74E-2</v>
      </c>
      <c r="Z165" s="64">
        <f t="shared" si="57"/>
        <v>5.8935000000000004</v>
      </c>
      <c r="AA165" s="64">
        <f t="shared" si="58"/>
        <v>5.7961</v>
      </c>
      <c r="AB165" s="61" t="e">
        <f>VLOOKUP(A165,Enforcements!$C$7:$K$17,8,0)</f>
        <v>#N/A</v>
      </c>
      <c r="AC165" s="57" t="e">
        <f>VLOOKUP(A165,Enforcements!$C$7:$E$17,3,0)</f>
        <v>#N/A</v>
      </c>
      <c r="AD165" s="58" t="str">
        <f t="shared" si="59"/>
        <v>0807-09</v>
      </c>
      <c r="AE165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65" s="84" t="str">
        <f t="shared" si="61"/>
        <v>"C:\Program Files (x86)\AstroGrep\AstroGrep.exe" /spath="%USERPROFILE%\AppData\Local\Temp\OnboardLogs" /stypes="app*4014*20170109*" /stext=" 14:.+((SYSTEM_STATE.+slice.+state.+changed )|(ment ac)|(multiple cpu faults)|(system.+state.+changed )|(\[timeout)|(PRM\|1\|D)|(kpr)|(kdp)|(\|lc)|(penalty))" /e /r /s</v>
      </c>
      <c r="AG165" s="1" t="str">
        <f t="shared" si="62"/>
        <v>NW</v>
      </c>
      <c r="AH165" s="88" t="str">
        <f t="shared" si="48"/>
        <v>"%USERPROFILE%\Documents\GitHub\eaglep3\Utilities\RefineRTDCRunTimes.py" --tripid 807-09 --locoid 4014 --swversion DE.1.0.8.0 --startMP 204:974 --initTime 2017-01-09T06:59:22 --startdatetime 2017-01-09T07:21:20 --delay 1 --endMP 300:58935 --enddatetime 2017-01-09T07:36:11 --enforcementcount 0 &gt;&gt;C:\Users\stu\Documents\GitHub\eaglep3-reporting\EC\2017-01-09-refined-times.txt</v>
      </c>
      <c r="AI16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ID","value":"807-09"},{"id":16,"name":"Locomotive ID","value":"4014"},{"id":130,"name":"Impact","value":""},{"id":150,"name":"Time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0"/>
        <v>start /low /b %USERPROFILE%\Documents\GitHub\eaglep3\Utilities\DownloadLogsFromS3.py --loco 4014 --day 2017-01-09</v>
      </c>
    </row>
    <row r="166" spans="1:91" x14ac:dyDescent="0.25">
      <c r="A166" s="34" t="s">
        <v>489</v>
      </c>
      <c r="B166" s="7">
        <v>4013</v>
      </c>
      <c r="C166" s="22" t="s">
        <v>203</v>
      </c>
      <c r="D166" s="22" t="s">
        <v>305</v>
      </c>
      <c r="E166" s="13">
        <v>42744.317789351851</v>
      </c>
      <c r="F166" s="13">
        <v>42744.319201388891</v>
      </c>
      <c r="G166" s="7">
        <v>1</v>
      </c>
      <c r="H166" s="22" t="s">
        <v>763</v>
      </c>
      <c r="I166" s="13">
        <v>42744.331157407411</v>
      </c>
      <c r="J166" s="7">
        <v>0</v>
      </c>
      <c r="K166" s="105" t="str">
        <f t="shared" si="51"/>
        <v>4013/4014</v>
      </c>
      <c r="L166" s="22" t="str">
        <f>VLOOKUP(A166,'Trips&amp;Operators'!$C$1:$G$99999,5,FALSE)</f>
        <v>DUNCAN SHEILA</v>
      </c>
      <c r="M166" s="6">
        <f t="shared" si="52"/>
        <v>1.1956018519413192E-2</v>
      </c>
      <c r="N166" s="7">
        <f t="shared" si="71"/>
        <v>17.216666667954996</v>
      </c>
      <c r="O166" s="7"/>
      <c r="P166" s="7"/>
      <c r="Q166" s="23"/>
      <c r="R166" s="23"/>
      <c r="S166" s="32">
        <f t="shared" si="63"/>
        <v>1</v>
      </c>
      <c r="T166" s="47" t="str">
        <f t="shared" si="53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06:37:37-700',mode:absolute,to:'2017-01-09 08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6" s="49" t="str">
        <f t="shared" si="55"/>
        <v>N</v>
      </c>
      <c r="X166" s="173">
        <f t="shared" si="67"/>
        <v>1</v>
      </c>
      <c r="Y166" s="64">
        <f t="shared" si="56"/>
        <v>5.8613</v>
      </c>
      <c r="Z166" s="64">
        <f t="shared" si="57"/>
        <v>6.7699999999999996E-2</v>
      </c>
      <c r="AA166" s="64">
        <f t="shared" si="58"/>
        <v>5.7935999999999996</v>
      </c>
      <c r="AB166" s="61" t="e">
        <f>VLOOKUP(A166,Enforcements!$C$7:$K$17,8,0)</f>
        <v>#N/A</v>
      </c>
      <c r="AC166" s="57" t="e">
        <f>VLOOKUP(A166,Enforcements!$C$7:$E$17,3,0)</f>
        <v>#N/A</v>
      </c>
      <c r="AD166" s="58" t="str">
        <f t="shared" si="59"/>
        <v>0808-09</v>
      </c>
      <c r="AE166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66" s="84" t="str">
        <f t="shared" si="61"/>
        <v>"C:\Program Files (x86)\AstroGrep\AstroGrep.exe" /spath="%USERPROFILE%\AppData\Local\Temp\OnboardLogs" /stypes="app*4013*20170109*" /stext=" 14:.+((SYSTEM_STATE.+slice.+state.+changed )|(ment ac)|(multiple cpu faults)|(system.+state.+changed )|(\[timeout)|(PRM\|1\|D)|(kpr)|(kdp)|(\|lc)|(penalty))" /e /r /s</v>
      </c>
      <c r="AG166" s="1" t="str">
        <f t="shared" si="62"/>
        <v>NW</v>
      </c>
      <c r="AH166" s="88" t="str">
        <f t="shared" si="48"/>
        <v>"%USERPROFILE%\Documents\GitHub\eaglep3\Utilities\RefineRTDCRunTimes.py" --tripid 808-09 --locoid 4013 --swversion DE.1.0.8.0 --startMP 300:58613 --initTime 2017-01-09T07:37:37 --startdatetime 2017-01-09T07:39:39 --delay 1 --endMP 204:677 --enddatetime 2017-01-09T07:56:52 --enforcementcount 0 &gt;&gt;C:\Users\stu\Documents\GitHub\eaglep3-reporting\EC\2017-01-09-refined-times.txt</v>
      </c>
      <c r="AI166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{"issue":{"subject":"","project_id":79,"tracker_id":40,"status_id":1,"priority_id":2,"assigned_to_id":23,"start_date":"2017-01-09","description":"","custom_fields":[{"id":1,"name":"Subdivision","value":"NW"},{"id":4,"name":"Milepost","value":"0.0677"},{"id":17,"name":"Train ID","value":"808-09"},{"id":16,"name":"Locomotive ID","value":"4013"},{"id":130,"name":"Impact","value":""},{"id":150,"name":"Time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0"/>
        <v>start /low /b %USERPROFILE%\Documents\GitHub\eaglep3\Utilities\DownloadLogsFromS3.py --loco 4013 --day 2017-01-09</v>
      </c>
    </row>
    <row r="167" spans="1:91" x14ac:dyDescent="0.25">
      <c r="A167" s="34" t="s">
        <v>490</v>
      </c>
      <c r="B167" s="7">
        <v>4029</v>
      </c>
      <c r="C167" s="22" t="s">
        <v>203</v>
      </c>
      <c r="D167" s="22" t="s">
        <v>764</v>
      </c>
      <c r="E167" s="13">
        <v>42744.321331018517</v>
      </c>
      <c r="F167" s="13">
        <v>42744.327233796299</v>
      </c>
      <c r="G167" s="7">
        <v>1</v>
      </c>
      <c r="H167" s="22" t="s">
        <v>765</v>
      </c>
      <c r="I167" s="13">
        <v>42744.337685185186</v>
      </c>
      <c r="J167" s="7">
        <v>0</v>
      </c>
      <c r="K167" s="105" t="str">
        <f t="shared" si="51"/>
        <v>4029/4030</v>
      </c>
      <c r="L167" s="22" t="str">
        <f>VLOOKUP(A167,'Trips&amp;Operators'!$C$1:$G$99999,5,FALSE)</f>
        <v>DAVIS WENDY</v>
      </c>
      <c r="M167" s="6">
        <f t="shared" si="52"/>
        <v>1.0451388887304347E-2</v>
      </c>
      <c r="N167" s="7">
        <f t="shared" si="71"/>
        <v>15.04999999771826</v>
      </c>
      <c r="O167" s="7"/>
      <c r="P167" s="7"/>
      <c r="Q167" s="23"/>
      <c r="R167" s="23"/>
      <c r="S167" s="32">
        <f t="shared" si="63"/>
        <v>1</v>
      </c>
      <c r="T167" s="47" t="str">
        <f t="shared" si="53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06:42:43-700',mode:absolute,to:'2017-01-09 09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7" s="49" t="str">
        <f t="shared" si="55"/>
        <v>N</v>
      </c>
      <c r="X167" s="173">
        <f t="shared" si="67"/>
        <v>1</v>
      </c>
      <c r="Y167" s="64">
        <f t="shared" si="56"/>
        <v>9.2299999999999993E-2</v>
      </c>
      <c r="Z167" s="64">
        <f t="shared" si="57"/>
        <v>5.9013999999999998</v>
      </c>
      <c r="AA167" s="64">
        <f t="shared" si="58"/>
        <v>5.8090999999999999</v>
      </c>
      <c r="AB167" s="61" t="e">
        <f>VLOOKUP(A167,Enforcements!$C$7:$K$17,8,0)</f>
        <v>#N/A</v>
      </c>
      <c r="AC167" s="57" t="e">
        <f>VLOOKUP(A167,Enforcements!$C$7:$E$17,3,0)</f>
        <v>#N/A</v>
      </c>
      <c r="AD167" s="58" t="str">
        <f t="shared" si="59"/>
        <v>0809-09</v>
      </c>
      <c r="AE167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67" s="84" t="str">
        <f t="shared" si="61"/>
        <v>"C:\Program Files (x86)\AstroGrep\AstroGrep.exe" /spath="%USERPROFILE%\AppData\Local\Temp\OnboardLogs" /stypes="app*4029*20170109*" /stext=" 15:.+((SYSTEM_STATE.+slice.+state.+changed )|(ment ac)|(multiple cpu faults)|(system.+state.+changed )|(\[timeout)|(PRM\|1\|D)|(kpr)|(kdp)|(\|lc)|(penalty))" /e /r /s</v>
      </c>
      <c r="AG167" s="1" t="str">
        <f t="shared" si="62"/>
        <v>NW</v>
      </c>
      <c r="AH167" s="88" t="str">
        <f t="shared" si="48"/>
        <v>"%USERPROFILE%\Documents\GitHub\eaglep3\Utilities\RefineRTDCRunTimes.py" --tripid 809-09 --locoid 4029 --swversion DE.1.0.8.0 --startMP 204:923 --initTime 2017-01-09T07:42:43 --startdatetime 2017-01-09T07:51:13 --delay 1 --endMP 300:59014 --enddatetime 2017-01-09T08:06:16 --enforcementcount 0 &gt;&gt;C:\Users\stu\Documents\GitHub\eaglep3-reporting\EC\2017-01-09-refined-times.txt</v>
      </c>
      <c r="AI16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{"issue":{"subject":"","project_id":79,"tracker_id":40,"status_id":1,"priority_id":2,"assigned_to_id":23,"start_date":"2017-01-09","description":"","custom_fields":[{"id":1,"name":"Subdivision","value":"NW"},{"id":4,"name":"Milepost","value":"5.9014"},{"id":17,"name":"Train ID","value":"809-09"},{"id":16,"name":"Locomotive ID","value":"4029"},{"id":130,"name":"Impact","value":""},{"id":150,"name":"Time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50"/>
        <v>start /low /b %USERPROFILE%\Documents\GitHub\eaglep3\Utilities\DownloadLogsFromS3.py --loco 4029 --day 2017-01-09</v>
      </c>
    </row>
    <row r="168" spans="1:91" x14ac:dyDescent="0.25">
      <c r="A168" s="34" t="s">
        <v>437</v>
      </c>
      <c r="B168" s="7">
        <v>4030</v>
      </c>
      <c r="C168" s="22" t="s">
        <v>203</v>
      </c>
      <c r="D168" s="22" t="s">
        <v>766</v>
      </c>
      <c r="E168" s="13">
        <v>42744.338414351849</v>
      </c>
      <c r="F168" s="13">
        <v>42744.339722222219</v>
      </c>
      <c r="G168" s="7">
        <v>1</v>
      </c>
      <c r="H168" s="22" t="s">
        <v>767</v>
      </c>
      <c r="I168" s="13">
        <v>42744.351851851854</v>
      </c>
      <c r="J168" s="7">
        <v>0</v>
      </c>
      <c r="K168" s="105" t="str">
        <f t="shared" si="51"/>
        <v>4029/4030</v>
      </c>
      <c r="L168" s="22" t="str">
        <f>VLOOKUP(A168,'Trips&amp;Operators'!$C$1:$G$99999,5,FALSE)</f>
        <v>DAVIS WENDY</v>
      </c>
      <c r="M168" s="6">
        <f t="shared" si="52"/>
        <v>1.212962963472819E-2</v>
      </c>
      <c r="N168" s="7">
        <f t="shared" si="71"/>
        <v>17.466666674008593</v>
      </c>
      <c r="O168" s="7"/>
      <c r="P168" s="7"/>
      <c r="Q168" s="23"/>
      <c r="R168" s="23"/>
      <c r="S168" s="32">
        <f t="shared" si="63"/>
        <v>1</v>
      </c>
      <c r="T168" s="47" t="str">
        <f t="shared" si="53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07:07:19-700',mode:absolute,to:'2017-01-09 09:26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8" s="49" t="str">
        <f t="shared" si="55"/>
        <v>N</v>
      </c>
      <c r="X168" s="173">
        <f t="shared" si="67"/>
        <v>1</v>
      </c>
      <c r="Y168" s="64">
        <f t="shared" si="56"/>
        <v>5.8693999999999997</v>
      </c>
      <c r="Z168" s="64">
        <f t="shared" si="57"/>
        <v>6.7000000000000004E-2</v>
      </c>
      <c r="AA168" s="64">
        <f t="shared" si="58"/>
        <v>5.8023999999999996</v>
      </c>
      <c r="AB168" s="61" t="e">
        <f>VLOOKUP(A168,Enforcements!$C$7:$K$17,8,0)</f>
        <v>#N/A</v>
      </c>
      <c r="AC168" s="57" t="e">
        <f>VLOOKUP(A168,Enforcements!$C$7:$E$17,3,0)</f>
        <v>#N/A</v>
      </c>
      <c r="AD168" s="58" t="str">
        <f t="shared" si="59"/>
        <v>0810-09</v>
      </c>
      <c r="AE168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68" s="84" t="str">
        <f t="shared" si="61"/>
        <v>"C:\Program Files (x86)\AstroGrep\AstroGrep.exe" /spath="%USERPROFILE%\AppData\Local\Temp\OnboardLogs" /stypes="app*4030*20170109*" /stext=" 15:.+((SYSTEM_STATE.+slice.+state.+changed )|(ment ac)|(multiple cpu faults)|(system.+state.+changed )|(\[timeout)|(PRM\|1\|D)|(kpr)|(kdp)|(\|lc)|(penalty))" /e /r /s</v>
      </c>
      <c r="AG168" s="1" t="str">
        <f t="shared" si="62"/>
        <v>NW</v>
      </c>
      <c r="AH168" s="88" t="str">
        <f t="shared" si="48"/>
        <v>"%USERPROFILE%\Documents\GitHub\eaglep3\Utilities\RefineRTDCRunTimes.py" --tripid 810-09 --locoid 4030 --swversion DE.1.0.8.0 --startMP 300:58694 --initTime 2017-01-09T08:07:19 --startdatetime 2017-01-09T08:09:12 --delay 1 --endMP 204:670 --enddatetime 2017-01-09T08:26:40 --enforcementcount 0 &gt;&gt;C:\Users\stu\Documents\GitHub\eaglep3-reporting\EC\2017-01-09-refined-times.txt</v>
      </c>
      <c r="AI16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{"issue":{"subject":"","project_id":79,"tracker_id":40,"status_id":1,"priority_id":2,"assigned_to_id":23,"start_date":"2017-01-09","description":"","custom_fields":[{"id":1,"name":"Subdivision","value":"NW"},{"id":4,"name":"Milepost","value":"0.067"},{"id":17,"name":"Train ID","value":"810-09"},{"id":16,"name":"Locomotive ID","value":"4030"},{"id":130,"name":"Impact","value":""},{"id":150,"name":"Time of Event (Mountain Time)","value":"08:26:40"},{"id":151,"name":"Denver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0"/>
        <v>start /low /b %USERPROFILE%\Documents\GitHub\eaglep3\Utilities\DownloadLogsFromS3.py --loco 4030 --day 2017-01-09</v>
      </c>
    </row>
    <row r="169" spans="1:91" s="21" customFormat="1" x14ac:dyDescent="0.25">
      <c r="A169" s="34" t="s">
        <v>493</v>
      </c>
      <c r="B169" s="7">
        <v>4014</v>
      </c>
      <c r="C169" s="22" t="s">
        <v>203</v>
      </c>
      <c r="D169" s="22" t="s">
        <v>768</v>
      </c>
      <c r="E169" s="13">
        <v>42744.332511574074</v>
      </c>
      <c r="F169" s="13">
        <v>42744.348182870373</v>
      </c>
      <c r="G169" s="7">
        <v>1</v>
      </c>
      <c r="H169" s="22" t="s">
        <v>769</v>
      </c>
      <c r="I169" s="13">
        <v>42744.358796296299</v>
      </c>
      <c r="J169" s="7">
        <v>0</v>
      </c>
      <c r="K169" s="105" t="str">
        <f t="shared" si="51"/>
        <v>4013/4014</v>
      </c>
      <c r="L169" s="22" t="str">
        <f>VLOOKUP(A169,'Trips&amp;Operators'!$C$1:$G$99999,5,FALSE)</f>
        <v>DUNCAN SHEILA</v>
      </c>
      <c r="M169" s="6">
        <f t="shared" si="52"/>
        <v>1.0613425925839692E-2</v>
      </c>
      <c r="N169" s="7">
        <f t="shared" si="71"/>
        <v>15.283333333209157</v>
      </c>
      <c r="O169" s="7"/>
      <c r="P169" s="7"/>
      <c r="Q169" s="23"/>
      <c r="R169" s="23"/>
      <c r="S169" s="32">
        <f t="shared" si="63"/>
        <v>1</v>
      </c>
      <c r="T169" s="47" t="str">
        <f t="shared" si="53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06:58:49-700',mode:absolute,to:'2017-01-09 09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9" s="49" t="str">
        <f t="shared" si="55"/>
        <v>N</v>
      </c>
      <c r="X169" s="173">
        <f t="shared" si="67"/>
        <v>1</v>
      </c>
      <c r="Y169" s="64">
        <f t="shared" si="56"/>
        <v>9.7100000000000006E-2</v>
      </c>
      <c r="Z169" s="64">
        <f t="shared" si="57"/>
        <v>5.8928000000000003</v>
      </c>
      <c r="AA169" s="64">
        <f t="shared" si="58"/>
        <v>5.7957000000000001</v>
      </c>
      <c r="AB169" s="61" t="e">
        <f>VLOOKUP(A169,Enforcements!$C$7:$K$17,8,0)</f>
        <v>#N/A</v>
      </c>
      <c r="AC169" s="57" t="e">
        <f>VLOOKUP(A169,Enforcements!$C$7:$E$17,3,0)</f>
        <v>#N/A</v>
      </c>
      <c r="AD169" s="58" t="str">
        <f t="shared" si="59"/>
        <v>0811-09</v>
      </c>
      <c r="AE169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69" s="84" t="str">
        <f t="shared" si="61"/>
        <v>"C:\Program Files (x86)\AstroGrep\AstroGrep.exe" /spath="%USERPROFILE%\AppData\Local\Temp\OnboardLogs" /stypes="app*4014*20170109*" /stext=" 15:.+((SYSTEM_STATE.+slice.+state.+changed )|(ment ac)|(multiple cpu faults)|(system.+state.+changed )|(\[timeout)|(PRM\|1\|D)|(kpr)|(kdp)|(\|lc)|(penalty))" /e /r /s</v>
      </c>
      <c r="AG169" s="1" t="str">
        <f t="shared" si="62"/>
        <v>NW</v>
      </c>
      <c r="AH169" s="88" t="str">
        <f t="shared" si="48"/>
        <v>"%USERPROFILE%\Documents\GitHub\eaglep3\Utilities\RefineRTDCRunTimes.py" --tripid 811-09 --locoid 4014 --swversion DE.1.0.8.0 --startMP 204:971 --initTime 2017-01-09T07:58:49 --startdatetime 2017-01-09T08:21:23 --delay 1 --endMP 300:58928 --enddatetime 2017-01-09T08:36:40 --enforcementcount 0 &gt;&gt;C:\Users\stu\Documents\GitHub\eaglep3-reporting\EC\2017-01-09-refined-times.txt</v>
      </c>
      <c r="AI16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{"issue":{"subject":"","project_id":79,"tracker_id":40,"status_id":1,"priority_id":2,"assigned_to_id":23,"start_date":"2017-01-09","description":"","custom_fields":[{"id":1,"name":"Subdivision","value":"NW"},{"id":4,"name":"Milepost","value":"5.8928"},{"id":17,"name":"Train ID","value":"811-09"},{"id":16,"name":"Locomotive ID","value":"4014"},{"id":130,"name":"Impact","value":""},{"id":150,"name":"Time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0"/>
        <v>start /low /b %USERPROFILE%\Documents\GitHub\eaglep3\Utilities\DownloadLogsFromS3.py --loco 4014 --day 2017-01-09</v>
      </c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438</v>
      </c>
      <c r="B170" s="7">
        <v>4013</v>
      </c>
      <c r="C170" s="22" t="s">
        <v>203</v>
      </c>
      <c r="D170" s="22" t="s">
        <v>406</v>
      </c>
      <c r="E170" s="13">
        <v>42744.359965277778</v>
      </c>
      <c r="F170" s="13">
        <v>42744.361296296294</v>
      </c>
      <c r="G170" s="7">
        <v>0</v>
      </c>
      <c r="H170" s="22" t="s">
        <v>380</v>
      </c>
      <c r="I170" s="13">
        <v>42744.372199074074</v>
      </c>
      <c r="J170" s="7">
        <v>0</v>
      </c>
      <c r="K170" s="105" t="str">
        <f t="shared" si="51"/>
        <v>4013/4014</v>
      </c>
      <c r="L170" s="22" t="str">
        <f>VLOOKUP(A170,'Trips&amp;Operators'!$C$1:$G$99999,5,FALSE)</f>
        <v>DUNCAN SHEILA</v>
      </c>
      <c r="M170" s="6">
        <f t="shared" si="52"/>
        <v>1.0902777779847383E-2</v>
      </c>
      <c r="N170" s="7">
        <f t="shared" si="71"/>
        <v>15.700000002980232</v>
      </c>
      <c r="O170" s="7"/>
      <c r="P170" s="7"/>
      <c r="Q170" s="23"/>
      <c r="R170" s="23"/>
      <c r="S170" s="32">
        <f t="shared" si="63"/>
        <v>1</v>
      </c>
      <c r="T170" s="47" t="str">
        <f t="shared" si="53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07:38:21-700',mode:absolute,to:'2017-01-09 09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0" s="49" t="str">
        <f t="shared" si="55"/>
        <v>N</v>
      </c>
      <c r="X170" s="173">
        <f t="shared" si="67"/>
        <v>1</v>
      </c>
      <c r="Y170" s="64">
        <f t="shared" si="56"/>
        <v>5.8611000000000004</v>
      </c>
      <c r="Z170" s="64">
        <f t="shared" si="57"/>
        <v>7.2599999999999998E-2</v>
      </c>
      <c r="AA170" s="64">
        <f t="shared" si="58"/>
        <v>5.7885000000000009</v>
      </c>
      <c r="AB170" s="61" t="e">
        <f>VLOOKUP(A170,Enforcements!$C$7:$K$17,8,0)</f>
        <v>#N/A</v>
      </c>
      <c r="AC170" s="57" t="e">
        <f>VLOOKUP(A170,Enforcements!$C$7:$E$17,3,0)</f>
        <v>#N/A</v>
      </c>
      <c r="AD170" s="58" t="str">
        <f t="shared" si="59"/>
        <v>0812-09</v>
      </c>
      <c r="AE170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0" s="84" t="str">
        <f t="shared" si="61"/>
        <v>"C:\Program Files (x86)\AstroGrep\AstroGrep.exe" /spath="%USERPROFILE%\AppData\Local\Temp\OnboardLogs" /stypes="app*4013*20170109*" /stext=" 15:.+((SYSTEM_STATE.+slice.+state.+changed )|(ment ac)|(multiple cpu faults)|(system.+state.+changed )|(\[timeout)|(PRM\|1\|D)|(kpr)|(kdp)|(\|lc)|(penalty))" /e /r /s</v>
      </c>
      <c r="AG170" s="1" t="str">
        <f t="shared" si="62"/>
        <v>NW</v>
      </c>
      <c r="AH170" s="88" t="str">
        <f t="shared" si="48"/>
        <v>"%USERPROFILE%\Documents\GitHub\eaglep3\Utilities\RefineRTDCRunTimes.py" --tripid 812-09 --locoid 4013 --swversion DE.1.0.8.0 --startMP 300:58611 --initTime 2017-01-09T08:38:21 --startdatetime 2017-01-09T08:40:16 --delay 0 --endMP 204:726 --enddatetime 2017-01-09T08:55:58 --enforcementcount 0 &gt;&gt;C:\Users\stu\Documents\GitHub\eaglep3-reporting\EC\2017-01-09-refined-times.txt</v>
      </c>
      <c r="AI17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{"issue":{"subject":"","project_id":79,"tracker_id":40,"status_id":1,"priority_id":2,"assigned_to_id":23,"start_date":"2017-01-09","description":"","custom_fields":[{"id":1,"name":"Subdivision","value":"NW"},{"id":4,"name":"Milepost","value":"0.0726"},{"id":17,"name":"Train ID","value":"812-09"},{"id":16,"name":"Locomotive ID","value":"4013"},{"id":130,"name":"Impact","value":""},{"id":150,"name":"Time of Event (Mountain Time)","value":"08:55:58"},{"id":151,"name":"Denver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0"/>
        <v>start /low /b %USERPROFILE%\Documents\GitHub\eaglep3\Utilities\DownloadLogsFromS3.py --loco 4013 --day 2017-01-09</v>
      </c>
    </row>
    <row r="171" spans="1:91" x14ac:dyDescent="0.25">
      <c r="A171" s="34" t="s">
        <v>504</v>
      </c>
      <c r="B171" s="7">
        <v>4014</v>
      </c>
      <c r="C171" s="22" t="s">
        <v>203</v>
      </c>
      <c r="D171" s="22" t="s">
        <v>770</v>
      </c>
      <c r="E171" s="13">
        <v>42744.374699074076</v>
      </c>
      <c r="F171" s="13">
        <v>42744.389780092592</v>
      </c>
      <c r="G171" s="7">
        <v>1</v>
      </c>
      <c r="H171" s="22" t="s">
        <v>771</v>
      </c>
      <c r="I171" s="13">
        <v>42744.400462962964</v>
      </c>
      <c r="J171" s="7">
        <v>0</v>
      </c>
      <c r="K171" s="105" t="str">
        <f t="shared" si="51"/>
        <v>4013/4014</v>
      </c>
      <c r="L171" s="22" t="str">
        <f>VLOOKUP(A171,'Trips&amp;Operators'!$C$1:$G$99999,5,FALSE)</f>
        <v>DUNCAN SHEILA</v>
      </c>
      <c r="M171" s="6">
        <f t="shared" si="52"/>
        <v>1.0682870371965691E-2</v>
      </c>
      <c r="N171" s="7">
        <f t="shared" si="71"/>
        <v>15.383333335630596</v>
      </c>
      <c r="O171" s="7"/>
      <c r="P171" s="7"/>
      <c r="Q171" s="23"/>
      <c r="R171" s="23"/>
      <c r="S171" s="32">
        <f t="shared" si="63"/>
        <v>1</v>
      </c>
      <c r="T171" s="47" t="str">
        <f t="shared" si="53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07:59:34-700',mode:absolute,to:'2017-01-09 10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1" s="49" t="str">
        <f t="shared" si="55"/>
        <v>N</v>
      </c>
      <c r="X171" s="173">
        <f t="shared" si="67"/>
        <v>1</v>
      </c>
      <c r="Y171" s="64">
        <f t="shared" si="56"/>
        <v>0.10059999999999999</v>
      </c>
      <c r="Z171" s="64">
        <f t="shared" si="57"/>
        <v>5.8924000000000003</v>
      </c>
      <c r="AA171" s="64">
        <f t="shared" si="58"/>
        <v>5.7918000000000003</v>
      </c>
      <c r="AB171" s="61" t="e">
        <f>VLOOKUP(A171,Enforcements!$C$7:$K$17,8,0)</f>
        <v>#N/A</v>
      </c>
      <c r="AC171" s="57" t="e">
        <f>VLOOKUP(A171,Enforcements!$C$7:$E$17,3,0)</f>
        <v>#N/A</v>
      </c>
      <c r="AD171" s="58" t="str">
        <f t="shared" si="59"/>
        <v>0813-09</v>
      </c>
      <c r="AE17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1" s="84" t="str">
        <f t="shared" si="61"/>
        <v>"C:\Program Files (x86)\AstroGrep\AstroGrep.exe" /spath="%USERPROFILE%\AppData\Local\Temp\OnboardLogs" /stypes="app*4014*20170109*" /stext=" 16:.+((SYSTEM_STATE.+slice.+state.+changed )|(ment ac)|(multiple cpu faults)|(system.+state.+changed )|(\[timeout)|(PRM\|1\|D)|(kpr)|(kdp)|(\|lc)|(penalty))" /e /r /s</v>
      </c>
      <c r="AG171" s="1" t="str">
        <f t="shared" si="62"/>
        <v>NW</v>
      </c>
      <c r="AH171" s="88" t="str">
        <f t="shared" si="48"/>
        <v>"%USERPROFILE%\Documents\GitHub\eaglep3\Utilities\RefineRTDCRunTimes.py" --tripid 813-09 --locoid 4014 --swversion DE.1.0.8.0 --startMP 204:1006 --initTime 2017-01-09T08:59:34 --startdatetime 2017-01-09T09:21:17 --delay 1 --endMP 300:58924 --enddatetime 2017-01-09T09:36:40 --enforcementcount 0 &gt;&gt;C:\Users\stu\Documents\GitHub\eaglep3-reporting\EC\2017-01-09-refined-times.txt</v>
      </c>
      <c r="AI17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{"issue":{"subject":"","project_id":79,"tracker_id":40,"status_id":1,"priority_id":2,"assigned_to_id":23,"start_date":"2017-01-09","description":"","custom_fields":[{"id":1,"name":"Subdivision","value":"NW"},{"id":4,"name":"Milepost","value":"5.8924"},{"id":17,"name":"Train ID","value":"813-09"},{"id":16,"name":"Locomotive ID","value":"4014"},{"id":130,"name":"Impact","value":""},{"id":150,"name":"Time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0"/>
        <v>start /low /b %USERPROFILE%\Documents\GitHub\eaglep3\Utilities\DownloadLogsFromS3.py --loco 4014 --day 2017-01-09</v>
      </c>
    </row>
    <row r="172" spans="1:91" x14ac:dyDescent="0.25">
      <c r="A172" s="34" t="s">
        <v>508</v>
      </c>
      <c r="B172" s="7">
        <v>4013</v>
      </c>
      <c r="C172" s="22" t="s">
        <v>203</v>
      </c>
      <c r="D172" s="22" t="s">
        <v>406</v>
      </c>
      <c r="E172" s="13">
        <v>42744.401435185187</v>
      </c>
      <c r="F172" s="13">
        <v>42744.403101851851</v>
      </c>
      <c r="G172" s="7">
        <v>1</v>
      </c>
      <c r="H172" s="22" t="s">
        <v>772</v>
      </c>
      <c r="I172" s="13">
        <v>42744.4141087963</v>
      </c>
      <c r="J172" s="7">
        <v>0</v>
      </c>
      <c r="K172" s="105" t="str">
        <f t="shared" si="51"/>
        <v>4013/4014</v>
      </c>
      <c r="L172" s="22" t="str">
        <f>VLOOKUP(A172,'Trips&amp;Operators'!$C$1:$G$99999,5,FALSE)</f>
        <v>DUNCAN SHEILA</v>
      </c>
      <c r="M172" s="6">
        <f t="shared" si="52"/>
        <v>1.1006944449036382E-2</v>
      </c>
      <c r="N172" s="7">
        <f t="shared" si="71"/>
        <v>15.85000000661239</v>
      </c>
      <c r="O172" s="7"/>
      <c r="P172" s="7"/>
      <c r="Q172" s="23"/>
      <c r="R172" s="23"/>
      <c r="S172" s="32">
        <f t="shared" si="63"/>
        <v>1</v>
      </c>
      <c r="T172" s="47" t="str">
        <f t="shared" si="53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08:38:04-700',mode:absolute,to:'2017-01-09 10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2" s="49" t="str">
        <f t="shared" si="55"/>
        <v>N</v>
      </c>
      <c r="X172" s="173">
        <f t="shared" si="67"/>
        <v>1</v>
      </c>
      <c r="Y172" s="64">
        <f t="shared" si="56"/>
        <v>5.8611000000000004</v>
      </c>
      <c r="Z172" s="64">
        <f t="shared" si="57"/>
        <v>6.8500000000000005E-2</v>
      </c>
      <c r="AA172" s="64">
        <f t="shared" si="58"/>
        <v>5.7926000000000002</v>
      </c>
      <c r="AB172" s="61" t="e">
        <f>VLOOKUP(A172,Enforcements!$C$7:$K$17,8,0)</f>
        <v>#N/A</v>
      </c>
      <c r="AC172" s="57" t="e">
        <f>VLOOKUP(A172,Enforcements!$C$7:$E$17,3,0)</f>
        <v>#N/A</v>
      </c>
      <c r="AD172" s="58" t="str">
        <f t="shared" si="59"/>
        <v>0814-09</v>
      </c>
      <c r="AE17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2" s="84" t="str">
        <f t="shared" si="61"/>
        <v>"C:\Program Files (x86)\AstroGrep\AstroGrep.exe" /spath="%USERPROFILE%\AppData\Local\Temp\OnboardLogs" /stypes="app*4013*20170109*" /stext=" 16:.+((SYSTEM_STATE.+slice.+state.+changed )|(ment ac)|(multiple cpu faults)|(system.+state.+changed )|(\[timeout)|(PRM\|1\|D)|(kpr)|(kdp)|(\|lc)|(penalty))" /e /r /s</v>
      </c>
      <c r="AG172" s="1" t="str">
        <f t="shared" si="62"/>
        <v>NW</v>
      </c>
      <c r="AH172" s="88" t="str">
        <f t="shared" si="48"/>
        <v>"%USERPROFILE%\Documents\GitHub\eaglep3\Utilities\RefineRTDCRunTimes.py" --tripid 814-09 --locoid 4013 --swversion DE.1.0.8.0 --startMP 300:58611 --initTime 2017-01-09T09:38:04 --startdatetime 2017-01-09T09:40:28 --delay 1 --endMP 204:685 --enddatetime 2017-01-09T09:56:19 --enforcementcount 0 &gt;&gt;C:\Users\stu\Documents\GitHub\eaglep3-reporting\EC\2017-01-09-refined-times.txt</v>
      </c>
      <c r="AI17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{"issue":{"subject":"","project_id":79,"tracker_id":40,"status_id":1,"priority_id":2,"assigned_to_id":23,"start_date":"2017-01-09","description":"","custom_fields":[{"id":1,"name":"Subdivision","value":"NW"},{"id":4,"name":"Milepost","value":"0.0685"},{"id":17,"name":"Train ID","value":"814-09"},{"id":16,"name":"Locomotive ID","value":"4013"},{"id":130,"name":"Impact","value":""},{"id":150,"name":"Time of Event (Mountain Time)","value":"09:56:19"},{"id":151,"name":"Denver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0"/>
        <v>start /low /b %USERPROFILE%\Documents\GitHub\eaglep3\Utilities\DownloadLogsFromS3.py --loco 4013 --day 2017-01-09</v>
      </c>
    </row>
    <row r="173" spans="1:91" x14ac:dyDescent="0.25">
      <c r="A173" s="34" t="s">
        <v>514</v>
      </c>
      <c r="B173" s="7">
        <v>4014</v>
      </c>
      <c r="C173" s="22" t="s">
        <v>203</v>
      </c>
      <c r="D173" s="22" t="s">
        <v>329</v>
      </c>
      <c r="E173" s="13">
        <v>42744.415416666663</v>
      </c>
      <c r="F173" s="13">
        <v>42744.431458333333</v>
      </c>
      <c r="G173" s="7">
        <v>1</v>
      </c>
      <c r="H173" s="22" t="s">
        <v>773</v>
      </c>
      <c r="I173" s="13">
        <v>42744.442025462966</v>
      </c>
      <c r="J173" s="7">
        <v>0</v>
      </c>
      <c r="K173" s="105" t="str">
        <f t="shared" si="51"/>
        <v>4013/4014</v>
      </c>
      <c r="L173" s="22" t="str">
        <f>VLOOKUP(A173,'Trips&amp;Operators'!$C$1:$G$99999,5,FALSE)</f>
        <v>DUNCAN SHEILA</v>
      </c>
      <c r="M173" s="6">
        <f t="shared" si="52"/>
        <v>1.0567129633272998E-2</v>
      </c>
      <c r="N173" s="7">
        <f t="shared" si="71"/>
        <v>15.216666671913117</v>
      </c>
      <c r="O173" s="7"/>
      <c r="P173" s="7"/>
      <c r="Q173" s="23"/>
      <c r="R173" s="23"/>
      <c r="S173" s="32">
        <f t="shared" si="63"/>
        <v>1</v>
      </c>
      <c r="T173" s="47" t="str">
        <f t="shared" si="53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08:58:12-700',mode:absolute,to:'2017-01-09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3" s="49" t="str">
        <f t="shared" si="55"/>
        <v>N</v>
      </c>
      <c r="X173" s="173">
        <f t="shared" si="67"/>
        <v>1</v>
      </c>
      <c r="Y173" s="64">
        <f t="shared" si="56"/>
        <v>9.6000000000000002E-2</v>
      </c>
      <c r="Z173" s="64">
        <f t="shared" si="57"/>
        <v>5.8921999999999999</v>
      </c>
      <c r="AA173" s="64">
        <f t="shared" si="58"/>
        <v>5.7961999999999998</v>
      </c>
      <c r="AB173" s="61" t="e">
        <f>VLOOKUP(A173,Enforcements!$C$7:$K$17,8,0)</f>
        <v>#N/A</v>
      </c>
      <c r="AC173" s="57" t="e">
        <f>VLOOKUP(A173,Enforcements!$C$7:$E$17,3,0)</f>
        <v>#N/A</v>
      </c>
      <c r="AD173" s="58" t="str">
        <f t="shared" si="59"/>
        <v>0815-09</v>
      </c>
      <c r="AE173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3" s="84" t="str">
        <f t="shared" si="61"/>
        <v>"C:\Program Files (x86)\AstroGrep\AstroGrep.exe" /spath="%USERPROFILE%\AppData\Local\Temp\OnboardLogs" /stypes="app*4014*20170109*" /stext=" 17:.+((SYSTEM_STATE.+slice.+state.+changed )|(ment ac)|(multiple cpu faults)|(system.+state.+changed )|(\[timeout)|(PRM\|1\|D)|(kpr)|(kdp)|(\|lc)|(penalty))" /e /r /s</v>
      </c>
      <c r="AG173" s="1" t="str">
        <f t="shared" si="62"/>
        <v>NW</v>
      </c>
      <c r="AH173" s="88" t="str">
        <f t="shared" si="48"/>
        <v>"%USERPROFILE%\Documents\GitHub\eaglep3\Utilities\RefineRTDCRunTimes.py" --tripid 815-09 --locoid 4014 --swversion DE.1.0.8.0 --startMP 204:960 --initTime 2017-01-09T09:58:12 --startdatetime 2017-01-09T10:21:18 --delay 1 --endMP 300:58922 --enddatetime 2017-01-09T10:36:31 --enforcementcount 0 &gt;&gt;C:\Users\stu\Documents\GitHub\eaglep3-reporting\EC\2017-01-09-refined-times.txt</v>
      </c>
      <c r="AI17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{"issue":{"subject":"","project_id":79,"tracker_id":40,"status_id":1,"priority_id":2,"assigned_to_id":23,"start_date":"2017-01-09","description":"","custom_fields":[{"id":1,"name":"Subdivision","value":"NW"},{"id":4,"name":"Milepost","value":"5.8922"},{"id":17,"name":"Train ID","value":"815-09"},{"id":16,"name":"Locomotive ID","value":"4014"},{"id":130,"name":"Impact","value":""},{"id":150,"name":"Time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0"/>
        <v>start /low /b %USERPROFILE%\Documents\GitHub\eaglep3\Utilities\DownloadLogsFromS3.py --loco 4014 --day 2017-01-09</v>
      </c>
    </row>
    <row r="174" spans="1:91" x14ac:dyDescent="0.25">
      <c r="A174" s="34" t="s">
        <v>520</v>
      </c>
      <c r="B174" s="7">
        <v>4013</v>
      </c>
      <c r="C174" s="22" t="s">
        <v>203</v>
      </c>
      <c r="D174" s="22" t="s">
        <v>774</v>
      </c>
      <c r="E174" s="13">
        <v>42744.442997685182</v>
      </c>
      <c r="F174" s="13">
        <v>42744.444467592592</v>
      </c>
      <c r="G174" s="7">
        <v>1</v>
      </c>
      <c r="H174" s="22" t="s">
        <v>353</v>
      </c>
      <c r="I174" s="13">
        <v>42744.456053240741</v>
      </c>
      <c r="J174" s="7">
        <v>0</v>
      </c>
      <c r="K174" s="105" t="str">
        <f t="shared" si="51"/>
        <v>4013/4014</v>
      </c>
      <c r="L174" s="22" t="str">
        <f>VLOOKUP(A174,'Trips&amp;Operators'!$C$1:$G$99999,5,FALSE)</f>
        <v>DUNCAN SHEILA</v>
      </c>
      <c r="M174" s="6">
        <f t="shared" si="52"/>
        <v>1.1585648149775807E-2</v>
      </c>
      <c r="N174" s="7">
        <f t="shared" si="71"/>
        <v>16.683333335677162</v>
      </c>
      <c r="O174" s="7"/>
      <c r="P174" s="7"/>
      <c r="Q174" s="23"/>
      <c r="R174" s="23"/>
      <c r="S174" s="32">
        <f t="shared" si="63"/>
        <v>1</v>
      </c>
      <c r="T174" s="47" t="str">
        <f t="shared" si="53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09:37:55-700',mode:absolute,to:'2017-01-09 11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4" s="49" t="str">
        <f t="shared" si="55"/>
        <v>N</v>
      </c>
      <c r="X174" s="173">
        <f t="shared" si="67"/>
        <v>1</v>
      </c>
      <c r="Y174" s="64">
        <f t="shared" si="56"/>
        <v>5.8609</v>
      </c>
      <c r="Z174" s="64">
        <f t="shared" si="57"/>
        <v>6.7500000000000004E-2</v>
      </c>
      <c r="AA174" s="64">
        <f t="shared" si="58"/>
        <v>5.7934000000000001</v>
      </c>
      <c r="AB174" s="61" t="e">
        <f>VLOOKUP(A174,Enforcements!$C$7:$K$17,8,0)</f>
        <v>#N/A</v>
      </c>
      <c r="AC174" s="57" t="e">
        <f>VLOOKUP(A174,Enforcements!$C$7:$E$17,3,0)</f>
        <v>#N/A</v>
      </c>
      <c r="AD174" s="58" t="str">
        <f t="shared" si="59"/>
        <v>0816-09</v>
      </c>
      <c r="AE174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4" s="84" t="str">
        <f t="shared" si="61"/>
        <v>"C:\Program Files (x86)\AstroGrep\AstroGrep.exe" /spath="%USERPROFILE%\AppData\Local\Temp\OnboardLogs" /stypes="app*4013*20170109*" /stext=" 17:.+((SYSTEM_STATE.+slice.+state.+changed )|(ment ac)|(multiple cpu faults)|(system.+state.+changed )|(\[timeout)|(PRM\|1\|D)|(kpr)|(kdp)|(\|lc)|(penalty))" /e /r /s</v>
      </c>
      <c r="AG174" s="1" t="str">
        <f t="shared" si="62"/>
        <v>NW</v>
      </c>
      <c r="AH174" s="88" t="str">
        <f t="shared" si="48"/>
        <v>"%USERPROFILE%\Documents\GitHub\eaglep3\Utilities\RefineRTDCRunTimes.py" --tripid 816-09 --locoid 4013 --swversion DE.1.0.8.0 --startMP 300:58609 --initTime 2017-01-09T10:37:55 --startdatetime 2017-01-09T10:40:02 --delay 1 --endMP 204:675 --enddatetime 2017-01-09T10:56:43 --enforcementcount 0 &gt;&gt;C:\Users\stu\Documents\GitHub\eaglep3-reporting\EC\2017-01-09-refined-times.txt</v>
      </c>
      <c r="AI17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{"issue":{"subject":"","project_id":79,"tracker_id":40,"status_id":1,"priority_id":2,"assigned_to_id":23,"start_date":"2017-01-09","description":"","custom_fields":[{"id":1,"name":"Subdivision","value":"NW"},{"id":4,"name":"Milepost","value":"0.0675"},{"id":17,"name":"Train ID","value":"816-09"},{"id":16,"name":"Locomotive ID","value":"4013"},{"id":130,"name":"Impact","value":""},{"id":150,"name":"Time of Event (Mountain Time)","value":"10:56:43"},{"id":151,"name":"Denver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0"/>
        <v>start /low /b %USERPROFILE%\Documents\GitHub\eaglep3\Utilities\DownloadLogsFromS3.py --loco 4013 --day 2017-01-09</v>
      </c>
    </row>
    <row r="175" spans="1:91" s="21" customFormat="1" x14ac:dyDescent="0.25">
      <c r="A175" s="34" t="s">
        <v>527</v>
      </c>
      <c r="B175" s="7">
        <v>4014</v>
      </c>
      <c r="C175" s="22" t="s">
        <v>203</v>
      </c>
      <c r="D175" s="22" t="s">
        <v>775</v>
      </c>
      <c r="E175" s="13">
        <v>42744.457731481481</v>
      </c>
      <c r="F175" s="13">
        <v>42744.473773148151</v>
      </c>
      <c r="G175" s="7">
        <v>0</v>
      </c>
      <c r="H175" s="22" t="s">
        <v>771</v>
      </c>
      <c r="I175" s="13">
        <v>42744.484548611108</v>
      </c>
      <c r="J175" s="7">
        <v>0</v>
      </c>
      <c r="K175" s="105" t="str">
        <f t="shared" si="51"/>
        <v>4013/4014</v>
      </c>
      <c r="L175" s="22" t="str">
        <f>VLOOKUP(A175,'Trips&amp;Operators'!$C$1:$G$99999,5,FALSE)</f>
        <v>DUNCAN SHEILA</v>
      </c>
      <c r="M175" s="6">
        <f t="shared" si="52"/>
        <v>1.077546295709908E-2</v>
      </c>
      <c r="N175" s="7">
        <f t="shared" si="71"/>
        <v>15.516666658222675</v>
      </c>
      <c r="O175" s="7"/>
      <c r="P175" s="7"/>
      <c r="Q175" s="23"/>
      <c r="R175" s="23"/>
      <c r="S175" s="32">
        <f t="shared" si="63"/>
        <v>1</v>
      </c>
      <c r="T175" s="47" t="str">
        <f t="shared" si="53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09:59:08-700',mode:absolute,to:'2017-01-09 12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5" s="49" t="str">
        <f t="shared" si="55"/>
        <v>N</v>
      </c>
      <c r="X175" s="173">
        <f t="shared" si="67"/>
        <v>1</v>
      </c>
      <c r="Y175" s="64">
        <f t="shared" si="56"/>
        <v>9.6500000000000002E-2</v>
      </c>
      <c r="Z175" s="64">
        <f t="shared" si="57"/>
        <v>5.8924000000000003</v>
      </c>
      <c r="AA175" s="64">
        <f t="shared" si="58"/>
        <v>5.7959000000000005</v>
      </c>
      <c r="AB175" s="61" t="e">
        <f>VLOOKUP(A175,Enforcements!$C$7:$K$17,8,0)</f>
        <v>#N/A</v>
      </c>
      <c r="AC175" s="57" t="e">
        <f>VLOOKUP(A175,Enforcements!$C$7:$E$17,3,0)</f>
        <v>#N/A</v>
      </c>
      <c r="AD175" s="58" t="str">
        <f t="shared" si="59"/>
        <v>0817-09</v>
      </c>
      <c r="AE175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5" s="84" t="str">
        <f t="shared" si="61"/>
        <v>"C:\Program Files (x86)\AstroGrep\AstroGrep.exe" /spath="%USERPROFILE%\AppData\Local\Temp\OnboardLogs" /stypes="app*4014*20170109*" /stext=" 18:.+((SYSTEM_STATE.+slice.+state.+changed )|(ment ac)|(multiple cpu faults)|(system.+state.+changed )|(\[timeout)|(PRM\|1\|D)|(kpr)|(kdp)|(\|lc)|(penalty))" /e /r /s</v>
      </c>
      <c r="AG175" s="1" t="str">
        <f t="shared" si="62"/>
        <v>NW</v>
      </c>
      <c r="AH175" s="88" t="str">
        <f t="shared" si="48"/>
        <v>"%USERPROFILE%\Documents\GitHub\eaglep3\Utilities\RefineRTDCRunTimes.py" --tripid 817-09 --locoid 4014 --swversion DE.1.0.8.0 --startMP 204:965 --initTime 2017-01-09T10:59:08 --startdatetime 2017-01-09T11:22:14 --delay 0 --endMP 300:58924 --enddatetime 2017-01-09T11:37:45 --enforcementcount 0 &gt;&gt;C:\Users\stu\Documents\GitHub\eaglep3-reporting\EC\2017-01-09-refined-times.txt</v>
      </c>
      <c r="AI17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{"issue":{"subject":"","project_id":79,"tracker_id":40,"status_id":1,"priority_id":2,"assigned_to_id":23,"start_date":"2017-01-09","description":"","custom_fields":[{"id":1,"name":"Subdivision","value":"NW"},{"id":4,"name":"Milepost","value":"5.8924"},{"id":17,"name":"Train ID","value":"817-09"},{"id":16,"name":"Locomotive ID","value":"4014"},{"id":130,"name":"Impact","value":""},{"id":150,"name":"Time of Event (Mountain Time)","value":"11:37:45"},{"id":151,"name":"Denver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0"/>
        <v>start /low /b %USERPROFILE%\Documents\GitHub\eaglep3\Utilities\DownloadLogsFromS3.py --loco 4014 --day 2017-01-09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535</v>
      </c>
      <c r="B176" s="7">
        <v>4013</v>
      </c>
      <c r="C176" s="22" t="s">
        <v>203</v>
      </c>
      <c r="D176" s="22" t="s">
        <v>775</v>
      </c>
      <c r="E176" s="13">
        <v>42744.457731481481</v>
      </c>
      <c r="F176" s="13">
        <v>42744.485752314817</v>
      </c>
      <c r="G176" s="7">
        <v>0</v>
      </c>
      <c r="H176" s="22" t="s">
        <v>771</v>
      </c>
      <c r="I176" s="13">
        <v>42744.486284722225</v>
      </c>
      <c r="J176" s="7">
        <v>0</v>
      </c>
      <c r="K176" s="105" t="str">
        <f t="shared" si="51"/>
        <v>4013/4014</v>
      </c>
      <c r="L176" s="22" t="str">
        <f>VLOOKUP(A176,'Trips&amp;Operators'!$C$1:$G$99999,5,FALSE)</f>
        <v>DUNCAN SHEILA</v>
      </c>
      <c r="M176" s="6">
        <f t="shared" si="52"/>
        <v>5.3240740817273036E-4</v>
      </c>
      <c r="N176" s="7"/>
      <c r="O176" s="7"/>
      <c r="P176" s="7">
        <f>24*60*SUM($M176:$M176)</f>
        <v>0.76666666776873171</v>
      </c>
      <c r="Q176" s="23"/>
      <c r="R176" s="23" t="s">
        <v>420</v>
      </c>
      <c r="S176" s="32">
        <f t="shared" si="63"/>
        <v>0</v>
      </c>
      <c r="T176" s="47" t="str">
        <f t="shared" si="53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09:59:08-700',mode:absolute,to:'2017-01-09 12:40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6" s="49" t="str">
        <f t="shared" si="55"/>
        <v>N</v>
      </c>
      <c r="X176" s="173">
        <f t="shared" si="67"/>
        <v>1</v>
      </c>
      <c r="Y176" s="64">
        <f t="shared" si="56"/>
        <v>9.6500000000000002E-2</v>
      </c>
      <c r="Z176" s="64">
        <f t="shared" si="57"/>
        <v>5.8924000000000003</v>
      </c>
      <c r="AA176" s="64">
        <f t="shared" si="58"/>
        <v>5.7959000000000005</v>
      </c>
      <c r="AB176" s="61" t="e">
        <f>VLOOKUP(A176,Enforcements!$C$7:$K$17,8,0)</f>
        <v>#N/A</v>
      </c>
      <c r="AC176" s="57" t="e">
        <f>VLOOKUP(A176,Enforcements!$C$7:$E$17,3,0)</f>
        <v>#N/A</v>
      </c>
      <c r="AD176" s="58" t="str">
        <f t="shared" si="59"/>
        <v>0818-09</v>
      </c>
      <c r="AE176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6" s="84" t="str">
        <f t="shared" si="61"/>
        <v>"C:\Program Files (x86)\AstroGrep\AstroGrep.exe" /spath="%USERPROFILE%\AppData\Local\Temp\OnboardLogs" /stypes="app*4013*20170109*" /stext=" 18:.+((SYSTEM_STATE.+slice.+state.+changed )|(ment ac)|(multiple cpu faults)|(system.+state.+changed )|(\[timeout)|(PRM\|1\|D)|(kpr)|(kdp)|(\|lc)|(penalty))" /e /r /s</v>
      </c>
      <c r="AG176" s="1" t="str">
        <f t="shared" si="62"/>
        <v>NW</v>
      </c>
      <c r="AH176" s="88" t="str">
        <f t="shared" ref="AH176" si="72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818-09 --locoid 4013 --swversion DE.1.0.8.0 --startMP 204:965 --initTime 2017-01-09T10:59:08 --startdatetime 2017-01-09T11:39:29 --delay 0 --endMP 300:58924 --enddatetime 2017-01-09T11:40:15 --enforcementcount 0 &gt;&gt;C:\Users\stu\Documents\GitHub\eaglep3-reporting\EC\2017-01-09-refined-times.txt</v>
      </c>
      <c r="AI176" s="115" t="str">
        <f t="shared" ref="AI176" si="73"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failure","project_id":79,"tracker_id":40,"status_id":1,"priority_id":2,"assigned_to_id":23,"start_date":"2017-01-09","description":"","custom_fields":[{"id":1,"name":"Subdivision","value":"NW"},{"id":4,"name":"Milepost","value":"5.8924"},{"id":17,"name":"Train ID","value":"818-09"},{"id":16,"name":"Locomotive ID","value":"4013"},{"id":130,"name":"Impact","value":""},{"id":150,"name":"Time of Event (Mountain Time)","value":"11:40:15"},{"id":151,"name":"Denver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ref="AM176" si="74">"start /low /b "&amp;dls3logs&amp;" --loco "&amp;B176&amp;" --day "&amp;TEXT(F176,"YYYY-MM-DD")</f>
        <v>start /low /b %USERPROFILE%\Documents\GitHub\eaglep3\Utilities\DownloadLogsFromS3.py --loco 4013 --day 2017-01-09</v>
      </c>
    </row>
    <row r="177" spans="1:91" s="21" customFormat="1" x14ac:dyDescent="0.25">
      <c r="A177" s="34" t="s">
        <v>543</v>
      </c>
      <c r="B177" s="7">
        <v>4014</v>
      </c>
      <c r="C177" s="22" t="s">
        <v>203</v>
      </c>
      <c r="D177" s="22" t="s">
        <v>776</v>
      </c>
      <c r="E177" s="13">
        <v>42744.504479166666</v>
      </c>
      <c r="F177" s="13">
        <v>42744.514884259261</v>
      </c>
      <c r="G177" s="7">
        <v>1</v>
      </c>
      <c r="H177" s="22" t="s">
        <v>777</v>
      </c>
      <c r="I177" s="13">
        <v>42744.525370370371</v>
      </c>
      <c r="J177" s="7">
        <v>0</v>
      </c>
      <c r="K177" s="105" t="str">
        <f t="shared" si="51"/>
        <v>4013/4014</v>
      </c>
      <c r="L177" s="22" t="str">
        <f>VLOOKUP(A177,'Trips&amp;Operators'!$C$1:$G$99999,5,FALSE)</f>
        <v>DUNCAN SHEILA</v>
      </c>
      <c r="M177" s="6">
        <f t="shared" si="52"/>
        <v>1.0486111110367347E-2</v>
      </c>
      <c r="N177" s="7">
        <f t="shared" ref="N177:N201" si="75">24*60*SUM($M177:$M177)</f>
        <v>15.099999998928979</v>
      </c>
      <c r="O177" s="7"/>
      <c r="P177" s="7"/>
      <c r="Q177" s="23"/>
      <c r="R177" s="23"/>
      <c r="S177" s="32">
        <f t="shared" si="63"/>
        <v>1</v>
      </c>
      <c r="T177" s="47" t="str">
        <f t="shared" si="53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11:06:27-700',mode:absolute,to:'2017-01-09 13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7" s="49" t="str">
        <f t="shared" si="55"/>
        <v>N</v>
      </c>
      <c r="X177" s="173">
        <f t="shared" si="67"/>
        <v>1</v>
      </c>
      <c r="Y177" s="64">
        <f t="shared" si="56"/>
        <v>9.69E-2</v>
      </c>
      <c r="Z177" s="64">
        <f t="shared" si="57"/>
        <v>5.8917999999999999</v>
      </c>
      <c r="AA177" s="64">
        <f t="shared" si="58"/>
        <v>5.7949000000000002</v>
      </c>
      <c r="AB177" s="61" t="e">
        <f>VLOOKUP(A177,Enforcements!$C$7:$K$17,8,0)</f>
        <v>#N/A</v>
      </c>
      <c r="AC177" s="57" t="e">
        <f>VLOOKUP(A177,Enforcements!$C$7:$E$17,3,0)</f>
        <v>#N/A</v>
      </c>
      <c r="AD177" s="58" t="str">
        <f t="shared" si="59"/>
        <v>0819-09</v>
      </c>
      <c r="AE177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7" s="84" t="str">
        <f t="shared" si="61"/>
        <v>"C:\Program Files (x86)\AstroGrep\AstroGrep.exe" /spath="%USERPROFILE%\AppData\Local\Temp\OnboardLogs" /stypes="app*4014*20170109*" /stext=" 19:.+((SYSTEM_STATE.+slice.+state.+changed )|(ment ac)|(multiple cpu faults)|(system.+state.+changed )|(\[timeout)|(PRM\|1\|D)|(kpr)|(kdp)|(\|lc)|(penalty))" /e /r /s</v>
      </c>
      <c r="AG177" s="1" t="str">
        <f t="shared" si="62"/>
        <v>NW</v>
      </c>
      <c r="AH177" s="88" t="str">
        <f t="shared" si="48"/>
        <v>"%USERPROFILE%\Documents\GitHub\eaglep3\Utilities\RefineRTDCRunTimes.py" --tripid 819-09 --locoid 4014 --swversion DE.1.0.8.0 --startMP 204:969 --initTime 2017-01-09T12:06:27 --startdatetime 2017-01-09T12:21:26 --delay 1 --endMP 300:58918 --enddatetime 2017-01-09T12:36:32 --enforcementcount 0 &gt;&gt;C:\Users\stu\Documents\GitHub\eaglep3-reporting\EC\2017-01-09-refined-times.txt</v>
      </c>
      <c r="AI17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{"issue":{"subject":"","project_id":79,"tracker_id":40,"status_id":1,"priority_id":2,"assigned_to_id":23,"start_date":"2017-01-09","description":"","custom_fields":[{"id":1,"name":"Subdivision","value":"NW"},{"id":4,"name":"Milepost","value":"5.8918"},{"id":17,"name":"Train ID","value":"819-09"},{"id":16,"name":"Locomotive ID","value":"4014"},{"id":130,"name":"Impact","value":""},{"id":150,"name":"Time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0"/>
        <v>start /low /b %USERPROFILE%\Documents\GitHub\eaglep3\Utilities\DownloadLogsFromS3.py --loco 4014 --day 2017-01-09</v>
      </c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551</v>
      </c>
      <c r="B178" s="7">
        <v>4013</v>
      </c>
      <c r="C178" s="22" t="s">
        <v>203</v>
      </c>
      <c r="D178" s="22" t="s">
        <v>778</v>
      </c>
      <c r="E178" s="13">
        <v>42744.530694444446</v>
      </c>
      <c r="F178" s="13">
        <v>42744.532280092593</v>
      </c>
      <c r="G178" s="7">
        <v>1</v>
      </c>
      <c r="H178" s="22" t="s">
        <v>779</v>
      </c>
      <c r="I178" s="13">
        <v>42744.54414351852</v>
      </c>
      <c r="J178" s="7">
        <v>0</v>
      </c>
      <c r="K178" s="105" t="str">
        <f t="shared" si="51"/>
        <v>4013/4014</v>
      </c>
      <c r="L178" s="22" t="str">
        <f>VLOOKUP(A178,'Trips&amp;Operators'!$C$1:$G$99999,5,FALSE)</f>
        <v>DUNCAN SHEILA</v>
      </c>
      <c r="M178" s="6">
        <f t="shared" si="52"/>
        <v>1.1863425927003846E-2</v>
      </c>
      <c r="N178" s="7">
        <f t="shared" si="75"/>
        <v>17.083333334885538</v>
      </c>
      <c r="O178" s="7"/>
      <c r="P178" s="7"/>
      <c r="Q178" s="23"/>
      <c r="R178" s="23" t="s">
        <v>842</v>
      </c>
      <c r="S178" s="32">
        <f t="shared" si="63"/>
        <v>1</v>
      </c>
      <c r="T178" s="47" t="str">
        <f t="shared" si="53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11:44:12-700',mode:absolute,to:'2017-01-09 14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8" s="49" t="str">
        <f t="shared" si="55"/>
        <v>N</v>
      </c>
      <c r="X178" s="173">
        <f t="shared" si="67"/>
        <v>1</v>
      </c>
      <c r="Y178" s="64">
        <f t="shared" si="56"/>
        <v>5.8605999999999998</v>
      </c>
      <c r="Z178" s="64">
        <f t="shared" si="57"/>
        <v>6.9099999999999995E-2</v>
      </c>
      <c r="AA178" s="64">
        <f t="shared" si="58"/>
        <v>5.7915000000000001</v>
      </c>
      <c r="AB178" s="61" t="e">
        <f>VLOOKUP(A178,Enforcements!$C$7:$K$17,8,0)</f>
        <v>#N/A</v>
      </c>
      <c r="AC178" s="57" t="e">
        <f>VLOOKUP(A178,Enforcements!$C$7:$E$17,3,0)</f>
        <v>#N/A</v>
      </c>
      <c r="AD178" s="58" t="str">
        <f t="shared" si="59"/>
        <v>0820-09</v>
      </c>
      <c r="AE178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8" s="84" t="str">
        <f t="shared" si="61"/>
        <v>"C:\Program Files (x86)\AstroGrep\AstroGrep.exe" /spath="%USERPROFILE%\AppData\Local\Temp\OnboardLogs" /stypes="app*4013*20170109*" /stext=" 20:.+((SYSTEM_STATE.+slice.+state.+changed )|(ment ac)|(multiple cpu faults)|(system.+state.+changed )|(\[timeout)|(PRM\|1\|D)|(kpr)|(kdp)|(\|lc)|(penalty))" /e /r /s</v>
      </c>
      <c r="AG178" s="1" t="str">
        <f t="shared" si="62"/>
        <v>NW</v>
      </c>
      <c r="AH178" s="88" t="str">
        <f t="shared" si="48"/>
        <v>"%USERPROFILE%\Documents\GitHub\eaglep3\Utilities\RefineRTDCRunTimes.py" --tripid 820-09 --locoid 4013 --swversion DE.1.0.8.0 --startMP 300:58606 --initTime 2017-01-09T12:44:12 --startdatetime 2017-01-09T12:46:29 --delay 1 --endMP 204:691 --enddatetime 2017-01-09T13:03:34 --enforcementcount 0 &gt;&gt;C:\Users\stu\Documents\GitHub\eaglep3-reporting\EC\2017-01-09-refined-times.txt</v>
      </c>
      <c r="AI178" s="115" t="str">
        <f t="shared" si="49"/>
        <v>echo {"issue":{"subject":"CCROC/crew/equipment mismatch delayed departure","project_id":79,"tracker_id":40,"status_id":1,"priority_id":2,"assigned_to_id":23,"start_date":"2017-01-09","description":"","custom_fields":[{"id":1,"name":"Subdivision","value":"NW"},{"id":4,"name":"Milepost","value":"0.0691"},{"id":17,"name":"Train ID","value":"820-09"},{"id":16,"name":"Locomotive ID","value":"4013"},{"id":130,"name":"Impact","value":""},{"id":150,"name":"Time of Event (Mountain Time)","value":"13:03:34"},{"id":151,"name":"Denver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0"/>
        <v>start /low /b %USERPROFILE%\Documents\GitHub\eaglep3\Utilities\DownloadLogsFromS3.py --loco 4013 --day 2017-01-09</v>
      </c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556</v>
      </c>
      <c r="B179" s="7">
        <v>4014</v>
      </c>
      <c r="C179" s="22" t="s">
        <v>203</v>
      </c>
      <c r="D179" s="22" t="s">
        <v>780</v>
      </c>
      <c r="E179" s="13">
        <v>42744.550925925927</v>
      </c>
      <c r="F179" s="13">
        <v>42744.556435185186</v>
      </c>
      <c r="G179" s="7">
        <v>1</v>
      </c>
      <c r="H179" s="22" t="s">
        <v>781</v>
      </c>
      <c r="I179" s="13">
        <v>42744.566412037035</v>
      </c>
      <c r="J179" s="7">
        <v>0</v>
      </c>
      <c r="K179" s="105" t="str">
        <f t="shared" si="51"/>
        <v>4013/4014</v>
      </c>
      <c r="L179" s="22" t="str">
        <f>VLOOKUP(A179,'Trips&amp;Operators'!$C$1:$G$99999,5,FALSE)</f>
        <v>SIMMONS SHYHESHA</v>
      </c>
      <c r="M179" s="6">
        <f t="shared" si="52"/>
        <v>9.9768518484779634E-3</v>
      </c>
      <c r="N179" s="7">
        <f t="shared" si="75"/>
        <v>14.366666661808267</v>
      </c>
      <c r="O179" s="7"/>
      <c r="P179" s="7"/>
      <c r="Q179" s="23"/>
      <c r="R179" s="23"/>
      <c r="S179" s="32">
        <f t="shared" si="63"/>
        <v>1</v>
      </c>
      <c r="T179" s="47" t="str">
        <f t="shared" si="53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12:13:20-700',mode:absolute,to:'2017-01-09 14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9" s="49" t="str">
        <f t="shared" si="55"/>
        <v>N</v>
      </c>
      <c r="X179" s="173">
        <f t="shared" si="67"/>
        <v>1</v>
      </c>
      <c r="Y179" s="64">
        <f t="shared" si="56"/>
        <v>9.7799999999999998E-2</v>
      </c>
      <c r="Z179" s="64">
        <f t="shared" si="57"/>
        <v>5.8958000000000004</v>
      </c>
      <c r="AA179" s="64">
        <f t="shared" si="58"/>
        <v>5.798</v>
      </c>
      <c r="AB179" s="61" t="e">
        <f>VLOOKUP(A179,Enforcements!$C$7:$K$17,8,0)</f>
        <v>#N/A</v>
      </c>
      <c r="AC179" s="57" t="e">
        <f>VLOOKUP(A179,Enforcements!$C$7:$E$17,3,0)</f>
        <v>#N/A</v>
      </c>
      <c r="AD179" s="58" t="str">
        <f t="shared" si="59"/>
        <v>0821-09</v>
      </c>
      <c r="AE179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9" s="84" t="str">
        <f t="shared" si="61"/>
        <v>"C:\Program Files (x86)\AstroGrep\AstroGrep.exe" /spath="%USERPROFILE%\AppData\Local\Temp\OnboardLogs" /stypes="app*4014*20170109*" /stext=" 20:.+((SYSTEM_STATE.+slice.+state.+changed )|(ment ac)|(multiple cpu faults)|(system.+state.+changed )|(\[timeout)|(PRM\|1\|D)|(kpr)|(kdp)|(\|lc)|(penalty))" /e /r /s</v>
      </c>
      <c r="AG179" s="1" t="str">
        <f t="shared" si="62"/>
        <v>NW</v>
      </c>
      <c r="AH179" s="88" t="str">
        <f t="shared" si="48"/>
        <v>"%USERPROFILE%\Documents\GitHub\eaglep3\Utilities\RefineRTDCRunTimes.py" --tripid 821-09 --locoid 4014 --swversion DE.1.0.8.0 --startMP 204:978 --initTime 2017-01-09T13:13:20 --startdatetime 2017-01-09T13:21:16 --delay 1 --endMP 300:58958 --enddatetime 2017-01-09T13:35:38 --enforcementcount 0 &gt;&gt;C:\Users\stu\Documents\GitHub\eaglep3-reporting\EC\2017-01-09-refined-times.txt</v>
      </c>
      <c r="AI17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{"issue":{"subject":"","project_id":79,"tracker_id":40,"status_id":1,"priority_id":2,"assigned_to_id":23,"start_date":"2017-01-09","description":"","custom_fields":[{"id":1,"name":"Subdivision","value":"NW"},{"id":4,"name":"Milepost","value":"5.8958"},{"id":17,"name":"Train ID","value":"821-09"},{"id":16,"name":"Locomotive ID","value":"4014"},{"id":130,"name":"Impact","value":""},{"id":150,"name":"Time of Event (Mountain Time)","value":"13:35:38"},{"id":151,"name":"Denver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0"/>
        <v>start /low /b %USERPROFILE%\Documents\GitHub\eaglep3\Utilities\DownloadLogsFromS3.py --loco 4014 --day 2017-01-09</v>
      </c>
    </row>
    <row r="180" spans="1:91" x14ac:dyDescent="0.25">
      <c r="A180" s="34" t="s">
        <v>441</v>
      </c>
      <c r="B180" s="7">
        <v>4013</v>
      </c>
      <c r="C180" s="22" t="s">
        <v>203</v>
      </c>
      <c r="D180" s="22" t="s">
        <v>782</v>
      </c>
      <c r="E180" s="13">
        <v>42744.567476851851</v>
      </c>
      <c r="F180" s="13">
        <v>42744.569050925929</v>
      </c>
      <c r="G180" s="7">
        <v>1</v>
      </c>
      <c r="H180" s="22" t="s">
        <v>783</v>
      </c>
      <c r="I180" s="13">
        <v>42744.580439814818</v>
      </c>
      <c r="J180" s="7">
        <v>0</v>
      </c>
      <c r="K180" s="105" t="str">
        <f t="shared" si="51"/>
        <v>4013/4014</v>
      </c>
      <c r="L180" s="22" t="str">
        <f>VLOOKUP(A180,'Trips&amp;Operators'!$C$1:$G$99999,5,FALSE)</f>
        <v>SIMMONS SHYHESHA</v>
      </c>
      <c r="M180" s="6">
        <f t="shared" si="52"/>
        <v>1.1388888888177462E-2</v>
      </c>
      <c r="N180" s="7">
        <f t="shared" si="75"/>
        <v>16.399999998975545</v>
      </c>
      <c r="O180" s="7"/>
      <c r="P180" s="7"/>
      <c r="Q180" s="23"/>
      <c r="R180" s="23"/>
      <c r="S180" s="32">
        <f t="shared" si="63"/>
        <v>1</v>
      </c>
      <c r="T180" s="47" t="str">
        <f t="shared" si="53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12:37:10-700',mode:absolute,to:'2017-01-09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0" s="49" t="str">
        <f t="shared" si="55"/>
        <v>N</v>
      </c>
      <c r="X180" s="173">
        <f t="shared" si="67"/>
        <v>1</v>
      </c>
      <c r="Y180" s="64">
        <f t="shared" si="56"/>
        <v>5.8643000000000001</v>
      </c>
      <c r="Z180" s="64">
        <f t="shared" si="57"/>
        <v>6.8900000000000003E-2</v>
      </c>
      <c r="AA180" s="64">
        <f t="shared" si="58"/>
        <v>5.7953999999999999</v>
      </c>
      <c r="AB180" s="61" t="e">
        <f>VLOOKUP(A180,Enforcements!$C$7:$K$17,8,0)</f>
        <v>#N/A</v>
      </c>
      <c r="AC180" s="57" t="e">
        <f>VLOOKUP(A180,Enforcements!$C$7:$E$17,3,0)</f>
        <v>#N/A</v>
      </c>
      <c r="AD180" s="58" t="str">
        <f t="shared" si="59"/>
        <v>0822-09</v>
      </c>
      <c r="AE180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0" s="84" t="str">
        <f t="shared" si="61"/>
        <v>"C:\Program Files (x86)\AstroGrep\AstroGrep.exe" /spath="%USERPROFILE%\AppData\Local\Temp\OnboardLogs" /stypes="app*4013*20170109*" /stext=" 20:.+((SYSTEM_STATE.+slice.+state.+changed )|(ment ac)|(multiple cpu faults)|(system.+state.+changed )|(\[timeout)|(PRM\|1\|D)|(kpr)|(kdp)|(\|lc)|(penalty))" /e /r /s</v>
      </c>
      <c r="AG180" s="1" t="str">
        <f t="shared" si="62"/>
        <v>NW</v>
      </c>
      <c r="AH180" s="88" t="str">
        <f t="shared" si="48"/>
        <v>"%USERPROFILE%\Documents\GitHub\eaglep3\Utilities\RefineRTDCRunTimes.py" --tripid 822-09 --locoid 4013 --swversion DE.1.0.8.0 --startMP 300:58643 --initTime 2017-01-09T13:37:10 --startdatetime 2017-01-09T13:39:26 --delay 1 --endMP 204:689 --enddatetime 2017-01-09T13:55:50 --enforcementcount 0 &gt;&gt;C:\Users\stu\Documents\GitHub\eaglep3-reporting\EC\2017-01-09-refined-times.txt</v>
      </c>
      <c r="AI18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{"issue":{"subject":"","project_id":79,"tracker_id":40,"status_id":1,"priority_id":2,"assigned_to_id":23,"start_date":"2017-01-09","description":"","custom_fields":[{"id":1,"name":"Subdivision","value":"NW"},{"id":4,"name":"Milepost","value":"0.0689"},{"id":17,"name":"Train ID","value":"822-09"},{"id":16,"name":"Locomotive ID","value":"4013"},{"id":130,"name":"Impact","value":""},{"id":150,"name":"Time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0"/>
        <v>start /low /b %USERPROFILE%\Documents\GitHub\eaglep3\Utilities\DownloadLogsFromS3.py --loco 4013 --day 2017-01-09</v>
      </c>
    </row>
    <row r="181" spans="1:91" x14ac:dyDescent="0.25">
      <c r="A181" s="34" t="s">
        <v>568</v>
      </c>
      <c r="B181" s="7">
        <v>4014</v>
      </c>
      <c r="C181" s="22" t="s">
        <v>203</v>
      </c>
      <c r="D181" s="22" t="s">
        <v>784</v>
      </c>
      <c r="E181" s="13">
        <v>42744.594178240739</v>
      </c>
      <c r="F181" s="13">
        <v>42744.59815972222</v>
      </c>
      <c r="G181" s="7">
        <v>1</v>
      </c>
      <c r="H181" s="22" t="s">
        <v>276</v>
      </c>
      <c r="I181" s="13">
        <v>42744.608194444445</v>
      </c>
      <c r="J181" s="7">
        <v>0</v>
      </c>
      <c r="K181" s="105" t="str">
        <f t="shared" si="51"/>
        <v>4013/4014</v>
      </c>
      <c r="L181" s="22" t="str">
        <f>VLOOKUP(A181,'Trips&amp;Operators'!$C$1:$G$99999,5,FALSE)</f>
        <v>SIMMONS SHYHESHA</v>
      </c>
      <c r="M181" s="6">
        <f t="shared" si="52"/>
        <v>1.0034722225100268E-2</v>
      </c>
      <c r="N181" s="7">
        <f t="shared" si="75"/>
        <v>14.450000004144385</v>
      </c>
      <c r="O181" s="7"/>
      <c r="P181" s="7"/>
      <c r="Q181" s="23"/>
      <c r="R181" s="23"/>
      <c r="S181" s="32">
        <f t="shared" ref="S181:S212" si="76">SUM(U181:U181)/IF(AG181="EC",12,1)</f>
        <v>1</v>
      </c>
      <c r="T181" s="47" t="str">
        <f t="shared" si="53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13:15:37-700',mode:absolute,to:'2017-01-09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1" s="49" t="str">
        <f t="shared" si="55"/>
        <v>N</v>
      </c>
      <c r="X181" s="173">
        <f t="shared" si="67"/>
        <v>1</v>
      </c>
      <c r="Y181" s="64">
        <f t="shared" si="56"/>
        <v>9.8100000000000007E-2</v>
      </c>
      <c r="Z181" s="64">
        <f t="shared" si="57"/>
        <v>5.8930999999999996</v>
      </c>
      <c r="AA181" s="64">
        <f t="shared" si="58"/>
        <v>5.7949999999999999</v>
      </c>
      <c r="AB181" s="61" t="e">
        <f>VLOOKUP(A181,Enforcements!$C$7:$K$17,8,0)</f>
        <v>#N/A</v>
      </c>
      <c r="AC181" s="57" t="e">
        <f>VLOOKUP(A181,Enforcements!$C$7:$E$17,3,0)</f>
        <v>#N/A</v>
      </c>
      <c r="AD181" s="58" t="str">
        <f t="shared" si="59"/>
        <v>0823-09</v>
      </c>
      <c r="AE18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81" s="84" t="str">
        <f t="shared" si="61"/>
        <v>"C:\Program Files (x86)\AstroGrep\AstroGrep.exe" /spath="%USERPROFILE%\AppData\Local\Temp\OnboardLogs" /stypes="app*4014*20170109*" /stext=" 21:.+((SYSTEM_STATE.+slice.+state.+changed )|(ment ac)|(multiple cpu faults)|(system.+state.+changed )|(\[timeout)|(PRM\|1\|D)|(kpr)|(kdp)|(\|lc)|(penalty))" /e /r /s</v>
      </c>
      <c r="AG181" s="1" t="str">
        <f t="shared" si="62"/>
        <v>NW</v>
      </c>
      <c r="AH181" s="88" t="str">
        <f t="shared" si="48"/>
        <v>"%USERPROFILE%\Documents\GitHub\eaglep3\Utilities\RefineRTDCRunTimes.py" --tripid 823-09 --locoid 4014 --swversion DE.1.0.8.0 --startMP 204:981 --initTime 2017-01-09T14:15:37 --startdatetime 2017-01-09T14:21:21 --delay 1 --endMP 300:58931 --enddatetime 2017-01-09T14:35:48 --enforcementcount 0 &gt;&gt;C:\Users\stu\Documents\GitHub\eaglep3-reporting\EC\2017-01-09-refined-times.txt</v>
      </c>
      <c r="AI18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{"issue":{"subject":"","project_id":79,"tracker_id":40,"status_id":1,"priority_id":2,"assigned_to_id":23,"start_date":"2017-01-09","description":"","custom_fields":[{"id":1,"name":"Subdivision","value":"NW"},{"id":4,"name":"Milepost","value":"5.8931"},{"id":17,"name":"Train ID","value":"823-09"},{"id":16,"name":"Locomotive ID","value":"4014"},{"id":130,"name":"Impact","value":""},{"id":150,"name":"Time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0"/>
        <v>start /low /b %USERPROFILE%\Documents\GitHub\eaglep3\Utilities\DownloadLogsFromS3.py --loco 4014 --day 2017-01-09</v>
      </c>
    </row>
    <row r="182" spans="1:91" x14ac:dyDescent="0.25">
      <c r="A182" s="34" t="s">
        <v>570</v>
      </c>
      <c r="B182" s="7">
        <v>4013</v>
      </c>
      <c r="C182" s="22" t="s">
        <v>203</v>
      </c>
      <c r="D182" s="22" t="s">
        <v>402</v>
      </c>
      <c r="E182" s="13">
        <v>42744.609351851854</v>
      </c>
      <c r="F182" s="13">
        <v>42744.610856481479</v>
      </c>
      <c r="G182" s="7">
        <v>1</v>
      </c>
      <c r="H182" s="22" t="s">
        <v>783</v>
      </c>
      <c r="I182" s="13">
        <v>42744.622013888889</v>
      </c>
      <c r="J182" s="7">
        <v>0</v>
      </c>
      <c r="K182" s="105" t="str">
        <f t="shared" si="51"/>
        <v>4013/4014</v>
      </c>
      <c r="L182" s="22" t="str">
        <f>VLOOKUP(A182,'Trips&amp;Operators'!$C$1:$G$99999,5,FALSE)</f>
        <v>SIMMONS SHYHESHA</v>
      </c>
      <c r="M182" s="6">
        <f t="shared" si="52"/>
        <v>1.1157407410792075E-2</v>
      </c>
      <c r="N182" s="7">
        <f t="shared" si="75"/>
        <v>16.066666671540588</v>
      </c>
      <c r="O182" s="7"/>
      <c r="P182" s="7"/>
      <c r="Q182" s="23"/>
      <c r="R182" s="23"/>
      <c r="S182" s="32">
        <f t="shared" si="76"/>
        <v>1</v>
      </c>
      <c r="T182" s="47" t="str">
        <f t="shared" si="53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13:37:28-700',mode:absolute,to:'2017-01-09 15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2" s="49" t="str">
        <f t="shared" si="55"/>
        <v>N</v>
      </c>
      <c r="X182" s="173">
        <f t="shared" si="67"/>
        <v>1</v>
      </c>
      <c r="Y182" s="64">
        <f t="shared" si="56"/>
        <v>5.8620999999999999</v>
      </c>
      <c r="Z182" s="64">
        <f t="shared" si="57"/>
        <v>6.8900000000000003E-2</v>
      </c>
      <c r="AA182" s="64">
        <f t="shared" si="58"/>
        <v>5.7931999999999997</v>
      </c>
      <c r="AB182" s="61" t="e">
        <f>VLOOKUP(A182,Enforcements!$C$7:$K$17,8,0)</f>
        <v>#N/A</v>
      </c>
      <c r="AC182" s="57" t="e">
        <f>VLOOKUP(A182,Enforcements!$C$7:$E$17,3,0)</f>
        <v>#N/A</v>
      </c>
      <c r="AD182" s="58" t="str">
        <f t="shared" si="59"/>
        <v>0824-09</v>
      </c>
      <c r="AE18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2" s="84" t="str">
        <f t="shared" si="61"/>
        <v>"C:\Program Files (x86)\AstroGrep\AstroGrep.exe" /spath="%USERPROFILE%\AppData\Local\Temp\OnboardLogs" /stypes="app*4013*20170109*" /stext=" 21:.+((SYSTEM_STATE.+slice.+state.+changed )|(ment ac)|(multiple cpu faults)|(system.+state.+changed )|(\[timeout)|(PRM\|1\|D)|(kpr)|(kdp)|(\|lc)|(penalty))" /e /r /s</v>
      </c>
      <c r="AG182" s="1" t="str">
        <f t="shared" si="62"/>
        <v>NW</v>
      </c>
      <c r="AH182" s="88" t="str">
        <f t="shared" si="48"/>
        <v>"%USERPROFILE%\Documents\GitHub\eaglep3\Utilities\RefineRTDCRunTimes.py" --tripid 824-09 --locoid 4013 --swversion DE.1.0.8.0 --startMP 300:58621 --initTime 2017-01-09T14:37:28 --startdatetime 2017-01-09T14:39:38 --delay 1 --endMP 204:689 --enddatetime 2017-01-09T14:55:42 --enforcementcount 0 &gt;&gt;C:\Users\stu\Documents\GitHub\eaglep3-reporting\EC\2017-01-09-refined-times.txt</v>
      </c>
      <c r="AI18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{"issue":{"subject":"","project_id":79,"tracker_id":40,"status_id":1,"priority_id":2,"assigned_to_id":23,"start_date":"2017-01-09","description":"","custom_fields":[{"id":1,"name":"Subdivision","value":"NW"},{"id":4,"name":"Milepost","value":"0.0689"},{"id":17,"name":"Train ID","value":"824-09"},{"id":16,"name":"Locomotive ID","value":"4013"},{"id":130,"name":"Impact","value":""},{"id":150,"name":"Time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0"/>
        <v>start /low /b %USERPROFILE%\Documents\GitHub\eaglep3\Utilities\DownloadLogsFromS3.py --loco 4013 --day 2017-01-09</v>
      </c>
    </row>
    <row r="183" spans="1:91" x14ac:dyDescent="0.25">
      <c r="A183" s="34" t="s">
        <v>573</v>
      </c>
      <c r="B183" s="7">
        <v>4014</v>
      </c>
      <c r="C183" s="22" t="s">
        <v>203</v>
      </c>
      <c r="D183" s="22" t="s">
        <v>755</v>
      </c>
      <c r="E183" s="13">
        <v>42744.633217592593</v>
      </c>
      <c r="F183" s="13">
        <v>42744.639826388891</v>
      </c>
      <c r="G183" s="7">
        <v>2</v>
      </c>
      <c r="H183" s="22" t="s">
        <v>352</v>
      </c>
      <c r="I183" s="13">
        <v>42744.651006944441</v>
      </c>
      <c r="J183" s="7">
        <v>0</v>
      </c>
      <c r="K183" s="105" t="str">
        <f t="shared" si="51"/>
        <v>4013/4014</v>
      </c>
      <c r="L183" s="22" t="str">
        <f>VLOOKUP(A183,'Trips&amp;Operators'!$C$1:$G$99999,5,FALSE)</f>
        <v>SIMMONS SHYHESHA</v>
      </c>
      <c r="M183" s="6">
        <f t="shared" si="52"/>
        <v>1.1180555549799465E-2</v>
      </c>
      <c r="N183" s="7">
        <f t="shared" si="75"/>
        <v>16.099999991711229</v>
      </c>
      <c r="O183" s="7"/>
      <c r="P183" s="7"/>
      <c r="Q183" s="23"/>
      <c r="R183" s="23"/>
      <c r="S183" s="32">
        <f t="shared" si="76"/>
        <v>1</v>
      </c>
      <c r="T183" s="47" t="str">
        <f t="shared" si="53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14:11:50-700',mode:absolute,to:'2017-01-09 16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3" s="49" t="str">
        <f t="shared" si="55"/>
        <v>N</v>
      </c>
      <c r="X183" s="173">
        <f t="shared" si="67"/>
        <v>1</v>
      </c>
      <c r="Y183" s="64">
        <f t="shared" si="56"/>
        <v>9.7199999999999995E-2</v>
      </c>
      <c r="Z183" s="64">
        <f t="shared" si="57"/>
        <v>5.8935000000000004</v>
      </c>
      <c r="AA183" s="64">
        <f t="shared" si="58"/>
        <v>5.7963000000000005</v>
      </c>
      <c r="AB183" s="61" t="e">
        <f>VLOOKUP(A183,Enforcements!$C$7:$K$17,8,0)</f>
        <v>#N/A</v>
      </c>
      <c r="AC183" s="57" t="e">
        <f>VLOOKUP(A183,Enforcements!$C$7:$E$17,3,0)</f>
        <v>#N/A</v>
      </c>
      <c r="AD183" s="58" t="str">
        <f t="shared" si="59"/>
        <v>0825-09</v>
      </c>
      <c r="AE183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83" s="84" t="str">
        <f t="shared" si="61"/>
        <v>"C:\Program Files (x86)\AstroGrep\AstroGrep.exe" /spath="%USERPROFILE%\AppData\Local\Temp\OnboardLogs" /stypes="app*4014*20170109*" /stext=" 22:.+((SYSTEM_STATE.+slice.+state.+changed )|(ment ac)|(multiple cpu faults)|(system.+state.+changed )|(\[timeout)|(PRM\|1\|D)|(kpr)|(kdp)|(\|lc)|(penalty))" /e /r /s</v>
      </c>
      <c r="AG183" s="1" t="str">
        <f t="shared" si="62"/>
        <v>NW</v>
      </c>
      <c r="AH183" s="88" t="str">
        <f t="shared" si="48"/>
        <v>"%USERPROFILE%\Documents\GitHub\eaglep3\Utilities\RefineRTDCRunTimes.py" --tripid 825-09 --locoid 4014 --swversion DE.1.0.8.0 --startMP 204:972 --initTime 2017-01-09T15:11:50 --startdatetime 2017-01-09T15:21:21 --delay 2 --endMP 300:58935 --enddatetime 2017-01-09T15:37:27 --enforcementcount 0 &gt;&gt;C:\Users\stu\Documents\GitHub\eaglep3-reporting\EC\2017-01-09-refined-times.txt</v>
      </c>
      <c r="AI18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ID","value":"825-09"},{"id":16,"name":"Locomotive ID","value":"4014"},{"id":130,"name":"Impact","value":""},{"id":150,"name":"Time of Event (Mountain Time)","value":"15:37:27"},{"id":151,"name":"Denver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0"/>
        <v>start /low /b %USERPROFILE%\Documents\GitHub\eaglep3\Utilities\DownloadLogsFromS3.py --loco 4014 --day 2017-01-09</v>
      </c>
    </row>
    <row r="184" spans="1:91" x14ac:dyDescent="0.25">
      <c r="A184" s="34" t="s">
        <v>577</v>
      </c>
      <c r="B184" s="7">
        <v>4013</v>
      </c>
      <c r="C184" s="22" t="s">
        <v>203</v>
      </c>
      <c r="D184" s="22" t="s">
        <v>785</v>
      </c>
      <c r="E184" s="13">
        <v>42744.652106481481</v>
      </c>
      <c r="F184" s="13">
        <v>42744.653148148151</v>
      </c>
      <c r="G184" s="7">
        <v>0</v>
      </c>
      <c r="H184" s="22" t="s">
        <v>353</v>
      </c>
      <c r="I184" s="13">
        <v>42744.664131944446</v>
      </c>
      <c r="J184" s="7">
        <v>0</v>
      </c>
      <c r="K184" s="105" t="str">
        <f t="shared" si="51"/>
        <v>4013/4014</v>
      </c>
      <c r="L184" s="22" t="str">
        <f>VLOOKUP(A184,'Trips&amp;Operators'!$C$1:$G$99999,5,FALSE)</f>
        <v>SIMMONS SHYHESHA</v>
      </c>
      <c r="M184" s="6">
        <f t="shared" si="52"/>
        <v>1.0983796295477077E-2</v>
      </c>
      <c r="N184" s="7">
        <f t="shared" si="75"/>
        <v>15.816666665486991</v>
      </c>
      <c r="O184" s="7"/>
      <c r="P184" s="7"/>
      <c r="Q184" s="23"/>
      <c r="R184" s="23"/>
      <c r="S184" s="32">
        <f t="shared" si="76"/>
        <v>1</v>
      </c>
      <c r="T184" s="47" t="str">
        <f t="shared" si="53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14:39:02-700',mode:absolute,to:'2017-01-09 16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4" s="49" t="str">
        <f t="shared" si="55"/>
        <v>N</v>
      </c>
      <c r="X184" s="173">
        <f t="shared" si="67"/>
        <v>1</v>
      </c>
      <c r="Y184" s="64">
        <f t="shared" si="56"/>
        <v>5.8615000000000004</v>
      </c>
      <c r="Z184" s="64">
        <f t="shared" si="57"/>
        <v>6.7500000000000004E-2</v>
      </c>
      <c r="AA184" s="64">
        <f t="shared" si="58"/>
        <v>5.7940000000000005</v>
      </c>
      <c r="AB184" s="61" t="e">
        <f>VLOOKUP(A184,Enforcements!$C$7:$K$17,8,0)</f>
        <v>#N/A</v>
      </c>
      <c r="AC184" s="57" t="e">
        <f>VLOOKUP(A184,Enforcements!$C$7:$E$17,3,0)</f>
        <v>#N/A</v>
      </c>
      <c r="AD184" s="58" t="str">
        <f t="shared" si="59"/>
        <v>0826-09</v>
      </c>
      <c r="AE184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4" s="84" t="str">
        <f t="shared" si="61"/>
        <v>"C:\Program Files (x86)\AstroGrep\AstroGrep.exe" /spath="%USERPROFILE%\AppData\Local\Temp\OnboardLogs" /stypes="app*4013*20170109*" /stext=" 22:.+((SYSTEM_STATE.+slice.+state.+changed )|(ment ac)|(multiple cpu faults)|(system.+state.+changed )|(\[timeout)|(PRM\|1\|D)|(kpr)|(kdp)|(\|lc)|(penalty))" /e /r /s</v>
      </c>
      <c r="AG184" s="1" t="str">
        <f t="shared" si="62"/>
        <v>NW</v>
      </c>
      <c r="AH184" s="88" t="str">
        <f t="shared" si="48"/>
        <v>"%USERPROFILE%\Documents\GitHub\eaglep3\Utilities\RefineRTDCRunTimes.py" --tripid 826-09 --locoid 4013 --swversion DE.1.0.8.0 --startMP 300:58615 --initTime 2017-01-09T15:39:02 --startdatetime 2017-01-09T15:40:32 --delay 0 --endMP 204:675 --enddatetime 2017-01-09T15:56:21 --enforcementcount 0 &gt;&gt;C:\Users\stu\Documents\GitHub\eaglep3-reporting\EC\2017-01-09-refined-times.txt</v>
      </c>
      <c r="AI18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{"issue":{"subject":"","project_id":79,"tracker_id":40,"status_id":1,"priority_id":2,"assigned_to_id":23,"start_date":"2017-01-09","description":"","custom_fields":[{"id":1,"name":"Subdivision","value":"NW"},{"id":4,"name":"Milepost","value":"0.0675"},{"id":17,"name":"Train ID","value":"826-09"},{"id":16,"name":"Locomotive ID","value":"4013"},{"id":130,"name":"Impact","value":""},{"id":150,"name":"Time of Event (Mountain Time)","value":"15:56:21"},{"id":151,"name":"Denver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0"/>
        <v>start /low /b %USERPROFILE%\Documents\GitHub\eaglep3\Utilities\DownloadLogsFromS3.py --loco 4013 --day 2017-01-09</v>
      </c>
    </row>
    <row r="185" spans="1:91" x14ac:dyDescent="0.25">
      <c r="A185" s="34" t="s">
        <v>447</v>
      </c>
      <c r="B185" s="7">
        <v>4029</v>
      </c>
      <c r="C185" s="22" t="s">
        <v>203</v>
      </c>
      <c r="D185" s="22" t="s">
        <v>786</v>
      </c>
      <c r="E185" s="13">
        <v>42744.650601851848</v>
      </c>
      <c r="F185" s="13">
        <v>42744.660578703704</v>
      </c>
      <c r="G185" s="7">
        <v>1</v>
      </c>
      <c r="H185" s="22" t="s">
        <v>787</v>
      </c>
      <c r="I185" s="13">
        <v>42744.670208333337</v>
      </c>
      <c r="J185" s="7">
        <v>0</v>
      </c>
      <c r="K185" s="105" t="str">
        <f t="shared" si="51"/>
        <v>4029/4030</v>
      </c>
      <c r="L185" s="22" t="str">
        <f>VLOOKUP(A185,'Trips&amp;Operators'!$C$1:$G$99999,5,FALSE)</f>
        <v>NEWELL JAMES</v>
      </c>
      <c r="M185" s="6">
        <f t="shared" si="52"/>
        <v>9.6296296323998831E-3</v>
      </c>
      <c r="N185" s="7">
        <f t="shared" si="75"/>
        <v>13.866666670655832</v>
      </c>
      <c r="O185" s="7"/>
      <c r="P185" s="7"/>
      <c r="Q185" s="23"/>
      <c r="R185" s="23"/>
      <c r="S185" s="32">
        <f t="shared" si="76"/>
        <v>1</v>
      </c>
      <c r="T185" s="47" t="str">
        <f t="shared" si="53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14:36:52-700',mode:absolute,to:'2017-01-09 17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5" s="49" t="str">
        <f t="shared" si="55"/>
        <v>N</v>
      </c>
      <c r="X185" s="173">
        <f t="shared" si="67"/>
        <v>1</v>
      </c>
      <c r="Y185" s="64">
        <f t="shared" si="56"/>
        <v>9.3600000000000003E-2</v>
      </c>
      <c r="Z185" s="64">
        <f t="shared" si="57"/>
        <v>5.8916000000000004</v>
      </c>
      <c r="AA185" s="64">
        <f t="shared" si="58"/>
        <v>5.798</v>
      </c>
      <c r="AB185" s="61" t="e">
        <f>VLOOKUP(A185,Enforcements!$C$7:$K$17,8,0)</f>
        <v>#N/A</v>
      </c>
      <c r="AC185" s="57" t="e">
        <f>VLOOKUP(A185,Enforcements!$C$7:$E$17,3,0)</f>
        <v>#N/A</v>
      </c>
      <c r="AD185" s="58" t="str">
        <f t="shared" si="59"/>
        <v>0827-09</v>
      </c>
      <c r="AE185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85" s="84" t="str">
        <f t="shared" si="61"/>
        <v>"C:\Program Files (x86)\AstroGrep\AstroGrep.exe" /spath="%USERPROFILE%\AppData\Local\Temp\OnboardLogs" /stypes="app*4029*20170109*" /stext=" 23:.+((SYSTEM_STATE.+slice.+state.+changed )|(ment ac)|(multiple cpu faults)|(system.+state.+changed )|(\[timeout)|(PRM\|1\|D)|(kpr)|(kdp)|(\|lc)|(penalty))" /e /r /s</v>
      </c>
      <c r="AG185" s="1" t="str">
        <f t="shared" si="62"/>
        <v>NW</v>
      </c>
      <c r="AH185" s="88" t="str">
        <f t="shared" si="48"/>
        <v>"%USERPROFILE%\Documents\GitHub\eaglep3\Utilities\RefineRTDCRunTimes.py" --tripid 827-09 --locoid 4029 --swversion DE.1.0.8.0 --startMP 204:936 --initTime 2017-01-09T15:36:52 --startdatetime 2017-01-09T15:51:14 --delay 1 --endMP 300:58916 --enddatetime 2017-01-09T16:05:06 --enforcementcount 0 &gt;&gt;C:\Users\stu\Documents\GitHub\eaglep3-reporting\EC\2017-01-09-refined-times.txt</v>
      </c>
      <c r="AI18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{"issue":{"subject":"","project_id":79,"tracker_id":40,"status_id":1,"priority_id":2,"assigned_to_id":23,"start_date":"2017-01-09","description":"","custom_fields":[{"id":1,"name":"Subdivision","value":"NW"},{"id":4,"name":"Milepost","value":"5.8916"},{"id":17,"name":"Train ID","value":"827-09"},{"id":16,"name":"Locomotive ID","value":"4029"},{"id":130,"name":"Impact","value":""},{"id":150,"name":"Time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0"/>
        <v>start /low /b %USERPROFILE%\Documents\GitHub\eaglep3\Utilities\DownloadLogsFromS3.py --loco 4029 --day 2017-01-09</v>
      </c>
    </row>
    <row r="186" spans="1:91" s="21" customFormat="1" x14ac:dyDescent="0.25">
      <c r="A186" s="34" t="s">
        <v>582</v>
      </c>
      <c r="B186" s="7">
        <v>4030</v>
      </c>
      <c r="C186" s="22" t="s">
        <v>203</v>
      </c>
      <c r="D186" s="22" t="s">
        <v>788</v>
      </c>
      <c r="E186" s="13">
        <v>42744.671701388892</v>
      </c>
      <c r="F186" s="13">
        <v>42744.672939814816</v>
      </c>
      <c r="G186" s="7">
        <v>1</v>
      </c>
      <c r="H186" s="22" t="s">
        <v>767</v>
      </c>
      <c r="I186" s="13">
        <v>42744.684710648151</v>
      </c>
      <c r="J186" s="7">
        <v>0</v>
      </c>
      <c r="K186" s="105" t="str">
        <f t="shared" si="51"/>
        <v>4029/4030</v>
      </c>
      <c r="L186" s="22" t="str">
        <f>VLOOKUP(A186,'Trips&amp;Operators'!$C$1:$G$99999,5,FALSE)</f>
        <v>NEWELL JAMES</v>
      </c>
      <c r="M186" s="6">
        <f t="shared" si="52"/>
        <v>1.1770833334594499E-2</v>
      </c>
      <c r="N186" s="7">
        <f t="shared" si="75"/>
        <v>16.950000001816079</v>
      </c>
      <c r="O186" s="7"/>
      <c r="P186" s="7"/>
      <c r="Q186" s="23"/>
      <c r="R186" s="23"/>
      <c r="S186" s="32">
        <f t="shared" si="76"/>
        <v>1</v>
      </c>
      <c r="T186" s="47" t="str">
        <f t="shared" si="53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15:07:15-700',mode:absolute,to:'2017-01-09 17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6" s="49" t="str">
        <f t="shared" si="55"/>
        <v>N</v>
      </c>
      <c r="X186" s="173">
        <f t="shared" si="67"/>
        <v>1</v>
      </c>
      <c r="Y186" s="64">
        <f t="shared" si="56"/>
        <v>5.8604000000000003</v>
      </c>
      <c r="Z186" s="64">
        <f t="shared" si="57"/>
        <v>6.7000000000000004E-2</v>
      </c>
      <c r="AA186" s="64">
        <f t="shared" si="58"/>
        <v>5.7934000000000001</v>
      </c>
      <c r="AB186" s="61" t="e">
        <f>VLOOKUP(A186,Enforcements!$C$7:$K$17,8,0)</f>
        <v>#N/A</v>
      </c>
      <c r="AC186" s="57" t="e">
        <f>VLOOKUP(A186,Enforcements!$C$7:$E$17,3,0)</f>
        <v>#N/A</v>
      </c>
      <c r="AD186" s="58" t="str">
        <f t="shared" si="59"/>
        <v>0828-09</v>
      </c>
      <c r="AE186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86" s="84" t="str">
        <f t="shared" si="61"/>
        <v>"C:\Program Files (x86)\AstroGrep\AstroGrep.exe" /spath="%USERPROFILE%\AppData\Local\Temp\OnboardLogs" /stypes="app*4030*20170109*" /stext=" 23:.+((SYSTEM_STATE.+slice.+state.+changed )|(ment ac)|(multiple cpu faults)|(system.+state.+changed )|(\[timeout)|(PRM\|1\|D)|(kpr)|(kdp)|(\|lc)|(penalty))" /e /r /s</v>
      </c>
      <c r="AG186" s="1" t="str">
        <f t="shared" si="62"/>
        <v>NW</v>
      </c>
      <c r="AH186" s="88" t="str">
        <f t="shared" si="48"/>
        <v>"%USERPROFILE%\Documents\GitHub\eaglep3\Utilities\RefineRTDCRunTimes.py" --tripid 828-09 --locoid 4030 --swversion DE.1.0.8.0 --startMP 300:58604 --initTime 2017-01-09T16:07:15 --startdatetime 2017-01-09T16:09:02 --delay 1 --endMP 204:670 --enddatetime 2017-01-09T16:25:59 --enforcementcount 0 &gt;&gt;C:\Users\stu\Documents\GitHub\eaglep3-reporting\EC\2017-01-09-refined-times.txt</v>
      </c>
      <c r="AI186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{"issue":{"subject":"","project_id":79,"tracker_id":40,"status_id":1,"priority_id":2,"assigned_to_id":23,"start_date":"2017-01-09","description":"","custom_fields":[{"id":1,"name":"Subdivision","value":"NW"},{"id":4,"name":"Milepost","value":"0.067"},{"id":17,"name":"Train ID","value":"828-09"},{"id":16,"name":"Locomotive ID","value":"4030"},{"id":130,"name":"Impact","value":""},{"id":150,"name":"Time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0"/>
        <v>start /low /b %USERPROFILE%\Documents\GitHub\eaglep3\Utilities\DownloadLogsFromS3.py --loco 4030 --day 2017-01-09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585</v>
      </c>
      <c r="B187" s="7">
        <v>4014</v>
      </c>
      <c r="C187" s="22" t="s">
        <v>203</v>
      </c>
      <c r="D187" s="22" t="s">
        <v>776</v>
      </c>
      <c r="E187" s="13">
        <v>42744.679050925923</v>
      </c>
      <c r="F187" s="13">
        <v>42744.681469907409</v>
      </c>
      <c r="G187" s="7">
        <v>1</v>
      </c>
      <c r="H187" s="22" t="s">
        <v>352</v>
      </c>
      <c r="I187" s="13">
        <v>42744.69121527778</v>
      </c>
      <c r="J187" s="7">
        <v>0</v>
      </c>
      <c r="K187" s="105" t="str">
        <f t="shared" si="51"/>
        <v>4013/4014</v>
      </c>
      <c r="L187" s="22" t="str">
        <f>VLOOKUP(A187,'Trips&amp;Operators'!$C$1:$G$99999,5,FALSE)</f>
        <v>SIMMONS SHYHESHA</v>
      </c>
      <c r="M187" s="6">
        <f t="shared" si="52"/>
        <v>9.7453703710925765E-3</v>
      </c>
      <c r="N187" s="7">
        <f t="shared" si="75"/>
        <v>14.03333333437331</v>
      </c>
      <c r="O187" s="7"/>
      <c r="P187" s="7"/>
      <c r="Q187" s="23"/>
      <c r="R187" s="23"/>
      <c r="S187" s="32">
        <f t="shared" si="76"/>
        <v>1</v>
      </c>
      <c r="T187" s="47" t="str">
        <f t="shared" si="53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15:17:50-700',mode:absolute,to:'2017-01-09 17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7" s="49" t="str">
        <f t="shared" si="55"/>
        <v>N</v>
      </c>
      <c r="X187" s="173">
        <f t="shared" si="67"/>
        <v>1</v>
      </c>
      <c r="Y187" s="64">
        <f t="shared" si="56"/>
        <v>9.69E-2</v>
      </c>
      <c r="Z187" s="64">
        <f t="shared" si="57"/>
        <v>5.8935000000000004</v>
      </c>
      <c r="AA187" s="64">
        <f t="shared" si="58"/>
        <v>5.7966000000000006</v>
      </c>
      <c r="AB187" s="61" t="e">
        <f>VLOOKUP(A187,Enforcements!$C$7:$K$17,8,0)</f>
        <v>#N/A</v>
      </c>
      <c r="AC187" s="57" t="e">
        <f>VLOOKUP(A187,Enforcements!$C$7:$E$17,3,0)</f>
        <v>#N/A</v>
      </c>
      <c r="AD187" s="58" t="str">
        <f t="shared" si="59"/>
        <v>0829-09</v>
      </c>
      <c r="AE187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87" s="84" t="str">
        <f t="shared" si="61"/>
        <v>"C:\Program Files (x86)\AstroGrep\AstroGrep.exe" /spath="%USERPROFILE%\AppData\Local\Temp\OnboardLogs" /stypes="app*4014*20170109*" /stext=" 23:.+((SYSTEM_STATE.+slice.+state.+changed )|(ment ac)|(multiple cpu faults)|(system.+state.+changed )|(\[timeout)|(PRM\|1\|D)|(kpr)|(kdp)|(\|lc)|(penalty))" /e /r /s</v>
      </c>
      <c r="AG187" s="1" t="str">
        <f t="shared" si="62"/>
        <v>NW</v>
      </c>
      <c r="AH187" s="88" t="str">
        <f t="shared" si="48"/>
        <v>"%USERPROFILE%\Documents\GitHub\eaglep3\Utilities\RefineRTDCRunTimes.py" --tripid 829-09 --locoid 4014 --swversion DE.1.0.8.0 --startMP 204:969 --initTime 2017-01-09T16:17:50 --startdatetime 2017-01-09T16:21:19 --delay 1 --endMP 300:58935 --enddatetime 2017-01-09T16:35:21 --enforcementcount 0 &gt;&gt;C:\Users\stu\Documents\GitHub\eaglep3-reporting\EC\2017-01-09-refined-times.txt</v>
      </c>
      <c r="AI18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ID","value":"829-09"},{"id":16,"name":"Locomotive ID","value":"4014"},{"id":130,"name":"Impact","value":""},{"id":150,"name":"Time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0"/>
        <v>start /low /b %USERPROFILE%\Documents\GitHub\eaglep3\Utilities\DownloadLogsFromS3.py --loco 4014 --day 2017-01-09</v>
      </c>
    </row>
    <row r="188" spans="1:91" s="21" customFormat="1" x14ac:dyDescent="0.25">
      <c r="A188" s="34" t="s">
        <v>589</v>
      </c>
      <c r="B188" s="7">
        <v>4013</v>
      </c>
      <c r="C188" s="22" t="s">
        <v>203</v>
      </c>
      <c r="D188" s="22" t="s">
        <v>354</v>
      </c>
      <c r="E188" s="13">
        <v>42744.692557870374</v>
      </c>
      <c r="F188" s="13">
        <v>42744.693819444445</v>
      </c>
      <c r="G188" s="7">
        <v>1</v>
      </c>
      <c r="H188" s="22" t="s">
        <v>763</v>
      </c>
      <c r="I188" s="13">
        <v>42744.705717592595</v>
      </c>
      <c r="J188" s="7">
        <v>0</v>
      </c>
      <c r="K188" s="105" t="str">
        <f t="shared" si="51"/>
        <v>4013/4014</v>
      </c>
      <c r="L188" s="22" t="str">
        <f>VLOOKUP(A188,'Trips&amp;Operators'!$C$1:$G$99999,5,FALSE)</f>
        <v>SIMMONS SHYHESHA</v>
      </c>
      <c r="M188" s="6">
        <f t="shared" si="52"/>
        <v>1.1898148150066845E-2</v>
      </c>
      <c r="N188" s="7">
        <f t="shared" si="75"/>
        <v>17.133333336096257</v>
      </c>
      <c r="O188" s="7"/>
      <c r="P188" s="7"/>
      <c r="Q188" s="23"/>
      <c r="R188" s="23"/>
      <c r="S188" s="32">
        <f t="shared" si="76"/>
        <v>1</v>
      </c>
      <c r="T188" s="47" t="str">
        <f t="shared" si="53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15:37:17-700',mode:absolute,to:'2017-01-09 17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8" s="49" t="str">
        <f t="shared" si="55"/>
        <v>N</v>
      </c>
      <c r="X188" s="173">
        <f t="shared" si="67"/>
        <v>1</v>
      </c>
      <c r="Y188" s="64">
        <f t="shared" si="56"/>
        <v>5.8623000000000003</v>
      </c>
      <c r="Z188" s="64">
        <f t="shared" si="57"/>
        <v>6.7699999999999996E-2</v>
      </c>
      <c r="AA188" s="64">
        <f t="shared" si="58"/>
        <v>5.7946</v>
      </c>
      <c r="AB188" s="61" t="e">
        <f>VLOOKUP(A188,Enforcements!$C$7:$K$17,8,0)</f>
        <v>#N/A</v>
      </c>
      <c r="AC188" s="57" t="e">
        <f>VLOOKUP(A188,Enforcements!$C$7:$E$17,3,0)</f>
        <v>#N/A</v>
      </c>
      <c r="AD188" s="58" t="str">
        <f t="shared" si="59"/>
        <v>0830-09</v>
      </c>
      <c r="AE188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8" s="84" t="str">
        <f t="shared" si="61"/>
        <v>"C:\Program Files (x86)\AstroGrep\AstroGrep.exe" /spath="%USERPROFILE%\AppData\Local\Temp\OnboardLogs" /stypes="app*4013*20170109*" /stext=" 23:.+((SYSTEM_STATE.+slice.+state.+changed )|(ment ac)|(multiple cpu faults)|(system.+state.+changed )|(\[timeout)|(PRM\|1\|D)|(kpr)|(kdp)|(\|lc)|(penalty))" /e /r /s</v>
      </c>
      <c r="AG188" s="1" t="str">
        <f t="shared" si="62"/>
        <v>NW</v>
      </c>
      <c r="AH188" s="88" t="str">
        <f t="shared" si="48"/>
        <v>"%USERPROFILE%\Documents\GitHub\eaglep3\Utilities\RefineRTDCRunTimes.py" --tripid 830-09 --locoid 4013 --swversion DE.1.0.8.0 --startMP 300:58623 --initTime 2017-01-09T16:37:17 --startdatetime 2017-01-09T16:39:06 --delay 1 --endMP 204:677 --enddatetime 2017-01-09T16:56:14 --enforcementcount 0 &gt;&gt;C:\Users\stu\Documents\GitHub\eaglep3-reporting\EC\2017-01-09-refined-times.txt</v>
      </c>
      <c r="AI18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{"issue":{"subject":"","project_id":79,"tracker_id":40,"status_id":1,"priority_id":2,"assigned_to_id":23,"start_date":"2017-01-09","description":"","custom_fields":[{"id":1,"name":"Subdivision","value":"NW"},{"id":4,"name":"Milepost","value":"0.0677"},{"id":17,"name":"Train ID","value":"830-09"},{"id":16,"name":"Locomotive ID","value":"4013"},{"id":130,"name":"Impact","value":""},{"id":150,"name":"Time of Event (Mountain Time)","value":"16:56:14"},{"id":151,"name":"Denver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0"/>
        <v>start /low /b %USERPROFILE%\Documents\GitHub\eaglep3\Utilities\DownloadLogsFromS3.py --loco 4013 --day 2017-01-09</v>
      </c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587</v>
      </c>
      <c r="B189" s="7">
        <v>4029</v>
      </c>
      <c r="C189" s="22" t="s">
        <v>203</v>
      </c>
      <c r="D189" s="22" t="s">
        <v>789</v>
      </c>
      <c r="E189" s="13">
        <v>42744.686574074076</v>
      </c>
      <c r="F189" s="13">
        <v>42744.702372685184</v>
      </c>
      <c r="G189" s="7">
        <v>1</v>
      </c>
      <c r="H189" s="22" t="s">
        <v>773</v>
      </c>
      <c r="I189" s="13">
        <v>42744.712824074071</v>
      </c>
      <c r="J189" s="7">
        <v>0</v>
      </c>
      <c r="K189" s="105" t="str">
        <f t="shared" si="51"/>
        <v>4029/4030</v>
      </c>
      <c r="L189" s="22" t="str">
        <f>VLOOKUP(A189,'Trips&amp;Operators'!$C$1:$G$99999,5,FALSE)</f>
        <v>NEWELL JAMES</v>
      </c>
      <c r="M189" s="6">
        <f t="shared" si="52"/>
        <v>1.0451388887304347E-2</v>
      </c>
      <c r="N189" s="7">
        <f t="shared" si="75"/>
        <v>15.04999999771826</v>
      </c>
      <c r="O189" s="7"/>
      <c r="P189" s="7"/>
      <c r="Q189" s="23"/>
      <c r="R189" s="23"/>
      <c r="S189" s="32">
        <f t="shared" si="76"/>
        <v>1</v>
      </c>
      <c r="T189" s="47" t="str">
        <f t="shared" si="53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15:28:40-700',mode:absolute,to:'2017-01-09 18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9" s="49" t="str">
        <f t="shared" si="55"/>
        <v>N</v>
      </c>
      <c r="X189" s="173">
        <f t="shared" si="67"/>
        <v>1</v>
      </c>
      <c r="Y189" s="64">
        <f t="shared" si="56"/>
        <v>9.4600000000000004E-2</v>
      </c>
      <c r="Z189" s="64">
        <f t="shared" si="57"/>
        <v>5.8921999999999999</v>
      </c>
      <c r="AA189" s="64">
        <f t="shared" si="58"/>
        <v>5.7976000000000001</v>
      </c>
      <c r="AB189" s="61" t="e">
        <f>VLOOKUP(A189,Enforcements!$C$7:$K$17,8,0)</f>
        <v>#N/A</v>
      </c>
      <c r="AC189" s="57" t="e">
        <f>VLOOKUP(A189,Enforcements!$C$7:$E$17,3,0)</f>
        <v>#N/A</v>
      </c>
      <c r="AD189" s="58" t="str">
        <f t="shared" si="59"/>
        <v>0831-09</v>
      </c>
      <c r="AE189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89" s="84" t="str">
        <f t="shared" si="61"/>
        <v>"C:\Program Files (x86)\AstroGrep\AstroGrep.exe" /spath="%USERPROFILE%\AppData\Local\Temp\OnboardLogs" /stypes="app*4029*20170110*" /stext=" 00:.+((SYSTEM_STATE.+slice.+state.+changed )|(ment ac)|(multiple cpu faults)|(system.+state.+changed )|(\[timeout)|(PRM\|1\|D)|(kpr)|(kdp)|(\|lc)|(penalty))" /e /r /s</v>
      </c>
      <c r="AG189" s="1" t="str">
        <f t="shared" si="62"/>
        <v>NW</v>
      </c>
      <c r="AH189" s="88" t="str">
        <f t="shared" si="48"/>
        <v>"%USERPROFILE%\Documents\GitHub\eaglep3\Utilities\RefineRTDCRunTimes.py" --tripid 831-09 --locoid 4029 --swversion DE.1.0.8.0 --startMP 204:946 --initTime 2017-01-09T16:28:40 --startdatetime 2017-01-09T16:51:25 --delay 1 --endMP 300:58922 --enddatetime 2017-01-09T17:06:28 --enforcementcount 0 &gt;&gt;C:\Users\stu\Documents\GitHub\eaglep3-reporting\EC\2017-01-09-refined-times.txt</v>
      </c>
      <c r="AI18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{"issue":{"subject":"","project_id":79,"tracker_id":40,"status_id":1,"priority_id":2,"assigned_to_id":23,"start_date":"2017-01-09","description":"","custom_fields":[{"id":1,"name":"Subdivision","value":"NW"},{"id":4,"name":"Milepost","value":"5.8922"},{"id":17,"name":"Train ID","value":"831-09"},{"id":16,"name":"Locomotive ID","value":"4029"},{"id":130,"name":"Impact","value":""},{"id":150,"name":"Time of Event (Mountain Time)","value":"17:06:28"},{"id":151,"name":"Denver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0"/>
        <v>start /low /b %USERPROFILE%\Documents\GitHub\eaglep3\Utilities\DownloadLogsFromS3.py --loco 4029 --day 2017-01-09</v>
      </c>
    </row>
    <row r="190" spans="1:91" x14ac:dyDescent="0.25">
      <c r="A190" s="34" t="s">
        <v>594</v>
      </c>
      <c r="B190" s="7">
        <v>4030</v>
      </c>
      <c r="C190" s="22" t="s">
        <v>203</v>
      </c>
      <c r="D190" s="22" t="s">
        <v>790</v>
      </c>
      <c r="E190" s="13">
        <v>42744.71366898148</v>
      </c>
      <c r="F190" s="13">
        <v>42744.715011574073</v>
      </c>
      <c r="G190" s="7">
        <v>1</v>
      </c>
      <c r="H190" s="22" t="s">
        <v>791</v>
      </c>
      <c r="I190" s="13">
        <v>42744.725891203707</v>
      </c>
      <c r="J190" s="7">
        <v>0</v>
      </c>
      <c r="K190" s="105" t="str">
        <f t="shared" si="51"/>
        <v>4029/4030</v>
      </c>
      <c r="L190" s="22" t="str">
        <f>VLOOKUP(A190,'Trips&amp;Operators'!$C$1:$G$99999,5,FALSE)</f>
        <v>NEWELL JAMES</v>
      </c>
      <c r="M190" s="6">
        <f t="shared" si="52"/>
        <v>1.0879629633564036E-2</v>
      </c>
      <c r="N190" s="7">
        <f t="shared" si="75"/>
        <v>15.666666672332212</v>
      </c>
      <c r="O190" s="7"/>
      <c r="P190" s="7"/>
      <c r="Q190" s="23"/>
      <c r="R190" s="23"/>
      <c r="S190" s="32">
        <f t="shared" si="76"/>
        <v>1</v>
      </c>
      <c r="T190" s="47" t="str">
        <f t="shared" si="53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16:07:41-700',mode:absolute,to:'2017-01-09 18:25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49" t="str">
        <f t="shared" si="55"/>
        <v>N</v>
      </c>
      <c r="X190" s="173">
        <f t="shared" si="67"/>
        <v>1</v>
      </c>
      <c r="Y190" s="64">
        <f t="shared" si="56"/>
        <v>5.8601999999999999</v>
      </c>
      <c r="Z190" s="64">
        <f t="shared" si="57"/>
        <v>6.5199999999999994E-2</v>
      </c>
      <c r="AA190" s="64">
        <f t="shared" si="58"/>
        <v>5.7949999999999999</v>
      </c>
      <c r="AB190" s="61" t="e">
        <f>VLOOKUP(A190,Enforcements!$C$7:$K$17,8,0)</f>
        <v>#N/A</v>
      </c>
      <c r="AC190" s="57" t="e">
        <f>VLOOKUP(A190,Enforcements!$C$7:$E$17,3,0)</f>
        <v>#N/A</v>
      </c>
      <c r="AD190" s="58" t="str">
        <f t="shared" si="59"/>
        <v>0832-09</v>
      </c>
      <c r="AE190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90" s="84" t="str">
        <f t="shared" si="61"/>
        <v>"C:\Program Files (x86)\AstroGrep\AstroGrep.exe" /spath="%USERPROFILE%\AppData\Local\Temp\OnboardLogs" /stypes="app*4030*20170110*" /stext=" 00:.+((SYSTEM_STATE.+slice.+state.+changed )|(ment ac)|(multiple cpu faults)|(system.+state.+changed )|(\[timeout)|(PRM\|1\|D)|(kpr)|(kdp)|(\|lc)|(penalty))" /e /r /s</v>
      </c>
      <c r="AG190" s="1" t="str">
        <f t="shared" si="62"/>
        <v>NW</v>
      </c>
      <c r="AH190" s="88" t="str">
        <f t="shared" si="48"/>
        <v>"%USERPROFILE%\Documents\GitHub\eaglep3\Utilities\RefineRTDCRunTimes.py" --tripid 832-09 --locoid 4030 --swversion DE.1.0.8.0 --startMP 300:58602 --initTime 2017-01-09T17:07:41 --startdatetime 2017-01-09T17:09:37 --delay 1 --endMP 204:652 --enddatetime 2017-01-09T17:25:17 --enforcementcount 0 &gt;&gt;C:\Users\stu\Documents\GitHub\eaglep3-reporting\EC\2017-01-09-refined-times.txt</v>
      </c>
      <c r="AI19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{"issue":{"subject":"","project_id":79,"tracker_id":40,"status_id":1,"priority_id":2,"assigned_to_id":23,"start_date":"2017-01-09","description":"","custom_fields":[{"id":1,"name":"Subdivision","value":"NW"},{"id":4,"name":"Milepost","value":"0.0652"},{"id":17,"name":"Train ID","value":"832-09"},{"id":16,"name":"Locomotive ID","value":"4030"},{"id":130,"name":"Impact","value":""},{"id":150,"name":"Time of Event (Mountain Time)","value":"17:25:17"},{"id":151,"name":"Denver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0"/>
        <v>start /low /b %USERPROFILE%\Documents\GitHub\eaglep3\Utilities\DownloadLogsFromS3.py --loco 4030 --day 2017-01-09</v>
      </c>
    </row>
    <row r="191" spans="1:91" x14ac:dyDescent="0.25">
      <c r="A191" s="34" t="s">
        <v>595</v>
      </c>
      <c r="B191" s="7">
        <v>4014</v>
      </c>
      <c r="C191" s="22" t="s">
        <v>203</v>
      </c>
      <c r="D191" s="22" t="s">
        <v>776</v>
      </c>
      <c r="E191" s="13">
        <v>42744.716782407406</v>
      </c>
      <c r="F191" s="13">
        <v>42744.723252314812</v>
      </c>
      <c r="G191" s="7">
        <v>1</v>
      </c>
      <c r="H191" s="22" t="s">
        <v>792</v>
      </c>
      <c r="I191" s="13">
        <v>42744.733553240738</v>
      </c>
      <c r="J191" s="7">
        <v>0</v>
      </c>
      <c r="K191" s="105" t="str">
        <f t="shared" si="51"/>
        <v>4013/4014</v>
      </c>
      <c r="L191" s="22" t="str">
        <f>VLOOKUP(A191,'Trips&amp;Operators'!$C$1:$G$99999,5,FALSE)</f>
        <v>SIMMONS SHYHESHA</v>
      </c>
      <c r="M191" s="6">
        <f t="shared" si="52"/>
        <v>1.0300925925548654E-2</v>
      </c>
      <c r="N191" s="7">
        <f t="shared" si="75"/>
        <v>14.833333332790062</v>
      </c>
      <c r="O191" s="7"/>
      <c r="P191" s="7"/>
      <c r="Q191" s="23"/>
      <c r="R191" s="23"/>
      <c r="S191" s="32">
        <f t="shared" si="76"/>
        <v>1</v>
      </c>
      <c r="T191" s="47" t="str">
        <f t="shared" si="53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16:12:10-700',mode:absolute,to:'2017-01-09 18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1" s="49" t="str">
        <f t="shared" si="55"/>
        <v>N</v>
      </c>
      <c r="X191" s="173">
        <f t="shared" si="67"/>
        <v>1</v>
      </c>
      <c r="Y191" s="64">
        <f t="shared" si="56"/>
        <v>9.69E-2</v>
      </c>
      <c r="Z191" s="64">
        <f t="shared" si="57"/>
        <v>5.8945999999999996</v>
      </c>
      <c r="AA191" s="64">
        <f t="shared" si="58"/>
        <v>5.7976999999999999</v>
      </c>
      <c r="AB191" s="61" t="e">
        <f>VLOOKUP(A191,Enforcements!$C$7:$K$17,8,0)</f>
        <v>#N/A</v>
      </c>
      <c r="AC191" s="57" t="e">
        <f>VLOOKUP(A191,Enforcements!$C$7:$E$17,3,0)</f>
        <v>#N/A</v>
      </c>
      <c r="AD191" s="58" t="str">
        <f t="shared" si="59"/>
        <v>0833-09</v>
      </c>
      <c r="AE19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91" s="84" t="str">
        <f t="shared" si="61"/>
        <v>"C:\Program Files (x86)\AstroGrep\AstroGrep.exe" /spath="%USERPROFILE%\AppData\Local\Temp\OnboardLogs" /stypes="app*4014*20170110*" /stext=" 00:.+((SYSTEM_STATE.+slice.+state.+changed )|(ment ac)|(multiple cpu faults)|(system.+state.+changed )|(\[timeout)|(PRM\|1\|D)|(kpr)|(kdp)|(\|lc)|(penalty))" /e /r /s</v>
      </c>
      <c r="AG191" s="1" t="str">
        <f t="shared" si="62"/>
        <v>NW</v>
      </c>
      <c r="AH191" s="88" t="str">
        <f t="shared" si="48"/>
        <v>"%USERPROFILE%\Documents\GitHub\eaglep3\Utilities\RefineRTDCRunTimes.py" --tripid 833-09 --locoid 4014 --swversion DE.1.0.8.0 --startMP 204:969 --initTime 2017-01-09T17:12:10 --startdatetime 2017-01-09T17:21:29 --delay 1 --endMP 300:58946 --enddatetime 2017-01-09T17:36:19 --enforcementcount 0 &gt;&gt;C:\Users\stu\Documents\GitHub\eaglep3-reporting\EC\2017-01-09-refined-times.txt</v>
      </c>
      <c r="AI19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{"issue":{"subject":"","project_id":79,"tracker_id":40,"status_id":1,"priority_id":2,"assigned_to_id":23,"start_date":"2017-01-09","description":"","custom_fields":[{"id":1,"name":"Subdivision","value":"NW"},{"id":4,"name":"Milepost","value":"5.8946"},{"id":17,"name":"Train ID","value":"833-09"},{"id":16,"name":"Locomotive ID","value":"4014"},{"id":130,"name":"Impact","value":""},{"id":150,"name":"Time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0"/>
        <v>start /low /b %USERPROFILE%\Documents\GitHub\eaglep3\Utilities\DownloadLogsFromS3.py --loco 4014 --day 2017-01-09</v>
      </c>
    </row>
    <row r="192" spans="1:91" s="21" customFormat="1" x14ac:dyDescent="0.25">
      <c r="A192" s="34" t="s">
        <v>605</v>
      </c>
      <c r="B192" s="7">
        <v>4013</v>
      </c>
      <c r="C192" s="22" t="s">
        <v>203</v>
      </c>
      <c r="D192" s="22" t="s">
        <v>793</v>
      </c>
      <c r="E192" s="13">
        <v>42744.734780092593</v>
      </c>
      <c r="F192" s="13">
        <v>42744.736215277779</v>
      </c>
      <c r="G192" s="7">
        <v>1</v>
      </c>
      <c r="H192" s="22" t="s">
        <v>763</v>
      </c>
      <c r="I192" s="13">
        <v>42744.747303240743</v>
      </c>
      <c r="J192" s="7">
        <v>0</v>
      </c>
      <c r="K192" s="105" t="str">
        <f t="shared" si="51"/>
        <v>4013/4014</v>
      </c>
      <c r="L192" s="22" t="str">
        <f>VLOOKUP(A192,'Trips&amp;Operators'!$C$1:$G$99999,5,FALSE)</f>
        <v>SIMMONS SHYHESHA</v>
      </c>
      <c r="M192" s="6">
        <f t="shared" si="52"/>
        <v>1.1087962964666076E-2</v>
      </c>
      <c r="N192" s="7">
        <f t="shared" si="75"/>
        <v>15.966666669119149</v>
      </c>
      <c r="O192" s="7"/>
      <c r="P192" s="7"/>
      <c r="Q192" s="23"/>
      <c r="R192" s="23"/>
      <c r="S192" s="32">
        <f t="shared" si="76"/>
        <v>1</v>
      </c>
      <c r="T192" s="47" t="str">
        <f t="shared" si="53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16:38:05-700',mode:absolute,to:'2017-01-09 18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2" s="49" t="str">
        <f t="shared" si="55"/>
        <v>N</v>
      </c>
      <c r="X192" s="173">
        <f t="shared" ref="X192:X223" si="77">VALUE(LEFT(AD192,4))-VALUE(LEFT(AD191,4))</f>
        <v>1</v>
      </c>
      <c r="Y192" s="64">
        <f t="shared" si="56"/>
        <v>5.8638000000000003</v>
      </c>
      <c r="Z192" s="64">
        <f t="shared" si="57"/>
        <v>6.7699999999999996E-2</v>
      </c>
      <c r="AA192" s="64">
        <f t="shared" si="58"/>
        <v>5.7961</v>
      </c>
      <c r="AB192" s="61" t="e">
        <f>VLOOKUP(A192,Enforcements!$C$7:$K$17,8,0)</f>
        <v>#N/A</v>
      </c>
      <c r="AC192" s="57" t="e">
        <f>VLOOKUP(A192,Enforcements!$C$7:$E$17,3,0)</f>
        <v>#N/A</v>
      </c>
      <c r="AD192" s="58" t="str">
        <f t="shared" si="59"/>
        <v>0834-09</v>
      </c>
      <c r="AE19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92" s="84" t="str">
        <f t="shared" si="61"/>
        <v>"C:\Program Files (x86)\AstroGrep\AstroGrep.exe" /spath="%USERPROFILE%\AppData\Local\Temp\OnboardLogs" /stypes="app*4013*20170110*" /stext=" 00:.+((SYSTEM_STATE.+slice.+state.+changed )|(ment ac)|(multiple cpu faults)|(system.+state.+changed )|(\[timeout)|(PRM\|1\|D)|(kpr)|(kdp)|(\|lc)|(penalty))" /e /r /s</v>
      </c>
      <c r="AG192" s="1" t="str">
        <f t="shared" si="62"/>
        <v>NW</v>
      </c>
      <c r="AH192" s="88" t="str">
        <f t="shared" si="48"/>
        <v>"%USERPROFILE%\Documents\GitHub\eaglep3\Utilities\RefineRTDCRunTimes.py" --tripid 834-09 --locoid 4013 --swversion DE.1.0.8.0 --startMP 300:58638 --initTime 2017-01-09T17:38:05 --startdatetime 2017-01-09T17:40:09 --delay 1 --endMP 204:677 --enddatetime 2017-01-09T17:56:07 --enforcementcount 0 &gt;&gt;C:\Users\stu\Documents\GitHub\eaglep3-reporting\EC\2017-01-09-refined-times.txt</v>
      </c>
      <c r="AI19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{"issue":{"subject":"","project_id":79,"tracker_id":40,"status_id":1,"priority_id":2,"assigned_to_id":23,"start_date":"2017-01-09","description":"","custom_fields":[{"id":1,"name":"Subdivision","value":"NW"},{"id":4,"name":"Milepost","value":"0.0677"},{"id":17,"name":"Train ID","value":"834-09"},{"id":16,"name":"Locomotive ID","value":"4013"},{"id":130,"name":"Impact","value":""},{"id":150,"name":"Time of Event (Mountain Time)","value":"17:56:07"},{"id":151,"name":"Denver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0"/>
        <v>start /low /b %USERPROFILE%\Documents\GitHub\eaglep3\Utilities\DownloadLogsFromS3.py --loco 4013 --day 2017-01-09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603</v>
      </c>
      <c r="B193" s="7">
        <v>4029</v>
      </c>
      <c r="C193" s="22" t="s">
        <v>203</v>
      </c>
      <c r="D193" s="22" t="s">
        <v>794</v>
      </c>
      <c r="E193" s="13">
        <v>42744.727129629631</v>
      </c>
      <c r="F193" s="13">
        <v>42744.743946759256</v>
      </c>
      <c r="G193" s="7">
        <v>1</v>
      </c>
      <c r="H193" s="22" t="s">
        <v>771</v>
      </c>
      <c r="I193" s="13">
        <v>42744.753842592596</v>
      </c>
      <c r="J193" s="7">
        <v>0</v>
      </c>
      <c r="K193" s="105" t="str">
        <f t="shared" si="51"/>
        <v>4029/4030</v>
      </c>
      <c r="L193" s="22" t="str">
        <f>VLOOKUP(A193,'Trips&amp;Operators'!$C$1:$G$99999,5,FALSE)</f>
        <v>NEWELL JAMES</v>
      </c>
      <c r="M193" s="6">
        <f t="shared" si="52"/>
        <v>9.8958333401242271E-3</v>
      </c>
      <c r="N193" s="7">
        <f t="shared" si="75"/>
        <v>14.250000009778887</v>
      </c>
      <c r="O193" s="7"/>
      <c r="P193" s="7"/>
      <c r="Q193" s="23"/>
      <c r="R193" s="23"/>
      <c r="S193" s="32">
        <f t="shared" si="76"/>
        <v>1</v>
      </c>
      <c r="T193" s="47" t="str">
        <f t="shared" si="53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16:27:04-700',mode:absolute,to:'2017-01-09 19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3" s="49" t="str">
        <f t="shared" si="55"/>
        <v>N</v>
      </c>
      <c r="X193" s="173">
        <f t="shared" si="77"/>
        <v>1</v>
      </c>
      <c r="Y193" s="64">
        <f t="shared" si="56"/>
        <v>9.5100000000000004E-2</v>
      </c>
      <c r="Z193" s="64">
        <f t="shared" si="57"/>
        <v>5.8924000000000003</v>
      </c>
      <c r="AA193" s="64">
        <f t="shared" si="58"/>
        <v>5.7972999999999999</v>
      </c>
      <c r="AB193" s="61" t="e">
        <f>VLOOKUP(A193,Enforcements!$C$7:$K$17,8,0)</f>
        <v>#N/A</v>
      </c>
      <c r="AC193" s="57" t="e">
        <f>VLOOKUP(A193,Enforcements!$C$7:$E$17,3,0)</f>
        <v>#N/A</v>
      </c>
      <c r="AD193" s="58" t="str">
        <f t="shared" si="59"/>
        <v>0835-09</v>
      </c>
      <c r="AE193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93" s="84" t="str">
        <f t="shared" si="61"/>
        <v>"C:\Program Files (x86)\AstroGrep\AstroGrep.exe" /spath="%USERPROFILE%\AppData\Local\Temp\OnboardLogs" /stypes="app*4029*20170110*" /stext=" 01:.+((SYSTEM_STATE.+slice.+state.+changed )|(ment ac)|(multiple cpu faults)|(system.+state.+changed )|(\[timeout)|(PRM\|1\|D)|(kpr)|(kdp)|(\|lc)|(penalty))" /e /r /s</v>
      </c>
      <c r="AG193" s="1" t="str">
        <f t="shared" si="62"/>
        <v>NW</v>
      </c>
      <c r="AH193" s="88" t="str">
        <f t="shared" si="48"/>
        <v>"%USERPROFILE%\Documents\GitHub\eaglep3\Utilities\RefineRTDCRunTimes.py" --tripid 835-09 --locoid 4029 --swversion DE.1.0.8.0 --startMP 204:951 --initTime 2017-01-09T17:27:04 --startdatetime 2017-01-09T17:51:17 --delay 1 --endMP 300:58924 --enddatetime 2017-01-09T18:05:32 --enforcementcount 0 &gt;&gt;C:\Users\stu\Documents\GitHub\eaglep3-reporting\EC\2017-01-09-refined-times.txt</v>
      </c>
      <c r="AI19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{"issue":{"subject":"","project_id":79,"tracker_id":40,"status_id":1,"priority_id":2,"assigned_to_id":23,"start_date":"2017-01-09","description":"","custom_fields":[{"id":1,"name":"Subdivision","value":"NW"},{"id":4,"name":"Milepost","value":"5.8924"},{"id":17,"name":"Train ID","value":"835-09"},{"id":16,"name":"Locomotive ID","value":"4029"},{"id":130,"name":"Impact","value":""},{"id":150,"name":"Time of Event (Mountain Time)","value":"18:05:32"},{"id":151,"name":"Denver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0"/>
        <v>start /low /b %USERPROFILE%\Documents\GitHub\eaglep3\Utilities\DownloadLogsFromS3.py --loco 4029 --day 2017-01-09</v>
      </c>
    </row>
    <row r="194" spans="1:91" x14ac:dyDescent="0.25">
      <c r="A194" s="34" t="s">
        <v>610</v>
      </c>
      <c r="B194" s="7">
        <v>4030</v>
      </c>
      <c r="C194" s="22" t="s">
        <v>203</v>
      </c>
      <c r="D194" s="22" t="s">
        <v>790</v>
      </c>
      <c r="E194" s="13">
        <v>42744.754675925928</v>
      </c>
      <c r="F194" s="13">
        <v>42744.755995370368</v>
      </c>
      <c r="G194" s="7">
        <v>1</v>
      </c>
      <c r="H194" s="22" t="s">
        <v>795</v>
      </c>
      <c r="I194" s="13">
        <v>42744.770104166666</v>
      </c>
      <c r="J194" s="7">
        <v>0</v>
      </c>
      <c r="K194" s="105" t="str">
        <f t="shared" si="51"/>
        <v>4029/4030</v>
      </c>
      <c r="L194" s="22" t="str">
        <f>VLOOKUP(A194,'Trips&amp;Operators'!$C$1:$G$99999,5,FALSE)</f>
        <v>NEWELL JAMES</v>
      </c>
      <c r="M194" s="6">
        <f t="shared" si="52"/>
        <v>1.410879629838746E-2</v>
      </c>
      <c r="N194" s="7">
        <f t="shared" si="75"/>
        <v>20.316666669677943</v>
      </c>
      <c r="O194" s="7"/>
      <c r="P194" s="7"/>
      <c r="Q194" s="23"/>
      <c r="R194" s="23"/>
      <c r="S194" s="32">
        <f t="shared" si="76"/>
        <v>1</v>
      </c>
      <c r="T194" s="47" t="str">
        <f t="shared" si="53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17:06:44-700',mode:absolute,to:'2017-01-09 19:28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49" t="str">
        <f t="shared" si="55"/>
        <v>N</v>
      </c>
      <c r="X194" s="173">
        <f t="shared" si="77"/>
        <v>1</v>
      </c>
      <c r="Y194" s="64">
        <f t="shared" si="56"/>
        <v>5.8601999999999999</v>
      </c>
      <c r="Z194" s="64">
        <f t="shared" si="57"/>
        <v>6.6600000000000006E-2</v>
      </c>
      <c r="AA194" s="64">
        <f t="shared" si="58"/>
        <v>5.7935999999999996</v>
      </c>
      <c r="AB194" s="61" t="e">
        <f>VLOOKUP(A194,Enforcements!$C$7:$K$17,8,0)</f>
        <v>#N/A</v>
      </c>
      <c r="AC194" s="57" t="e">
        <f>VLOOKUP(A194,Enforcements!$C$7:$E$17,3,0)</f>
        <v>#N/A</v>
      </c>
      <c r="AD194" s="58" t="str">
        <f t="shared" si="59"/>
        <v>0836-09</v>
      </c>
      <c r="AE194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94" s="84" t="str">
        <f t="shared" si="61"/>
        <v>"C:\Program Files (x86)\AstroGrep\AstroGrep.exe" /spath="%USERPROFILE%\AppData\Local\Temp\OnboardLogs" /stypes="app*4030*20170110*" /stext=" 01:.+((SYSTEM_STATE.+slice.+state.+changed )|(ment ac)|(multiple cpu faults)|(system.+state.+changed )|(\[timeout)|(PRM\|1\|D)|(kpr)|(kdp)|(\|lc)|(penalty))" /e /r /s</v>
      </c>
      <c r="AG194" s="1" t="str">
        <f t="shared" si="62"/>
        <v>NW</v>
      </c>
      <c r="AH194" s="88" t="str">
        <f t="shared" si="48"/>
        <v>"%USERPROFILE%\Documents\GitHub\eaglep3\Utilities\RefineRTDCRunTimes.py" --tripid 836-09 --locoid 4030 --swversion DE.1.0.8.0 --startMP 300:58602 --initTime 2017-01-09T18:06:44 --startdatetime 2017-01-09T18:08:38 --delay 1 --endMP 204:666 --enddatetime 2017-01-09T18:28:57 --enforcementcount 0 &gt;&gt;C:\Users\stu\Documents\GitHub\eaglep3-reporting\EC\2017-01-09-refined-times.txt</v>
      </c>
      <c r="AI19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{"issue":{"subject":"","project_id":79,"tracker_id":40,"status_id":1,"priority_id":2,"assigned_to_id":23,"start_date":"2017-01-09","description":"","custom_fields":[{"id":1,"name":"Subdivision","value":"NW"},{"id":4,"name":"Milepost","value":"0.0666"},{"id":17,"name":"Train ID","value":"836-09"},{"id":16,"name":"Locomotive ID","value":"4030"},{"id":130,"name":"Impact","value":""},{"id":150,"name":"Time of Event (Mountain Time)","value":"18:28:57"},{"id":151,"name":"Denver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0"/>
        <v>start /low /b %USERPROFILE%\Documents\GitHub\eaglep3\Utilities\DownloadLogsFromS3.py --loco 4030 --day 2017-01-09</v>
      </c>
    </row>
    <row r="195" spans="1:91" x14ac:dyDescent="0.25">
      <c r="A195" s="34" t="s">
        <v>615</v>
      </c>
      <c r="B195" s="7">
        <v>4014</v>
      </c>
      <c r="C195" s="22" t="s">
        <v>203</v>
      </c>
      <c r="D195" s="22" t="s">
        <v>796</v>
      </c>
      <c r="E195" s="13">
        <v>42744.762523148151</v>
      </c>
      <c r="F195" s="13">
        <v>42744.764803240738</v>
      </c>
      <c r="G195" s="7">
        <v>1</v>
      </c>
      <c r="H195" s="22" t="s">
        <v>797</v>
      </c>
      <c r="I195" s="13">
        <v>42744.775000000001</v>
      </c>
      <c r="J195" s="7">
        <v>0</v>
      </c>
      <c r="K195" s="105" t="str">
        <f t="shared" si="51"/>
        <v>4013/4014</v>
      </c>
      <c r="L195" s="22" t="str">
        <f>VLOOKUP(A195,'Trips&amp;Operators'!$C$1:$G$99999,5,FALSE)</f>
        <v>SIMMONS SHYHESHA</v>
      </c>
      <c r="M195" s="6">
        <f t="shared" si="52"/>
        <v>1.0196759263635613E-2</v>
      </c>
      <c r="N195" s="7">
        <f t="shared" si="75"/>
        <v>14.683333339635283</v>
      </c>
      <c r="O195" s="7"/>
      <c r="P195" s="7"/>
      <c r="Q195" s="23"/>
      <c r="R195" s="23"/>
      <c r="S195" s="32">
        <f t="shared" si="76"/>
        <v>1</v>
      </c>
      <c r="T195" s="47" t="str">
        <f t="shared" si="53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17:18:02-700',mode:absolute,to:'2017-01-09 19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5" s="49" t="str">
        <f t="shared" si="55"/>
        <v>N</v>
      </c>
      <c r="X195" s="173">
        <f t="shared" si="77"/>
        <v>1</v>
      </c>
      <c r="Y195" s="64">
        <f t="shared" si="56"/>
        <v>9.8299999999999998E-2</v>
      </c>
      <c r="Z195" s="64">
        <f t="shared" si="57"/>
        <v>5.8939000000000004</v>
      </c>
      <c r="AA195" s="64">
        <f t="shared" si="58"/>
        <v>5.7956000000000003</v>
      </c>
      <c r="AB195" s="61" t="e">
        <f>VLOOKUP(A195,Enforcements!$C$7:$K$17,8,0)</f>
        <v>#N/A</v>
      </c>
      <c r="AC195" s="57" t="e">
        <f>VLOOKUP(A195,Enforcements!$C$7:$E$17,3,0)</f>
        <v>#N/A</v>
      </c>
      <c r="AD195" s="58" t="str">
        <f t="shared" si="59"/>
        <v>0837-09</v>
      </c>
      <c r="AE195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95" s="84" t="str">
        <f t="shared" si="61"/>
        <v>"C:\Program Files (x86)\AstroGrep\AstroGrep.exe" /spath="%USERPROFILE%\AppData\Local\Temp\OnboardLogs" /stypes="app*4014*20170110*" /stext=" 01:.+((SYSTEM_STATE.+slice.+state.+changed )|(ment ac)|(multiple cpu faults)|(system.+state.+changed )|(\[timeout)|(PRM\|1\|D)|(kpr)|(kdp)|(\|lc)|(penalty))" /e /r /s</v>
      </c>
      <c r="AG195" s="1" t="str">
        <f t="shared" si="62"/>
        <v>NW</v>
      </c>
      <c r="AH195" s="88" t="str">
        <f t="shared" si="48"/>
        <v>"%USERPROFILE%\Documents\GitHub\eaglep3\Utilities\RefineRTDCRunTimes.py" --tripid 837-09 --locoid 4014 --swversion DE.1.0.8.0 --startMP 204:983 --initTime 2017-01-09T18:18:02 --startdatetime 2017-01-09T18:21:19 --delay 1 --endMP 300:58939 --enddatetime 2017-01-09T18:36:00 --enforcementcount 0 &gt;&gt;C:\Users\stu\Documents\GitHub\eaglep3-reporting\EC\2017-01-09-refined-times.txt</v>
      </c>
      <c r="AI19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{"issue":{"subject":"","project_id":79,"tracker_id":40,"status_id":1,"priority_id":2,"assigned_to_id":23,"start_date":"2017-01-09","description":"","custom_fields":[{"id":1,"name":"Subdivision","value":"NW"},{"id":4,"name":"Milepost","value":"5.8939"},{"id":17,"name":"Train ID","value":"837-09"},{"id":16,"name":"Locomotive ID","value":"4014"},{"id":130,"name":"Impact","value":""},{"id":150,"name":"Time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0"/>
        <v>start /low /b %USERPROFILE%\Documents\GitHub\eaglep3\Utilities\DownloadLogsFromS3.py --loco 4014 --day 2017-01-09</v>
      </c>
    </row>
    <row r="196" spans="1:91" x14ac:dyDescent="0.25">
      <c r="A196" s="34" t="s">
        <v>451</v>
      </c>
      <c r="B196" s="7">
        <v>4013</v>
      </c>
      <c r="C196" s="22" t="s">
        <v>203</v>
      </c>
      <c r="D196" s="22" t="s">
        <v>319</v>
      </c>
      <c r="E196" s="13">
        <v>42744.77615740741</v>
      </c>
      <c r="F196" s="13">
        <v>42744.777442129627</v>
      </c>
      <c r="G196" s="7">
        <v>0</v>
      </c>
      <c r="H196" s="22" t="s">
        <v>798</v>
      </c>
      <c r="I196" s="13">
        <v>42744.790555555555</v>
      </c>
      <c r="J196" s="7">
        <v>0</v>
      </c>
      <c r="K196" s="105" t="str">
        <f t="shared" si="51"/>
        <v>4013/4014</v>
      </c>
      <c r="L196" s="22" t="str">
        <f>VLOOKUP(A196,'Trips&amp;Operators'!$C$1:$G$99999,5,FALSE)</f>
        <v>SIMMONS SHYHESHA</v>
      </c>
      <c r="M196" s="6">
        <f t="shared" si="52"/>
        <v>1.3113425928167999E-2</v>
      </c>
      <c r="N196" s="7">
        <f t="shared" si="75"/>
        <v>18.883333336561918</v>
      </c>
      <c r="O196" s="7"/>
      <c r="P196" s="7"/>
      <c r="Q196" s="23"/>
      <c r="R196" s="23"/>
      <c r="S196" s="32">
        <f t="shared" si="76"/>
        <v>1</v>
      </c>
      <c r="T196" s="47" t="str">
        <f t="shared" si="53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17:37:40-700',mode:absolute,to:'2017-01-09 19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6" s="49" t="str">
        <f t="shared" si="55"/>
        <v>N</v>
      </c>
      <c r="X196" s="173">
        <f t="shared" si="77"/>
        <v>1</v>
      </c>
      <c r="Y196" s="64">
        <f t="shared" si="56"/>
        <v>5.8616999999999999</v>
      </c>
      <c r="Z196" s="64">
        <f t="shared" si="57"/>
        <v>6.9599999999999995E-2</v>
      </c>
      <c r="AA196" s="64">
        <f t="shared" si="58"/>
        <v>5.7920999999999996</v>
      </c>
      <c r="AB196" s="61" t="e">
        <f>VLOOKUP(A196,Enforcements!$C$7:$K$17,8,0)</f>
        <v>#N/A</v>
      </c>
      <c r="AC196" s="57" t="e">
        <f>VLOOKUP(A196,Enforcements!$C$7:$E$17,3,0)</f>
        <v>#N/A</v>
      </c>
      <c r="AD196" s="58" t="str">
        <f t="shared" si="59"/>
        <v>0838-09</v>
      </c>
      <c r="AE196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96" s="84" t="str">
        <f t="shared" si="61"/>
        <v>"C:\Program Files (x86)\AstroGrep\AstroGrep.exe" /spath="%USERPROFILE%\AppData\Local\Temp\OnboardLogs" /stypes="app*4013*20170110*" /stext=" 01:.+((SYSTEM_STATE.+slice.+state.+changed )|(ment ac)|(multiple cpu faults)|(system.+state.+changed )|(\[timeout)|(PRM\|1\|D)|(kpr)|(kdp)|(\|lc)|(penalty))" /e /r /s</v>
      </c>
      <c r="AG196" s="1" t="str">
        <f t="shared" si="62"/>
        <v>NW</v>
      </c>
      <c r="AH196" s="88" t="str">
        <f t="shared" si="48"/>
        <v>"%USERPROFILE%\Documents\GitHub\eaglep3\Utilities\RefineRTDCRunTimes.py" --tripid 838-09 --locoid 4013 --swversion DE.1.0.8.0 --startMP 300:58617 --initTime 2017-01-09T18:37:40 --startdatetime 2017-01-09T18:39:31 --delay 0 --endMP 204:696 --enddatetime 2017-01-09T18:58:24 --enforcementcount 0 &gt;&gt;C:\Users\stu\Documents\GitHub\eaglep3-reporting\EC\2017-01-09-refined-times.txt</v>
      </c>
      <c r="AI196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{"issue":{"subject":"","project_id":79,"tracker_id":40,"status_id":1,"priority_id":2,"assigned_to_id":23,"start_date":"2017-01-09","description":"","custom_fields":[{"id":1,"name":"Subdivision","value":"NW"},{"id":4,"name":"Milepost","value":"0.0696"},{"id":17,"name":"Train ID","value":"838-09"},{"id":16,"name":"Locomotive ID","value":"4013"},{"id":130,"name":"Impact","value":""},{"id":150,"name":"Time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0"/>
        <v>start /low /b %USERPROFILE%\Documents\GitHub\eaglep3\Utilities\DownloadLogsFromS3.py --loco 4013 --day 2017-01-09</v>
      </c>
    </row>
    <row r="197" spans="1:91" s="21" customFormat="1" x14ac:dyDescent="0.25">
      <c r="A197" s="34" t="s">
        <v>619</v>
      </c>
      <c r="B197" s="7">
        <v>4029</v>
      </c>
      <c r="C197" s="22" t="s">
        <v>203</v>
      </c>
      <c r="D197" s="22" t="s">
        <v>799</v>
      </c>
      <c r="E197" s="13">
        <v>42744.771782407406</v>
      </c>
      <c r="F197" s="13">
        <v>42744.785578703704</v>
      </c>
      <c r="G197" s="7">
        <v>0</v>
      </c>
      <c r="H197" s="22" t="s">
        <v>787</v>
      </c>
      <c r="I197" s="13">
        <v>42744.795092592591</v>
      </c>
      <c r="J197" s="7">
        <v>0</v>
      </c>
      <c r="K197" s="105" t="str">
        <f t="shared" si="51"/>
        <v>4029/4030</v>
      </c>
      <c r="L197" s="22" t="str">
        <f>VLOOKUP(A197,'Trips&amp;Operators'!$C$1:$G$99999,5,FALSE)</f>
        <v>NEWELL JAMES</v>
      </c>
      <c r="M197" s="6">
        <f t="shared" si="52"/>
        <v>9.5138888864312321E-3</v>
      </c>
      <c r="N197" s="7">
        <f t="shared" si="75"/>
        <v>13.699999996460974</v>
      </c>
      <c r="O197" s="7"/>
      <c r="P197" s="7"/>
      <c r="Q197" s="23"/>
      <c r="R197" s="23"/>
      <c r="S197" s="32">
        <f t="shared" si="76"/>
        <v>1</v>
      </c>
      <c r="T197" s="47" t="str">
        <f t="shared" si="53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17:31:22-700',mode:absolute,to:'2017-01-09 20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49" t="str">
        <f t="shared" si="55"/>
        <v>N</v>
      </c>
      <c r="X197" s="173">
        <f t="shared" si="77"/>
        <v>1</v>
      </c>
      <c r="Y197" s="64">
        <f t="shared" si="56"/>
        <v>9.5299999999999996E-2</v>
      </c>
      <c r="Z197" s="64">
        <f t="shared" si="57"/>
        <v>5.8916000000000004</v>
      </c>
      <c r="AA197" s="64">
        <f t="shared" si="58"/>
        <v>5.7963000000000005</v>
      </c>
      <c r="AB197" s="61" t="e">
        <f>VLOOKUP(A197,Enforcements!$C$7:$K$17,8,0)</f>
        <v>#N/A</v>
      </c>
      <c r="AC197" s="57" t="e">
        <f>VLOOKUP(A197,Enforcements!$C$7:$E$17,3,0)</f>
        <v>#N/A</v>
      </c>
      <c r="AD197" s="58" t="str">
        <f t="shared" si="59"/>
        <v>0839-09</v>
      </c>
      <c r="AE197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97" s="84" t="str">
        <f t="shared" si="61"/>
        <v>"C:\Program Files (x86)\AstroGrep\AstroGrep.exe" /spath="%USERPROFILE%\AppData\Local\Temp\OnboardLogs" /stypes="app*4029*20170110*" /stext=" 02:.+((SYSTEM_STATE.+slice.+state.+changed )|(ment ac)|(multiple cpu faults)|(system.+state.+changed )|(\[timeout)|(PRM\|1\|D)|(kpr)|(kdp)|(\|lc)|(penalty))" /e /r /s</v>
      </c>
      <c r="AG197" s="1" t="str">
        <f t="shared" si="62"/>
        <v>NW</v>
      </c>
      <c r="AH197" s="88" t="str">
        <f t="shared" si="48"/>
        <v>"%USERPROFILE%\Documents\GitHub\eaglep3\Utilities\RefineRTDCRunTimes.py" --tripid 839-09 --locoid 4029 --swversion DE.1.0.8.0 --startMP 204:953 --initTime 2017-01-09T18:31:22 --startdatetime 2017-01-09T18:51:14 --delay 0 --endMP 300:58916 --enddatetime 2017-01-09T19:04:56 --enforcementcount 0 &gt;&gt;C:\Users\stu\Documents\GitHub\eaglep3-reporting\EC\2017-01-09-refined-times.txt</v>
      </c>
      <c r="AI19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{"issue":{"subject":"","project_id":79,"tracker_id":40,"status_id":1,"priority_id":2,"assigned_to_id":23,"start_date":"2017-01-09","description":"","custom_fields":[{"id":1,"name":"Subdivision","value":"NW"},{"id":4,"name":"Milepost","value":"5.8916"},{"id":17,"name":"Train ID","value":"839-09"},{"id":16,"name":"Locomotive ID","value":"4029"},{"id":130,"name":"Impact","value":""},{"id":150,"name":"Time of Event (Mountain Time)","value":"19:04:56"},{"id":151,"name":"Denver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0"/>
        <v>start /low /b %USERPROFILE%\Documents\GitHub\eaglep3\Utilities\DownloadLogsFromS3.py --loco 4029 --day 2017-01-09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630</v>
      </c>
      <c r="B198" s="7">
        <v>4013</v>
      </c>
      <c r="C198" s="22" t="s">
        <v>203</v>
      </c>
      <c r="D198" s="22" t="s">
        <v>354</v>
      </c>
      <c r="E198" s="13">
        <v>42744.817361111112</v>
      </c>
      <c r="F198" s="13">
        <v>42744.819004629629</v>
      </c>
      <c r="G198" s="7">
        <v>1</v>
      </c>
      <c r="H198" s="22" t="s">
        <v>800</v>
      </c>
      <c r="I198" s="13">
        <v>42744.831620370373</v>
      </c>
      <c r="J198" s="7">
        <v>0</v>
      </c>
      <c r="K198" s="105" t="str">
        <f t="shared" si="51"/>
        <v>4013/4014</v>
      </c>
      <c r="L198" s="22" t="str">
        <f>VLOOKUP(A198,'Trips&amp;Operators'!$C$1:$G$99999,5,FALSE)</f>
        <v>SIMMONS SHYHESHA</v>
      </c>
      <c r="M198" s="6">
        <f t="shared" si="52"/>
        <v>1.2615740743058268E-2</v>
      </c>
      <c r="N198" s="7">
        <f t="shared" si="75"/>
        <v>18.166666670003906</v>
      </c>
      <c r="O198" s="7"/>
      <c r="P198" s="7"/>
      <c r="Q198" s="23"/>
      <c r="R198" s="23"/>
      <c r="S198" s="32">
        <f t="shared" si="76"/>
        <v>1</v>
      </c>
      <c r="T198" s="47" t="str">
        <f t="shared" si="53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18:37:00-700',mode:absolute,to:'2017-01-09 20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8" s="49" t="str">
        <f t="shared" si="55"/>
        <v>N</v>
      </c>
      <c r="X198" s="173">
        <f t="shared" si="77"/>
        <v>1</v>
      </c>
      <c r="Y198" s="64">
        <f t="shared" si="56"/>
        <v>5.8623000000000003</v>
      </c>
      <c r="Z198" s="64">
        <f t="shared" si="57"/>
        <v>6.6299999999999998E-2</v>
      </c>
      <c r="AA198" s="64">
        <f t="shared" si="58"/>
        <v>5.7960000000000003</v>
      </c>
      <c r="AB198" s="61" t="e">
        <f>VLOOKUP(A198,Enforcements!$C$7:$K$17,8,0)</f>
        <v>#N/A</v>
      </c>
      <c r="AC198" s="57" t="e">
        <f>VLOOKUP(A198,Enforcements!$C$7:$E$17,3,0)</f>
        <v>#N/A</v>
      </c>
      <c r="AD198" s="58" t="str">
        <f t="shared" si="59"/>
        <v>0840-09</v>
      </c>
      <c r="AE198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98" s="84" t="str">
        <f t="shared" si="61"/>
        <v>"C:\Program Files (x86)\AstroGrep\AstroGrep.exe" /spath="%USERPROFILE%\AppData\Local\Temp\OnboardLogs" /stypes="app*4013*20170110*" /stext=" 02:.+((SYSTEM_STATE.+slice.+state.+changed )|(ment ac)|(multiple cpu faults)|(system.+state.+changed )|(\[timeout)|(PRM\|1\|D)|(kpr)|(kdp)|(\|lc)|(penalty))" /e /r /s</v>
      </c>
      <c r="AG198" s="1" t="str">
        <f t="shared" si="62"/>
        <v>NW</v>
      </c>
      <c r="AH198" s="88" t="str">
        <f t="shared" si="48"/>
        <v>"%USERPROFILE%\Documents\GitHub\eaglep3\Utilities\RefineRTDCRunTimes.py" --tripid 840-09 --locoid 4013 --swversion DE.1.0.8.0 --startMP 300:58623 --initTime 2017-01-09T19:37:00 --startdatetime 2017-01-09T19:39:22 --delay 1 --endMP 204:663 --enddatetime 2017-01-09T19:57:32 --enforcementcount 0 &gt;&gt;C:\Users\stu\Documents\GitHub\eaglep3-reporting\EC\2017-01-09-refined-times.txt</v>
      </c>
      <c r="AI19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{"issue":{"subject":"","project_id":79,"tracker_id":40,"status_id":1,"priority_id":2,"assigned_to_id":23,"start_date":"2017-01-09","description":"","custom_fields":[{"id":1,"name":"Subdivision","value":"NW"},{"id":4,"name":"Milepost","value":"0.0663"},{"id":17,"name":"Train ID","value":"840-09"},{"id":16,"name":"Locomotive ID","value":"4013"},{"id":130,"name":"Impact","value":""},{"id":150,"name":"Time of Event (Mountain Time)","value":"19:57:32"},{"id":151,"name":"Denver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0"/>
        <v>start /low /b %USERPROFILE%\Documents\GitHub\eaglep3\Utilities\DownloadLogsFromS3.py --loco 4013 --day 2017-01-09</v>
      </c>
    </row>
    <row r="199" spans="1:91" s="21" customFormat="1" x14ac:dyDescent="0.25">
      <c r="A199" s="34" t="s">
        <v>627</v>
      </c>
      <c r="B199" s="7">
        <v>4014</v>
      </c>
      <c r="C199" s="22" t="s">
        <v>203</v>
      </c>
      <c r="D199" s="22" t="s">
        <v>801</v>
      </c>
      <c r="E199" s="13">
        <v>42744.803611111114</v>
      </c>
      <c r="F199" s="13">
        <v>42744.806550925925</v>
      </c>
      <c r="G199" s="7">
        <v>1</v>
      </c>
      <c r="H199" s="22" t="s">
        <v>352</v>
      </c>
      <c r="I199" s="13">
        <v>42744.81622685185</v>
      </c>
      <c r="J199" s="7">
        <v>0</v>
      </c>
      <c r="K199" s="105" t="str">
        <f t="shared" si="51"/>
        <v>4013/4014</v>
      </c>
      <c r="L199" s="22" t="str">
        <f>VLOOKUP(A199,'Trips&amp;Operators'!$C$1:$G$99999,5,FALSE)</f>
        <v>SIMMONS SHYHESHA</v>
      </c>
      <c r="M199" s="6">
        <f t="shared" si="52"/>
        <v>9.6759259249665774E-3</v>
      </c>
      <c r="N199" s="7">
        <f t="shared" si="75"/>
        <v>13.933333331951872</v>
      </c>
      <c r="O199" s="7"/>
      <c r="P199" s="7"/>
      <c r="Q199" s="23"/>
      <c r="R199" s="23"/>
      <c r="S199" s="32">
        <f t="shared" si="76"/>
        <v>1</v>
      </c>
      <c r="T199" s="47" t="str">
        <f t="shared" si="53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18:17:12-700',mode:absolute,to:'2017-01-09 20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9" s="49" t="str">
        <f t="shared" si="55"/>
        <v>N</v>
      </c>
      <c r="X199" s="173">
        <f t="shared" si="77"/>
        <v>1</v>
      </c>
      <c r="Y199" s="64">
        <f t="shared" si="56"/>
        <v>9.7600000000000006E-2</v>
      </c>
      <c r="Z199" s="64">
        <f t="shared" si="57"/>
        <v>5.8935000000000004</v>
      </c>
      <c r="AA199" s="64">
        <f t="shared" si="58"/>
        <v>5.7959000000000005</v>
      </c>
      <c r="AB199" s="61" t="e">
        <f>VLOOKUP(A199,Enforcements!$C$7:$K$17,8,0)</f>
        <v>#N/A</v>
      </c>
      <c r="AC199" s="57" t="e">
        <f>VLOOKUP(A199,Enforcements!$C$7:$E$17,3,0)</f>
        <v>#N/A</v>
      </c>
      <c r="AD199" s="58" t="str">
        <f t="shared" si="59"/>
        <v>0841-09</v>
      </c>
      <c r="AE199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99" s="84" t="str">
        <f t="shared" si="61"/>
        <v>"C:\Program Files (x86)\AstroGrep\AstroGrep.exe" /spath="%USERPROFILE%\AppData\Local\Temp\OnboardLogs" /stypes="app*4014*20170110*" /stext=" 02:.+((SYSTEM_STATE.+slice.+state.+changed )|(ment ac)|(multiple cpu faults)|(system.+state.+changed )|(\[timeout)|(PRM\|1\|D)|(kpr)|(kdp)|(\|lc)|(penalty))" /e /r /s</v>
      </c>
      <c r="AG199" s="1" t="str">
        <f t="shared" si="62"/>
        <v>NW</v>
      </c>
      <c r="AH199" s="88" t="str">
        <f t="shared" si="48"/>
        <v>"%USERPROFILE%\Documents\GitHub\eaglep3\Utilities\RefineRTDCRunTimes.py" --tripid 841-09 --locoid 4014 --swversion DE.1.0.8.0 --startMP 204:976 --initTime 2017-01-09T19:17:12 --startdatetime 2017-01-09T19:21:26 --delay 1 --endMP 300:58935 --enddatetime 2017-01-09T19:35:22 --enforcementcount 0 &gt;&gt;C:\Users\stu\Documents\GitHub\eaglep3-reporting\EC\2017-01-09-refined-times.txt</v>
      </c>
      <c r="AI19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ID","value":"841-09"},{"id":16,"name":"Locomotive ID","value":"4014"},{"id":130,"name":"Impact","value":""},{"id":150,"name":"Time of Event (Mountain Time)","value":"19:35:22"},{"id":151,"name":"Denver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0"/>
        <v>start /low /b %USERPROFILE%\Documents\GitHub\eaglep3\Utilities\DownloadLogsFromS3.py --loco 4014 --day 2017-01-09</v>
      </c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637</v>
      </c>
      <c r="B200" s="7">
        <v>4013</v>
      </c>
      <c r="C200" s="22" t="s">
        <v>203</v>
      </c>
      <c r="D200" s="22" t="s">
        <v>802</v>
      </c>
      <c r="E200" s="13">
        <v>42744.8590625</v>
      </c>
      <c r="F200" s="13">
        <v>42744.860462962963</v>
      </c>
      <c r="G200" s="7">
        <v>1</v>
      </c>
      <c r="H200" s="22" t="s">
        <v>803</v>
      </c>
      <c r="I200" s="13">
        <v>42744.871805555558</v>
      </c>
      <c r="J200" s="7">
        <v>0</v>
      </c>
      <c r="K200" s="105" t="str">
        <f t="shared" si="51"/>
        <v>4013/4014</v>
      </c>
      <c r="L200" s="22" t="str">
        <f>VLOOKUP(A200,'Trips&amp;Operators'!$C$1:$G$99999,5,FALSE)</f>
        <v>SIMMONS SHYHESHA</v>
      </c>
      <c r="M200" s="6">
        <f t="shared" si="52"/>
        <v>1.1342592595610768E-2</v>
      </c>
      <c r="N200" s="7">
        <f t="shared" si="75"/>
        <v>16.333333337679505</v>
      </c>
      <c r="O200" s="7"/>
      <c r="P200" s="7"/>
      <c r="Q200" s="23"/>
      <c r="R200" s="23"/>
      <c r="S200" s="32">
        <f t="shared" si="76"/>
        <v>1</v>
      </c>
      <c r="T200" s="47" t="str">
        <f t="shared" si="53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19:37:03-700',mode:absolute,to:'2017-01-09 21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0" s="49" t="str">
        <f t="shared" si="55"/>
        <v>N</v>
      </c>
      <c r="X200" s="173">
        <f t="shared" si="77"/>
        <v>1</v>
      </c>
      <c r="Y200" s="64">
        <f t="shared" si="56"/>
        <v>5.8635999999999999</v>
      </c>
      <c r="Z200" s="64">
        <f t="shared" si="57"/>
        <v>6.8199999999999997E-2</v>
      </c>
      <c r="AA200" s="64">
        <f t="shared" si="58"/>
        <v>5.7953999999999999</v>
      </c>
      <c r="AB200" s="61" t="e">
        <f>VLOOKUP(A200,Enforcements!$C$7:$K$17,8,0)</f>
        <v>#N/A</v>
      </c>
      <c r="AC200" s="57" t="e">
        <f>VLOOKUP(A200,Enforcements!$C$7:$E$17,3,0)</f>
        <v>#N/A</v>
      </c>
      <c r="AD200" s="58" t="str">
        <f t="shared" si="59"/>
        <v>0842-09</v>
      </c>
      <c r="AE200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00" s="84" t="str">
        <f t="shared" si="61"/>
        <v>"C:\Program Files (x86)\AstroGrep\AstroGrep.exe" /spath="%USERPROFILE%\AppData\Local\Temp\OnboardLogs" /stypes="app*4013*20170110*" /stext=" 03:.+((SYSTEM_STATE.+slice.+state.+changed )|(ment ac)|(multiple cpu faults)|(system.+state.+changed )|(\[timeout)|(PRM\|1\|D)|(kpr)|(kdp)|(\|lc)|(penalty))" /e /r /s</v>
      </c>
      <c r="AG200" s="1" t="str">
        <f t="shared" si="62"/>
        <v>NW</v>
      </c>
      <c r="AH200" s="88" t="str">
        <f t="shared" si="48"/>
        <v>"%USERPROFILE%\Documents\GitHub\eaglep3\Utilities\RefineRTDCRunTimes.py" --tripid 842-09 --locoid 4013 --swversion DE.1.0.8.0 --startMP 300:58636 --initTime 2017-01-09T20:37:03 --startdatetime 2017-01-09T20:39:04 --delay 1 --endMP 204:682 --enddatetime 2017-01-09T20:55:24 --enforcementcount 0 &gt;&gt;C:\Users\stu\Documents\GitHub\eaglep3-reporting\EC\2017-01-09-refined-times.txt</v>
      </c>
      <c r="AI20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{"issue":{"subject":"","project_id":79,"tracker_id":40,"status_id":1,"priority_id":2,"assigned_to_id":23,"start_date":"2017-01-09","description":"","custom_fields":[{"id":1,"name":"Subdivision","value":"NW"},{"id":4,"name":"Milepost","value":"0.0682"},{"id":17,"name":"Train ID","value":"842-09"},{"id":16,"name":"Locomotive ID","value":"4013"},{"id":130,"name":"Impact","value":""},{"id":150,"name":"Time of Event (Mountain Time)","value":"20:55:24"},{"id":151,"name":"Denver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0"/>
        <v>start /low /b %USERPROFILE%\Documents\GitHub\eaglep3\Utilities\DownloadLogsFromS3.py --loco 4013 --day 2017-01-09</v>
      </c>
    </row>
    <row r="201" spans="1:91" x14ac:dyDescent="0.25">
      <c r="A201" s="34" t="s">
        <v>636</v>
      </c>
      <c r="B201" s="7">
        <v>4014</v>
      </c>
      <c r="C201" s="22" t="s">
        <v>203</v>
      </c>
      <c r="D201" s="22" t="s">
        <v>804</v>
      </c>
      <c r="E201" s="13">
        <v>42744.845358796294</v>
      </c>
      <c r="F201" s="13">
        <v>42744.84815972222</v>
      </c>
      <c r="G201" s="7">
        <v>1</v>
      </c>
      <c r="H201" s="22" t="s">
        <v>805</v>
      </c>
      <c r="I201" s="13">
        <v>42744.857777777775</v>
      </c>
      <c r="J201" s="7">
        <v>0</v>
      </c>
      <c r="K201" s="105" t="str">
        <f t="shared" si="51"/>
        <v>4013/4014</v>
      </c>
      <c r="L201" s="22" t="str">
        <f>VLOOKUP(A201,'Trips&amp;Operators'!$C$1:$G$99999,5,FALSE)</f>
        <v>SIMMONS SHYHESHA</v>
      </c>
      <c r="M201" s="6">
        <f t="shared" si="52"/>
        <v>9.6180555556202307E-3</v>
      </c>
      <c r="N201" s="7">
        <f t="shared" si="75"/>
        <v>13.850000000093132</v>
      </c>
      <c r="O201" s="7"/>
      <c r="P201" s="7"/>
      <c r="Q201" s="23"/>
      <c r="R201" s="23"/>
      <c r="S201" s="32">
        <f t="shared" si="76"/>
        <v>1</v>
      </c>
      <c r="T201" s="47" t="str">
        <f t="shared" si="53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19:17:19-700',mode:absolute,to:'2017-01-09 21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1" s="49" t="str">
        <f t="shared" si="55"/>
        <v>N</v>
      </c>
      <c r="X201" s="173">
        <f t="shared" si="77"/>
        <v>1</v>
      </c>
      <c r="Y201" s="64">
        <f t="shared" si="56"/>
        <v>9.4299999999999995E-2</v>
      </c>
      <c r="Z201" s="64">
        <f t="shared" si="57"/>
        <v>5.8956</v>
      </c>
      <c r="AA201" s="64">
        <f t="shared" si="58"/>
        <v>5.8013000000000003</v>
      </c>
      <c r="AB201" s="61" t="e">
        <f>VLOOKUP(A201,Enforcements!$C$7:$K$17,8,0)</f>
        <v>#N/A</v>
      </c>
      <c r="AC201" s="57" t="e">
        <f>VLOOKUP(A201,Enforcements!$C$7:$E$17,3,0)</f>
        <v>#N/A</v>
      </c>
      <c r="AD201" s="58" t="str">
        <f t="shared" si="59"/>
        <v>0843-09</v>
      </c>
      <c r="AE20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201" s="84" t="str">
        <f t="shared" si="61"/>
        <v>"C:\Program Files (x86)\AstroGrep\AstroGrep.exe" /spath="%USERPROFILE%\AppData\Local\Temp\OnboardLogs" /stypes="app*4014*20170110*" /stext=" 03:.+((SYSTEM_STATE.+slice.+state.+changed )|(ment ac)|(multiple cpu faults)|(system.+state.+changed )|(\[timeout)|(PRM\|1\|D)|(kpr)|(kdp)|(\|lc)|(penalty))" /e /r /s</v>
      </c>
      <c r="AG201" s="1" t="str">
        <f t="shared" si="62"/>
        <v>NW</v>
      </c>
      <c r="AH201" s="88" t="str">
        <f t="shared" si="48"/>
        <v>"%USERPROFILE%\Documents\GitHub\eaglep3\Utilities\RefineRTDCRunTimes.py" --tripid 843-09 --locoid 4014 --swversion DE.1.0.8.0 --startMP 204:943 --initTime 2017-01-09T20:17:19 --startdatetime 2017-01-09T20:21:21 --delay 1 --endMP 300:58956 --enddatetime 2017-01-09T20:35:12 --enforcementcount 0 &gt;&gt;C:\Users\stu\Documents\GitHub\eaglep3-reporting\EC\2017-01-09-refined-times.txt</v>
      </c>
      <c r="AI20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{"issue":{"subject":"","project_id":79,"tracker_id":40,"status_id":1,"priority_id":2,"assigned_to_id":23,"start_date":"2017-01-09","description":"","custom_fields":[{"id":1,"name":"Subdivision","value":"NW"},{"id":4,"name":"Milepost","value":"5.8956"},{"id":17,"name":"Train ID","value":"843-09"},{"id":16,"name":"Locomotive ID","value":"4014"},{"id":130,"name":"Impact","value":""},{"id":150,"name":"Time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0"/>
        <v>start /low /b %USERPROFILE%\Documents\GitHub\eaglep3\Utilities\DownloadLogsFromS3.py --loco 4014 --day 2017-01-09</v>
      </c>
    </row>
    <row r="202" spans="1:91" x14ac:dyDescent="0.25">
      <c r="A202" s="34" t="s">
        <v>643</v>
      </c>
      <c r="B202" s="7">
        <v>4013</v>
      </c>
      <c r="C202" s="22" t="s">
        <v>203</v>
      </c>
      <c r="D202" s="22" t="s">
        <v>806</v>
      </c>
      <c r="E202" s="13">
        <v>42744.900439814817</v>
      </c>
      <c r="F202" s="13">
        <v>42744.901956018519</v>
      </c>
      <c r="G202" s="7">
        <v>1</v>
      </c>
      <c r="H202" s="22" t="s">
        <v>807</v>
      </c>
      <c r="I202" s="13">
        <v>42744.902349537035</v>
      </c>
      <c r="J202" s="7">
        <v>0</v>
      </c>
      <c r="K202" s="105" t="str">
        <f t="shared" si="51"/>
        <v>4013/4014</v>
      </c>
      <c r="L202" s="22" t="str">
        <f>VLOOKUP(A202,'Trips&amp;Operators'!$C$1:$G$99999,5,FALSE)</f>
        <v>NEWELL JAMES</v>
      </c>
      <c r="M202" s="6">
        <f t="shared" si="52"/>
        <v>3.9351851592073217E-4</v>
      </c>
      <c r="N202" s="7"/>
      <c r="O202" s="7"/>
      <c r="P202" s="7">
        <f>24*60*SUM($M202:$M202)</f>
        <v>0.56666666292585433</v>
      </c>
      <c r="Q202" s="23"/>
      <c r="R202" s="23" t="s">
        <v>926</v>
      </c>
      <c r="S202" s="32">
        <f t="shared" si="76"/>
        <v>0</v>
      </c>
      <c r="T202" s="47" t="str">
        <f t="shared" si="53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20:36:38-700',mode:absolute,to:'2017-01-09 22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2" s="49" t="str">
        <f t="shared" si="55"/>
        <v>Y</v>
      </c>
      <c r="X202" s="173">
        <f t="shared" si="77"/>
        <v>1</v>
      </c>
      <c r="Y202" s="64">
        <f t="shared" si="56"/>
        <v>5.8589000000000002</v>
      </c>
      <c r="Z202" s="64">
        <f t="shared" si="57"/>
        <v>5.7083000000000004</v>
      </c>
      <c r="AA202" s="64">
        <f t="shared" si="58"/>
        <v>0.15059999999999985</v>
      </c>
      <c r="AB202" s="61" t="e">
        <f>VLOOKUP(A202,Enforcements!$C$7:$K$17,8,0)</f>
        <v>#N/A</v>
      </c>
      <c r="AC202" s="57" t="e">
        <f>VLOOKUP(A202,Enforcements!$C$7:$E$17,3,0)</f>
        <v>#N/A</v>
      </c>
      <c r="AD202" s="58" t="str">
        <f t="shared" si="59"/>
        <v>0844-09</v>
      </c>
      <c r="AE20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02" s="84" t="str">
        <f t="shared" si="61"/>
        <v>"C:\Program Files (x86)\AstroGrep\AstroGrep.exe" /spath="%USERPROFILE%\AppData\Local\Temp\OnboardLogs" /stypes="app*4013*20170110*" /stext=" 04:.+((SYSTEM_STATE.+slice.+state.+changed )|(ment ac)|(multiple cpu faults)|(system.+state.+changed )|(\[timeout)|(PRM\|1\|D)|(kpr)|(kdp)|(\|lc)|(penalty))" /e /r /s</v>
      </c>
      <c r="AG202" s="1" t="str">
        <f t="shared" si="62"/>
        <v>NW</v>
      </c>
      <c r="AH202" s="88" t="str">
        <f t="shared" si="48"/>
        <v>"%USERPROFILE%\Documents\GitHub\eaglep3\Utilities\RefineRTDCRunTimes.py" --tripid 844-09 --locoid 4013 --swversion DE.1.0.8.0 --startMP 300:58589 --initTime 2017-01-09T21:36:38 --startdatetime 2017-01-09T21:38:49 --delay 1 --endMP 300:57083 --enddatetime 2017-01-09T21:39:23 --enforcementcount 0 &gt;&gt;C:\Users\stu\Documents\GitHub\eaglep3-reporting\EC\2017-01-09-refined-times.txt</v>
      </c>
      <c r="AI202" s="115" t="str">
        <f t="shared" si="49"/>
        <v>echo {"issue":{"subject":"Went active too close to Westminster 2S","project_id":79,"tracker_id":40,"status_id":1,"priority_id":2,"assigned_to_id":23,"start_date":"2017-01-09","description":"","custom_fields":[{"id":1,"name":"Subdivision","value":"NW"},{"id":4,"name":"Milepost","value":"5.7083"},{"id":17,"name":"Train ID","value":"844-09"},{"id":16,"name":"Locomotive ID","value":"4013"},{"id":130,"name":"Impact","value":""},{"id":150,"name":"Time of Event (Mountain Time)","value":"21:39:23"},{"id":151,"name":"Denver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50"/>
        <v>start /low /b %USERPROFILE%\Documents\GitHub\eaglep3\Utilities\DownloadLogsFromS3.py --loco 4013 --day 2017-01-09</v>
      </c>
    </row>
    <row r="203" spans="1:91" x14ac:dyDescent="0.25">
      <c r="A203" s="34" t="s">
        <v>640</v>
      </c>
      <c r="B203" s="7">
        <v>4014</v>
      </c>
      <c r="C203" s="22" t="s">
        <v>203</v>
      </c>
      <c r="D203" s="22" t="s">
        <v>784</v>
      </c>
      <c r="E203" s="13">
        <v>42744.874942129631</v>
      </c>
      <c r="F203" s="13">
        <v>42744.889722222222</v>
      </c>
      <c r="G203" s="7">
        <v>2</v>
      </c>
      <c r="H203" s="22" t="s">
        <v>787</v>
      </c>
      <c r="I203" s="13">
        <v>42744.899560185186</v>
      </c>
      <c r="J203" s="7">
        <v>0</v>
      </c>
      <c r="K203" s="105" t="str">
        <f t="shared" si="51"/>
        <v>4013/4014</v>
      </c>
      <c r="L203" s="22" t="str">
        <f>VLOOKUP(A203,'Trips&amp;Operators'!$C$1:$G$99999,5,FALSE)</f>
        <v>NEWELL JAMES</v>
      </c>
      <c r="M203" s="6">
        <f t="shared" si="52"/>
        <v>9.8379629635019228E-3</v>
      </c>
      <c r="N203" s="7">
        <f t="shared" ref="N203:N232" si="78">24*60*SUM($M203:$M203)</f>
        <v>14.166666667442769</v>
      </c>
      <c r="O203" s="7"/>
      <c r="P203" s="7"/>
      <c r="Q203" s="23"/>
      <c r="R203" s="23"/>
      <c r="S203" s="32">
        <f t="shared" si="76"/>
        <v>1</v>
      </c>
      <c r="T203" s="47" t="str">
        <f t="shared" si="53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19:59:55-700',mode:absolute,to:'2017-01-09 22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49" t="str">
        <f t="shared" si="55"/>
        <v>N</v>
      </c>
      <c r="X203" s="173">
        <f t="shared" si="77"/>
        <v>1</v>
      </c>
      <c r="Y203" s="64">
        <f t="shared" si="56"/>
        <v>9.8100000000000007E-2</v>
      </c>
      <c r="Z203" s="64">
        <f t="shared" si="57"/>
        <v>5.8916000000000004</v>
      </c>
      <c r="AA203" s="64">
        <f t="shared" si="58"/>
        <v>5.7935000000000008</v>
      </c>
      <c r="AB203" s="61" t="e">
        <f>VLOOKUP(A203,Enforcements!$C$7:$K$17,8,0)</f>
        <v>#N/A</v>
      </c>
      <c r="AC203" s="57" t="e">
        <f>VLOOKUP(A203,Enforcements!$C$7:$E$17,3,0)</f>
        <v>#N/A</v>
      </c>
      <c r="AD203" s="58" t="str">
        <f t="shared" si="59"/>
        <v>0845-09</v>
      </c>
      <c r="AE203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203" s="84" t="str">
        <f t="shared" si="61"/>
        <v>"C:\Program Files (x86)\AstroGrep\AstroGrep.exe" /spath="%USERPROFILE%\AppData\Local\Temp\OnboardLogs" /stypes="app*4014*20170110*" /stext=" 04:.+((SYSTEM_STATE.+slice.+state.+changed )|(ment ac)|(multiple cpu faults)|(system.+state.+changed )|(\[timeout)|(PRM\|1\|D)|(kpr)|(kdp)|(\|lc)|(penalty))" /e /r /s</v>
      </c>
      <c r="AG203" s="1" t="str">
        <f t="shared" si="62"/>
        <v>NW</v>
      </c>
      <c r="AH203" s="88" t="str">
        <f t="shared" si="48"/>
        <v>"%USERPROFILE%\Documents\GitHub\eaglep3\Utilities\RefineRTDCRunTimes.py" --tripid 845-09 --locoid 4014 --swversion DE.1.0.8.0 --startMP 204:981 --initTime 2017-01-09T20:59:55 --startdatetime 2017-01-09T21:21:12 --delay 2 --endMP 300:58916 --enddatetime 2017-01-09T21:35:22 --enforcementcount 0 &gt;&gt;C:\Users\stu\Documents\GitHub\eaglep3-reporting\EC\2017-01-09-refined-times.txt</v>
      </c>
      <c r="AI20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{"issue":{"subject":"","project_id":79,"tracker_id":40,"status_id":1,"priority_id":2,"assigned_to_id":23,"start_date":"2017-01-09","description":"","custom_fields":[{"id":1,"name":"Subdivision","value":"NW"},{"id":4,"name":"Milepost","value":"5.8916"},{"id":17,"name":"Train ID","value":"845-09"},{"id":16,"name":"Locomotive ID","value":"4014"},{"id":130,"name":"Impact","value":""},{"id":150,"name":"Time of Event (Mountain Time)","value":"21:35:22"},{"id":151,"name":"Denver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50"/>
        <v>start /low /b %USERPROFILE%\Documents\GitHub\eaglep3\Utilities\DownloadLogsFromS3.py --loco 4014 --day 2017-01-09</v>
      </c>
    </row>
    <row r="204" spans="1:91" x14ac:dyDescent="0.25">
      <c r="A204" s="34" t="s">
        <v>645</v>
      </c>
      <c r="B204" s="7">
        <v>4014</v>
      </c>
      <c r="C204" s="22" t="s">
        <v>203</v>
      </c>
      <c r="D204" s="22" t="s">
        <v>794</v>
      </c>
      <c r="E204" s="13">
        <v>42744.914965277778</v>
      </c>
      <c r="F204" s="13">
        <v>42744.931458333333</v>
      </c>
      <c r="G204" s="7">
        <v>1</v>
      </c>
      <c r="H204" s="22" t="s">
        <v>276</v>
      </c>
      <c r="I204" s="13">
        <v>42744.941168981481</v>
      </c>
      <c r="J204" s="7">
        <v>0</v>
      </c>
      <c r="K204" s="105" t="str">
        <f t="shared" si="51"/>
        <v>4013/4014</v>
      </c>
      <c r="L204" s="22" t="str">
        <f>VLOOKUP(A204,'Trips&amp;Operators'!$C$1:$G$99999,5,FALSE)</f>
        <v>NEWELL JAMES</v>
      </c>
      <c r="M204" s="6">
        <f t="shared" si="52"/>
        <v>9.710648148029577E-3</v>
      </c>
      <c r="N204" s="7">
        <f t="shared" si="78"/>
        <v>13.983333333162591</v>
      </c>
      <c r="O204" s="7"/>
      <c r="P204" s="7"/>
      <c r="Q204" s="23"/>
      <c r="R204" s="23"/>
      <c r="S204" s="32">
        <f t="shared" si="76"/>
        <v>1</v>
      </c>
      <c r="T204" s="47" t="str">
        <f t="shared" si="53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20:57:33-700',mode:absolute,to:'2017-01-09 23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49" t="str">
        <f t="shared" si="55"/>
        <v>N</v>
      </c>
      <c r="X204" s="173">
        <f t="shared" si="77"/>
        <v>2</v>
      </c>
      <c r="Y204" s="64">
        <f t="shared" si="56"/>
        <v>9.5100000000000004E-2</v>
      </c>
      <c r="Z204" s="64">
        <f t="shared" si="57"/>
        <v>5.8930999999999996</v>
      </c>
      <c r="AA204" s="64">
        <f t="shared" si="58"/>
        <v>5.7979999999999992</v>
      </c>
      <c r="AB204" s="61" t="e">
        <f>VLOOKUP(A204,Enforcements!$C$7:$K$17,8,0)</f>
        <v>#N/A</v>
      </c>
      <c r="AC204" s="57" t="e">
        <f>VLOOKUP(A204,Enforcements!$C$7:$E$17,3,0)</f>
        <v>#N/A</v>
      </c>
      <c r="AD204" s="58" t="str">
        <f t="shared" si="59"/>
        <v>0847-09</v>
      </c>
      <c r="AE204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204" s="84" t="str">
        <f t="shared" si="61"/>
        <v>"C:\Program Files (x86)\AstroGrep\AstroGrep.exe" /spath="%USERPROFILE%\AppData\Local\Temp\OnboardLogs" /stypes="app*4014*20170110*" /stext=" 05:.+((SYSTEM_STATE.+slice.+state.+changed )|(ment ac)|(multiple cpu faults)|(system.+state.+changed )|(\[timeout)|(PRM\|1\|D)|(kpr)|(kdp)|(\|lc)|(penalty))" /e /r /s</v>
      </c>
      <c r="AG204" s="1" t="str">
        <f t="shared" si="62"/>
        <v>NW</v>
      </c>
      <c r="AH204" s="88" t="str">
        <f t="shared" si="48"/>
        <v>"%USERPROFILE%\Documents\GitHub\eaglep3\Utilities\RefineRTDCRunTimes.py" --tripid 847-09 --locoid 4014 --swversion DE.1.0.8.0 --startMP 204:951 --initTime 2017-01-09T21:57:33 --startdatetime 2017-01-09T22:21:18 --delay 1 --endMP 300:58931 --enddatetime 2017-01-09T22:35:17 --enforcementcount 0 &gt;&gt;C:\Users\stu\Documents\GitHub\eaglep3-reporting\EC\2017-01-09-refined-times.txt</v>
      </c>
      <c r="AI20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{"issue":{"subject":"","project_id":79,"tracker_id":40,"status_id":1,"priority_id":2,"assigned_to_id":23,"start_date":"2017-01-09","description":"","custom_fields":[{"id":1,"name":"Subdivision","value":"NW"},{"id":4,"name":"Milepost","value":"5.8931"},{"id":17,"name":"Train ID","value":"847-09"},{"id":16,"name":"Locomotive ID","value":"4014"},{"id":130,"name":"Impact","value":""},{"id":150,"name":"Time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50"/>
        <v>start /low /b %USERPROFILE%\Documents\GitHub\eaglep3\Utilities\DownloadLogsFromS3.py --loco 4014 --day 2017-01-09</v>
      </c>
    </row>
    <row r="205" spans="1:91" x14ac:dyDescent="0.25">
      <c r="A205" s="34" t="s">
        <v>454</v>
      </c>
      <c r="B205" s="7">
        <v>4032</v>
      </c>
      <c r="C205" s="22" t="s">
        <v>203</v>
      </c>
      <c r="D205" s="22" t="s">
        <v>725</v>
      </c>
      <c r="E205" s="13">
        <v>42744.115104166667</v>
      </c>
      <c r="F205" s="13">
        <v>42744.118333333332</v>
      </c>
      <c r="G205" s="7">
        <v>4</v>
      </c>
      <c r="H205" s="22" t="s">
        <v>209</v>
      </c>
      <c r="I205" s="13">
        <v>42744.128391203703</v>
      </c>
      <c r="J205" s="7">
        <v>0</v>
      </c>
      <c r="K205" s="105" t="str">
        <f t="shared" ref="K205:K232" si="79">IF(ISEVEN(B205),(B205-1)&amp;"/"&amp;B205,B205&amp;"/"&amp;(B205+1))</f>
        <v>4031/4032</v>
      </c>
      <c r="L205" s="22" t="str">
        <f>VLOOKUP(A205,'Trips&amp;Operators'!$C$1:$G$99999,5,FALSE)</f>
        <v>OUN ZACK</v>
      </c>
      <c r="M205" s="6">
        <f t="shared" ref="M205:M232" si="80">I205-F205</f>
        <v>1.0057870371383615E-2</v>
      </c>
      <c r="N205" s="7">
        <f t="shared" si="78"/>
        <v>14.483333334792405</v>
      </c>
      <c r="O205" s="7"/>
      <c r="P205" s="7"/>
      <c r="Q205" s="23"/>
      <c r="R205" s="23"/>
      <c r="S205" s="32">
        <f t="shared" si="76"/>
        <v>1</v>
      </c>
      <c r="T205" s="47" t="str">
        <f t="shared" ref="T205:T232" si="81">IF(ISEVEN(LEFT(AD205,4)),"Southbound","NorthBound")</f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2" si="82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https://search-rtdc-monitor-bjffxe2xuh6vdkpspy63sjmuny.us-east-1.es.amazonaws.com/_plugin/kibana/#/discover/Steve-Slow-Train-Analysis-(2080s-and-2083s)?_g=(refreshInterval:(display:Off,section:0,value:0),time:(from:'2017-01-09 01:45:45-700',mode:absolute,to:'2017-01-09 04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49" t="str">
        <f t="shared" ref="W205:W232" si="83">IF(AA205&lt;IF(AG205="EC",23,5.65),"Y","N")</f>
        <v>Y</v>
      </c>
      <c r="X205" s="173">
        <f t="shared" si="77"/>
        <v>-545</v>
      </c>
      <c r="Y205" s="64">
        <f t="shared" ref="Y205:Y232" si="84">RIGHT(D205,LEN(D205)-4)/10000</f>
        <v>2.3100999999999998</v>
      </c>
      <c r="Z205" s="64">
        <f t="shared" ref="Z205:Z232" si="85">RIGHT(H205,LEN(H205)-4)/10000</f>
        <v>1.4999999999999999E-2</v>
      </c>
      <c r="AA205" s="64">
        <f t="shared" ref="AA205:AA232" si="86">ABS(Z205-Y205)</f>
        <v>2.2950999999999997</v>
      </c>
      <c r="AB205" s="61" t="e">
        <f>VLOOKUP(A205,Enforcements!$C$7:$K$17,8,0)</f>
        <v>#N/A</v>
      </c>
      <c r="AC205" s="57" t="e">
        <f>VLOOKUP(A205,Enforcements!$C$7:$E$17,3,0)</f>
        <v>#N/A</v>
      </c>
      <c r="AD205" s="58" t="str">
        <f t="shared" ref="AD205:AD232" si="87">IF(LEN(A205)=6,"0"&amp;A205,A205)</f>
        <v>0302-09</v>
      </c>
      <c r="AE205" s="87" t="str">
        <f t="shared" ref="AE205:AE232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205" s="84" t="str">
        <f t="shared" ref="AF205:AF232" si="8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/stypes="app*4032*20170109*" /stext=" 10:.+((SYSTEM_STATE.+slice.+state.+changed )|(ment ac)|(multiple cpu faults)|(system.+state.+changed )|(\[timeout)|(PRM\|1\|D)|(kpr)|(kdp)|(\|lc)|(penalty))" /e /r /s</v>
      </c>
      <c r="AG205" s="1" t="str">
        <f t="shared" ref="AG205:AG232" si="90">IFERROR(IF(VALUE(LEFT(AD205,2))&lt;=2,"EC",IF(OR(VALUE(LEFT(AD205,2))=8,VALUE(LEFT(AD205,2))=18),"NW","Other")),"Other")</f>
        <v>Other</v>
      </c>
      <c r="AH205" s="88" t="str">
        <f t="shared" si="48"/>
        <v>"%USERPROFILE%\Documents\GitHub\eaglep3\Utilities\RefineRTDCRunTimes.py" --tripid 302-09 --locoid 4032 --swversion DE.1.0.8.0 --startMP 300:23101 --initTime 2017-01-09T02:45:45 --startdatetime 2017-01-09T02:50:24 --delay 4 --endMP 204:150 --enddatetime 2017-01-09T03:04:53 --enforcementcount 0 &gt;&gt;C:\Users\stu\Documents\GitHub\eaglep3-reporting\EC\2017-01-09-refined-times.txt</v>
      </c>
      <c r="AI205" s="115" t="str">
        <f t="shared" si="49"/>
        <v>echo {"issue":{"subject":"","project_id":79,"tracker_id":40,"status_id":1,"priority_id":2,"assigned_to_id":23,"start_date":"2017-01-09","description":"","custom_fields":[{"id":1,"name":"Subdivision","value":"Other"},{"id":4,"name":"Milepost","value":"0.015"},{"id":17,"name":"Train ID","value":"302-09"},{"id":16,"name":"Locomotive ID","value":"4032"},{"id":130,"name":"Impact","value":""},{"id":150,"name":"Time of Event (Mountain Time)","value":"03:04:53"},{"id":151,"name":"Denver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50"/>
        <v>start /low /b %USERPROFILE%\Documents\GitHub\eaglep3\Utilities\DownloadLogsFromS3.py --loco 4032 --day 2017-01-09</v>
      </c>
    </row>
    <row r="206" spans="1:91" x14ac:dyDescent="0.25">
      <c r="A206" s="34" t="s">
        <v>621</v>
      </c>
      <c r="B206" s="7">
        <v>4020</v>
      </c>
      <c r="C206" s="22" t="s">
        <v>203</v>
      </c>
      <c r="D206" s="22" t="s">
        <v>726</v>
      </c>
      <c r="E206" s="13">
        <v>42744.777384259258</v>
      </c>
      <c r="F206" s="13">
        <v>25568.708333333332</v>
      </c>
      <c r="G206" s="7">
        <v>1</v>
      </c>
      <c r="H206" s="22" t="s">
        <v>727</v>
      </c>
      <c r="I206" s="13">
        <v>25568.708333333332</v>
      </c>
      <c r="J206" s="7">
        <v>0</v>
      </c>
      <c r="K206" s="105" t="str">
        <f t="shared" si="79"/>
        <v>4019/4020</v>
      </c>
      <c r="L206" s="22" t="str">
        <f>VLOOKUP(A206,'Trips&amp;Operators'!$C$1:$G$99999,5,FALSE)</f>
        <v>ADANE ELSHADAY</v>
      </c>
      <c r="M206" s="6">
        <f t="shared" si="80"/>
        <v>0</v>
      </c>
      <c r="N206" s="7">
        <f t="shared" si="78"/>
        <v>0</v>
      </c>
      <c r="O206" s="7"/>
      <c r="P206" s="7"/>
      <c r="Q206" s="23"/>
      <c r="R206" s="23"/>
      <c r="S206" s="32">
        <f t="shared" si="76"/>
        <v>1</v>
      </c>
      <c r="T206" s="47" t="str">
        <f t="shared" si="81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17:39:26-700',mode:absolute,to:'1969-12-31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49" t="str">
        <f t="shared" si="83"/>
        <v>Y</v>
      </c>
      <c r="X206" s="173">
        <f t="shared" si="77"/>
        <v>1</v>
      </c>
      <c r="Y206" s="64">
        <f t="shared" si="84"/>
        <v>0.1231</v>
      </c>
      <c r="Z206" s="64">
        <f t="shared" si="85"/>
        <v>2.331</v>
      </c>
      <c r="AA206" s="64">
        <f t="shared" si="86"/>
        <v>2.2079</v>
      </c>
      <c r="AB206" s="61" t="e">
        <f>VLOOKUP(A206,Enforcements!$C$7:$K$17,8,0)</f>
        <v>#N/A</v>
      </c>
      <c r="AC206" s="57" t="e">
        <f>VLOOKUP(A206,Enforcements!$C$7:$E$17,3,0)</f>
        <v>#N/A</v>
      </c>
      <c r="AD206" s="58" t="str">
        <f t="shared" si="87"/>
        <v>0303-09</v>
      </c>
      <c r="AE206" s="87" t="str">
        <f t="shared" si="8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6" s="84" t="str">
        <f t="shared" si="89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6" s="1" t="str">
        <f t="shared" si="90"/>
        <v>Other</v>
      </c>
      <c r="AH206" s="88" t="str">
        <f t="shared" si="48"/>
        <v>"%USERPROFILE%\Documents\GitHub\eaglep3\Utilities\RefineRTDCRunTimes.py" --tripid 303-09 --locoid 4020 --swversion DE.1.0.8.0 --startMP 204:1231 --initTime 2017-01-09T18:39:26 --startdatetime 1969-12-31T17:00:00 --delay 1 --endMP 300:23310 --enddatetime 1969-12-31T17:00:00 --enforcementcount 0 &gt;&gt;C:\Users\stu\Documents\GitHub\eaglep3-reporting\EC\2017-01-09-refined-times.txt</v>
      </c>
      <c r="AI206" s="115" t="str">
        <f t="shared" si="4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ID","value":"303-09"},{"id":16,"name":"Locomotive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50"/>
        <v>start /low /b %USERPROFILE%\Documents\GitHub\eaglep3\Utilities\DownloadLogsFromS3.py --loco 4020 --day 1969-12-31</v>
      </c>
    </row>
    <row r="207" spans="1:91" x14ac:dyDescent="0.25">
      <c r="A207" s="34" t="s">
        <v>456</v>
      </c>
      <c r="B207" s="7">
        <v>4026</v>
      </c>
      <c r="C207" s="22" t="s">
        <v>203</v>
      </c>
      <c r="D207" s="22" t="s">
        <v>728</v>
      </c>
      <c r="E207" s="13">
        <v>42744.143993055557</v>
      </c>
      <c r="F207" s="13">
        <v>42744.147789351853</v>
      </c>
      <c r="G207" s="7">
        <v>5</v>
      </c>
      <c r="H207" s="22" t="s">
        <v>416</v>
      </c>
      <c r="I207" s="13">
        <v>42744.153969907406</v>
      </c>
      <c r="J207" s="7">
        <v>0</v>
      </c>
      <c r="K207" s="105" t="str">
        <f t="shared" si="79"/>
        <v>4025/4026</v>
      </c>
      <c r="L207" s="22" t="str">
        <f>VLOOKUP(A207,'Trips&amp;Operators'!$C$1:$G$99999,5,FALSE)</f>
        <v>MAELZER KURT</v>
      </c>
      <c r="M207" s="6">
        <f t="shared" si="80"/>
        <v>6.1805555524188094E-3</v>
      </c>
      <c r="N207" s="7">
        <f t="shared" si="78"/>
        <v>8.8999999954830855</v>
      </c>
      <c r="O207" s="7"/>
      <c r="P207" s="7"/>
      <c r="Q207" s="23"/>
      <c r="R207" s="23"/>
      <c r="S207" s="32">
        <f t="shared" si="76"/>
        <v>1</v>
      </c>
      <c r="T207" s="47" t="str">
        <f t="shared" si="81"/>
        <v>Southbound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02:27:21-700',mode:absolute,to:'2017-01-09 04:41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7" s="49" t="str">
        <f t="shared" si="83"/>
        <v>Y</v>
      </c>
      <c r="X207" s="173">
        <f t="shared" si="77"/>
        <v>1</v>
      </c>
      <c r="Y207" s="64">
        <f t="shared" si="84"/>
        <v>2.0518999999999998</v>
      </c>
      <c r="Z207" s="64">
        <f t="shared" si="85"/>
        <v>1.2999999999999999E-2</v>
      </c>
      <c r="AA207" s="64">
        <f t="shared" si="86"/>
        <v>2.0388999999999999</v>
      </c>
      <c r="AB207" s="61" t="e">
        <f>VLOOKUP(A207,Enforcements!$C$7:$K$17,8,0)</f>
        <v>#N/A</v>
      </c>
      <c r="AC207" s="57" t="e">
        <f>VLOOKUP(A207,Enforcements!$C$7:$E$17,3,0)</f>
        <v>#N/A</v>
      </c>
      <c r="AD207" s="58" t="str">
        <f t="shared" si="87"/>
        <v>0304-09</v>
      </c>
      <c r="AE207" s="87" t="str">
        <f t="shared" si="88"/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AF207" s="84" t="str">
        <f t="shared" si="89"/>
        <v>"C:\Program Files (x86)\AstroGrep\AstroGrep.exe" /spath="%USERPROFILE%\AppData\Local\Temp\OnboardLogs" /stypes="app*4026*20170109*" /stext=" 10:.+((SYSTEM_STATE.+slice.+state.+changed )|(ment ac)|(multiple cpu faults)|(system.+state.+changed )|(\[timeout)|(PRM\|1\|D)|(kpr)|(kdp)|(\|lc)|(penalty))" /e /r /s</v>
      </c>
      <c r="AG207" s="1" t="str">
        <f t="shared" si="90"/>
        <v>Other</v>
      </c>
      <c r="AH207" s="88" t="str">
        <f t="shared" ref="AH207:AH232" si="91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304-09 --locoid 4026 --swversion DE.1.0.8.0 --startMP 300:20519 --initTime 2017-01-09T03:27:21 --startdatetime 2017-01-09T03:32:49 --delay 5 --endMP 204:130 --enddatetime 2017-01-09T03:41:43 --enforcementcount 0 &gt;&gt;C:\Users\stu\Documents\GitHub\eaglep3-reporting\EC\2017-01-09-refined-times.txt</v>
      </c>
      <c r="AI207" s="115" t="str">
        <f t="shared" ref="AI207:AI232" si="92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{"issue":{"subject":"","project_id":79,"tracker_id":40,"status_id":1,"priority_id":2,"assigned_to_id":23,"start_date":"2017-01-09","description":"","custom_fields":[{"id":1,"name":"Subdivision","value":"Other"},{"id":4,"name":"Milepost","value":"0.013"},{"id":17,"name":"Train ID","value":"304-09"},{"id":16,"name":"Locomotive ID","value":"4026"},{"id":130,"name":"Impact","value":""},{"id":150,"name":"Time of Event (Mountain Time)","value":"03:41:43"},{"id":151,"name":"Denver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ref="AM207:AM232" si="93">"start /low /b "&amp;dls3logs&amp;" --loco "&amp;B207&amp;" --day "&amp;TEXT(F207,"YYYY-MM-DD")</f>
        <v>start /low /b %USERPROFILE%\Documents\GitHub\eaglep3\Utilities\DownloadLogsFromS3.py --loco 4026 --day 2017-01-09</v>
      </c>
    </row>
    <row r="208" spans="1:91" x14ac:dyDescent="0.25">
      <c r="A208" s="34" t="s">
        <v>626</v>
      </c>
      <c r="B208" s="7">
        <v>4031</v>
      </c>
      <c r="C208" s="22" t="s">
        <v>203</v>
      </c>
      <c r="D208" s="22" t="s">
        <v>326</v>
      </c>
      <c r="E208" s="13">
        <v>42744.796724537038</v>
      </c>
      <c r="F208" s="13">
        <v>25568.708333333332</v>
      </c>
      <c r="G208" s="7">
        <v>0</v>
      </c>
      <c r="H208" s="22" t="s">
        <v>729</v>
      </c>
      <c r="I208" s="13">
        <v>25568.708333333332</v>
      </c>
      <c r="J208" s="7">
        <v>0</v>
      </c>
      <c r="K208" s="105" t="str">
        <f t="shared" si="79"/>
        <v>4031/4032</v>
      </c>
      <c r="L208" s="22" t="str">
        <f>VLOOKUP(A208,'Trips&amp;Operators'!$C$1:$G$99999,5,FALSE)</f>
        <v>CRAYTON QUNTRELL</v>
      </c>
      <c r="M208" s="6">
        <f t="shared" si="80"/>
        <v>0</v>
      </c>
      <c r="N208" s="7">
        <f t="shared" si="78"/>
        <v>0</v>
      </c>
      <c r="O208" s="7"/>
      <c r="P208" s="7"/>
      <c r="Q208" s="23"/>
      <c r="R208" s="23"/>
      <c r="S208" s="32">
        <f t="shared" si="76"/>
        <v>1</v>
      </c>
      <c r="T208" s="47" t="str">
        <f t="shared" si="81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18:07:17-700',mode:absolute,to:'1969-12-31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8" s="49" t="str">
        <f t="shared" si="83"/>
        <v>Y</v>
      </c>
      <c r="X208" s="173">
        <f t="shared" si="77"/>
        <v>1</v>
      </c>
      <c r="Y208" s="64">
        <f t="shared" si="84"/>
        <v>4.8399999999999999E-2</v>
      </c>
      <c r="Z208" s="64">
        <f t="shared" si="85"/>
        <v>2.3294999999999999</v>
      </c>
      <c r="AA208" s="64">
        <f t="shared" si="86"/>
        <v>2.2810999999999999</v>
      </c>
      <c r="AB208" s="61" t="e">
        <f>VLOOKUP(A208,Enforcements!$C$7:$K$17,8,0)</f>
        <v>#N/A</v>
      </c>
      <c r="AC208" s="57" t="e">
        <f>VLOOKUP(A208,Enforcements!$C$7:$E$17,3,0)</f>
        <v>#N/A</v>
      </c>
      <c r="AD208" s="58" t="str">
        <f t="shared" si="87"/>
        <v>0305-09</v>
      </c>
      <c r="AE208" s="87" t="str">
        <f t="shared" si="8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8" s="84" t="str">
        <f t="shared" si="89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8" s="1" t="str">
        <f t="shared" si="90"/>
        <v>Other</v>
      </c>
      <c r="AH208" s="88" t="str">
        <f t="shared" si="91"/>
        <v>"%USERPROFILE%\Documents\GitHub\eaglep3\Utilities\RefineRTDCRunTimes.py" --tripid 305-09 --locoid 4031 --swversion DE.1.0.8.0 --startMP 204:484 --initTime 2017-01-09T19:07:17 --startdatetime 1969-12-31T17:00:00 --delay 0 --endMP 300:23295 --enddatetime 1969-12-31T17:00:00 --enforcementcount 0 &gt;&gt;C:\Users\stu\Documents\GitHub\eaglep3-reporting\EC\2017-01-09-refined-times.txt</v>
      </c>
      <c r="AI208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ID","value":"305-09"},{"id":16,"name":"Locomotive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3"/>
        <v>start /low /b %USERPROFILE%\Documents\GitHub\eaglep3\Utilities\DownloadLogsFromS3.py --loco 4031 --day 1969-12-31</v>
      </c>
    </row>
    <row r="209" spans="1:39" x14ac:dyDescent="0.25">
      <c r="A209" s="34" t="s">
        <v>458</v>
      </c>
      <c r="B209" s="7">
        <v>4010</v>
      </c>
      <c r="C209" s="22" t="s">
        <v>203</v>
      </c>
      <c r="D209" s="22" t="s">
        <v>730</v>
      </c>
      <c r="E209" s="13">
        <v>42744.165034722224</v>
      </c>
      <c r="F209" s="13">
        <v>42744.16741898148</v>
      </c>
      <c r="G209" s="7">
        <v>1</v>
      </c>
      <c r="H209" s="22" t="s">
        <v>244</v>
      </c>
      <c r="I209" s="13">
        <v>42744.174479166664</v>
      </c>
      <c r="J209" s="7">
        <v>0</v>
      </c>
      <c r="K209" s="105" t="str">
        <f t="shared" si="79"/>
        <v>4009/4010</v>
      </c>
      <c r="L209" s="22" t="str">
        <f>VLOOKUP(A209,'Trips&amp;Operators'!$C$1:$G$99999,5,FALSE)</f>
        <v>STARKS ANGELINA</v>
      </c>
      <c r="M209" s="6">
        <f t="shared" si="80"/>
        <v>7.0601851839455776E-3</v>
      </c>
      <c r="N209" s="7">
        <f t="shared" si="78"/>
        <v>10.166666664881632</v>
      </c>
      <c r="O209" s="7"/>
      <c r="P209" s="7"/>
      <c r="Q209" s="23"/>
      <c r="R209" s="23"/>
      <c r="S209" s="32">
        <f t="shared" si="76"/>
        <v>1</v>
      </c>
      <c r="T209" s="47" t="str">
        <f t="shared" si="81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02:57:39-700',mode:absolute,to:'2017-01-09 05:11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9" s="49" t="str">
        <f t="shared" si="83"/>
        <v>Y</v>
      </c>
      <c r="X209" s="173">
        <f t="shared" si="77"/>
        <v>1</v>
      </c>
      <c r="Y209" s="64">
        <f t="shared" si="84"/>
        <v>2.5108999999999999</v>
      </c>
      <c r="Z209" s="64">
        <f t="shared" si="85"/>
        <v>1.3899999999999999E-2</v>
      </c>
      <c r="AA209" s="64">
        <f t="shared" si="86"/>
        <v>2.4969999999999999</v>
      </c>
      <c r="AB209" s="61" t="e">
        <f>VLOOKUP(A209,Enforcements!$C$7:$K$17,8,0)</f>
        <v>#N/A</v>
      </c>
      <c r="AC209" s="57" t="e">
        <f>VLOOKUP(A209,Enforcements!$C$7:$E$17,3,0)</f>
        <v>#N/A</v>
      </c>
      <c r="AD209" s="58" t="str">
        <f t="shared" si="87"/>
        <v>0306-09</v>
      </c>
      <c r="AE209" s="87" t="str">
        <f t="shared" si="88"/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AF209" s="84" t="str">
        <f t="shared" si="89"/>
        <v>"C:\Program Files (x86)\AstroGrep\AstroGrep.exe" /spath="%USERPROFILE%\AppData\Local\Temp\OnboardLogs" /stypes="app*4010*20170109*" /stext=" 11:.+((SYSTEM_STATE.+slice.+state.+changed )|(ment ac)|(multiple cpu faults)|(system.+state.+changed )|(\[timeout)|(PRM\|1\|D)|(kpr)|(kdp)|(\|lc)|(penalty))" /e /r /s</v>
      </c>
      <c r="AG209" s="1" t="str">
        <f t="shared" si="90"/>
        <v>Other</v>
      </c>
      <c r="AH209" s="88" t="str">
        <f t="shared" si="91"/>
        <v>"%USERPROFILE%\Documents\GitHub\eaglep3\Utilities\RefineRTDCRunTimes.py" --tripid 306-09 --locoid 4010 --swversion DE.1.0.8.0 --startMP 300:25109 --initTime 2017-01-09T03:57:39 --startdatetime 2017-01-09T04:01:05 --delay 1 --endMP 204:139 --enddatetime 2017-01-09T04:11:15 --enforcementcount 0 &gt;&gt;C:\Users\stu\Documents\GitHub\eaglep3-reporting\EC\2017-01-09-refined-times.txt</v>
      </c>
      <c r="AI209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{"issue":{"subject":"","project_id":79,"tracker_id":40,"status_id":1,"priority_id":2,"assigned_to_id":23,"start_date":"2017-01-09","description":"","custom_fields":[{"id":1,"name":"Subdivision","value":"Other"},{"id":4,"name":"Milepost","value":"0.0139"},{"id":17,"name":"Train ID","value":"306-09"},{"id":16,"name":"Locomotive ID","value":"4010"},{"id":130,"name":"Impact","value":""},{"id":150,"name":"Time of Event (Mountain Time)","value":"04:11:15"},{"id":151,"name":"Denver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3"/>
        <v>start /low /b %USERPROFILE%\Documents\GitHub\eaglep3\Utilities\DownloadLogsFromS3.py --loco 4010 --day 2017-01-09</v>
      </c>
    </row>
    <row r="210" spans="1:39" x14ac:dyDescent="0.25">
      <c r="A210" s="34" t="s">
        <v>631</v>
      </c>
      <c r="B210" s="7">
        <v>4009</v>
      </c>
      <c r="C210" s="22" t="s">
        <v>203</v>
      </c>
      <c r="D210" s="22" t="s">
        <v>224</v>
      </c>
      <c r="E210" s="13">
        <v>42744.81795138889</v>
      </c>
      <c r="F210" s="13">
        <v>25568.708333333332</v>
      </c>
      <c r="G210" s="7">
        <v>1</v>
      </c>
      <c r="H210" s="22" t="s">
        <v>727</v>
      </c>
      <c r="I210" s="13">
        <v>25568.708333333332</v>
      </c>
      <c r="J210" s="7">
        <v>0</v>
      </c>
      <c r="K210" s="105" t="str">
        <f t="shared" si="79"/>
        <v>4009/4010</v>
      </c>
      <c r="L210" s="22" t="str">
        <f>VLOOKUP(A210,'Trips&amp;Operators'!$C$1:$G$99999,5,FALSE)</f>
        <v>COMELLA JUSTIN</v>
      </c>
      <c r="M210" s="6">
        <f t="shared" si="80"/>
        <v>0</v>
      </c>
      <c r="N210" s="7">
        <f t="shared" si="78"/>
        <v>0</v>
      </c>
      <c r="O210" s="7"/>
      <c r="P210" s="7"/>
      <c r="Q210" s="23"/>
      <c r="R210" s="23"/>
      <c r="S210" s="32">
        <f t="shared" si="76"/>
        <v>1</v>
      </c>
      <c r="T210" s="47" t="str">
        <f t="shared" si="81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18:37:51-700',mode:absolute,to:'1969-12-31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0" s="49" t="str">
        <f t="shared" si="83"/>
        <v>Y</v>
      </c>
      <c r="X210" s="173">
        <f t="shared" si="77"/>
        <v>1</v>
      </c>
      <c r="Y210" s="64">
        <f t="shared" si="84"/>
        <v>4.5499999999999999E-2</v>
      </c>
      <c r="Z210" s="64">
        <f t="shared" si="85"/>
        <v>2.331</v>
      </c>
      <c r="AA210" s="64">
        <f t="shared" si="86"/>
        <v>2.2854999999999999</v>
      </c>
      <c r="AB210" s="61" t="e">
        <f>VLOOKUP(A210,Enforcements!$C$7:$K$17,8,0)</f>
        <v>#N/A</v>
      </c>
      <c r="AC210" s="57" t="e">
        <f>VLOOKUP(A210,Enforcements!$C$7:$E$17,3,0)</f>
        <v>#N/A</v>
      </c>
      <c r="AD210" s="58" t="str">
        <f t="shared" si="87"/>
        <v>0307-09</v>
      </c>
      <c r="AE210" s="87" t="str">
        <f t="shared" si="88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0" s="84" t="str">
        <f t="shared" si="89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0" s="1" t="str">
        <f t="shared" si="90"/>
        <v>Other</v>
      </c>
      <c r="AH210" s="88" t="str">
        <f t="shared" si="91"/>
        <v>"%USERPROFILE%\Documents\GitHub\eaglep3\Utilities\RefineRTDCRunTimes.py" --tripid 307-09 --locoid 4009 --swversion DE.1.0.8.0 --startMP 204:455 --initTime 2017-01-09T19:37:51 --startdatetime 1969-12-31T17:00:00 --delay 1 --endMP 300:23310 --enddatetime 1969-12-31T17:00:00 --enforcementcount 0 &gt;&gt;C:\Users\stu\Documents\GitHub\eaglep3-reporting\EC\2017-01-09-refined-times.txt</v>
      </c>
      <c r="AI210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3"/>
        <v>start /low /b %USERPROFILE%\Documents\GitHub\eaglep3\Utilities\DownloadLogsFromS3.py --loco 4009 --day 1969-12-31</v>
      </c>
    </row>
    <row r="211" spans="1:39" x14ac:dyDescent="0.25">
      <c r="A211" s="34" t="s">
        <v>461</v>
      </c>
      <c r="B211" s="7">
        <v>4043</v>
      </c>
      <c r="C211" s="22" t="s">
        <v>203</v>
      </c>
      <c r="D211" s="22" t="s">
        <v>731</v>
      </c>
      <c r="E211" s="13">
        <v>42744.171898148146</v>
      </c>
      <c r="F211" s="13">
        <v>42744.173877314817</v>
      </c>
      <c r="G211" s="7">
        <v>1</v>
      </c>
      <c r="H211" s="22" t="s">
        <v>389</v>
      </c>
      <c r="I211" s="13">
        <v>42744.181469907409</v>
      </c>
      <c r="J211" s="7">
        <v>0</v>
      </c>
      <c r="K211" s="105" t="str">
        <f t="shared" si="79"/>
        <v>4043/4044</v>
      </c>
      <c r="L211" s="22" t="str">
        <f>VLOOKUP(A211,'Trips&amp;Operators'!$C$1:$G$99999,5,FALSE)</f>
        <v>BONDS REYNALDO</v>
      </c>
      <c r="M211" s="6">
        <f t="shared" si="80"/>
        <v>7.5925925921183079E-3</v>
      </c>
      <c r="N211" s="7">
        <f t="shared" si="78"/>
        <v>10.933333332650363</v>
      </c>
      <c r="O211" s="7"/>
      <c r="P211" s="7"/>
      <c r="Q211" s="23"/>
      <c r="R211" s="23"/>
      <c r="S211" s="32">
        <f t="shared" si="76"/>
        <v>1</v>
      </c>
      <c r="T211" s="47" t="str">
        <f t="shared" si="81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03:07:32-700',mode:absolute,to:'2017-01-09 05:21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1" s="49" t="str">
        <f t="shared" si="83"/>
        <v>Y</v>
      </c>
      <c r="X211" s="173">
        <f t="shared" si="77"/>
        <v>1</v>
      </c>
      <c r="Y211" s="64">
        <f t="shared" si="84"/>
        <v>2.2252000000000001</v>
      </c>
      <c r="Z211" s="64">
        <f t="shared" si="85"/>
        <v>1.61E-2</v>
      </c>
      <c r="AA211" s="64">
        <f t="shared" si="86"/>
        <v>2.2091000000000003</v>
      </c>
      <c r="AB211" s="61" t="e">
        <f>VLOOKUP(A211,Enforcements!$C$7:$K$17,8,0)</f>
        <v>#N/A</v>
      </c>
      <c r="AC211" s="57" t="e">
        <f>VLOOKUP(A211,Enforcements!$C$7:$E$17,3,0)</f>
        <v>#N/A</v>
      </c>
      <c r="AD211" s="58" t="str">
        <f t="shared" si="87"/>
        <v>0308-09</v>
      </c>
      <c r="AE211" s="87" t="str">
        <f t="shared" si="8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211" s="84" t="str">
        <f t="shared" si="89"/>
        <v>"C:\Program Files (x86)\AstroGrep\AstroGrep.exe" /spath="%USERPROFILE%\AppData\Local\Temp\OnboardLogs" /stypes="app*4043*20170109*" /stext=" 11:.+((SYSTEM_STATE.+slice.+state.+changed )|(ment ac)|(multiple cpu faults)|(system.+state.+changed )|(\[timeout)|(PRM\|1\|D)|(kpr)|(kdp)|(\|lc)|(penalty))" /e /r /s</v>
      </c>
      <c r="AG211" s="1" t="str">
        <f t="shared" si="90"/>
        <v>Other</v>
      </c>
      <c r="AH211" s="88" t="str">
        <f t="shared" si="91"/>
        <v>"%USERPROFILE%\Documents\GitHub\eaglep3\Utilities\RefineRTDCRunTimes.py" --tripid 308-09 --locoid 4043 --swversion DE.1.0.8.0 --startMP 300:22252 --initTime 2017-01-09T04:07:32 --startdatetime 2017-01-09T04:10:23 --delay 1 --endMP 204:161 --enddatetime 2017-01-09T04:21:19 --enforcementcount 0 &gt;&gt;C:\Users\stu\Documents\GitHub\eaglep3-reporting\EC\2017-01-09-refined-times.txt</v>
      </c>
      <c r="AI211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{"issue":{"subject":"","project_id":79,"tracker_id":40,"status_id":1,"priority_id":2,"assigned_to_id":23,"start_date":"2017-01-09","description":"","custom_fields":[{"id":1,"name":"Subdivision","value":"Other"},{"id":4,"name":"Milepost","value":"0.0161"},{"id":17,"name":"Train ID","value":"308-09"},{"id":16,"name":"Locomotive ID","value":"4043"},{"id":130,"name":"Impact","value":""},{"id":150,"name":"Time of Event (Mountain Time)","value":"04:21:19"},{"id":151,"name":"Denver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3"/>
        <v>start /low /b %USERPROFILE%\Documents\GitHub\eaglep3\Utilities\DownloadLogsFromS3.py --loco 4043 --day 2017-01-09</v>
      </c>
    </row>
    <row r="212" spans="1:39" x14ac:dyDescent="0.25">
      <c r="A212" s="34" t="s">
        <v>657</v>
      </c>
      <c r="B212" s="7">
        <v>4046</v>
      </c>
      <c r="C212" s="22" t="s">
        <v>203</v>
      </c>
      <c r="D212" s="22" t="s">
        <v>672</v>
      </c>
      <c r="E212" s="13">
        <v>42745.030011574076</v>
      </c>
      <c r="F212" s="13">
        <v>42745.031018518515</v>
      </c>
      <c r="G212" s="7">
        <v>0</v>
      </c>
      <c r="H212" s="22" t="s">
        <v>732</v>
      </c>
      <c r="I212" s="13">
        <v>42745.037372685183</v>
      </c>
      <c r="J212" s="7">
        <v>0</v>
      </c>
      <c r="K212" s="105" t="str">
        <f t="shared" si="79"/>
        <v>4045/4046</v>
      </c>
      <c r="L212" s="22" t="str">
        <f>VLOOKUP(A212,'Trips&amp;Operators'!$C$1:$G$99999,5,FALSE)</f>
        <v>CHANDLER KELVIN</v>
      </c>
      <c r="M212" s="6">
        <f t="shared" si="80"/>
        <v>6.3541666677338071E-3</v>
      </c>
      <c r="N212" s="7">
        <f t="shared" si="78"/>
        <v>9.1500000015366822</v>
      </c>
      <c r="O212" s="7"/>
      <c r="P212" s="7"/>
      <c r="Q212" s="23"/>
      <c r="R212" s="23"/>
      <c r="S212" s="32">
        <f t="shared" si="76"/>
        <v>1</v>
      </c>
      <c r="T212" s="47" t="str">
        <f t="shared" si="81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23:43:13-700',mode:absolute,to:'2017-01-10 01:53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49" t="str">
        <f t="shared" si="83"/>
        <v>Y</v>
      </c>
      <c r="X212" s="173">
        <f t="shared" si="77"/>
        <v>1</v>
      </c>
      <c r="Y212" s="64">
        <f t="shared" si="84"/>
        <v>4.8000000000000001E-2</v>
      </c>
      <c r="Z212" s="64">
        <f t="shared" si="85"/>
        <v>2.2858000000000001</v>
      </c>
      <c r="AA212" s="64">
        <f t="shared" si="86"/>
        <v>2.2378</v>
      </c>
      <c r="AB212" s="61" t="e">
        <f>VLOOKUP(A212,Enforcements!$C$7:$K$17,8,0)</f>
        <v>#N/A</v>
      </c>
      <c r="AC212" s="57" t="e">
        <f>VLOOKUP(A212,Enforcements!$C$7:$E$17,3,0)</f>
        <v>#N/A</v>
      </c>
      <c r="AD212" s="58" t="str">
        <f t="shared" si="87"/>
        <v>0309-09</v>
      </c>
      <c r="AE212" s="87" t="str">
        <f t="shared" si="88"/>
        <v>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 &amp; 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</v>
      </c>
      <c r="AF212" s="84" t="str">
        <f t="shared" si="89"/>
        <v>"C:\Program Files (x86)\AstroGrep\AstroGrep.exe" /spath="%USERPROFILE%\AppData\Local\Temp\OnboardLogs" /stypes="app*4046*20170110*" /stext=" 07:.+((SYSTEM_STATE.+slice.+state.+changed )|(ment ac)|(multiple cpu faults)|(system.+state.+changed )|(\[timeout)|(PRM\|1\|D)|(kpr)|(kdp)|(\|lc)|(penalty))" /e /r /s</v>
      </c>
      <c r="AG212" s="1" t="str">
        <f t="shared" si="90"/>
        <v>Other</v>
      </c>
      <c r="AH212" s="88" t="str">
        <f t="shared" si="91"/>
        <v>"%USERPROFILE%\Documents\GitHub\eaglep3\Utilities\RefineRTDCRunTimes.py" --tripid 309-09 --locoid 4046 --swversion DE.1.0.8.0 --startMP 204:480 --initTime 2017-01-10T00:43:13 --startdatetime 2017-01-10T00:44:40 --delay 0 --endMP 300:22858 --enddatetime 2017-01-10T00:53:49 --enforcementcount 0 &gt;&gt;C:\Users\stu\Documents\GitHub\eaglep3-reporting\EC\2017-01-09-refined-times.txt</v>
      </c>
      <c r="AI212" s="115" t="str">
        <f t="shared" si="92"/>
        <v>echo {"issue":{"subject":"","project_id":79,"tracker_id":40,"status_id":1,"priority_id":2,"assigned_to_id":23,"start_date":"2017-01-10","description":"","custom_fields":[{"id":1,"name":"Subdivision","value":"Other"},{"id":4,"name":"Milepost","value":"2.2858"},{"id":17,"name":"Train ID","value":"309-09"},{"id":16,"name":"Locomotive ID","value":"4046"},{"id":130,"name":"Impact","value":""},{"id":150,"name":"Time of Event (Mountain Time)","value":"00:53:49"},{"id":151,"name":"Denver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3"/>
        <v>start /low /b %USERPROFILE%\Documents\GitHub\eaglep3\Utilities\DownloadLogsFromS3.py --loco 4046 --day 2017-01-10</v>
      </c>
    </row>
    <row r="213" spans="1:39" x14ac:dyDescent="0.25">
      <c r="A213" s="34" t="s">
        <v>464</v>
      </c>
      <c r="B213" s="7">
        <v>4019</v>
      </c>
      <c r="C213" s="22" t="s">
        <v>203</v>
      </c>
      <c r="D213" s="22" t="s">
        <v>733</v>
      </c>
      <c r="E213" s="13">
        <v>42744.177777777775</v>
      </c>
      <c r="F213" s="13">
        <v>42744.179097222222</v>
      </c>
      <c r="G213" s="7">
        <v>1</v>
      </c>
      <c r="H213" s="22" t="s">
        <v>191</v>
      </c>
      <c r="I213" s="13">
        <v>42744.19159722222</v>
      </c>
      <c r="J213" s="7">
        <v>0</v>
      </c>
      <c r="K213" s="105" t="str">
        <f t="shared" si="79"/>
        <v>4019/4020</v>
      </c>
      <c r="L213" s="22" t="str">
        <f>VLOOKUP(A213,'Trips&amp;Operators'!$C$1:$G$99999,5,FALSE)</f>
        <v>SHOOK JOHN</v>
      </c>
      <c r="M213" s="6">
        <f t="shared" si="80"/>
        <v>1.2499999997089617E-2</v>
      </c>
      <c r="N213" s="7">
        <f t="shared" si="78"/>
        <v>17.999999995809048</v>
      </c>
      <c r="O213" s="7"/>
      <c r="P213" s="7"/>
      <c r="Q213" s="23"/>
      <c r="R213" s="23"/>
      <c r="S213" s="32">
        <f t="shared" ref="S213:S232" si="94">SUM(U213:U213)/IF(AG213="EC",12,1)</f>
        <v>1</v>
      </c>
      <c r="T213" s="47" t="str">
        <f t="shared" si="81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03:16:00-700',mode:absolute,to:'2017-01-09 05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3" s="49" t="str">
        <f t="shared" si="83"/>
        <v>Y</v>
      </c>
      <c r="X213" s="173">
        <f t="shared" si="77"/>
        <v>1</v>
      </c>
      <c r="Y213" s="64">
        <f t="shared" si="84"/>
        <v>2.2766000000000002</v>
      </c>
      <c r="Z213" s="64">
        <f t="shared" si="85"/>
        <v>1.49E-2</v>
      </c>
      <c r="AA213" s="64">
        <f t="shared" si="86"/>
        <v>2.2617000000000003</v>
      </c>
      <c r="AB213" s="61" t="e">
        <f>VLOOKUP(A213,Enforcements!$C$7:$K$17,8,0)</f>
        <v>#N/A</v>
      </c>
      <c r="AC213" s="57" t="e">
        <f>VLOOKUP(A213,Enforcements!$C$7:$E$17,3,0)</f>
        <v>#N/A</v>
      </c>
      <c r="AD213" s="58" t="str">
        <f t="shared" si="87"/>
        <v>0310-09</v>
      </c>
      <c r="AE213" s="87" t="str">
        <f t="shared" si="8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213" s="84" t="str">
        <f t="shared" si="89"/>
        <v>"C:\Program Files (x86)\AstroGrep\AstroGrep.exe" /spath="%USERPROFILE%\AppData\Local\Temp\OnboardLogs" /stypes="app*4019*20170109*" /stext=" 11:.+((SYSTEM_STATE.+slice.+state.+changed )|(ment ac)|(multiple cpu faults)|(system.+state.+changed )|(\[timeout)|(PRM\|1\|D)|(kpr)|(kdp)|(\|lc)|(penalty))" /e /r /s</v>
      </c>
      <c r="AG213" s="1" t="str">
        <f t="shared" si="90"/>
        <v>Other</v>
      </c>
      <c r="AH213" s="88" t="str">
        <f t="shared" si="91"/>
        <v>"%USERPROFILE%\Documents\GitHub\eaglep3\Utilities\RefineRTDCRunTimes.py" --tripid 310-09 --locoid 4019 --swversion DE.1.0.8.0 --startMP 300:22766 --initTime 2017-01-09T04:16:00 --startdatetime 2017-01-09T04:17:54 --delay 1 --endMP 204:149 --enddatetime 2017-01-09T04:35:54 --enforcementcount 0 &gt;&gt;C:\Users\stu\Documents\GitHub\eaglep3-reporting\EC\2017-01-09-refined-times.txt</v>
      </c>
      <c r="AI213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{"issue":{"subject":"","project_id":79,"tracker_id":40,"status_id":1,"priority_id":2,"assigned_to_id":23,"start_date":"2017-01-09","description":"","custom_fields":[{"id":1,"name":"Subdivision","value":"Other"},{"id":4,"name":"Milepost","value":"0.0149"},{"id":17,"name":"Train ID","value":"310-09"},{"id":16,"name":"Locomotive ID","value":"4019"},{"id":130,"name":"Impact","value":""},{"id":150,"name":"Time of Event (Mountain Time)","value":"04:35:54"},{"id":151,"name":"Denver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3"/>
        <v>start /low /b %USERPROFILE%\Documents\GitHub\eaglep3\Utilities\DownloadLogsFromS3.py --loco 4019 --day 2017-01-09</v>
      </c>
    </row>
    <row r="214" spans="1:39" x14ac:dyDescent="0.25">
      <c r="A214" s="34" t="s">
        <v>658</v>
      </c>
      <c r="B214" s="7">
        <v>4011</v>
      </c>
      <c r="C214" s="22" t="s">
        <v>203</v>
      </c>
      <c r="D214" s="22" t="s">
        <v>398</v>
      </c>
      <c r="E214" s="13">
        <v>42745.047812500001</v>
      </c>
      <c r="F214" s="13">
        <v>42745.049247685187</v>
      </c>
      <c r="G214" s="7">
        <v>1</v>
      </c>
      <c r="H214" s="22" t="s">
        <v>734</v>
      </c>
      <c r="I214" s="13">
        <v>42745.0549537037</v>
      </c>
      <c r="J214" s="7">
        <v>0</v>
      </c>
      <c r="K214" s="105" t="str">
        <f t="shared" si="79"/>
        <v>4011/4012</v>
      </c>
      <c r="L214" s="22" t="str">
        <f>VLOOKUP(A214,'Trips&amp;Operators'!$C$1:$G$99999,5,FALSE)</f>
        <v>SMITH MICHAEL</v>
      </c>
      <c r="M214" s="6">
        <f t="shared" si="80"/>
        <v>5.7060185135924257E-3</v>
      </c>
      <c r="N214" s="7">
        <f t="shared" si="78"/>
        <v>8.2166666595730931</v>
      </c>
      <c r="O214" s="7"/>
      <c r="P214" s="7"/>
      <c r="Q214" s="23"/>
      <c r="R214" s="23"/>
      <c r="S214" s="32">
        <f t="shared" si="94"/>
        <v>1</v>
      </c>
      <c r="T214" s="47" t="str">
        <f t="shared" si="81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https://search-rtdc-monitor-bjffxe2xuh6vdkpspy63sjmuny.us-east-1.es.amazonaws.com/_plugin/kibana/#/discover/Steve-Slow-Train-Analysis-(2080s-and-2083s)?_g=(refreshInterval:(display:Off,section:0,value:0),time:(from:'2017-01-10 00:08:51-700',mode:absolute,to:'2017-01-10 02:19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4" s="49" t="str">
        <f t="shared" si="83"/>
        <v>Y</v>
      </c>
      <c r="X214" s="173">
        <f t="shared" si="77"/>
        <v>1</v>
      </c>
      <c r="Y214" s="64">
        <f t="shared" si="84"/>
        <v>4.9700000000000001E-2</v>
      </c>
      <c r="Z214" s="64">
        <f t="shared" si="85"/>
        <v>2.2772999999999999</v>
      </c>
      <c r="AA214" s="64">
        <f t="shared" si="86"/>
        <v>2.2275999999999998</v>
      </c>
      <c r="AB214" s="61" t="e">
        <f>VLOOKUP(A214,Enforcements!$C$7:$K$17,8,0)</f>
        <v>#N/A</v>
      </c>
      <c r="AC214" s="57" t="e">
        <f>VLOOKUP(A214,Enforcements!$C$7:$E$17,3,0)</f>
        <v>#N/A</v>
      </c>
      <c r="AD214" s="58" t="str">
        <f t="shared" si="87"/>
        <v>0311-09</v>
      </c>
      <c r="AE214" s="87" t="str">
        <f t="shared" si="88"/>
        <v>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 &amp; 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</v>
      </c>
      <c r="AF214" s="84" t="str">
        <f t="shared" si="89"/>
        <v>"C:\Program Files (x86)\AstroGrep\AstroGrep.exe" /spath="%USERPROFILE%\AppData\Local\Temp\OnboardLogs" /stypes="app*4011*20170110*" /stext=" 08:.+((SYSTEM_STATE.+slice.+state.+changed )|(ment ac)|(multiple cpu faults)|(system.+state.+changed )|(\[timeout)|(PRM\|1\|D)|(kpr)|(kdp)|(\|lc)|(penalty))" /e /r /s</v>
      </c>
      <c r="AG214" s="1" t="str">
        <f t="shared" si="90"/>
        <v>Other</v>
      </c>
      <c r="AH214" s="88" t="str">
        <f t="shared" si="91"/>
        <v>"%USERPROFILE%\Documents\GitHub\eaglep3\Utilities\RefineRTDCRunTimes.py" --tripid 311-09 --locoid 4011 --swversion DE.1.0.8.0 --startMP 204:497 --initTime 2017-01-10T01:08:51 --startdatetime 2017-01-10T01:10:55 --delay 1 --endMP 300:22773 --enddatetime 2017-01-10T01:19:08 --enforcementcount 0 &gt;&gt;C:\Users\stu\Documents\GitHub\eaglep3-reporting\EC\2017-01-09-refined-times.txt</v>
      </c>
      <c r="AI214" s="115" t="str">
        <f t="shared" si="92"/>
        <v>echo {"issue":{"subject":"","project_id":79,"tracker_id":40,"status_id":1,"priority_id":2,"assigned_to_id":23,"start_date":"2017-01-10","description":"","custom_fields":[{"id":1,"name":"Subdivision","value":"Other"},{"id":4,"name":"Milepost","value":"2.2773"},{"id":17,"name":"Train ID","value":"311-09"},{"id":16,"name":"Locomotive ID","value":"4011"},{"id":130,"name":"Impact","value":""},{"id":150,"name":"Time of Event (Mountain Time)","value":"01:19:08"},{"id":151,"name":"Denver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3"/>
        <v>start /low /b %USERPROFILE%\Documents\GitHub\eaglep3\Utilities\DownloadLogsFromS3.py --loco 4011 --day 2017-01-10</v>
      </c>
    </row>
    <row r="215" spans="1:39" x14ac:dyDescent="0.25">
      <c r="A215" s="34" t="s">
        <v>660</v>
      </c>
      <c r="B215" s="7">
        <v>4003</v>
      </c>
      <c r="C215" s="22" t="s">
        <v>203</v>
      </c>
      <c r="D215" s="22" t="s">
        <v>248</v>
      </c>
      <c r="E215" s="13">
        <v>42745.074930555558</v>
      </c>
      <c r="F215" s="13">
        <v>42745.076435185183</v>
      </c>
      <c r="G215" s="7">
        <v>1</v>
      </c>
      <c r="H215" s="22" t="s">
        <v>351</v>
      </c>
      <c r="I215" s="13">
        <v>42745.083101851851</v>
      </c>
      <c r="J215" s="7">
        <v>0</v>
      </c>
      <c r="K215" s="105" t="str">
        <f t="shared" si="79"/>
        <v>4003/4004</v>
      </c>
      <c r="L215" s="22" t="str">
        <f>VLOOKUP(A215,'Trips&amp;Operators'!$C$1:$G$99999,5,FALSE)</f>
        <v>BADERTSCHER DIANE</v>
      </c>
      <c r="M215" s="6">
        <f t="shared" si="80"/>
        <v>6.6666666680248454E-3</v>
      </c>
      <c r="N215" s="7">
        <f t="shared" si="78"/>
        <v>9.6000000019557774</v>
      </c>
      <c r="O215" s="7"/>
      <c r="P215" s="7"/>
      <c r="Q215" s="23"/>
      <c r="R215" s="23"/>
      <c r="S215" s="32">
        <f t="shared" si="94"/>
        <v>1</v>
      </c>
      <c r="T215" s="47" t="str">
        <f t="shared" si="81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https://search-rtdc-monitor-bjffxe2xuh6vdkpspy63sjmuny.us-east-1.es.amazonaws.com/_plugin/kibana/#/discover/Steve-Slow-Train-Analysis-(2080s-and-2083s)?_g=(refreshInterval:(display:Off,section:0,value:0),time:(from:'2017-01-10 00:47:54-700',mode:absolute,to:'2017-01-10 02:59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5" s="49" t="str">
        <f t="shared" si="83"/>
        <v>Y</v>
      </c>
      <c r="X215" s="173">
        <f t="shared" si="77"/>
        <v>2</v>
      </c>
      <c r="Y215" s="64">
        <f t="shared" si="84"/>
        <v>4.6199999999999998E-2</v>
      </c>
      <c r="Z215" s="64">
        <f t="shared" si="85"/>
        <v>2.3346</v>
      </c>
      <c r="AA215" s="64">
        <f t="shared" si="86"/>
        <v>2.2884000000000002</v>
      </c>
      <c r="AB215" s="61" t="e">
        <f>VLOOKUP(A215,Enforcements!$C$7:$K$17,8,0)</f>
        <v>#N/A</v>
      </c>
      <c r="AC215" s="57" t="e">
        <f>VLOOKUP(A215,Enforcements!$C$7:$E$17,3,0)</f>
        <v>#N/A</v>
      </c>
      <c r="AD215" s="58" t="str">
        <f t="shared" si="87"/>
        <v>0313-09</v>
      </c>
      <c r="AE215" s="87" t="str">
        <f t="shared" si="88"/>
        <v>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 &amp; 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</v>
      </c>
      <c r="AF215" s="84" t="str">
        <f t="shared" si="89"/>
        <v>"C:\Program Files (x86)\AstroGrep\AstroGrep.exe" /spath="%USERPROFILE%\AppData\Local\Temp\OnboardLogs" /stypes="app*4003*20170110*" /stext=" 08:.+((SYSTEM_STATE.+slice.+state.+changed )|(ment ac)|(multiple cpu faults)|(system.+state.+changed )|(\[timeout)|(PRM\|1\|D)|(kpr)|(kdp)|(\|lc)|(penalty))" /e /r /s</v>
      </c>
      <c r="AG215" s="1" t="str">
        <f t="shared" si="90"/>
        <v>Other</v>
      </c>
      <c r="AH215" s="88" t="str">
        <f t="shared" si="91"/>
        <v>"%USERPROFILE%\Documents\GitHub\eaglep3\Utilities\RefineRTDCRunTimes.py" --tripid 313-09 --locoid 4003 --swversion DE.1.0.8.0 --startMP 204:462 --initTime 2017-01-10T01:47:54 --startdatetime 2017-01-10T01:50:04 --delay 1 --endMP 300:23346 --enddatetime 2017-01-10T01:59:40 --enforcementcount 0 &gt;&gt;C:\Users\stu\Documents\GitHub\eaglep3-reporting\EC\2017-01-09-refined-times.txt</v>
      </c>
      <c r="AI215" s="115" t="str">
        <f t="shared" si="92"/>
        <v>echo {"issue":{"subject":"","project_id":79,"tracker_id":40,"status_id":1,"priority_id":2,"assigned_to_id":23,"start_date":"2017-01-10","description":"","custom_fields":[{"id":1,"name":"Subdivision","value":"Other"},{"id":4,"name":"Milepost","value":"2.3346"},{"id":17,"name":"Train ID","value":"313-09"},{"id":16,"name":"Locomotive ID","value":"4003"},{"id":130,"name":"Impact","value":""},{"id":150,"name":"Time of Event (Mountain Time)","value":"01:59:40"},{"id":151,"name":"Denver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3"/>
        <v>start /low /b %USERPROFILE%\Documents\GitHub\eaglep3\Utilities\DownloadLogsFromS3.py --loco 4003 --day 2017-01-10</v>
      </c>
    </row>
    <row r="216" spans="1:39" x14ac:dyDescent="0.25">
      <c r="A216" s="34" t="s">
        <v>373</v>
      </c>
      <c r="B216" s="7">
        <v>4022</v>
      </c>
      <c r="C216" s="22" t="s">
        <v>203</v>
      </c>
      <c r="D216" s="22" t="s">
        <v>280</v>
      </c>
      <c r="E216" s="13">
        <v>42744.08792824074</v>
      </c>
      <c r="F216" s="13">
        <v>25568.708333333332</v>
      </c>
      <c r="G216" s="7">
        <v>1</v>
      </c>
      <c r="H216" s="22" t="s">
        <v>417</v>
      </c>
      <c r="I216" s="13">
        <v>25568.708333333332</v>
      </c>
      <c r="J216" s="7">
        <v>0</v>
      </c>
      <c r="K216" s="105" t="str">
        <f t="shared" si="79"/>
        <v>4021/4022</v>
      </c>
      <c r="L216" s="22" t="str">
        <f>VLOOKUP(A216,'Trips&amp;Operators'!$C$1:$G$99999,5,FALSE)</f>
        <v>STAMBAUGH JAMES</v>
      </c>
      <c r="M216" s="6">
        <f t="shared" si="80"/>
        <v>0</v>
      </c>
      <c r="N216" s="7">
        <f t="shared" si="78"/>
        <v>0</v>
      </c>
      <c r="O216" s="7"/>
      <c r="P216" s="7"/>
      <c r="Q216" s="23"/>
      <c r="R216" s="23"/>
      <c r="S216" s="32">
        <f t="shared" si="94"/>
        <v>1</v>
      </c>
      <c r="T216" s="47" t="str">
        <f t="shared" si="81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01:06:37-700',mode:absolute,to:'1969-12-31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49" t="str">
        <f t="shared" si="83"/>
        <v>Y</v>
      </c>
      <c r="X216" s="173">
        <f t="shared" si="77"/>
        <v>2</v>
      </c>
      <c r="Y216" s="64">
        <f t="shared" si="84"/>
        <v>4.3700000000000003E-2</v>
      </c>
      <c r="Z216" s="64">
        <f t="shared" si="85"/>
        <v>2.3300999999999998</v>
      </c>
      <c r="AA216" s="64">
        <f t="shared" si="86"/>
        <v>2.2864</v>
      </c>
      <c r="AB216" s="61" t="e">
        <f>VLOOKUP(A216,Enforcements!$C$7:$K$17,8,0)</f>
        <v>#N/A</v>
      </c>
      <c r="AC216" s="57" t="e">
        <f>VLOOKUP(A216,Enforcements!$C$7:$E$17,3,0)</f>
        <v>#N/A</v>
      </c>
      <c r="AD216" s="58" t="str">
        <f t="shared" si="87"/>
        <v>0315-08</v>
      </c>
      <c r="AE216" s="87" t="str">
        <f t="shared" si="8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6" s="84" t="str">
        <f t="shared" si="89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6" s="1" t="str">
        <f t="shared" si="90"/>
        <v>Other</v>
      </c>
      <c r="AH216" s="88" t="str">
        <f t="shared" si="91"/>
        <v>"%USERPROFILE%\Documents\GitHub\eaglep3\Utilities\RefineRTDCRunTimes.py" --tripid 315-08 --locoid 4022 --swversion DE.1.0.8.0 --startMP 204:437 --initTime 2017-01-09T02:06:37 --startdatetime 1969-12-31T17:00:00 --delay 1 --endMP 300:23301 --enddatetime 1969-12-31T17:00:00 --enforcementcount 0 &gt;&gt;C:\Users\stu\Documents\GitHub\eaglep3-reporting\EC\2017-01-09-refined-times.txt</v>
      </c>
      <c r="AI216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3"/>
        <v>start /low /b %USERPROFILE%\Documents\GitHub\eaglep3\Utilities\DownloadLogsFromS3.py --loco 4022 --day 1969-12-31</v>
      </c>
    </row>
    <row r="217" spans="1:39" x14ac:dyDescent="0.25">
      <c r="A217" s="34" t="s">
        <v>661</v>
      </c>
      <c r="B217" s="7">
        <v>4044</v>
      </c>
      <c r="C217" s="22" t="s">
        <v>203</v>
      </c>
      <c r="D217" s="22" t="s">
        <v>318</v>
      </c>
      <c r="E217" s="13">
        <v>42745.090011574073</v>
      </c>
      <c r="F217" s="13">
        <v>25568.708333333332</v>
      </c>
      <c r="G217" s="7">
        <v>1</v>
      </c>
      <c r="H217" s="22" t="s">
        <v>697</v>
      </c>
      <c r="I217" s="13">
        <v>25568.708333333332</v>
      </c>
      <c r="J217" s="7">
        <v>0</v>
      </c>
      <c r="K217" s="105" t="str">
        <f t="shared" si="79"/>
        <v>4043/4044</v>
      </c>
      <c r="L217" s="22" t="str">
        <f>VLOOKUP(A217,'Trips&amp;Operators'!$C$1:$G$99999,5,FALSE)</f>
        <v>STORY SAMANTHA</v>
      </c>
      <c r="M217" s="6">
        <f t="shared" si="80"/>
        <v>0</v>
      </c>
      <c r="N217" s="7">
        <f t="shared" si="78"/>
        <v>0</v>
      </c>
      <c r="O217" s="7"/>
      <c r="P217" s="7"/>
      <c r="Q217" s="23"/>
      <c r="R217" s="23"/>
      <c r="S217" s="32">
        <f t="shared" si="94"/>
        <v>0</v>
      </c>
      <c r="T217" s="47" t="str">
        <f t="shared" si="81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https://search-rtdc-monitor-bjffxe2xuh6vdkpspy63sjmuny.us-east-1.es.amazonaws.com/_plugin/kibana/#/discover/Steve-Slow-Train-Analysis-(2080s-and-2083s)?_g=(refreshInterval:(display:Off,section:0,value:0),time:(from:'2017-01-10 01:09:37-700',mode:absolute,to:'1969-12-31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7" s="49" t="str">
        <f t="shared" si="83"/>
        <v>Y</v>
      </c>
      <c r="X217" s="173">
        <f t="shared" si="77"/>
        <v>0</v>
      </c>
      <c r="Y217" s="64">
        <f t="shared" si="84"/>
        <v>4.6600000000000003E-2</v>
      </c>
      <c r="Z217" s="64">
        <f t="shared" si="85"/>
        <v>4.58E-2</v>
      </c>
      <c r="AA217" s="64">
        <f t="shared" si="86"/>
        <v>8.000000000000021E-4</v>
      </c>
      <c r="AB217" s="61" t="e">
        <f>VLOOKUP(A217,Enforcements!$C$7:$K$17,8,0)</f>
        <v>#N/A</v>
      </c>
      <c r="AC217" s="57" t="e">
        <f>VLOOKUP(A217,Enforcements!$C$7:$E$17,3,0)</f>
        <v>#N/A</v>
      </c>
      <c r="AD217" s="58" t="str">
        <f t="shared" si="87"/>
        <v>0315-09</v>
      </c>
      <c r="AE217" s="87" t="str">
        <f t="shared" si="88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7" s="84" t="str">
        <f t="shared" si="89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7" s="1" t="str">
        <f t="shared" si="90"/>
        <v>Other</v>
      </c>
      <c r="AH217" s="88" t="str">
        <f t="shared" si="91"/>
        <v>"%USERPROFILE%\Documents\GitHub\eaglep3\Utilities\RefineRTDCRunTimes.py" --tripid 315-09 --locoid 4044 --swversion DE.1.0.8.0 --startMP 204:466 --initTime 2017-01-10T02:09:37 --startdatetime 1969-12-31T17:00:00 --delay 1 --endMP 204:458 --enddatetime 1969-12-31T17:00:00 --enforcementcount 0 &gt;&gt;C:\Users\stu\Documents\GitHub\eaglep3-reporting\EC\2017-01-09-refined-times.txt</v>
      </c>
      <c r="AI217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{"issue":{"subject":"","project_id":79,"tracker_id":40,"status_id":1,"priority_id":2,"assigned_to_id":23,"start_date":"1969-12-31","description":"","custom_fields":[{"id":1,"name":"Subdivision","value":"Other"},{"id":4,"name":"Milepost","value":"0.0458"},{"id":17,"name":"Train ID","value":"315-09"},{"id":16,"name":"Locomotive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3"/>
        <v>start /low /b %USERPROFILE%\Documents\GitHub\eaglep3\Utilities\DownloadLogsFromS3.py --loco 4044 --day 1969-12-31</v>
      </c>
    </row>
    <row r="218" spans="1:39" x14ac:dyDescent="0.25">
      <c r="A218" s="34" t="s">
        <v>427</v>
      </c>
      <c r="B218" s="7">
        <v>4029</v>
      </c>
      <c r="C218" s="22" t="s">
        <v>203</v>
      </c>
      <c r="D218" s="22" t="s">
        <v>808</v>
      </c>
      <c r="E218" s="13">
        <v>42744.205682870372</v>
      </c>
      <c r="F218" s="13">
        <v>42744.206956018519</v>
      </c>
      <c r="G218" s="7">
        <v>1</v>
      </c>
      <c r="H218" s="22" t="s">
        <v>760</v>
      </c>
      <c r="I218" s="13">
        <v>42744.212453703702</v>
      </c>
      <c r="J218" s="7">
        <v>0</v>
      </c>
      <c r="K218" s="105" t="str">
        <f t="shared" si="79"/>
        <v>4029/4030</v>
      </c>
      <c r="L218" s="22" t="str">
        <f>VLOOKUP(A218,'Trips&amp;Operators'!$C$1:$G$99999,5,FALSE)</f>
        <v>DAVIS WENDY</v>
      </c>
      <c r="M218" s="6">
        <f t="shared" si="80"/>
        <v>5.4976851824903861E-3</v>
      </c>
      <c r="N218" s="7">
        <f t="shared" si="78"/>
        <v>7.9166666627861559</v>
      </c>
      <c r="O218" s="7"/>
      <c r="P218" s="7"/>
      <c r="Q218" s="23"/>
      <c r="R218" s="23"/>
      <c r="S218" s="32">
        <f t="shared" si="94"/>
        <v>0</v>
      </c>
      <c r="T218" s="47" t="str">
        <f t="shared" si="81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03:56:11-700',mode:absolute,to:'2017-01-09 06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8" s="49" t="str">
        <f t="shared" si="83"/>
        <v>Y</v>
      </c>
      <c r="X218" s="173">
        <f t="shared" si="77"/>
        <v>586</v>
      </c>
      <c r="Y218" s="64">
        <f t="shared" si="84"/>
        <v>3.0287999999999999</v>
      </c>
      <c r="Z218" s="64">
        <f t="shared" si="85"/>
        <v>5.9017999999999997</v>
      </c>
      <c r="AA218" s="64">
        <f t="shared" si="86"/>
        <v>2.8729999999999998</v>
      </c>
      <c r="AB218" s="61" t="e">
        <f>VLOOKUP(A218,Enforcements!$C$7:$K$17,8,0)</f>
        <v>#N/A</v>
      </c>
      <c r="AC218" s="57" t="e">
        <f>VLOOKUP(A218,Enforcements!$C$7:$E$17,3,0)</f>
        <v>#N/A</v>
      </c>
      <c r="AD218" s="58" t="str">
        <f t="shared" si="87"/>
        <v>0901-09</v>
      </c>
      <c r="AE218" s="87" t="str">
        <f t="shared" si="88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218" s="84" t="str">
        <f t="shared" si="89"/>
        <v>"C:\Program Files (x86)\AstroGrep\AstroGrep.exe" /spath="%USERPROFILE%\AppData\Local\Temp\OnboardLogs" /stypes="app*4029*20170109*" /stext=" 12:.+((SYSTEM_STATE.+slice.+state.+changed )|(ment ac)|(multiple cpu faults)|(system.+state.+changed )|(\[timeout)|(PRM\|1\|D)|(kpr)|(kdp)|(\|lc)|(penalty))" /e /r /s</v>
      </c>
      <c r="AG218" s="1" t="str">
        <f t="shared" si="90"/>
        <v>Other</v>
      </c>
      <c r="AH218" s="88" t="str">
        <f t="shared" si="91"/>
        <v>"%USERPROFILE%\Documents\GitHub\eaglep3\Utilities\RefineRTDCRunTimes.py" --tripid 901-09 --locoid 4029 --swversion DE.1.0.8.0 --startMP 300:30288 --initTime 2017-01-09T04:56:11 --startdatetime 2017-01-09T04:58:01 --delay 1 --endMP 300:59018 --enddatetime 2017-01-09T05:05:56 --enforcementcount 0 &gt;&gt;C:\Users\stu\Documents\GitHub\eaglep3-reporting\EC\2017-01-09-refined-times.txt</v>
      </c>
      <c r="AI218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{"issue":{"subject":"","project_id":79,"tracker_id":40,"status_id":1,"priority_id":2,"assigned_to_id":23,"start_date":"2017-01-09","description":"","custom_fields":[{"id":1,"name":"Subdivision","value":"Other"},{"id":4,"name":"Milepost","value":"5.9018"},{"id":17,"name":"Train ID","value":"901-09"},{"id":16,"name":"Locomotive ID","value":"4029"},{"id":130,"name":"Impact","value":""},{"id":150,"name":"Time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3"/>
        <v>start /low /b %USERPROFILE%\Documents\GitHub\eaglep3\Utilities\DownloadLogsFromS3.py --loco 4029 --day 2017-01-09</v>
      </c>
    </row>
    <row r="219" spans="1:39" x14ac:dyDescent="0.25">
      <c r="A219" s="34" t="s">
        <v>477</v>
      </c>
      <c r="B219" s="7">
        <v>4013</v>
      </c>
      <c r="C219" s="22" t="s">
        <v>203</v>
      </c>
      <c r="D219" s="22" t="s">
        <v>809</v>
      </c>
      <c r="E219" s="13">
        <v>42744.25240740741</v>
      </c>
      <c r="F219" s="13">
        <v>42744.254826388889</v>
      </c>
      <c r="G219" s="7">
        <v>3</v>
      </c>
      <c r="H219" s="22" t="s">
        <v>810</v>
      </c>
      <c r="I219" s="13">
        <v>42744.261701388888</v>
      </c>
      <c r="J219" s="7">
        <v>0</v>
      </c>
      <c r="K219" s="105" t="str">
        <f t="shared" si="79"/>
        <v>4013/4014</v>
      </c>
      <c r="L219" s="22" t="str">
        <f>VLOOKUP(A219,'Trips&amp;Operators'!$C$1:$G$99999,5,FALSE)</f>
        <v>DUNCAN SHEILA</v>
      </c>
      <c r="M219" s="6">
        <f t="shared" si="80"/>
        <v>6.8749999991268851E-3</v>
      </c>
      <c r="N219" s="7">
        <f t="shared" si="78"/>
        <v>9.8999999987427145</v>
      </c>
      <c r="O219" s="7"/>
      <c r="P219" s="7"/>
      <c r="Q219" s="23"/>
      <c r="R219" s="23"/>
      <c r="S219" s="32">
        <f t="shared" si="94"/>
        <v>1</v>
      </c>
      <c r="T219" s="47" t="str">
        <f t="shared" si="81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05:03:28-700',mode:absolute,to:'2017-01-09 07:16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9" s="49" t="str">
        <f t="shared" si="83"/>
        <v>Y</v>
      </c>
      <c r="X219" s="173">
        <f t="shared" si="77"/>
        <v>1</v>
      </c>
      <c r="Y219" s="64">
        <f t="shared" si="84"/>
        <v>2.3460999999999999</v>
      </c>
      <c r="Z219" s="64">
        <f t="shared" si="85"/>
        <v>6.7100000000000007E-2</v>
      </c>
      <c r="AA219" s="64">
        <f t="shared" si="86"/>
        <v>2.2789999999999999</v>
      </c>
      <c r="AB219" s="61" t="e">
        <f>VLOOKUP(A219,Enforcements!$C$7:$K$17,8,0)</f>
        <v>#N/A</v>
      </c>
      <c r="AC219" s="57" t="e">
        <f>VLOOKUP(A219,Enforcements!$C$7:$E$17,3,0)</f>
        <v>#N/A</v>
      </c>
      <c r="AD219" s="58" t="str">
        <f t="shared" si="87"/>
        <v>0902-09</v>
      </c>
      <c r="AE219" s="87" t="str">
        <f t="shared" si="88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19" s="84" t="str">
        <f t="shared" si="89"/>
        <v>"C:\Program Files (x86)\AstroGrep\AstroGrep.exe" /spath="%USERPROFILE%\AppData\Local\Temp\OnboardLogs" /stypes="app*4013*20170109*" /stext=" 13:.+((SYSTEM_STATE.+slice.+state.+changed )|(ment ac)|(multiple cpu faults)|(system.+state.+changed )|(\[timeout)|(PRM\|1\|D)|(kpr)|(kdp)|(\|lc)|(penalty))" /e /r /s</v>
      </c>
      <c r="AG219" s="1" t="str">
        <f t="shared" si="90"/>
        <v>Other</v>
      </c>
      <c r="AH219" s="88" t="str">
        <f t="shared" si="91"/>
        <v>"%USERPROFILE%\Documents\GitHub\eaglep3\Utilities\RefineRTDCRunTimes.py" --tripid 902-09 --locoid 4013 --swversion DE.1.0.8.0 --startMP 300:23461 --initTime 2017-01-09T06:03:28 --startdatetime 2017-01-09T06:06:57 --delay 3 --endMP 204:671 --enddatetime 2017-01-09T06:16:51 --enforcementcount 0 &gt;&gt;C:\Users\stu\Documents\GitHub\eaglep3-reporting\EC\2017-01-09-refined-times.txt</v>
      </c>
      <c r="AI219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{"issue":{"subject":"","project_id":79,"tracker_id":40,"status_id":1,"priority_id":2,"assigned_to_id":23,"start_date":"2017-01-09","description":"","custom_fields":[{"id":1,"name":"Subdivision","value":"Other"},{"id":4,"name":"Milepost","value":"0.0671"},{"id":17,"name":"Train ID","value":"902-09"},{"id":16,"name":"Locomotive ID","value":"4013"},{"id":130,"name":"Impact","value":""},{"id":150,"name":"Time of Event (Mountain Time)","value":"06:16:51"},{"id":151,"name":"Denver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3"/>
        <v>start /low /b %USERPROFILE%\Documents\GitHub\eaglep3\Utilities\DownloadLogsFromS3.py --loco 4013 --day 2017-01-09</v>
      </c>
    </row>
    <row r="220" spans="1:39" x14ac:dyDescent="0.25">
      <c r="A220" s="34" t="s">
        <v>498</v>
      </c>
      <c r="B220" s="7">
        <v>4029</v>
      </c>
      <c r="C220" s="22" t="s">
        <v>203</v>
      </c>
      <c r="D220" s="22" t="s">
        <v>811</v>
      </c>
      <c r="E220" s="13">
        <v>42744.353125000001</v>
      </c>
      <c r="F220" s="13">
        <v>42744.354421296295</v>
      </c>
      <c r="G220" s="7">
        <v>1</v>
      </c>
      <c r="H220" s="22" t="s">
        <v>812</v>
      </c>
      <c r="I220" s="13">
        <v>42744.360682870371</v>
      </c>
      <c r="J220" s="7">
        <v>0</v>
      </c>
      <c r="K220" s="105" t="str">
        <f t="shared" si="79"/>
        <v>4029/4030</v>
      </c>
      <c r="L220" s="22" t="str">
        <f>VLOOKUP(A220,'Trips&amp;Operators'!$C$1:$G$99999,5,FALSE)</f>
        <v>DAVIS WENDY</v>
      </c>
      <c r="M220" s="6">
        <f t="shared" si="80"/>
        <v>6.2615740753244609E-3</v>
      </c>
      <c r="N220" s="7">
        <f t="shared" si="78"/>
        <v>9.0166666684672236</v>
      </c>
      <c r="O220" s="7"/>
      <c r="P220" s="7"/>
      <c r="Q220" s="23"/>
      <c r="R220" s="23"/>
      <c r="S220" s="32">
        <f t="shared" si="94"/>
        <v>1</v>
      </c>
      <c r="T220" s="47" t="str">
        <f t="shared" si="81"/>
        <v>NorthBound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07:28:30-700',mode:absolute,to:'2017-01-09 09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0" s="49" t="str">
        <f t="shared" si="83"/>
        <v>Y</v>
      </c>
      <c r="X220" s="173">
        <f t="shared" si="77"/>
        <v>1</v>
      </c>
      <c r="Y220" s="64">
        <f t="shared" si="84"/>
        <v>9.64E-2</v>
      </c>
      <c r="Z220" s="64">
        <f t="shared" si="85"/>
        <v>2.5457999999999998</v>
      </c>
      <c r="AA220" s="64">
        <f t="shared" si="86"/>
        <v>2.4493999999999998</v>
      </c>
      <c r="AB220" s="61" t="e">
        <f>VLOOKUP(A220,Enforcements!$C$7:$K$17,8,0)</f>
        <v>#N/A</v>
      </c>
      <c r="AC220" s="57" t="e">
        <f>VLOOKUP(A220,Enforcements!$C$7:$E$17,3,0)</f>
        <v>#N/A</v>
      </c>
      <c r="AD220" s="58" t="str">
        <f t="shared" si="87"/>
        <v>0903-09</v>
      </c>
      <c r="AE220" s="87" t="str">
        <f t="shared" si="88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220" s="84" t="str">
        <f t="shared" si="89"/>
        <v>"C:\Program Files (x86)\AstroGrep\AstroGrep.exe" /spath="%USERPROFILE%\AppData\Local\Temp\OnboardLogs" /stypes="app*4029*20170109*" /stext=" 15:.+((SYSTEM_STATE.+slice.+state.+changed )|(ment ac)|(multiple cpu faults)|(system.+state.+changed )|(\[timeout)|(PRM\|1\|D)|(kpr)|(kdp)|(\|lc)|(penalty))" /e /r /s</v>
      </c>
      <c r="AG220" s="1" t="str">
        <f t="shared" si="90"/>
        <v>Other</v>
      </c>
      <c r="AH220" s="88" t="str">
        <f t="shared" si="91"/>
        <v>"%USERPROFILE%\Documents\GitHub\eaglep3\Utilities\RefineRTDCRunTimes.py" --tripid 903-09 --locoid 4029 --swversion DE.1.0.8.0 --startMP 204:964 --initTime 2017-01-09T08:28:30 --startdatetime 2017-01-09T08:30:22 --delay 1 --endMP 300:25458 --enddatetime 2017-01-09T08:39:23 --enforcementcount 0 &gt;&gt;C:\Users\stu\Documents\GitHub\eaglep3-reporting\EC\2017-01-09-refined-times.txt</v>
      </c>
      <c r="AI220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{"issue":{"subject":"","project_id":79,"tracker_id":40,"status_id":1,"priority_id":2,"assigned_to_id":23,"start_date":"2017-01-09","description":"","custom_fields":[{"id":1,"name":"Subdivision","value":"Other"},{"id":4,"name":"Milepost","value":"2.5458"},{"id":17,"name":"Train ID","value":"903-09"},{"id":16,"name":"Locomotive ID","value":"4029"},{"id":130,"name":"Impact","value":""},{"id":150,"name":"Time of Event (Mountain Time)","value":"08:39:23"},{"id":151,"name":"Denver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3"/>
        <v>start /low /b %USERPROFILE%\Documents\GitHub\eaglep3\Utilities\DownloadLogsFromS3.py --loco 4029 --day 2017-01-09</v>
      </c>
    </row>
    <row r="221" spans="1:39" x14ac:dyDescent="0.25">
      <c r="A221" s="34" t="s">
        <v>444</v>
      </c>
      <c r="B221" s="7">
        <v>4030</v>
      </c>
      <c r="C221" s="22" t="s">
        <v>203</v>
      </c>
      <c r="D221" s="22" t="s">
        <v>813</v>
      </c>
      <c r="E221" s="13">
        <v>42744.639537037037</v>
      </c>
      <c r="F221" s="13">
        <v>42744.64130787037</v>
      </c>
      <c r="G221" s="7">
        <v>2</v>
      </c>
      <c r="H221" s="22" t="s">
        <v>814</v>
      </c>
      <c r="I221" s="13">
        <v>42744.647905092592</v>
      </c>
      <c r="J221" s="7">
        <v>0</v>
      </c>
      <c r="K221" s="105" t="str">
        <f t="shared" si="79"/>
        <v>4029/4030</v>
      </c>
      <c r="L221" s="22" t="str">
        <f>VLOOKUP(A221,'Trips&amp;Operators'!$C$1:$G$99999,5,FALSE)</f>
        <v>NEWELL JAMES</v>
      </c>
      <c r="M221" s="6">
        <f t="shared" si="80"/>
        <v>6.5972222218988463E-3</v>
      </c>
      <c r="N221" s="7">
        <f t="shared" si="78"/>
        <v>9.4999999995343387</v>
      </c>
      <c r="O221" s="7"/>
      <c r="P221" s="7"/>
      <c r="Q221" s="23"/>
      <c r="R221" s="23"/>
      <c r="S221" s="32">
        <f t="shared" si="94"/>
        <v>1</v>
      </c>
      <c r="T221" s="47" t="str">
        <f t="shared" si="81"/>
        <v>Southbound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14:20:56-700',mode:absolute,to:'2017-01-09 16:32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1" s="49" t="str">
        <f t="shared" si="83"/>
        <v>Y</v>
      </c>
      <c r="X221" s="173">
        <f t="shared" si="77"/>
        <v>1</v>
      </c>
      <c r="Y221" s="64">
        <f t="shared" si="84"/>
        <v>2.3209</v>
      </c>
      <c r="Z221" s="64">
        <f t="shared" si="85"/>
        <v>6.3299999999999995E-2</v>
      </c>
      <c r="AA221" s="64">
        <f t="shared" si="86"/>
        <v>2.2576000000000001</v>
      </c>
      <c r="AB221" s="61" t="e">
        <f>VLOOKUP(A221,Enforcements!$C$7:$K$17,8,0)</f>
        <v>#N/A</v>
      </c>
      <c r="AC221" s="57" t="e">
        <f>VLOOKUP(A221,Enforcements!$C$7:$E$17,3,0)</f>
        <v>#N/A</v>
      </c>
      <c r="AD221" s="58" t="str">
        <f t="shared" si="87"/>
        <v>0904-09</v>
      </c>
      <c r="AE221" s="87" t="str">
        <f t="shared" si="88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221" s="84" t="str">
        <f t="shared" si="89"/>
        <v>"C:\Program Files (x86)\AstroGrep\AstroGrep.exe" /spath="%USERPROFILE%\AppData\Local\Temp\OnboardLogs" /stypes="app*4030*20170109*" /stext=" 22:.+((SYSTEM_STATE.+slice.+state.+changed )|(ment ac)|(multiple cpu faults)|(system.+state.+changed )|(\[timeout)|(PRM\|1\|D)|(kpr)|(kdp)|(\|lc)|(penalty))" /e /r /s</v>
      </c>
      <c r="AG221" s="1" t="str">
        <f t="shared" si="90"/>
        <v>Other</v>
      </c>
      <c r="AH221" s="88" t="str">
        <f t="shared" si="91"/>
        <v>"%USERPROFILE%\Documents\GitHub\eaglep3\Utilities\RefineRTDCRunTimes.py" --tripid 904-09 --locoid 4030 --swversion DE.1.0.8.0 --startMP 300:23209 --initTime 2017-01-09T15:20:56 --startdatetime 2017-01-09T15:23:29 --delay 2 --endMP 204:633 --enddatetime 2017-01-09T15:32:59 --enforcementcount 0 &gt;&gt;C:\Users\stu\Documents\GitHub\eaglep3-reporting\EC\2017-01-09-refined-times.txt</v>
      </c>
      <c r="AI221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{"issue":{"subject":"","project_id":79,"tracker_id":40,"status_id":1,"priority_id":2,"assigned_to_id":23,"start_date":"2017-01-09","description":"","custom_fields":[{"id":1,"name":"Subdivision","value":"Other"},{"id":4,"name":"Milepost","value":"0.0633"},{"id":17,"name":"Train ID","value":"904-09"},{"id":16,"name":"Locomotive ID","value":"4030"},{"id":130,"name":"Impact","value":""},{"id":150,"name":"Time of Event (Mountain Time)","value":"15:32:59"},{"id":151,"name":"Denver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3"/>
        <v>start /low /b %USERPROFILE%\Documents\GitHub\eaglep3\Utilities\DownloadLogsFromS3.py --loco 4030 --day 2017-01-09</v>
      </c>
    </row>
    <row r="222" spans="1:39" x14ac:dyDescent="0.25">
      <c r="A222" s="34" t="s">
        <v>625</v>
      </c>
      <c r="B222" s="7">
        <v>4030</v>
      </c>
      <c r="C222" s="22" t="s">
        <v>203</v>
      </c>
      <c r="D222" s="22" t="s">
        <v>778</v>
      </c>
      <c r="E222" s="13">
        <v>42744.796087962961</v>
      </c>
      <c r="F222" s="13">
        <v>25568.708333333332</v>
      </c>
      <c r="G222" s="7">
        <v>1</v>
      </c>
      <c r="H222" s="22" t="s">
        <v>815</v>
      </c>
      <c r="I222" s="13">
        <v>25568.708333333332</v>
      </c>
      <c r="J222" s="7">
        <v>0</v>
      </c>
      <c r="K222" s="105" t="str">
        <f t="shared" si="79"/>
        <v>4029/4030</v>
      </c>
      <c r="L222" s="22" t="str">
        <f>VLOOKUP(A222,'Trips&amp;Operators'!$C$1:$G$99999,5,FALSE)</f>
        <v>NEWELL JAMES</v>
      </c>
      <c r="M222" s="6">
        <f t="shared" si="80"/>
        <v>0</v>
      </c>
      <c r="N222" s="7">
        <f t="shared" si="78"/>
        <v>0</v>
      </c>
      <c r="O222" s="7"/>
      <c r="P222" s="7"/>
      <c r="Q222" s="23"/>
      <c r="R222" s="23"/>
      <c r="S222" s="32">
        <f t="shared" si="94"/>
        <v>0</v>
      </c>
      <c r="T222" s="47" t="str">
        <f t="shared" si="81"/>
        <v>Southbound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18:06:22-700',mode:absolute,to:'1969-12-31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2" s="49" t="str">
        <f t="shared" si="83"/>
        <v>Y</v>
      </c>
      <c r="X222" s="173">
        <f t="shared" si="77"/>
        <v>2</v>
      </c>
      <c r="Y222" s="64">
        <f t="shared" si="84"/>
        <v>5.8605999999999998</v>
      </c>
      <c r="Z222" s="64">
        <f t="shared" si="85"/>
        <v>2.8780000000000001</v>
      </c>
      <c r="AA222" s="64">
        <f t="shared" si="86"/>
        <v>2.9825999999999997</v>
      </c>
      <c r="AB222" s="61" t="e">
        <f>VLOOKUP(A222,Enforcements!$C$7:$K$17,8,0)</f>
        <v>#N/A</v>
      </c>
      <c r="AC222" s="57" t="e">
        <f>VLOOKUP(A222,Enforcements!$C$7:$E$17,3,0)</f>
        <v>#N/A</v>
      </c>
      <c r="AD222" s="58" t="str">
        <f t="shared" si="87"/>
        <v>0906-09</v>
      </c>
      <c r="AE222" s="87" t="str">
        <f t="shared" si="88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22" s="84" t="str">
        <f t="shared" si="89"/>
        <v>"C:\Program Files (x86)\AstroGrep\AstroGrep.exe" /spath="%USERPROFILE%\AppData\Local\Temp\OnboardLogs" /stypes="app*4030*19700101*" /stext=" 00:.+((SYSTEM_STATE.+slice.+state.+changed )|(ment ac)|(multiple cpu faults)|(system.+state.+changed )|(\[timeout)|(PRM\|1\|D)|(kpr)|(kdp)|(\|lc)|(penalty))" /e /r /s</v>
      </c>
      <c r="AG222" s="1" t="str">
        <f t="shared" si="90"/>
        <v>Other</v>
      </c>
      <c r="AH222" s="88" t="str">
        <f t="shared" si="91"/>
        <v>"%USERPROFILE%\Documents\GitHub\eaglep3\Utilities\RefineRTDCRunTimes.py" --tripid 906-09 --locoid 4030 --swversion DE.1.0.8.0 --startMP 300:58606 --initTime 2017-01-09T19:06:22 --startdatetime 1969-12-31T17:00:00 --delay 1 --endMP 300:28780 --enddatetime 1969-12-31T17:00:00 --enforcementcount 0 &gt;&gt;C:\Users\stu\Documents\GitHub\eaglep3-reporting\EC\2017-01-09-refined-times.txt</v>
      </c>
      <c r="AI222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ID","value":"906-09"},{"id":16,"name":"Locomotive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3"/>
        <v>start /low /b %USERPROFILE%\Documents\GitHub\eaglep3\Utilities\DownloadLogsFromS3.py --loco 4030 --day 1969-12-31</v>
      </c>
    </row>
    <row r="223" spans="1:39" x14ac:dyDescent="0.25">
      <c r="A223" s="34" t="s">
        <v>648</v>
      </c>
      <c r="B223" s="7">
        <v>4013</v>
      </c>
      <c r="C223" s="22" t="s">
        <v>203</v>
      </c>
      <c r="D223" s="22" t="s">
        <v>319</v>
      </c>
      <c r="E223" s="13">
        <v>42744.942337962966</v>
      </c>
      <c r="F223" s="13">
        <v>42744.943599537037</v>
      </c>
      <c r="G223" s="7">
        <v>1</v>
      </c>
      <c r="H223" s="22" t="s">
        <v>816</v>
      </c>
      <c r="I223" s="13">
        <v>42744.948055555556</v>
      </c>
      <c r="J223" s="7">
        <v>0</v>
      </c>
      <c r="K223" s="105" t="str">
        <f t="shared" si="79"/>
        <v>4013/4014</v>
      </c>
      <c r="L223" s="22" t="str">
        <f>VLOOKUP(A223,'Trips&amp;Operators'!$C$1:$G$99999,5,FALSE)</f>
        <v>NEWELL JAMES</v>
      </c>
      <c r="M223" s="6">
        <f t="shared" si="80"/>
        <v>4.4560185197042301E-3</v>
      </c>
      <c r="N223" s="7">
        <f t="shared" si="78"/>
        <v>6.4166666683740914</v>
      </c>
      <c r="O223" s="7"/>
      <c r="P223" s="7"/>
      <c r="Q223" s="23"/>
      <c r="R223" s="23"/>
      <c r="S223" s="32">
        <f t="shared" si="94"/>
        <v>0</v>
      </c>
      <c r="T223" s="47" t="str">
        <f t="shared" si="81"/>
        <v>Southbound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21:36:58-700',mode:absolute,to:'2017-01-09 23:45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3" s="49" t="str">
        <f t="shared" si="83"/>
        <v>Y</v>
      </c>
      <c r="X223" s="173">
        <f t="shared" si="77"/>
        <v>2</v>
      </c>
      <c r="Y223" s="64">
        <f t="shared" si="84"/>
        <v>5.8616999999999999</v>
      </c>
      <c r="Z223" s="64">
        <f t="shared" si="85"/>
        <v>2.1753</v>
      </c>
      <c r="AA223" s="64">
        <f t="shared" si="86"/>
        <v>3.6863999999999999</v>
      </c>
      <c r="AB223" s="61" t="e">
        <f>VLOOKUP(A223,Enforcements!$C$7:$K$17,8,0)</f>
        <v>#N/A</v>
      </c>
      <c r="AC223" s="57" t="e">
        <f>VLOOKUP(A223,Enforcements!$C$7:$E$17,3,0)</f>
        <v>#N/A</v>
      </c>
      <c r="AD223" s="58" t="str">
        <f t="shared" si="87"/>
        <v>0908-09</v>
      </c>
      <c r="AE223" s="87" t="str">
        <f t="shared" si="88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23" s="84" t="str">
        <f t="shared" si="89"/>
        <v>"C:\Program Files (x86)\AstroGrep\AstroGrep.exe" /spath="%USERPROFILE%\AppData\Local\Temp\OnboardLogs" /stypes="app*4013*20170110*" /stext=" 05:.+((SYSTEM_STATE.+slice.+state.+changed )|(ment ac)|(multiple cpu faults)|(system.+state.+changed )|(\[timeout)|(PRM\|1\|D)|(kpr)|(kdp)|(\|lc)|(penalty))" /e /r /s</v>
      </c>
      <c r="AG223" s="1" t="str">
        <f t="shared" si="90"/>
        <v>Other</v>
      </c>
      <c r="AH223" s="88" t="str">
        <f t="shared" si="91"/>
        <v>"%USERPROFILE%\Documents\GitHub\eaglep3\Utilities\RefineRTDCRunTimes.py" --tripid 908-09 --locoid 4013 --swversion DE.1.0.8.0 --startMP 300:58617 --initTime 2017-01-09T22:36:58 --startdatetime 2017-01-09T22:38:47 --delay 1 --endMP 300:21753 --enddatetime 2017-01-09T22:45:12 --enforcementcount 0 &gt;&gt;C:\Users\stu\Documents\GitHub\eaglep3-reporting\EC\2017-01-09-refined-times.txt</v>
      </c>
      <c r="AI223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{"issue":{"subject":"","project_id":79,"tracker_id":40,"status_id":1,"priority_id":2,"assigned_to_id":23,"start_date":"2017-01-09","description":"","custom_fields":[{"id":1,"name":"Subdivision","value":"Other"},{"id":4,"name":"Milepost","value":"2.1753"},{"id":17,"name":"Train ID","value":"908-09"},{"id":16,"name":"Locomotive ID","value":"4013"},{"id":130,"name":"Impact","value":""},{"id":150,"name":"Time of Event (Mountain Time)","value":"22:45:12"},{"id":151,"name":"Denver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3"/>
        <v>start /low /b %USERPROFILE%\Documents\GitHub\eaglep3\Utilities\DownloadLogsFromS3.py --loco 4013 --day 2017-01-09</v>
      </c>
    </row>
    <row r="224" spans="1:39" x14ac:dyDescent="0.25">
      <c r="A224" s="34" t="s">
        <v>529</v>
      </c>
      <c r="B224" s="7">
        <v>4015</v>
      </c>
      <c r="C224" s="22" t="s">
        <v>203</v>
      </c>
      <c r="D224" s="22" t="s">
        <v>735</v>
      </c>
      <c r="E224" s="13">
        <v>42744.474212962959</v>
      </c>
      <c r="F224" s="13">
        <v>42744.475358796299</v>
      </c>
      <c r="G224" s="7">
        <v>1</v>
      </c>
      <c r="H224" s="22" t="s">
        <v>736</v>
      </c>
      <c r="I224" s="13">
        <v>42744.481504629628</v>
      </c>
      <c r="J224" s="7">
        <v>0</v>
      </c>
      <c r="K224" s="105" t="str">
        <f t="shared" si="79"/>
        <v>4015/4016</v>
      </c>
      <c r="L224" s="22" t="str">
        <f>VLOOKUP(A224,'Trips&amp;Operators'!$C$1:$G$99999,5,FALSE)</f>
        <v>ROMERO CHAD</v>
      </c>
      <c r="M224" s="6">
        <f t="shared" si="80"/>
        <v>6.1458333293558098E-3</v>
      </c>
      <c r="N224" s="7">
        <f t="shared" si="78"/>
        <v>8.8499999942723662</v>
      </c>
      <c r="O224" s="7"/>
      <c r="P224" s="7"/>
      <c r="Q224" s="23"/>
      <c r="R224" s="23"/>
      <c r="S224" s="32">
        <f t="shared" si="94"/>
        <v>0</v>
      </c>
      <c r="T224" s="47" t="e">
        <f t="shared" si="81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10:22:52-700',mode:absolute,to:'2017-01-09 12:33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4" s="49" t="str">
        <f t="shared" si="83"/>
        <v>Y</v>
      </c>
      <c r="X224" s="173" t="e">
        <f t="shared" ref="X224:X232" si="95">VALUE(LEFT(AD224,4))-VALUE(LEFT(AD223,4))</f>
        <v>#VALUE!</v>
      </c>
      <c r="Y224" s="64">
        <f t="shared" si="84"/>
        <v>2.2932000000000001</v>
      </c>
      <c r="Z224" s="64">
        <f t="shared" si="85"/>
        <v>8.6099999999999996E-2</v>
      </c>
      <c r="AA224" s="64">
        <f t="shared" si="86"/>
        <v>2.2071000000000001</v>
      </c>
      <c r="AB224" s="61" t="e">
        <f>VLOOKUP(A224,Enforcements!$C$7:$K$17,8,0)</f>
        <v>#N/A</v>
      </c>
      <c r="AC224" s="57" t="e">
        <f>VLOOKUP(A224,Enforcements!$C$7:$E$17,3,0)</f>
        <v>#N/A</v>
      </c>
      <c r="AD224" s="58" t="str">
        <f t="shared" si="87"/>
        <v>50-09</v>
      </c>
      <c r="AE224" s="87" t="str">
        <f t="shared" si="88"/>
        <v>aws s3 cp s3://rtdc.mdm.uploadarchive.raw/RTDC4015/ "%USERPROFILE%\AppData\Local\Temp\OnboardLogs"\RTDC4015\2017-01-09 --exclude "*" --recursive --include "*20170109*" &amp; "%USERPROFILE%\Documents\GitHub\mrs-test-scripts\Headless Mode &amp; Sideloading\WalkAndUnGZ.bat" "%USERPROFILE%\AppData\Local\Temp\OnboardLogs"\RTDC4015\2017-01-09 &amp; 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</v>
      </c>
      <c r="AF224" s="84" t="str">
        <f t="shared" si="89"/>
        <v>"C:\Program Files (x86)\AstroGrep\AstroGrep.exe" /spath="%USERPROFILE%\AppData\Local\Temp\OnboardLogs" /stypes="app*4015*20170109*" /stext=" 18:.+((SYSTEM_STATE.+slice.+state.+changed )|(ment ac)|(multiple cpu faults)|(system.+state.+changed )|(\[timeout)|(PRM\|1\|D)|(kpr)|(kdp)|(\|lc)|(penalty))" /e /r /s</v>
      </c>
      <c r="AG224" s="1" t="str">
        <f t="shared" si="90"/>
        <v>Other</v>
      </c>
      <c r="AH224" s="88" t="str">
        <f t="shared" si="91"/>
        <v>"%USERPROFILE%\Documents\GitHub\eaglep3\Utilities\RefineRTDCRunTimes.py" --tripid 50-09 --locoid 4015 --swversion DE.1.0.8.0 --startMP 300:22932 --initTime 2017-01-09T11:22:52 --startdatetime 2017-01-09T11:24:31 --delay 1 --endMP 204:861 --enddatetime 2017-01-09T11:33:22 --enforcementcount 0 &gt;&gt;C:\Users\stu\Documents\GitHub\eaglep3-reporting\EC\2017-01-09-refined-times.txt</v>
      </c>
      <c r="AI224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{"issue":{"subject":"","project_id":79,"tracker_id":40,"status_id":1,"priority_id":2,"assigned_to_id":23,"start_date":"2017-01-09","description":"","custom_fields":[{"id":1,"name":"Subdivision","value":"Other"},{"id":4,"name":"Milepost","value":"0.0861"},{"id":17,"name":"Train ID","value":"50-09"},{"id":16,"name":"Locomotive ID","value":"4015"},{"id":130,"name":"Impact","value":""},{"id":150,"name":"Time of Event (Mountain Time)","value":"11:33:22"},{"id":151,"name":"Denver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3"/>
        <v>start /low /b %USERPROFILE%\Documents\GitHub\eaglep3\Utilities\DownloadLogsFromS3.py --loco 4015 --day 2017-01-09</v>
      </c>
    </row>
    <row r="225" spans="1:39" x14ac:dyDescent="0.25">
      <c r="A225" s="34" t="s">
        <v>542</v>
      </c>
      <c r="B225" s="7">
        <v>4016</v>
      </c>
      <c r="C225" s="22" t="s">
        <v>203</v>
      </c>
      <c r="D225" s="22" t="s">
        <v>737</v>
      </c>
      <c r="E225" s="13">
        <v>42744.500347222223</v>
      </c>
      <c r="F225" s="13">
        <v>42744.510763888888</v>
      </c>
      <c r="G225" s="7">
        <v>1</v>
      </c>
      <c r="H225" s="22" t="s">
        <v>738</v>
      </c>
      <c r="I225" s="13">
        <v>42744.516168981485</v>
      </c>
      <c r="J225" s="7">
        <v>0</v>
      </c>
      <c r="K225" s="105" t="str">
        <f t="shared" si="79"/>
        <v>4015/4016</v>
      </c>
      <c r="L225" s="22" t="str">
        <f>VLOOKUP(A225,'Trips&amp;Operators'!$C$1:$G$99999,5,FALSE)</f>
        <v>YANAI IAN</v>
      </c>
      <c r="M225" s="6">
        <f t="shared" si="80"/>
        <v>5.4050925973569974E-3</v>
      </c>
      <c r="N225" s="7">
        <f t="shared" si="78"/>
        <v>7.7833333401940763</v>
      </c>
      <c r="O225" s="7"/>
      <c r="P225" s="7"/>
      <c r="Q225" s="23"/>
      <c r="R225" s="23"/>
      <c r="S225" s="32">
        <f t="shared" si="94"/>
        <v>0</v>
      </c>
      <c r="T225" s="47" t="e">
        <f t="shared" si="81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11:00:30-700',mode:absolute,to:'2017-01-09 13:23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5" s="49" t="str">
        <f t="shared" si="83"/>
        <v>Y</v>
      </c>
      <c r="X225" s="173" t="e">
        <f t="shared" si="95"/>
        <v>#VALUE!</v>
      </c>
      <c r="Y225" s="64">
        <f t="shared" si="84"/>
        <v>0.1179</v>
      </c>
      <c r="Z225" s="64">
        <f t="shared" si="85"/>
        <v>2.4289999999999998</v>
      </c>
      <c r="AA225" s="64">
        <f t="shared" si="86"/>
        <v>2.3110999999999997</v>
      </c>
      <c r="AB225" s="61" t="e">
        <f>VLOOKUP(A225,Enforcements!$C$7:$K$17,8,0)</f>
        <v>#N/A</v>
      </c>
      <c r="AC225" s="57" t="e">
        <f>VLOOKUP(A225,Enforcements!$C$7:$E$17,3,0)</f>
        <v>#N/A</v>
      </c>
      <c r="AD225" s="58" t="str">
        <f t="shared" si="87"/>
        <v>51-09</v>
      </c>
      <c r="AE225" s="87" t="str">
        <f t="shared" si="88"/>
        <v>aws s3 cp s3://rtdc.mdm.uploadarchive.raw/RTDC4016/ "%USERPROFILE%\AppData\Local\Temp\OnboardLogs"\RTDC4016\2017-01-09 --exclude "*" --recursive --include "*20170109*" &amp; "%USERPROFILE%\Documents\GitHub\mrs-test-scripts\Headless Mode &amp; Sideloading\WalkAndUnGZ.bat" "%USERPROFILE%\AppData\Local\Temp\OnboardLogs"\RTDC4016\2017-01-09 &amp; 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</v>
      </c>
      <c r="AF225" s="84" t="str">
        <f t="shared" si="89"/>
        <v>"C:\Program Files (x86)\AstroGrep\AstroGrep.exe" /spath="%USERPROFILE%\AppData\Local\Temp\OnboardLogs" /stypes="app*4016*20170109*" /stext=" 19:.+((SYSTEM_STATE.+slice.+state.+changed )|(ment ac)|(multiple cpu faults)|(system.+state.+changed )|(\[timeout)|(PRM\|1\|D)|(kpr)|(kdp)|(\|lc)|(penalty))" /e /r /s</v>
      </c>
      <c r="AG225" s="1" t="str">
        <f t="shared" si="90"/>
        <v>Other</v>
      </c>
      <c r="AH225" s="88" t="str">
        <f t="shared" si="91"/>
        <v>"%USERPROFILE%\Documents\GitHub\eaglep3\Utilities\RefineRTDCRunTimes.py" --tripid 51-09 --locoid 4016 --swversion DE.1.0.8.0 --startMP 204:1179 --initTime 2017-01-09T12:00:30 --startdatetime 2017-01-09T12:15:30 --delay 1 --endMP 300:24290 --enddatetime 2017-01-09T12:23:17 --enforcementcount 0 &gt;&gt;C:\Users\stu\Documents\GitHub\eaglep3-reporting\EC\2017-01-09-refined-times.txt</v>
      </c>
      <c r="AI225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{"issue":{"subject":"","project_id":79,"tracker_id":40,"status_id":1,"priority_id":2,"assigned_to_id":23,"start_date":"2017-01-09","description":"","custom_fields":[{"id":1,"name":"Subdivision","value":"Other"},{"id":4,"name":"Milepost","value":"2.429"},{"id":17,"name":"Train ID","value":"51-09"},{"id":16,"name":"Locomotive ID","value":"4016"},{"id":130,"name":"Impact","value":""},{"id":150,"name":"Time of Event (Mountain Time)","value":"12:23:17"},{"id":151,"name":"Denver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3"/>
        <v>start /low /b %USERPROFILE%\Documents\GitHub\eaglep3\Utilities\DownloadLogsFromS3.py --loco 4016 --day 2017-01-09</v>
      </c>
    </row>
    <row r="226" spans="1:39" x14ac:dyDescent="0.25">
      <c r="A226" s="34" t="s">
        <v>599</v>
      </c>
      <c r="B226" s="7">
        <v>4009</v>
      </c>
      <c r="C226" s="22" t="s">
        <v>203</v>
      </c>
      <c r="D226" s="22" t="s">
        <v>739</v>
      </c>
      <c r="E226" s="13">
        <v>42744.723645833335</v>
      </c>
      <c r="F226" s="13">
        <v>42744.750185185185</v>
      </c>
      <c r="G226" s="7">
        <v>2</v>
      </c>
      <c r="H226" s="22" t="s">
        <v>740</v>
      </c>
      <c r="I226" s="13">
        <v>42744.775740740741</v>
      </c>
      <c r="J226" s="7">
        <v>0</v>
      </c>
      <c r="K226" s="105" t="str">
        <f t="shared" si="79"/>
        <v>4009/4010</v>
      </c>
      <c r="L226" s="22" t="str">
        <f>VLOOKUP(A226,'Trips&amp;Operators'!$C$1:$G$99999,5,FALSE)</f>
        <v>MAHAN DUANE</v>
      </c>
      <c r="M226" s="6">
        <f t="shared" si="80"/>
        <v>2.5555555555911269E-2</v>
      </c>
      <c r="N226" s="7">
        <f t="shared" si="78"/>
        <v>36.800000000512227</v>
      </c>
      <c r="O226" s="7"/>
      <c r="P226" s="7"/>
      <c r="Q226" s="23"/>
      <c r="R226" s="23"/>
      <c r="S226" s="32">
        <f t="shared" si="94"/>
        <v>0</v>
      </c>
      <c r="T226" s="47" t="e">
        <f t="shared" si="81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16:22:03-700',mode:absolute,to:'2017-01-09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6" s="49" t="str">
        <f t="shared" si="83"/>
        <v>Y</v>
      </c>
      <c r="X226" s="173" t="e">
        <f t="shared" si="95"/>
        <v>#VALUE!</v>
      </c>
      <c r="Y226" s="64">
        <f t="shared" si="84"/>
        <v>0.14660000000000001</v>
      </c>
      <c r="Z226" s="64">
        <f t="shared" si="85"/>
        <v>0.1469</v>
      </c>
      <c r="AA226" s="64">
        <f t="shared" si="86"/>
        <v>2.9999999999999472E-4</v>
      </c>
      <c r="AB226" s="61" t="e">
        <f>VLOOKUP(A226,Enforcements!$C$7:$K$17,8,0)</f>
        <v>#N/A</v>
      </c>
      <c r="AC226" s="57" t="e">
        <f>VLOOKUP(A226,Enforcements!$C$7:$E$17,3,0)</f>
        <v>#N/A</v>
      </c>
      <c r="AD226" s="58" t="str">
        <f t="shared" si="87"/>
        <v>65-09</v>
      </c>
      <c r="AE226" s="87" t="str">
        <f t="shared" si="88"/>
        <v>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 &amp; aws s3 cp s3://rtdc.mdm.uploadarchive.raw/RTDC4009/ "%USERPROFILE%\AppData\Local\Temp\OnboardLogs"\RTDC4009\2017-01-10 --exclude "*" --recursive --include "*20170110*" &amp; "%USERPROFILE%\Documents\GitHub\mrs-test-scripts\Headless Mode &amp; Sideloading\WalkAndUnGZ.bat" "%USERPROFILE%\AppData\Local\Temp\OnboardLogs"\RTDC4009\2017-01-10</v>
      </c>
      <c r="AF226" s="84" t="str">
        <f t="shared" si="89"/>
        <v>"C:\Program Files (x86)\AstroGrep\AstroGrep.exe" /spath="%USERPROFILE%\AppData\Local\Temp\OnboardLogs" /stypes="app*4009*20170110*" /stext=" 01:.+((SYSTEM_STATE.+slice.+state.+changed )|(ment ac)|(multiple cpu faults)|(system.+state.+changed )|(\[timeout)|(PRM\|1\|D)|(kpr)|(kdp)|(\|lc)|(penalty))" /e /r /s</v>
      </c>
      <c r="AG226" s="1" t="str">
        <f t="shared" si="90"/>
        <v>Other</v>
      </c>
      <c r="AH226" s="88" t="str">
        <f t="shared" si="91"/>
        <v>"%USERPROFILE%\Documents\GitHub\eaglep3\Utilities\RefineRTDCRunTimes.py" --tripid 65-09 --locoid 4009 --swversion DE.1.0.8.0 --startMP 204:1466 --initTime 2017-01-09T17:22:03 --startdatetime 2017-01-09T18:00:16 --delay 2 --endMP 204:1469 --enddatetime 2017-01-09T18:37:04 --enforcementcount 0 &gt;&gt;C:\Users\stu\Documents\GitHub\eaglep3-reporting\EC\2017-01-09-refined-times.txt</v>
      </c>
      <c r="AI226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{"issue":{"subject":"","project_id":79,"tracker_id":40,"status_id":1,"priority_id":2,"assigned_to_id":23,"start_date":"2017-01-09","description":"","custom_fields":[{"id":1,"name":"Subdivision","value":"Other"},{"id":4,"name":"Milepost","value":"0.1469"},{"id":17,"name":"Train ID","value":"65-09"},{"id":16,"name":"Locomotive ID","value":"4009"},{"id":130,"name":"Impact","value":""},{"id":150,"name":"Time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3"/>
        <v>start /low /b %USERPROFILE%\Documents\GitHub\eaglep3\Utilities\DownloadLogsFromS3.py --loco 4009 --day 2017-01-09</v>
      </c>
    </row>
    <row r="227" spans="1:39" x14ac:dyDescent="0.25">
      <c r="A227" s="34" t="s">
        <v>599</v>
      </c>
      <c r="B227" s="7">
        <v>4042</v>
      </c>
      <c r="C227" s="22" t="s">
        <v>203</v>
      </c>
      <c r="D227" s="22" t="s">
        <v>741</v>
      </c>
      <c r="E227" s="13">
        <v>42744.750740740739</v>
      </c>
      <c r="F227" s="13">
        <v>25568.708333333332</v>
      </c>
      <c r="G227" s="7">
        <v>1</v>
      </c>
      <c r="H227" s="22" t="s">
        <v>417</v>
      </c>
      <c r="I227" s="13">
        <v>25568.708333333332</v>
      </c>
      <c r="J227" s="7">
        <v>0</v>
      </c>
      <c r="K227" s="105" t="str">
        <f t="shared" si="79"/>
        <v>4041/4042</v>
      </c>
      <c r="L227" s="22" t="str">
        <f>VLOOKUP(A227,'Trips&amp;Operators'!$C$1:$G$99999,5,FALSE)</f>
        <v>MAHAN DUANE</v>
      </c>
      <c r="M227" s="6">
        <f t="shared" si="80"/>
        <v>0</v>
      </c>
      <c r="N227" s="7">
        <f t="shared" si="78"/>
        <v>0</v>
      </c>
      <c r="O227" s="7"/>
      <c r="P227" s="7"/>
      <c r="Q227" s="23"/>
      <c r="R227" s="23"/>
      <c r="S227" s="32">
        <f t="shared" si="94"/>
        <v>0</v>
      </c>
      <c r="T227" s="47" t="e">
        <f t="shared" si="81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17:01:04-700',mode:absolute,to:'1969-12-31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7" s="49" t="str">
        <f t="shared" si="83"/>
        <v>Y</v>
      </c>
      <c r="X227" s="173" t="e">
        <f t="shared" si="95"/>
        <v>#VALUE!</v>
      </c>
      <c r="Y227" s="64">
        <f t="shared" si="84"/>
        <v>0.1479</v>
      </c>
      <c r="Z227" s="64">
        <f t="shared" si="85"/>
        <v>2.3300999999999998</v>
      </c>
      <c r="AA227" s="64">
        <f t="shared" si="86"/>
        <v>2.1821999999999999</v>
      </c>
      <c r="AB227" s="61" t="e">
        <f>VLOOKUP(A227,Enforcements!$C$7:$K$17,8,0)</f>
        <v>#N/A</v>
      </c>
      <c r="AC227" s="57" t="e">
        <f>VLOOKUP(A227,Enforcements!$C$7:$E$17,3,0)</f>
        <v>#N/A</v>
      </c>
      <c r="AD227" s="58" t="str">
        <f t="shared" si="87"/>
        <v>65-09</v>
      </c>
      <c r="AE227" s="87" t="str">
        <f t="shared" si="8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7" s="84" t="str">
        <f t="shared" si="8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27" s="1" t="str">
        <f t="shared" si="90"/>
        <v>Other</v>
      </c>
      <c r="AH227" s="88" t="str">
        <f t="shared" si="91"/>
        <v>"%USERPROFILE%\Documents\GitHub\eaglep3\Utilities\RefineRTDCRunTimes.py" --tripid 65-09 --locoid 4042 --swversion DE.1.0.8.0 --startMP 204:1479 --initTime 2017-01-09T18:01:04 --startdatetime 1969-12-31T17:00:00 --delay 1 --endMP 300:23301 --enddatetime 1969-12-31T17:00:00 --enforcementcount 0 &gt;&gt;C:\Users\stu\Documents\GitHub\eaglep3-reporting\EC\2017-01-09-refined-times.txt</v>
      </c>
      <c r="AI227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ID","value":"65-09"},{"id":16,"name":"Locomotive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3"/>
        <v>start /low /b %USERPROFILE%\Documents\GitHub\eaglep3\Utilities\DownloadLogsFromS3.py --loco 4042 --day 1969-12-31</v>
      </c>
    </row>
    <row r="228" spans="1:39" x14ac:dyDescent="0.25">
      <c r="A228" s="34" t="s">
        <v>449</v>
      </c>
      <c r="B228" s="7">
        <v>4015</v>
      </c>
      <c r="C228" s="22" t="s">
        <v>203</v>
      </c>
      <c r="D228" s="22" t="s">
        <v>742</v>
      </c>
      <c r="E228" s="13">
        <v>42744.702118055553</v>
      </c>
      <c r="F228" s="13">
        <v>42744.703287037039</v>
      </c>
      <c r="G228" s="7">
        <v>1</v>
      </c>
      <c r="H228" s="22" t="s">
        <v>743</v>
      </c>
      <c r="I228" s="13">
        <v>42744.712071759262</v>
      </c>
      <c r="J228" s="7">
        <v>0</v>
      </c>
      <c r="K228" s="105" t="str">
        <f t="shared" si="79"/>
        <v>4015/4016</v>
      </c>
      <c r="L228" s="22" t="str">
        <f>VLOOKUP(A228,'Trips&amp;Operators'!$C$1:$G$99999,5,FALSE)</f>
        <v>CHANDLER KELVIN</v>
      </c>
      <c r="M228" s="6">
        <f t="shared" si="80"/>
        <v>8.7847222239361145E-3</v>
      </c>
      <c r="N228" s="7">
        <f t="shared" si="78"/>
        <v>12.650000002468005</v>
      </c>
      <c r="O228" s="7"/>
      <c r="P228" s="7"/>
      <c r="Q228" s="23"/>
      <c r="R228" s="23"/>
      <c r="S228" s="32">
        <f t="shared" si="94"/>
        <v>0</v>
      </c>
      <c r="T228" s="47" t="e">
        <f t="shared" si="81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15:51:03-700',mode:absolute,to:'2017-01-09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8" s="49" t="str">
        <f t="shared" si="83"/>
        <v>Y</v>
      </c>
      <c r="X228" s="173" t="e">
        <f t="shared" si="95"/>
        <v>#VALUE!</v>
      </c>
      <c r="Y228" s="64">
        <f t="shared" si="84"/>
        <v>2.3174999999999999</v>
      </c>
      <c r="Z228" s="64">
        <f t="shared" si="85"/>
        <v>8.6E-3</v>
      </c>
      <c r="AA228" s="64">
        <f t="shared" si="86"/>
        <v>2.3089</v>
      </c>
      <c r="AB228" s="61" t="e">
        <f>VLOOKUP(A228,Enforcements!$C$7:$K$17,8,0)</f>
        <v>#N/A</v>
      </c>
      <c r="AC228" s="57" t="e">
        <f>VLOOKUP(A228,Enforcements!$C$7:$E$17,3,0)</f>
        <v>#N/A</v>
      </c>
      <c r="AD228" s="58" t="str">
        <f t="shared" si="87"/>
        <v>74-09</v>
      </c>
      <c r="AE228" s="87" t="str">
        <f t="shared" si="88"/>
        <v>aws s3 cp s3://rtdc.mdm.uploadarchive.raw/RTDC4015/ "%USERPROFILE%\AppData\Local\Temp\OnboardLogs"\RTDC4015\2017-01-09 --exclude "*" --recursive --include "*20170109*" &amp; "%USERPROFILE%\Documents\GitHub\mrs-test-scripts\Headless Mode &amp; Sideloading\WalkAndUnGZ.bat" "%USERPROFILE%\AppData\Local\Temp\OnboardLogs"\RTDC4015\2017-01-09 &amp; 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</v>
      </c>
      <c r="AF228" s="84" t="str">
        <f t="shared" si="89"/>
        <v>"C:\Program Files (x86)\AstroGrep\AstroGrep.exe" /spath="%USERPROFILE%\AppData\Local\Temp\OnboardLogs" /stypes="app*4015*20170110*" /stext=" 00:.+((SYSTEM_STATE.+slice.+state.+changed )|(ment ac)|(multiple cpu faults)|(system.+state.+changed )|(\[timeout)|(PRM\|1\|D)|(kpr)|(kdp)|(\|lc)|(penalty))" /e /r /s</v>
      </c>
      <c r="AG228" s="1" t="str">
        <f t="shared" si="90"/>
        <v>Other</v>
      </c>
      <c r="AH228" s="88" t="str">
        <f t="shared" si="91"/>
        <v>"%USERPROFILE%\Documents\GitHub\eaglep3\Utilities\RefineRTDCRunTimes.py" --tripid 74-09 --locoid 4015 --swversion DE.1.0.8.0 --startMP 300:23175 --initTime 2017-01-09T16:51:03 --startdatetime 2017-01-09T16:52:44 --delay 1 --endMP 204:86 --enddatetime 2017-01-09T17:05:23 --enforcementcount 0 &gt;&gt;C:\Users\stu\Documents\GitHub\eaglep3-reporting\EC\2017-01-09-refined-times.txt</v>
      </c>
      <c r="AI228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{"issue":{"subject":"","project_id":79,"tracker_id":40,"status_id":1,"priority_id":2,"assigned_to_id":23,"start_date":"2017-01-09","description":"","custom_fields":[{"id":1,"name":"Subdivision","value":"Other"},{"id":4,"name":"Milepost","value":"0.0086"},{"id":17,"name":"Train ID","value":"74-09"},{"id":16,"name":"Locomotive ID","value":"4015"},{"id":130,"name":"Impact","value":""},{"id":150,"name":"Time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3"/>
        <v>start /low /b %USERPROFILE%\Documents\GitHub\eaglep3\Utilities\DownloadLogsFromS3.py --loco 4015 --day 2017-01-09</v>
      </c>
    </row>
    <row r="229" spans="1:39" x14ac:dyDescent="0.25">
      <c r="A229" s="34" t="s">
        <v>604</v>
      </c>
      <c r="B229" s="7">
        <v>4016</v>
      </c>
      <c r="C229" s="22" t="s">
        <v>203</v>
      </c>
      <c r="D229" s="22" t="s">
        <v>744</v>
      </c>
      <c r="E229" s="13">
        <v>42744.729189814818</v>
      </c>
      <c r="F229" s="13">
        <v>25568.708333333332</v>
      </c>
      <c r="G229" s="7">
        <v>1</v>
      </c>
      <c r="H229" s="22" t="s">
        <v>417</v>
      </c>
      <c r="I229" s="13">
        <v>25568.708333333332</v>
      </c>
      <c r="J229" s="7">
        <v>0</v>
      </c>
      <c r="K229" s="105" t="str">
        <f t="shared" si="79"/>
        <v>4015/4016</v>
      </c>
      <c r="L229" s="22" t="str">
        <f>VLOOKUP(A229,'Trips&amp;Operators'!$C$1:$G$99999,5,FALSE)</f>
        <v>HOLCOMB KAMDEN</v>
      </c>
      <c r="M229" s="6">
        <f t="shared" si="80"/>
        <v>0</v>
      </c>
      <c r="N229" s="7">
        <f t="shared" si="78"/>
        <v>0</v>
      </c>
      <c r="O229" s="7"/>
      <c r="P229" s="7"/>
      <c r="Q229" s="23"/>
      <c r="R229" s="23"/>
      <c r="S229" s="32">
        <f t="shared" si="94"/>
        <v>0</v>
      </c>
      <c r="T229" s="47" t="e">
        <f t="shared" si="81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16:30:02-700',mode:absolute,to:'1969-12-31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9" s="49" t="str">
        <f t="shared" si="83"/>
        <v>Y</v>
      </c>
      <c r="X229" s="173" t="e">
        <f t="shared" si="95"/>
        <v>#VALUE!</v>
      </c>
      <c r="Y229" s="64">
        <f t="shared" si="84"/>
        <v>3.3000000000000002E-2</v>
      </c>
      <c r="Z229" s="64">
        <f t="shared" si="85"/>
        <v>2.3300999999999998</v>
      </c>
      <c r="AA229" s="64">
        <f t="shared" si="86"/>
        <v>2.2970999999999999</v>
      </c>
      <c r="AB229" s="61" t="e">
        <f>VLOOKUP(A229,Enforcements!$C$7:$K$17,8,0)</f>
        <v>#N/A</v>
      </c>
      <c r="AC229" s="57" t="e">
        <f>VLOOKUP(A229,Enforcements!$C$7:$E$17,3,0)</f>
        <v>#N/A</v>
      </c>
      <c r="AD229" s="58" t="str">
        <f t="shared" si="87"/>
        <v>75-09</v>
      </c>
      <c r="AE229" s="87" t="str">
        <f t="shared" si="88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9" s="84" t="str">
        <f t="shared" si="89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9" s="1" t="str">
        <f t="shared" si="90"/>
        <v>Other</v>
      </c>
      <c r="AH229" s="88" t="str">
        <f t="shared" si="91"/>
        <v>"%USERPROFILE%\Documents\GitHub\eaglep3\Utilities\RefineRTDCRunTimes.py" --tripid 75-09 --locoid 4016 --swversion DE.1.0.8.0 --startMP 204:330 --initTime 2017-01-09T17:30:02 --startdatetime 1969-12-31T17:00:00 --delay 1 --endMP 300:23301 --enddatetime 1969-12-31T17:00:00 --enforcementcount 0 &gt;&gt;C:\Users\stu\Documents\GitHub\eaglep3-reporting\EC\2017-01-09-refined-times.txt</v>
      </c>
      <c r="AI229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ID","value":"75-09"},{"id":16,"name":"Locomotive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93"/>
        <v>start /low /b %USERPROFILE%\Documents\GitHub\eaglep3\Utilities\DownloadLogsFromS3.py --loco 4016 --day 1969-12-31</v>
      </c>
    </row>
    <row r="230" spans="1:39" x14ac:dyDescent="0.25">
      <c r="A230" s="34" t="s">
        <v>598</v>
      </c>
      <c r="B230" s="7">
        <v>4039</v>
      </c>
      <c r="C230" s="22" t="s">
        <v>203</v>
      </c>
      <c r="D230" s="22" t="s">
        <v>745</v>
      </c>
      <c r="E230" s="13">
        <v>42744.722673611112</v>
      </c>
      <c r="F230" s="13">
        <v>42744.724293981482</v>
      </c>
      <c r="G230" s="7">
        <v>1</v>
      </c>
      <c r="H230" s="22" t="s">
        <v>746</v>
      </c>
      <c r="I230" s="13">
        <v>42744.730034722219</v>
      </c>
      <c r="J230" s="7">
        <v>0</v>
      </c>
      <c r="K230" s="105" t="str">
        <f t="shared" si="79"/>
        <v>4039/4040</v>
      </c>
      <c r="L230" s="22" t="str">
        <f>VLOOKUP(A230,'Trips&amp;Operators'!$C$1:$G$99999,5,FALSE)</f>
        <v>SMITH MICHAEL</v>
      </c>
      <c r="M230" s="6">
        <f t="shared" si="80"/>
        <v>5.7407407366554253E-3</v>
      </c>
      <c r="N230" s="7">
        <f t="shared" si="78"/>
        <v>8.2666666607838124</v>
      </c>
      <c r="O230" s="7"/>
      <c r="P230" s="7"/>
      <c r="Q230" s="23"/>
      <c r="R230" s="23"/>
      <c r="S230" s="32">
        <f t="shared" si="94"/>
        <v>0</v>
      </c>
      <c r="T230" s="47" t="e">
        <f t="shared" si="81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16:20:39-700',mode:absolute,to:'2017-01-09 18:31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0" s="49" t="str">
        <f t="shared" si="83"/>
        <v>Y</v>
      </c>
      <c r="X230" s="173" t="e">
        <f t="shared" si="95"/>
        <v>#VALUE!</v>
      </c>
      <c r="Y230" s="64">
        <f t="shared" si="84"/>
        <v>2.2042999999999999</v>
      </c>
      <c r="Z230" s="64">
        <f t="shared" si="85"/>
        <v>9.3399999999999997E-2</v>
      </c>
      <c r="AA230" s="64">
        <f t="shared" si="86"/>
        <v>2.1109</v>
      </c>
      <c r="AB230" s="61" t="e">
        <f>VLOOKUP(A230,Enforcements!$C$7:$K$17,8,0)</f>
        <v>#N/A</v>
      </c>
      <c r="AC230" s="57" t="e">
        <f>VLOOKUP(A230,Enforcements!$C$7:$E$17,3,0)</f>
        <v>#N/A</v>
      </c>
      <c r="AD230" s="58" t="str">
        <f t="shared" si="87"/>
        <v>76-09</v>
      </c>
      <c r="AE230" s="87" t="str">
        <f t="shared" si="88"/>
        <v>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 &amp; aws s3 cp s3://rtdc.mdm.uploadarchive.raw/RTDC4039/ "%USERPROFILE%\AppData\Local\Temp\OnboardLogs"\RTDC4039\2017-01-10 --exclude "*" --recursive --include "*20170110*" &amp; "%USERPROFILE%\Documents\GitHub\mrs-test-scripts\Headless Mode &amp; Sideloading\WalkAndUnGZ.bat" "%USERPROFILE%\AppData\Local\Temp\OnboardLogs"\RTDC4039\2017-01-10</v>
      </c>
      <c r="AF230" s="84" t="str">
        <f t="shared" si="89"/>
        <v>"C:\Program Files (x86)\AstroGrep\AstroGrep.exe" /spath="%USERPROFILE%\AppData\Local\Temp\OnboardLogs" /stypes="app*4039*20170110*" /stext=" 00:.+((SYSTEM_STATE.+slice.+state.+changed )|(ment ac)|(multiple cpu faults)|(system.+state.+changed )|(\[timeout)|(PRM\|1\|D)|(kpr)|(kdp)|(\|lc)|(penalty))" /e /r /s</v>
      </c>
      <c r="AG230" s="1" t="str">
        <f t="shared" si="90"/>
        <v>Other</v>
      </c>
      <c r="AH230" s="88" t="str">
        <f t="shared" si="91"/>
        <v>"%USERPROFILE%\Documents\GitHub\eaglep3\Utilities\RefineRTDCRunTimes.py" --tripid 76-09 --locoid 4039 --swversion DE.1.0.8.0 --startMP 300:22043 --initTime 2017-01-09T17:20:39 --startdatetime 2017-01-09T17:22:59 --delay 1 --endMP 204:934 --enddatetime 2017-01-09T17:31:15 --enforcementcount 0 &gt;&gt;C:\Users\stu\Documents\GitHub\eaglep3-reporting\EC\2017-01-09-refined-times.txt</v>
      </c>
      <c r="AI230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{"issue":{"subject":"","project_id":79,"tracker_id":40,"status_id":1,"priority_id":2,"assigned_to_id":23,"start_date":"2017-01-09","description":"","custom_fields":[{"id":1,"name":"Subdivision","value":"Other"},{"id":4,"name":"Milepost","value":"0.0934"},{"id":17,"name":"Train ID","value":"76-09"},{"id":16,"name":"Locomotive ID","value":"4039"},{"id":130,"name":"Impact","value":""},{"id":150,"name":"Time of Event (Mountain Time)","value":"17:31:15"},{"id":151,"name":"Denver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93"/>
        <v>start /low /b %USERPROFILE%\Documents\GitHub\eaglep3\Utilities\DownloadLogsFromS3.py --loco 4039 --day 2017-01-09</v>
      </c>
    </row>
    <row r="231" spans="1:39" x14ac:dyDescent="0.25">
      <c r="A231" s="34" t="s">
        <v>611</v>
      </c>
      <c r="B231" s="7">
        <v>4040</v>
      </c>
      <c r="C231" s="22" t="s">
        <v>203</v>
      </c>
      <c r="D231" s="22" t="s">
        <v>747</v>
      </c>
      <c r="E231" s="13">
        <v>42744.756296296298</v>
      </c>
      <c r="F231" s="13">
        <v>42744.758877314816</v>
      </c>
      <c r="G231" s="7">
        <v>1</v>
      </c>
      <c r="H231" s="22" t="s">
        <v>748</v>
      </c>
      <c r="I231" s="13">
        <v>42744.768009259256</v>
      </c>
      <c r="J231" s="7">
        <v>0</v>
      </c>
      <c r="K231" s="105" t="str">
        <f t="shared" si="79"/>
        <v>4039/4040</v>
      </c>
      <c r="L231" s="22" t="str">
        <f>VLOOKUP(A231,'Trips&amp;Operators'!$C$1:$G$99999,5,FALSE)</f>
        <v>YANG JAN</v>
      </c>
      <c r="M231" s="6">
        <f t="shared" si="80"/>
        <v>9.1319444400141947E-3</v>
      </c>
      <c r="N231" s="7">
        <f t="shared" si="78"/>
        <v>13.14999999362044</v>
      </c>
      <c r="O231" s="7"/>
      <c r="P231" s="7"/>
      <c r="Q231" s="23"/>
      <c r="R231" s="23"/>
      <c r="S231" s="32">
        <f t="shared" si="94"/>
        <v>0</v>
      </c>
      <c r="T231" s="47" t="e">
        <f t="shared" si="81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17:09:04-700',mode:absolute,to:'2017-01-09 19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1" s="49" t="str">
        <f t="shared" si="83"/>
        <v>Y</v>
      </c>
      <c r="X231" s="173" t="e">
        <f t="shared" si="95"/>
        <v>#VALUE!</v>
      </c>
      <c r="Y231" s="64">
        <f t="shared" si="84"/>
        <v>0.1249</v>
      </c>
      <c r="Z231" s="64">
        <f t="shared" si="85"/>
        <v>3.1193</v>
      </c>
      <c r="AA231" s="64">
        <f t="shared" si="86"/>
        <v>2.9944000000000002</v>
      </c>
      <c r="AB231" s="61" t="e">
        <f>VLOOKUP(A231,Enforcements!$C$7:$K$17,8,0)</f>
        <v>#N/A</v>
      </c>
      <c r="AC231" s="57" t="e">
        <f>VLOOKUP(A231,Enforcements!$C$7:$E$17,3,0)</f>
        <v>#N/A</v>
      </c>
      <c r="AD231" s="58" t="str">
        <f t="shared" si="87"/>
        <v>77-09</v>
      </c>
      <c r="AE231" s="87" t="str">
        <f t="shared" si="88"/>
        <v>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 &amp; 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</v>
      </c>
      <c r="AF231" s="84" t="str">
        <f t="shared" si="89"/>
        <v>"C:\Program Files (x86)\AstroGrep\AstroGrep.exe" /spath="%USERPROFILE%\AppData\Local\Temp\OnboardLogs" /stypes="app*4040*20170110*" /stext=" 01:.+((SYSTEM_STATE.+slice.+state.+changed )|(ment ac)|(multiple cpu faults)|(system.+state.+changed )|(\[timeout)|(PRM\|1\|D)|(kpr)|(kdp)|(\|lc)|(penalty))" /e /r /s</v>
      </c>
      <c r="AG231" s="1" t="str">
        <f t="shared" si="90"/>
        <v>Other</v>
      </c>
      <c r="AH231" s="88" t="str">
        <f t="shared" si="91"/>
        <v>"%USERPROFILE%\Documents\GitHub\eaglep3\Utilities\RefineRTDCRunTimes.py" --tripid 77-09 --locoid 4040 --swversion DE.1.0.8.0 --startMP 204:1249 --initTime 2017-01-09T18:09:04 --startdatetime 2017-01-09T18:12:47 --delay 1 --endMP 300:31193 --enddatetime 2017-01-09T18:25:56 --enforcementcount 0 &gt;&gt;C:\Users\stu\Documents\GitHub\eaglep3-reporting\EC\2017-01-09-refined-times.txt</v>
      </c>
      <c r="AI231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{"issue":{"subject":"","project_id":79,"tracker_id":40,"status_id":1,"priority_id":2,"assigned_to_id":23,"start_date":"2017-01-09","description":"","custom_fields":[{"id":1,"name":"Subdivision","value":"Other"},{"id":4,"name":"Milepost","value":"3.1193"},{"id":17,"name":"Train ID","value":"77-09"},{"id":16,"name":"Locomotive ID","value":"4040"},{"id":130,"name":"Impact","value":""},{"id":150,"name":"Time of Event (Mountain Time)","value":"18:25:56"},{"id":151,"name":"Denver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93"/>
        <v>start /low /b %USERPROFILE%\Documents\GitHub\eaglep3\Utilities\DownloadLogsFromS3.py --loco 4040 --day 2017-01-09</v>
      </c>
    </row>
    <row r="232" spans="1:39" x14ac:dyDescent="0.25">
      <c r="A232" s="34" t="s">
        <v>609</v>
      </c>
      <c r="B232" s="7">
        <v>4028</v>
      </c>
      <c r="C232" s="22" t="s">
        <v>203</v>
      </c>
      <c r="D232" s="22" t="s">
        <v>749</v>
      </c>
      <c r="E232" s="13">
        <v>42744.742048611108</v>
      </c>
      <c r="F232" s="13">
        <v>42744.745023148149</v>
      </c>
      <c r="G232" s="7">
        <v>3</v>
      </c>
      <c r="H232" s="22" t="s">
        <v>750</v>
      </c>
      <c r="I232" s="13">
        <v>42744.751643518517</v>
      </c>
      <c r="J232" s="7">
        <v>0</v>
      </c>
      <c r="K232" s="105" t="str">
        <f t="shared" si="79"/>
        <v>4027/4028</v>
      </c>
      <c r="L232" s="22" t="str">
        <f>VLOOKUP(A232,'Trips&amp;Operators'!$C$1:$G$99999,5,FALSE)</f>
        <v>SAFIEF AEIMEN</v>
      </c>
      <c r="M232" s="6">
        <f t="shared" si="80"/>
        <v>6.6203703681821935E-3</v>
      </c>
      <c r="N232" s="7">
        <f t="shared" si="78"/>
        <v>9.5333333301823586</v>
      </c>
      <c r="O232" s="7"/>
      <c r="P232" s="7"/>
      <c r="Q232" s="23"/>
      <c r="R232" s="23"/>
      <c r="S232" s="32">
        <f t="shared" si="94"/>
        <v>0</v>
      </c>
      <c r="T232" s="47" t="e">
        <f t="shared" si="81"/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16:48:33-700',mode:absolute,to:'2017-01-09 19:02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2" s="49" t="str">
        <f t="shared" si="83"/>
        <v>Y</v>
      </c>
      <c r="X232" s="173" t="e">
        <f t="shared" si="95"/>
        <v>#VALUE!</v>
      </c>
      <c r="Y232" s="64">
        <f t="shared" si="84"/>
        <v>2.2050999999999998</v>
      </c>
      <c r="Z232" s="64">
        <f t="shared" si="85"/>
        <v>1.4E-2</v>
      </c>
      <c r="AA232" s="64">
        <f t="shared" si="86"/>
        <v>2.1911</v>
      </c>
      <c r="AB232" s="61" t="e">
        <f>VLOOKUP(A232,Enforcements!$C$7:$K$17,8,0)</f>
        <v>#N/A</v>
      </c>
      <c r="AC232" s="57" t="e">
        <f>VLOOKUP(A232,Enforcements!$C$7:$E$17,3,0)</f>
        <v>#N/A</v>
      </c>
      <c r="AD232" s="58" t="str">
        <f t="shared" si="87"/>
        <v>78-09</v>
      </c>
      <c r="AE232" s="87" t="str">
        <f t="shared" si="88"/>
        <v>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 &amp; aws s3 cp s3://rtdc.mdm.uploadarchive.raw/RTDC4028/ "%USERPROFILE%\AppData\Local\Temp\OnboardLogs"\RTDC4028\2017-01-10 --exclude "*" --recursive --include "*20170110*" &amp; "%USERPROFILE%\Documents\GitHub\mrs-test-scripts\Headless Mode &amp; Sideloading\WalkAndUnGZ.bat" "%USERPROFILE%\AppData\Local\Temp\OnboardLogs"\RTDC4028\2017-01-10</v>
      </c>
      <c r="AF232" s="84" t="str">
        <f t="shared" si="89"/>
        <v>"C:\Program Files (x86)\AstroGrep\AstroGrep.exe" /spath="%USERPROFILE%\AppData\Local\Temp\OnboardLogs" /stypes="app*4028*20170110*" /stext=" 01:.+((SYSTEM_STATE.+slice.+state.+changed )|(ment ac)|(multiple cpu faults)|(system.+state.+changed )|(\[timeout)|(PRM\|1\|D)|(kpr)|(kdp)|(\|lc)|(penalty))" /e /r /s</v>
      </c>
      <c r="AG232" s="1" t="str">
        <f t="shared" si="90"/>
        <v>Other</v>
      </c>
      <c r="AH232" s="88" t="str">
        <f t="shared" si="91"/>
        <v>"%USERPROFILE%\Documents\GitHub\eaglep3\Utilities\RefineRTDCRunTimes.py" --tripid 78-09 --locoid 4028 --swversion DE.1.0.8.0 --startMP 300:22051 --initTime 2017-01-09T17:48:33 --startdatetime 2017-01-09T17:52:50 --delay 3 --endMP 204:140 --enddatetime 2017-01-09T18:02:22 --enforcementcount 0 &gt;&gt;C:\Users\stu\Documents\GitHub\eaglep3-reporting\EC\2017-01-09-refined-times.txt</v>
      </c>
      <c r="AI232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{"issue":{"subject":"","project_id":79,"tracker_id":40,"status_id":1,"priority_id":2,"assigned_to_id":23,"start_date":"2017-01-09","description":"","custom_fields":[{"id":1,"name":"Subdivision","value":"Other"},{"id":4,"name":"Milepost","value":"0.014"},{"id":17,"name":"Train ID","value":"78-09"},{"id":16,"name":"Locomotive ID","value":"4028"},{"id":130,"name":"Impact","value":""},{"id":150,"name":"Time of Event (Mountain Time)","value":"18:02:22"},{"id":151,"name":"Denver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93"/>
        <v>start /low /b %USERPROFILE%\Documents\GitHub\eaglep3\Utilities\DownloadLogsFromS3.py --loco 4028 --day 2017-01-09</v>
      </c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</sheetData>
  <autoFilter ref="A12:AG222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39:X1048576 W13:X232">
    <cfRule type="cellIs" dxfId="10" priority="352" operator="equal">
      <formula>"Y"</formula>
    </cfRule>
  </conditionalFormatting>
  <conditionalFormatting sqref="X239:X1048576 X13:X232">
    <cfRule type="cellIs" dxfId="9" priority="335" operator="greaterThan">
      <formula>1</formula>
    </cfRule>
  </conditionalFormatting>
  <conditionalFormatting sqref="X239:X1048576 X12:X232">
    <cfRule type="cellIs" dxfId="8" priority="332" operator="equal">
      <formula>0</formula>
    </cfRule>
  </conditionalFormatting>
  <conditionalFormatting sqref="A13:S232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1"/>
  <sheetViews>
    <sheetView topLeftCell="A2" zoomScaleNormal="100" workbookViewId="0">
      <selection activeCell="P13" sqref="A13:P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COUNTIF($O$7:$O$330,"=Y")</f>
        <v>6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COUNTA($O$7:$O$330)-O2</f>
        <v>29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- 2017-01-09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289</v>
      </c>
    </row>
    <row r="7" spans="1:31" s="1" customFormat="1" x14ac:dyDescent="0.25">
      <c r="A7" s="33">
        <v>42744.311956018515</v>
      </c>
      <c r="B7" s="31" t="s">
        <v>250</v>
      </c>
      <c r="C7" s="31" t="s">
        <v>434</v>
      </c>
      <c r="D7" s="31" t="s">
        <v>49</v>
      </c>
      <c r="E7" s="31" t="s">
        <v>235</v>
      </c>
      <c r="F7" s="44">
        <v>0</v>
      </c>
      <c r="G7" s="44">
        <v>53</v>
      </c>
      <c r="H7" s="44">
        <v>27421</v>
      </c>
      <c r="I7" s="44">
        <v>27346</v>
      </c>
      <c r="J7" s="31" t="s">
        <v>236</v>
      </c>
      <c r="K7" s="44">
        <v>27350</v>
      </c>
      <c r="L7" s="150" t="s">
        <v>51</v>
      </c>
      <c r="M7" s="151">
        <f t="shared" ref="M7:M41" si="0">CONVERT((I7-K7)/10000,"mi","ft")*IF(L7="Increasing Mileposts (1)",-1,1)</f>
        <v>-2.1120000000000001</v>
      </c>
      <c r="N7" s="152" t="str">
        <f>VLOOKUP(C7,'Trips&amp;Operators'!$C$1:$G$99999,5,FALSE)</f>
        <v>STARKS ANGELINA</v>
      </c>
      <c r="O7" s="179" t="s">
        <v>195</v>
      </c>
      <c r="P7" s="153" t="s">
        <v>422</v>
      </c>
      <c r="Q7" s="31"/>
      <c r="R7" s="96" t="str">
        <f>VLOOKUP(C7,'Train Runs'!$A$13:$AE$9966,31,0)</f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S7" s="99" t="str">
        <f>VLOOKUP(C7,'Train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1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/stypes="*4004*201701091*" /stext=" 14:.+((SYSTEM_STATE.+slice.+state.+changed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4004</v>
      </c>
      <c r="V7" s="33">
        <f t="shared" ref="V7:V41" si="3">A7-utc_offset/24</f>
        <v>42744.603622685179</v>
      </c>
      <c r="W7" s="47" t="str">
        <f t="shared" ref="W7:W41" si="4">IF(VALUE(LEFT(IF(LEN(C7)=6,"0"&amp;C7,C7),2))&lt;=2,"EC",IF(OR(VALUE(LEFT(IF(LEN(C7)=6,"0"&amp;C7,C7),2))=8,VALUE(LEFT(IF(LEN(C7)=6,"0"&amp;C7,C7),2))=18),"NW","Other"))</f>
        <v>EC</v>
      </c>
      <c r="X7" s="47" t="str">
        <f t="shared" ref="X7:X41" si="5">IF(AND(E7="TRACK WARRANT AUTHORITY",G7&lt;10),"OMIT","KEEP")</f>
        <v>KEEP</v>
      </c>
      <c r="Y7" s="115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arrival","project_id":79,"tracker_id":40,"status_id":1,"priority_id":2,"assigned_to_id":23,"start_date":"2017-01-09","description":"","custom_fields":[{"id":1,"name":"Subdivision","value":"EC"},{"id":4,"name":"Milepost","value":"2.735"},{"id":17,"name":"Train ID","value":"120-09"},{"id":16,"name":"Locomotive ID","value":"4004"},{"id":130,"name":"Impact","value":""},{"id":150,"name":"Time of Event (Mountain Time)","value":"07:29:13"},{"id":151,"name":"Denver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1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"%USERPROFILE%\AppData\Local\Temp\OnboardLogs"\RTDC4004\*4004*201701091*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"%USERPROFILE%\AppData\Local\Temp\OnboardLogs"\RTDC4004\*4004*201701091* &gt;&gt; 42744-slicedisagreementcheck.txt</v>
      </c>
      <c r="AE7" s="183" t="str">
        <f t="shared" ref="AE7:AE41" si="8">"start /low /b "&amp;dls3logs&amp;" --loco "&amp;U7&amp;" --day "&amp;TEXT(V7,"YYYY-MM-DD")</f>
        <v>start /low /b %USERPROFILE%\Documents\GitHub\eaglep3\Utilities\DownloadLogsFromS3.py --loco 4004 --day 2017-01-09</v>
      </c>
    </row>
    <row r="8" spans="1:31" s="1" customFormat="1" x14ac:dyDescent="0.25">
      <c r="A8" s="33">
        <v>42744.312384259261</v>
      </c>
      <c r="B8" s="31" t="s">
        <v>250</v>
      </c>
      <c r="C8" s="31" t="s">
        <v>434</v>
      </c>
      <c r="D8" s="31" t="s">
        <v>98</v>
      </c>
      <c r="E8" s="31" t="s">
        <v>235</v>
      </c>
      <c r="F8" s="44">
        <v>0</v>
      </c>
      <c r="G8" s="44">
        <v>50</v>
      </c>
      <c r="H8" s="44">
        <v>27311</v>
      </c>
      <c r="I8" s="44">
        <v>27274</v>
      </c>
      <c r="J8" s="31" t="s">
        <v>236</v>
      </c>
      <c r="K8" s="44">
        <v>27350</v>
      </c>
      <c r="L8" s="150" t="s">
        <v>51</v>
      </c>
      <c r="M8" s="151">
        <f t="shared" si="0"/>
        <v>-40.128</v>
      </c>
      <c r="N8" s="152" t="str">
        <f>VLOOKUP(C8,'Trips&amp;Operators'!$C$1:$G$99999,5,FALSE)</f>
        <v>STARKS ANGELINA</v>
      </c>
      <c r="O8" s="179" t="s">
        <v>195</v>
      </c>
      <c r="P8" s="153" t="s">
        <v>422</v>
      </c>
      <c r="Q8" s="31"/>
      <c r="R8" s="96" t="str">
        <f>VLOOKUP(C8,'Train Runs'!$A$13:$AE$9966,31,0)</f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S8" s="99" t="str">
        <f>VLOOKUP(C8,'Train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1" t="str">
        <f t="shared" si="1"/>
        <v>"C:\Program Files (x86)\AstroGrep\AstroGrep.exe" /spath="%USERPROFILE%\AppData\Local\Temp\OnboardLogs" /stypes="*4004*201701091*" /stext=" 14:.+((SYSTEM_STATE.+slice.+state.+changed )|(ment ac)|(multiple cpu faults)|(system.+state.+changed )|(\[timeout)|(PRM\|1\|D)|(kpr)|(kdp)|(\|lc)|(penalty))" /e /r /s</v>
      </c>
      <c r="U8" s="9" t="str">
        <f t="shared" si="2"/>
        <v>4004</v>
      </c>
      <c r="V8" s="33">
        <f t="shared" si="3"/>
        <v>42744.604050925926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arrival","project_id":79,"tracker_id":40,"status_id":1,"priority_id":2,"assigned_to_id":23,"start_date":"2017-01-09","description":"","custom_fields":[{"id":1,"name":"Subdivision","value":"EC"},{"id":4,"name":"Milepost","value":"2.735"},{"id":17,"name":"Train ID","value":"120-09"},{"id":16,"name":"Locomotive ID","value":"4004"},{"id":130,"name":"Impact","value":""},{"id":150,"name":"Time of Event (Mountain Time)","value":"07:29:50"},{"id":151,"name":"Denver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"%USERPROFILE%\AppData\Local\Temp\OnboardLogs"\RTDC4004\*4004*201701091*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"%USERPROFILE%\AppData\Local\Temp\OnboardLogs"\RTDC4004\*4004*201701091* &gt;&gt; 42744-slicedisagreementcheck.txt</v>
      </c>
      <c r="AE8" s="183" t="str">
        <f t="shared" si="8"/>
        <v>start /low /b %USERPROFILE%\Documents\GitHub\eaglep3\Utilities\DownloadLogsFromS3.py --loco 4004 --day 2017-01-09</v>
      </c>
    </row>
    <row r="9" spans="1:31" s="1" customFormat="1" x14ac:dyDescent="0.25">
      <c r="A9" s="33">
        <v>42744.311527777776</v>
      </c>
      <c r="B9" s="31" t="s">
        <v>250</v>
      </c>
      <c r="C9" s="31" t="s">
        <v>434</v>
      </c>
      <c r="D9" s="31" t="s">
        <v>49</v>
      </c>
      <c r="E9" s="31" t="s">
        <v>235</v>
      </c>
      <c r="F9" s="44">
        <v>170</v>
      </c>
      <c r="G9" s="44">
        <v>223</v>
      </c>
      <c r="H9" s="44">
        <v>27738</v>
      </c>
      <c r="I9" s="44">
        <v>27429</v>
      </c>
      <c r="J9" s="31" t="s">
        <v>236</v>
      </c>
      <c r="K9" s="44">
        <v>27350</v>
      </c>
      <c r="L9" s="150" t="s">
        <v>51</v>
      </c>
      <c r="M9" s="151">
        <f t="shared" si="0"/>
        <v>41.712000000000003</v>
      </c>
      <c r="N9" s="152" t="str">
        <f>VLOOKUP(C9,'Trips&amp;Operators'!$C$1:$G$99999,5,FALSE)</f>
        <v>STARKS ANGELINA</v>
      </c>
      <c r="O9" s="179" t="s">
        <v>195</v>
      </c>
      <c r="P9" s="153" t="s">
        <v>422</v>
      </c>
      <c r="Q9" s="31"/>
      <c r="R9" s="96" t="str">
        <f>VLOOKUP(C9,'Train Runs'!$A$13:$AE$9966,31,0)</f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S9" s="99" t="str">
        <f>VLOOKUP(C9,'Train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1" t="str">
        <f t="shared" si="1"/>
        <v>"C:\Program Files (x86)\AstroGrep\AstroGrep.exe" /spath="%USERPROFILE%\AppData\Local\Temp\OnboardLogs" /stypes="*4004*201701091*" /stext=" 14:.+((SYSTEM_STATE.+slice.+state.+changed )|(ment ac)|(multiple cpu faults)|(system.+state.+changed )|(\[timeout)|(PRM\|1\|D)|(kpr)|(kdp)|(\|lc)|(penalty))" /e /r /s</v>
      </c>
      <c r="U9" s="9" t="str">
        <f t="shared" si="2"/>
        <v>4004</v>
      </c>
      <c r="V9" s="33">
        <f t="shared" si="3"/>
        <v>42744.60319444444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arrival","project_id":79,"tracker_id":40,"status_id":1,"priority_id":2,"assigned_to_id":23,"start_date":"2017-01-09","description":"","custom_fields":[{"id":1,"name":"Subdivision","value":"EC"},{"id":4,"name":"Milepost","value":"2.735"},{"id":17,"name":"Train ID","value":"120-09"},{"id":16,"name":"Locomotive ID","value":"4004"},{"id":130,"name":"Impact","value":""},{"id":150,"name":"Time of Event (Mountain Time)","value":"07:28:36"},{"id":151,"name":"Denver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"%USERPROFILE%\AppData\Local\Temp\OnboardLogs"\RTDC4004\*4004*201701091*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"%USERPROFILE%\AppData\Local\Temp\OnboardLogs"\RTDC4004\*4004*201701091* &gt;&gt; 42744-slicedisagreementcheck.txt</v>
      </c>
      <c r="AE9" s="183" t="str">
        <f t="shared" si="8"/>
        <v>start /low /b %USERPROFILE%\Documents\GitHub\eaglep3\Utilities\DownloadLogsFromS3.py --loco 4004 --day 2017-01-09</v>
      </c>
    </row>
    <row r="10" spans="1:31" s="1" customFormat="1" x14ac:dyDescent="0.25">
      <c r="A10" s="33">
        <v>42744.327210648145</v>
      </c>
      <c r="B10" s="31" t="s">
        <v>251</v>
      </c>
      <c r="C10" s="31" t="s">
        <v>436</v>
      </c>
      <c r="D10" s="31" t="s">
        <v>98</v>
      </c>
      <c r="E10" s="31" t="s">
        <v>307</v>
      </c>
      <c r="F10" s="44">
        <v>300</v>
      </c>
      <c r="G10" s="44">
        <v>350</v>
      </c>
      <c r="H10" s="44">
        <v>21173</v>
      </c>
      <c r="I10" s="44">
        <v>22028</v>
      </c>
      <c r="J10" s="31" t="s">
        <v>308</v>
      </c>
      <c r="K10" s="44">
        <v>20338</v>
      </c>
      <c r="L10" s="150" t="s">
        <v>50</v>
      </c>
      <c r="M10" s="151">
        <f t="shared" si="0"/>
        <v>-892.32</v>
      </c>
      <c r="N10" s="152" t="str">
        <f>VLOOKUP(C10,'Trips&amp;Operators'!$C$1:$G$99999,5,FALSE)</f>
        <v>STARKS ANGELINA</v>
      </c>
      <c r="O10" s="179" t="s">
        <v>195</v>
      </c>
      <c r="P10" s="153"/>
      <c r="Q10" s="31"/>
      <c r="R10" s="96" t="str">
        <f>VLOOKUP(C10,'Train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10" s="99" t="str">
        <f>VLOOKUP(C10,'Train Runs'!$A$13:$AE$9966,22,0)</f>
        <v>https://search-rtdc-monitor-bjffxe2xuh6vdkpspy63sjmuny.us-east-1.es.amazonaws.com/_plugin/kibana/#/discover/Steve-Slow-Train-Analysis-(2080s-and-2083s)?_g=(refreshInterval:(display:Off,section:0,value:0),time:(from:'2017-01-09 06:40:45-700',mode:absolute,to:'2017-01-09 09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0" s="101" t="str">
        <f t="shared" si="1"/>
        <v>"C:\Program Files (x86)\AstroGrep\AstroGrep.exe" /spath="%USERPROFILE%\AppData\Local\Temp\OnboardLogs" /stypes="*4003*201701091*" /stext=" 14:.+((SYSTEM_STATE.+slice.+state.+changed )|(ment ac)|(multiple cpu faults)|(system.+state.+changed )|(\[timeout)|(PRM\|1\|D)|(kpr)|(kdp)|(\|lc)|(penalty))" /e /r /s</v>
      </c>
      <c r="U10" s="9" t="str">
        <f t="shared" si="2"/>
        <v>4003</v>
      </c>
      <c r="V10" s="33">
        <f t="shared" si="3"/>
        <v>42744.61887731481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{"issue":{"subject":"","project_id":79,"tracker_id":40,"status_id":1,"priority_id":2,"assigned_to_id":23,"start_date":"2017-01-09","description":"","custom_fields":[{"id":1,"name":"Subdivision","value":"EC"},{"id":4,"name":"Milepost","value":"2.0338"},{"id":17,"name":"Train ID","value":"133-09"},{"id":16,"name":"Locomotive ID","value":"4003"},{"id":130,"name":"Impact","value":""},{"id":150,"name":"Time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"%USERPROFILE%\AppData\Local\Temp\OnboardLogs"\RTDC4003\*4003*201701091*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"%USERPROFILE%\AppData\Local\Temp\OnboardLogs"\RTDC4003\*4003*201701091* &gt;&gt; 42744-slicedisagreementcheck.txt</v>
      </c>
      <c r="AE10" s="183" t="str">
        <f t="shared" si="8"/>
        <v>start /low /b %USERPROFILE%\Documents\GitHub\eaglep3\Utilities\DownloadLogsFromS3.py --loco 4003 --day 2017-01-09</v>
      </c>
    </row>
    <row r="11" spans="1:31" s="1" customFormat="1" x14ac:dyDescent="0.25">
      <c r="A11" s="33">
        <v>42744.239849537036</v>
      </c>
      <c r="B11" s="31" t="s">
        <v>306</v>
      </c>
      <c r="C11" s="31" t="s">
        <v>428</v>
      </c>
      <c r="D11" s="31" t="s">
        <v>49</v>
      </c>
      <c r="E11" s="31" t="s">
        <v>307</v>
      </c>
      <c r="F11" s="44">
        <v>300</v>
      </c>
      <c r="G11" s="44">
        <v>411</v>
      </c>
      <c r="H11" s="44">
        <v>22701</v>
      </c>
      <c r="I11" s="44">
        <v>21724</v>
      </c>
      <c r="J11" s="31" t="s">
        <v>308</v>
      </c>
      <c r="K11" s="44">
        <v>21848</v>
      </c>
      <c r="L11" s="150" t="s">
        <v>51</v>
      </c>
      <c r="M11" s="151">
        <f t="shared" si="0"/>
        <v>-65.471999999999994</v>
      </c>
      <c r="N11" s="152" t="str">
        <f>VLOOKUP(C11,'Trips&amp;Operators'!$C$1:$G$99999,5,FALSE)</f>
        <v>STARKS ANGELINA</v>
      </c>
      <c r="O11" s="179" t="s">
        <v>195</v>
      </c>
      <c r="P11" s="153"/>
      <c r="Q11" s="31"/>
      <c r="R11" s="96" t="str">
        <f>VLOOKUP(C11,'Train Runs'!$A$13:$AE$9966,31,0)</f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S11" s="99" t="str">
        <f>VLOOKUP(C11,'Train Runs'!$A$13:$AE$9966,22,0)</f>
        <v>https://search-rtdc-monitor-bjffxe2xuh6vdkpspy63sjmuny.us-east-1.es.amazonaws.com/_plugin/kibana/#/discover/Steve-Slow-Train-Analysis-(2080s-and-2083s)?_g=(refreshInterval:(display:Off,section:0,value:0),time:(from:'2017-01-09 04:07:02-700',mode:absolute,to:'2017-01-09 06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1" s="101" t="str">
        <f t="shared" si="1"/>
        <v>"C:\Program Files (x86)\AstroGrep\AstroGrep.exe" /spath="%USERPROFILE%\AppData\Local\Temp\OnboardLogs" /stypes="*4010*201701091*" /stext=" 12:.+((SYSTEM_STATE.+slice.+state.+changed )|(ment ac)|(multiple cpu faults)|(system.+state.+changed )|(\[timeout)|(PRM\|1\|D)|(kpr)|(kdp)|(\|lc)|(penalty))" /e /r /s</v>
      </c>
      <c r="U11" s="9" t="str">
        <f t="shared" si="2"/>
        <v>4010</v>
      </c>
      <c r="V11" s="33">
        <f t="shared" si="3"/>
        <v>42744.5315162037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{"issue":{"subject":"","project_id":79,"tracker_id":40,"status_id":1,"priority_id":2,"assigned_to_id":23,"start_date":"2017-01-09","description":"","custom_fields":[{"id":1,"name":"Subdivision","value":"EC"},{"id":4,"name":"Milepost","value":"2.1848"},{"id":17,"name":"Train ID","value":"106-09"},{"id":16,"name":"Locomotive ID","value":"4010"},{"id":130,"name":"Impact","value":""},{"id":150,"name":"Time of Event (Mountain Time)","value":"05:45:23"},{"id":151,"name":"Denver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"%USERPROFILE%\AppData\Local\Temp\OnboardLogs"\RTDC4010\*4010*201701091*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"%USERPROFILE%\AppData\Local\Temp\OnboardLogs"\RTDC4010\*4010*201701091* &gt;&gt; 42744-slicedisagreementcheck.txt</v>
      </c>
      <c r="AE11" s="183" t="str">
        <f t="shared" si="8"/>
        <v>start /low /b %USERPROFILE%\Documents\GitHub\eaglep3\Utilities\DownloadLogsFromS3.py --loco 4010 --day 2017-01-09</v>
      </c>
    </row>
    <row r="12" spans="1:31" s="1" customFormat="1" x14ac:dyDescent="0.25">
      <c r="A12" s="33">
        <v>42744.269328703704</v>
      </c>
      <c r="B12" s="31" t="s">
        <v>208</v>
      </c>
      <c r="C12" s="31" t="s">
        <v>430</v>
      </c>
      <c r="D12" s="31" t="s">
        <v>98</v>
      </c>
      <c r="E12" s="31" t="s">
        <v>307</v>
      </c>
      <c r="F12" s="44">
        <v>350</v>
      </c>
      <c r="G12" s="44">
        <v>406</v>
      </c>
      <c r="H12" s="44">
        <v>228534</v>
      </c>
      <c r="I12" s="44">
        <v>227633</v>
      </c>
      <c r="J12" s="31" t="s">
        <v>308</v>
      </c>
      <c r="K12" s="44">
        <v>232080</v>
      </c>
      <c r="L12" s="150" t="s">
        <v>51</v>
      </c>
      <c r="M12" s="151">
        <f t="shared" si="0"/>
        <v>-2348.0160000000001</v>
      </c>
      <c r="N12" s="152" t="str">
        <f>VLOOKUP(C12,'Trips&amp;Operators'!$C$1:$G$99999,5,FALSE)</f>
        <v>ROBINSON KADDIBA</v>
      </c>
      <c r="O12" s="179" t="s">
        <v>195</v>
      </c>
      <c r="P12" s="153"/>
      <c r="Q12" s="31"/>
      <c r="R12" s="96" t="str">
        <f>VLOOKUP(C12,'Train Runs'!$A$13:$AE$9966,31,0)</f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S12" s="99" t="str">
        <f>VLOOKUP(C12,'Train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05:20:03-700',mode:absolute,to:'2017-01-09 08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1" t="str">
        <f t="shared" si="1"/>
        <v>"C:\Program Files (x86)\AstroGrep\AstroGrep.exe" /spath="%USERPROFILE%\AppData\Local\Temp\OnboardLogs" /stypes="*4012*201701091*" /stext=" 13:.+((SYSTEM_STATE.+slice.+state.+changed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3">
        <f t="shared" si="3"/>
        <v>42744.560995370368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{"issue":{"subject":"","project_id":79,"tracker_id":40,"status_id":1,"priority_id":2,"assigned_to_id":23,"start_date":"2017-01-09","description":"","custom_fields":[{"id":1,"name":"Subdivision","value":"EC"},{"id":4,"name":"Milepost","value":"23.208"},{"id":17,"name":"Train ID","value":"116-09"},{"id":16,"name":"Locomotive ID","value":"4012"},{"id":130,"name":"Impact","value":""},{"id":150,"name":"Time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"%USERPROFILE%\AppData\Local\Temp\OnboardLogs"\RTDC4012\*4012*201701091*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"%USERPROFILE%\AppData\Local\Temp\OnboardLogs"\RTDC4012\*4012*201701091* &gt;&gt; 42744-slicedisagreementcheck.txt</v>
      </c>
      <c r="AE12" s="183" t="str">
        <f t="shared" si="8"/>
        <v>start /low /b %USERPROFILE%\Documents\GitHub\eaglep3\Utilities\DownloadLogsFromS3.py --loco 4012 --day 2017-01-09</v>
      </c>
    </row>
    <row r="13" spans="1:31" s="1" customFormat="1" x14ac:dyDescent="0.25">
      <c r="A13" s="33">
        <v>42744.616122685184</v>
      </c>
      <c r="B13" s="31" t="s">
        <v>226</v>
      </c>
      <c r="C13" s="31" t="s">
        <v>442</v>
      </c>
      <c r="D13" s="31" t="s">
        <v>49</v>
      </c>
      <c r="E13" s="31" t="s">
        <v>196</v>
      </c>
      <c r="F13" s="44">
        <v>0</v>
      </c>
      <c r="G13" s="44">
        <v>777</v>
      </c>
      <c r="H13" s="44">
        <v>80787</v>
      </c>
      <c r="I13" s="44">
        <v>84344</v>
      </c>
      <c r="J13" s="31" t="s">
        <v>197</v>
      </c>
      <c r="K13" s="44">
        <v>81738</v>
      </c>
      <c r="L13" s="150" t="s">
        <v>50</v>
      </c>
      <c r="M13" s="151">
        <f t="shared" si="0"/>
        <v>-1375.9680000000001</v>
      </c>
      <c r="N13" s="152" t="str">
        <f>VLOOKUP(C13,'Trips&amp;Operators'!$C$1:$G$99999,5,FALSE)</f>
        <v>YANG JAN</v>
      </c>
      <c r="O13" s="179" t="s">
        <v>309</v>
      </c>
      <c r="P13" s="153" t="s">
        <v>421</v>
      </c>
      <c r="Q13" s="31"/>
      <c r="R13" s="96" t="str">
        <f>VLOOKUP(C13,'Train Runs'!$A$13:$AE$9966,31,0)</f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S13" s="99" t="str">
        <f>VLOOKUP(C13,'Train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13:24:15-700',mode:absolute,to:'2017-01-09 16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1" t="str">
        <f t="shared" si="1"/>
        <v>"C:\Program Files (x86)\AstroGrep\AstroGrep.exe" /spath="%USERPROFILE%\AppData\Local\Temp\OnboardLogs" /stypes="*4042*201701092*" /stext=" 21:.+((SYSTEM_STATE.+slice.+state.+changed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3">
        <f t="shared" si="3"/>
        <v>42744.907789351848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drop","project_id":79,"tracker_id":40,"status_id":1,"priority_id":2,"assigned_to_id":23,"start_date":"2017-01-09","description":"","custom_fields":[{"id":1,"name":"Subdivision","value":"EC"},{"id":4,"name":"Milepost","value":"8.1738"},{"id":17,"name":"Train ID","value":"187-09"},{"id":16,"name":"Locomotive ID","value":"4042"},{"id":130,"name":"Impact","value":""},{"id":150,"name":"Time of Event (Mountain Time)","value":"14:47:13"},{"id":151,"name":"Denver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"%USERPROFILE%\AppData\Local\Temp\OnboardLogs"\RTDC4042\*4042*201701092*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"%USERPROFILE%\AppData\Local\Temp\OnboardLogs"\RTDC4042\*4042*201701092* &gt;&gt; 42744-slicedisagreementcheck.txt</v>
      </c>
      <c r="AE13" s="183" t="str">
        <f t="shared" si="8"/>
        <v>start /low /b %USERPROFILE%\Documents\GitHub\eaglep3\Utilities\DownloadLogsFromS3.py --loco 4042 --day 2017-01-09</v>
      </c>
    </row>
    <row r="14" spans="1:31" s="1" customFormat="1" x14ac:dyDescent="0.25">
      <c r="A14" s="33">
        <v>42744.631342592591</v>
      </c>
      <c r="B14" s="31" t="s">
        <v>251</v>
      </c>
      <c r="C14" s="31" t="s">
        <v>443</v>
      </c>
      <c r="D14" s="31" t="s">
        <v>98</v>
      </c>
      <c r="E14" s="31" t="s">
        <v>196</v>
      </c>
      <c r="F14" s="44">
        <v>0</v>
      </c>
      <c r="G14" s="44">
        <v>407</v>
      </c>
      <c r="H14" s="44">
        <v>126608</v>
      </c>
      <c r="I14" s="44">
        <v>127794</v>
      </c>
      <c r="J14" s="31" t="s">
        <v>197</v>
      </c>
      <c r="K14" s="44">
        <v>126585</v>
      </c>
      <c r="L14" s="150" t="s">
        <v>50</v>
      </c>
      <c r="M14" s="151">
        <f t="shared" si="0"/>
        <v>-638.35199999999998</v>
      </c>
      <c r="N14" s="152" t="str">
        <f>VLOOKUP(C14,'Trips&amp;Operators'!$C$1:$G$99999,5,FALSE)</f>
        <v>DAVIS MICHAEL</v>
      </c>
      <c r="O14" s="179" t="s">
        <v>309</v>
      </c>
      <c r="P14" s="153" t="s">
        <v>834</v>
      </c>
      <c r="Q14" s="31"/>
      <c r="R14" s="96" t="str">
        <f>VLOOKUP(C14,'Train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14" s="99" t="str">
        <f>VLOOKUP(C14,'Train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13:40:37-700',mode:absolute,to:'2017-01-09 16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1" t="str">
        <f t="shared" si="1"/>
        <v>"C:\Program Files (x86)\AstroGrep\AstroGrep.exe" /spath="%USERPROFILE%\AppData\Local\Temp\OnboardLogs" /stypes="*4003*201701092*" /stext=" 22:.+((SYSTEM_STATE.+slice.+state.+changed )|(ment ac)|(multiple cpu faults)|(system.+state.+changed )|(\[timeout)|(PRM\|1\|D)|(kpr)|(kdp)|(\|lc)|(penalty))" /e /r /s</v>
      </c>
      <c r="U14" s="9" t="str">
        <f t="shared" si="2"/>
        <v>4003</v>
      </c>
      <c r="V14" s="33">
        <f t="shared" si="3"/>
        <v>42744.923009259255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{"issue":{"subject":"Premature downgrade at 40th 2N","project_id":79,"tracker_id":40,"status_id":1,"priority_id":2,"assigned_to_id":23,"start_date":"2017-01-09","description":"","custom_fields":[{"id":1,"name":"Subdivision","value":"EC"},{"id":4,"name":"Milepost","value":"12.6585"},{"id":17,"name":"Train ID","value":"189-09"},{"id":16,"name":"Locomotive ID","value":"4003"},{"id":130,"name":"Impact","value":""},{"id":150,"name":"Time of Event (Mountain Time)","value":"15:09:08"},{"id":151,"name":"Denver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"%USERPROFILE%\AppData\Local\Temp\OnboardLogs"\RTDC4003\*4003*201701092*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"%USERPROFILE%\AppData\Local\Temp\OnboardLogs"\RTDC4003\*4003*201701092* &gt;&gt; 42744-slicedisagreementcheck.txt</v>
      </c>
      <c r="AE14" s="183" t="str">
        <f t="shared" si="8"/>
        <v>start /low /b %USERPROFILE%\Documents\GitHub\eaglep3\Utilities\DownloadLogsFromS3.py --loco 4003 --day 2017-01-09</v>
      </c>
    </row>
    <row r="15" spans="1:31" s="1" customFormat="1" x14ac:dyDescent="0.25">
      <c r="A15" s="33">
        <v>42744.199374999997</v>
      </c>
      <c r="B15" s="31" t="s">
        <v>355</v>
      </c>
      <c r="C15" s="31" t="s">
        <v>424</v>
      </c>
      <c r="D15" s="31" t="s">
        <v>98</v>
      </c>
      <c r="E15" s="31" t="s">
        <v>196</v>
      </c>
      <c r="F15" s="44">
        <v>0</v>
      </c>
      <c r="G15" s="44">
        <v>310</v>
      </c>
      <c r="H15" s="44">
        <v>198197</v>
      </c>
      <c r="I15" s="44">
        <v>197527</v>
      </c>
      <c r="J15" s="31" t="s">
        <v>197</v>
      </c>
      <c r="K15" s="44">
        <v>198256</v>
      </c>
      <c r="L15" s="150" t="s">
        <v>51</v>
      </c>
      <c r="M15" s="151">
        <f t="shared" si="0"/>
        <v>-384.91199999999998</v>
      </c>
      <c r="N15" s="152" t="str">
        <f>VLOOKUP(C15,'Trips&amp;Operators'!$C$1:$G$99999,5,FALSE)</f>
        <v>MAELZER KURT</v>
      </c>
      <c r="O15" s="179" t="s">
        <v>195</v>
      </c>
      <c r="P15" s="153" t="s">
        <v>837</v>
      </c>
      <c r="Q15" s="31"/>
      <c r="R15" s="96" t="str">
        <f>VLOOKUP(C15,'Train Runs'!$A$13:$AE$9966,31,0)</f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S15" s="99" t="str">
        <f>VLOOKUP(C15,'Train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03:32:24-700',mode:absolute,to:'2017-01-09 06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5" s="101" t="str">
        <f t="shared" si="1"/>
        <v>"C:\Program Files (x86)\AstroGrep\AstroGrep.exe" /spath="%USERPROFILE%\AppData\Local\Temp\OnboardLogs" /stypes="*4026*201701091*" /stext=" 11:.+((SYSTEM_STATE.+slice.+state.+changed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3">
        <f t="shared" si="3"/>
        <v>42744.491041666661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{"issue":{"subject":"EC1981RH 197-1T 1S STOP, cleared afterward","project_id":79,"tracker_id":40,"status_id":1,"priority_id":2,"assigned_to_id":23,"start_date":"2017-01-09","description":"","custom_fields":[{"id":1,"name":"Subdivision","value":"EC"},{"id":4,"name":"Milepost","value":"19.8256"},{"id":17,"name":"Train ID","value":"104-09"},{"id":16,"name":"Locomotive ID","value":"4026"},{"id":130,"name":"Impact","value":""},{"id":150,"name":"Time of Event (Mountain Time)","value":"04:47:06"},{"id":151,"name":"Denver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"%USERPROFILE%\AppData\Local\Temp\OnboardLogs"\RTDC4026\*4026*201701091*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"%USERPROFILE%\AppData\Local\Temp\OnboardLogs"\RTDC4026\*4026*201701091* &gt;&gt; 42744-slicedisagreementcheck.txt</v>
      </c>
      <c r="AE15" s="183" t="str">
        <f t="shared" si="8"/>
        <v>start /low /b %USERPROFILE%\Documents\GitHub\eaglep3\Utilities\DownloadLogsFromS3.py --loco 4026 --day 2017-01-09</v>
      </c>
    </row>
    <row r="16" spans="1:31" s="1" customFormat="1" x14ac:dyDescent="0.25">
      <c r="A16" s="33">
        <v>42744.202141203707</v>
      </c>
      <c r="B16" s="31" t="s">
        <v>301</v>
      </c>
      <c r="C16" s="31" t="s">
        <v>425</v>
      </c>
      <c r="D16" s="31" t="s">
        <v>49</v>
      </c>
      <c r="E16" s="31" t="s">
        <v>198</v>
      </c>
      <c r="F16" s="44">
        <v>0</v>
      </c>
      <c r="G16" s="44">
        <v>48</v>
      </c>
      <c r="H16" s="44">
        <v>280</v>
      </c>
      <c r="I16" s="44">
        <v>214</v>
      </c>
      <c r="J16" s="31" t="s">
        <v>199</v>
      </c>
      <c r="K16" s="44">
        <v>1</v>
      </c>
      <c r="L16" s="150" t="s">
        <v>51</v>
      </c>
      <c r="M16" s="151">
        <f t="shared" si="0"/>
        <v>112.464</v>
      </c>
      <c r="N16" s="152" t="str">
        <f>VLOOKUP(C16,'Trips&amp;Operators'!$C$1:$G$99999,5,FALSE)</f>
        <v>OUN ZACK</v>
      </c>
      <c r="O16" s="179" t="s">
        <v>195</v>
      </c>
      <c r="P16" s="153"/>
      <c r="Q16" s="31"/>
      <c r="R16" s="96" t="str">
        <f>VLOOKUP(C16,'Train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16" s="99" t="str">
        <f>VLOOKUP(C16,'Train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03:01:03-700',mode:absolute,to:'2017-01-09 05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6" s="101" t="str">
        <f t="shared" si="1"/>
        <v>"C:\Program Files (x86)\AstroGrep\AstroGrep.exe" /spath="%USERPROFILE%\AppData\Local\Temp\OnboardLogs" /stypes="*4032*201701091*" /stext=" 11:.+((SYSTEM_STATE.+slice.+state.+changed )|(ment ac)|(multiple cpu faults)|(system.+state.+changed )|(\[timeout)|(PRM\|1\|D)|(kpr)|(kdp)|(\|lc)|(penalty))" /e /r /s</v>
      </c>
      <c r="U16" s="9" t="str">
        <f t="shared" si="2"/>
        <v>4032</v>
      </c>
      <c r="V16" s="33">
        <f t="shared" si="3"/>
        <v>42744.493807870371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ID","value":"102-09"},{"id":16,"name":"Locomotive ID","value":"4032"},{"id":130,"name":"Impact","value":""},{"id":150,"name":"Time of Event (Mountain Time)","value":"04:51:05"},{"id":151,"name":"Denver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"%USERPROFILE%\AppData\Local\Temp\OnboardLogs"\RTDC4032\*4032*201701091*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"%USERPROFILE%\AppData\Local\Temp\OnboardLogs"\RTDC4032\*4032*201701091* &gt;&gt; 42744-slicedisagreementcheck.txt</v>
      </c>
      <c r="AE16" s="183" t="str">
        <f t="shared" si="8"/>
        <v>start /low /b %USERPROFILE%\Documents\GitHub\eaglep3\Utilities\DownloadLogsFromS3.py --loco 4032 --day 2017-01-09</v>
      </c>
    </row>
    <row r="17" spans="1:32" s="1" customFormat="1" x14ac:dyDescent="0.25">
      <c r="A17" s="33">
        <v>42744.202499999999</v>
      </c>
      <c r="B17" s="31" t="s">
        <v>301</v>
      </c>
      <c r="C17" s="31" t="s">
        <v>425</v>
      </c>
      <c r="D17" s="31" t="s">
        <v>49</v>
      </c>
      <c r="E17" s="31" t="s">
        <v>198</v>
      </c>
      <c r="F17" s="44">
        <v>0</v>
      </c>
      <c r="G17" s="44">
        <v>28</v>
      </c>
      <c r="H17" s="44">
        <v>200</v>
      </c>
      <c r="I17" s="44">
        <v>149</v>
      </c>
      <c r="J17" s="31" t="s">
        <v>199</v>
      </c>
      <c r="K17" s="44">
        <v>1</v>
      </c>
      <c r="L17" s="150" t="s">
        <v>51</v>
      </c>
      <c r="M17" s="151">
        <f t="shared" si="0"/>
        <v>78.144000000000005</v>
      </c>
      <c r="N17" s="152" t="str">
        <f>VLOOKUP(C17,'Trips&amp;Operators'!$C$1:$G$99999,5,FALSE)</f>
        <v>OUN ZACK</v>
      </c>
      <c r="O17" s="179" t="s">
        <v>195</v>
      </c>
      <c r="P17" s="153"/>
      <c r="Q17" s="31"/>
      <c r="R17" s="96" t="str">
        <f>VLOOKUP(C17,'Train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17" s="99" t="str">
        <f>VLOOKUP(C17,'Train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03:01:03-700',mode:absolute,to:'2017-01-09 05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1" t="str">
        <f t="shared" si="1"/>
        <v>"C:\Program Files (x86)\AstroGrep\AstroGrep.exe" /spath="%USERPROFILE%\AppData\Local\Temp\OnboardLogs" /stypes="*4032*201701091*" /stext=" 11:.+((SYSTEM_STATE.+slice.+state.+changed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3">
        <f t="shared" si="3"/>
        <v>42744.494166666664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ID","value":"102-09"},{"id":16,"name":"Locomotive ID","value":"4032"},{"id":130,"name":"Impact","value":""},{"id":150,"name":"Time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"%USERPROFILE%\AppData\Local\Temp\OnboardLogs"\RTDC4032\*4032*201701091*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"%USERPROFILE%\AppData\Local\Temp\OnboardLogs"\RTDC4032\*4032*201701091* &gt;&gt; 42744-slicedisagreementcheck.txt</v>
      </c>
      <c r="AE17" s="183" t="str">
        <f t="shared" si="8"/>
        <v>start /low /b %USERPROFILE%\Documents\GitHub\eaglep3\Utilities\DownloadLogsFromS3.py --loco 4032 --day 2017-01-09</v>
      </c>
    </row>
    <row r="18" spans="1:32" x14ac:dyDescent="0.25">
      <c r="A18" s="33">
        <v>42744.225092592591</v>
      </c>
      <c r="B18" s="31" t="s">
        <v>355</v>
      </c>
      <c r="C18" s="31" t="s">
        <v>424</v>
      </c>
      <c r="D18" s="31" t="s">
        <v>49</v>
      </c>
      <c r="E18" s="31" t="s">
        <v>198</v>
      </c>
      <c r="F18" s="44">
        <v>0</v>
      </c>
      <c r="G18" s="44">
        <v>37</v>
      </c>
      <c r="H18" s="44">
        <v>118</v>
      </c>
      <c r="I18" s="44">
        <v>109</v>
      </c>
      <c r="J18" s="31" t="s">
        <v>199</v>
      </c>
      <c r="K18" s="44">
        <v>1</v>
      </c>
      <c r="L18" s="150" t="s">
        <v>51</v>
      </c>
      <c r="M18" s="151">
        <f t="shared" si="0"/>
        <v>57.024000000000001</v>
      </c>
      <c r="N18" s="152" t="str">
        <f>VLOOKUP(C18,'Trips&amp;Operators'!$C$1:$G$99999,5,FALSE)</f>
        <v>MAELZER KURT</v>
      </c>
      <c r="O18" s="179" t="s">
        <v>195</v>
      </c>
      <c r="P18" s="153"/>
      <c r="Q18" s="31"/>
      <c r="R18" s="96" t="str">
        <f>VLOOKUP(C18,'Train Runs'!$A$13:$AE$9966,31,0)</f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S18" s="99" t="str">
        <f>VLOOKUP(C18,'Train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03:32:24-700',mode:absolute,to:'2017-01-09 06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1" t="str">
        <f t="shared" si="1"/>
        <v>"C:\Program Files (x86)\AstroGrep\AstroGrep.exe" /spath="%USERPROFILE%\AppData\Local\Temp\OnboardLogs" /stypes="*4026*201701091*" /stext=" 12:.+((SYSTEM_STATE.+slice.+state.+changed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3">
        <f t="shared" si="3"/>
        <v>42744.516759259255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ID","value":"104-09"},{"id":16,"name":"Locomotive ID","value":"4026"},{"id":130,"name":"Impact","value":""},{"id":150,"name":"Time of Event (Mountain Time)","value":"05:24:08"},{"id":151,"name":"Denver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"%USERPROFILE%\AppData\Local\Temp\OnboardLogs"\RTDC4026\*4026*201701091*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"%USERPROFILE%\AppData\Local\Temp\OnboardLogs"\RTDC4026\*4026*201701091* &gt;&gt; 42744-slicedisagreementcheck.txt</v>
      </c>
      <c r="AE18" s="183" t="str">
        <f t="shared" si="8"/>
        <v>start /low /b %USERPROFILE%\Documents\GitHub\eaglep3\Utilities\DownloadLogsFromS3.py --loco 4026 --day 2017-01-09</v>
      </c>
      <c r="AF18" s="1"/>
    </row>
    <row r="19" spans="1:32" x14ac:dyDescent="0.25">
      <c r="A19" s="33">
        <v>42744.30609953704</v>
      </c>
      <c r="B19" s="31" t="s">
        <v>279</v>
      </c>
      <c r="C19" s="31" t="s">
        <v>432</v>
      </c>
      <c r="D19" s="31" t="s">
        <v>49</v>
      </c>
      <c r="E19" s="31" t="s">
        <v>198</v>
      </c>
      <c r="F19" s="44">
        <v>0</v>
      </c>
      <c r="G19" s="44">
        <v>37</v>
      </c>
      <c r="H19" s="44">
        <v>136</v>
      </c>
      <c r="I19" s="44">
        <v>116</v>
      </c>
      <c r="J19" s="31" t="s">
        <v>199</v>
      </c>
      <c r="K19" s="44">
        <v>1</v>
      </c>
      <c r="L19" s="150" t="s">
        <v>51</v>
      </c>
      <c r="M19" s="151">
        <f t="shared" si="0"/>
        <v>60.72</v>
      </c>
      <c r="N19" s="152" t="str">
        <f>VLOOKUP(C19,'Trips&amp;Operators'!$C$1:$G$99999,5,FALSE)</f>
        <v>MAELZER KURT</v>
      </c>
      <c r="O19" s="179" t="s">
        <v>195</v>
      </c>
      <c r="P19" s="153"/>
      <c r="Q19" s="31"/>
      <c r="R19" s="96" t="str">
        <f>VLOOKUP(C19,'Train Runs'!$A$13:$AE$9966,31,0)</f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S19" s="99" t="str">
        <f>VLOOKUP(C19,'Train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05:34:29-700',mode:absolute,to:'2017-01-09 08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1" t="str">
        <f t="shared" si="1"/>
        <v>"C:\Program Files (x86)\AstroGrep\AstroGrep.exe" /spath="%USERPROFILE%\AppData\Local\Temp\OnboardLogs" /stypes="*4041*201701091*" /stext=" 14:.+((SYSTEM_STATE.+slice.+state.+changed )|(ment ac)|(multiple cpu faults)|(system.+state.+changed )|(\[timeout)|(PRM\|1\|D)|(kpr)|(kdp)|(\|lc)|(penalty))" /e /r /s</v>
      </c>
      <c r="U19" s="9" t="str">
        <f t="shared" si="2"/>
        <v>4041</v>
      </c>
      <c r="V19" s="33">
        <f t="shared" si="3"/>
        <v>42744.597766203704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ID","value":"118-09"},{"id":16,"name":"Locomotive ID","value":"4041"},{"id":130,"name":"Impact","value":""},{"id":150,"name":"Time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"%USERPROFILE%\AppData\Local\Temp\OnboardLogs"\RTDC4041\*4041*201701091*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"%USERPROFILE%\AppData\Local\Temp\OnboardLogs"\RTDC4041\*4041*201701091* &gt;&gt; 42744-slicedisagreementcheck.txt</v>
      </c>
      <c r="AE19" s="183" t="str">
        <f t="shared" si="8"/>
        <v>start /low /b %USERPROFILE%\Documents\GitHub\eaglep3\Utilities\DownloadLogsFromS3.py --loco 4041 --day 2017-01-09</v>
      </c>
      <c r="AF19" s="1"/>
    </row>
    <row r="20" spans="1:32" ht="15" customHeight="1" x14ac:dyDescent="0.25">
      <c r="A20" s="33">
        <v>42744.327094907407</v>
      </c>
      <c r="B20" s="31" t="s">
        <v>259</v>
      </c>
      <c r="C20" s="31" t="s">
        <v>435</v>
      </c>
      <c r="D20" s="31" t="s">
        <v>49</v>
      </c>
      <c r="E20" s="31" t="s">
        <v>198</v>
      </c>
      <c r="F20" s="44">
        <v>0</v>
      </c>
      <c r="G20" s="44">
        <v>46</v>
      </c>
      <c r="H20" s="44">
        <v>154</v>
      </c>
      <c r="I20" s="44">
        <v>118</v>
      </c>
      <c r="J20" s="31" t="s">
        <v>199</v>
      </c>
      <c r="K20" s="44">
        <v>1</v>
      </c>
      <c r="L20" s="150" t="s">
        <v>51</v>
      </c>
      <c r="M20" s="151">
        <f t="shared" si="0"/>
        <v>61.776000000000003</v>
      </c>
      <c r="N20" s="152" t="str">
        <f>VLOOKUP(C20,'Trips&amp;Operators'!$C$1:$G$99999,5,FALSE)</f>
        <v>BONDS REYNALDO</v>
      </c>
      <c r="O20" s="179" t="s">
        <v>195</v>
      </c>
      <c r="P20" s="153"/>
      <c r="Q20" s="31"/>
      <c r="R20" s="96" t="str">
        <f>VLOOKUP(C20,'Train Runs'!$A$13:$AE$9966,31,0)</f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S20" s="99" t="str">
        <f>VLOOKUP(C20,'Train Runs'!$A$13:$AE$9966,22,0)</f>
        <v>https://search-rtdc-monitor-bjffxe2xuh6vdkpspy63sjmuny.us-east-1.es.amazonaws.com/_plugin/kibana/#/discover/Steve-Slow-Train-Analysis-(2080s-and-2083s)?_g=(refreshInterval:(display:Off,section:0,value:0),time:(from:'2017-01-09 06:04:30-700',mode:absolute,to:'2017-01-09 08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0" s="101" t="str">
        <f t="shared" si="1"/>
        <v>"C:\Program Files (x86)\AstroGrep\AstroGrep.exe" /spath="%USERPROFILE%\AppData\Local\Temp\OnboardLogs" /stypes="*4043*201701091*" /stext=" 14:.+((SYSTEM_STATE.+slice.+state.+changed )|(ment ac)|(multiple cpu faults)|(system.+state.+changed )|(\[timeout)|(PRM\|1\|D)|(kpr)|(kdp)|(\|lc)|(penalty))" /e /r /s</v>
      </c>
      <c r="U20" s="9" t="str">
        <f t="shared" si="2"/>
        <v>4043</v>
      </c>
      <c r="V20" s="33">
        <f t="shared" si="3"/>
        <v>42744.618761574071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ID","value":"122-09"},{"id":16,"name":"Locomotive ID","value":"4043"},{"id":130,"name":"Impact","value":""},{"id":150,"name":"Time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"%USERPROFILE%\AppData\Local\Temp\OnboardLogs"\RTDC4043\*4043*201701091*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"%USERPROFILE%\AppData\Local\Temp\OnboardLogs"\RTDC4043\*4043*201701091* &gt;&gt; 42744-slicedisagreementcheck.txt</v>
      </c>
      <c r="AE20" s="183" t="str">
        <f t="shared" si="8"/>
        <v>start /low /b %USERPROFILE%\Documents\GitHub\eaglep3\Utilities\DownloadLogsFromS3.py --loco 4043 --day 2017-01-09</v>
      </c>
      <c r="AF20" s="1"/>
    </row>
    <row r="21" spans="1:32" x14ac:dyDescent="0.25">
      <c r="A21" s="33">
        <v>42744.578599537039</v>
      </c>
      <c r="B21" s="31" t="s">
        <v>301</v>
      </c>
      <c r="C21" s="31" t="s">
        <v>440</v>
      </c>
      <c r="D21" s="31" t="s">
        <v>49</v>
      </c>
      <c r="E21" s="31" t="s">
        <v>198</v>
      </c>
      <c r="F21" s="44">
        <v>0</v>
      </c>
      <c r="G21" s="44">
        <v>33</v>
      </c>
      <c r="H21" s="44">
        <v>127</v>
      </c>
      <c r="I21" s="44">
        <v>112</v>
      </c>
      <c r="J21" s="31" t="s">
        <v>199</v>
      </c>
      <c r="K21" s="44">
        <v>1</v>
      </c>
      <c r="L21" s="150" t="s">
        <v>51</v>
      </c>
      <c r="M21" s="151">
        <f t="shared" si="0"/>
        <v>58.607999999999997</v>
      </c>
      <c r="N21" s="152" t="str">
        <f>VLOOKUP(C21,'Trips&amp;Operators'!$C$1:$G$99999,5,FALSE)</f>
        <v>HOLCOMB KAMDEN</v>
      </c>
      <c r="O21" s="179" t="s">
        <v>195</v>
      </c>
      <c r="P21" s="153"/>
      <c r="Q21" s="31"/>
      <c r="R21" s="96" t="str">
        <f>VLOOKUP(C21,'Train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21" s="99" t="str">
        <f>VLOOKUP(C21,'Train Runs'!$A$13:$AE$9966,22,0)</f>
        <v>https://search-rtdc-monitor-bjffxe2xuh6vdkpspy63sjmuny.us-east-1.es.amazonaws.com/_plugin/kibana/#/discover/Steve-Slow-Train-Analysis-(2080s-and-2083s)?_g=(refreshInterval:(display:Off,section:0,value:0),time:(from:'2017-01-09 11:57:31-700',mode:absolute,to:'2017-01-09 14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1" s="101" t="str">
        <f t="shared" si="1"/>
        <v>"C:\Program Files (x86)\AstroGrep\AstroGrep.exe" /spath="%USERPROFILE%\AppData\Local\Temp\OnboardLogs" /stypes="*4032*201701092*" /stext=" 20:.+((SYSTEM_STATE.+slice.+state.+changed )|(ment ac)|(multiple cpu faults)|(system.+state.+changed )|(\[timeout)|(PRM\|1\|D)|(kpr)|(kdp)|(\|lc)|(penalty))" /e /r /s</v>
      </c>
      <c r="U21" s="9" t="str">
        <f t="shared" si="2"/>
        <v>4032</v>
      </c>
      <c r="V21" s="33">
        <f t="shared" si="3"/>
        <v>42744.870266203703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ID","value":"170-09"},{"id":16,"name":"Locomotive ID","value":"4032"},{"id":130,"name":"Impact","value":""},{"id":150,"name":"Time of Event (Mountain Time)","value":"13:53:11"},{"id":151,"name":"Denver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"%USERPROFILE%\AppData\Local\Temp\OnboardLogs"\RTDC4032\*4032*201701092*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"%USERPROFILE%\AppData\Local\Temp\OnboardLogs"\RTDC4032\*4032*201701092* &gt;&gt; 42744-slicedisagreementcheck.txt</v>
      </c>
      <c r="AE21" s="183" t="str">
        <f t="shared" si="8"/>
        <v>start /low /b %USERPROFILE%\Documents\GitHub\eaglep3\Utilities\DownloadLogsFromS3.py --loco 4032 --day 2017-01-09</v>
      </c>
      <c r="AF21" s="1"/>
    </row>
    <row r="22" spans="1:32" x14ac:dyDescent="0.25">
      <c r="A22" s="33">
        <v>42744.651354166665</v>
      </c>
      <c r="B22" s="31" t="s">
        <v>301</v>
      </c>
      <c r="C22" s="31" t="s">
        <v>445</v>
      </c>
      <c r="D22" s="31" t="s">
        <v>49</v>
      </c>
      <c r="E22" s="31" t="s">
        <v>198</v>
      </c>
      <c r="F22" s="44">
        <v>0</v>
      </c>
      <c r="G22" s="44">
        <v>121</v>
      </c>
      <c r="H22" s="44">
        <v>529</v>
      </c>
      <c r="I22" s="44">
        <v>426</v>
      </c>
      <c r="J22" s="31" t="s">
        <v>199</v>
      </c>
      <c r="K22" s="44">
        <v>1</v>
      </c>
      <c r="L22" s="150" t="s">
        <v>51</v>
      </c>
      <c r="M22" s="151">
        <f t="shared" si="0"/>
        <v>224.4</v>
      </c>
      <c r="N22" s="152" t="str">
        <f>VLOOKUP(C22,'Trips&amp;Operators'!$C$1:$G$99999,5,FALSE)</f>
        <v>HOLCOMB KAMDEN</v>
      </c>
      <c r="O22" s="179" t="s">
        <v>309</v>
      </c>
      <c r="P22" s="153" t="s">
        <v>423</v>
      </c>
      <c r="Q22" s="31"/>
      <c r="R22" s="96" t="str">
        <f>VLOOKUP(C22,'Train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22" s="99" t="str">
        <f>VLOOKUP(C22,'Train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13:45:32-700',mode:absolute,to:'2017-01-09 16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1" t="str">
        <f t="shared" si="1"/>
        <v>"C:\Program Files (x86)\AstroGrep\AstroGrep.exe" /spath="%USERPROFILE%\AppData\Local\Temp\OnboardLogs" /stypes="*4032*201701092*" /stext=" 22:.+((SYSTEM_STATE.+slice.+state.+changed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3">
        <f t="shared" si="3"/>
        <v>42744.943020833329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{"issue":{"subject":"Banner without braking","project_id":79,"tracker_id":40,"status_id":1,"priority_id":2,"assigned_to_id":23,"start_date":"2017-01-09","description":"","custom_fields":[{"id":1,"name":"Subdivision","value":"EC"},{"id":4,"name":"Milepost","value":"0.0001"},{"id":17,"name":"Train ID","value":"184-09"},{"id":16,"name":"Locomotive ID","value":"4032"},{"id":130,"name":"Impact","value":""},{"id":150,"name":"Time of Event (Mountain Time)","value":"15:37:57"},{"id":151,"name":"Denver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"%USERPROFILE%\AppData\Local\Temp\OnboardLogs"\RTDC4032\*4032*201701092*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"%USERPROFILE%\AppData\Local\Temp\OnboardLogs"\RTDC4032\*4032*201701092* &gt;&gt; 42744-slicedisagreementcheck.txt</v>
      </c>
      <c r="AE22" s="183" t="str">
        <f t="shared" si="8"/>
        <v>start /low /b %USERPROFILE%\Documents\GitHub\eaglep3\Utilities\DownloadLogsFromS3.py --loco 4032 --day 2017-01-09</v>
      </c>
      <c r="AF22" s="1"/>
    </row>
    <row r="23" spans="1:32" x14ac:dyDescent="0.25">
      <c r="A23" s="33">
        <v>42744.651921296296</v>
      </c>
      <c r="B23" s="31" t="s">
        <v>301</v>
      </c>
      <c r="C23" s="31" t="s">
        <v>445</v>
      </c>
      <c r="D23" s="31" t="s">
        <v>49</v>
      </c>
      <c r="E23" s="31" t="s">
        <v>198</v>
      </c>
      <c r="F23" s="44">
        <v>0</v>
      </c>
      <c r="G23" s="44">
        <v>53</v>
      </c>
      <c r="H23" s="44">
        <v>183</v>
      </c>
      <c r="I23" s="44">
        <v>136</v>
      </c>
      <c r="J23" s="31" t="s">
        <v>199</v>
      </c>
      <c r="K23" s="44">
        <v>1</v>
      </c>
      <c r="L23" s="150" t="s">
        <v>51</v>
      </c>
      <c r="M23" s="151">
        <f t="shared" si="0"/>
        <v>71.28</v>
      </c>
      <c r="N23" s="152" t="str">
        <f>VLOOKUP(C23,'Trips&amp;Operators'!$C$1:$G$99999,5,FALSE)</f>
        <v>HOLCOMB KAMDEN</v>
      </c>
      <c r="O23" s="179" t="s">
        <v>309</v>
      </c>
      <c r="P23" s="153" t="s">
        <v>423</v>
      </c>
      <c r="Q23" s="31"/>
      <c r="R23" s="96" t="str">
        <f>VLOOKUP(C23,'Train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23" s="99" t="str">
        <f>VLOOKUP(C23,'Train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13:45:32-700',mode:absolute,to:'2017-01-09 16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1" t="str">
        <f t="shared" si="1"/>
        <v>"C:\Program Files (x86)\AstroGrep\AstroGrep.exe" /spath="%USERPROFILE%\AppData\Local\Temp\OnboardLogs" /stypes="*4032*201701092*" /stext=" 22:.+((SYSTEM_STATE.+slice.+state.+changed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3">
        <f t="shared" si="3"/>
        <v>42744.94358796296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{"issue":{"subject":"Banner without braking","project_id":79,"tracker_id":40,"status_id":1,"priority_id":2,"assigned_to_id":23,"start_date":"2017-01-09","description":"","custom_fields":[{"id":1,"name":"Subdivision","value":"EC"},{"id":4,"name":"Milepost","value":"0.0001"},{"id":17,"name":"Train ID","value":"184-09"},{"id":16,"name":"Locomotive ID","value":"4032"},{"id":130,"name":"Impact","value":""},{"id":150,"name":"Time of Event (Mountain Time)","value":"15:38:46"},{"id":151,"name":"Denver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"%USERPROFILE%\AppData\Local\Temp\OnboardLogs"\RTDC4032\*4032*201701092*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"%USERPROFILE%\AppData\Local\Temp\OnboardLogs"\RTDC4032\*4032*201701092* &gt;&gt; 42744-slicedisagreementcheck.txt</v>
      </c>
      <c r="AE23" s="183" t="str">
        <f t="shared" si="8"/>
        <v>start /low /b %USERPROFILE%\Documents\GitHub\eaglep3\Utilities\DownloadLogsFromS3.py --loco 4032 --day 2017-01-09</v>
      </c>
      <c r="AF23" s="1"/>
    </row>
    <row r="24" spans="1:32" x14ac:dyDescent="0.25">
      <c r="A24" s="33">
        <v>42744.660162037035</v>
      </c>
      <c r="B24" s="31" t="s">
        <v>208</v>
      </c>
      <c r="C24" s="31" t="s">
        <v>446</v>
      </c>
      <c r="D24" s="31" t="s">
        <v>49</v>
      </c>
      <c r="E24" s="31" t="s">
        <v>198</v>
      </c>
      <c r="F24" s="44">
        <v>0</v>
      </c>
      <c r="G24" s="44">
        <v>39</v>
      </c>
      <c r="H24" s="44">
        <v>143</v>
      </c>
      <c r="I24" s="44">
        <v>123</v>
      </c>
      <c r="J24" s="31" t="s">
        <v>199</v>
      </c>
      <c r="K24" s="44">
        <v>1</v>
      </c>
      <c r="L24" s="150" t="s">
        <v>51</v>
      </c>
      <c r="M24" s="151">
        <f t="shared" si="0"/>
        <v>64.415999999999997</v>
      </c>
      <c r="N24" s="152" t="str">
        <f>VLOOKUP(C24,'Trips&amp;Operators'!$C$1:$G$99999,5,FALSE)</f>
        <v>COMELLA JUSTIN</v>
      </c>
      <c r="O24" s="179" t="s">
        <v>195</v>
      </c>
      <c r="P24" s="153"/>
      <c r="Q24" s="31"/>
      <c r="R24" s="96" t="str">
        <f>VLOOKUP(C24,'Train Runs'!$A$13:$AE$9966,31,0)</f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S24" s="99" t="str">
        <f>VLOOKUP(C24,'Train Runs'!$A$13:$AE$9966,22,0)</f>
        <v>https://search-rtdc-monitor-bjffxe2xuh6vdkpspy63sjmuny.us-east-1.es.amazonaws.com/_plugin/kibana/#/discover/Steve-Slow-Train-Analysis-(2080s-and-2083s)?_g=(refreshInterval:(display:Off,section:0,value:0),time:(from:'2017-01-09 14:01:48-700',mode:absolute,to:'2017-01-09 16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1" t="str">
        <f t="shared" si="1"/>
        <v>"C:\Program Files (x86)\AstroGrep\AstroGrep.exe" /spath="%USERPROFILE%\AppData\Local\Temp\OnboardLogs" /stypes="*4012*201701092*" /stext=" 22:.+((SYSTEM_STATE.+slice.+state.+changed )|(ment ac)|(multiple cpu faults)|(system.+state.+changed )|(\[timeout)|(PRM\|1\|D)|(kpr)|(kdp)|(\|lc)|(penalty))" /e /r /s</v>
      </c>
      <c r="U24" s="9" t="str">
        <f t="shared" si="2"/>
        <v>4012</v>
      </c>
      <c r="V24" s="33">
        <f t="shared" si="3"/>
        <v>42744.951828703699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ID","value":"186-09"},{"id":16,"name":"Locomotive ID","value":"4012"},{"id":130,"name":"Impact","value":""},{"id":150,"name":"Time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"%USERPROFILE%\AppData\Local\Temp\OnboardLogs"\RTDC4012\*4012*201701092*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"%USERPROFILE%\AppData\Local\Temp\OnboardLogs"\RTDC4012\*4012*201701092* &gt;&gt; 42744-slicedisagreementcheck.txt</v>
      </c>
      <c r="AE24" s="183" t="str">
        <f t="shared" si="8"/>
        <v>start /low /b %USERPROFILE%\Documents\GitHub\eaglep3\Utilities\DownloadLogsFromS3.py --loco 4012 --day 2017-01-09</v>
      </c>
      <c r="AF24" s="1"/>
    </row>
    <row r="25" spans="1:32" x14ac:dyDescent="0.25">
      <c r="A25" s="33">
        <v>42744.94321759259</v>
      </c>
      <c r="B25" s="31" t="s">
        <v>452</v>
      </c>
      <c r="C25" s="31" t="s">
        <v>453</v>
      </c>
      <c r="D25" s="31" t="s">
        <v>49</v>
      </c>
      <c r="E25" s="31" t="s">
        <v>198</v>
      </c>
      <c r="F25" s="44">
        <v>0</v>
      </c>
      <c r="G25" s="44">
        <v>58</v>
      </c>
      <c r="H25" s="44">
        <v>200</v>
      </c>
      <c r="I25" s="44">
        <v>139</v>
      </c>
      <c r="J25" s="31" t="s">
        <v>199</v>
      </c>
      <c r="K25" s="44">
        <v>1</v>
      </c>
      <c r="L25" s="150" t="s">
        <v>51</v>
      </c>
      <c r="M25" s="151">
        <f t="shared" si="0"/>
        <v>72.864000000000004</v>
      </c>
      <c r="N25" s="152" t="str">
        <f>VLOOKUP(C25,'Trips&amp;Operators'!$C$1:$G$99999,5,FALSE)</f>
        <v>CHANDLER KELVIN</v>
      </c>
      <c r="O25" s="179" t="s">
        <v>195</v>
      </c>
      <c r="P25" s="153"/>
      <c r="Q25" s="31"/>
      <c r="R25" s="96" t="str">
        <f>VLOOKUP(C25,'Train Runs'!$A$13:$AE$9966,31,0)</f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S25" s="99" t="str">
        <f>VLOOKUP(C25,'Train Runs'!$A$13:$AE$9966,22,0)</f>
        <v>https://search-rtdc-monitor-bjffxe2xuh6vdkpspy63sjmuny.us-east-1.es.amazonaws.com/_plugin/kibana/#/discover/Steve-Slow-Train-Analysis-(2080s-and-2083s)?_g=(refreshInterval:(display:Off,section:0,value:0),time:(from:'2017-01-09 20:54:15-700',mode:absolute,to:'2017-01-09 23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5" s="101" t="str">
        <f t="shared" si="1"/>
        <v>"C:\Program Files (x86)\AstroGrep\AstroGrep.exe" /spath="%USERPROFILE%\AppData\Local\Temp\OnboardLogs" /stypes="*4045*201701100*" /stext=" 05:.+((SYSTEM_STATE.+slice.+state.+changed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3">
        <f t="shared" si="3"/>
        <v>42745.234884259255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ID","value":"230-09"},{"id":16,"name":"Locomotive ID","value":"4045"},{"id":130,"name":"Impact","value":""},{"id":150,"name":"Time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"%USERPROFILE%\AppData\Local\Temp\OnboardLogs"\RTDC4045\*4045*201701100*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"%USERPROFILE%\AppData\Local\Temp\OnboardLogs"\RTDC4045\*4045*201701100* &gt;&gt; 42744-slicedisagreementcheck.txt</v>
      </c>
      <c r="AE25" s="183" t="str">
        <f t="shared" si="8"/>
        <v>start /low /b %USERPROFILE%\Documents\GitHub\eaglep3\Utilities\DownloadLogsFromS3.py --loco 4045 --day 2017-01-10</v>
      </c>
      <c r="AF25" s="1"/>
    </row>
    <row r="26" spans="1:32" ht="15" customHeight="1" x14ac:dyDescent="0.25">
      <c r="A26" s="33">
        <v>42744.774398148147</v>
      </c>
      <c r="B26" s="31" t="s">
        <v>330</v>
      </c>
      <c r="C26" s="31" t="s">
        <v>450</v>
      </c>
      <c r="D26" s="31" t="s">
        <v>49</v>
      </c>
      <c r="E26" s="31" t="s">
        <v>198</v>
      </c>
      <c r="F26" s="44">
        <v>0</v>
      </c>
      <c r="G26" s="44">
        <v>29</v>
      </c>
      <c r="H26" s="44">
        <v>895</v>
      </c>
      <c r="I26" s="44">
        <v>874</v>
      </c>
      <c r="J26" s="31" t="s">
        <v>199</v>
      </c>
      <c r="K26" s="44">
        <v>826</v>
      </c>
      <c r="L26" s="150" t="s">
        <v>51</v>
      </c>
      <c r="M26" s="151">
        <f t="shared" si="0"/>
        <v>25.344000000000001</v>
      </c>
      <c r="N26" s="152" t="str">
        <f>VLOOKUP(C26,'Trips&amp;Operators'!$C$1:$G$99999,5,FALSE)</f>
        <v>ADANE ELSHADAY</v>
      </c>
      <c r="O26" s="179" t="s">
        <v>195</v>
      </c>
      <c r="P26" s="153"/>
      <c r="Q26" s="31"/>
      <c r="R26" s="96" t="str">
        <f>VLOOKUP(C26,'Train Runs'!$A$13:$AE$9966,31,0)</f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S26" s="99" t="str">
        <f>VLOOKUP(C26,'Train Runs'!$A$13:$AE$9966,22,0)</f>
        <v>https://search-rtdc-monitor-bjffxe2xuh6vdkpspy63sjmuny.us-east-1.es.amazonaws.com/_plugin/kibana/#/discover/Steve-Slow-Train-Analysis-(2080s-and-2083s)?_g=(refreshInterval:(display:Off,section:0,value:0),time:(from:'2017-01-09 16:39:12-700',mode:absolute,to:'2017-01-09 19:33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6" s="101" t="str">
        <f t="shared" si="1"/>
        <v>"C:\Program Files (x86)\AstroGrep\AstroGrep.exe" /spath="%USERPROFILE%\AppData\Local\Temp\OnboardLogs" /stypes="*4019*201701100*" /stext=" 01:.+((SYSTEM_STATE.+slice.+state.+changed )|(ment ac)|(multiple cpu faults)|(system.+state.+changed )|(\[timeout)|(PRM\|1\|D)|(kpr)|(kdp)|(\|lc)|(penalty))" /e /r /s</v>
      </c>
      <c r="U26" s="9" t="str">
        <f t="shared" si="2"/>
        <v>4019</v>
      </c>
      <c r="V26" s="33">
        <f t="shared" si="3"/>
        <v>42745.066064814811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{"issue":{"subject":"","project_id":79,"tracker_id":40,"status_id":1,"priority_id":2,"assigned_to_id":23,"start_date":"2017-01-09","description":"","custom_fields":[{"id":1,"name":"Subdivision","value":"EC"},{"id":4,"name":"Milepost","value":"0.0826"},{"id":17,"name":"Train ID","value":"208-09"},{"id":16,"name":"Locomotive ID","value":"4019"},{"id":130,"name":"Impact","value":""},{"id":150,"name":"Time of Event (Mountain Time)","value":"18:35:08"},{"id":151,"name":"Denver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"%USERPROFILE%\AppData\Local\Temp\OnboardLogs"\RTDC4019\*4019*201701100*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"%USERPROFILE%\AppData\Local\Temp\OnboardLogs"\RTDC4019\*4019*201701100* &gt;&gt; 42744-slicedisagreementcheck.txt</v>
      </c>
      <c r="AE26" s="183" t="str">
        <f t="shared" si="8"/>
        <v>start /low /b %USERPROFILE%\Documents\GitHub\eaglep3\Utilities\DownloadLogsFromS3.py --loco 4019 --day 2017-01-10</v>
      </c>
      <c r="AF26" s="1"/>
    </row>
    <row r="27" spans="1:32" ht="15" customHeight="1" x14ac:dyDescent="0.25">
      <c r="A27" s="33">
        <v>42744.204131944447</v>
      </c>
      <c r="B27" s="31" t="s">
        <v>251</v>
      </c>
      <c r="C27" s="31" t="s">
        <v>426</v>
      </c>
      <c r="D27" s="31" t="s">
        <v>49</v>
      </c>
      <c r="E27" s="31" t="s">
        <v>198</v>
      </c>
      <c r="F27" s="44">
        <v>0</v>
      </c>
      <c r="G27" s="44">
        <v>51</v>
      </c>
      <c r="H27" s="44">
        <v>233274</v>
      </c>
      <c r="I27" s="44">
        <v>233332</v>
      </c>
      <c r="J27" s="31" t="s">
        <v>199</v>
      </c>
      <c r="K27" s="44">
        <v>233491</v>
      </c>
      <c r="L27" s="150" t="s">
        <v>50</v>
      </c>
      <c r="M27" s="151">
        <f t="shared" si="0"/>
        <v>83.951999999999998</v>
      </c>
      <c r="N27" s="152" t="str">
        <f>VLOOKUP(C27,'Trips&amp;Operators'!$C$1:$G$99999,5,FALSE)</f>
        <v>STARKS ANGELINA</v>
      </c>
      <c r="O27" s="179" t="s">
        <v>195</v>
      </c>
      <c r="P27" s="153"/>
      <c r="Q27" s="31"/>
      <c r="R27" s="96" t="str">
        <f>VLOOKUP(C27,'Train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27" s="99" t="str">
        <f>VLOOKUP(C27,'Train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03:14:08-700',mode:absolute,to:'2017-01-09 05:53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7" s="101" t="str">
        <f t="shared" si="1"/>
        <v>"C:\Program Files (x86)\AstroGrep\AstroGrep.exe" /spath="%USERPROFILE%\AppData\Local\Temp\OnboardLogs" /stypes="*4003*201701091*" /stext=" 11:.+((SYSTEM_STATE.+slice.+state.+changed )|(ment ac)|(multiple cpu faults)|(system.+state.+changed )|(\[timeout)|(PRM\|1\|D)|(kpr)|(kdp)|(\|lc)|(penalty))" /e /r /s</v>
      </c>
      <c r="U27" s="9" t="str">
        <f t="shared" si="2"/>
        <v>4003</v>
      </c>
      <c r="V27" s="33">
        <f t="shared" si="3"/>
        <v>42744.495798611111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{"issue":{"subject":"","project_id":79,"tracker_id":40,"status_id":1,"priority_id":2,"assigned_to_id":23,"start_date":"2017-01-09","description":"","custom_fields":[{"id":1,"name":"Subdivision","value":"EC"},{"id":4,"name":"Milepost","value":"23.3491"},{"id":17,"name":"Train ID","value":"105-09"},{"id":16,"name":"Locomotive ID","value":"4003"},{"id":130,"name":"Impact","value":""},{"id":150,"name":"Time of Event (Mountain Time)","value":"04:53:57"},{"id":151,"name":"Denver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"%USERPROFILE%\AppData\Local\Temp\OnboardLogs"\RTDC4003\*4003*201701091*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"%USERPROFILE%\AppData\Local\Temp\OnboardLogs"\RTDC4003\*4003*201701091* &gt;&gt; 42744-slicedisagreementcheck.txt</v>
      </c>
      <c r="AE27" s="183" t="str">
        <f t="shared" si="8"/>
        <v>start /low /b %USERPROFILE%\Documents\GitHub\eaglep3\Utilities\DownloadLogsFromS3.py --loco 4003 --day 2017-01-09</v>
      </c>
      <c r="AF27" s="1"/>
    </row>
    <row r="28" spans="1:32" x14ac:dyDescent="0.25">
      <c r="A28" s="33">
        <v>42744.4219212963</v>
      </c>
      <c r="B28" s="31" t="s">
        <v>251</v>
      </c>
      <c r="C28" s="31" t="s">
        <v>439</v>
      </c>
      <c r="D28" s="31" t="s">
        <v>49</v>
      </c>
      <c r="E28" s="31" t="s">
        <v>198</v>
      </c>
      <c r="F28" s="44">
        <v>0</v>
      </c>
      <c r="G28" s="44">
        <v>99</v>
      </c>
      <c r="H28" s="44">
        <v>233057</v>
      </c>
      <c r="I28" s="44">
        <v>233180</v>
      </c>
      <c r="J28" s="31" t="s">
        <v>199</v>
      </c>
      <c r="K28" s="44">
        <v>233491</v>
      </c>
      <c r="L28" s="150" t="s">
        <v>50</v>
      </c>
      <c r="M28" s="151">
        <f t="shared" si="0"/>
        <v>164.208</v>
      </c>
      <c r="N28" s="152" t="str">
        <f>VLOOKUP(C28,'Trips&amp;Operators'!$C$1:$G$99999,5,FALSE)</f>
        <v>STARKS ANGELINA</v>
      </c>
      <c r="O28" s="179" t="s">
        <v>195</v>
      </c>
      <c r="P28" s="153"/>
      <c r="Q28" s="31"/>
      <c r="R28" s="96" t="str">
        <f>VLOOKUP(C28,'Train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28" s="99" t="str">
        <f>VLOOKUP(C28,'Train Runs'!$A$13:$AE$9966,22,0)</f>
        <v>https://search-rtdc-monitor-bjffxe2xuh6vdkpspy63sjmuny.us-east-1.es.amazonaws.com/_plugin/kibana/#/discover/Steve-Slow-Train-Analysis-(2080s-and-2083s)?_g=(refreshInterval:(display:Off,section:0,value:0),time:(from:'2017-01-09 08:25:47-700',mode:absolute,to:'2017-01-09 12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8" s="101" t="str">
        <f t="shared" si="1"/>
        <v>"C:\Program Files (x86)\AstroGrep\AstroGrep.exe" /spath="%USERPROFILE%\AppData\Local\Temp\OnboardLogs" /stypes="*4003*201701091*" /stext=" 17:.+((SYSTEM_STATE.+slice.+state.+changed )|(ment ac)|(multiple cpu faults)|(system.+state.+changed )|(\[timeout)|(PRM\|1\|D)|(kpr)|(kdp)|(\|lc)|(penalty))" /e /r /s</v>
      </c>
      <c r="U28" s="9" t="str">
        <f t="shared" si="2"/>
        <v>4003</v>
      </c>
      <c r="V28" s="33">
        <f t="shared" si="3"/>
        <v>42744.713587962964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{"issue":{"subject":"","project_id":79,"tracker_id":40,"status_id":1,"priority_id":2,"assigned_to_id":23,"start_date":"2017-01-09","description":"","custom_fields":[{"id":1,"name":"Subdivision","value":"EC"},{"id":4,"name":"Milepost","value":"23.3491"},{"id":17,"name":"Train ID","value":"147-09"},{"id":16,"name":"Locomotive ID","value":"4003"},{"id":130,"name":"Impact","value":""},{"id":150,"name":"Time of Event (Mountain Time)","value":"10:07:34"},{"id":151,"name":"Denver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"%USERPROFILE%\AppData\Local\Temp\OnboardLogs"\RTDC4003\*4003*201701091*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"%USERPROFILE%\AppData\Local\Temp\OnboardLogs"\RTDC4003\*4003*201701091* &gt;&gt; 42744-slicedisagreementcheck.txt</v>
      </c>
      <c r="AE28" s="183" t="str">
        <f t="shared" si="8"/>
        <v>start /low /b %USERPROFILE%\Documents\GitHub\eaglep3\Utilities\DownloadLogsFromS3.py --loco 4003 --day 2017-01-09</v>
      </c>
      <c r="AF28" s="1"/>
    </row>
    <row r="29" spans="1:32" x14ac:dyDescent="0.25">
      <c r="A29" s="33">
        <v>42744.786226851851</v>
      </c>
      <c r="B29" s="31" t="s">
        <v>249</v>
      </c>
      <c r="C29" s="31" t="s">
        <v>451</v>
      </c>
      <c r="D29" s="31" t="s">
        <v>49</v>
      </c>
      <c r="E29" s="31" t="s">
        <v>235</v>
      </c>
      <c r="F29" s="44">
        <v>0</v>
      </c>
      <c r="G29" s="44">
        <v>348</v>
      </c>
      <c r="H29" s="44">
        <v>16138</v>
      </c>
      <c r="I29" s="44">
        <v>15346</v>
      </c>
      <c r="J29" s="31" t="s">
        <v>236</v>
      </c>
      <c r="K29" s="44">
        <v>15777</v>
      </c>
      <c r="L29" s="150" t="s">
        <v>51</v>
      </c>
      <c r="M29" s="151">
        <f t="shared" si="0"/>
        <v>-227.56800000000001</v>
      </c>
      <c r="N29" s="152" t="str">
        <f>VLOOKUP(C29,'Trips&amp;Operators'!$C$1:$G$99999,5,FALSE)</f>
        <v>SIMMONS SHYHESHA</v>
      </c>
      <c r="O29" s="179" t="s">
        <v>309</v>
      </c>
      <c r="P29" s="153" t="s">
        <v>838</v>
      </c>
      <c r="Q29" s="31"/>
      <c r="R29" s="96" t="str">
        <f>VLOOKUP(C29,'Train Runs'!$A$13:$AE$9966,31,0)</f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S29" s="99" t="str">
        <f>VLOOKUP(C29,'Train Runs'!$A$13:$AE$9966,22,0)</f>
        <v>https://search-rtdc-monitor-bjffxe2xuh6vdkpspy63sjmuny.us-east-1.es.amazonaws.com/_plugin/kibana/#/discover/Steve-Slow-Train-Analysis-(2080s-and-2083s)?_g=(refreshInterval:(display:Off,section:0,value:0),time:(from:'2017-01-09 17:37:40-700',mode:absolute,to:'2017-01-09 19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1" t="str">
        <f t="shared" si="1"/>
        <v>"C:\Program Files (x86)\AstroGrep\AstroGrep.exe" /spath="%USERPROFILE%\AppData\Local\Temp\OnboardLogs" /stypes="*4013*201701100*" /stext=" 01:.+((SYSTEM_STATE.+slice.+state.+changed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3">
        <f t="shared" si="3"/>
        <v>42745.077893518515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{"issue":{"subject":"Early arrival (41st)","project_id":79,"tracker_id":40,"status_id":1,"priority_id":2,"assigned_to_id":23,"start_date":"2017-01-09","description":"","custom_fields":[{"id":1,"name":"Subdivision","value":"NW"},{"id":4,"name":"Milepost","value":"1.5777"},{"id":17,"name":"Train ID","value":"838-09"},{"id":16,"name":"Locomotive ID","value":"4013"},{"id":130,"name":"Impact","value":""},{"id":150,"name":"Time of Event (Mountain Time)","value":"18:52:10"},{"id":151,"name":"Denver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"%USERPROFILE%\AppData\Local\Temp\OnboardLogs"\RTDC4013\*4013*201701100*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"%USERPROFILE%\AppData\Local\Temp\OnboardLogs"\RTDC4013\*4013*201701100* &gt;&gt; 42744-slicedisagreementcheck.txt</v>
      </c>
      <c r="AE29" s="183" t="str">
        <f t="shared" si="8"/>
        <v>start /low /b %USERPROFILE%\Documents\GitHub\eaglep3\Utilities\DownloadLogsFromS3.py --loco 4013 --day 2017-01-10</v>
      </c>
      <c r="AF29" s="1"/>
    </row>
    <row r="30" spans="1:32" x14ac:dyDescent="0.25">
      <c r="A30" s="33">
        <v>42744.310231481482</v>
      </c>
      <c r="B30" s="31" t="s">
        <v>282</v>
      </c>
      <c r="C30" s="31" t="s">
        <v>433</v>
      </c>
      <c r="D30" s="31" t="s">
        <v>49</v>
      </c>
      <c r="E30" s="31" t="s">
        <v>198</v>
      </c>
      <c r="F30" s="44">
        <v>0</v>
      </c>
      <c r="G30" s="44">
        <v>17</v>
      </c>
      <c r="H30" s="44">
        <v>603</v>
      </c>
      <c r="I30" s="44">
        <v>594</v>
      </c>
      <c r="J30" s="31" t="s">
        <v>199</v>
      </c>
      <c r="K30" s="44">
        <v>575</v>
      </c>
      <c r="L30" s="150" t="s">
        <v>51</v>
      </c>
      <c r="M30" s="151">
        <f t="shared" si="0"/>
        <v>10.032</v>
      </c>
      <c r="N30" s="152" t="str">
        <f>VLOOKUP(C30,'Trips&amp;Operators'!$C$1:$G$99999,5,FALSE)</f>
        <v>DAVIS WENDY</v>
      </c>
      <c r="O30" s="179" t="s">
        <v>195</v>
      </c>
      <c r="P30" s="153"/>
      <c r="Q30" s="31"/>
      <c r="R30" s="96" t="str">
        <f>VLOOKUP(C30,'Train Runs'!$A$13:$AE$9966,31,0)</f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S30" s="99" t="str">
        <f>VLOOKUP(C30,'Train Runs'!$A$13:$AE$9966,22,0)</f>
        <v>https://search-rtdc-monitor-bjffxe2xuh6vdkpspy63sjmuny.us-east-1.es.amazonaws.com/_plugin/kibana/#/discover/Steve-Slow-Train-Analysis-(2080s-and-2083s)?_g=(refreshInterval:(display:Off,section:0,value:0),time:(from:'2017-01-09 06:07:57-700',mode:absolute,to:'2017-01-09 08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0" s="101" t="str">
        <f t="shared" si="1"/>
        <v>"C:\Program Files (x86)\AstroGrep\AstroGrep.exe" /spath="%USERPROFILE%\AppData\Local\Temp\OnboardLogs" /stypes="*4030*201701091*" /stext=" 14:.+((SYSTEM_STATE.+slice.+state.+changed )|(ment ac)|(multiple cpu faults)|(system.+state.+changed )|(\[timeout)|(PRM\|1\|D)|(kpr)|(kdp)|(\|lc)|(penalty))" /e /r /s</v>
      </c>
      <c r="U30" s="9" t="str">
        <f t="shared" si="2"/>
        <v>4030</v>
      </c>
      <c r="V30" s="33">
        <f t="shared" si="3"/>
        <v>42744.601898148147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ID","value":"806-09"},{"id":16,"name":"Locomotive ID","value":"4030"},{"id":130,"name":"Impact","value":""},{"id":150,"name":"Time of Event (Mountain Time)","value":"07:26:44"},{"id":151,"name":"Denver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"%USERPROFILE%\AppData\Local\Temp\OnboardLogs"\RTDC4030\*4030*201701091*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"%USERPROFILE%\AppData\Local\Temp\OnboardLogs"\RTDC4030\*4030*201701091* &gt;&gt; 42744-slicedisagreementcheck.txt</v>
      </c>
      <c r="AE30" s="183" t="str">
        <f t="shared" si="8"/>
        <v>start /low /b %USERPROFILE%\Documents\GitHub\eaglep3\Utilities\DownloadLogsFromS3.py --loco 4030 --day 2017-01-09</v>
      </c>
      <c r="AF30" s="1"/>
    </row>
    <row r="31" spans="1:32" x14ac:dyDescent="0.25">
      <c r="A31" s="33">
        <v>42744.351851851854</v>
      </c>
      <c r="B31" s="31" t="s">
        <v>282</v>
      </c>
      <c r="C31" s="31" t="s">
        <v>437</v>
      </c>
      <c r="D31" s="31" t="s">
        <v>49</v>
      </c>
      <c r="E31" s="31" t="s">
        <v>198</v>
      </c>
      <c r="F31" s="44">
        <v>0</v>
      </c>
      <c r="G31" s="44">
        <v>31</v>
      </c>
      <c r="H31" s="44">
        <v>666</v>
      </c>
      <c r="I31" s="44">
        <v>640</v>
      </c>
      <c r="J31" s="31" t="s">
        <v>199</v>
      </c>
      <c r="K31" s="44">
        <v>575</v>
      </c>
      <c r="L31" s="150" t="s">
        <v>51</v>
      </c>
      <c r="M31" s="151">
        <f t="shared" si="0"/>
        <v>34.32</v>
      </c>
      <c r="N31" s="152" t="str">
        <f>VLOOKUP(C31,'Trips&amp;Operators'!$C$1:$G$99999,5,FALSE)</f>
        <v>DAVIS WENDY</v>
      </c>
      <c r="O31" s="179" t="s">
        <v>195</v>
      </c>
      <c r="P31" s="153"/>
      <c r="Q31" s="31"/>
      <c r="R31" s="96" t="str">
        <f>VLOOKUP(C31,'Train Runs'!$A$13:$AE$9966,31,0)</f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S31" s="99" t="str">
        <f>VLOOKUP(C31,'Train Runs'!$A$13:$AE$9966,22,0)</f>
        <v>https://search-rtdc-monitor-bjffxe2xuh6vdkpspy63sjmuny.us-east-1.es.amazonaws.com/_plugin/kibana/#/discover/Steve-Slow-Train-Analysis-(2080s-and-2083s)?_g=(refreshInterval:(display:Off,section:0,value:0),time:(from:'2017-01-09 07:07:19-700',mode:absolute,to:'2017-01-09 09:26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1" s="101" t="str">
        <f t="shared" si="1"/>
        <v>"C:\Program Files (x86)\AstroGrep\AstroGrep.exe" /spath="%USERPROFILE%\AppData\Local\Temp\OnboardLogs" /stypes="*4030*201701091*" /stext=" 15:.+((SYSTEM_STATE.+slice.+state.+changed )|(ment ac)|(multiple cpu faults)|(system.+state.+changed )|(\[timeout)|(PRM\|1\|D)|(kpr)|(kdp)|(\|lc)|(penalty))" /e /r /s</v>
      </c>
      <c r="U31" s="9" t="str">
        <f t="shared" si="2"/>
        <v>4030</v>
      </c>
      <c r="V31" s="33">
        <f t="shared" si="3"/>
        <v>42744.643518518518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ID","value":"810-09"},{"id":16,"name":"Locomotive ID","value":"4030"},{"id":130,"name":"Impact","value":""},{"id":150,"name":"Time of Event (Mountain Time)","value":"08:26:40"},{"id":151,"name":"Denver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"%USERPROFILE%\AppData\Local\Temp\OnboardLogs"\RTDC4030\*4030*201701091*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"%USERPROFILE%\AppData\Local\Temp\OnboardLogs"\RTDC4030\*4030*201701091* &gt;&gt; 42744-slicedisagreementcheck.txt</v>
      </c>
      <c r="AE31" s="183" t="str">
        <f t="shared" si="8"/>
        <v>start /low /b %USERPROFILE%\Documents\GitHub\eaglep3\Utilities\DownloadLogsFromS3.py --loco 4030 --day 2017-01-09</v>
      </c>
      <c r="AF31" s="1"/>
    </row>
    <row r="32" spans="1:32" x14ac:dyDescent="0.25">
      <c r="A32" s="33">
        <v>42744.372199074074</v>
      </c>
      <c r="B32" s="31" t="s">
        <v>249</v>
      </c>
      <c r="C32" s="31" t="s">
        <v>438</v>
      </c>
      <c r="D32" s="31" t="s">
        <v>49</v>
      </c>
      <c r="E32" s="31" t="s">
        <v>198</v>
      </c>
      <c r="F32" s="44">
        <v>0</v>
      </c>
      <c r="G32" s="44">
        <v>50</v>
      </c>
      <c r="H32" s="44">
        <v>736</v>
      </c>
      <c r="I32" s="44">
        <v>699</v>
      </c>
      <c r="J32" s="31" t="s">
        <v>199</v>
      </c>
      <c r="K32" s="44">
        <v>575</v>
      </c>
      <c r="L32" s="150" t="s">
        <v>51</v>
      </c>
      <c r="M32" s="151">
        <f t="shared" si="0"/>
        <v>65.471999999999994</v>
      </c>
      <c r="N32" s="152" t="str">
        <f>VLOOKUP(C32,'Trips&amp;Operators'!$C$1:$G$99999,5,FALSE)</f>
        <v>DUNCAN SHEILA</v>
      </c>
      <c r="O32" s="179" t="s">
        <v>195</v>
      </c>
      <c r="P32" s="153"/>
      <c r="Q32" s="31"/>
      <c r="R32" s="96" t="str">
        <f>VLOOKUP(C32,'Train Runs'!$A$13:$AE$9966,31,0)</f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S32" s="99" t="str">
        <f>VLOOKUP(C32,'Train Runs'!$A$13:$AE$9966,22,0)</f>
        <v>https://search-rtdc-monitor-bjffxe2xuh6vdkpspy63sjmuny.us-east-1.es.amazonaws.com/_plugin/kibana/#/discover/Steve-Slow-Train-Analysis-(2080s-and-2083s)?_g=(refreshInterval:(display:Off,section:0,value:0),time:(from:'2017-01-09 07:38:21-700',mode:absolute,to:'2017-01-09 09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2" s="101" t="str">
        <f t="shared" si="1"/>
        <v>"C:\Program Files (x86)\AstroGrep\AstroGrep.exe" /spath="%USERPROFILE%\AppData\Local\Temp\OnboardLogs" /stypes="*4013*201701091*" /stext=" 15:.+((SYSTEM_STATE.+slice.+state.+changed )|(ment ac)|(multiple cpu faults)|(system.+state.+changed )|(\[timeout)|(PRM\|1\|D)|(kpr)|(kdp)|(\|lc)|(penalty))" /e /r /s</v>
      </c>
      <c r="U32" s="9" t="str">
        <f t="shared" si="2"/>
        <v>4013</v>
      </c>
      <c r="V32" s="33">
        <f t="shared" si="3"/>
        <v>42744.663865740738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ID","value":"812-09"},{"id":16,"name":"Locomotive ID","value":"4013"},{"id":130,"name":"Impact","value":""},{"id":150,"name":"Time of Event (Mountain Time)","value":"08:55:58"},{"id":151,"name":"Denver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"%USERPROFILE%\AppData\Local\Temp\OnboardLogs"\RTDC4013\*4013*201701091*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"%USERPROFILE%\AppData\Local\Temp\OnboardLogs"\RTDC4013\*4013*201701091* &gt;&gt; 42744-slicedisagreementcheck.txt</v>
      </c>
      <c r="AE32" s="183" t="str">
        <f t="shared" si="8"/>
        <v>start /low /b %USERPROFILE%\Documents\GitHub\eaglep3\Utilities\DownloadLogsFromS3.py --loco 4013 --day 2017-01-09</v>
      </c>
      <c r="AF32" s="1"/>
    </row>
    <row r="33" spans="1:32" x14ac:dyDescent="0.25">
      <c r="A33" s="33">
        <v>42744.580439814818</v>
      </c>
      <c r="B33" s="31" t="s">
        <v>249</v>
      </c>
      <c r="C33" s="31" t="s">
        <v>441</v>
      </c>
      <c r="D33" s="31" t="s">
        <v>49</v>
      </c>
      <c r="E33" s="31" t="s">
        <v>198</v>
      </c>
      <c r="F33" s="44">
        <v>0</v>
      </c>
      <c r="G33" s="44">
        <v>36</v>
      </c>
      <c r="H33" s="44">
        <v>699</v>
      </c>
      <c r="I33" s="44">
        <v>664</v>
      </c>
      <c r="J33" s="31" t="s">
        <v>199</v>
      </c>
      <c r="K33" s="44">
        <v>575</v>
      </c>
      <c r="L33" s="150" t="s">
        <v>51</v>
      </c>
      <c r="M33" s="151">
        <f t="shared" si="0"/>
        <v>46.991999999999997</v>
      </c>
      <c r="N33" s="152" t="str">
        <f>VLOOKUP(C33,'Trips&amp;Operators'!$C$1:$G$99999,5,FALSE)</f>
        <v>SIMMONS SHYHESHA</v>
      </c>
      <c r="O33" s="179" t="s">
        <v>195</v>
      </c>
      <c r="P33" s="153"/>
      <c r="Q33" s="31"/>
      <c r="R33" s="96" t="str">
        <f>VLOOKUP(C33,'Train Runs'!$A$13:$AE$9966,31,0)</f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S33" s="99" t="str">
        <f>VLOOKUP(C33,'Train Runs'!$A$13:$AE$9966,22,0)</f>
        <v>https://search-rtdc-monitor-bjffxe2xuh6vdkpspy63sjmuny.us-east-1.es.amazonaws.com/_plugin/kibana/#/discover/Steve-Slow-Train-Analysis-(2080s-and-2083s)?_g=(refreshInterval:(display:Off,section:0,value:0),time:(from:'2017-01-09 12:37:10-700',mode:absolute,to:'2017-01-09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3" s="101" t="str">
        <f t="shared" si="1"/>
        <v>"C:\Program Files (x86)\AstroGrep\AstroGrep.exe" /spath="%USERPROFILE%\AppData\Local\Temp\OnboardLogs" /stypes="*4013*201701092*" /stext=" 20:.+((SYSTEM_STATE.+slice.+state.+changed )|(ment ac)|(multiple cpu faults)|(system.+state.+changed )|(\[timeout)|(PRM\|1\|D)|(kpr)|(kdp)|(\|lc)|(penalty))" /e /r /s</v>
      </c>
      <c r="U33" s="9" t="str">
        <f t="shared" si="2"/>
        <v>4013</v>
      </c>
      <c r="V33" s="33">
        <f t="shared" si="3"/>
        <v>42744.872106481482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ID","value":"822-09"},{"id":16,"name":"Locomotive ID","value":"4013"},{"id":130,"name":"Impact","value":""},{"id":150,"name":"Time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"%USERPROFILE%\AppData\Local\Temp\OnboardLogs"\RTDC4013\*4013*201701092*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"%USERPROFILE%\AppData\Local\Temp\OnboardLogs"\RTDC4013\*4013*201701092* &gt;&gt; 42744-slicedisagreementcheck.txt</v>
      </c>
      <c r="AE33" s="183" t="str">
        <f t="shared" si="8"/>
        <v>start /low /b %USERPROFILE%\Documents\GitHub\eaglep3\Utilities\DownloadLogsFromS3.py --loco 4013 --day 2017-01-09</v>
      </c>
      <c r="AF33" s="1"/>
    </row>
    <row r="34" spans="1:32" x14ac:dyDescent="0.25">
      <c r="A34" s="33">
        <v>42744.254537037035</v>
      </c>
      <c r="B34" s="31" t="s">
        <v>283</v>
      </c>
      <c r="C34" s="31" t="s">
        <v>429</v>
      </c>
      <c r="D34" s="31" t="s">
        <v>49</v>
      </c>
      <c r="E34" s="31" t="s">
        <v>198</v>
      </c>
      <c r="F34" s="44">
        <v>0</v>
      </c>
      <c r="G34" s="44">
        <v>18</v>
      </c>
      <c r="H34" s="44">
        <v>59001</v>
      </c>
      <c r="I34" s="44">
        <v>59008</v>
      </c>
      <c r="J34" s="31" t="s">
        <v>199</v>
      </c>
      <c r="K34" s="44">
        <v>59048</v>
      </c>
      <c r="L34" s="150" t="s">
        <v>50</v>
      </c>
      <c r="M34" s="151">
        <f t="shared" si="0"/>
        <v>21.12</v>
      </c>
      <c r="N34" s="152" t="str">
        <f>VLOOKUP(C34,'Trips&amp;Operators'!$C$1:$G$99999,5,FALSE)</f>
        <v>DAVIS WENDY</v>
      </c>
      <c r="O34" s="179" t="s">
        <v>195</v>
      </c>
      <c r="P34" s="153"/>
      <c r="Q34" s="31"/>
      <c r="R34" s="96" t="str">
        <f>VLOOKUP(C34,'Train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4" s="99" t="str">
        <f>VLOOKUP(C34,'Train Runs'!$A$13:$AE$9966,22,0)</f>
        <v>https://search-rtdc-monitor-bjffxe2xuh6vdkpspy63sjmuny.us-east-1.es.amazonaws.com/_plugin/kibana/#/discover/Steve-Slow-Train-Analysis-(2080s-and-2083s)?_g=(refreshInterval:(display:Off,section:0,value:0),time:(from:'2017-01-09 04:45:48-700',mode:absolute,to:'2017-01-09 07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4" s="101" t="str">
        <f t="shared" si="1"/>
        <v>"C:\Program Files (x86)\AstroGrep\AstroGrep.exe" /spath="%USERPROFILE%\AppData\Local\Temp\OnboardLogs" /stypes="*4029*201701091*" /stext=" 13:.+((SYSTEM_STATE.+slice.+state.+changed )|(ment ac)|(multiple cpu faults)|(system.+state.+changed )|(\[timeout)|(PRM\|1\|D)|(kpr)|(kdp)|(\|lc)|(penalty))" /e /r /s</v>
      </c>
      <c r="U34" s="9" t="str">
        <f t="shared" si="2"/>
        <v>4029</v>
      </c>
      <c r="V34" s="33">
        <f t="shared" si="3"/>
        <v>42744.5462037037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{"issue":{"subject":"","project_id":79,"tracker_id":40,"status_id":1,"priority_id":2,"assigned_to_id":23,"start_date":"2017-01-09","description":"","custom_fields":[{"id":1,"name":"Subdivision","value":"NW"},{"id":4,"name":"Milepost","value":"5.9048"},{"id":17,"name":"Train ID","value":"801-09"},{"id":16,"name":"Locomotive ID","value":"4029"},{"id":130,"name":"Impact","value":""},{"id":150,"name":"Time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"%USERPROFILE%\AppData\Local\Temp\OnboardLogs"\RTDC4029\*4029*201701091*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34" s="183" t="str">
        <f t="shared" si="8"/>
        <v>start /low /b %USERPROFILE%\Documents\GitHub\eaglep3\Utilities\DownloadLogsFromS3.py --loco 4029 --day 2017-01-09</v>
      </c>
      <c r="AF34" s="1"/>
    </row>
    <row r="35" spans="1:32" x14ac:dyDescent="0.25">
      <c r="A35" s="33">
        <v>42744.255173611113</v>
      </c>
      <c r="B35" s="31" t="s">
        <v>283</v>
      </c>
      <c r="C35" s="31" t="s">
        <v>429</v>
      </c>
      <c r="D35" s="31" t="s">
        <v>49</v>
      </c>
      <c r="E35" s="31" t="s">
        <v>198</v>
      </c>
      <c r="F35" s="44">
        <v>0</v>
      </c>
      <c r="G35" s="44">
        <v>12</v>
      </c>
      <c r="H35" s="44">
        <v>59040</v>
      </c>
      <c r="I35" s="44">
        <v>59042</v>
      </c>
      <c r="J35" s="31" t="s">
        <v>199</v>
      </c>
      <c r="K35" s="44">
        <v>59048</v>
      </c>
      <c r="L35" s="150" t="s">
        <v>50</v>
      </c>
      <c r="M35" s="151">
        <f t="shared" si="0"/>
        <v>3.1680000000000001</v>
      </c>
      <c r="N35" s="152" t="str">
        <f>VLOOKUP(C35,'Trips&amp;Operators'!$C$1:$G$99999,5,FALSE)</f>
        <v>DAVIS WENDY</v>
      </c>
      <c r="O35" s="179" t="s">
        <v>195</v>
      </c>
      <c r="P35" s="153"/>
      <c r="Q35" s="31"/>
      <c r="R35" s="96" t="str">
        <f>VLOOKUP(C35,'Train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5" s="99" t="str">
        <f>VLOOKUP(C35,'Train Runs'!$A$13:$AE$9966,22,0)</f>
        <v>https://search-rtdc-monitor-bjffxe2xuh6vdkpspy63sjmuny.us-east-1.es.amazonaws.com/_plugin/kibana/#/discover/Steve-Slow-Train-Analysis-(2080s-and-2083s)?_g=(refreshInterval:(display:Off,section:0,value:0),time:(from:'2017-01-09 04:45:48-700',mode:absolute,to:'2017-01-09 07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5" s="101" t="str">
        <f t="shared" si="1"/>
        <v>"C:\Program Files (x86)\AstroGrep\AstroGrep.exe" /spath="%USERPROFILE%\AppData\Local\Temp\OnboardLogs" /stypes="*4029*201701091*" /stext=" 13:.+((SYSTEM_STATE.+slice.+state.+changed )|(ment ac)|(multiple cpu faults)|(system.+state.+changed )|(\[timeout)|(PRM\|1\|D)|(kpr)|(kdp)|(\|lc)|(penalty))" /e /r /s</v>
      </c>
      <c r="U35" s="9" t="str">
        <f t="shared" si="2"/>
        <v>4029</v>
      </c>
      <c r="V35" s="33">
        <f t="shared" si="3"/>
        <v>42744.546840277777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{"issue":{"subject":"","project_id":79,"tracker_id":40,"status_id":1,"priority_id":2,"assigned_to_id":23,"start_date":"2017-01-09","description":"","custom_fields":[{"id":1,"name":"Subdivision","value":"NW"},{"id":4,"name":"Milepost","value":"5.9048"},{"id":17,"name":"Train ID","value":"801-09"},{"id":16,"name":"Locomotive ID","value":"4029"},{"id":130,"name":"Impact","value":""},{"id":150,"name":"Time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"%USERPROFILE%\AppData\Local\Temp\OnboardLogs"\RTDC4029\*4029*201701091*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35" s="183" t="str">
        <f t="shared" si="8"/>
        <v>start /low /b %USERPROFILE%\Documents\GitHub\eaglep3\Utilities\DownloadLogsFromS3.py --loco 4029 --day 2017-01-09</v>
      </c>
      <c r="AF35" s="1"/>
    </row>
    <row r="36" spans="1:32" x14ac:dyDescent="0.25">
      <c r="A36" s="33">
        <v>42744.296099537038</v>
      </c>
      <c r="B36" s="31" t="s">
        <v>283</v>
      </c>
      <c r="C36" s="31" t="s">
        <v>431</v>
      </c>
      <c r="D36" s="31" t="s">
        <v>98</v>
      </c>
      <c r="E36" s="31" t="s">
        <v>198</v>
      </c>
      <c r="F36" s="44">
        <v>0</v>
      </c>
      <c r="G36" s="44">
        <v>5</v>
      </c>
      <c r="H36" s="44">
        <v>59048</v>
      </c>
      <c r="I36" s="44">
        <v>59049</v>
      </c>
      <c r="J36" s="31" t="s">
        <v>199</v>
      </c>
      <c r="K36" s="44">
        <v>59048</v>
      </c>
      <c r="L36" s="150" t="s">
        <v>50</v>
      </c>
      <c r="M36" s="151">
        <f t="shared" si="0"/>
        <v>-0.52800000000000002</v>
      </c>
      <c r="N36" s="152" t="str">
        <f>VLOOKUP(C36,'Trips&amp;Operators'!$C$1:$G$99999,5,FALSE)</f>
        <v>DAVIS WENDY</v>
      </c>
      <c r="O36" s="179" t="s">
        <v>195</v>
      </c>
      <c r="P36" s="153"/>
      <c r="Q36" s="31"/>
      <c r="R36" s="96" t="str">
        <f>VLOOKUP(C36,'Train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6" s="99" t="str">
        <f>VLOOKUP(C36,'Train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05:47:21-700',mode:absolute,to:'2017-01-09 08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1" t="str">
        <f t="shared" si="1"/>
        <v>"C:\Program Files (x86)\AstroGrep\AstroGrep.exe" /spath="%USERPROFILE%\AppData\Local\Temp\OnboardLogs" /stypes="*4029*201701091*" /stext=" 14:.+((SYSTEM_STATE.+slice.+state.+changed )|(ment ac)|(multiple cpu faults)|(system.+state.+changed )|(\[timeout)|(PRM\|1\|D)|(kpr)|(kdp)|(\|lc)|(penalty))" /e /r /s</v>
      </c>
      <c r="U36" s="9" t="str">
        <f t="shared" si="2"/>
        <v>4029</v>
      </c>
      <c r="V36" s="33">
        <f t="shared" si="3"/>
        <v>42744.587766203702</v>
      </c>
      <c r="W36" s="47" t="str">
        <f t="shared" si="4"/>
        <v>NW</v>
      </c>
      <c r="X36" s="47" t="str">
        <f t="shared" si="5"/>
        <v>OMIT</v>
      </c>
      <c r="Y36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{"issue":{"subject":"","project_id":79,"tracker_id":40,"status_id":1,"priority_id":2,"assigned_to_id":23,"start_date":"2017-01-09","description":"","custom_fields":[{"id":1,"name":"Subdivision","value":"NW"},{"id":4,"name":"Milepost","value":"5.9048"},{"id":17,"name":"Train ID","value":"805-09"},{"id":16,"name":"Locomotive ID","value":"4029"},{"id":130,"name":"Impact","value":""},{"id":150,"name":"Time of Event (Mountain Time)","value":"07:06:23"},{"id":151,"name":"Denver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"%USERPROFILE%\AppData\Local\Temp\OnboardLogs"\RTDC4029\*4029*201701091*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36" s="183" t="str">
        <f t="shared" si="8"/>
        <v>start /low /b %USERPROFILE%\Documents\GitHub\eaglep3\Utilities\DownloadLogsFromS3.py --loco 4029 --day 2017-01-09</v>
      </c>
      <c r="AF36" s="1"/>
    </row>
    <row r="37" spans="1:32" x14ac:dyDescent="0.25">
      <c r="A37" s="33">
        <v>42744.670208333337</v>
      </c>
      <c r="B37" s="31" t="s">
        <v>283</v>
      </c>
      <c r="C37" s="31" t="s">
        <v>447</v>
      </c>
      <c r="D37" s="31" t="s">
        <v>49</v>
      </c>
      <c r="E37" s="31" t="s">
        <v>198</v>
      </c>
      <c r="F37" s="44">
        <v>0</v>
      </c>
      <c r="G37" s="44">
        <v>93</v>
      </c>
      <c r="H37" s="44">
        <v>58702</v>
      </c>
      <c r="I37" s="44">
        <v>58775</v>
      </c>
      <c r="J37" s="31" t="s">
        <v>199</v>
      </c>
      <c r="K37" s="44">
        <v>59048</v>
      </c>
      <c r="L37" s="150" t="s">
        <v>50</v>
      </c>
      <c r="M37" s="151">
        <f t="shared" si="0"/>
        <v>144.14400000000001</v>
      </c>
      <c r="N37" s="152" t="str">
        <f>VLOOKUP(C37,'Trips&amp;Operators'!$C$1:$G$99999,5,FALSE)</f>
        <v>NEWELL JAMES</v>
      </c>
      <c r="O37" s="179" t="s">
        <v>309</v>
      </c>
      <c r="P37" s="153" t="s">
        <v>423</v>
      </c>
      <c r="Q37" s="31"/>
      <c r="R37" s="96" t="str">
        <f>VLOOKUP(C37,'Train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7" s="99" t="str">
        <f>VLOOKUP(C37,'Train Runs'!$A$13:$AE$9966,22,0)</f>
        <v>https://search-rtdc-monitor-bjffxe2xuh6vdkpspy63sjmuny.us-east-1.es.amazonaws.com/_plugin/kibana/#/discover/Steve-Slow-Train-Analysis-(2080s-and-2083s)?_g=(refreshInterval:(display:Off,section:0,value:0),time:(from:'2017-01-09 14:36:52-700',mode:absolute,to:'2017-01-09 17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1" t="str">
        <f t="shared" si="1"/>
        <v>"C:\Program Files (x86)\AstroGrep\AstroGrep.exe" /spath="%USERPROFILE%\AppData\Local\Temp\OnboardLogs" /stypes="*4029*201701092*" /stext=" 23:.+((SYSTEM_STATE.+slice.+state.+changed )|(ment ac)|(multiple cpu faults)|(system.+state.+changed )|(\[timeout)|(PRM\|1\|D)|(kpr)|(kdp)|(\|lc)|(penalty))" /e /r /s</v>
      </c>
      <c r="U37" s="9" t="str">
        <f t="shared" si="2"/>
        <v>4029</v>
      </c>
      <c r="V37" s="33">
        <f t="shared" si="3"/>
        <v>42744.961875000001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{"issue":{"subject":"Banner without braking","project_id":79,"tracker_id":40,"status_id":1,"priority_id":2,"assigned_to_id":23,"start_date":"2017-01-09","description":"","custom_fields":[{"id":1,"name":"Subdivision","value":"NW"},{"id":4,"name":"Milepost","value":"5.9048"},{"id":17,"name":"Train ID","value":"827-09"},{"id":16,"name":"Locomotive ID","value":"4029"},{"id":130,"name":"Impact","value":""},{"id":150,"name":"Time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"%USERPROFILE%\AppData\Local\Temp\OnboardLogs"\RTDC4029\*4029*201701092*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"%USERPROFILE%\AppData\Local\Temp\OnboardLogs"\RTDC4029\*4029*201701092* &gt;&gt; 42744-slicedisagreementcheck.txt</v>
      </c>
      <c r="AE37" s="183" t="str">
        <f t="shared" si="8"/>
        <v>start /low /b %USERPROFILE%\Documents\GitHub\eaglep3\Utilities\DownloadLogsFromS3.py --loco 4029 --day 2017-01-09</v>
      </c>
      <c r="AF37" s="1"/>
    </row>
    <row r="38" spans="1:32" x14ac:dyDescent="0.25">
      <c r="A38" s="33">
        <v>42744.642500000002</v>
      </c>
      <c r="B38" s="31" t="s">
        <v>282</v>
      </c>
      <c r="C38" s="31" t="s">
        <v>444</v>
      </c>
      <c r="D38" s="31" t="s">
        <v>98</v>
      </c>
      <c r="E38" s="31" t="s">
        <v>196</v>
      </c>
      <c r="F38" s="44">
        <v>0</v>
      </c>
      <c r="G38" s="44">
        <v>143</v>
      </c>
      <c r="H38" s="44">
        <v>18971</v>
      </c>
      <c r="I38" s="44">
        <v>18750</v>
      </c>
      <c r="J38" s="31" t="s">
        <v>197</v>
      </c>
      <c r="K38" s="44">
        <v>19000</v>
      </c>
      <c r="L38" s="150" t="s">
        <v>51</v>
      </c>
      <c r="M38" s="151">
        <f t="shared" si="0"/>
        <v>-132</v>
      </c>
      <c r="N38" s="152" t="str">
        <f>VLOOKUP(C38,'Trips&amp;Operators'!$C$1:$G$99999,5,FALSE)</f>
        <v>NEWELL JAMES</v>
      </c>
      <c r="O38" s="179" t="s">
        <v>195</v>
      </c>
      <c r="P38" s="153"/>
      <c r="Q38" s="31"/>
      <c r="R38" s="96" t="str">
        <f>VLOOKUP(C38,'Train Runs'!$A$13:$AE$9966,31,0)</f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S38" s="99" t="str">
        <f>VLOOKUP(C38,'Train Runs'!$A$13:$AE$9966,22,0)</f>
        <v>https://search-rtdc-monitor-bjffxe2xuh6vdkpspy63sjmuny.us-east-1.es.amazonaws.com/_plugin/kibana/#/discover/Steve-Slow-Train-Analysis-(2080s-and-2083s)?_g=(refreshInterval:(display:Off,section:0,value:0),time:(from:'2017-01-09 14:20:56-700',mode:absolute,to:'2017-01-09 16:32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1" t="str">
        <f t="shared" si="1"/>
        <v>"C:\Program Files (x86)\AstroGrep\AstroGrep.exe" /spath="%USERPROFILE%\AppData\Local\Temp\OnboardLogs" /stypes="*4030*201701092*" /stext=" 22:.+((SYSTEM_STATE.+slice.+state.+changed )|(ment ac)|(multiple cpu faults)|(system.+state.+changed )|(\[timeout)|(PRM\|1\|D)|(kpr)|(kdp)|(\|lc)|(penalty))" /e /r /s</v>
      </c>
      <c r="U38" s="9" t="str">
        <f t="shared" si="2"/>
        <v>4030</v>
      </c>
      <c r="V38" s="33">
        <f t="shared" si="3"/>
        <v>42744.934166666666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{"issue":{"subject":"","project_id":79,"tracker_id":40,"status_id":1,"priority_id":2,"assigned_to_id":23,"start_date":"2017-01-09","description":"","custom_fields":[{"id":1,"name":"Subdivision","value":"Other"},{"id":4,"name":"Milepost","value":"1.9"},{"id":17,"name":"Train ID","value":"904-09"},{"id":16,"name":"Locomotive ID","value":"4030"},{"id":130,"name":"Impact","value":""},{"id":150,"name":"Time of Event (Mountain Time)","value":"15:25:12"},{"id":151,"name":"Denver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"%USERPROFILE%\AppData\Local\Temp\OnboardLogs"\RTDC4030\*4030*201701092*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"%USERPROFILE%\AppData\Local\Temp\OnboardLogs"\RTDC4030\*4030*201701092* &gt;&gt; 42744-slicedisagreementcheck.txt</v>
      </c>
      <c r="AE38" s="183" t="str">
        <f t="shared" si="8"/>
        <v>start /low /b %USERPROFILE%\Documents\GitHub\eaglep3\Utilities\DownloadLogsFromS3.py --loco 4030 --day 2017-01-09</v>
      </c>
      <c r="AF38" s="1"/>
    </row>
    <row r="39" spans="1:32" x14ac:dyDescent="0.25">
      <c r="A39" s="33">
        <v>42744.712071759262</v>
      </c>
      <c r="B39" s="31" t="s">
        <v>448</v>
      </c>
      <c r="C39" s="31" t="s">
        <v>449</v>
      </c>
      <c r="D39" s="31" t="s">
        <v>98</v>
      </c>
      <c r="E39" s="31" t="s">
        <v>198</v>
      </c>
      <c r="F39" s="44">
        <v>0</v>
      </c>
      <c r="G39" s="44">
        <v>8</v>
      </c>
      <c r="H39" s="44">
        <v>0</v>
      </c>
      <c r="I39" s="44">
        <v>0</v>
      </c>
      <c r="J39" s="31" t="s">
        <v>199</v>
      </c>
      <c r="K39" s="44">
        <v>1</v>
      </c>
      <c r="L39" s="150" t="s">
        <v>51</v>
      </c>
      <c r="M39" s="151">
        <f t="shared" si="0"/>
        <v>-0.52800000000000002</v>
      </c>
      <c r="N39" s="152" t="str">
        <f>VLOOKUP(C39,'Trips&amp;Operators'!$C$1:$G$99999,5,FALSE)</f>
        <v>CHANDLER KELVIN</v>
      </c>
      <c r="O39" s="179" t="s">
        <v>195</v>
      </c>
      <c r="P39" s="153"/>
      <c r="Q39" s="31"/>
      <c r="R39" s="96" t="str">
        <f>VLOOKUP(C39,'Train Runs'!$A$13:$AE$9966,31,0)</f>
        <v>aws s3 cp s3://rtdc.mdm.uploadarchive.raw/RTDC4015/ "%USERPROFILE%\AppData\Local\Temp\OnboardLogs"\RTDC4015\2017-01-09 --exclude "*" --recursive --include "*20170109*" &amp; "%USERPROFILE%\Documents\GitHub\mrs-test-scripts\Headless Mode &amp; Sideloading\WalkAndUnGZ.bat" "%USERPROFILE%\AppData\Local\Temp\OnboardLogs"\RTDC4015\2017-01-09 &amp; 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</v>
      </c>
      <c r="S39" s="99" t="str">
        <f>VLOOKUP(C39,'Train Runs'!$A$13:$AE$9966,22,0)</f>
        <v>https://search-rtdc-monitor-bjffxe2xuh6vdkpspy63sjmuny.us-east-1.es.amazonaws.com/_plugin/kibana/#/discover/Steve-Slow-Train-Analysis-(2080s-and-2083s)?_g=(refreshInterval:(display:Off,section:0,value:0),time:(from:'2017-01-09 15:51:03-700',mode:absolute,to:'2017-01-09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9" s="101" t="str">
        <f t="shared" si="1"/>
        <v>"C:\Program Files (x86)\AstroGrep\AstroGrep.exe" /spath="%USERPROFILE%\AppData\Local\Temp\OnboardLogs" /stypes="*4015*201701100*" /stext=" 00:.+((SYSTEM_STATE.+slice.+state.+changed )|(ment ac)|(multiple cpu faults)|(system.+state.+changed )|(\[timeout)|(PRM\|1\|D)|(kpr)|(kdp)|(\|lc)|(penalty))" /e /r /s</v>
      </c>
      <c r="U39" s="9" t="str">
        <f t="shared" si="2"/>
        <v>4015</v>
      </c>
      <c r="V39" s="33">
        <f t="shared" si="3"/>
        <v>42745.003738425927</v>
      </c>
      <c r="W39" s="47" t="str">
        <f t="shared" si="4"/>
        <v>Other</v>
      </c>
      <c r="X39" s="47" t="str">
        <f t="shared" si="5"/>
        <v>OMIT</v>
      </c>
      <c r="Y39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{"issue":{"subject":"","project_id":79,"tracker_id":40,"status_id":1,"priority_id":2,"assigned_to_id":23,"start_date":"2017-01-09","description":"","custom_fields":[{"id":1,"name":"Subdivision","value":"Other"},{"id":4,"name":"Milepost","value":"0.0001"},{"id":17,"name":"Train ID","value":"74-09"},{"id":16,"name":"Locomotive ID","value":"4015"},{"id":130,"name":"Impact","value":""},{"id":150,"name":"Time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"%USERPROFILE%\AppData\Local\Temp\OnboardLogs"\RTDC4015\*4015*201701100*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"%USERPROFILE%\AppData\Local\Temp\OnboardLogs"\RTDC4015\*4015*201701100* &gt;&gt; 42744-slicedisagreementcheck.txt</v>
      </c>
      <c r="AE39" s="183" t="str">
        <f t="shared" si="8"/>
        <v>start /low /b %USERPROFILE%\Documents\GitHub\eaglep3\Utilities\DownloadLogsFromS3.py --loco 4015 --day 2017-01-10</v>
      </c>
      <c r="AF39" s="1"/>
    </row>
    <row r="40" spans="1:32" x14ac:dyDescent="0.25">
      <c r="A40" s="33">
        <v>42744.212453703702</v>
      </c>
      <c r="B40" s="31" t="s">
        <v>283</v>
      </c>
      <c r="C40" s="31" t="s">
        <v>427</v>
      </c>
      <c r="D40" s="31" t="s">
        <v>49</v>
      </c>
      <c r="E40" s="31" t="s">
        <v>198</v>
      </c>
      <c r="F40" s="44">
        <v>0</v>
      </c>
      <c r="G40" s="44">
        <v>23</v>
      </c>
      <c r="H40" s="44">
        <v>58986</v>
      </c>
      <c r="I40" s="44">
        <v>58995</v>
      </c>
      <c r="J40" s="31" t="s">
        <v>199</v>
      </c>
      <c r="K40" s="44">
        <v>59048</v>
      </c>
      <c r="L40" s="150" t="s">
        <v>50</v>
      </c>
      <c r="M40" s="151">
        <f t="shared" si="0"/>
        <v>27.984000000000002</v>
      </c>
      <c r="N40" s="152" t="str">
        <f>VLOOKUP(C40,'Trips&amp;Operators'!$C$1:$G$99999,5,FALSE)</f>
        <v>DAVIS WENDY</v>
      </c>
      <c r="O40" s="179" t="s">
        <v>195</v>
      </c>
      <c r="P40" s="153"/>
      <c r="Q40" s="31"/>
      <c r="R40" s="96" t="str">
        <f>VLOOKUP(C40,'Train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40" s="99" t="str">
        <f>VLOOKUP(C40,'Train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03:56:11-700',mode:absolute,to:'2017-01-09 06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1" t="str">
        <f t="shared" si="1"/>
        <v>"C:\Program Files (x86)\AstroGrep\AstroGrep.exe" /spath="%USERPROFILE%\AppData\Local\Temp\OnboardLogs" /stypes="*4029*201701091*" /stext=" 12:.+((SYSTEM_STATE.+slice.+state.+changed )|(ment ac)|(multiple cpu faults)|(system.+state.+changed )|(\[timeout)|(PRM\|1\|D)|(kpr)|(kdp)|(\|lc)|(penalty))" /e /r /s</v>
      </c>
      <c r="U40" s="9" t="str">
        <f t="shared" si="2"/>
        <v>4029</v>
      </c>
      <c r="V40" s="33">
        <f t="shared" si="3"/>
        <v>42744.504120370366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{"issue":{"subject":"","project_id":79,"tracker_id":40,"status_id":1,"priority_id":2,"assigned_to_id":23,"start_date":"2017-01-09","description":"","custom_fields":[{"id":1,"name":"Subdivision","value":"Other"},{"id":4,"name":"Milepost","value":"5.9048"},{"id":17,"name":"Train ID","value":"901-09"},{"id":16,"name":"Locomotive ID","value":"4029"},{"id":130,"name":"Impact","value":""},{"id":150,"name":"Time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"%USERPROFILE%\AppData\Local\Temp\OnboardLogs"\RTDC4029\*4029*201701091*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40" s="183" t="str">
        <f t="shared" si="8"/>
        <v>start /low /b %USERPROFILE%\Documents\GitHub\eaglep3\Utilities\DownloadLogsFromS3.py --loco 4029 --day 2017-01-09</v>
      </c>
      <c r="AF40" s="1"/>
    </row>
    <row r="41" spans="1:32" x14ac:dyDescent="0.25">
      <c r="A41" s="33">
        <v>42744.212939814817</v>
      </c>
      <c r="B41" s="31" t="s">
        <v>283</v>
      </c>
      <c r="C41" s="31" t="s">
        <v>427</v>
      </c>
      <c r="D41" s="31" t="s">
        <v>98</v>
      </c>
      <c r="E41" s="31" t="s">
        <v>198</v>
      </c>
      <c r="F41" s="44">
        <v>0</v>
      </c>
      <c r="G41" s="44">
        <v>7</v>
      </c>
      <c r="H41" s="44">
        <v>59049</v>
      </c>
      <c r="I41" s="44">
        <v>59049</v>
      </c>
      <c r="J41" s="31" t="s">
        <v>199</v>
      </c>
      <c r="K41" s="44">
        <v>59048</v>
      </c>
      <c r="L41" s="150" t="s">
        <v>50</v>
      </c>
      <c r="M41" s="151">
        <f t="shared" si="0"/>
        <v>-0.52800000000000002</v>
      </c>
      <c r="N41" s="152" t="str">
        <f>VLOOKUP(C41,'Trips&amp;Operators'!$C$1:$G$99999,5,FALSE)</f>
        <v>DAVIS WENDY</v>
      </c>
      <c r="O41" s="179" t="s">
        <v>195</v>
      </c>
      <c r="P41" s="153"/>
      <c r="Q41" s="31"/>
      <c r="R41" s="96" t="str">
        <f>VLOOKUP(C41,'Train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41" s="99" t="str">
        <f>VLOOKUP(C41,'Train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03:56:11-700',mode:absolute,to:'2017-01-09 06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1" s="101" t="str">
        <f t="shared" si="1"/>
        <v>"C:\Program Files (x86)\AstroGrep\AstroGrep.exe" /spath="%USERPROFILE%\AppData\Local\Temp\OnboardLogs" /stypes="*4029*201701091*" /stext=" 12:.+((SYSTEM_STATE.+slice.+state.+changed )|(ment ac)|(multiple cpu faults)|(system.+state.+changed )|(\[timeout)|(PRM\|1\|D)|(kpr)|(kdp)|(\|lc)|(penalty))" /e /r /s</v>
      </c>
      <c r="U41" s="9" t="str">
        <f t="shared" si="2"/>
        <v>4029</v>
      </c>
      <c r="V41" s="33">
        <f t="shared" si="3"/>
        <v>42744.504606481481</v>
      </c>
      <c r="W41" s="47" t="str">
        <f t="shared" si="4"/>
        <v>Other</v>
      </c>
      <c r="X41" s="47" t="str">
        <f t="shared" si="5"/>
        <v>OMIT</v>
      </c>
      <c r="Y41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{"issue":{"subject":"","project_id":79,"tracker_id":40,"status_id":1,"priority_id":2,"assigned_to_id":23,"start_date":"2017-01-09","description":"","custom_fields":[{"id":1,"name":"Subdivision","value":"Other"},{"id":4,"name":"Milepost","value":"5.9048"},{"id":17,"name":"Train ID","value":"901-09"},{"id":16,"name":"Locomotive ID","value":"4029"},{"id":130,"name":"Impact","value":""},{"id":150,"name":"Time of Event (Mountain Time)","value":"05:06:38"},{"id":151,"name":"Denver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"%USERPROFILE%\AppData\Local\Temp\OnboardLogs"\RTDC4029\*4029*201701091*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41" s="183" t="str">
        <f t="shared" si="8"/>
        <v>start /low /b %USERPROFILE%\Documents\GitHub\eaglep3\Utilities\DownloadLogsFromS3.py --loco 4029 --day 2017-01-09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</sheetData>
  <autoFilter ref="A6:AC42">
    <sortState ref="A7:AC42">
      <sortCondition ref="V6:V42"/>
    </sortState>
  </autoFilter>
  <sortState ref="A7:AE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2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2017-01-09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-09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" s="31" t="e">
        <f>VLOOKUP(B3,'Train Runs'!$A$13:$A$99963,1,FALSE)</f>
        <v>#N/A</v>
      </c>
      <c r="K3" s="21"/>
    </row>
    <row r="4" spans="1:11" x14ac:dyDescent="0.25">
      <c r="A4" s="167"/>
      <c r="B4" s="44" t="str">
        <f>A4&amp;"-"&amp;IF(DAY(Variables!$A$2)&lt;10,0,"")&amp;DAY(Variables!$A$2)</f>
        <v>-09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2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" s="31" t="e">
        <f>VLOOKUP(B4,'Train Runs'!$A$13:$A$99963,1,FALSE)</f>
        <v>#N/A</v>
      </c>
    </row>
    <row r="5" spans="1:11" x14ac:dyDescent="0.25">
      <c r="A5" s="167"/>
      <c r="B5" s="44" t="str">
        <f>A5&amp;"-"&amp;IF(DAY(Variables!$A$2)&lt;10,0,"")&amp;DAY(Variables!$A$2)</f>
        <v>-09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" s="31" t="e">
        <f>VLOOKUP(B5,'Train Runs'!$A$13:$A$99963,1,FALSE)</f>
        <v>#N/A</v>
      </c>
    </row>
    <row r="6" spans="1:11" x14ac:dyDescent="0.25">
      <c r="A6" s="167"/>
      <c r="B6" s="44" t="str">
        <f>A6&amp;"-"&amp;IF(DAY(Variables!$A$2)&lt;10,0,"")&amp;DAY(Variables!$A$2)</f>
        <v>-09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" s="31" t="e">
        <f>VLOOKUP(B6,'Train Runs'!$A$13:$A$99963,1,FALSE)</f>
        <v>#N/A</v>
      </c>
    </row>
    <row r="7" spans="1:11" x14ac:dyDescent="0.25">
      <c r="A7" s="167"/>
      <c r="B7" s="44" t="str">
        <f>A7&amp;"-"&amp;IF(DAY(Variables!$A$2)&lt;10,0,"")&amp;DAY(Variables!$A$2)</f>
        <v>-09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" s="31" t="e">
        <f>VLOOKUP(B7,'Train Runs'!$A$13:$A$99963,1,FALSE)</f>
        <v>#N/A</v>
      </c>
    </row>
    <row r="8" spans="1:11" x14ac:dyDescent="0.25">
      <c r="A8" s="167"/>
      <c r="B8" s="44" t="str">
        <f>A8&amp;"-"&amp;IF(DAY(Variables!$A$2)&lt;10,0,"")&amp;DAY(Variables!$A$2)</f>
        <v>-09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31" t="e">
        <f>VLOOKUP(B8,'Train Runs'!$A$13:$A$99963,1,FALSE)</f>
        <v>#N/A</v>
      </c>
    </row>
    <row r="9" spans="1:11" x14ac:dyDescent="0.25">
      <c r="A9" s="167"/>
      <c r="B9" s="44" t="str">
        <f>A9&amp;"-"&amp;IF(DAY(Variables!$A$2)&lt;10,0,"")&amp;DAY(Variables!$A$2)</f>
        <v>-09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31" t="e">
        <f>VLOOKUP(B9,'Train Runs'!$A$13:$A$99963,1,FALSE)</f>
        <v>#N/A</v>
      </c>
    </row>
    <row r="10" spans="1:11" x14ac:dyDescent="0.25">
      <c r="A10" s="167"/>
      <c r="B10" s="44" t="str">
        <f>A10&amp;"-"&amp;IF(DAY(Variables!$A$2)&lt;10,0,"")&amp;DAY(Variables!$A$2)</f>
        <v>-09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31" t="e">
        <f>VLOOKUP(B10,'Train Runs'!$A$13:$A$99963,1,FALSE)</f>
        <v>#N/A</v>
      </c>
    </row>
    <row r="11" spans="1:11" x14ac:dyDescent="0.25">
      <c r="A11" s="167"/>
      <c r="B11" s="44" t="str">
        <f>A11&amp;"-"&amp;IF(DAY(Variables!$A$2)&lt;10,0,"")&amp;DAY(Variables!$A$2)</f>
        <v>-09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31" t="e">
        <f>VLOOKUP(B11,'Train Runs'!$A$13:$A$99963,1,FALSE)</f>
        <v>#N/A</v>
      </c>
    </row>
    <row r="12" spans="1:11" x14ac:dyDescent="0.25">
      <c r="A12" s="167"/>
      <c r="B12" s="44" t="str">
        <f>A12&amp;"-"&amp;IF(DAY(Variables!$A$2)&lt;10,0,"")&amp;DAY(Variables!$A$2)</f>
        <v>-09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31" t="e">
        <f>VLOOKUP(B12,'Train Runs'!$A$13:$A$99963,1,FALSE)</f>
        <v>#N/A</v>
      </c>
    </row>
    <row r="13" spans="1:11" x14ac:dyDescent="0.25">
      <c r="A13" s="167"/>
      <c r="B13" s="44" t="str">
        <f>A13&amp;"-"&amp;IF(DAY(Variables!$A$2)&lt;10,0,"")&amp;DAY(Variables!$A$2)</f>
        <v>-09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31" t="e">
        <f>VLOOKUP(B13,'Train Runs'!$A$13:$A$99963,1,FALSE)</f>
        <v>#N/A</v>
      </c>
    </row>
    <row r="14" spans="1:11" x14ac:dyDescent="0.25">
      <c r="A14" s="167"/>
      <c r="B14" s="44" t="str">
        <f>A14&amp;"-"&amp;IF(DAY(Variables!$A$2)&lt;10,0,"")&amp;DAY(Variables!$A$2)</f>
        <v>-09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" s="31" t="e">
        <f>VLOOKUP(B14,'Train Runs'!$A$13:$A$99963,1,FALSE)</f>
        <v>#N/A</v>
      </c>
    </row>
    <row r="15" spans="1:11" x14ac:dyDescent="0.25">
      <c r="A15" s="167"/>
      <c r="B15" s="44" t="str">
        <f>A15&amp;"-"&amp;IF(DAY(Variables!$A$2)&lt;10,0,"")&amp;DAY(Variables!$A$2)</f>
        <v>-09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5" s="31" t="e">
        <f>VLOOKUP(B15,'Train Runs'!$A$13:$A$99963,1,FALSE)</f>
        <v>#N/A</v>
      </c>
    </row>
    <row r="16" spans="1:11" x14ac:dyDescent="0.25">
      <c r="A16" s="167"/>
      <c r="B16" s="44" t="str">
        <f>A16&amp;"-"&amp;IF(DAY(Variables!$A$2)&lt;10,0,"")&amp;DAY(Variables!$A$2)</f>
        <v>-09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6" s="31" t="e">
        <f>VLOOKUP(B16,'Train Runs'!$A$13:$A$99963,1,FALSE)</f>
        <v>#N/A</v>
      </c>
    </row>
    <row r="17" spans="1:10" x14ac:dyDescent="0.25">
      <c r="A17" s="167"/>
      <c r="B17" s="44" t="str">
        <f>A17&amp;"-"&amp;IF(DAY(Variables!$A$2)&lt;10,0,"")&amp;DAY(Variables!$A$2)</f>
        <v>-09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7" s="31" t="e">
        <f>VLOOKUP(B17,'Train Runs'!$A$13:$A$99963,1,FALSE)</f>
        <v>#N/A</v>
      </c>
    </row>
    <row r="18" spans="1:10" x14ac:dyDescent="0.25">
      <c r="A18" s="167"/>
      <c r="B18" s="44" t="str">
        <f>A18&amp;"-"&amp;IF(DAY(Variables!$A$2)&lt;10,0,"")&amp;DAY(Variables!$A$2)</f>
        <v>-09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8" s="31" t="e">
        <f>VLOOKUP(B18,'Train Runs'!$A$13:$A$99963,1,FALSE)</f>
        <v>#N/A</v>
      </c>
    </row>
    <row r="19" spans="1:10" x14ac:dyDescent="0.25">
      <c r="A19" s="167"/>
      <c r="B19" s="44" t="str">
        <f>A19&amp;"-"&amp;IF(DAY(Variables!$A$2)&lt;10,0,"")&amp;DAY(Variables!$A$2)</f>
        <v>-09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9" s="31" t="e">
        <f>VLOOKUP(B19,'Train Runs'!$A$13:$A$99963,1,FALSE)</f>
        <v>#N/A</v>
      </c>
    </row>
    <row r="20" spans="1:10" x14ac:dyDescent="0.25">
      <c r="A20" s="167"/>
      <c r="B20" s="44" t="str">
        <f>A20&amp;"-"&amp;IF(DAY(Variables!$A$2)&lt;10,0,"")&amp;DAY(Variables!$A$2)</f>
        <v>-09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0" s="31" t="e">
        <f>VLOOKUP(B20,'Train Runs'!$A$13:$A$99963,1,FALSE)</f>
        <v>#N/A</v>
      </c>
    </row>
    <row r="21" spans="1:10" x14ac:dyDescent="0.25">
      <c r="A21" s="167"/>
      <c r="B21" s="44" t="str">
        <f>A21&amp;"-"&amp;IF(DAY(Variables!$A$2)&lt;10,0,"")&amp;DAY(Variables!$A$2)</f>
        <v>-09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1" s="31" t="e">
        <f>VLOOKUP(B21,'Train Runs'!$A$13:$A$99963,1,FALSE)</f>
        <v>#N/A</v>
      </c>
    </row>
    <row r="22" spans="1:10" x14ac:dyDescent="0.25">
      <c r="A22" s="167"/>
      <c r="B22" s="44" t="str">
        <f>A22&amp;"-"&amp;IF(DAY(Variables!$A$2)&lt;10,0,"")&amp;DAY(Variables!$A$2)</f>
        <v>-09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2" s="31" t="e">
        <f>VLOOKUP(B22,'Train Runs'!$A$13:$A$99963,1,FALSE)</f>
        <v>#N/A</v>
      </c>
    </row>
    <row r="23" spans="1:10" x14ac:dyDescent="0.25">
      <c r="A23" s="167"/>
      <c r="B23" s="44" t="str">
        <f>A23&amp;"-"&amp;IF(DAY(Variables!$A$2)&lt;10,0,"")&amp;DAY(Variables!$A$2)</f>
        <v>-09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3" s="31" t="e">
        <f>VLOOKUP(B23,'Train Runs'!$A$13:$A$99963,1,FALSE)</f>
        <v>#N/A</v>
      </c>
    </row>
    <row r="24" spans="1:10" x14ac:dyDescent="0.25">
      <c r="A24" s="167"/>
      <c r="B24" s="44" t="str">
        <f>A24&amp;"-"&amp;IF(DAY(Variables!$A$2)&lt;10,0,"")&amp;DAY(Variables!$A$2)</f>
        <v>-09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4" s="31" t="e">
        <f>VLOOKUP(B24,'Train Runs'!$A$13:$A$99963,1,FALSE)</f>
        <v>#N/A</v>
      </c>
    </row>
    <row r="25" spans="1:10" x14ac:dyDescent="0.25">
      <c r="A25" s="167"/>
      <c r="B25" s="44" t="str">
        <f>A25&amp;"-"&amp;IF(DAY(Variables!$A$2)&lt;10,0,"")&amp;DAY(Variables!$A$2)</f>
        <v>-09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5" s="31" t="e">
        <f>VLOOKUP(B25,'Train Runs'!$A$13:$A$99963,1,FALSE)</f>
        <v>#N/A</v>
      </c>
    </row>
    <row r="26" spans="1:10" x14ac:dyDescent="0.25">
      <c r="A26" s="167"/>
      <c r="B26" s="44" t="str">
        <f>A26&amp;"-"&amp;IF(DAY(Variables!$A$2)&lt;10,0,"")&amp;DAY(Variables!$A$2)</f>
        <v>-09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6" s="31" t="e">
        <f>VLOOKUP(B26,'Train Runs'!$A$13:$A$99963,1,FALSE)</f>
        <v>#N/A</v>
      </c>
    </row>
    <row r="27" spans="1:10" x14ac:dyDescent="0.25">
      <c r="A27" s="167"/>
      <c r="B27" s="44" t="str">
        <f>A27&amp;"-"&amp;IF(DAY(Variables!$A$2)&lt;10,0,"")&amp;DAY(Variables!$A$2)</f>
        <v>-09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7" s="31" t="e">
        <f>VLOOKUP(B27,'Train Runs'!$A$13:$A$99963,1,FALSE)</f>
        <v>#N/A</v>
      </c>
    </row>
    <row r="28" spans="1:10" x14ac:dyDescent="0.25">
      <c r="A28" s="167"/>
      <c r="B28" s="44" t="str">
        <f>A28&amp;"-"&amp;IF(DAY(Variables!$A$2)&lt;10,0,"")&amp;DAY(Variables!$A$2)</f>
        <v>-09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8" s="31" t="e">
        <f>VLOOKUP(B28,'Train Runs'!$A$13:$A$99963,1,FALSE)</f>
        <v>#N/A</v>
      </c>
    </row>
    <row r="29" spans="1:10" x14ac:dyDescent="0.25">
      <c r="A29" s="167"/>
      <c r="B29" s="44" t="str">
        <f>A29&amp;"-"&amp;IF(DAY(Variables!$A$2)&lt;10,0,"")&amp;DAY(Variables!$A$2)</f>
        <v>-09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ref="I29:I92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29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9" s="31" t="e">
        <f>VLOOKUP(B29,'Train Runs'!$A$13:$A$99963,1,FALSE)</f>
        <v>#N/A</v>
      </c>
    </row>
    <row r="30" spans="1:10" x14ac:dyDescent="0.25">
      <c r="A30" s="167"/>
      <c r="B30" s="44" t="str">
        <f>A30&amp;"-"&amp;IF(DAY(Variables!$A$2)&lt;10,0,"")&amp;DAY(Variables!$A$2)</f>
        <v>-09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0" s="31" t="e">
        <f>VLOOKUP(B30,'Train Runs'!$A$13:$A$99963,1,FALSE)</f>
        <v>#N/A</v>
      </c>
    </row>
    <row r="31" spans="1:10" x14ac:dyDescent="0.25">
      <c r="A31" s="167"/>
      <c r="B31" s="44" t="str">
        <f>A31&amp;"-"&amp;IF(DAY(Variables!$A$2)&lt;10,0,"")&amp;DAY(Variables!$A$2)</f>
        <v>-09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1" s="31" t="e">
        <f>VLOOKUP(B31,'Train Runs'!$A$13:$A$99963,1,FALSE)</f>
        <v>#N/A</v>
      </c>
    </row>
    <row r="32" spans="1:10" x14ac:dyDescent="0.25">
      <c r="A32" s="167"/>
      <c r="B32" s="44" t="str">
        <f>A32&amp;"-"&amp;IF(DAY(Variables!$A$2)&lt;10,0,"")&amp;DAY(Variables!$A$2)</f>
        <v>-09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2" s="31" t="e">
        <f>VLOOKUP(B32,'Train Runs'!$A$13:$A$99963,1,FALSE)</f>
        <v>#N/A</v>
      </c>
    </row>
    <row r="33" spans="1:10" x14ac:dyDescent="0.25">
      <c r="A33" s="167"/>
      <c r="B33" s="44" t="str">
        <f>A33&amp;"-"&amp;IF(DAY(Variables!$A$2)&lt;10,0,"")&amp;DAY(Variables!$A$2)</f>
        <v>-09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3" s="31" t="e">
        <f>VLOOKUP(B33,'Train Runs'!$A$13:$A$99963,1,FALSE)</f>
        <v>#N/A</v>
      </c>
    </row>
    <row r="34" spans="1:10" x14ac:dyDescent="0.25">
      <c r="A34" s="167"/>
      <c r="B34" s="44" t="str">
        <f>A34&amp;"-"&amp;IF(DAY(Variables!$A$2)&lt;10,0,"")&amp;DAY(Variables!$A$2)</f>
        <v>-09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4" s="31" t="e">
        <f>VLOOKUP(B34,'Train Runs'!$A$13:$A$99963,1,FALSE)</f>
        <v>#N/A</v>
      </c>
    </row>
    <row r="35" spans="1:10" x14ac:dyDescent="0.25">
      <c r="A35" s="167"/>
      <c r="B35" s="44" t="str">
        <f>A35&amp;"-"&amp;IF(DAY(Variables!$A$2)&lt;10,0,"")&amp;DAY(Variables!$A$2)</f>
        <v>-09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5" s="31" t="e">
        <f>VLOOKUP(B35,'Train Runs'!$A$13:$A$99963,1,FALSE)</f>
        <v>#N/A</v>
      </c>
    </row>
    <row r="36" spans="1:10" x14ac:dyDescent="0.25">
      <c r="A36" s="167"/>
      <c r="B36" s="44" t="str">
        <f>A36&amp;"-"&amp;IF(DAY(Variables!$A$2)&lt;10,0,"")&amp;DAY(Variables!$A$2)</f>
        <v>-09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6" s="31" t="e">
        <f>VLOOKUP(B36,'Train Runs'!$A$13:$A$99963,1,FALSE)</f>
        <v>#N/A</v>
      </c>
    </row>
    <row r="37" spans="1:10" x14ac:dyDescent="0.25">
      <c r="A37" s="167"/>
      <c r="B37" s="44" t="str">
        <f>A37&amp;"-"&amp;IF(DAY(Variables!$A$2)&lt;10,0,"")&amp;DAY(Variables!$A$2)</f>
        <v>-09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7" s="31" t="e">
        <f>VLOOKUP(B37,'Train Runs'!$A$13:$A$99963,1,FALSE)</f>
        <v>#N/A</v>
      </c>
    </row>
    <row r="38" spans="1:10" x14ac:dyDescent="0.25">
      <c r="A38" s="167"/>
      <c r="B38" s="44" t="str">
        <f>A38&amp;"-"&amp;IF(DAY(Variables!$A$2)&lt;10,0,"")&amp;DAY(Variables!$A$2)</f>
        <v>-09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8" s="31" t="e">
        <f>VLOOKUP(B38,'Train Runs'!$A$13:$A$99963,1,FALSE)</f>
        <v>#N/A</v>
      </c>
    </row>
    <row r="39" spans="1:10" x14ac:dyDescent="0.25">
      <c r="A39" s="167"/>
      <c r="B39" s="44" t="str">
        <f>A39&amp;"-"&amp;IF(DAY(Variables!$A$2)&lt;10,0,"")&amp;DAY(Variables!$A$2)</f>
        <v>-09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9" s="31" t="e">
        <f>VLOOKUP(B39,'Train Runs'!$A$13:$A$99963,1,FALSE)</f>
        <v>#N/A</v>
      </c>
    </row>
    <row r="40" spans="1:10" x14ac:dyDescent="0.25">
      <c r="A40" s="167"/>
      <c r="B40" s="44" t="str">
        <f>A40&amp;"-"&amp;IF(DAY(Variables!$A$2)&lt;10,0,"")&amp;DAY(Variables!$A$2)</f>
        <v>-09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0" s="31" t="e">
        <f>VLOOKUP(B40,'Train Runs'!$A$13:$A$99963,1,FALSE)</f>
        <v>#N/A</v>
      </c>
    </row>
    <row r="41" spans="1:10" x14ac:dyDescent="0.25">
      <c r="A41" s="167"/>
      <c r="B41" s="44" t="str">
        <f>A41&amp;"-"&amp;IF(DAY(Variables!$A$2)&lt;10,0,"")&amp;DAY(Variables!$A$2)</f>
        <v>-09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1" s="31" t="e">
        <f>VLOOKUP(B41,'Train Runs'!$A$13:$A$99963,1,FALSE)</f>
        <v>#N/A</v>
      </c>
    </row>
    <row r="42" spans="1:10" x14ac:dyDescent="0.25">
      <c r="A42" s="167"/>
      <c r="B42" s="44" t="str">
        <f>A42&amp;"-"&amp;IF(DAY(Variables!$A$2)&lt;10,0,"")&amp;DAY(Variables!$A$2)</f>
        <v>-09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2" s="31" t="e">
        <f>VLOOKUP(B42,'Train Runs'!$A$13:$A$99963,1,FALSE)</f>
        <v>#N/A</v>
      </c>
    </row>
    <row r="43" spans="1:10" x14ac:dyDescent="0.25">
      <c r="A43" s="167"/>
      <c r="B43" s="44" t="str">
        <f>A43&amp;"-"&amp;IF(DAY(Variables!$A$2)&lt;10,0,"")&amp;DAY(Variables!$A$2)</f>
        <v>-09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3" s="31" t="e">
        <f>VLOOKUP(B43,'Train Runs'!$A$13:$A$99963,1,FALSE)</f>
        <v>#N/A</v>
      </c>
    </row>
    <row r="44" spans="1:10" x14ac:dyDescent="0.25">
      <c r="A44" s="167"/>
      <c r="B44" s="44" t="str">
        <f>A44&amp;"-"&amp;IF(DAY(Variables!$A$2)&lt;10,0,"")&amp;DAY(Variables!$A$2)</f>
        <v>-09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4" s="31" t="e">
        <f>VLOOKUP(B44,'Train Runs'!$A$13:$A$99963,1,FALSE)</f>
        <v>#N/A</v>
      </c>
    </row>
    <row r="45" spans="1:10" x14ac:dyDescent="0.25">
      <c r="A45" s="167"/>
      <c r="B45" s="44" t="str">
        <f>A45&amp;"-"&amp;IF(DAY(Variables!$A$2)&lt;10,0,"")&amp;DAY(Variables!$A$2)</f>
        <v>-09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5" s="31" t="e">
        <f>VLOOKUP(B45,'Train Runs'!$A$13:$A$99963,1,FALSE)</f>
        <v>#N/A</v>
      </c>
    </row>
    <row r="46" spans="1:10" x14ac:dyDescent="0.25">
      <c r="A46" s="167"/>
      <c r="B46" s="44" t="str">
        <f>A46&amp;"-"&amp;IF(DAY(Variables!$A$2)&lt;10,0,"")&amp;DAY(Variables!$A$2)</f>
        <v>-09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6" s="31" t="e">
        <f>VLOOKUP(B46,'Train Runs'!$A$13:$A$99963,1,FALSE)</f>
        <v>#N/A</v>
      </c>
    </row>
    <row r="47" spans="1:10" x14ac:dyDescent="0.25">
      <c r="A47" s="167"/>
      <c r="B47" s="44" t="str">
        <f>A47&amp;"-"&amp;IF(DAY(Variables!$A$2)&lt;10,0,"")&amp;DAY(Variables!$A$2)</f>
        <v>-09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7" s="31" t="e">
        <f>VLOOKUP(B47,'Train Runs'!$A$13:$A$99963,1,FALSE)</f>
        <v>#N/A</v>
      </c>
    </row>
    <row r="48" spans="1:10" x14ac:dyDescent="0.25">
      <c r="A48" s="167"/>
      <c r="B48" s="44" t="str">
        <f>A48&amp;"-"&amp;IF(DAY(Variables!$A$2)&lt;10,0,"")&amp;DAY(Variables!$A$2)</f>
        <v>-09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8" s="31" t="e">
        <f>VLOOKUP(B48,'Train Runs'!$A$13:$A$99963,1,FALSE)</f>
        <v>#N/A</v>
      </c>
    </row>
    <row r="49" spans="1:10" x14ac:dyDescent="0.25">
      <c r="A49" s="167"/>
      <c r="B49" s="44" t="str">
        <f>A49&amp;"-"&amp;IF(DAY(Variables!$A$2)&lt;10,0,"")&amp;DAY(Variables!$A$2)</f>
        <v>-09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9" s="31" t="e">
        <f>VLOOKUP(B49,'Train Runs'!$A$13:$A$99963,1,FALSE)</f>
        <v>#N/A</v>
      </c>
    </row>
    <row r="50" spans="1:10" x14ac:dyDescent="0.25">
      <c r="A50" s="167"/>
      <c r="B50" s="44" t="str">
        <f>A50&amp;"-"&amp;IF(DAY(Variables!$A$2)&lt;10,0,"")&amp;DAY(Variables!$A$2)</f>
        <v>-09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0" s="31" t="e">
        <f>VLOOKUP(B50,'Train Runs'!$A$13:$A$99963,1,FALSE)</f>
        <v>#N/A</v>
      </c>
    </row>
    <row r="51" spans="1:10" x14ac:dyDescent="0.25">
      <c r="A51" s="167"/>
      <c r="B51" s="44" t="str">
        <f>A51&amp;"-"&amp;IF(DAY(Variables!$A$2)&lt;10,0,"")&amp;DAY(Variables!$A$2)</f>
        <v>-09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1" s="31" t="e">
        <f>VLOOKUP(B51,'Train Runs'!$A$13:$A$99963,1,FALSE)</f>
        <v>#N/A</v>
      </c>
    </row>
    <row r="52" spans="1:10" x14ac:dyDescent="0.25">
      <c r="A52" s="167"/>
      <c r="B52" s="44" t="str">
        <f>A52&amp;"-"&amp;IF(DAY(Variables!$A$2)&lt;10,0,"")&amp;DAY(Variables!$A$2)</f>
        <v>-09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2" s="31" t="e">
        <f>VLOOKUP(B52,'Train Runs'!$A$13:$A$99963,1,FALSE)</f>
        <v>#N/A</v>
      </c>
    </row>
    <row r="53" spans="1:10" x14ac:dyDescent="0.25">
      <c r="A53" s="167"/>
      <c r="B53" s="44" t="str">
        <f>A53&amp;"-"&amp;IF(DAY(Variables!$A$2)&lt;10,0,"")&amp;DAY(Variables!$A$2)</f>
        <v>-09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3" s="31" t="e">
        <f>VLOOKUP(B53,'Train Runs'!$A$13:$A$99963,1,FALSE)</f>
        <v>#N/A</v>
      </c>
    </row>
    <row r="54" spans="1:10" x14ac:dyDescent="0.25">
      <c r="A54" s="167"/>
      <c r="B54" s="44" t="str">
        <f>A54&amp;"-"&amp;IF(DAY(Variables!$A$2)&lt;10,0,"")&amp;DAY(Variables!$A$2)</f>
        <v>-09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4" s="31" t="e">
        <f>VLOOKUP(B54,'Train Runs'!$A$13:$A$99963,1,FALSE)</f>
        <v>#N/A</v>
      </c>
    </row>
    <row r="55" spans="1:10" x14ac:dyDescent="0.25">
      <c r="A55" s="167"/>
      <c r="B55" s="44" t="str">
        <f>A55&amp;"-"&amp;IF(DAY(Variables!$A$2)&lt;10,0,"")&amp;DAY(Variables!$A$2)</f>
        <v>-09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5" s="31" t="e">
        <f>VLOOKUP(B55,'Train Runs'!$A$13:$A$99963,1,FALSE)</f>
        <v>#N/A</v>
      </c>
    </row>
    <row r="56" spans="1:10" x14ac:dyDescent="0.25">
      <c r="A56" s="167"/>
      <c r="B56" s="44" t="str">
        <f>A56&amp;"-"&amp;IF(DAY(Variables!$A$2)&lt;10,0,"")&amp;DAY(Variables!$A$2)</f>
        <v>-09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6" s="31" t="e">
        <f>VLOOKUP(B56,'Train Runs'!$A$13:$A$99963,1,FALSE)</f>
        <v>#N/A</v>
      </c>
    </row>
    <row r="57" spans="1:10" x14ac:dyDescent="0.25">
      <c r="A57" s="167"/>
      <c r="B57" s="44" t="str">
        <f>A57&amp;"-"&amp;IF(DAY(Variables!$A$2)&lt;10,0,"")&amp;DAY(Variables!$A$2)</f>
        <v>-09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7" s="31" t="e">
        <f>VLOOKUP(B57,'Train Runs'!$A$13:$A$99963,1,FALSE)</f>
        <v>#N/A</v>
      </c>
    </row>
    <row r="58" spans="1:10" x14ac:dyDescent="0.25">
      <c r="A58" s="167"/>
      <c r="B58" s="44" t="str">
        <f>A58&amp;"-"&amp;IF(DAY(Variables!$A$2)&lt;10,0,"")&amp;DAY(Variables!$A$2)</f>
        <v>-09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8" s="31" t="e">
        <f>VLOOKUP(B58,'Train Runs'!$A$13:$A$99963,1,FALSE)</f>
        <v>#N/A</v>
      </c>
    </row>
    <row r="59" spans="1:10" x14ac:dyDescent="0.25">
      <c r="A59" s="167"/>
      <c r="B59" s="44" t="str">
        <f>A59&amp;"-"&amp;IF(DAY(Variables!$A$2)&lt;10,0,"")&amp;DAY(Variables!$A$2)</f>
        <v>-09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9" s="31" t="e">
        <f>VLOOKUP(B59,'Train Runs'!$A$13:$A$99963,1,FALSE)</f>
        <v>#N/A</v>
      </c>
    </row>
    <row r="60" spans="1:10" x14ac:dyDescent="0.25">
      <c r="A60" s="167"/>
      <c r="B60" s="44" t="str">
        <f>A60&amp;"-"&amp;IF(DAY(Variables!$A$2)&lt;10,0,"")&amp;DAY(Variables!$A$2)</f>
        <v>-09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0" s="31" t="e">
        <f>VLOOKUP(B60,'Train Runs'!$A$13:$A$99963,1,FALSE)</f>
        <v>#N/A</v>
      </c>
    </row>
    <row r="61" spans="1:10" x14ac:dyDescent="0.25">
      <c r="A61" s="167"/>
      <c r="B61" s="44" t="str">
        <f>A61&amp;"-"&amp;IF(DAY(Variables!$A$2)&lt;10,0,"")&amp;DAY(Variables!$A$2)</f>
        <v>-09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1" s="31" t="e">
        <f>VLOOKUP(B61,'Train Runs'!$A$13:$A$99963,1,FALSE)</f>
        <v>#N/A</v>
      </c>
    </row>
    <row r="62" spans="1:10" x14ac:dyDescent="0.25">
      <c r="A62" s="167"/>
      <c r="B62" s="44" t="str">
        <f>A62&amp;"-"&amp;IF(DAY(Variables!$A$2)&lt;10,0,"")&amp;DAY(Variables!$A$2)</f>
        <v>-09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2" s="31" t="e">
        <f>VLOOKUP(B62,'Train Runs'!$A$13:$A$99963,1,FALSE)</f>
        <v>#N/A</v>
      </c>
    </row>
    <row r="63" spans="1:10" x14ac:dyDescent="0.25">
      <c r="A63" s="167"/>
      <c r="B63" s="44" t="str">
        <f>A63&amp;"-"&amp;IF(DAY(Variables!$A$2)&lt;10,0,"")&amp;DAY(Variables!$A$2)</f>
        <v>-09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3" s="31" t="e">
        <f>VLOOKUP(B63,'Train Runs'!$A$13:$A$99963,1,FALSE)</f>
        <v>#N/A</v>
      </c>
    </row>
    <row r="64" spans="1:10" x14ac:dyDescent="0.25">
      <c r="A64" s="167"/>
      <c r="B64" s="44" t="str">
        <f>A64&amp;"-"&amp;IF(DAY(Variables!$A$2)&lt;10,0,"")&amp;DAY(Variables!$A$2)</f>
        <v>-09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4" s="31" t="e">
        <f>VLOOKUP(B64,'Train Runs'!$A$13:$A$99963,1,FALSE)</f>
        <v>#N/A</v>
      </c>
    </row>
    <row r="65" spans="1:10" x14ac:dyDescent="0.25">
      <c r="A65" s="167"/>
      <c r="B65" s="44" t="str">
        <f>A65&amp;"-"&amp;IF(DAY(Variables!$A$2)&lt;10,0,"")&amp;DAY(Variables!$A$2)</f>
        <v>-09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5" s="31" t="e">
        <f>VLOOKUP(B65,'Train Runs'!$A$13:$A$99963,1,FALSE)</f>
        <v>#N/A</v>
      </c>
    </row>
    <row r="66" spans="1:10" x14ac:dyDescent="0.25">
      <c r="A66" s="167"/>
      <c r="B66" s="44" t="str">
        <f>A66&amp;"-"&amp;IF(DAY(Variables!$A$2)&lt;10,0,"")&amp;DAY(Variables!$A$2)</f>
        <v>-09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6" s="31" t="e">
        <f>VLOOKUP(B66,'Train Runs'!$A$13:$A$99963,1,FALSE)</f>
        <v>#N/A</v>
      </c>
    </row>
    <row r="67" spans="1:10" x14ac:dyDescent="0.25">
      <c r="A67" s="167"/>
      <c r="B67" s="44" t="str">
        <f>A67&amp;"-"&amp;IF(DAY(Variables!$A$2)&lt;10,0,"")&amp;DAY(Variables!$A$2)</f>
        <v>-09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7" s="31" t="e">
        <f>VLOOKUP(B67,'Train Runs'!$A$13:$A$99963,1,FALSE)</f>
        <v>#N/A</v>
      </c>
    </row>
    <row r="68" spans="1:10" x14ac:dyDescent="0.25">
      <c r="A68" s="167"/>
      <c r="B68" s="44" t="str">
        <f>A68&amp;"-"&amp;IF(DAY(Variables!$A$2)&lt;10,0,"")&amp;DAY(Variables!$A$2)</f>
        <v>-09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8" s="31" t="e">
        <f>VLOOKUP(B68,'Train Runs'!$A$13:$A$99963,1,FALSE)</f>
        <v>#N/A</v>
      </c>
    </row>
    <row r="69" spans="1:10" x14ac:dyDescent="0.25">
      <c r="A69" s="167"/>
      <c r="B69" s="44" t="str">
        <f>A69&amp;"-"&amp;IF(DAY(Variables!$A$2)&lt;10,0,"")&amp;DAY(Variables!$A$2)</f>
        <v>-09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9" s="31" t="e">
        <f>VLOOKUP(B69,'Train Runs'!$A$13:$A$99963,1,FALSE)</f>
        <v>#N/A</v>
      </c>
    </row>
    <row r="70" spans="1:10" x14ac:dyDescent="0.25">
      <c r="A70" s="167"/>
      <c r="B70" s="44" t="str">
        <f>A70&amp;"-"&amp;IF(DAY(Variables!$A$2)&lt;10,0,"")&amp;DAY(Variables!$A$2)</f>
        <v>-09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0" s="31" t="e">
        <f>VLOOKUP(B70,'Train Runs'!$A$13:$A$99963,1,FALSE)</f>
        <v>#N/A</v>
      </c>
    </row>
    <row r="71" spans="1:10" x14ac:dyDescent="0.25">
      <c r="A71" s="167"/>
      <c r="B71" s="44" t="str">
        <f>A71&amp;"-"&amp;IF(DAY(Variables!$A$2)&lt;10,0,"")&amp;DAY(Variables!$A$2)</f>
        <v>-09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1" s="31" t="e">
        <f>VLOOKUP(B71,'Train Runs'!$A$13:$A$99963,1,FALSE)</f>
        <v>#N/A</v>
      </c>
    </row>
    <row r="72" spans="1:10" x14ac:dyDescent="0.25">
      <c r="A72" s="167"/>
      <c r="B72" s="44" t="str">
        <f>A72&amp;"-"&amp;IF(DAY(Variables!$A$2)&lt;10,0,"")&amp;DAY(Variables!$A$2)</f>
        <v>-09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2" s="31" t="e">
        <f>VLOOKUP(B72,'Train Runs'!$A$13:$A$99963,1,FALSE)</f>
        <v>#N/A</v>
      </c>
    </row>
    <row r="73" spans="1:10" x14ac:dyDescent="0.25">
      <c r="A73" s="167"/>
      <c r="B73" s="44" t="str">
        <f>A73&amp;"-"&amp;IF(DAY(Variables!$A$2)&lt;10,0,"")&amp;DAY(Variables!$A$2)</f>
        <v>-09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3" s="31" t="e">
        <f>VLOOKUP(B73,'Train Runs'!$A$13:$A$99963,1,FALSE)</f>
        <v>#N/A</v>
      </c>
    </row>
    <row r="74" spans="1:10" x14ac:dyDescent="0.25">
      <c r="A74" s="167"/>
      <c r="B74" s="44" t="str">
        <f>A74&amp;"-"&amp;IF(DAY(Variables!$A$2)&lt;10,0,"")&amp;DAY(Variables!$A$2)</f>
        <v>-09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4" s="31" t="e">
        <f>VLOOKUP(B74,'Train Runs'!$A$13:$A$99963,1,FALSE)</f>
        <v>#N/A</v>
      </c>
    </row>
    <row r="75" spans="1:10" x14ac:dyDescent="0.25">
      <c r="A75" s="167"/>
      <c r="B75" s="44" t="str">
        <f>A75&amp;"-"&amp;IF(DAY(Variables!$A$2)&lt;10,0,"")&amp;DAY(Variables!$A$2)</f>
        <v>-09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5" s="31" t="e">
        <f>VLOOKUP(B75,'Train Runs'!$A$13:$A$99963,1,FALSE)</f>
        <v>#N/A</v>
      </c>
    </row>
    <row r="76" spans="1:10" x14ac:dyDescent="0.25">
      <c r="A76" s="167"/>
      <c r="B76" s="44" t="str">
        <f>A76&amp;"-"&amp;IF(DAY(Variables!$A$2)&lt;10,0,"")&amp;DAY(Variables!$A$2)</f>
        <v>-09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6" s="31" t="e">
        <f>VLOOKUP(B76,'Train Runs'!$A$13:$A$99963,1,FALSE)</f>
        <v>#N/A</v>
      </c>
    </row>
    <row r="77" spans="1:10" x14ac:dyDescent="0.25">
      <c r="A77" s="167"/>
      <c r="B77" s="44" t="str">
        <f>A77&amp;"-"&amp;IF(DAY(Variables!$A$2)&lt;10,0,"")&amp;DAY(Variables!$A$2)</f>
        <v>-09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7" s="31" t="e">
        <f>VLOOKUP(B77,'Train Runs'!$A$13:$A$99963,1,FALSE)</f>
        <v>#N/A</v>
      </c>
    </row>
    <row r="78" spans="1:10" x14ac:dyDescent="0.25">
      <c r="A78" s="167"/>
      <c r="B78" s="44" t="str">
        <f>A78&amp;"-"&amp;IF(DAY(Variables!$A$2)&lt;10,0,"")&amp;DAY(Variables!$A$2)</f>
        <v>-09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8" s="31" t="e">
        <f>VLOOKUP(B78,'Train Runs'!$A$13:$A$99963,1,FALSE)</f>
        <v>#N/A</v>
      </c>
    </row>
    <row r="79" spans="1:10" x14ac:dyDescent="0.25">
      <c r="A79" s="167"/>
      <c r="B79" s="44" t="str">
        <f>A79&amp;"-"&amp;IF(DAY(Variables!$A$2)&lt;10,0,"")&amp;DAY(Variables!$A$2)</f>
        <v>-09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9" s="31" t="e">
        <f>VLOOKUP(B79,'Train Runs'!$A$13:$A$99963,1,FALSE)</f>
        <v>#N/A</v>
      </c>
    </row>
    <row r="80" spans="1:10" x14ac:dyDescent="0.25">
      <c r="A80" s="167"/>
      <c r="B80" s="44" t="str">
        <f>A80&amp;"-"&amp;IF(DAY(Variables!$A$2)&lt;10,0,"")&amp;DAY(Variables!$A$2)</f>
        <v>-09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0" s="31" t="e">
        <f>VLOOKUP(B80,'Train Runs'!$A$13:$A$99963,1,FALSE)</f>
        <v>#N/A</v>
      </c>
    </row>
    <row r="81" spans="1:10" x14ac:dyDescent="0.25">
      <c r="A81" s="167"/>
      <c r="B81" s="44" t="str">
        <f>A81&amp;"-"&amp;IF(DAY(Variables!$A$2)&lt;10,0,"")&amp;DAY(Variables!$A$2)</f>
        <v>-09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1" s="31" t="e">
        <f>VLOOKUP(B81,'Train Runs'!$A$13:$A$99963,1,FALSE)</f>
        <v>#N/A</v>
      </c>
    </row>
    <row r="82" spans="1:10" x14ac:dyDescent="0.25">
      <c r="A82" s="167"/>
      <c r="B82" s="44" t="str">
        <f>A82&amp;"-"&amp;IF(DAY(Variables!$A$2)&lt;10,0,"")&amp;DAY(Variables!$A$2)</f>
        <v>-09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2" s="31" t="e">
        <f>VLOOKUP(B82,'Train Runs'!$A$13:$A$99963,1,FALSE)</f>
        <v>#N/A</v>
      </c>
    </row>
    <row r="83" spans="1:10" x14ac:dyDescent="0.25">
      <c r="A83" s="167"/>
      <c r="B83" s="44" t="str">
        <f>A83&amp;"-"&amp;IF(DAY(Variables!$A$2)&lt;10,0,"")&amp;DAY(Variables!$A$2)</f>
        <v>-09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3" s="31" t="e">
        <f>VLOOKUP(B83,'Train Runs'!$A$13:$A$99963,1,FALSE)</f>
        <v>#N/A</v>
      </c>
    </row>
    <row r="84" spans="1:10" x14ac:dyDescent="0.25">
      <c r="A84" s="167"/>
      <c r="B84" s="44" t="str">
        <f>A84&amp;"-"&amp;IF(DAY(Variables!$A$2)&lt;10,0,"")&amp;DAY(Variables!$A$2)</f>
        <v>-09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4" s="31" t="e">
        <f>VLOOKUP(B84,'Train Runs'!$A$13:$A$99963,1,FALSE)</f>
        <v>#N/A</v>
      </c>
    </row>
    <row r="85" spans="1:10" x14ac:dyDescent="0.25">
      <c r="A85" s="167"/>
      <c r="B85" s="44" t="str">
        <f>A85&amp;"-"&amp;IF(DAY(Variables!$A$2)&lt;10,0,"")&amp;DAY(Variables!$A$2)</f>
        <v>-09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5" s="31" t="e">
        <f>VLOOKUP(B85,'Train Runs'!$A$13:$A$99963,1,FALSE)</f>
        <v>#N/A</v>
      </c>
    </row>
    <row r="86" spans="1:10" x14ac:dyDescent="0.25">
      <c r="A86" s="167"/>
      <c r="B86" s="44" t="str">
        <f>A86&amp;"-"&amp;IF(DAY(Variables!$A$2)&lt;10,0,"")&amp;DAY(Variables!$A$2)</f>
        <v>-09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6" s="31" t="e">
        <f>VLOOKUP(B86,'Train Runs'!$A$13:$A$99963,1,FALSE)</f>
        <v>#N/A</v>
      </c>
    </row>
    <row r="87" spans="1:10" x14ac:dyDescent="0.25">
      <c r="A87" s="167"/>
      <c r="B87" s="44" t="str">
        <f>A87&amp;"-"&amp;IF(DAY(Variables!$A$2)&lt;10,0,"")&amp;DAY(Variables!$A$2)</f>
        <v>-09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7" s="31" t="e">
        <f>VLOOKUP(B87,'Train Runs'!$A$13:$A$99963,1,FALSE)</f>
        <v>#N/A</v>
      </c>
    </row>
    <row r="88" spans="1:10" x14ac:dyDescent="0.25">
      <c r="A88" s="167"/>
      <c r="B88" s="44" t="str">
        <f>A88&amp;"-"&amp;IF(DAY(Variables!$A$2)&lt;10,0,"")&amp;DAY(Variables!$A$2)</f>
        <v>-09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8" s="31" t="e">
        <f>VLOOKUP(B88,'Train Runs'!$A$13:$A$99963,1,FALSE)</f>
        <v>#N/A</v>
      </c>
    </row>
    <row r="89" spans="1:10" x14ac:dyDescent="0.25">
      <c r="A89" s="167"/>
      <c r="B89" s="44" t="str">
        <f>A89&amp;"-"&amp;IF(DAY(Variables!$A$2)&lt;10,0,"")&amp;DAY(Variables!$A$2)</f>
        <v>-09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9" s="31" t="e">
        <f>VLOOKUP(B89,'Train Runs'!$A$13:$A$99963,1,FALSE)</f>
        <v>#N/A</v>
      </c>
    </row>
    <row r="90" spans="1:10" x14ac:dyDescent="0.25">
      <c r="A90" s="167"/>
      <c r="B90" s="44" t="str">
        <f>A90&amp;"-"&amp;IF(DAY(Variables!$A$2)&lt;10,0,"")&amp;DAY(Variables!$A$2)</f>
        <v>-09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0" s="31" t="e">
        <f>VLOOKUP(B90,'Train Runs'!$A$13:$A$99963,1,FALSE)</f>
        <v>#N/A</v>
      </c>
    </row>
    <row r="91" spans="1:10" x14ac:dyDescent="0.25">
      <c r="A91" s="167"/>
      <c r="B91" s="44" t="str">
        <f>A91&amp;"-"&amp;IF(DAY(Variables!$A$2)&lt;10,0,"")&amp;DAY(Variables!$A$2)</f>
        <v>-09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1" s="31" t="e">
        <f>VLOOKUP(B91,'Train Runs'!$A$13:$A$99963,1,FALSE)</f>
        <v>#N/A</v>
      </c>
    </row>
    <row r="92" spans="1:10" x14ac:dyDescent="0.25">
      <c r="A92" s="167"/>
      <c r="B92" s="44" t="str">
        <f>A92&amp;"-"&amp;IF(DAY(Variables!$A$2)&lt;10,0,"")&amp;DAY(Variables!$A$2)</f>
        <v>-09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2" s="31" t="e">
        <f>VLOOKUP(B92,'Train Runs'!$A$13:$A$99963,1,FALSE)</f>
        <v>#N/A</v>
      </c>
    </row>
    <row r="93" spans="1:10" x14ac:dyDescent="0.25">
      <c r="A93" s="167"/>
      <c r="B93" s="44" t="str">
        <f>A93&amp;"-"&amp;IF(DAY(Variables!$A$2)&lt;10,0,"")&amp;DAY(Variables!$A$2)</f>
        <v>-09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ref="I93:I143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3" s="31" t="e">
        <f>VLOOKUP(B93,'Train Runs'!$A$13:$A$99963,1,FALSE)</f>
        <v>#N/A</v>
      </c>
    </row>
    <row r="94" spans="1:10" x14ac:dyDescent="0.25">
      <c r="A94" s="167"/>
      <c r="B94" s="44" t="str">
        <f>A94&amp;"-"&amp;IF(DAY(Variables!$A$2)&lt;10,0,"")&amp;DAY(Variables!$A$2)</f>
        <v>-09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4" s="31" t="e">
        <f>VLOOKUP(B94,'Train Runs'!$A$13:$A$99963,1,FALSE)</f>
        <v>#N/A</v>
      </c>
    </row>
    <row r="95" spans="1:10" x14ac:dyDescent="0.25">
      <c r="A95" s="167"/>
      <c r="B95" s="44" t="str">
        <f>A95&amp;"-"&amp;IF(DAY(Variables!$A$2)&lt;10,0,"")&amp;DAY(Variables!$A$2)</f>
        <v>-09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5" s="31" t="e">
        <f>VLOOKUP(B95,'Train Runs'!$A$13:$A$99963,1,FALSE)</f>
        <v>#N/A</v>
      </c>
    </row>
    <row r="96" spans="1:10" x14ac:dyDescent="0.25">
      <c r="A96" s="167"/>
      <c r="B96" s="44" t="str">
        <f>A96&amp;"-"&amp;IF(DAY(Variables!$A$2)&lt;10,0,"")&amp;DAY(Variables!$A$2)</f>
        <v>-09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6" s="31" t="e">
        <f>VLOOKUP(B96,'Train Runs'!$A$13:$A$99963,1,FALSE)</f>
        <v>#N/A</v>
      </c>
    </row>
    <row r="97" spans="1:10" x14ac:dyDescent="0.25">
      <c r="A97" s="167"/>
      <c r="B97" s="44" t="str">
        <f>A97&amp;"-"&amp;IF(DAY(Variables!$A$2)&lt;10,0,"")&amp;DAY(Variables!$A$2)</f>
        <v>-09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7" s="31" t="e">
        <f>VLOOKUP(B97,'Train Runs'!$A$13:$A$99963,1,FALSE)</f>
        <v>#N/A</v>
      </c>
    </row>
    <row r="98" spans="1:10" x14ac:dyDescent="0.25">
      <c r="A98" s="167"/>
      <c r="B98" s="44" t="str">
        <f>A98&amp;"-"&amp;IF(DAY(Variables!$A$2)&lt;10,0,"")&amp;DAY(Variables!$A$2)</f>
        <v>-09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8" s="31" t="e">
        <f>VLOOKUP(B98,'Train Runs'!$A$13:$A$99963,1,FALSE)</f>
        <v>#N/A</v>
      </c>
    </row>
    <row r="99" spans="1:10" x14ac:dyDescent="0.25">
      <c r="A99" s="167"/>
      <c r="B99" s="44" t="str">
        <f>A99&amp;"-"&amp;IF(DAY(Variables!$A$2)&lt;10,0,"")&amp;DAY(Variables!$A$2)</f>
        <v>-09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9" s="31" t="e">
        <f>VLOOKUP(B99,'Train Runs'!$A$13:$A$99963,1,FALSE)</f>
        <v>#N/A</v>
      </c>
    </row>
    <row r="100" spans="1:10" x14ac:dyDescent="0.25">
      <c r="A100" s="167"/>
      <c r="B100" s="44" t="str">
        <f>A100&amp;"-"&amp;IF(DAY(Variables!$A$2)&lt;10,0,"")&amp;DAY(Variables!$A$2)</f>
        <v>-09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0" s="31" t="e">
        <f>VLOOKUP(B100,'Train Runs'!$A$13:$A$99963,1,FALSE)</f>
        <v>#N/A</v>
      </c>
    </row>
    <row r="101" spans="1:10" x14ac:dyDescent="0.25">
      <c r="A101" s="167"/>
      <c r="B101" s="44" t="str">
        <f>A101&amp;"-"&amp;IF(DAY(Variables!$A$2)&lt;10,0,"")&amp;DAY(Variables!$A$2)</f>
        <v>-09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1" s="31" t="e">
        <f>VLOOKUP(B101,'Train Runs'!$A$13:$A$99963,1,FALSE)</f>
        <v>#N/A</v>
      </c>
    </row>
    <row r="102" spans="1:10" x14ac:dyDescent="0.25">
      <c r="A102" s="167"/>
      <c r="B102" s="44" t="str">
        <f>A102&amp;"-"&amp;IF(DAY(Variables!$A$2)&lt;10,0,"")&amp;DAY(Variables!$A$2)</f>
        <v>-09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2" s="31" t="e">
        <f>VLOOKUP(B102,'Train Runs'!$A$13:$A$99963,1,FALSE)</f>
        <v>#N/A</v>
      </c>
    </row>
    <row r="103" spans="1:10" x14ac:dyDescent="0.25">
      <c r="A103" s="167"/>
      <c r="B103" s="44" t="str">
        <f>A103&amp;"-"&amp;IF(DAY(Variables!$A$2)&lt;10,0,"")&amp;DAY(Variables!$A$2)</f>
        <v>-09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3" s="31" t="e">
        <f>VLOOKUP(B103,'Train Runs'!$A$13:$A$99963,1,FALSE)</f>
        <v>#N/A</v>
      </c>
    </row>
    <row r="104" spans="1:10" x14ac:dyDescent="0.25">
      <c r="A104" s="167"/>
      <c r="B104" s="44" t="str">
        <f>A104&amp;"-"&amp;IF(DAY(Variables!$A$2)&lt;10,0,"")&amp;DAY(Variables!$A$2)</f>
        <v>-09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4" s="31" t="e">
        <f>VLOOKUP(B104,'Train Runs'!$A$13:$A$99963,1,FALSE)</f>
        <v>#N/A</v>
      </c>
    </row>
    <row r="105" spans="1:10" x14ac:dyDescent="0.25">
      <c r="A105" s="167"/>
      <c r="B105" s="44" t="str">
        <f>A105&amp;"-"&amp;IF(DAY(Variables!$A$2)&lt;10,0,"")&amp;DAY(Variables!$A$2)</f>
        <v>-09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5" s="31" t="e">
        <f>VLOOKUP(B105,'Train Runs'!$A$13:$A$99963,1,FALSE)</f>
        <v>#N/A</v>
      </c>
    </row>
    <row r="106" spans="1:10" x14ac:dyDescent="0.25">
      <c r="A106" s="167"/>
      <c r="B106" s="44" t="str">
        <f>A106&amp;"-"&amp;IF(DAY(Variables!$A$2)&lt;10,0,"")&amp;DAY(Variables!$A$2)</f>
        <v>-09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6" s="31" t="e">
        <f>VLOOKUP(B106,'Train Runs'!$A$13:$A$99963,1,FALSE)</f>
        <v>#N/A</v>
      </c>
    </row>
    <row r="107" spans="1:10" x14ac:dyDescent="0.25">
      <c r="A107" s="167"/>
      <c r="B107" s="44" t="str">
        <f>A107&amp;"-"&amp;IF(DAY(Variables!$A$2)&lt;10,0,"")&amp;DAY(Variables!$A$2)</f>
        <v>-09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7" s="31" t="e">
        <f>VLOOKUP(B107,'Train Runs'!$A$13:$A$99963,1,FALSE)</f>
        <v>#N/A</v>
      </c>
    </row>
    <row r="108" spans="1:10" x14ac:dyDescent="0.25">
      <c r="A108" s="167"/>
      <c r="B108" s="44" t="str">
        <f>A108&amp;"-"&amp;IF(DAY(Variables!$A$2)&lt;10,0,"")&amp;DAY(Variables!$A$2)</f>
        <v>-09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8" s="31" t="e">
        <f>VLOOKUP(B108,'Train Runs'!$A$13:$A$99963,1,FALSE)</f>
        <v>#N/A</v>
      </c>
    </row>
    <row r="109" spans="1:10" x14ac:dyDescent="0.25">
      <c r="A109" s="167"/>
      <c r="B109" s="44" t="str">
        <f>A109&amp;"-"&amp;IF(DAY(Variables!$A$2)&lt;10,0,"")&amp;DAY(Variables!$A$2)</f>
        <v>-09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9" s="31" t="e">
        <f>VLOOKUP(B109,'Train Runs'!$A$13:$A$99963,1,FALSE)</f>
        <v>#N/A</v>
      </c>
    </row>
    <row r="110" spans="1:10" x14ac:dyDescent="0.25">
      <c r="A110" s="167"/>
      <c r="B110" s="44" t="str">
        <f>A110&amp;"-"&amp;IF(DAY(Variables!$A$2)&lt;10,0,"")&amp;DAY(Variables!$A$2)</f>
        <v>-09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0" s="31" t="e">
        <f>VLOOKUP(B110,'Train Runs'!$A$13:$A$99963,1,FALSE)</f>
        <v>#N/A</v>
      </c>
    </row>
    <row r="111" spans="1:10" x14ac:dyDescent="0.25">
      <c r="A111" s="167"/>
      <c r="B111" s="44" t="str">
        <f>A111&amp;"-"&amp;IF(DAY(Variables!$A$2)&lt;10,0,"")&amp;DAY(Variables!$A$2)</f>
        <v>-09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1" s="31" t="e">
        <f>VLOOKUP(B111,'Train Runs'!$A$13:$A$99963,1,FALSE)</f>
        <v>#N/A</v>
      </c>
    </row>
    <row r="112" spans="1:10" x14ac:dyDescent="0.25">
      <c r="A112" s="167"/>
      <c r="B112" s="44" t="str">
        <f>A112&amp;"-"&amp;IF(DAY(Variables!$A$2)&lt;10,0,"")&amp;DAY(Variables!$A$2)</f>
        <v>-09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2" s="31" t="e">
        <f>VLOOKUP(B112,'Train Runs'!$A$13:$A$99963,1,FALSE)</f>
        <v>#N/A</v>
      </c>
    </row>
    <row r="113" spans="1:10" x14ac:dyDescent="0.25">
      <c r="A113" s="167"/>
      <c r="B113" s="44" t="str">
        <f>A113&amp;"-"&amp;IF(DAY(Variables!$A$2)&lt;10,0,"")&amp;DAY(Variables!$A$2)</f>
        <v>-09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3" s="31" t="e">
        <f>VLOOKUP(B113,'Train Runs'!$A$13:$A$99963,1,FALSE)</f>
        <v>#N/A</v>
      </c>
    </row>
    <row r="114" spans="1:10" x14ac:dyDescent="0.25">
      <c r="A114" s="167"/>
      <c r="B114" s="44" t="str">
        <f>A114&amp;"-"&amp;IF(DAY(Variables!$A$2)&lt;10,0,"")&amp;DAY(Variables!$A$2)</f>
        <v>-09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4" s="31" t="e">
        <f>VLOOKUP(B114,'Train Runs'!$A$13:$A$99963,1,FALSE)</f>
        <v>#N/A</v>
      </c>
    </row>
    <row r="115" spans="1:10" x14ac:dyDescent="0.25">
      <c r="A115" s="167"/>
      <c r="B115" s="44" t="str">
        <f>A115&amp;"-"&amp;IF(DAY(Variables!$A$2)&lt;10,0,"")&amp;DAY(Variables!$A$2)</f>
        <v>-09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5" s="31" t="e">
        <f>VLOOKUP(B115,'Train Runs'!$A$13:$A$99963,1,FALSE)</f>
        <v>#N/A</v>
      </c>
    </row>
    <row r="116" spans="1:10" x14ac:dyDescent="0.25">
      <c r="A116" s="167"/>
      <c r="B116" s="44" t="str">
        <f>A116&amp;"-"&amp;IF(DAY(Variables!$A$2)&lt;10,0,"")&amp;DAY(Variables!$A$2)</f>
        <v>-09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6" s="31" t="e">
        <f>VLOOKUP(B116,'Train Runs'!$A$13:$A$99963,1,FALSE)</f>
        <v>#N/A</v>
      </c>
    </row>
    <row r="117" spans="1:10" x14ac:dyDescent="0.25">
      <c r="A117" s="167"/>
      <c r="B117" s="44" t="str">
        <f>A117&amp;"-"&amp;IF(DAY(Variables!$A$2)&lt;10,0,"")&amp;DAY(Variables!$A$2)</f>
        <v>-09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7" s="31" t="e">
        <f>VLOOKUP(B117,'Train Runs'!$A$13:$A$99963,1,FALSE)</f>
        <v>#N/A</v>
      </c>
    </row>
    <row r="118" spans="1:10" x14ac:dyDescent="0.25">
      <c r="A118" s="167"/>
      <c r="B118" s="44" t="str">
        <f>A118&amp;"-"&amp;IF(DAY(Variables!$A$2)&lt;10,0,"")&amp;DAY(Variables!$A$2)</f>
        <v>-09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8" s="31" t="e">
        <f>VLOOKUP(B118,'Train Runs'!$A$13:$A$99963,1,FALSE)</f>
        <v>#N/A</v>
      </c>
    </row>
    <row r="119" spans="1:10" x14ac:dyDescent="0.25">
      <c r="A119" s="167"/>
      <c r="B119" s="44" t="str">
        <f>A119&amp;"-"&amp;IF(DAY(Variables!$A$2)&lt;10,0,"")&amp;DAY(Variables!$A$2)</f>
        <v>-09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9" s="31" t="e">
        <f>VLOOKUP(B119,'Train Runs'!$A$13:$A$99963,1,FALSE)</f>
        <v>#N/A</v>
      </c>
    </row>
    <row r="120" spans="1:10" x14ac:dyDescent="0.25">
      <c r="A120" s="167"/>
      <c r="B120" s="44" t="str">
        <f>A120&amp;"-"&amp;IF(DAY(Variables!$A$2)&lt;10,0,"")&amp;DAY(Variables!$A$2)</f>
        <v>-09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0" s="31" t="e">
        <f>VLOOKUP(B120,'Train Runs'!$A$13:$A$99963,1,FALSE)</f>
        <v>#N/A</v>
      </c>
    </row>
    <row r="121" spans="1:10" x14ac:dyDescent="0.25">
      <c r="A121" s="167"/>
      <c r="B121" s="44" t="str">
        <f>A121&amp;"-"&amp;IF(DAY(Variables!$A$2)&lt;10,0,"")&amp;DAY(Variables!$A$2)</f>
        <v>-09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1" s="31" t="e">
        <f>VLOOKUP(B121,'Train Runs'!$A$13:$A$99963,1,FALSE)</f>
        <v>#N/A</v>
      </c>
    </row>
    <row r="122" spans="1:10" x14ac:dyDescent="0.25">
      <c r="A122" s="167"/>
      <c r="B122" s="44" t="str">
        <f>A122&amp;"-"&amp;IF(DAY(Variables!$A$2)&lt;10,0,"")&amp;DAY(Variables!$A$2)</f>
        <v>-09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2" s="31" t="e">
        <f>VLOOKUP(B122,'Train Runs'!$A$13:$A$99963,1,FALSE)</f>
        <v>#N/A</v>
      </c>
    </row>
    <row r="123" spans="1:10" x14ac:dyDescent="0.25">
      <c r="A123" s="167"/>
      <c r="B123" s="44" t="str">
        <f>A123&amp;"-"&amp;IF(DAY(Variables!$A$2)&lt;10,0,"")&amp;DAY(Variables!$A$2)</f>
        <v>-09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3" s="31" t="e">
        <f>VLOOKUP(B123,'Train Runs'!$A$13:$A$99963,1,FALSE)</f>
        <v>#N/A</v>
      </c>
    </row>
    <row r="124" spans="1:10" x14ac:dyDescent="0.25">
      <c r="A124" s="167"/>
      <c r="B124" s="44" t="str">
        <f>A124&amp;"-"&amp;IF(DAY(Variables!$A$2)&lt;10,0,"")&amp;DAY(Variables!$A$2)</f>
        <v>-09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4" s="31" t="e">
        <f>VLOOKUP(B124,'Train Runs'!$A$13:$A$99963,1,FALSE)</f>
        <v>#N/A</v>
      </c>
    </row>
    <row r="125" spans="1:10" x14ac:dyDescent="0.25">
      <c r="A125" s="167"/>
      <c r="B125" s="44" t="str">
        <f>A125&amp;"-"&amp;IF(DAY(Variables!$A$2)&lt;10,0,"")&amp;DAY(Variables!$A$2)</f>
        <v>-09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5" s="31" t="e">
        <f>VLOOKUP(B125,'Train Runs'!$A$13:$A$99963,1,FALSE)</f>
        <v>#N/A</v>
      </c>
    </row>
    <row r="126" spans="1:10" x14ac:dyDescent="0.25">
      <c r="A126" s="167"/>
      <c r="B126" s="44" t="str">
        <f>A126&amp;"-"&amp;IF(DAY(Variables!$A$2)&lt;10,0,"")&amp;DAY(Variables!$A$2)</f>
        <v>-09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6" s="31" t="e">
        <f>VLOOKUP(B126,'Train Runs'!$A$13:$A$99963,1,FALSE)</f>
        <v>#N/A</v>
      </c>
    </row>
    <row r="127" spans="1:10" x14ac:dyDescent="0.25">
      <c r="A127" s="167"/>
      <c r="B127" s="44" t="str">
        <f>A127&amp;"-"&amp;IF(DAY(Variables!$A$2)&lt;10,0,"")&amp;DAY(Variables!$A$2)</f>
        <v>-09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7" s="31" t="e">
        <f>VLOOKUP(B127,'Train Runs'!$A$13:$A$99963,1,FALSE)</f>
        <v>#N/A</v>
      </c>
    </row>
    <row r="128" spans="1:10" x14ac:dyDescent="0.25">
      <c r="A128" s="167"/>
      <c r="B128" s="44" t="str">
        <f>A128&amp;"-"&amp;IF(DAY(Variables!$A$2)&lt;10,0,"")&amp;DAY(Variables!$A$2)</f>
        <v>-09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8" s="31" t="e">
        <f>VLOOKUP(B128,'Train Runs'!$A$13:$A$99963,1,FALSE)</f>
        <v>#N/A</v>
      </c>
    </row>
    <row r="129" spans="1:10" x14ac:dyDescent="0.25">
      <c r="A129" s="167"/>
      <c r="B129" s="44" t="str">
        <f>A129&amp;"-"&amp;IF(DAY(Variables!$A$2)&lt;10,0,"")&amp;DAY(Variables!$A$2)</f>
        <v>-09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9" s="31" t="e">
        <f>VLOOKUP(B129,'Train Runs'!$A$13:$A$99963,1,FALSE)</f>
        <v>#N/A</v>
      </c>
    </row>
    <row r="130" spans="1:10" x14ac:dyDescent="0.25">
      <c r="A130" s="167"/>
      <c r="B130" s="44" t="str">
        <f>A130&amp;"-"&amp;IF(DAY(Variables!$A$2)&lt;10,0,"")&amp;DAY(Variables!$A$2)</f>
        <v>-09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0" s="31" t="e">
        <f>VLOOKUP(B130,'Train Runs'!$A$13:$A$99963,1,FALSE)</f>
        <v>#N/A</v>
      </c>
    </row>
    <row r="131" spans="1:10" x14ac:dyDescent="0.25">
      <c r="A131" s="167"/>
      <c r="B131" s="44" t="str">
        <f>A131&amp;"-"&amp;IF(DAY(Variables!$A$2)&lt;10,0,"")&amp;DAY(Variables!$A$2)</f>
        <v>-09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1" s="31" t="e">
        <f>VLOOKUP(B131,'Train Runs'!$A$13:$A$99963,1,FALSE)</f>
        <v>#N/A</v>
      </c>
    </row>
    <row r="132" spans="1:10" x14ac:dyDescent="0.25">
      <c r="A132" s="167"/>
      <c r="B132" s="44" t="str">
        <f>A132&amp;"-"&amp;IF(DAY(Variables!$A$2)&lt;10,0,"")&amp;DAY(Variables!$A$2)</f>
        <v>-09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2" s="31" t="e">
        <f>VLOOKUP(B132,'Train Runs'!$A$13:$A$99963,1,FALSE)</f>
        <v>#N/A</v>
      </c>
    </row>
    <row r="133" spans="1:10" x14ac:dyDescent="0.25">
      <c r="A133" s="167"/>
      <c r="B133" s="44" t="str">
        <f>A133&amp;"-"&amp;IF(DAY(Variables!$A$2)&lt;10,0,"")&amp;DAY(Variables!$A$2)</f>
        <v>-09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3" s="31" t="e">
        <f>VLOOKUP(B133,'Train Runs'!$A$13:$A$99963,1,FALSE)</f>
        <v>#N/A</v>
      </c>
    </row>
    <row r="134" spans="1:10" x14ac:dyDescent="0.25">
      <c r="A134" s="167"/>
      <c r="B134" s="44" t="str">
        <f>A134&amp;"-"&amp;IF(DAY(Variables!$A$2)&lt;10,0,"")&amp;DAY(Variables!$A$2)</f>
        <v>-09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4" s="31" t="e">
        <f>VLOOKUP(B134,'Train Runs'!$A$13:$A$99963,1,FALSE)</f>
        <v>#N/A</v>
      </c>
    </row>
    <row r="135" spans="1:10" x14ac:dyDescent="0.25">
      <c r="A135" s="167"/>
      <c r="B135" s="44" t="str">
        <f>A135&amp;"-"&amp;IF(DAY(Variables!$A$2)&lt;10,0,"")&amp;DAY(Variables!$A$2)</f>
        <v>-09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5" s="31" t="e">
        <f>VLOOKUP(B135,'Train Runs'!$A$13:$A$99963,1,FALSE)</f>
        <v>#N/A</v>
      </c>
    </row>
    <row r="136" spans="1:10" x14ac:dyDescent="0.25">
      <c r="A136" s="167"/>
      <c r="B136" s="44" t="str">
        <f>A136&amp;"-"&amp;IF(DAY(Variables!$A$2)&lt;10,0,"")&amp;DAY(Variables!$A$2)</f>
        <v>-09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6" s="31" t="e">
        <f>VLOOKUP(B136,'Train Runs'!$A$13:$A$99963,1,FALSE)</f>
        <v>#N/A</v>
      </c>
    </row>
    <row r="137" spans="1:10" x14ac:dyDescent="0.25">
      <c r="A137" s="167"/>
      <c r="B137" s="44" t="str">
        <f>A137&amp;"-"&amp;IF(DAY(Variables!$A$2)&lt;10,0,"")&amp;DAY(Variables!$A$2)</f>
        <v>-09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7" s="31" t="e">
        <f>VLOOKUP(B137,'Train Runs'!$A$13:$A$99963,1,FALSE)</f>
        <v>#N/A</v>
      </c>
    </row>
    <row r="138" spans="1:10" x14ac:dyDescent="0.25">
      <c r="A138" s="167"/>
      <c r="B138" s="44" t="str">
        <f>A138&amp;"-"&amp;IF(DAY(Variables!$A$2)&lt;10,0,"")&amp;DAY(Variables!$A$2)</f>
        <v>-09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8" s="31" t="e">
        <f>VLOOKUP(B138,'Train Runs'!$A$13:$A$99963,1,FALSE)</f>
        <v>#N/A</v>
      </c>
    </row>
    <row r="139" spans="1:10" x14ac:dyDescent="0.25">
      <c r="A139" s="167"/>
      <c r="B139" s="44" t="str">
        <f>A139&amp;"-"&amp;IF(DAY(Variables!$A$2)&lt;10,0,"")&amp;DAY(Variables!$A$2)</f>
        <v>-09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9" s="31" t="e">
        <f>VLOOKUP(B139,'Train Runs'!$A$13:$A$99963,1,FALSE)</f>
        <v>#N/A</v>
      </c>
    </row>
    <row r="140" spans="1:10" x14ac:dyDescent="0.25">
      <c r="A140" s="167"/>
      <c r="B140" s="44" t="str">
        <f>A140&amp;"-"&amp;IF(DAY(Variables!$A$2)&lt;10,0,"")&amp;DAY(Variables!$A$2)</f>
        <v>-09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0" s="31" t="e">
        <f>VLOOKUP(B140,'Train Runs'!$A$13:$A$99963,1,FALSE)</f>
        <v>#N/A</v>
      </c>
    </row>
    <row r="141" spans="1:10" x14ac:dyDescent="0.25">
      <c r="A141" s="167"/>
      <c r="B141" s="44" t="str">
        <f>A141&amp;"-"&amp;IF(DAY(Variables!$A$2)&lt;10,0,"")&amp;DAY(Variables!$A$2)</f>
        <v>-09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1" s="31" t="e">
        <f>VLOOKUP(B141,'Train Runs'!$A$13:$A$99963,1,FALSE)</f>
        <v>#N/A</v>
      </c>
    </row>
    <row r="142" spans="1:10" x14ac:dyDescent="0.25">
      <c r="A142" s="167"/>
      <c r="B142" s="44" t="str">
        <f>A142&amp;"-"&amp;IF(DAY(Variables!$A$2)&lt;10,0,"")&amp;DAY(Variables!$A$2)</f>
        <v>-09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2" s="31" t="e">
        <f>VLOOKUP(B142,'Train Runs'!$A$13:$A$99963,1,FALSE)</f>
        <v>#N/A</v>
      </c>
    </row>
    <row r="143" spans="1:10" x14ac:dyDescent="0.25">
      <c r="A143" s="167"/>
      <c r="B143" s="44" t="str">
        <f>A143&amp;"-"&amp;IF(DAY(Variables!$A$2)&lt;10,0,"")&amp;DAY(Variables!$A$2)</f>
        <v>-09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3" s="31" t="e">
        <f>VLOOKUP(B143,'Train Runs'!$A$13:$A$99963,1,FALSE)</f>
        <v>#N/A</v>
      </c>
    </row>
  </sheetData>
  <autoFilter ref="A2:J14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239</v>
      </c>
      <c r="G1" s="8" t="s">
        <v>238</v>
      </c>
    </row>
    <row r="2" spans="1:7" x14ac:dyDescent="0.25">
      <c r="A2" s="8">
        <v>42744.031712962962</v>
      </c>
      <c r="B2" s="21" t="s">
        <v>294</v>
      </c>
      <c r="C2" s="21" t="s">
        <v>368</v>
      </c>
      <c r="D2" s="160">
        <v>1800000</v>
      </c>
      <c r="E2" s="21" t="s">
        <v>229</v>
      </c>
      <c r="F2" s="21" t="s">
        <v>240</v>
      </c>
      <c r="G2" s="8" t="str">
        <f>E2&amp;" "&amp;F2</f>
        <v>CHANDLER KELVIN</v>
      </c>
    </row>
    <row r="3" spans="1:7" x14ac:dyDescent="0.25">
      <c r="A3" s="8">
        <v>42744.033090277779</v>
      </c>
      <c r="B3" s="21" t="s">
        <v>336</v>
      </c>
      <c r="C3" s="21" t="s">
        <v>369</v>
      </c>
      <c r="D3" s="160">
        <v>2620000</v>
      </c>
      <c r="E3" s="21" t="s">
        <v>364</v>
      </c>
      <c r="F3" s="21" t="s">
        <v>365</v>
      </c>
      <c r="G3" s="8" t="str">
        <f t="shared" ref="G3:G66" si="0">E3&amp;" "&amp;F3</f>
        <v>PERKINS DARREN</v>
      </c>
    </row>
    <row r="4" spans="1:7" x14ac:dyDescent="0.25">
      <c r="A4" s="8">
        <v>42744.034016203703</v>
      </c>
      <c r="B4" s="21" t="s">
        <v>336</v>
      </c>
      <c r="C4" s="21" t="s">
        <v>369</v>
      </c>
      <c r="D4" s="160">
        <v>2620000</v>
      </c>
      <c r="E4" s="21" t="s">
        <v>364</v>
      </c>
      <c r="F4" s="21" t="s">
        <v>365</v>
      </c>
      <c r="G4" s="8" t="str">
        <f t="shared" si="0"/>
        <v>PERKINS DARREN</v>
      </c>
    </row>
    <row r="5" spans="1:7" x14ac:dyDescent="0.25">
      <c r="A5" s="8">
        <v>42744.034803240742</v>
      </c>
      <c r="B5" s="21" t="s">
        <v>336</v>
      </c>
      <c r="C5" s="21" t="s">
        <v>369</v>
      </c>
      <c r="D5" s="160">
        <v>2620000</v>
      </c>
      <c r="E5" s="21" t="s">
        <v>364</v>
      </c>
      <c r="F5" s="21" t="s">
        <v>365</v>
      </c>
      <c r="G5" s="8" t="str">
        <f t="shared" si="0"/>
        <v>PERKINS DARREN</v>
      </c>
    </row>
    <row r="6" spans="1:7" x14ac:dyDescent="0.25">
      <c r="A6" s="8">
        <v>42744.03738425926</v>
      </c>
      <c r="B6" s="21" t="s">
        <v>336</v>
      </c>
      <c r="C6" s="21" t="s">
        <v>369</v>
      </c>
      <c r="D6" s="160">
        <v>2620000</v>
      </c>
      <c r="E6" s="21" t="s">
        <v>364</v>
      </c>
      <c r="F6" s="21" t="s">
        <v>365</v>
      </c>
      <c r="G6" s="8" t="str">
        <f t="shared" si="0"/>
        <v>PERKINS DARREN</v>
      </c>
    </row>
    <row r="7" spans="1:7" x14ac:dyDescent="0.25">
      <c r="A7" s="8">
        <v>42744.047858796293</v>
      </c>
      <c r="B7" s="21" t="s">
        <v>320</v>
      </c>
      <c r="C7" s="21" t="s">
        <v>356</v>
      </c>
      <c r="D7" s="160">
        <v>1810000</v>
      </c>
      <c r="E7" s="21" t="s">
        <v>255</v>
      </c>
      <c r="F7" s="21" t="s">
        <v>237</v>
      </c>
      <c r="G7" s="8" t="str">
        <f t="shared" si="0"/>
        <v>NEWELL JAMES</v>
      </c>
    </row>
    <row r="8" spans="1:7" x14ac:dyDescent="0.25">
      <c r="A8" s="8">
        <v>42744.048796296294</v>
      </c>
      <c r="B8" s="21" t="s">
        <v>293</v>
      </c>
      <c r="C8" s="21" t="s">
        <v>370</v>
      </c>
      <c r="D8" s="160">
        <v>2000000</v>
      </c>
      <c r="E8" s="21" t="s">
        <v>207</v>
      </c>
      <c r="F8" s="21" t="s">
        <v>237</v>
      </c>
      <c r="G8" s="8" t="str">
        <f t="shared" si="0"/>
        <v>STAMBAUGH JAMES</v>
      </c>
    </row>
    <row r="9" spans="1:7" ht="15.75" thickBot="1" x14ac:dyDescent="0.3">
      <c r="A9" s="25">
        <v>42744.057627314818</v>
      </c>
      <c r="B9" s="21" t="s">
        <v>210</v>
      </c>
      <c r="C9" s="21" t="s">
        <v>371</v>
      </c>
      <c r="D9" s="160">
        <v>1810000</v>
      </c>
      <c r="E9" s="21" t="s">
        <v>255</v>
      </c>
      <c r="F9" s="21" t="s">
        <v>237</v>
      </c>
      <c r="G9" s="8" t="str">
        <f t="shared" si="0"/>
        <v>NEWELL JAMES</v>
      </c>
    </row>
    <row r="10" spans="1:7" x14ac:dyDescent="0.25">
      <c r="A10" s="8">
        <v>42744.071157407408</v>
      </c>
      <c r="B10" s="21" t="s">
        <v>337</v>
      </c>
      <c r="C10" s="21" t="s">
        <v>372</v>
      </c>
      <c r="D10" s="160">
        <v>2620000</v>
      </c>
      <c r="E10" s="21" t="s">
        <v>364</v>
      </c>
      <c r="F10" s="21" t="s">
        <v>365</v>
      </c>
      <c r="G10" s="8" t="str">
        <f t="shared" si="0"/>
        <v>PERKINS DARREN</v>
      </c>
    </row>
    <row r="11" spans="1:7" x14ac:dyDescent="0.25">
      <c r="A11" s="8">
        <v>42744.088402777779</v>
      </c>
      <c r="B11" s="21" t="s">
        <v>212</v>
      </c>
      <c r="C11" s="21" t="s">
        <v>373</v>
      </c>
      <c r="D11" s="160">
        <v>2000000</v>
      </c>
      <c r="E11" s="21" t="s">
        <v>207</v>
      </c>
      <c r="F11" s="21" t="s">
        <v>237</v>
      </c>
      <c r="G11" s="8" t="str">
        <f t="shared" si="0"/>
        <v>STAMBAUGH JAMES</v>
      </c>
    </row>
    <row r="12" spans="1:7" x14ac:dyDescent="0.25">
      <c r="A12" s="8">
        <v>42744.1175</v>
      </c>
      <c r="B12" s="21" t="s">
        <v>301</v>
      </c>
      <c r="C12" s="21" t="s">
        <v>454</v>
      </c>
      <c r="D12" s="160">
        <v>2110000</v>
      </c>
      <c r="E12" s="21" t="s">
        <v>260</v>
      </c>
      <c r="F12" s="21" t="s">
        <v>261</v>
      </c>
      <c r="G12" s="8" t="str">
        <f t="shared" si="0"/>
        <v>OUN ZACK</v>
      </c>
    </row>
    <row r="13" spans="1:7" x14ac:dyDescent="0.25">
      <c r="A13" s="8">
        <v>42744.132523148146</v>
      </c>
      <c r="B13" s="21" t="s">
        <v>225</v>
      </c>
      <c r="C13" s="21" t="s">
        <v>455</v>
      </c>
      <c r="D13" s="160">
        <v>2110000</v>
      </c>
      <c r="E13" s="21" t="s">
        <v>260</v>
      </c>
      <c r="F13" s="21" t="s">
        <v>261</v>
      </c>
      <c r="G13" s="8" t="str">
        <f t="shared" si="0"/>
        <v>OUN ZACK</v>
      </c>
    </row>
    <row r="14" spans="1:7" x14ac:dyDescent="0.25">
      <c r="A14" s="8">
        <v>42744.144409722219</v>
      </c>
      <c r="B14" s="21" t="s">
        <v>355</v>
      </c>
      <c r="C14" s="21" t="s">
        <v>456</v>
      </c>
      <c r="D14" s="160">
        <v>2010000</v>
      </c>
      <c r="E14" s="21" t="s">
        <v>357</v>
      </c>
      <c r="F14" s="21" t="s">
        <v>358</v>
      </c>
      <c r="G14" s="8" t="str">
        <f t="shared" si="0"/>
        <v>MAELZER KURT</v>
      </c>
    </row>
    <row r="15" spans="1:7" x14ac:dyDescent="0.25">
      <c r="A15" s="8">
        <v>42744.156192129631</v>
      </c>
      <c r="B15" s="21" t="s">
        <v>226</v>
      </c>
      <c r="C15" s="21" t="s">
        <v>457</v>
      </c>
      <c r="D15" s="160">
        <v>2010000</v>
      </c>
      <c r="E15" s="21" t="s">
        <v>357</v>
      </c>
      <c r="F15" s="21" t="s">
        <v>358</v>
      </c>
      <c r="G15" s="8" t="str">
        <f t="shared" si="0"/>
        <v>MAELZER KURT</v>
      </c>
    </row>
    <row r="16" spans="1:7" x14ac:dyDescent="0.25">
      <c r="A16" s="8">
        <v>42744.159305555557</v>
      </c>
      <c r="B16" s="21" t="s">
        <v>306</v>
      </c>
      <c r="C16" s="21" t="s">
        <v>458</v>
      </c>
      <c r="D16" s="160">
        <v>1110000</v>
      </c>
      <c r="E16" s="21" t="s">
        <v>459</v>
      </c>
      <c r="F16" s="21" t="s">
        <v>460</v>
      </c>
      <c r="G16" s="8" t="str">
        <f t="shared" si="0"/>
        <v>STARKS ANGELINA</v>
      </c>
    </row>
    <row r="17" spans="1:7" x14ac:dyDescent="0.25">
      <c r="A17" s="8">
        <v>42744.160127314812</v>
      </c>
      <c r="B17" s="21" t="s">
        <v>306</v>
      </c>
      <c r="C17" s="21" t="s">
        <v>458</v>
      </c>
      <c r="D17" s="160">
        <v>1110000</v>
      </c>
      <c r="E17" s="21" t="s">
        <v>459</v>
      </c>
      <c r="F17" s="21" t="s">
        <v>460</v>
      </c>
      <c r="G17" s="8" t="str">
        <f t="shared" si="0"/>
        <v>STARKS ANGELINA</v>
      </c>
    </row>
    <row r="18" spans="1:7" x14ac:dyDescent="0.25">
      <c r="A18" s="8">
        <v>42744.165358796294</v>
      </c>
      <c r="B18" s="21" t="s">
        <v>306</v>
      </c>
      <c r="C18" s="21" t="s">
        <v>458</v>
      </c>
      <c r="D18" s="160">
        <v>1110000</v>
      </c>
      <c r="E18" s="21" t="s">
        <v>459</v>
      </c>
      <c r="F18" s="21" t="s">
        <v>460</v>
      </c>
      <c r="G18" s="8" t="str">
        <f t="shared" si="0"/>
        <v>STARKS ANGELINA</v>
      </c>
    </row>
    <row r="19" spans="1:7" x14ac:dyDescent="0.25">
      <c r="A19" s="8">
        <v>42744.167731481481</v>
      </c>
      <c r="B19" s="21" t="s">
        <v>301</v>
      </c>
      <c r="C19" s="21" t="s">
        <v>425</v>
      </c>
      <c r="D19" s="160">
        <v>2110000</v>
      </c>
      <c r="E19" s="21" t="s">
        <v>260</v>
      </c>
      <c r="F19" s="21" t="s">
        <v>261</v>
      </c>
      <c r="G19" s="8" t="str">
        <f t="shared" si="0"/>
        <v>OUN ZACK</v>
      </c>
    </row>
    <row r="20" spans="1:7" x14ac:dyDescent="0.25">
      <c r="A20" s="8">
        <v>42744.172372685185</v>
      </c>
      <c r="B20" s="21" t="s">
        <v>259</v>
      </c>
      <c r="C20" s="21" t="s">
        <v>461</v>
      </c>
      <c r="D20" s="160">
        <v>940000</v>
      </c>
      <c r="E20" s="21" t="s">
        <v>462</v>
      </c>
      <c r="F20" s="21" t="s">
        <v>463</v>
      </c>
      <c r="G20" s="8" t="str">
        <f t="shared" si="0"/>
        <v>BONDS REYNALDO</v>
      </c>
    </row>
    <row r="21" spans="1:7" x14ac:dyDescent="0.25">
      <c r="A21" s="8">
        <v>42744.176990740743</v>
      </c>
      <c r="B21" s="21" t="s">
        <v>251</v>
      </c>
      <c r="C21" s="21" t="s">
        <v>426</v>
      </c>
      <c r="D21" s="160">
        <v>1110000</v>
      </c>
      <c r="E21" s="21" t="s">
        <v>459</v>
      </c>
      <c r="F21" s="21" t="s">
        <v>460</v>
      </c>
      <c r="G21" s="8" t="str">
        <f t="shared" si="0"/>
        <v>STARKS ANGELINA</v>
      </c>
    </row>
    <row r="22" spans="1:7" x14ac:dyDescent="0.25">
      <c r="A22" s="27">
        <v>42744.17832175926</v>
      </c>
      <c r="B22" s="21" t="s">
        <v>330</v>
      </c>
      <c r="C22" s="21" t="s">
        <v>464</v>
      </c>
      <c r="D22" s="160">
        <v>2020000</v>
      </c>
      <c r="E22" s="21" t="s">
        <v>335</v>
      </c>
      <c r="F22" s="21" t="s">
        <v>331</v>
      </c>
      <c r="G22" s="8" t="str">
        <f t="shared" si="0"/>
        <v>SHOOK JOHN</v>
      </c>
    </row>
    <row r="23" spans="1:7" x14ac:dyDescent="0.25">
      <c r="A23" s="8">
        <v>42744.183935185189</v>
      </c>
      <c r="B23" s="21" t="s">
        <v>258</v>
      </c>
      <c r="C23" s="21" t="s">
        <v>465</v>
      </c>
      <c r="D23" s="160">
        <v>940000</v>
      </c>
      <c r="E23" s="21" t="s">
        <v>462</v>
      </c>
      <c r="F23" s="21" t="s">
        <v>463</v>
      </c>
      <c r="G23" s="8" t="str">
        <f t="shared" si="0"/>
        <v>BONDS REYNALDO</v>
      </c>
    </row>
    <row r="24" spans="1:7" x14ac:dyDescent="0.25">
      <c r="A24" s="8">
        <v>42744.189467592594</v>
      </c>
      <c r="B24" s="21" t="s">
        <v>355</v>
      </c>
      <c r="C24" s="21" t="s">
        <v>424</v>
      </c>
      <c r="D24" s="160">
        <v>2010000</v>
      </c>
      <c r="E24" s="21" t="s">
        <v>357</v>
      </c>
      <c r="F24" s="21" t="s">
        <v>358</v>
      </c>
      <c r="G24" s="8" t="str">
        <f t="shared" si="0"/>
        <v>MAELZER KURT</v>
      </c>
    </row>
    <row r="25" spans="1:7" x14ac:dyDescent="0.25">
      <c r="A25" s="8">
        <v>42744.194398148145</v>
      </c>
      <c r="B25" s="21" t="s">
        <v>334</v>
      </c>
      <c r="C25" s="21" t="s">
        <v>466</v>
      </c>
      <c r="D25" s="160">
        <v>2020000</v>
      </c>
      <c r="E25" s="21" t="s">
        <v>335</v>
      </c>
      <c r="F25" s="21" t="s">
        <v>331</v>
      </c>
      <c r="G25" s="8" t="str">
        <f t="shared" si="0"/>
        <v>SHOOK JOHN</v>
      </c>
    </row>
    <row r="26" spans="1:7" x14ac:dyDescent="0.25">
      <c r="A26" s="8">
        <v>42744.205347222225</v>
      </c>
      <c r="B26" s="21" t="s">
        <v>225</v>
      </c>
      <c r="C26" s="21" t="s">
        <v>467</v>
      </c>
      <c r="D26" s="160">
        <v>1830000</v>
      </c>
      <c r="E26" s="21" t="s">
        <v>284</v>
      </c>
      <c r="F26" s="21" t="s">
        <v>285</v>
      </c>
      <c r="G26" s="8" t="str">
        <f t="shared" si="0"/>
        <v>YORK EDGAR</v>
      </c>
    </row>
    <row r="27" spans="1:7" x14ac:dyDescent="0.25">
      <c r="A27" s="8">
        <v>42744.206192129626</v>
      </c>
      <c r="B27" s="21" t="s">
        <v>283</v>
      </c>
      <c r="C27" s="21" t="s">
        <v>427</v>
      </c>
      <c r="D27" s="160">
        <v>1990000</v>
      </c>
      <c r="E27" s="21" t="s">
        <v>359</v>
      </c>
      <c r="F27" s="21" t="s">
        <v>360</v>
      </c>
      <c r="G27" s="8" t="str">
        <f t="shared" si="0"/>
        <v>DAVIS WENDY</v>
      </c>
    </row>
    <row r="28" spans="1:7" x14ac:dyDescent="0.25">
      <c r="A28" s="8">
        <v>42744.212743055556</v>
      </c>
      <c r="B28" s="21" t="s">
        <v>295</v>
      </c>
      <c r="C28" s="21" t="s">
        <v>468</v>
      </c>
      <c r="D28" s="160">
        <v>2110000</v>
      </c>
      <c r="E28" s="21" t="s">
        <v>260</v>
      </c>
      <c r="F28" s="21" t="s">
        <v>261</v>
      </c>
      <c r="G28" s="8" t="str">
        <f t="shared" si="0"/>
        <v>OUN ZACK</v>
      </c>
    </row>
    <row r="29" spans="1:7" x14ac:dyDescent="0.25">
      <c r="A29" s="8">
        <v>42744.213599537034</v>
      </c>
      <c r="B29" s="21" t="s">
        <v>306</v>
      </c>
      <c r="C29" s="21" t="s">
        <v>428</v>
      </c>
      <c r="D29" s="160">
        <v>1110000</v>
      </c>
      <c r="E29" s="21" t="s">
        <v>459</v>
      </c>
      <c r="F29" s="21" t="s">
        <v>460</v>
      </c>
      <c r="G29" s="8" t="str">
        <f t="shared" si="0"/>
        <v>STARKS ANGELINA</v>
      </c>
    </row>
    <row r="30" spans="1:7" x14ac:dyDescent="0.25">
      <c r="A30" s="8">
        <v>42744.214085648149</v>
      </c>
      <c r="B30" s="21" t="s">
        <v>282</v>
      </c>
      <c r="C30" s="21" t="s">
        <v>469</v>
      </c>
      <c r="D30" s="160">
        <v>1990000</v>
      </c>
      <c r="E30" s="21" t="s">
        <v>359</v>
      </c>
      <c r="F30" s="21" t="s">
        <v>360</v>
      </c>
      <c r="G30" s="8" t="str">
        <f t="shared" si="0"/>
        <v>DAVIS WENDY</v>
      </c>
    </row>
    <row r="31" spans="1:7" x14ac:dyDescent="0.25">
      <c r="A31" s="8">
        <v>42744.218715277777</v>
      </c>
      <c r="B31" s="21" t="s">
        <v>259</v>
      </c>
      <c r="C31" s="21" t="s">
        <v>470</v>
      </c>
      <c r="D31" s="160">
        <v>940000</v>
      </c>
      <c r="E31" s="21" t="s">
        <v>462</v>
      </c>
      <c r="F31" s="21" t="s">
        <v>463</v>
      </c>
      <c r="G31" s="8" t="str">
        <f t="shared" si="0"/>
        <v>BONDS REYNALDO</v>
      </c>
    </row>
    <row r="32" spans="1:7" x14ac:dyDescent="0.25">
      <c r="A32" s="8">
        <v>42744.227314814816</v>
      </c>
      <c r="B32" s="21" t="s">
        <v>202</v>
      </c>
      <c r="C32" s="21" t="s">
        <v>471</v>
      </c>
      <c r="D32" s="160">
        <v>2140000</v>
      </c>
      <c r="E32" s="21" t="s">
        <v>332</v>
      </c>
      <c r="F32" s="21" t="s">
        <v>333</v>
      </c>
      <c r="G32" s="8" t="str">
        <f t="shared" si="0"/>
        <v>ROBINSON KADDIBA</v>
      </c>
    </row>
    <row r="33" spans="1:7" x14ac:dyDescent="0.25">
      <c r="A33" s="8">
        <v>42744.228009259263</v>
      </c>
      <c r="B33" s="21" t="s">
        <v>330</v>
      </c>
      <c r="C33" s="21" t="s">
        <v>472</v>
      </c>
      <c r="D33" s="160">
        <v>2020000</v>
      </c>
      <c r="E33" s="21" t="s">
        <v>335</v>
      </c>
      <c r="F33" s="21" t="s">
        <v>331</v>
      </c>
      <c r="G33" s="8" t="str">
        <f t="shared" si="0"/>
        <v>SHOOK JOHN</v>
      </c>
    </row>
    <row r="34" spans="1:7" x14ac:dyDescent="0.25">
      <c r="A34" s="8">
        <v>42744.230787037035</v>
      </c>
      <c r="B34" s="21" t="s">
        <v>226</v>
      </c>
      <c r="C34" s="21" t="s">
        <v>473</v>
      </c>
      <c r="D34" s="160">
        <v>2010000</v>
      </c>
      <c r="E34" s="21" t="s">
        <v>357</v>
      </c>
      <c r="F34" s="21" t="s">
        <v>358</v>
      </c>
      <c r="G34" s="8" t="str">
        <f t="shared" si="0"/>
        <v>MAELZER KURT</v>
      </c>
    </row>
    <row r="35" spans="1:7" x14ac:dyDescent="0.25">
      <c r="A35" s="8">
        <v>42744.231851851851</v>
      </c>
      <c r="B35" s="21" t="s">
        <v>226</v>
      </c>
      <c r="C35" s="21" t="s">
        <v>473</v>
      </c>
      <c r="D35" s="160">
        <v>2010000</v>
      </c>
      <c r="E35" s="21" t="s">
        <v>357</v>
      </c>
      <c r="F35" s="21" t="s">
        <v>358</v>
      </c>
      <c r="G35" s="8" t="str">
        <f t="shared" si="0"/>
        <v>MAELZER KURT</v>
      </c>
    </row>
    <row r="36" spans="1:7" x14ac:dyDescent="0.25">
      <c r="A36" s="8">
        <v>42744.234305555554</v>
      </c>
      <c r="B36" s="21" t="s">
        <v>452</v>
      </c>
      <c r="C36" s="21" t="s">
        <v>474</v>
      </c>
      <c r="D36" s="160">
        <v>1830000</v>
      </c>
      <c r="E36" s="21" t="s">
        <v>284</v>
      </c>
      <c r="F36" s="21" t="s">
        <v>285</v>
      </c>
      <c r="G36" s="8" t="str">
        <f t="shared" si="0"/>
        <v>YORK EDGAR</v>
      </c>
    </row>
    <row r="37" spans="1:7" x14ac:dyDescent="0.25">
      <c r="A37" s="8">
        <v>42744.240497685183</v>
      </c>
      <c r="B37" s="21" t="s">
        <v>283</v>
      </c>
      <c r="C37" s="21" t="s">
        <v>429</v>
      </c>
      <c r="D37" s="160">
        <v>1990000</v>
      </c>
      <c r="E37" s="21" t="s">
        <v>359</v>
      </c>
      <c r="F37" s="21" t="s">
        <v>360</v>
      </c>
      <c r="G37" s="8" t="str">
        <f t="shared" si="0"/>
        <v>DAVIS WENDY</v>
      </c>
    </row>
    <row r="38" spans="1:7" x14ac:dyDescent="0.25">
      <c r="A38" s="8">
        <v>42744.248993055553</v>
      </c>
      <c r="B38" s="21" t="s">
        <v>251</v>
      </c>
      <c r="C38" s="21" t="s">
        <v>475</v>
      </c>
      <c r="D38" s="160">
        <v>1110000</v>
      </c>
      <c r="E38" s="21" t="s">
        <v>459</v>
      </c>
      <c r="F38" s="21" t="s">
        <v>460</v>
      </c>
      <c r="G38" s="8" t="str">
        <f t="shared" si="0"/>
        <v>STARKS ANGELINA</v>
      </c>
    </row>
    <row r="39" spans="1:7" x14ac:dyDescent="0.25">
      <c r="A39" s="8">
        <v>42744.25271990741</v>
      </c>
      <c r="B39" s="21" t="s">
        <v>301</v>
      </c>
      <c r="C39" s="21" t="s">
        <v>476</v>
      </c>
      <c r="D39" s="160">
        <v>2110000</v>
      </c>
      <c r="E39" s="21" t="s">
        <v>260</v>
      </c>
      <c r="F39" s="21" t="s">
        <v>261</v>
      </c>
      <c r="G39" s="8" t="str">
        <f t="shared" si="0"/>
        <v>OUN ZACK</v>
      </c>
    </row>
    <row r="40" spans="1:7" x14ac:dyDescent="0.25">
      <c r="A40" s="8">
        <v>42744.252986111111</v>
      </c>
      <c r="B40" s="26" t="s">
        <v>249</v>
      </c>
      <c r="C40" s="21" t="s">
        <v>477</v>
      </c>
      <c r="D40" s="160">
        <v>2680000</v>
      </c>
      <c r="E40" s="21" t="s">
        <v>310</v>
      </c>
      <c r="F40" s="21" t="s">
        <v>311</v>
      </c>
      <c r="G40" s="8" t="str">
        <f t="shared" si="0"/>
        <v>DUNCAN SHEILA</v>
      </c>
    </row>
    <row r="41" spans="1:7" x14ac:dyDescent="0.25">
      <c r="A41" s="8">
        <v>42744.255891203706</v>
      </c>
      <c r="B41" s="21" t="s">
        <v>258</v>
      </c>
      <c r="C41" s="21" t="s">
        <v>478</v>
      </c>
      <c r="D41" s="160">
        <v>940000</v>
      </c>
      <c r="E41" s="21" t="s">
        <v>462</v>
      </c>
      <c r="F41" s="21" t="s">
        <v>463</v>
      </c>
      <c r="G41" s="8" t="str">
        <f t="shared" si="0"/>
        <v>BONDS REYNALDO</v>
      </c>
    </row>
    <row r="42" spans="1:7" x14ac:dyDescent="0.25">
      <c r="A42" s="8">
        <v>42744.26363425926</v>
      </c>
      <c r="B42" s="21" t="s">
        <v>222</v>
      </c>
      <c r="C42" s="21" t="s">
        <v>479</v>
      </c>
      <c r="D42" s="160">
        <v>2680000</v>
      </c>
      <c r="E42" s="21" t="s">
        <v>310</v>
      </c>
      <c r="F42" s="21" t="s">
        <v>311</v>
      </c>
      <c r="G42" s="8" t="str">
        <f t="shared" si="0"/>
        <v>DUNCAN SHEILA</v>
      </c>
    </row>
    <row r="43" spans="1:7" x14ac:dyDescent="0.25">
      <c r="A43" s="8">
        <v>42744.264513888891</v>
      </c>
      <c r="B43" s="21" t="s">
        <v>208</v>
      </c>
      <c r="C43" s="21" t="s">
        <v>430</v>
      </c>
      <c r="D43" s="160">
        <v>2140000</v>
      </c>
      <c r="E43" s="21" t="s">
        <v>332</v>
      </c>
      <c r="F43" s="21" t="s">
        <v>333</v>
      </c>
      <c r="G43" s="8" t="str">
        <f t="shared" si="0"/>
        <v>ROBINSON KADDIBA</v>
      </c>
    </row>
    <row r="44" spans="1:7" x14ac:dyDescent="0.25">
      <c r="A44" s="8">
        <v>42744.267905092594</v>
      </c>
      <c r="B44" s="21" t="s">
        <v>334</v>
      </c>
      <c r="C44" s="21" t="s">
        <v>480</v>
      </c>
      <c r="D44" s="160">
        <v>2020000</v>
      </c>
      <c r="E44" s="21" t="s">
        <v>335</v>
      </c>
      <c r="F44" s="21" t="s">
        <v>331</v>
      </c>
      <c r="G44" s="8" t="str">
        <f t="shared" si="0"/>
        <v>SHOOK JOHN</v>
      </c>
    </row>
    <row r="45" spans="1:7" x14ac:dyDescent="0.25">
      <c r="A45" s="8">
        <v>42744.274560185186</v>
      </c>
      <c r="B45" s="21" t="s">
        <v>279</v>
      </c>
      <c r="C45" s="21" t="s">
        <v>432</v>
      </c>
      <c r="D45" s="160">
        <v>2010000</v>
      </c>
      <c r="E45" s="21" t="s">
        <v>357</v>
      </c>
      <c r="F45" s="21" t="s">
        <v>358</v>
      </c>
      <c r="G45" s="8" t="str">
        <f t="shared" si="0"/>
        <v>MAELZER KURT</v>
      </c>
    </row>
    <row r="46" spans="1:7" x14ac:dyDescent="0.25">
      <c r="A46" s="8">
        <v>42744.27542824074</v>
      </c>
      <c r="B46" s="21" t="s">
        <v>225</v>
      </c>
      <c r="C46" s="21" t="s">
        <v>481</v>
      </c>
      <c r="D46" s="160">
        <v>1830000</v>
      </c>
      <c r="E46" s="21" t="s">
        <v>284</v>
      </c>
      <c r="F46" s="21" t="s">
        <v>285</v>
      </c>
      <c r="G46" s="8" t="str">
        <f t="shared" si="0"/>
        <v>YORK EDGAR</v>
      </c>
    </row>
    <row r="47" spans="1:7" x14ac:dyDescent="0.25">
      <c r="A47" s="8">
        <v>42744.277083333334</v>
      </c>
      <c r="B47" s="21" t="s">
        <v>249</v>
      </c>
      <c r="C47" s="21" t="s">
        <v>482</v>
      </c>
      <c r="D47" s="160">
        <v>2680000</v>
      </c>
      <c r="E47" s="21" t="s">
        <v>310</v>
      </c>
      <c r="F47" s="21" t="s">
        <v>311</v>
      </c>
      <c r="G47" s="8" t="str">
        <f t="shared" si="0"/>
        <v>DUNCAN SHEILA</v>
      </c>
    </row>
    <row r="48" spans="1:7" x14ac:dyDescent="0.25">
      <c r="A48" s="8">
        <v>42744.283229166664</v>
      </c>
      <c r="B48" s="21" t="s">
        <v>283</v>
      </c>
      <c r="C48" s="21" t="s">
        <v>431</v>
      </c>
      <c r="D48" s="160">
        <v>1990000</v>
      </c>
      <c r="E48" s="21" t="s">
        <v>359</v>
      </c>
      <c r="F48" s="21" t="s">
        <v>360</v>
      </c>
      <c r="G48" s="8" t="str">
        <f t="shared" si="0"/>
        <v>DAVIS WENDY</v>
      </c>
    </row>
    <row r="49" spans="1:7" x14ac:dyDescent="0.25">
      <c r="A49" s="8">
        <v>42744.287152777775</v>
      </c>
      <c r="B49" s="21" t="s">
        <v>250</v>
      </c>
      <c r="C49" s="21" t="s">
        <v>434</v>
      </c>
      <c r="D49" s="160">
        <v>1110000</v>
      </c>
      <c r="E49" s="21" t="s">
        <v>459</v>
      </c>
      <c r="F49" s="21" t="s">
        <v>460</v>
      </c>
      <c r="G49" s="8" t="str">
        <f t="shared" si="0"/>
        <v>STARKS ANGELINA</v>
      </c>
    </row>
    <row r="50" spans="1:7" x14ac:dyDescent="0.25">
      <c r="A50" s="8">
        <v>42744.287349537037</v>
      </c>
      <c r="B50" s="21" t="s">
        <v>295</v>
      </c>
      <c r="C50" s="21" t="s">
        <v>483</v>
      </c>
      <c r="D50" s="160">
        <v>2110000</v>
      </c>
      <c r="E50" s="21" t="s">
        <v>260</v>
      </c>
      <c r="F50" s="21" t="s">
        <v>261</v>
      </c>
      <c r="G50" s="8" t="str">
        <f t="shared" si="0"/>
        <v>OUN ZACK</v>
      </c>
    </row>
    <row r="51" spans="1:7" x14ac:dyDescent="0.25">
      <c r="A51" s="8">
        <v>42744.291597222225</v>
      </c>
      <c r="B51" s="21" t="s">
        <v>222</v>
      </c>
      <c r="C51" s="21" t="s">
        <v>484</v>
      </c>
      <c r="D51" s="160">
        <v>2680000</v>
      </c>
      <c r="E51" s="21" t="s">
        <v>310</v>
      </c>
      <c r="F51" s="21" t="s">
        <v>311</v>
      </c>
      <c r="G51" s="8" t="str">
        <f t="shared" si="0"/>
        <v>DUNCAN SHEILA</v>
      </c>
    </row>
    <row r="52" spans="1:7" x14ac:dyDescent="0.25">
      <c r="A52" s="8">
        <v>42744.29515046296</v>
      </c>
      <c r="B52" s="21" t="s">
        <v>259</v>
      </c>
      <c r="C52" s="21" t="s">
        <v>435</v>
      </c>
      <c r="D52" s="160">
        <v>940000</v>
      </c>
      <c r="E52" s="21" t="s">
        <v>462</v>
      </c>
      <c r="F52" s="21" t="s">
        <v>463</v>
      </c>
      <c r="G52" s="8" t="str">
        <f t="shared" si="0"/>
        <v>BONDS REYNALDO</v>
      </c>
    </row>
    <row r="53" spans="1:7" x14ac:dyDescent="0.25">
      <c r="A53" s="8">
        <v>42744.297708333332</v>
      </c>
      <c r="B53" s="21" t="s">
        <v>282</v>
      </c>
      <c r="C53" s="21" t="s">
        <v>433</v>
      </c>
      <c r="D53" s="160">
        <v>1990000</v>
      </c>
      <c r="E53" s="21" t="s">
        <v>359</v>
      </c>
      <c r="F53" s="21" t="s">
        <v>360</v>
      </c>
      <c r="G53" s="8" t="str">
        <f t="shared" si="0"/>
        <v>DAVIS WENDY</v>
      </c>
    </row>
    <row r="54" spans="1:7" x14ac:dyDescent="0.25">
      <c r="A54" s="8">
        <v>42744.299456018518</v>
      </c>
      <c r="B54" s="21" t="s">
        <v>202</v>
      </c>
      <c r="C54" s="21" t="s">
        <v>485</v>
      </c>
      <c r="D54" s="160">
        <v>2140000</v>
      </c>
      <c r="E54" s="21" t="s">
        <v>332</v>
      </c>
      <c r="F54" s="21" t="s">
        <v>333</v>
      </c>
      <c r="G54" s="8" t="str">
        <f t="shared" si="0"/>
        <v>ROBINSON KADDIBA</v>
      </c>
    </row>
    <row r="55" spans="1:7" x14ac:dyDescent="0.25">
      <c r="A55" s="8">
        <v>42744.301157407404</v>
      </c>
      <c r="B55" s="21" t="s">
        <v>330</v>
      </c>
      <c r="C55" s="21" t="s">
        <v>486</v>
      </c>
      <c r="D55" s="160">
        <v>2020000</v>
      </c>
      <c r="E55" s="21" t="s">
        <v>335</v>
      </c>
      <c r="F55" s="21" t="s">
        <v>331</v>
      </c>
      <c r="G55" s="8" t="str">
        <f t="shared" si="0"/>
        <v>SHOOK JOHN</v>
      </c>
    </row>
    <row r="56" spans="1:7" x14ac:dyDescent="0.25">
      <c r="A56" s="8">
        <v>42744.307256944441</v>
      </c>
      <c r="B56" s="21" t="s">
        <v>452</v>
      </c>
      <c r="C56" s="21" t="s">
        <v>487</v>
      </c>
      <c r="D56" s="160">
        <v>1830000</v>
      </c>
      <c r="E56" s="21" t="s">
        <v>284</v>
      </c>
      <c r="F56" s="21" t="s">
        <v>285</v>
      </c>
      <c r="G56" s="8" t="str">
        <f t="shared" si="0"/>
        <v>YORK EDGAR</v>
      </c>
    </row>
    <row r="57" spans="1:7" x14ac:dyDescent="0.25">
      <c r="A57" s="8">
        <v>42744.308923611112</v>
      </c>
      <c r="B57" s="21" t="s">
        <v>226</v>
      </c>
      <c r="C57" s="21" t="s">
        <v>488</v>
      </c>
      <c r="D57" s="160">
        <v>2010000</v>
      </c>
      <c r="E57" s="21" t="s">
        <v>357</v>
      </c>
      <c r="F57" s="21" t="s">
        <v>358</v>
      </c>
      <c r="G57" s="8" t="str">
        <f t="shared" si="0"/>
        <v>MAELZER KURT</v>
      </c>
    </row>
    <row r="58" spans="1:7" x14ac:dyDescent="0.25">
      <c r="A58" s="8">
        <v>42744.318240740744</v>
      </c>
      <c r="B58" s="21" t="s">
        <v>249</v>
      </c>
      <c r="C58" s="21" t="s">
        <v>489</v>
      </c>
      <c r="D58" s="160">
        <v>2680000</v>
      </c>
      <c r="E58" s="21" t="s">
        <v>310</v>
      </c>
      <c r="F58" s="21" t="s">
        <v>311</v>
      </c>
      <c r="G58" s="8" t="str">
        <f t="shared" si="0"/>
        <v>DUNCAN SHEILA</v>
      </c>
    </row>
    <row r="59" spans="1:7" x14ac:dyDescent="0.25">
      <c r="A59" s="8">
        <v>42744.320300925923</v>
      </c>
      <c r="B59" s="21" t="s">
        <v>251</v>
      </c>
      <c r="C59" s="21" t="s">
        <v>436</v>
      </c>
      <c r="D59" s="160">
        <v>1110000</v>
      </c>
      <c r="E59" s="21" t="s">
        <v>459</v>
      </c>
      <c r="F59" s="21" t="s">
        <v>460</v>
      </c>
      <c r="G59" s="8" t="str">
        <f t="shared" si="0"/>
        <v>STARKS ANGELINA</v>
      </c>
    </row>
    <row r="60" spans="1:7" x14ac:dyDescent="0.25">
      <c r="A60" s="8">
        <v>42744.321793981479</v>
      </c>
      <c r="B60" s="21" t="s">
        <v>283</v>
      </c>
      <c r="C60" s="21" t="s">
        <v>490</v>
      </c>
      <c r="D60" s="160">
        <v>1990000</v>
      </c>
      <c r="E60" s="21" t="s">
        <v>359</v>
      </c>
      <c r="F60" s="21" t="s">
        <v>360</v>
      </c>
      <c r="G60" s="8" t="str">
        <f t="shared" si="0"/>
        <v>DAVIS WENDY</v>
      </c>
    </row>
    <row r="61" spans="1:7" x14ac:dyDescent="0.25">
      <c r="A61" s="8">
        <v>42744.32335648148</v>
      </c>
      <c r="B61" s="21" t="s">
        <v>301</v>
      </c>
      <c r="C61" s="21" t="s">
        <v>491</v>
      </c>
      <c r="D61" s="160">
        <v>2110000</v>
      </c>
      <c r="E61" s="21" t="s">
        <v>260</v>
      </c>
      <c r="F61" s="21" t="s">
        <v>261</v>
      </c>
      <c r="G61" s="8" t="str">
        <f t="shared" si="0"/>
        <v>OUN ZACK</v>
      </c>
    </row>
    <row r="62" spans="1:7" x14ac:dyDescent="0.25">
      <c r="A62" s="8">
        <v>42744.329201388886</v>
      </c>
      <c r="B62" s="21" t="s">
        <v>258</v>
      </c>
      <c r="C62" s="21" t="s">
        <v>492</v>
      </c>
      <c r="D62" s="160">
        <v>940000</v>
      </c>
      <c r="E62" s="21" t="s">
        <v>462</v>
      </c>
      <c r="F62" s="21" t="s">
        <v>463</v>
      </c>
      <c r="G62" s="8" t="str">
        <f t="shared" si="0"/>
        <v>BONDS REYNALDO</v>
      </c>
    </row>
    <row r="63" spans="1:7" x14ac:dyDescent="0.25">
      <c r="A63" s="8">
        <v>42744.332824074074</v>
      </c>
      <c r="B63" s="21" t="s">
        <v>222</v>
      </c>
      <c r="C63" s="21" t="s">
        <v>493</v>
      </c>
      <c r="D63" s="160">
        <v>2680000</v>
      </c>
      <c r="E63" s="21" t="s">
        <v>310</v>
      </c>
      <c r="F63" s="21" t="s">
        <v>311</v>
      </c>
      <c r="G63" s="8" t="str">
        <f t="shared" si="0"/>
        <v>DUNCAN SHEILA</v>
      </c>
    </row>
    <row r="64" spans="1:7" x14ac:dyDescent="0.25">
      <c r="A64" s="27">
        <v>42744.336562500001</v>
      </c>
      <c r="B64" s="21" t="s">
        <v>208</v>
      </c>
      <c r="C64" s="21" t="s">
        <v>494</v>
      </c>
      <c r="D64" s="160">
        <v>2140000</v>
      </c>
      <c r="E64" s="21" t="s">
        <v>332</v>
      </c>
      <c r="F64" s="21" t="s">
        <v>333</v>
      </c>
      <c r="G64" s="8" t="str">
        <f t="shared" si="0"/>
        <v>ROBINSON KADDIBA</v>
      </c>
    </row>
    <row r="65" spans="1:7" x14ac:dyDescent="0.25">
      <c r="A65" s="8">
        <v>42744.33871527778</v>
      </c>
      <c r="B65" s="21" t="s">
        <v>282</v>
      </c>
      <c r="C65" s="21" t="s">
        <v>437</v>
      </c>
      <c r="D65" s="160">
        <v>1990000</v>
      </c>
      <c r="E65" s="21" t="s">
        <v>359</v>
      </c>
      <c r="F65" s="21" t="s">
        <v>360</v>
      </c>
      <c r="G65" s="8" t="str">
        <f t="shared" si="0"/>
        <v>DAVIS WENDY</v>
      </c>
    </row>
    <row r="66" spans="1:7" x14ac:dyDescent="0.25">
      <c r="A66" s="8">
        <v>42744.339965277781</v>
      </c>
      <c r="B66" s="21" t="s">
        <v>334</v>
      </c>
      <c r="C66" s="21" t="s">
        <v>495</v>
      </c>
      <c r="D66" s="160">
        <v>2020000</v>
      </c>
      <c r="E66" s="21" t="s">
        <v>335</v>
      </c>
      <c r="F66" s="21" t="s">
        <v>331</v>
      </c>
      <c r="G66" s="8" t="str">
        <f t="shared" si="0"/>
        <v>SHOOK JOHN</v>
      </c>
    </row>
    <row r="67" spans="1:7" x14ac:dyDescent="0.25">
      <c r="A67" s="8">
        <v>42744.347858796296</v>
      </c>
      <c r="B67" s="21" t="s">
        <v>279</v>
      </c>
      <c r="C67" s="21" t="s">
        <v>496</v>
      </c>
      <c r="D67" s="160">
        <v>2010000</v>
      </c>
      <c r="E67" s="21" t="s">
        <v>357</v>
      </c>
      <c r="F67" s="21" t="s">
        <v>358</v>
      </c>
      <c r="G67" s="8" t="str">
        <f t="shared" ref="G67:G130" si="1">E67&amp;" "&amp;F67</f>
        <v>MAELZER KURT</v>
      </c>
    </row>
    <row r="68" spans="1:7" x14ac:dyDescent="0.25">
      <c r="A68" s="8">
        <v>42744.348541666666</v>
      </c>
      <c r="B68" s="21" t="s">
        <v>225</v>
      </c>
      <c r="C68" s="21" t="s">
        <v>497</v>
      </c>
      <c r="D68" s="160">
        <v>1830000</v>
      </c>
      <c r="E68" s="21" t="s">
        <v>284</v>
      </c>
      <c r="F68" s="21" t="s">
        <v>285</v>
      </c>
      <c r="G68" s="8" t="str">
        <f t="shared" si="1"/>
        <v>YORK EDGAR</v>
      </c>
    </row>
    <row r="69" spans="1:7" x14ac:dyDescent="0.25">
      <c r="A69" s="8">
        <v>42744.353472222225</v>
      </c>
      <c r="B69" s="21" t="s">
        <v>283</v>
      </c>
      <c r="C69" s="21" t="s">
        <v>498</v>
      </c>
      <c r="D69" s="160">
        <v>1990000</v>
      </c>
      <c r="E69" s="21" t="s">
        <v>359</v>
      </c>
      <c r="F69" s="21" t="s">
        <v>360</v>
      </c>
      <c r="G69" s="8" t="str">
        <f t="shared" si="1"/>
        <v>DAVIS WENDY</v>
      </c>
    </row>
    <row r="70" spans="1:7" x14ac:dyDescent="0.25">
      <c r="A70" s="8">
        <v>42744.360150462962</v>
      </c>
      <c r="B70" s="21" t="s">
        <v>250</v>
      </c>
      <c r="C70" s="21" t="s">
        <v>499</v>
      </c>
      <c r="D70" s="160">
        <v>1110000</v>
      </c>
      <c r="E70" s="21" t="s">
        <v>459</v>
      </c>
      <c r="F70" s="21" t="s">
        <v>460</v>
      </c>
      <c r="G70" s="8" t="str">
        <f t="shared" si="1"/>
        <v>STARKS ANGELINA</v>
      </c>
    </row>
    <row r="71" spans="1:7" x14ac:dyDescent="0.25">
      <c r="A71" s="8">
        <v>42744.360289351855</v>
      </c>
      <c r="B71" s="21" t="s">
        <v>249</v>
      </c>
      <c r="C71" s="21" t="s">
        <v>438</v>
      </c>
      <c r="D71" s="160">
        <v>2680000</v>
      </c>
      <c r="E71" s="21" t="s">
        <v>310</v>
      </c>
      <c r="F71" s="21" t="s">
        <v>311</v>
      </c>
      <c r="G71" s="8" t="str">
        <f t="shared" si="1"/>
        <v>DUNCAN SHEILA</v>
      </c>
    </row>
    <row r="72" spans="1:7" x14ac:dyDescent="0.25">
      <c r="A72" s="8">
        <v>42744.360636574071</v>
      </c>
      <c r="B72" s="21" t="s">
        <v>295</v>
      </c>
      <c r="C72" s="21" t="s">
        <v>491</v>
      </c>
      <c r="D72" s="160">
        <v>2110000</v>
      </c>
      <c r="E72" s="21" t="s">
        <v>260</v>
      </c>
      <c r="F72" s="21" t="s">
        <v>261</v>
      </c>
      <c r="G72" s="8" t="str">
        <f t="shared" si="1"/>
        <v>OUN ZACK</v>
      </c>
    </row>
    <row r="73" spans="1:7" x14ac:dyDescent="0.25">
      <c r="A73" s="8">
        <v>42744.361435185187</v>
      </c>
      <c r="B73" s="21" t="s">
        <v>295</v>
      </c>
      <c r="C73" s="21" t="s">
        <v>491</v>
      </c>
      <c r="D73" s="160">
        <v>2110000</v>
      </c>
      <c r="E73" s="21" t="s">
        <v>260</v>
      </c>
      <c r="F73" s="21" t="s">
        <v>261</v>
      </c>
      <c r="G73" s="8" t="str">
        <f t="shared" si="1"/>
        <v>OUN ZACK</v>
      </c>
    </row>
    <row r="74" spans="1:7" x14ac:dyDescent="0.25">
      <c r="A74" s="8">
        <v>42744.362164351849</v>
      </c>
      <c r="B74" s="21" t="s">
        <v>295</v>
      </c>
      <c r="C74" s="21" t="s">
        <v>500</v>
      </c>
      <c r="D74" s="160">
        <v>2110000</v>
      </c>
      <c r="E74" s="21" t="s">
        <v>260</v>
      </c>
      <c r="F74" s="21" t="s">
        <v>261</v>
      </c>
      <c r="G74" s="8" t="str">
        <f t="shared" si="1"/>
        <v>OUN ZACK</v>
      </c>
    </row>
    <row r="75" spans="1:7" x14ac:dyDescent="0.25">
      <c r="A75" s="8">
        <v>42744.368287037039</v>
      </c>
      <c r="B75" s="21" t="s">
        <v>225</v>
      </c>
      <c r="C75" s="21" t="s">
        <v>497</v>
      </c>
      <c r="D75" s="160">
        <v>1830000</v>
      </c>
      <c r="E75" s="21" t="s">
        <v>284</v>
      </c>
      <c r="F75" s="21" t="s">
        <v>285</v>
      </c>
      <c r="G75" s="8" t="str">
        <f t="shared" si="1"/>
        <v>YORK EDGAR</v>
      </c>
    </row>
    <row r="76" spans="1:7" x14ac:dyDescent="0.25">
      <c r="A76" s="8">
        <v>42744.370162037034</v>
      </c>
      <c r="B76" s="21" t="s">
        <v>259</v>
      </c>
      <c r="C76" s="21" t="s">
        <v>501</v>
      </c>
      <c r="D76" s="160">
        <v>940000</v>
      </c>
      <c r="E76" s="21" t="s">
        <v>462</v>
      </c>
      <c r="F76" s="21" t="s">
        <v>463</v>
      </c>
      <c r="G76" s="8" t="str">
        <f t="shared" si="1"/>
        <v>BONDS REYNALDO</v>
      </c>
    </row>
    <row r="77" spans="1:7" x14ac:dyDescent="0.25">
      <c r="A77" s="8">
        <v>42744.371770833335</v>
      </c>
      <c r="B77" s="21" t="s">
        <v>202</v>
      </c>
      <c r="C77" s="21" t="s">
        <v>502</v>
      </c>
      <c r="D77" s="160">
        <v>2140000</v>
      </c>
      <c r="E77" s="21" t="s">
        <v>332</v>
      </c>
      <c r="F77" s="21" t="s">
        <v>333</v>
      </c>
      <c r="G77" s="8" t="str">
        <f t="shared" si="1"/>
        <v>ROBINSON KADDIBA</v>
      </c>
    </row>
    <row r="78" spans="1:7" x14ac:dyDescent="0.25">
      <c r="A78" s="8">
        <v>42744.371770833335</v>
      </c>
      <c r="B78" s="21" t="s">
        <v>330</v>
      </c>
      <c r="C78" s="21" t="s">
        <v>503</v>
      </c>
      <c r="D78" s="160">
        <v>2020000</v>
      </c>
      <c r="E78" s="21" t="s">
        <v>335</v>
      </c>
      <c r="F78" s="21" t="s">
        <v>331</v>
      </c>
      <c r="G78" s="8" t="str">
        <f t="shared" si="1"/>
        <v>SHOOK JOHN</v>
      </c>
    </row>
    <row r="79" spans="1:7" x14ac:dyDescent="0.25">
      <c r="A79" s="8">
        <v>42744.375081018516</v>
      </c>
      <c r="B79" s="21" t="s">
        <v>222</v>
      </c>
      <c r="C79" s="21" t="s">
        <v>504</v>
      </c>
      <c r="D79" s="160">
        <v>2680000</v>
      </c>
      <c r="E79" s="21" t="s">
        <v>310</v>
      </c>
      <c r="F79" s="21" t="s">
        <v>311</v>
      </c>
      <c r="G79" s="8" t="str">
        <f t="shared" si="1"/>
        <v>DUNCAN SHEILA</v>
      </c>
    </row>
    <row r="80" spans="1:7" x14ac:dyDescent="0.25">
      <c r="A80" s="8">
        <v>42744.382534722223</v>
      </c>
      <c r="B80" s="21" t="s">
        <v>226</v>
      </c>
      <c r="C80" s="21" t="s">
        <v>505</v>
      </c>
      <c r="D80" s="160">
        <v>2010000</v>
      </c>
      <c r="E80" s="21" t="s">
        <v>357</v>
      </c>
      <c r="F80" s="21" t="s">
        <v>358</v>
      </c>
      <c r="G80" s="8" t="str">
        <f t="shared" si="1"/>
        <v>MAELZER KURT</v>
      </c>
    </row>
    <row r="81" spans="1:7" x14ac:dyDescent="0.25">
      <c r="A81" s="8">
        <v>42744.383449074077</v>
      </c>
      <c r="B81" s="21" t="s">
        <v>452</v>
      </c>
      <c r="C81" s="21" t="s">
        <v>506</v>
      </c>
      <c r="D81" s="160">
        <v>1830000</v>
      </c>
      <c r="E81" s="21" t="s">
        <v>284</v>
      </c>
      <c r="F81" s="21" t="s">
        <v>285</v>
      </c>
      <c r="G81" s="8" t="str">
        <f t="shared" si="1"/>
        <v>YORK EDGAR</v>
      </c>
    </row>
    <row r="82" spans="1:7" x14ac:dyDescent="0.25">
      <c r="A82" s="8">
        <v>42744.393425925926</v>
      </c>
      <c r="B82" s="21" t="s">
        <v>251</v>
      </c>
      <c r="C82" s="21" t="s">
        <v>439</v>
      </c>
      <c r="D82" s="160">
        <v>1110000</v>
      </c>
      <c r="E82" s="21" t="s">
        <v>459</v>
      </c>
      <c r="F82" s="21" t="s">
        <v>460</v>
      </c>
      <c r="G82" s="8" t="str">
        <f t="shared" si="1"/>
        <v>STARKS ANGELINA</v>
      </c>
    </row>
    <row r="83" spans="1:7" x14ac:dyDescent="0.25">
      <c r="A83" s="8">
        <v>42744.398495370369</v>
      </c>
      <c r="B83" s="21" t="s">
        <v>301</v>
      </c>
      <c r="C83" s="21" t="s">
        <v>507</v>
      </c>
      <c r="D83" s="160">
        <v>2110000</v>
      </c>
      <c r="E83" s="21" t="s">
        <v>260</v>
      </c>
      <c r="F83" s="21" t="s">
        <v>261</v>
      </c>
      <c r="G83" s="8" t="str">
        <f t="shared" si="1"/>
        <v>OUN ZACK</v>
      </c>
    </row>
    <row r="84" spans="1:7" x14ac:dyDescent="0.25">
      <c r="A84" s="8">
        <v>42744.401817129627</v>
      </c>
      <c r="B84" s="21" t="s">
        <v>249</v>
      </c>
      <c r="C84" s="21" t="s">
        <v>508</v>
      </c>
      <c r="D84" s="160">
        <v>2680000</v>
      </c>
      <c r="E84" s="21" t="s">
        <v>310</v>
      </c>
      <c r="F84" s="21" t="s">
        <v>311</v>
      </c>
      <c r="G84" s="8" t="str">
        <f t="shared" si="1"/>
        <v>DUNCAN SHEILA</v>
      </c>
    </row>
    <row r="85" spans="1:7" x14ac:dyDescent="0.25">
      <c r="A85" s="8">
        <v>42744.403009259258</v>
      </c>
      <c r="B85" s="21" t="s">
        <v>258</v>
      </c>
      <c r="C85" s="21" t="s">
        <v>509</v>
      </c>
      <c r="D85" s="160">
        <v>1230000</v>
      </c>
      <c r="E85" s="21" t="s">
        <v>510</v>
      </c>
      <c r="F85" s="21" t="s">
        <v>511</v>
      </c>
      <c r="G85" s="8" t="str">
        <f t="shared" si="1"/>
        <v>YANAI IAN</v>
      </c>
    </row>
    <row r="86" spans="1:7" x14ac:dyDescent="0.25">
      <c r="A86" s="8">
        <v>42744.409629629627</v>
      </c>
      <c r="B86" s="21" t="s">
        <v>208</v>
      </c>
      <c r="C86" s="21" t="s">
        <v>512</v>
      </c>
      <c r="D86" s="160">
        <v>2140000</v>
      </c>
      <c r="E86" s="21" t="s">
        <v>332</v>
      </c>
      <c r="F86" s="21" t="s">
        <v>333</v>
      </c>
      <c r="G86" s="8" t="str">
        <f t="shared" si="1"/>
        <v>ROBINSON KADDIBA</v>
      </c>
    </row>
    <row r="87" spans="1:7" x14ac:dyDescent="0.25">
      <c r="A87" s="8">
        <v>42744.412893518522</v>
      </c>
      <c r="B87" s="21" t="s">
        <v>334</v>
      </c>
      <c r="C87" s="21" t="s">
        <v>513</v>
      </c>
      <c r="D87" s="160">
        <v>2020000</v>
      </c>
      <c r="E87" s="21" t="s">
        <v>335</v>
      </c>
      <c r="F87" s="21" t="s">
        <v>331</v>
      </c>
      <c r="G87" s="8" t="str">
        <f t="shared" si="1"/>
        <v>SHOOK JOHN</v>
      </c>
    </row>
    <row r="88" spans="1:7" x14ac:dyDescent="0.25">
      <c r="A88" s="8">
        <v>42744.415775462963</v>
      </c>
      <c r="B88" s="21" t="s">
        <v>222</v>
      </c>
      <c r="C88" s="21" t="s">
        <v>514</v>
      </c>
      <c r="D88" s="160">
        <v>2680000</v>
      </c>
      <c r="E88" s="21" t="s">
        <v>310</v>
      </c>
      <c r="F88" s="21" t="s">
        <v>311</v>
      </c>
      <c r="G88" s="8" t="str">
        <f t="shared" si="1"/>
        <v>DUNCAN SHEILA</v>
      </c>
    </row>
    <row r="89" spans="1:7" x14ac:dyDescent="0.25">
      <c r="A89" s="8">
        <v>42744.416956018518</v>
      </c>
      <c r="B89" s="21" t="s">
        <v>279</v>
      </c>
      <c r="C89" s="21" t="s">
        <v>515</v>
      </c>
      <c r="D89" s="160">
        <v>2010000</v>
      </c>
      <c r="E89" s="21" t="s">
        <v>357</v>
      </c>
      <c r="F89" s="21" t="s">
        <v>358</v>
      </c>
      <c r="G89" s="8" t="str">
        <f t="shared" si="1"/>
        <v>MAELZER KURT</v>
      </c>
    </row>
    <row r="90" spans="1:7" x14ac:dyDescent="0.25">
      <c r="A90" s="8">
        <v>42744.420914351853</v>
      </c>
      <c r="B90" s="21" t="s">
        <v>225</v>
      </c>
      <c r="C90" s="21" t="s">
        <v>516</v>
      </c>
      <c r="D90" s="160">
        <v>1830000</v>
      </c>
      <c r="E90" s="21" t="s">
        <v>284</v>
      </c>
      <c r="F90" s="21" t="s">
        <v>285</v>
      </c>
      <c r="G90" s="8" t="str">
        <f t="shared" si="1"/>
        <v>YORK EDGAR</v>
      </c>
    </row>
    <row r="91" spans="1:7" x14ac:dyDescent="0.25">
      <c r="A91" s="8">
        <v>42744.424247685187</v>
      </c>
      <c r="B91" s="21" t="s">
        <v>279</v>
      </c>
      <c r="C91" s="21" t="s">
        <v>515</v>
      </c>
      <c r="D91" s="160">
        <v>2010000</v>
      </c>
      <c r="E91" s="21" t="s">
        <v>357</v>
      </c>
      <c r="F91" s="21" t="s">
        <v>358</v>
      </c>
      <c r="G91" s="8" t="str">
        <f t="shared" si="1"/>
        <v>MAELZER KURT</v>
      </c>
    </row>
    <row r="92" spans="1:7" x14ac:dyDescent="0.25">
      <c r="A92" s="8">
        <v>42744.433530092596</v>
      </c>
      <c r="B92" s="21" t="s">
        <v>250</v>
      </c>
      <c r="C92" s="21" t="s">
        <v>439</v>
      </c>
      <c r="D92" s="160">
        <v>1110000</v>
      </c>
      <c r="E92" s="21" t="s">
        <v>459</v>
      </c>
      <c r="F92" s="21" t="s">
        <v>460</v>
      </c>
      <c r="G92" s="8" t="str">
        <f t="shared" si="1"/>
        <v>STARKS ANGELINA</v>
      </c>
    </row>
    <row r="93" spans="1:7" x14ac:dyDescent="0.25">
      <c r="A93" s="8">
        <v>42744.433587962965</v>
      </c>
      <c r="B93" s="21" t="s">
        <v>295</v>
      </c>
      <c r="C93" s="21" t="s">
        <v>517</v>
      </c>
      <c r="D93" s="160">
        <v>1990000</v>
      </c>
      <c r="E93" s="21" t="s">
        <v>359</v>
      </c>
      <c r="F93" s="21" t="s">
        <v>360</v>
      </c>
      <c r="G93" s="8" t="str">
        <f t="shared" si="1"/>
        <v>DAVIS WENDY</v>
      </c>
    </row>
    <row r="94" spans="1:7" x14ac:dyDescent="0.25">
      <c r="A94" s="8">
        <v>42744.43445601852</v>
      </c>
      <c r="B94" s="21" t="s">
        <v>250</v>
      </c>
      <c r="C94" s="21" t="s">
        <v>518</v>
      </c>
      <c r="D94" s="160">
        <v>1110000</v>
      </c>
      <c r="E94" s="21" t="s">
        <v>459</v>
      </c>
      <c r="F94" s="21" t="s">
        <v>460</v>
      </c>
      <c r="G94" s="8" t="str">
        <f t="shared" si="1"/>
        <v>STARKS ANGELINA</v>
      </c>
    </row>
    <row r="95" spans="1:7" x14ac:dyDescent="0.25">
      <c r="A95" s="8">
        <v>42744.435891203706</v>
      </c>
      <c r="B95" s="21" t="s">
        <v>259</v>
      </c>
      <c r="C95" s="21" t="s">
        <v>519</v>
      </c>
      <c r="D95" s="160">
        <v>1230000</v>
      </c>
      <c r="E95" s="21" t="s">
        <v>510</v>
      </c>
      <c r="F95" s="21" t="s">
        <v>511</v>
      </c>
      <c r="G95" s="8" t="str">
        <f t="shared" si="1"/>
        <v>YANAI IAN</v>
      </c>
    </row>
    <row r="96" spans="1:7" x14ac:dyDescent="0.25">
      <c r="A96" s="8">
        <v>42744.443449074075</v>
      </c>
      <c r="B96" s="21" t="s">
        <v>249</v>
      </c>
      <c r="C96" s="21" t="s">
        <v>520</v>
      </c>
      <c r="D96" s="160">
        <v>2680000</v>
      </c>
      <c r="E96" s="21" t="s">
        <v>310</v>
      </c>
      <c r="F96" s="21" t="s">
        <v>311</v>
      </c>
      <c r="G96" s="8" t="str">
        <f t="shared" si="1"/>
        <v>DUNCAN SHEILA</v>
      </c>
    </row>
    <row r="97" spans="1:7" x14ac:dyDescent="0.25">
      <c r="A97" s="8">
        <v>42744.444398148145</v>
      </c>
      <c r="B97" s="21" t="s">
        <v>202</v>
      </c>
      <c r="C97" s="21" t="s">
        <v>521</v>
      </c>
      <c r="D97" s="160">
        <v>2140000</v>
      </c>
      <c r="E97" s="21" t="s">
        <v>332</v>
      </c>
      <c r="F97" s="21" t="s">
        <v>333</v>
      </c>
      <c r="G97" s="8" t="str">
        <f t="shared" si="1"/>
        <v>ROBINSON KADDIBA</v>
      </c>
    </row>
    <row r="98" spans="1:7" x14ac:dyDescent="0.25">
      <c r="A98" s="8">
        <v>42744.445474537039</v>
      </c>
      <c r="B98" s="21" t="s">
        <v>330</v>
      </c>
      <c r="C98" s="21" t="s">
        <v>522</v>
      </c>
      <c r="D98" s="160">
        <v>2020000</v>
      </c>
      <c r="E98" s="21" t="s">
        <v>335</v>
      </c>
      <c r="F98" s="21" t="s">
        <v>331</v>
      </c>
      <c r="G98" s="8" t="str">
        <f t="shared" si="1"/>
        <v>SHOOK JOHN</v>
      </c>
    </row>
    <row r="99" spans="1:7" x14ac:dyDescent="0.25">
      <c r="A99" s="8">
        <v>42744.453645833331</v>
      </c>
      <c r="B99" s="21" t="s">
        <v>452</v>
      </c>
      <c r="C99" s="21" t="s">
        <v>523</v>
      </c>
      <c r="D99" s="160">
        <v>1830000</v>
      </c>
      <c r="E99" s="21" t="s">
        <v>284</v>
      </c>
      <c r="F99" s="21" t="s">
        <v>285</v>
      </c>
      <c r="G99" s="8" t="str">
        <f t="shared" si="1"/>
        <v>YORK EDGAR</v>
      </c>
    </row>
    <row r="100" spans="1:7" x14ac:dyDescent="0.25">
      <c r="A100" s="8">
        <v>42744.456493055557</v>
      </c>
      <c r="B100" s="21" t="s">
        <v>226</v>
      </c>
      <c r="C100" s="21" t="s">
        <v>524</v>
      </c>
      <c r="D100" s="160">
        <v>2730000</v>
      </c>
      <c r="E100" s="21" t="s">
        <v>525</v>
      </c>
      <c r="F100" s="21" t="s">
        <v>526</v>
      </c>
      <c r="G100" s="8" t="str">
        <f t="shared" si="1"/>
        <v>YANG JAN</v>
      </c>
    </row>
    <row r="101" spans="1:7" x14ac:dyDescent="0.25">
      <c r="A101" s="8">
        <v>42744.458032407405</v>
      </c>
      <c r="B101" s="21" t="s">
        <v>222</v>
      </c>
      <c r="C101" s="21" t="s">
        <v>527</v>
      </c>
      <c r="D101" s="160">
        <v>2680000</v>
      </c>
      <c r="E101" s="21" t="s">
        <v>310</v>
      </c>
      <c r="F101" s="21" t="s">
        <v>311</v>
      </c>
      <c r="G101" s="8" t="str">
        <f t="shared" si="1"/>
        <v>DUNCAN SHEILA</v>
      </c>
    </row>
    <row r="102" spans="1:7" x14ac:dyDescent="0.25">
      <c r="A102" s="8">
        <v>42744.467465277776</v>
      </c>
      <c r="B102" s="21" t="s">
        <v>251</v>
      </c>
      <c r="C102" s="21" t="s">
        <v>528</v>
      </c>
      <c r="D102" s="160">
        <v>920000</v>
      </c>
      <c r="E102" s="21" t="s">
        <v>359</v>
      </c>
      <c r="F102" s="21" t="s">
        <v>245</v>
      </c>
      <c r="G102" s="8" t="str">
        <f t="shared" si="1"/>
        <v>DAVIS MICHAEL</v>
      </c>
    </row>
    <row r="103" spans="1:7" x14ac:dyDescent="0.25">
      <c r="A103" s="8">
        <v>42744.47111111111</v>
      </c>
      <c r="B103" s="21" t="s">
        <v>448</v>
      </c>
      <c r="C103" s="21" t="s">
        <v>529</v>
      </c>
      <c r="D103" s="160">
        <v>2470000</v>
      </c>
      <c r="E103" s="21" t="s">
        <v>361</v>
      </c>
      <c r="F103" s="21" t="s">
        <v>362</v>
      </c>
      <c r="G103" s="8" t="str">
        <f t="shared" si="1"/>
        <v>ROMERO CHAD</v>
      </c>
    </row>
    <row r="104" spans="1:7" x14ac:dyDescent="0.25">
      <c r="A104" s="8">
        <v>42744.472997685189</v>
      </c>
      <c r="B104" s="21" t="s">
        <v>448</v>
      </c>
      <c r="C104" s="21" t="s">
        <v>529</v>
      </c>
      <c r="D104" s="160">
        <v>2470000</v>
      </c>
      <c r="E104" s="21" t="s">
        <v>361</v>
      </c>
      <c r="F104" s="21" t="s">
        <v>362</v>
      </c>
      <c r="G104" s="8" t="str">
        <f t="shared" si="1"/>
        <v>ROMERO CHAD</v>
      </c>
    </row>
    <row r="105" spans="1:7" x14ac:dyDescent="0.25">
      <c r="A105" s="8">
        <v>42744.473587962966</v>
      </c>
      <c r="B105" s="21" t="s">
        <v>448</v>
      </c>
      <c r="C105" s="21" t="s">
        <v>529</v>
      </c>
      <c r="D105" s="160">
        <v>2470000</v>
      </c>
      <c r="E105" s="21" t="s">
        <v>361</v>
      </c>
      <c r="F105" s="21" t="s">
        <v>362</v>
      </c>
      <c r="G105" s="8" t="str">
        <f t="shared" si="1"/>
        <v>ROMERO CHAD</v>
      </c>
    </row>
    <row r="106" spans="1:7" x14ac:dyDescent="0.25">
      <c r="A106" s="8">
        <v>42744.473715277774</v>
      </c>
      <c r="B106" s="21" t="s">
        <v>301</v>
      </c>
      <c r="C106" s="21" t="s">
        <v>530</v>
      </c>
      <c r="D106" s="160">
        <v>1990000</v>
      </c>
      <c r="E106" s="21" t="s">
        <v>359</v>
      </c>
      <c r="F106" s="21" t="s">
        <v>360</v>
      </c>
      <c r="G106" s="8" t="str">
        <f t="shared" si="1"/>
        <v>DAVIS WENDY</v>
      </c>
    </row>
    <row r="107" spans="1:7" x14ac:dyDescent="0.25">
      <c r="A107" s="8">
        <v>42744.474131944444</v>
      </c>
      <c r="B107" s="21" t="s">
        <v>258</v>
      </c>
      <c r="C107" s="21" t="s">
        <v>531</v>
      </c>
      <c r="D107" s="160">
        <v>930000</v>
      </c>
      <c r="E107" s="21" t="s">
        <v>532</v>
      </c>
      <c r="F107" s="21" t="s">
        <v>533</v>
      </c>
      <c r="G107" s="8" t="str">
        <f t="shared" si="1"/>
        <v>CLARK KATHLEEN</v>
      </c>
    </row>
    <row r="108" spans="1:7" x14ac:dyDescent="0.25">
      <c r="A108" s="8">
        <v>42744.47457175926</v>
      </c>
      <c r="B108" s="21" t="s">
        <v>448</v>
      </c>
      <c r="C108" s="21" t="s">
        <v>529</v>
      </c>
      <c r="D108" s="160">
        <v>2470000</v>
      </c>
      <c r="E108" s="21" t="s">
        <v>361</v>
      </c>
      <c r="F108" s="21" t="s">
        <v>362</v>
      </c>
      <c r="G108" s="8" t="str">
        <f t="shared" si="1"/>
        <v>ROMERO CHAD</v>
      </c>
    </row>
    <row r="109" spans="1:7" x14ac:dyDescent="0.25">
      <c r="A109" s="8">
        <v>42744.484155092592</v>
      </c>
      <c r="B109" s="21" t="s">
        <v>208</v>
      </c>
      <c r="C109" s="21" t="s">
        <v>534</v>
      </c>
      <c r="D109" s="160">
        <v>2140000</v>
      </c>
      <c r="E109" s="21" t="s">
        <v>332</v>
      </c>
      <c r="F109" s="21" t="s">
        <v>333</v>
      </c>
      <c r="G109" s="8" t="str">
        <f t="shared" si="1"/>
        <v>ROBINSON KADDIBA</v>
      </c>
    </row>
    <row r="110" spans="1:7" x14ac:dyDescent="0.25">
      <c r="A110" s="8">
        <v>42744.485821759263</v>
      </c>
      <c r="B110" s="21" t="s">
        <v>249</v>
      </c>
      <c r="C110" s="21" t="s">
        <v>535</v>
      </c>
      <c r="D110" s="160">
        <v>2680000</v>
      </c>
      <c r="E110" s="21" t="s">
        <v>310</v>
      </c>
      <c r="F110" s="21" t="s">
        <v>311</v>
      </c>
      <c r="G110" s="8" t="str">
        <f t="shared" si="1"/>
        <v>DUNCAN SHEILA</v>
      </c>
    </row>
    <row r="111" spans="1:7" x14ac:dyDescent="0.25">
      <c r="A111" s="8">
        <v>42744.488171296296</v>
      </c>
      <c r="B111" s="21" t="s">
        <v>334</v>
      </c>
      <c r="C111" s="21" t="s">
        <v>536</v>
      </c>
      <c r="D111" s="160">
        <v>1820000</v>
      </c>
      <c r="E111" s="21" t="s">
        <v>537</v>
      </c>
      <c r="F111" s="21" t="s">
        <v>538</v>
      </c>
      <c r="G111" s="8" t="str">
        <f t="shared" si="1"/>
        <v>ADANE ELSHADAY</v>
      </c>
    </row>
    <row r="112" spans="1:7" x14ac:dyDescent="0.25">
      <c r="A112" s="8">
        <v>42744.494432870371</v>
      </c>
      <c r="B112" s="21" t="s">
        <v>225</v>
      </c>
      <c r="C112" s="21" t="s">
        <v>539</v>
      </c>
      <c r="D112" s="160">
        <v>2250000</v>
      </c>
      <c r="E112" s="21" t="s">
        <v>302</v>
      </c>
      <c r="F112" s="21" t="s">
        <v>303</v>
      </c>
      <c r="G112" s="8" t="str">
        <f t="shared" si="1"/>
        <v>CRAYTON QUNTRELL</v>
      </c>
    </row>
    <row r="113" spans="1:7" x14ac:dyDescent="0.25">
      <c r="A113" s="8">
        <v>42744.495462962965</v>
      </c>
      <c r="B113" s="21" t="s">
        <v>279</v>
      </c>
      <c r="C113" s="21" t="s">
        <v>540</v>
      </c>
      <c r="D113" s="160">
        <v>2730000</v>
      </c>
      <c r="E113" s="21" t="s">
        <v>525</v>
      </c>
      <c r="F113" s="21" t="s">
        <v>526</v>
      </c>
      <c r="G113" s="8" t="str">
        <f t="shared" si="1"/>
        <v>YANG JAN</v>
      </c>
    </row>
    <row r="114" spans="1:7" x14ac:dyDescent="0.25">
      <c r="A114" s="8">
        <v>42744.500740740739</v>
      </c>
      <c r="B114" s="21" t="s">
        <v>541</v>
      </c>
      <c r="C114" s="21" t="s">
        <v>542</v>
      </c>
      <c r="D114" s="160">
        <v>1230000</v>
      </c>
      <c r="E114" s="21" t="s">
        <v>510</v>
      </c>
      <c r="F114" s="21" t="s">
        <v>511</v>
      </c>
      <c r="G114" s="8" t="str">
        <f t="shared" si="1"/>
        <v>YANAI IAN</v>
      </c>
    </row>
    <row r="115" spans="1:7" x14ac:dyDescent="0.25">
      <c r="A115" s="8">
        <v>42744.504826388889</v>
      </c>
      <c r="B115" s="21" t="s">
        <v>222</v>
      </c>
      <c r="C115" s="21" t="s">
        <v>543</v>
      </c>
      <c r="D115" s="160">
        <v>2680000</v>
      </c>
      <c r="E115" s="21" t="s">
        <v>310</v>
      </c>
      <c r="F115" s="21" t="s">
        <v>311</v>
      </c>
      <c r="G115" s="8" t="str">
        <f t="shared" si="1"/>
        <v>DUNCAN SHEILA</v>
      </c>
    </row>
    <row r="116" spans="1:7" x14ac:dyDescent="0.25">
      <c r="A116" s="8">
        <v>42744.506342592591</v>
      </c>
      <c r="B116" s="21" t="s">
        <v>250</v>
      </c>
      <c r="C116" s="21" t="s">
        <v>544</v>
      </c>
      <c r="D116" s="160">
        <v>920000</v>
      </c>
      <c r="E116" s="21" t="s">
        <v>359</v>
      </c>
      <c r="F116" s="21" t="s">
        <v>245</v>
      </c>
      <c r="G116" s="8" t="str">
        <f t="shared" si="1"/>
        <v>DAVIS MICHAEL</v>
      </c>
    </row>
    <row r="117" spans="1:7" x14ac:dyDescent="0.25">
      <c r="A117" s="8">
        <v>42744.508703703701</v>
      </c>
      <c r="B117" s="21" t="s">
        <v>295</v>
      </c>
      <c r="C117" s="21" t="s">
        <v>545</v>
      </c>
      <c r="D117" s="160">
        <v>2420000</v>
      </c>
      <c r="E117" s="21" t="s">
        <v>213</v>
      </c>
      <c r="F117" s="21" t="s">
        <v>363</v>
      </c>
      <c r="G117" s="8" t="str">
        <f t="shared" si="1"/>
        <v>HOLCOMB KAMDEN</v>
      </c>
    </row>
    <row r="118" spans="1:7" x14ac:dyDescent="0.25">
      <c r="A118" s="8">
        <v>42744.514976851853</v>
      </c>
      <c r="B118" s="21" t="s">
        <v>259</v>
      </c>
      <c r="C118" s="21" t="s">
        <v>546</v>
      </c>
      <c r="D118" s="160">
        <v>930000</v>
      </c>
      <c r="E118" s="21" t="s">
        <v>532</v>
      </c>
      <c r="F118" s="21" t="s">
        <v>533</v>
      </c>
      <c r="G118" s="8" t="str">
        <f t="shared" si="1"/>
        <v>CLARK KATHLEEN</v>
      </c>
    </row>
    <row r="119" spans="1:7" x14ac:dyDescent="0.25">
      <c r="A119" s="8">
        <v>42744.518321759257</v>
      </c>
      <c r="B119" s="21" t="s">
        <v>330</v>
      </c>
      <c r="C119" s="21" t="s">
        <v>547</v>
      </c>
      <c r="D119" s="160">
        <v>1820000</v>
      </c>
      <c r="E119" s="21" t="s">
        <v>537</v>
      </c>
      <c r="F119" s="21" t="s">
        <v>538</v>
      </c>
      <c r="G119" s="8" t="str">
        <f t="shared" si="1"/>
        <v>ADANE ELSHADAY</v>
      </c>
    </row>
    <row r="120" spans="1:7" x14ac:dyDescent="0.25">
      <c r="A120" s="8">
        <v>42744.519062500003</v>
      </c>
      <c r="B120" s="21" t="s">
        <v>202</v>
      </c>
      <c r="C120" s="21" t="s">
        <v>548</v>
      </c>
      <c r="D120" s="160">
        <v>2670000</v>
      </c>
      <c r="E120" s="21" t="s">
        <v>549</v>
      </c>
      <c r="F120" s="21" t="s">
        <v>550</v>
      </c>
      <c r="G120" s="8" t="str">
        <f t="shared" si="1"/>
        <v>COMELLA JUSTIN</v>
      </c>
    </row>
    <row r="121" spans="1:7" x14ac:dyDescent="0.25">
      <c r="A121" s="8">
        <v>42744.527025462965</v>
      </c>
      <c r="B121" s="21" t="s">
        <v>249</v>
      </c>
      <c r="C121" s="21" t="s">
        <v>551</v>
      </c>
      <c r="D121" s="160">
        <v>2680000</v>
      </c>
      <c r="E121" s="21" t="s">
        <v>310</v>
      </c>
      <c r="F121" s="21" t="s">
        <v>311</v>
      </c>
      <c r="G121" s="8" t="str">
        <f t="shared" si="1"/>
        <v>DUNCAN SHEILA</v>
      </c>
    </row>
    <row r="122" spans="1:7" x14ac:dyDescent="0.25">
      <c r="A122" s="8">
        <v>42744.528090277781</v>
      </c>
      <c r="B122" s="26" t="s">
        <v>226</v>
      </c>
      <c r="C122" s="21" t="s">
        <v>552</v>
      </c>
      <c r="D122" s="160">
        <v>2730000</v>
      </c>
      <c r="E122" s="21" t="s">
        <v>525</v>
      </c>
      <c r="F122" s="21" t="s">
        <v>526</v>
      </c>
      <c r="G122" s="8" t="str">
        <f t="shared" si="1"/>
        <v>YANG JAN</v>
      </c>
    </row>
    <row r="123" spans="1:7" x14ac:dyDescent="0.25">
      <c r="A123" s="8">
        <v>42744.528101851851</v>
      </c>
      <c r="B123" s="21" t="s">
        <v>249</v>
      </c>
      <c r="C123" s="21" t="s">
        <v>551</v>
      </c>
      <c r="D123" s="160">
        <v>2680000</v>
      </c>
      <c r="E123" s="21" t="s">
        <v>310</v>
      </c>
      <c r="F123" s="21" t="s">
        <v>311</v>
      </c>
      <c r="G123" s="8" t="str">
        <f t="shared" si="1"/>
        <v>DUNCAN SHEILA</v>
      </c>
    </row>
    <row r="124" spans="1:7" x14ac:dyDescent="0.25">
      <c r="A124" s="8">
        <v>42744.530335648145</v>
      </c>
      <c r="B124" s="21" t="s">
        <v>249</v>
      </c>
      <c r="C124" s="21" t="s">
        <v>551</v>
      </c>
      <c r="D124" s="160">
        <v>2680000</v>
      </c>
      <c r="E124" s="21" t="s">
        <v>310</v>
      </c>
      <c r="F124" s="21" t="s">
        <v>311</v>
      </c>
      <c r="G124" s="8" t="str">
        <f t="shared" si="1"/>
        <v>DUNCAN SHEILA</v>
      </c>
    </row>
    <row r="125" spans="1:7" x14ac:dyDescent="0.25">
      <c r="A125" s="8">
        <v>42744.531053240738</v>
      </c>
      <c r="B125" s="21" t="s">
        <v>249</v>
      </c>
      <c r="C125" s="21" t="s">
        <v>551</v>
      </c>
      <c r="D125" s="160">
        <v>2680000</v>
      </c>
      <c r="E125" s="21" t="s">
        <v>310</v>
      </c>
      <c r="F125" s="21" t="s">
        <v>311</v>
      </c>
      <c r="G125" s="8" t="str">
        <f t="shared" si="1"/>
        <v>DUNCAN SHEILA</v>
      </c>
    </row>
    <row r="126" spans="1:7" x14ac:dyDescent="0.25">
      <c r="A126" s="8">
        <v>42744.532685185186</v>
      </c>
      <c r="B126" s="21" t="s">
        <v>452</v>
      </c>
      <c r="C126" s="21" t="s">
        <v>553</v>
      </c>
      <c r="D126" s="160">
        <v>2250000</v>
      </c>
      <c r="E126" s="21" t="s">
        <v>302</v>
      </c>
      <c r="F126" s="21" t="s">
        <v>303</v>
      </c>
      <c r="G126" s="8" t="str">
        <f t="shared" si="1"/>
        <v>CRAYTON QUNTRELL</v>
      </c>
    </row>
    <row r="127" spans="1:7" x14ac:dyDescent="0.25">
      <c r="A127" s="8">
        <v>42744.538854166669</v>
      </c>
      <c r="B127" s="21" t="s">
        <v>251</v>
      </c>
      <c r="C127" s="21" t="s">
        <v>554</v>
      </c>
      <c r="D127" s="160">
        <v>920000</v>
      </c>
      <c r="E127" s="21" t="s">
        <v>359</v>
      </c>
      <c r="F127" s="21" t="s">
        <v>245</v>
      </c>
      <c r="G127" s="8" t="str">
        <f t="shared" si="1"/>
        <v>DAVIS MICHAEL</v>
      </c>
    </row>
    <row r="128" spans="1:7" x14ac:dyDescent="0.25">
      <c r="A128" s="8">
        <v>42744.540520833332</v>
      </c>
      <c r="B128" s="21" t="s">
        <v>301</v>
      </c>
      <c r="C128" s="21" t="s">
        <v>440</v>
      </c>
      <c r="D128" s="160">
        <v>2420000</v>
      </c>
      <c r="E128" s="21" t="s">
        <v>213</v>
      </c>
      <c r="F128" s="21" t="s">
        <v>363</v>
      </c>
      <c r="G128" s="8" t="str">
        <f t="shared" si="1"/>
        <v>HOLCOMB KAMDEN</v>
      </c>
    </row>
    <row r="129" spans="1:7" x14ac:dyDescent="0.25">
      <c r="A129" s="8">
        <v>42744.548483796294</v>
      </c>
      <c r="B129" s="21" t="s">
        <v>258</v>
      </c>
      <c r="C129" s="21" t="s">
        <v>555</v>
      </c>
      <c r="D129" s="160">
        <v>930000</v>
      </c>
      <c r="E129" s="21" t="s">
        <v>532</v>
      </c>
      <c r="F129" s="21" t="s">
        <v>533</v>
      </c>
      <c r="G129" s="8" t="str">
        <f t="shared" si="1"/>
        <v>CLARK KATHLEEN</v>
      </c>
    </row>
    <row r="130" spans="1:7" x14ac:dyDescent="0.25">
      <c r="A130" s="8">
        <v>42744.551562499997</v>
      </c>
      <c r="B130" s="21" t="s">
        <v>222</v>
      </c>
      <c r="C130" s="21" t="s">
        <v>556</v>
      </c>
      <c r="D130" s="160">
        <v>2710000</v>
      </c>
      <c r="E130" s="21" t="s">
        <v>557</v>
      </c>
      <c r="F130" s="21" t="s">
        <v>558</v>
      </c>
      <c r="G130" s="8" t="str">
        <f t="shared" si="1"/>
        <v>SIMMONS SHYHESHA</v>
      </c>
    </row>
    <row r="131" spans="1:7" x14ac:dyDescent="0.25">
      <c r="A131" s="8">
        <v>42744.553923611114</v>
      </c>
      <c r="B131" s="21" t="s">
        <v>208</v>
      </c>
      <c r="C131" s="21" t="s">
        <v>559</v>
      </c>
      <c r="D131" s="160">
        <v>2670000</v>
      </c>
      <c r="E131" s="21" t="s">
        <v>549</v>
      </c>
      <c r="F131" s="21" t="s">
        <v>550</v>
      </c>
      <c r="G131" s="8" t="str">
        <f t="shared" ref="G131:G194" si="2">E131&amp;" "&amp;F131</f>
        <v>COMELLA JUSTIN</v>
      </c>
    </row>
    <row r="132" spans="1:7" x14ac:dyDescent="0.25">
      <c r="A132" s="8">
        <v>42744.56009259259</v>
      </c>
      <c r="B132" s="21" t="s">
        <v>334</v>
      </c>
      <c r="C132" s="21" t="s">
        <v>560</v>
      </c>
      <c r="D132" s="160">
        <v>1820000</v>
      </c>
      <c r="E132" s="21" t="s">
        <v>537</v>
      </c>
      <c r="F132" s="21" t="s">
        <v>538</v>
      </c>
      <c r="G132" s="8" t="str">
        <f t="shared" si="2"/>
        <v>ADANE ELSHADAY</v>
      </c>
    </row>
    <row r="133" spans="1:7" x14ac:dyDescent="0.25">
      <c r="A133" s="8">
        <v>42744.56150462963</v>
      </c>
      <c r="B133" s="21" t="s">
        <v>279</v>
      </c>
      <c r="C133" s="21" t="s">
        <v>561</v>
      </c>
      <c r="D133" s="160">
        <v>2730000</v>
      </c>
      <c r="E133" s="21" t="s">
        <v>525</v>
      </c>
      <c r="F133" s="21" t="s">
        <v>526</v>
      </c>
      <c r="G133" s="8" t="str">
        <f t="shared" si="2"/>
        <v>YANG JAN</v>
      </c>
    </row>
    <row r="134" spans="1:7" x14ac:dyDescent="0.25">
      <c r="A134" s="8">
        <v>42744.567986111113</v>
      </c>
      <c r="B134" s="21" t="s">
        <v>249</v>
      </c>
      <c r="C134" s="21" t="s">
        <v>441</v>
      </c>
      <c r="D134" s="160">
        <v>2710000</v>
      </c>
      <c r="E134" s="21" t="s">
        <v>557</v>
      </c>
      <c r="F134" s="21" t="s">
        <v>558</v>
      </c>
      <c r="G134" s="8" t="str">
        <f t="shared" si="2"/>
        <v>SIMMONS SHYHESHA</v>
      </c>
    </row>
    <row r="135" spans="1:7" x14ac:dyDescent="0.25">
      <c r="A135" s="8">
        <v>42744.570844907408</v>
      </c>
      <c r="B135" s="21" t="s">
        <v>225</v>
      </c>
      <c r="C135" s="21" t="s">
        <v>562</v>
      </c>
      <c r="D135" s="160">
        <v>2250000</v>
      </c>
      <c r="E135" s="21" t="s">
        <v>302</v>
      </c>
      <c r="F135" s="21" t="s">
        <v>303</v>
      </c>
      <c r="G135" s="8" t="str">
        <f t="shared" si="2"/>
        <v>CRAYTON QUNTRELL</v>
      </c>
    </row>
    <row r="136" spans="1:7" x14ac:dyDescent="0.25">
      <c r="A136" s="8">
        <v>42744.577893518515</v>
      </c>
      <c r="B136" s="21" t="s">
        <v>250</v>
      </c>
      <c r="C136" s="21" t="s">
        <v>563</v>
      </c>
      <c r="D136" s="160">
        <v>920000</v>
      </c>
      <c r="E136" s="21" t="s">
        <v>359</v>
      </c>
      <c r="F136" s="21" t="s">
        <v>245</v>
      </c>
      <c r="G136" s="8" t="str">
        <f t="shared" si="2"/>
        <v>DAVIS MICHAEL</v>
      </c>
    </row>
    <row r="137" spans="1:7" x14ac:dyDescent="0.25">
      <c r="A137" s="8">
        <v>42744.580104166664</v>
      </c>
      <c r="B137" s="21" t="s">
        <v>295</v>
      </c>
      <c r="C137" s="21" t="s">
        <v>564</v>
      </c>
      <c r="D137" s="160">
        <v>2420000</v>
      </c>
      <c r="E137" s="21" t="s">
        <v>213</v>
      </c>
      <c r="F137" s="21" t="s">
        <v>363</v>
      </c>
      <c r="G137" s="8" t="str">
        <f t="shared" si="2"/>
        <v>HOLCOMB KAMDEN</v>
      </c>
    </row>
    <row r="138" spans="1:7" x14ac:dyDescent="0.25">
      <c r="A138" s="8">
        <v>42744.58630787037</v>
      </c>
      <c r="B138" s="21" t="s">
        <v>259</v>
      </c>
      <c r="C138" s="21" t="s">
        <v>565</v>
      </c>
      <c r="D138" s="160">
        <v>930000</v>
      </c>
      <c r="E138" s="21" t="s">
        <v>532</v>
      </c>
      <c r="F138" s="21" t="s">
        <v>533</v>
      </c>
      <c r="G138" s="8" t="str">
        <f t="shared" si="2"/>
        <v>CLARK KATHLEEN</v>
      </c>
    </row>
    <row r="139" spans="1:7" x14ac:dyDescent="0.25">
      <c r="A139" s="8">
        <v>42744.58997685185</v>
      </c>
      <c r="B139" s="21" t="s">
        <v>330</v>
      </c>
      <c r="C139" s="21" t="s">
        <v>560</v>
      </c>
      <c r="D139" s="160">
        <v>1820000</v>
      </c>
      <c r="E139" s="21" t="s">
        <v>537</v>
      </c>
      <c r="F139" s="21" t="s">
        <v>538</v>
      </c>
      <c r="G139" s="8" t="str">
        <f t="shared" si="2"/>
        <v>ADANE ELSHADAY</v>
      </c>
    </row>
    <row r="140" spans="1:7" x14ac:dyDescent="0.25">
      <c r="A140" s="8">
        <v>42744.590717592589</v>
      </c>
      <c r="B140" s="21" t="s">
        <v>330</v>
      </c>
      <c r="C140" s="21" t="s">
        <v>566</v>
      </c>
      <c r="D140" s="160">
        <v>1820000</v>
      </c>
      <c r="E140" s="21" t="s">
        <v>537</v>
      </c>
      <c r="F140" s="21" t="s">
        <v>538</v>
      </c>
      <c r="G140" s="8" t="str">
        <f t="shared" si="2"/>
        <v>ADANE ELSHADAY</v>
      </c>
    </row>
    <row r="141" spans="1:7" x14ac:dyDescent="0.25">
      <c r="A141" s="8">
        <v>42744.591828703706</v>
      </c>
      <c r="B141" s="21" t="s">
        <v>202</v>
      </c>
      <c r="C141" s="21" t="s">
        <v>567</v>
      </c>
      <c r="D141" s="160">
        <v>2670000</v>
      </c>
      <c r="E141" s="21" t="s">
        <v>549</v>
      </c>
      <c r="F141" s="21" t="s">
        <v>550</v>
      </c>
      <c r="G141" s="8" t="str">
        <f t="shared" si="2"/>
        <v>COMELLA JUSTIN</v>
      </c>
    </row>
    <row r="142" spans="1:7" x14ac:dyDescent="0.25">
      <c r="A142" s="8">
        <v>42744.594583333332</v>
      </c>
      <c r="B142" s="21" t="s">
        <v>222</v>
      </c>
      <c r="C142" s="21" t="s">
        <v>568</v>
      </c>
      <c r="D142" s="160">
        <v>2710000</v>
      </c>
      <c r="E142" s="21" t="s">
        <v>557</v>
      </c>
      <c r="F142" s="21" t="s">
        <v>558</v>
      </c>
      <c r="G142" s="8" t="str">
        <f t="shared" si="2"/>
        <v>SIMMONS SHYHESHA</v>
      </c>
    </row>
    <row r="143" spans="1:7" x14ac:dyDescent="0.25">
      <c r="A143" s="8">
        <v>42744.600821759261</v>
      </c>
      <c r="B143" s="21" t="s">
        <v>226</v>
      </c>
      <c r="C143" s="21" t="s">
        <v>442</v>
      </c>
      <c r="D143" s="160">
        <v>2730000</v>
      </c>
      <c r="E143" s="21" t="s">
        <v>525</v>
      </c>
      <c r="F143" s="21" t="s">
        <v>526</v>
      </c>
      <c r="G143" s="8" t="str">
        <f t="shared" si="2"/>
        <v>YANG JAN</v>
      </c>
    </row>
    <row r="144" spans="1:7" x14ac:dyDescent="0.25">
      <c r="A144" s="8">
        <v>42744.607754629629</v>
      </c>
      <c r="B144" s="21" t="s">
        <v>452</v>
      </c>
      <c r="C144" s="21" t="s">
        <v>569</v>
      </c>
      <c r="D144" s="160">
        <v>2250000</v>
      </c>
      <c r="E144" s="21" t="s">
        <v>302</v>
      </c>
      <c r="F144" s="21" t="s">
        <v>303</v>
      </c>
      <c r="G144" s="8" t="str">
        <f t="shared" si="2"/>
        <v>CRAYTON QUNTRELL</v>
      </c>
    </row>
    <row r="145" spans="1:7" x14ac:dyDescent="0.25">
      <c r="A145" s="8">
        <v>42744.609768518516</v>
      </c>
      <c r="B145" s="21" t="s">
        <v>249</v>
      </c>
      <c r="C145" s="21" t="s">
        <v>570</v>
      </c>
      <c r="D145" s="160">
        <v>2710000</v>
      </c>
      <c r="E145" s="21" t="s">
        <v>557</v>
      </c>
      <c r="F145" s="21" t="s">
        <v>558</v>
      </c>
      <c r="G145" s="8" t="str">
        <f t="shared" si="2"/>
        <v>SIMMONS SHYHESHA</v>
      </c>
    </row>
    <row r="146" spans="1:7" x14ac:dyDescent="0.25">
      <c r="A146" s="8">
        <v>42744.612430555557</v>
      </c>
      <c r="B146" s="21" t="s">
        <v>251</v>
      </c>
      <c r="C146" s="21" t="s">
        <v>443</v>
      </c>
      <c r="D146" s="160">
        <v>920000</v>
      </c>
      <c r="E146" s="21" t="s">
        <v>359</v>
      </c>
      <c r="F146" s="21" t="s">
        <v>245</v>
      </c>
      <c r="G146" s="8" t="str">
        <f t="shared" si="2"/>
        <v>DAVIS MICHAEL</v>
      </c>
    </row>
    <row r="147" spans="1:7" x14ac:dyDescent="0.25">
      <c r="A147" s="8">
        <v>42744.615289351852</v>
      </c>
      <c r="B147" s="21" t="s">
        <v>301</v>
      </c>
      <c r="C147" s="21" t="s">
        <v>445</v>
      </c>
      <c r="D147" s="160">
        <v>2420000</v>
      </c>
      <c r="E147" s="21" t="s">
        <v>213</v>
      </c>
      <c r="F147" s="21" t="s">
        <v>363</v>
      </c>
      <c r="G147" s="8" t="str">
        <f t="shared" si="2"/>
        <v>HOLCOMB KAMDEN</v>
      </c>
    </row>
    <row r="148" spans="1:7" x14ac:dyDescent="0.25">
      <c r="A148" s="8">
        <v>42744.621967592589</v>
      </c>
      <c r="B148" s="21" t="s">
        <v>258</v>
      </c>
      <c r="C148" s="21" t="s">
        <v>571</v>
      </c>
      <c r="D148" s="160">
        <v>930000</v>
      </c>
      <c r="E148" s="21" t="s">
        <v>532</v>
      </c>
      <c r="F148" s="21" t="s">
        <v>533</v>
      </c>
      <c r="G148" s="8" t="str">
        <f t="shared" si="2"/>
        <v>CLARK KATHLEEN</v>
      </c>
    </row>
    <row r="149" spans="1:7" x14ac:dyDescent="0.25">
      <c r="A149" s="8">
        <v>42744.626782407409</v>
      </c>
      <c r="B149" s="21" t="s">
        <v>208</v>
      </c>
      <c r="C149" s="21" t="s">
        <v>446</v>
      </c>
      <c r="D149" s="160">
        <v>2670000</v>
      </c>
      <c r="E149" s="21" t="s">
        <v>549</v>
      </c>
      <c r="F149" s="21" t="s">
        <v>550</v>
      </c>
      <c r="G149" s="8" t="str">
        <f t="shared" si="2"/>
        <v>COMELLA JUSTIN</v>
      </c>
    </row>
    <row r="150" spans="1:7" x14ac:dyDescent="0.25">
      <c r="A150" s="8">
        <v>42744.633252314816</v>
      </c>
      <c r="B150" s="21" t="s">
        <v>334</v>
      </c>
      <c r="C150" s="21" t="s">
        <v>572</v>
      </c>
      <c r="D150" s="160">
        <v>1820000</v>
      </c>
      <c r="E150" s="21" t="s">
        <v>537</v>
      </c>
      <c r="F150" s="21" t="s">
        <v>538</v>
      </c>
      <c r="G150" s="8" t="str">
        <f t="shared" si="2"/>
        <v>ADANE ELSHADAY</v>
      </c>
    </row>
    <row r="151" spans="1:7" x14ac:dyDescent="0.25">
      <c r="A151" s="8">
        <v>42744.634293981479</v>
      </c>
      <c r="B151" s="21" t="s">
        <v>222</v>
      </c>
      <c r="C151" s="21" t="s">
        <v>573</v>
      </c>
      <c r="D151" s="160">
        <v>2710000</v>
      </c>
      <c r="E151" s="21" t="s">
        <v>557</v>
      </c>
      <c r="F151" s="21" t="s">
        <v>558</v>
      </c>
      <c r="G151" s="8" t="str">
        <f t="shared" si="2"/>
        <v>SIMMONS SHYHESHA</v>
      </c>
    </row>
    <row r="152" spans="1:7" x14ac:dyDescent="0.25">
      <c r="A152" s="8">
        <v>42744.638124999998</v>
      </c>
      <c r="B152" s="21" t="s">
        <v>282</v>
      </c>
      <c r="C152" s="21" t="s">
        <v>444</v>
      </c>
      <c r="D152" s="160">
        <v>1810000</v>
      </c>
      <c r="E152" s="21" t="s">
        <v>255</v>
      </c>
      <c r="F152" s="21" t="s">
        <v>237</v>
      </c>
      <c r="G152" s="8" t="str">
        <f t="shared" si="2"/>
        <v>NEWELL JAMES</v>
      </c>
    </row>
    <row r="153" spans="1:7" x14ac:dyDescent="0.25">
      <c r="A153" s="8">
        <v>42744.63994212963</v>
      </c>
      <c r="B153" s="21" t="s">
        <v>282</v>
      </c>
      <c r="C153" s="21" t="s">
        <v>444</v>
      </c>
      <c r="D153" s="160">
        <v>1810000</v>
      </c>
      <c r="E153" s="21" t="s">
        <v>255</v>
      </c>
      <c r="F153" s="21" t="s">
        <v>237</v>
      </c>
      <c r="G153" s="8" t="str">
        <f t="shared" si="2"/>
        <v>NEWELL JAMES</v>
      </c>
    </row>
    <row r="154" spans="1:7" x14ac:dyDescent="0.25">
      <c r="A154" s="8">
        <v>42744.640393518515</v>
      </c>
      <c r="B154" s="21" t="s">
        <v>279</v>
      </c>
      <c r="C154" s="21" t="s">
        <v>574</v>
      </c>
      <c r="D154" s="160">
        <v>2730000</v>
      </c>
      <c r="E154" s="21" t="s">
        <v>525</v>
      </c>
      <c r="F154" s="21" t="s">
        <v>526</v>
      </c>
      <c r="G154" s="8" t="str">
        <f t="shared" si="2"/>
        <v>YANG JAN</v>
      </c>
    </row>
    <row r="155" spans="1:7" x14ac:dyDescent="0.25">
      <c r="A155" s="8">
        <v>42744.64162037037</v>
      </c>
      <c r="B155" s="21" t="s">
        <v>225</v>
      </c>
      <c r="C155" s="21" t="s">
        <v>575</v>
      </c>
      <c r="D155" s="160">
        <v>2250000</v>
      </c>
      <c r="E155" s="21" t="s">
        <v>302</v>
      </c>
      <c r="F155" s="21" t="s">
        <v>303</v>
      </c>
      <c r="G155" s="8" t="str">
        <f t="shared" si="2"/>
        <v>CRAYTON QUNTRELL</v>
      </c>
    </row>
    <row r="156" spans="1:7" x14ac:dyDescent="0.25">
      <c r="A156" s="8">
        <v>42744.651053240741</v>
      </c>
      <c r="B156" s="21" t="s">
        <v>283</v>
      </c>
      <c r="C156" s="21" t="s">
        <v>447</v>
      </c>
      <c r="D156" s="160">
        <v>1810000</v>
      </c>
      <c r="E156" s="21" t="s">
        <v>255</v>
      </c>
      <c r="F156" s="21" t="s">
        <v>237</v>
      </c>
      <c r="G156" s="8" t="str">
        <f t="shared" si="2"/>
        <v>NEWELL JAMES</v>
      </c>
    </row>
    <row r="157" spans="1:7" x14ac:dyDescent="0.25">
      <c r="A157" s="8">
        <v>42744.652291666665</v>
      </c>
      <c r="B157" s="21" t="s">
        <v>250</v>
      </c>
      <c r="C157" s="21" t="s">
        <v>576</v>
      </c>
      <c r="D157" s="160">
        <v>920000</v>
      </c>
      <c r="E157" s="21" t="s">
        <v>359</v>
      </c>
      <c r="F157" s="21" t="s">
        <v>245</v>
      </c>
      <c r="G157" s="8" t="str">
        <f t="shared" si="2"/>
        <v>DAVIS MICHAEL</v>
      </c>
    </row>
    <row r="158" spans="1:7" x14ac:dyDescent="0.25">
      <c r="A158" s="8">
        <v>42744.652430555558</v>
      </c>
      <c r="B158" s="21" t="s">
        <v>249</v>
      </c>
      <c r="C158" s="21" t="s">
        <v>577</v>
      </c>
      <c r="D158" s="160">
        <v>2710000</v>
      </c>
      <c r="E158" s="21" t="s">
        <v>557</v>
      </c>
      <c r="F158" s="21" t="s">
        <v>558</v>
      </c>
      <c r="G158" s="8" t="str">
        <f t="shared" si="2"/>
        <v>SIMMONS SHYHESHA</v>
      </c>
    </row>
    <row r="159" spans="1:7" x14ac:dyDescent="0.25">
      <c r="A159" s="8">
        <v>42744.654062499998</v>
      </c>
      <c r="B159" s="21" t="s">
        <v>295</v>
      </c>
      <c r="C159" s="21" t="s">
        <v>578</v>
      </c>
      <c r="D159" s="160">
        <v>2420000</v>
      </c>
      <c r="E159" s="21" t="s">
        <v>213</v>
      </c>
      <c r="F159" s="21" t="s">
        <v>363</v>
      </c>
      <c r="G159" s="8" t="str">
        <f t="shared" si="2"/>
        <v>HOLCOMB KAMDEN</v>
      </c>
    </row>
    <row r="160" spans="1:7" x14ac:dyDescent="0.25">
      <c r="A160" s="8">
        <v>42744.654814814814</v>
      </c>
      <c r="B160" s="21" t="s">
        <v>295</v>
      </c>
      <c r="C160" s="21" t="s">
        <v>578</v>
      </c>
      <c r="D160" s="160">
        <v>2420000</v>
      </c>
      <c r="E160" s="21" t="s">
        <v>213</v>
      </c>
      <c r="F160" s="21" t="s">
        <v>363</v>
      </c>
      <c r="G160" s="8" t="str">
        <f t="shared" si="2"/>
        <v>HOLCOMB KAMDEN</v>
      </c>
    </row>
    <row r="161" spans="1:7" x14ac:dyDescent="0.25">
      <c r="A161" s="8">
        <v>42744.658449074072</v>
      </c>
      <c r="B161" s="21" t="s">
        <v>259</v>
      </c>
      <c r="C161" s="21" t="s">
        <v>579</v>
      </c>
      <c r="D161" s="160">
        <v>930000</v>
      </c>
      <c r="E161" s="21" t="s">
        <v>532</v>
      </c>
      <c r="F161" s="21" t="s">
        <v>533</v>
      </c>
      <c r="G161" s="8" t="str">
        <f t="shared" si="2"/>
        <v>CLARK KATHLEEN</v>
      </c>
    </row>
    <row r="162" spans="1:7" x14ac:dyDescent="0.25">
      <c r="A162" s="8">
        <v>42744.661805555559</v>
      </c>
      <c r="B162" s="21" t="s">
        <v>202</v>
      </c>
      <c r="C162" s="21" t="s">
        <v>580</v>
      </c>
      <c r="D162" s="160">
        <v>2670000</v>
      </c>
      <c r="E162" s="21" t="s">
        <v>549</v>
      </c>
      <c r="F162" s="21" t="s">
        <v>550</v>
      </c>
      <c r="G162" s="8" t="str">
        <f t="shared" si="2"/>
        <v>COMELLA JUSTIN</v>
      </c>
    </row>
    <row r="163" spans="1:7" x14ac:dyDescent="0.25">
      <c r="A163" s="8">
        <v>42744.66302083333</v>
      </c>
      <c r="B163" s="21" t="s">
        <v>330</v>
      </c>
      <c r="C163" s="21" t="s">
        <v>581</v>
      </c>
      <c r="D163" s="160">
        <v>1820000</v>
      </c>
      <c r="E163" s="21" t="s">
        <v>537</v>
      </c>
      <c r="F163" s="21" t="s">
        <v>538</v>
      </c>
      <c r="G163" s="8" t="str">
        <f t="shared" si="2"/>
        <v>ADANE ELSHADAY</v>
      </c>
    </row>
    <row r="164" spans="1:7" x14ac:dyDescent="0.25">
      <c r="A164" s="8">
        <v>42744.672071759262</v>
      </c>
      <c r="B164" s="21" t="s">
        <v>282</v>
      </c>
      <c r="C164" s="21" t="s">
        <v>582</v>
      </c>
      <c r="D164" s="160">
        <v>1810000</v>
      </c>
      <c r="E164" s="21" t="s">
        <v>255</v>
      </c>
      <c r="F164" s="21" t="s">
        <v>237</v>
      </c>
      <c r="G164" s="8" t="str">
        <f t="shared" si="2"/>
        <v>NEWELL JAMES</v>
      </c>
    </row>
    <row r="165" spans="1:7" x14ac:dyDescent="0.25">
      <c r="A165" s="8">
        <v>42744.67728009259</v>
      </c>
      <c r="B165" s="21" t="s">
        <v>226</v>
      </c>
      <c r="C165" s="21" t="s">
        <v>583</v>
      </c>
      <c r="D165" s="160">
        <v>2730000</v>
      </c>
      <c r="E165" s="21" t="s">
        <v>525</v>
      </c>
      <c r="F165" s="21" t="s">
        <v>526</v>
      </c>
      <c r="G165" s="8" t="str">
        <f t="shared" si="2"/>
        <v>YANG JAN</v>
      </c>
    </row>
    <row r="166" spans="1:7" x14ac:dyDescent="0.25">
      <c r="A166" s="8">
        <v>42744.677974537037</v>
      </c>
      <c r="B166" s="21" t="s">
        <v>452</v>
      </c>
      <c r="C166" s="21" t="s">
        <v>584</v>
      </c>
      <c r="D166" s="160">
        <v>2250000</v>
      </c>
      <c r="E166" s="21" t="s">
        <v>302</v>
      </c>
      <c r="F166" s="21" t="s">
        <v>303</v>
      </c>
      <c r="G166" s="8" t="str">
        <f t="shared" si="2"/>
        <v>CRAYTON QUNTRELL</v>
      </c>
    </row>
    <row r="167" spans="1:7" x14ac:dyDescent="0.25">
      <c r="A167" s="8">
        <v>42744.679467592592</v>
      </c>
      <c r="B167" s="21" t="s">
        <v>222</v>
      </c>
      <c r="C167" s="21" t="s">
        <v>585</v>
      </c>
      <c r="D167" s="160">
        <v>2710000</v>
      </c>
      <c r="E167" s="21" t="s">
        <v>557</v>
      </c>
      <c r="F167" s="21" t="s">
        <v>558</v>
      </c>
      <c r="G167" s="8" t="str">
        <f t="shared" si="2"/>
        <v>SIMMONS SHYHESHA</v>
      </c>
    </row>
    <row r="168" spans="1:7" x14ac:dyDescent="0.25">
      <c r="A168" s="8">
        <v>42744.684317129628</v>
      </c>
      <c r="B168" s="21" t="s">
        <v>251</v>
      </c>
      <c r="C168" s="21" t="s">
        <v>586</v>
      </c>
      <c r="D168" s="160">
        <v>920000</v>
      </c>
      <c r="E168" s="21" t="s">
        <v>359</v>
      </c>
      <c r="F168" s="21" t="s">
        <v>245</v>
      </c>
      <c r="G168" s="8" t="str">
        <f t="shared" si="2"/>
        <v>DAVIS MICHAEL</v>
      </c>
    </row>
    <row r="169" spans="1:7" x14ac:dyDescent="0.25">
      <c r="A169" s="8">
        <v>42744.686898148146</v>
      </c>
      <c r="B169" s="21" t="s">
        <v>283</v>
      </c>
      <c r="C169" s="21" t="s">
        <v>587</v>
      </c>
      <c r="D169" s="160">
        <v>1810000</v>
      </c>
      <c r="E169" s="21" t="s">
        <v>255</v>
      </c>
      <c r="F169" s="21" t="s">
        <v>237</v>
      </c>
      <c r="G169" s="8" t="str">
        <f t="shared" si="2"/>
        <v>NEWELL JAMES</v>
      </c>
    </row>
    <row r="170" spans="1:7" x14ac:dyDescent="0.25">
      <c r="A170" s="8">
        <v>42744.688078703701</v>
      </c>
      <c r="B170" s="21" t="s">
        <v>301</v>
      </c>
      <c r="C170" s="21" t="s">
        <v>588</v>
      </c>
      <c r="D170" s="160">
        <v>2420000</v>
      </c>
      <c r="E170" s="21" t="s">
        <v>213</v>
      </c>
      <c r="F170" s="21" t="s">
        <v>363</v>
      </c>
      <c r="G170" s="8" t="str">
        <f t="shared" si="2"/>
        <v>HOLCOMB KAMDEN</v>
      </c>
    </row>
    <row r="171" spans="1:7" x14ac:dyDescent="0.25">
      <c r="A171" s="8">
        <v>42744.69295138889</v>
      </c>
      <c r="B171" s="21" t="s">
        <v>249</v>
      </c>
      <c r="C171" s="21" t="s">
        <v>589</v>
      </c>
      <c r="D171" s="160">
        <v>2710000</v>
      </c>
      <c r="E171" s="21" t="s">
        <v>557</v>
      </c>
      <c r="F171" s="21" t="s">
        <v>558</v>
      </c>
      <c r="G171" s="8" t="str">
        <f t="shared" si="2"/>
        <v>SIMMONS SHYHESHA</v>
      </c>
    </row>
    <row r="172" spans="1:7" x14ac:dyDescent="0.25">
      <c r="A172" s="8">
        <v>42744.69425925926</v>
      </c>
      <c r="B172" s="21" t="s">
        <v>258</v>
      </c>
      <c r="C172" s="21" t="s">
        <v>590</v>
      </c>
      <c r="D172" s="160">
        <v>930000</v>
      </c>
      <c r="E172" s="21" t="s">
        <v>532</v>
      </c>
      <c r="F172" s="21" t="s">
        <v>533</v>
      </c>
      <c r="G172" s="8" t="str">
        <f t="shared" si="2"/>
        <v>CLARK KATHLEEN</v>
      </c>
    </row>
    <row r="173" spans="1:7" x14ac:dyDescent="0.25">
      <c r="A173" s="8">
        <v>42744.700046296297</v>
      </c>
      <c r="B173" s="21" t="s">
        <v>208</v>
      </c>
      <c r="C173" s="21" t="s">
        <v>591</v>
      </c>
      <c r="D173" s="160">
        <v>2670000</v>
      </c>
      <c r="E173" s="21" t="s">
        <v>549</v>
      </c>
      <c r="F173" s="21" t="s">
        <v>550</v>
      </c>
      <c r="G173" s="8" t="str">
        <f t="shared" si="2"/>
        <v>COMELLA JUSTIN</v>
      </c>
    </row>
    <row r="174" spans="1:7" x14ac:dyDescent="0.25">
      <c r="A174" s="8">
        <v>42744.702546296299</v>
      </c>
      <c r="B174" s="21" t="s">
        <v>448</v>
      </c>
      <c r="C174" s="21" t="s">
        <v>449</v>
      </c>
      <c r="D174" s="160">
        <v>1800000</v>
      </c>
      <c r="E174" s="21" t="s">
        <v>229</v>
      </c>
      <c r="F174" s="21" t="s">
        <v>240</v>
      </c>
      <c r="G174" s="8" t="str">
        <f t="shared" si="2"/>
        <v>CHANDLER KELVIN</v>
      </c>
    </row>
    <row r="175" spans="1:7" x14ac:dyDescent="0.25">
      <c r="A175" s="8">
        <v>42744.703148148146</v>
      </c>
      <c r="B175" s="21" t="s">
        <v>334</v>
      </c>
      <c r="C175" s="21" t="s">
        <v>592</v>
      </c>
      <c r="D175" s="160">
        <v>1820000</v>
      </c>
      <c r="E175" s="21" t="s">
        <v>537</v>
      </c>
      <c r="F175" s="21" t="s">
        <v>538</v>
      </c>
      <c r="G175" s="8" t="str">
        <f t="shared" si="2"/>
        <v>ADANE ELSHADAY</v>
      </c>
    </row>
    <row r="176" spans="1:7" x14ac:dyDescent="0.25">
      <c r="A176" s="8">
        <v>42744.712395833332</v>
      </c>
      <c r="B176" s="21" t="s">
        <v>279</v>
      </c>
      <c r="C176" s="21" t="s">
        <v>593</v>
      </c>
      <c r="D176" s="160">
        <v>2730000</v>
      </c>
      <c r="E176" s="21" t="s">
        <v>525</v>
      </c>
      <c r="F176" s="21" t="s">
        <v>526</v>
      </c>
      <c r="G176" s="8" t="str">
        <f t="shared" si="2"/>
        <v>YANG JAN</v>
      </c>
    </row>
    <row r="177" spans="1:7" x14ac:dyDescent="0.25">
      <c r="A177" s="8">
        <v>42744.714143518519</v>
      </c>
      <c r="B177" s="21" t="s">
        <v>282</v>
      </c>
      <c r="C177" s="21" t="s">
        <v>594</v>
      </c>
      <c r="D177" s="160">
        <v>1810000</v>
      </c>
      <c r="E177" s="21" t="s">
        <v>255</v>
      </c>
      <c r="F177" s="21" t="s">
        <v>237</v>
      </c>
      <c r="G177" s="8" t="str">
        <f t="shared" si="2"/>
        <v>NEWELL JAMES</v>
      </c>
    </row>
    <row r="178" spans="1:7" x14ac:dyDescent="0.25">
      <c r="A178" s="8">
        <v>42744.717719907407</v>
      </c>
      <c r="B178" s="21" t="s">
        <v>222</v>
      </c>
      <c r="C178" s="21" t="s">
        <v>595</v>
      </c>
      <c r="D178" s="160">
        <v>2710000</v>
      </c>
      <c r="E178" s="21" t="s">
        <v>557</v>
      </c>
      <c r="F178" s="21" t="s">
        <v>558</v>
      </c>
      <c r="G178" s="8" t="str">
        <f t="shared" si="2"/>
        <v>SIMMONS SHYHESHA</v>
      </c>
    </row>
    <row r="179" spans="1:7" x14ac:dyDescent="0.25">
      <c r="A179" s="8">
        <v>42744.718101851853</v>
      </c>
      <c r="B179" s="21" t="s">
        <v>225</v>
      </c>
      <c r="C179" s="21" t="s">
        <v>596</v>
      </c>
      <c r="D179" s="160">
        <v>1800000</v>
      </c>
      <c r="E179" s="21" t="s">
        <v>229</v>
      </c>
      <c r="F179" s="21" t="s">
        <v>240</v>
      </c>
      <c r="G179" s="8" t="str">
        <f t="shared" si="2"/>
        <v>CHANDLER KELVIN</v>
      </c>
    </row>
    <row r="180" spans="1:7" x14ac:dyDescent="0.25">
      <c r="A180" s="8">
        <v>42744.723020833335</v>
      </c>
      <c r="B180" s="21" t="s">
        <v>250</v>
      </c>
      <c r="C180" s="21" t="s">
        <v>597</v>
      </c>
      <c r="D180" s="160">
        <v>920000</v>
      </c>
      <c r="E180" s="21" t="s">
        <v>359</v>
      </c>
      <c r="F180" s="21" t="s">
        <v>245</v>
      </c>
      <c r="G180" s="8" t="str">
        <f t="shared" si="2"/>
        <v>DAVIS MICHAEL</v>
      </c>
    </row>
    <row r="181" spans="1:7" x14ac:dyDescent="0.25">
      <c r="A181" s="8">
        <v>42744.723402777781</v>
      </c>
      <c r="B181" s="21" t="s">
        <v>205</v>
      </c>
      <c r="C181" s="21" t="s">
        <v>598</v>
      </c>
      <c r="D181" s="160">
        <v>2230000</v>
      </c>
      <c r="E181" s="21" t="s">
        <v>254</v>
      </c>
      <c r="F181" s="21" t="s">
        <v>245</v>
      </c>
      <c r="G181" s="8" t="str">
        <f t="shared" si="2"/>
        <v>SMITH MICHAEL</v>
      </c>
    </row>
    <row r="182" spans="1:7" x14ac:dyDescent="0.25">
      <c r="A182" s="8">
        <v>42744.72457175926</v>
      </c>
      <c r="B182" s="21" t="s">
        <v>183</v>
      </c>
      <c r="C182" s="21" t="s">
        <v>599</v>
      </c>
      <c r="D182" s="160">
        <v>2280000</v>
      </c>
      <c r="E182" s="21" t="s">
        <v>600</v>
      </c>
      <c r="F182" s="21" t="s">
        <v>601</v>
      </c>
      <c r="G182" s="8" t="str">
        <f t="shared" si="2"/>
        <v>MAHAN DUANE</v>
      </c>
    </row>
    <row r="183" spans="1:7" x14ac:dyDescent="0.25">
      <c r="A183" s="8">
        <v>42744.725740740738</v>
      </c>
      <c r="B183" s="21" t="s">
        <v>295</v>
      </c>
      <c r="C183" s="21" t="s">
        <v>602</v>
      </c>
      <c r="D183" s="160">
        <v>2250000</v>
      </c>
      <c r="E183" s="21" t="s">
        <v>302</v>
      </c>
      <c r="F183" s="21" t="s">
        <v>303</v>
      </c>
      <c r="G183" s="8" t="str">
        <f t="shared" si="2"/>
        <v>CRAYTON QUNTRELL</v>
      </c>
    </row>
    <row r="184" spans="1:7" x14ac:dyDescent="0.25">
      <c r="A184" s="8">
        <v>42744.727638888886</v>
      </c>
      <c r="B184" s="21" t="s">
        <v>283</v>
      </c>
      <c r="C184" s="21" t="s">
        <v>603</v>
      </c>
      <c r="D184" s="160">
        <v>1810000</v>
      </c>
      <c r="E184" s="21" t="s">
        <v>255</v>
      </c>
      <c r="F184" s="21" t="s">
        <v>237</v>
      </c>
      <c r="G184" s="8" t="str">
        <f t="shared" si="2"/>
        <v>NEWELL JAMES</v>
      </c>
    </row>
    <row r="185" spans="1:7" x14ac:dyDescent="0.25">
      <c r="A185" s="8">
        <v>42744.729629629626</v>
      </c>
      <c r="B185" s="21" t="s">
        <v>541</v>
      </c>
      <c r="C185" s="21" t="s">
        <v>604</v>
      </c>
      <c r="D185" s="160">
        <v>2420000</v>
      </c>
      <c r="E185" s="21" t="s">
        <v>213</v>
      </c>
      <c r="F185" s="21" t="s">
        <v>363</v>
      </c>
      <c r="G185" s="8" t="str">
        <f t="shared" si="2"/>
        <v>HOLCOMB KAMDEN</v>
      </c>
    </row>
    <row r="186" spans="1:7" x14ac:dyDescent="0.25">
      <c r="A186" s="8">
        <v>42744.735127314816</v>
      </c>
      <c r="B186" s="21" t="s">
        <v>249</v>
      </c>
      <c r="C186" s="21" t="s">
        <v>605</v>
      </c>
      <c r="D186" s="160">
        <v>2710000</v>
      </c>
      <c r="E186" s="21" t="s">
        <v>557</v>
      </c>
      <c r="F186" s="21" t="s">
        <v>558</v>
      </c>
      <c r="G186" s="8" t="str">
        <f t="shared" si="2"/>
        <v>SIMMONS SHYHESHA</v>
      </c>
    </row>
    <row r="187" spans="1:7" x14ac:dyDescent="0.25">
      <c r="A187" s="8">
        <v>42744.735196759262</v>
      </c>
      <c r="B187" s="21" t="s">
        <v>259</v>
      </c>
      <c r="C187" s="21" t="s">
        <v>606</v>
      </c>
      <c r="D187" s="160">
        <v>930000</v>
      </c>
      <c r="E187" s="21" t="s">
        <v>532</v>
      </c>
      <c r="F187" s="21" t="s">
        <v>533</v>
      </c>
      <c r="G187" s="8" t="str">
        <f t="shared" si="2"/>
        <v>CLARK KATHLEEN</v>
      </c>
    </row>
    <row r="188" spans="1:7" x14ac:dyDescent="0.25">
      <c r="A188" s="8">
        <v>42744.735914351855</v>
      </c>
      <c r="B188" s="21" t="s">
        <v>330</v>
      </c>
      <c r="C188" s="21" t="s">
        <v>450</v>
      </c>
      <c r="D188" s="160">
        <v>1820000</v>
      </c>
      <c r="E188" s="21" t="s">
        <v>537</v>
      </c>
      <c r="F188" s="21" t="s">
        <v>538</v>
      </c>
      <c r="G188" s="8" t="str">
        <f t="shared" si="2"/>
        <v>ADANE ELSHADAY</v>
      </c>
    </row>
    <row r="189" spans="1:7" x14ac:dyDescent="0.25">
      <c r="A189" s="8">
        <v>42744.737916666665</v>
      </c>
      <c r="B189" s="21" t="s">
        <v>202</v>
      </c>
      <c r="C189" s="21" t="s">
        <v>607</v>
      </c>
      <c r="D189" s="160">
        <v>2230000</v>
      </c>
      <c r="E189" s="21" t="s">
        <v>254</v>
      </c>
      <c r="F189" s="21" t="s">
        <v>245</v>
      </c>
      <c r="G189" s="8" t="str">
        <f t="shared" si="2"/>
        <v>SMITH MICHAEL</v>
      </c>
    </row>
    <row r="190" spans="1:7" x14ac:dyDescent="0.25">
      <c r="A190" s="8">
        <v>42744.742465277777</v>
      </c>
      <c r="B190" s="21" t="s">
        <v>183</v>
      </c>
      <c r="C190" s="21" t="s">
        <v>608</v>
      </c>
      <c r="D190" s="160">
        <v>2670000</v>
      </c>
      <c r="E190" s="21" t="s">
        <v>549</v>
      </c>
      <c r="F190" s="21" t="s">
        <v>550</v>
      </c>
      <c r="G190" s="8" t="str">
        <f t="shared" si="2"/>
        <v>COMELLA JUSTIN</v>
      </c>
    </row>
    <row r="191" spans="1:7" x14ac:dyDescent="0.25">
      <c r="A191" s="8">
        <v>42744.74423611111</v>
      </c>
      <c r="B191" s="21" t="s">
        <v>336</v>
      </c>
      <c r="C191" s="21" t="s">
        <v>609</v>
      </c>
      <c r="D191" s="160">
        <v>2630000</v>
      </c>
      <c r="E191" s="21" t="s">
        <v>366</v>
      </c>
      <c r="F191" s="21" t="s">
        <v>367</v>
      </c>
      <c r="G191" s="8" t="str">
        <f t="shared" si="2"/>
        <v>SAFIEF AEIMEN</v>
      </c>
    </row>
    <row r="192" spans="1:7" x14ac:dyDescent="0.25">
      <c r="A192" s="8">
        <v>42744.751319444447</v>
      </c>
      <c r="B192" s="21" t="s">
        <v>226</v>
      </c>
      <c r="C192" s="21" t="s">
        <v>599</v>
      </c>
      <c r="D192" s="160">
        <v>2280000</v>
      </c>
      <c r="E192" s="21" t="s">
        <v>600</v>
      </c>
      <c r="F192" s="21" t="s">
        <v>601</v>
      </c>
      <c r="G192" s="8" t="str">
        <f t="shared" si="2"/>
        <v>MAHAN DUANE</v>
      </c>
    </row>
    <row r="193" spans="1:7" x14ac:dyDescent="0.25">
      <c r="A193" s="8">
        <v>42744.755231481482</v>
      </c>
      <c r="B193" s="21" t="s">
        <v>282</v>
      </c>
      <c r="C193" s="21" t="s">
        <v>610</v>
      </c>
      <c r="D193" s="160">
        <v>1810000</v>
      </c>
      <c r="E193" s="21" t="s">
        <v>255</v>
      </c>
      <c r="F193" s="21" t="s">
        <v>237</v>
      </c>
      <c r="G193" s="8" t="str">
        <f t="shared" si="2"/>
        <v>NEWELL JAMES</v>
      </c>
    </row>
    <row r="194" spans="1:7" x14ac:dyDescent="0.25">
      <c r="A194" s="8">
        <v>42744.756840277776</v>
      </c>
      <c r="B194" s="21" t="s">
        <v>204</v>
      </c>
      <c r="C194" s="21" t="s">
        <v>611</v>
      </c>
      <c r="D194" s="160">
        <v>2730000</v>
      </c>
      <c r="E194" s="21" t="s">
        <v>525</v>
      </c>
      <c r="F194" s="21" t="s">
        <v>526</v>
      </c>
      <c r="G194" s="8" t="str">
        <f t="shared" si="2"/>
        <v>YANG JAN</v>
      </c>
    </row>
    <row r="195" spans="1:7" x14ac:dyDescent="0.25">
      <c r="A195" s="8">
        <v>42744.756932870368</v>
      </c>
      <c r="B195" s="21" t="s">
        <v>452</v>
      </c>
      <c r="C195" s="21" t="s">
        <v>612</v>
      </c>
      <c r="D195" s="160">
        <v>1800000</v>
      </c>
      <c r="E195" s="21" t="s">
        <v>229</v>
      </c>
      <c r="F195" s="21" t="s">
        <v>240</v>
      </c>
      <c r="G195" s="8" t="str">
        <f t="shared" ref="G195:G258" si="3">E195&amp;" "&amp;F195</f>
        <v>CHANDLER KELVIN</v>
      </c>
    </row>
    <row r="196" spans="1:7" x14ac:dyDescent="0.25">
      <c r="A196" s="8">
        <v>42744.759398148148</v>
      </c>
      <c r="B196" s="21" t="s">
        <v>251</v>
      </c>
      <c r="C196" s="21" t="s">
        <v>613</v>
      </c>
      <c r="D196" s="160">
        <v>2550000</v>
      </c>
      <c r="E196" s="21" t="s">
        <v>211</v>
      </c>
      <c r="F196" s="21" t="s">
        <v>338</v>
      </c>
      <c r="G196" s="8" t="str">
        <f t="shared" si="3"/>
        <v>BADERTSCHER DIANE</v>
      </c>
    </row>
    <row r="197" spans="1:7" x14ac:dyDescent="0.25">
      <c r="A197" s="8">
        <v>42744.762106481481</v>
      </c>
      <c r="B197" s="21" t="s">
        <v>301</v>
      </c>
      <c r="C197" s="21" t="s">
        <v>614</v>
      </c>
      <c r="D197" s="160">
        <v>2250000</v>
      </c>
      <c r="E197" s="21" t="s">
        <v>302</v>
      </c>
      <c r="F197" s="21" t="s">
        <v>303</v>
      </c>
      <c r="G197" s="8" t="str">
        <f t="shared" si="3"/>
        <v>CRAYTON QUNTRELL</v>
      </c>
    </row>
    <row r="198" spans="1:7" x14ac:dyDescent="0.25">
      <c r="A198" s="8">
        <v>42744.762928240743</v>
      </c>
      <c r="B198" s="21" t="s">
        <v>222</v>
      </c>
      <c r="C198" s="21" t="s">
        <v>615</v>
      </c>
      <c r="D198" s="160">
        <v>2710000</v>
      </c>
      <c r="E198" s="21" t="s">
        <v>557</v>
      </c>
      <c r="F198" s="21" t="s">
        <v>558</v>
      </c>
      <c r="G198" s="8" t="str">
        <f t="shared" si="3"/>
        <v>SIMMONS SHYHESHA</v>
      </c>
    </row>
    <row r="199" spans="1:7" x14ac:dyDescent="0.25">
      <c r="A199" s="8">
        <v>42744.769490740742</v>
      </c>
      <c r="B199" s="21" t="s">
        <v>258</v>
      </c>
      <c r="C199" s="21" t="s">
        <v>616</v>
      </c>
      <c r="D199" s="160">
        <v>1740000</v>
      </c>
      <c r="E199" s="21" t="s">
        <v>617</v>
      </c>
      <c r="F199" s="21" t="s">
        <v>618</v>
      </c>
      <c r="G199" s="8" t="str">
        <f t="shared" si="3"/>
        <v>STORY SAMANTHA</v>
      </c>
    </row>
    <row r="200" spans="1:7" x14ac:dyDescent="0.25">
      <c r="A200" s="8">
        <v>42744.772083333337</v>
      </c>
      <c r="B200" s="21" t="s">
        <v>283</v>
      </c>
      <c r="C200" s="21" t="s">
        <v>619</v>
      </c>
      <c r="D200" s="160">
        <v>1810000</v>
      </c>
      <c r="E200" s="21" t="s">
        <v>255</v>
      </c>
      <c r="F200" s="21" t="s">
        <v>237</v>
      </c>
      <c r="G200" s="8" t="str">
        <f t="shared" si="3"/>
        <v>NEWELL JAMES</v>
      </c>
    </row>
    <row r="201" spans="1:7" x14ac:dyDescent="0.25">
      <c r="A201" s="8">
        <v>42744.772164351853</v>
      </c>
      <c r="B201" s="21" t="s">
        <v>208</v>
      </c>
      <c r="C201" s="21" t="s">
        <v>620</v>
      </c>
      <c r="D201" s="160">
        <v>2230000</v>
      </c>
      <c r="E201" s="21" t="s">
        <v>254</v>
      </c>
      <c r="F201" s="21" t="s">
        <v>245</v>
      </c>
      <c r="G201" s="8" t="str">
        <f t="shared" si="3"/>
        <v>SMITH MICHAEL</v>
      </c>
    </row>
    <row r="202" spans="1:7" x14ac:dyDescent="0.25">
      <c r="A202" s="27">
        <v>42744.776493055557</v>
      </c>
      <c r="B202" s="21" t="s">
        <v>249</v>
      </c>
      <c r="C202" s="21" t="s">
        <v>451</v>
      </c>
      <c r="D202" s="160">
        <v>2710000</v>
      </c>
      <c r="E202" s="21" t="s">
        <v>557</v>
      </c>
      <c r="F202" s="21" t="s">
        <v>558</v>
      </c>
      <c r="G202" s="8" t="str">
        <f t="shared" si="3"/>
        <v>SIMMONS SHYHESHA</v>
      </c>
    </row>
    <row r="203" spans="1:7" x14ac:dyDescent="0.25">
      <c r="A203" s="8">
        <v>42744.777719907404</v>
      </c>
      <c r="B203" s="21" t="s">
        <v>334</v>
      </c>
      <c r="C203" s="21" t="s">
        <v>621</v>
      </c>
      <c r="D203" s="160">
        <v>1820000</v>
      </c>
      <c r="E203" s="21" t="s">
        <v>537</v>
      </c>
      <c r="F203" s="21" t="s">
        <v>538</v>
      </c>
      <c r="G203" s="8" t="str">
        <f t="shared" si="3"/>
        <v>ADANE ELSHADAY</v>
      </c>
    </row>
    <row r="204" spans="1:7" x14ac:dyDescent="0.25">
      <c r="A204" s="8">
        <v>42744.779675925929</v>
      </c>
      <c r="B204" s="21" t="s">
        <v>306</v>
      </c>
      <c r="C204" s="21" t="s">
        <v>622</v>
      </c>
      <c r="D204" s="160">
        <v>2670000</v>
      </c>
      <c r="E204" s="21" t="s">
        <v>549</v>
      </c>
      <c r="F204" s="21" t="s">
        <v>550</v>
      </c>
      <c r="G204" s="8" t="str">
        <f t="shared" si="3"/>
        <v>COMELLA JUSTIN</v>
      </c>
    </row>
    <row r="205" spans="1:7" x14ac:dyDescent="0.25">
      <c r="A205" s="8">
        <v>42744.789594907408</v>
      </c>
      <c r="B205" s="21" t="s">
        <v>225</v>
      </c>
      <c r="C205" s="21" t="s">
        <v>623</v>
      </c>
      <c r="D205" s="160">
        <v>1800000</v>
      </c>
      <c r="E205" s="21" t="s">
        <v>229</v>
      </c>
      <c r="F205" s="21" t="s">
        <v>240</v>
      </c>
      <c r="G205" s="8" t="str">
        <f t="shared" si="3"/>
        <v>CHANDLER KELVIN</v>
      </c>
    </row>
    <row r="206" spans="1:7" x14ac:dyDescent="0.25">
      <c r="A206" s="8">
        <v>42744.790972222225</v>
      </c>
      <c r="B206" s="21" t="s">
        <v>250</v>
      </c>
      <c r="C206" s="21" t="s">
        <v>624</v>
      </c>
      <c r="D206" s="160">
        <v>2550000</v>
      </c>
      <c r="E206" s="21" t="s">
        <v>211</v>
      </c>
      <c r="F206" s="21" t="s">
        <v>338</v>
      </c>
      <c r="G206" s="8" t="str">
        <f t="shared" si="3"/>
        <v>BADERTSCHER DIANE</v>
      </c>
    </row>
    <row r="207" spans="1:7" x14ac:dyDescent="0.25">
      <c r="A207" s="8">
        <v>42744.796435185184</v>
      </c>
      <c r="B207" s="21" t="s">
        <v>282</v>
      </c>
      <c r="C207" s="21" t="s">
        <v>625</v>
      </c>
      <c r="D207" s="160">
        <v>1810000</v>
      </c>
      <c r="E207" s="21" t="s">
        <v>255</v>
      </c>
      <c r="F207" s="21" t="s">
        <v>237</v>
      </c>
      <c r="G207" s="8" t="str">
        <f t="shared" si="3"/>
        <v>NEWELL JAMES</v>
      </c>
    </row>
    <row r="208" spans="1:7" x14ac:dyDescent="0.25">
      <c r="A208" s="8">
        <v>42744.797037037039</v>
      </c>
      <c r="B208" s="21" t="s">
        <v>295</v>
      </c>
      <c r="C208" s="21" t="s">
        <v>626</v>
      </c>
      <c r="D208" s="160">
        <v>2250000</v>
      </c>
      <c r="E208" s="21" t="s">
        <v>302</v>
      </c>
      <c r="F208" s="21" t="s">
        <v>303</v>
      </c>
      <c r="G208" s="8" t="str">
        <f t="shared" si="3"/>
        <v>CRAYTON QUNTRELL</v>
      </c>
    </row>
    <row r="209" spans="1:7" x14ac:dyDescent="0.25">
      <c r="A209" s="8">
        <v>42744.804016203707</v>
      </c>
      <c r="B209" s="21" t="s">
        <v>222</v>
      </c>
      <c r="C209" s="21" t="s">
        <v>627</v>
      </c>
      <c r="D209" s="160">
        <v>2710000</v>
      </c>
      <c r="E209" s="21" t="s">
        <v>557</v>
      </c>
      <c r="F209" s="21" t="s">
        <v>558</v>
      </c>
      <c r="G209" s="8" t="str">
        <f t="shared" si="3"/>
        <v>SIMMONS SHYHESHA</v>
      </c>
    </row>
    <row r="210" spans="1:7" x14ac:dyDescent="0.25">
      <c r="A210" s="8">
        <v>42744.806956018518</v>
      </c>
      <c r="B210" s="21" t="s">
        <v>259</v>
      </c>
      <c r="C210" s="21" t="s">
        <v>628</v>
      </c>
      <c r="D210" s="160">
        <v>1740000</v>
      </c>
      <c r="E210" s="21" t="s">
        <v>617</v>
      </c>
      <c r="F210" s="21" t="s">
        <v>618</v>
      </c>
      <c r="G210" s="8" t="str">
        <f t="shared" si="3"/>
        <v>STORY SAMANTHA</v>
      </c>
    </row>
    <row r="211" spans="1:7" x14ac:dyDescent="0.25">
      <c r="A211" s="8">
        <v>42744.809131944443</v>
      </c>
      <c r="B211" s="21" t="s">
        <v>202</v>
      </c>
      <c r="C211" s="21" t="s">
        <v>629</v>
      </c>
      <c r="D211" s="160">
        <v>2230000</v>
      </c>
      <c r="E211" s="21" t="s">
        <v>254</v>
      </c>
      <c r="F211" s="21" t="s">
        <v>245</v>
      </c>
      <c r="G211" s="8" t="str">
        <f t="shared" si="3"/>
        <v>SMITH MICHAEL</v>
      </c>
    </row>
    <row r="212" spans="1:7" x14ac:dyDescent="0.25">
      <c r="A212" s="8">
        <v>42744.817881944444</v>
      </c>
      <c r="B212" s="21" t="s">
        <v>249</v>
      </c>
      <c r="C212" s="21" t="s">
        <v>630</v>
      </c>
      <c r="D212" s="160">
        <v>2710000</v>
      </c>
      <c r="E212" s="21" t="s">
        <v>557</v>
      </c>
      <c r="F212" s="21" t="s">
        <v>558</v>
      </c>
      <c r="G212" s="8" t="str">
        <f t="shared" si="3"/>
        <v>SIMMONS SHYHESHA</v>
      </c>
    </row>
    <row r="213" spans="1:7" x14ac:dyDescent="0.25">
      <c r="A213" s="8">
        <v>42744.81858796296</v>
      </c>
      <c r="B213" s="21" t="s">
        <v>183</v>
      </c>
      <c r="C213" s="21" t="s">
        <v>631</v>
      </c>
      <c r="D213" s="160">
        <v>2670000</v>
      </c>
      <c r="E213" s="21" t="s">
        <v>549</v>
      </c>
      <c r="F213" s="21" t="s">
        <v>550</v>
      </c>
      <c r="G213" s="8" t="str">
        <f t="shared" si="3"/>
        <v>COMELLA JUSTIN</v>
      </c>
    </row>
    <row r="214" spans="1:7" x14ac:dyDescent="0.25">
      <c r="A214" s="8">
        <v>42744.826724537037</v>
      </c>
      <c r="B214" s="21" t="s">
        <v>452</v>
      </c>
      <c r="C214" s="21" t="s">
        <v>632</v>
      </c>
      <c r="D214" s="160">
        <v>1800000</v>
      </c>
      <c r="E214" s="21" t="s">
        <v>229</v>
      </c>
      <c r="F214" s="21" t="s">
        <v>240</v>
      </c>
      <c r="G214" s="8" t="str">
        <f t="shared" si="3"/>
        <v>CHANDLER KELVIN</v>
      </c>
    </row>
    <row r="215" spans="1:7" x14ac:dyDescent="0.25">
      <c r="A215" s="8">
        <v>42744.832187499997</v>
      </c>
      <c r="B215" s="21" t="s">
        <v>251</v>
      </c>
      <c r="C215" s="21" t="s">
        <v>633</v>
      </c>
      <c r="D215" s="160">
        <v>2550000</v>
      </c>
      <c r="E215" s="21" t="s">
        <v>211</v>
      </c>
      <c r="F215" s="21" t="s">
        <v>338</v>
      </c>
      <c r="G215" s="8" t="str">
        <f t="shared" si="3"/>
        <v>BADERTSCHER DIANE</v>
      </c>
    </row>
    <row r="216" spans="1:7" x14ac:dyDescent="0.25">
      <c r="A216" s="8">
        <v>42744.843182870369</v>
      </c>
      <c r="B216" s="21" t="s">
        <v>208</v>
      </c>
      <c r="C216" s="21" t="s">
        <v>634</v>
      </c>
      <c r="D216" s="160">
        <v>2230000</v>
      </c>
      <c r="E216" s="21" t="s">
        <v>254</v>
      </c>
      <c r="F216" s="21" t="s">
        <v>245</v>
      </c>
      <c r="G216" s="8" t="str">
        <f t="shared" si="3"/>
        <v>SMITH MICHAEL</v>
      </c>
    </row>
    <row r="217" spans="1:7" x14ac:dyDescent="0.25">
      <c r="A217" s="8">
        <v>42744.845879629633</v>
      </c>
      <c r="B217" s="21" t="s">
        <v>258</v>
      </c>
      <c r="C217" s="21" t="s">
        <v>635</v>
      </c>
      <c r="D217" s="160">
        <v>1740000</v>
      </c>
      <c r="E217" s="21" t="s">
        <v>617</v>
      </c>
      <c r="F217" s="21" t="s">
        <v>618</v>
      </c>
      <c r="G217" s="8" t="str">
        <f t="shared" si="3"/>
        <v>STORY SAMANTHA</v>
      </c>
    </row>
    <row r="218" spans="1:7" x14ac:dyDescent="0.25">
      <c r="A218" s="8">
        <v>42744.845914351848</v>
      </c>
      <c r="B218" s="21" t="s">
        <v>222</v>
      </c>
      <c r="C218" s="21" t="s">
        <v>636</v>
      </c>
      <c r="D218" s="160">
        <v>2710000</v>
      </c>
      <c r="E218" s="21" t="s">
        <v>557</v>
      </c>
      <c r="F218" s="21" t="s">
        <v>558</v>
      </c>
      <c r="G218" s="8" t="str">
        <f t="shared" si="3"/>
        <v>SIMMONS SHYHESHA</v>
      </c>
    </row>
    <row r="219" spans="1:7" x14ac:dyDescent="0.25">
      <c r="A219" s="8">
        <v>42744.859444444446</v>
      </c>
      <c r="B219" s="21" t="s">
        <v>249</v>
      </c>
      <c r="C219" s="21" t="s">
        <v>637</v>
      </c>
      <c r="D219" s="160">
        <v>2710000</v>
      </c>
      <c r="E219" s="21" t="s">
        <v>557</v>
      </c>
      <c r="F219" s="21" t="s">
        <v>558</v>
      </c>
      <c r="G219" s="8" t="str">
        <f t="shared" si="3"/>
        <v>SIMMONS SHYHESHA</v>
      </c>
    </row>
    <row r="220" spans="1:7" x14ac:dyDescent="0.25">
      <c r="A220" s="8">
        <v>42744.867731481485</v>
      </c>
      <c r="B220" s="21" t="s">
        <v>250</v>
      </c>
      <c r="C220" s="21" t="s">
        <v>638</v>
      </c>
      <c r="D220" s="160">
        <v>2550000</v>
      </c>
      <c r="E220" s="21" t="s">
        <v>211</v>
      </c>
      <c r="F220" s="21" t="s">
        <v>338</v>
      </c>
      <c r="G220" s="8" t="str">
        <f t="shared" si="3"/>
        <v>BADERTSCHER DIANE</v>
      </c>
    </row>
    <row r="221" spans="1:7" x14ac:dyDescent="0.25">
      <c r="A221" s="8">
        <v>42744.873831018522</v>
      </c>
      <c r="B221" s="21" t="s">
        <v>225</v>
      </c>
      <c r="C221" s="21" t="s">
        <v>639</v>
      </c>
      <c r="D221" s="160">
        <v>1800000</v>
      </c>
      <c r="E221" s="21" t="s">
        <v>229</v>
      </c>
      <c r="F221" s="21" t="s">
        <v>240</v>
      </c>
      <c r="G221" s="8" t="str">
        <f t="shared" si="3"/>
        <v>CHANDLER KELVIN</v>
      </c>
    </row>
    <row r="222" spans="1:7" x14ac:dyDescent="0.25">
      <c r="A222" s="8">
        <v>42744.87568287037</v>
      </c>
      <c r="B222" s="21" t="s">
        <v>222</v>
      </c>
      <c r="C222" s="21" t="s">
        <v>640</v>
      </c>
      <c r="D222" s="160">
        <v>1810000</v>
      </c>
      <c r="E222" s="21" t="s">
        <v>255</v>
      </c>
      <c r="F222" s="21" t="s">
        <v>237</v>
      </c>
      <c r="G222" s="8" t="str">
        <f t="shared" si="3"/>
        <v>NEWELL JAMES</v>
      </c>
    </row>
    <row r="223" spans="1:7" x14ac:dyDescent="0.25">
      <c r="A223" s="8">
        <v>42744.888414351852</v>
      </c>
      <c r="B223" s="21" t="s">
        <v>202</v>
      </c>
      <c r="C223" s="21" t="s">
        <v>641</v>
      </c>
      <c r="D223" s="160">
        <v>2230000</v>
      </c>
      <c r="E223" s="21" t="s">
        <v>254</v>
      </c>
      <c r="F223" s="21" t="s">
        <v>245</v>
      </c>
      <c r="G223" s="8" t="str">
        <f t="shared" si="3"/>
        <v>SMITH MICHAEL</v>
      </c>
    </row>
    <row r="224" spans="1:7" x14ac:dyDescent="0.25">
      <c r="A224" s="8">
        <v>42744.889189814814</v>
      </c>
      <c r="B224" t="s">
        <v>259</v>
      </c>
      <c r="C224" t="s">
        <v>642</v>
      </c>
      <c r="D224" s="160">
        <v>1740000</v>
      </c>
      <c r="E224" t="s">
        <v>617</v>
      </c>
      <c r="F224" s="21" t="s">
        <v>618</v>
      </c>
      <c r="G224" s="8" t="str">
        <f t="shared" si="3"/>
        <v>STORY SAMANTHA</v>
      </c>
    </row>
    <row r="225" spans="1:7" x14ac:dyDescent="0.25">
      <c r="A225" s="8">
        <v>42744.900914351849</v>
      </c>
      <c r="B225" t="s">
        <v>249</v>
      </c>
      <c r="C225" t="s">
        <v>643</v>
      </c>
      <c r="D225" s="160">
        <v>1810000</v>
      </c>
      <c r="E225" t="s">
        <v>255</v>
      </c>
      <c r="F225" s="21" t="s">
        <v>237</v>
      </c>
      <c r="G225" s="8" t="str">
        <f t="shared" si="3"/>
        <v>NEWELL JAMES</v>
      </c>
    </row>
    <row r="226" spans="1:7" x14ac:dyDescent="0.25">
      <c r="A226" s="8">
        <v>42744.90556712963</v>
      </c>
      <c r="B226" t="s">
        <v>251</v>
      </c>
      <c r="C226" t="s">
        <v>644</v>
      </c>
      <c r="D226" s="160">
        <v>2550000</v>
      </c>
      <c r="E226" t="s">
        <v>211</v>
      </c>
      <c r="F226" s="21" t="s">
        <v>338</v>
      </c>
      <c r="G226" s="8" t="str">
        <f t="shared" si="3"/>
        <v>BADERTSCHER DIANE</v>
      </c>
    </row>
    <row r="227" spans="1:7" x14ac:dyDescent="0.25">
      <c r="A227" s="8">
        <v>42744.912962962961</v>
      </c>
      <c r="B227" t="s">
        <v>452</v>
      </c>
      <c r="C227" t="s">
        <v>453</v>
      </c>
      <c r="D227" s="160">
        <v>1800000</v>
      </c>
      <c r="E227" t="s">
        <v>229</v>
      </c>
      <c r="F227" s="21" t="s">
        <v>240</v>
      </c>
      <c r="G227" s="8" t="str">
        <f t="shared" si="3"/>
        <v>CHANDLER KELVIN</v>
      </c>
    </row>
    <row r="228" spans="1:7" x14ac:dyDescent="0.25">
      <c r="A228" s="8">
        <v>42744.915312500001</v>
      </c>
      <c r="B228" t="s">
        <v>222</v>
      </c>
      <c r="C228" t="s">
        <v>645</v>
      </c>
      <c r="D228" s="160">
        <v>1810000</v>
      </c>
      <c r="E228" t="s">
        <v>255</v>
      </c>
      <c r="F228" s="21" t="s">
        <v>237</v>
      </c>
      <c r="G228" s="8" t="str">
        <f t="shared" si="3"/>
        <v>NEWELL JAMES</v>
      </c>
    </row>
    <row r="229" spans="1:7" x14ac:dyDescent="0.25">
      <c r="A229" s="8">
        <v>42744.925613425927</v>
      </c>
      <c r="B229" t="s">
        <v>258</v>
      </c>
      <c r="C229" t="s">
        <v>646</v>
      </c>
      <c r="D229" s="160">
        <v>1740000</v>
      </c>
      <c r="E229" t="s">
        <v>617</v>
      </c>
      <c r="F229" s="21" t="s">
        <v>618</v>
      </c>
      <c r="G229" s="8" t="str">
        <f t="shared" si="3"/>
        <v>STORY SAMANTHA</v>
      </c>
    </row>
    <row r="230" spans="1:7" x14ac:dyDescent="0.25">
      <c r="A230" s="8">
        <v>42744.929039351853</v>
      </c>
      <c r="B230" t="s">
        <v>208</v>
      </c>
      <c r="C230" t="s">
        <v>647</v>
      </c>
      <c r="D230" s="160">
        <v>2230000</v>
      </c>
      <c r="E230" t="s">
        <v>254</v>
      </c>
      <c r="F230" s="21" t="s">
        <v>245</v>
      </c>
      <c r="G230" s="8" t="str">
        <f t="shared" si="3"/>
        <v>SMITH MICHAEL</v>
      </c>
    </row>
    <row r="231" spans="1:7" x14ac:dyDescent="0.25">
      <c r="A231" s="8">
        <v>42744.942800925928</v>
      </c>
      <c r="B231" t="s">
        <v>249</v>
      </c>
      <c r="C231" t="s">
        <v>648</v>
      </c>
      <c r="D231" s="160">
        <v>1810000</v>
      </c>
      <c r="E231" t="s">
        <v>255</v>
      </c>
      <c r="F231" s="21" t="s">
        <v>237</v>
      </c>
      <c r="G231" s="8" t="str">
        <f t="shared" si="3"/>
        <v>NEWELL JAMES</v>
      </c>
    </row>
    <row r="232" spans="1:7" x14ac:dyDescent="0.25">
      <c r="A232" s="8">
        <v>42744.95</v>
      </c>
      <c r="B232" t="s">
        <v>250</v>
      </c>
      <c r="C232" t="s">
        <v>649</v>
      </c>
      <c r="D232" s="160">
        <v>2550000</v>
      </c>
      <c r="E232" t="s">
        <v>211</v>
      </c>
      <c r="F232" s="21" t="s">
        <v>338</v>
      </c>
      <c r="G232" s="8" t="str">
        <f t="shared" si="3"/>
        <v>BADERTSCHER DIANE</v>
      </c>
    </row>
    <row r="233" spans="1:7" x14ac:dyDescent="0.25">
      <c r="A233" s="8">
        <v>42744.955428240741</v>
      </c>
      <c r="B233" t="s">
        <v>225</v>
      </c>
      <c r="C233" t="s">
        <v>650</v>
      </c>
      <c r="D233" s="160">
        <v>1800000</v>
      </c>
      <c r="E233" t="s">
        <v>229</v>
      </c>
      <c r="F233" s="21" t="s">
        <v>240</v>
      </c>
      <c r="G233" s="8" t="str">
        <f t="shared" si="3"/>
        <v>CHANDLER KELVIN</v>
      </c>
    </row>
    <row r="234" spans="1:7" x14ac:dyDescent="0.25">
      <c r="A234" s="8">
        <v>42744.969155092593</v>
      </c>
      <c r="B234" t="s">
        <v>202</v>
      </c>
      <c r="C234" t="s">
        <v>651</v>
      </c>
      <c r="D234" s="160">
        <v>2230000</v>
      </c>
      <c r="E234" t="s">
        <v>254</v>
      </c>
      <c r="F234" s="21" t="s">
        <v>245</v>
      </c>
      <c r="G234" s="8" t="str">
        <f t="shared" si="3"/>
        <v>SMITH MICHAEL</v>
      </c>
    </row>
    <row r="235" spans="1:7" x14ac:dyDescent="0.25">
      <c r="A235" s="8">
        <v>42744.971296296295</v>
      </c>
      <c r="B235" t="s">
        <v>259</v>
      </c>
      <c r="C235" t="s">
        <v>652</v>
      </c>
      <c r="D235" s="160">
        <v>1740000</v>
      </c>
      <c r="E235" t="s">
        <v>617</v>
      </c>
      <c r="F235" s="21" t="s">
        <v>618</v>
      </c>
      <c r="G235" s="8" t="str">
        <f t="shared" si="3"/>
        <v>STORY SAMANTHA</v>
      </c>
    </row>
    <row r="236" spans="1:7" x14ac:dyDescent="0.25">
      <c r="A236" s="8">
        <v>42744.992442129631</v>
      </c>
      <c r="B236" t="s">
        <v>452</v>
      </c>
      <c r="C236" t="s">
        <v>653</v>
      </c>
      <c r="D236" s="160">
        <v>1800000</v>
      </c>
      <c r="E236" t="s">
        <v>229</v>
      </c>
      <c r="F236" s="21" t="s">
        <v>240</v>
      </c>
      <c r="G236" s="8" t="str">
        <f t="shared" si="3"/>
        <v>CHANDLER KELVIN</v>
      </c>
    </row>
    <row r="237" spans="1:7" x14ac:dyDescent="0.25">
      <c r="A237" s="8">
        <v>42744.993437500001</v>
      </c>
      <c r="B237" t="s">
        <v>251</v>
      </c>
      <c r="C237" t="s">
        <v>654</v>
      </c>
      <c r="D237" s="160">
        <v>2550000</v>
      </c>
      <c r="E237" t="s">
        <v>211</v>
      </c>
      <c r="F237" s="21" t="s">
        <v>338</v>
      </c>
      <c r="G237" s="8" t="str">
        <f t="shared" si="3"/>
        <v>BADERTSCHER DIANE</v>
      </c>
    </row>
    <row r="238" spans="1:7" x14ac:dyDescent="0.25">
      <c r="A238" s="8">
        <v>42745.01</v>
      </c>
      <c r="B238" t="s">
        <v>258</v>
      </c>
      <c r="C238" t="s">
        <v>655</v>
      </c>
      <c r="D238" s="160">
        <v>1740000</v>
      </c>
      <c r="E238" t="s">
        <v>617</v>
      </c>
      <c r="F238" s="21" t="s">
        <v>618</v>
      </c>
      <c r="G238" s="8" t="str">
        <f t="shared" si="3"/>
        <v>STORY SAMANTHA</v>
      </c>
    </row>
    <row r="239" spans="1:7" x14ac:dyDescent="0.25">
      <c r="A239" s="8">
        <v>42745.01053240741</v>
      </c>
      <c r="B239" t="s">
        <v>208</v>
      </c>
      <c r="C239" t="s">
        <v>656</v>
      </c>
      <c r="D239" s="160">
        <v>2230000</v>
      </c>
      <c r="E239" t="s">
        <v>254</v>
      </c>
      <c r="F239" s="21" t="s">
        <v>245</v>
      </c>
      <c r="G239" s="8" t="str">
        <f t="shared" si="3"/>
        <v>SMITH MICHAEL</v>
      </c>
    </row>
    <row r="240" spans="1:7" x14ac:dyDescent="0.25">
      <c r="A240" s="8">
        <v>42745.029351851852</v>
      </c>
      <c r="B240" t="s">
        <v>225</v>
      </c>
      <c r="C240" t="s">
        <v>657</v>
      </c>
      <c r="D240" s="160">
        <v>1800000</v>
      </c>
      <c r="E240" t="s">
        <v>229</v>
      </c>
      <c r="F240" s="21" t="s">
        <v>240</v>
      </c>
      <c r="G240" s="8" t="str">
        <f t="shared" si="3"/>
        <v>CHANDLER KELVIN</v>
      </c>
    </row>
    <row r="241" spans="1:7" x14ac:dyDescent="0.25">
      <c r="A241" s="8">
        <v>42745.030347222222</v>
      </c>
      <c r="B241" t="s">
        <v>225</v>
      </c>
      <c r="C241" t="s">
        <v>657</v>
      </c>
      <c r="D241" s="160">
        <v>1800000</v>
      </c>
      <c r="E241" t="s">
        <v>229</v>
      </c>
      <c r="F241" s="21" t="s">
        <v>240</v>
      </c>
      <c r="G241" s="8" t="str">
        <f t="shared" si="3"/>
        <v>CHANDLER KELVIN</v>
      </c>
    </row>
    <row r="242" spans="1:7" x14ac:dyDescent="0.25">
      <c r="A242" s="8">
        <v>42745.048182870371</v>
      </c>
      <c r="B242" t="s">
        <v>202</v>
      </c>
      <c r="C242" t="s">
        <v>658</v>
      </c>
      <c r="D242" s="160">
        <v>2230000</v>
      </c>
      <c r="E242" t="s">
        <v>254</v>
      </c>
      <c r="F242" s="21" t="s">
        <v>245</v>
      </c>
      <c r="G242" s="8" t="str">
        <f t="shared" si="3"/>
        <v>SMITH MICHAEL</v>
      </c>
    </row>
    <row r="243" spans="1:7" x14ac:dyDescent="0.25">
      <c r="A243" s="8">
        <v>42745.05296296296</v>
      </c>
      <c r="B243" t="s">
        <v>259</v>
      </c>
      <c r="C243" t="s">
        <v>659</v>
      </c>
      <c r="D243" s="160">
        <v>1740000</v>
      </c>
      <c r="E243" t="s">
        <v>617</v>
      </c>
      <c r="F243" s="21" t="s">
        <v>618</v>
      </c>
      <c r="G243" s="8" t="str">
        <f t="shared" si="3"/>
        <v>STORY SAMANTHA</v>
      </c>
    </row>
    <row r="244" spans="1:7" x14ac:dyDescent="0.25">
      <c r="A244" s="8">
        <v>42745.070613425924</v>
      </c>
      <c r="B244" t="s">
        <v>251</v>
      </c>
      <c r="C244" t="s">
        <v>660</v>
      </c>
      <c r="D244" s="160">
        <v>2550000</v>
      </c>
      <c r="E244" t="s">
        <v>211</v>
      </c>
      <c r="F244" s="21" t="s">
        <v>338</v>
      </c>
      <c r="G244" s="8" t="str">
        <f t="shared" si="3"/>
        <v>BADERTSCHER DIANE</v>
      </c>
    </row>
    <row r="245" spans="1:7" x14ac:dyDescent="0.25">
      <c r="A245" s="8">
        <v>42745.071817129632</v>
      </c>
      <c r="B245" t="s">
        <v>251</v>
      </c>
      <c r="C245" t="s">
        <v>660</v>
      </c>
      <c r="D245" s="160">
        <v>2550000</v>
      </c>
      <c r="E245" t="s">
        <v>211</v>
      </c>
      <c r="F245" s="21" t="s">
        <v>338</v>
      </c>
      <c r="G245" s="8" t="str">
        <f t="shared" si="3"/>
        <v>BADERTSCHER DIANE</v>
      </c>
    </row>
    <row r="246" spans="1:7" x14ac:dyDescent="0.25">
      <c r="A246" s="8">
        <v>42745.07372685185</v>
      </c>
      <c r="B246" t="s">
        <v>251</v>
      </c>
      <c r="C246" t="s">
        <v>660</v>
      </c>
      <c r="D246" s="160">
        <v>2550000</v>
      </c>
      <c r="E246" t="s">
        <v>211</v>
      </c>
      <c r="F246" s="21" t="s">
        <v>338</v>
      </c>
      <c r="G246" s="8" t="str">
        <f t="shared" si="3"/>
        <v>BADERTSCHER DIANE</v>
      </c>
    </row>
    <row r="247" spans="1:7" x14ac:dyDescent="0.25">
      <c r="A247" s="8">
        <v>42745.075243055559</v>
      </c>
      <c r="B247" t="s">
        <v>251</v>
      </c>
      <c r="C247" t="s">
        <v>660</v>
      </c>
      <c r="D247" s="160">
        <v>2550000</v>
      </c>
      <c r="E247" t="s">
        <v>211</v>
      </c>
      <c r="F247" s="21" t="s">
        <v>338</v>
      </c>
      <c r="G247" s="8" t="str">
        <f t="shared" si="3"/>
        <v>BADERTSCHER DIANE</v>
      </c>
    </row>
    <row r="248" spans="1:7" x14ac:dyDescent="0.25">
      <c r="A248" s="8">
        <v>42745.089085648149</v>
      </c>
      <c r="B248" t="s">
        <v>258</v>
      </c>
      <c r="C248" t="s">
        <v>661</v>
      </c>
      <c r="D248" s="160">
        <v>1740000</v>
      </c>
      <c r="E248" t="s">
        <v>617</v>
      </c>
      <c r="F248" s="21" t="s">
        <v>618</v>
      </c>
      <c r="G248" s="8" t="str">
        <f t="shared" si="3"/>
        <v>STORY SAMANTHA</v>
      </c>
    </row>
    <row r="249" spans="1:7" x14ac:dyDescent="0.25">
      <c r="A249" s="8">
        <v>42745.089837962965</v>
      </c>
      <c r="B249" t="s">
        <v>258</v>
      </c>
      <c r="C249" t="s">
        <v>661</v>
      </c>
      <c r="D249" s="160">
        <v>1740000</v>
      </c>
      <c r="E249" t="s">
        <v>617</v>
      </c>
      <c r="F249" s="21" t="s">
        <v>618</v>
      </c>
      <c r="G249" s="8" t="str">
        <f t="shared" si="3"/>
        <v>STORY SAMANTHA</v>
      </c>
    </row>
    <row r="250" spans="1:7" x14ac:dyDescent="0.25">
      <c r="A250" s="8">
        <v>42745.090416666666</v>
      </c>
      <c r="B250" t="s">
        <v>258</v>
      </c>
      <c r="C250" t="s">
        <v>661</v>
      </c>
      <c r="D250" s="160">
        <v>1740000</v>
      </c>
      <c r="E250" t="s">
        <v>617</v>
      </c>
      <c r="F250" s="21" t="s">
        <v>618</v>
      </c>
      <c r="G250" s="8" t="str">
        <f t="shared" si="3"/>
        <v>STORY SAMANTHA</v>
      </c>
    </row>
    <row r="251" spans="1:7" x14ac:dyDescent="0.25">
      <c r="A251" s="8">
        <v>42723.006990740738</v>
      </c>
      <c r="B251" t="s">
        <v>258</v>
      </c>
      <c r="C251" t="s">
        <v>262</v>
      </c>
      <c r="D251" s="160">
        <v>2000000</v>
      </c>
      <c r="E251" t="s">
        <v>207</v>
      </c>
      <c r="F251" s="21" t="s">
        <v>237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263</v>
      </c>
      <c r="D252" s="160">
        <v>1800000</v>
      </c>
      <c r="E252" t="s">
        <v>229</v>
      </c>
      <c r="F252" s="21" t="s">
        <v>240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249</v>
      </c>
      <c r="C253" t="s">
        <v>264</v>
      </c>
      <c r="D253" s="160">
        <v>2230000</v>
      </c>
      <c r="E253" t="s">
        <v>254</v>
      </c>
      <c r="F253" s="21" t="s">
        <v>245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251</v>
      </c>
      <c r="C254" t="s">
        <v>265</v>
      </c>
      <c r="D254" s="160">
        <v>1810000</v>
      </c>
      <c r="E254" t="s">
        <v>255</v>
      </c>
      <c r="F254" s="21" t="s">
        <v>237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259</v>
      </c>
      <c r="C255" t="s">
        <v>266</v>
      </c>
      <c r="D255" s="160">
        <v>2000000</v>
      </c>
      <c r="E255" t="s">
        <v>207</v>
      </c>
      <c r="F255" s="21" t="s">
        <v>237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267</v>
      </c>
      <c r="D256" s="160">
        <v>2230000</v>
      </c>
      <c r="E256" t="s">
        <v>254</v>
      </c>
      <c r="F256" s="21" t="s">
        <v>245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258</v>
      </c>
      <c r="C257" t="s">
        <v>268</v>
      </c>
      <c r="D257" s="160">
        <v>2000000</v>
      </c>
      <c r="E257" t="s">
        <v>207</v>
      </c>
      <c r="F257" s="21" t="s">
        <v>237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269</v>
      </c>
      <c r="D258" s="160">
        <v>2110000</v>
      </c>
      <c r="E258" t="s">
        <v>260</v>
      </c>
      <c r="F258" s="21" t="s">
        <v>261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269</v>
      </c>
      <c r="D259" s="160">
        <v>2110000</v>
      </c>
      <c r="E259" t="s">
        <v>260</v>
      </c>
      <c r="F259" s="21" t="s">
        <v>261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226</v>
      </c>
      <c r="C260" t="s">
        <v>232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231</v>
      </c>
      <c r="D261" s="160">
        <v>2530000</v>
      </c>
      <c r="E261" t="s">
        <v>230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233</v>
      </c>
      <c r="D262" s="160">
        <v>2600000</v>
      </c>
      <c r="E262" t="s">
        <v>227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312</v>
      </c>
      <c r="I1" s="175" t="s">
        <v>171</v>
      </c>
      <c r="J1" s="175" t="s">
        <v>172</v>
      </c>
      <c r="K1" s="175" t="s">
        <v>313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36.56</v>
      </c>
      <c r="B2" s="165">
        <v>0.68</v>
      </c>
      <c r="C2" s="165">
        <v>27.66</v>
      </c>
      <c r="D2" s="8">
        <v>42744</v>
      </c>
      <c r="E2" s="165">
        <v>0.7</v>
      </c>
      <c r="F2" s="165" t="s">
        <v>234</v>
      </c>
      <c r="G2" s="165">
        <v>254.38</v>
      </c>
      <c r="H2" s="165"/>
      <c r="I2" s="165">
        <v>0</v>
      </c>
      <c r="J2" s="165">
        <v>0</v>
      </c>
      <c r="K2" s="165"/>
      <c r="L2" s="165">
        <v>1014.39</v>
      </c>
      <c r="M2" s="165" t="s">
        <v>339</v>
      </c>
      <c r="N2" s="165">
        <v>36.56</v>
      </c>
      <c r="O2" s="165">
        <v>1483945200</v>
      </c>
      <c r="P2" s="165">
        <v>7.89</v>
      </c>
      <c r="Q2" s="165">
        <v>240</v>
      </c>
      <c r="R2" s="165">
        <v>1.64</v>
      </c>
    </row>
    <row r="3" spans="1:18" x14ac:dyDescent="0.25">
      <c r="A3" s="165">
        <v>36.03</v>
      </c>
      <c r="B3" s="165">
        <v>0.6</v>
      </c>
      <c r="C3" s="165">
        <v>27.79</v>
      </c>
      <c r="D3" s="8">
        <v>42744.041666666664</v>
      </c>
      <c r="E3" s="165">
        <v>0.72</v>
      </c>
      <c r="F3" s="165" t="s">
        <v>234</v>
      </c>
      <c r="G3" s="165">
        <v>253.68</v>
      </c>
      <c r="H3" s="165"/>
      <c r="I3" s="165">
        <v>0</v>
      </c>
      <c r="J3" s="165">
        <v>0</v>
      </c>
      <c r="K3" s="165"/>
      <c r="L3" s="165">
        <v>1013.75</v>
      </c>
      <c r="M3" s="165" t="s">
        <v>339</v>
      </c>
      <c r="N3" s="165">
        <v>36.03</v>
      </c>
      <c r="O3" s="165">
        <v>1483948800</v>
      </c>
      <c r="P3" s="165">
        <v>7.95</v>
      </c>
      <c r="Q3" s="165">
        <v>244</v>
      </c>
      <c r="R3" s="165">
        <v>2.83</v>
      </c>
    </row>
    <row r="4" spans="1:18" x14ac:dyDescent="0.25">
      <c r="A4" s="165">
        <v>31.33</v>
      </c>
      <c r="B4" s="165">
        <v>0.53</v>
      </c>
      <c r="C4" s="165">
        <v>26.12</v>
      </c>
      <c r="D4" s="8">
        <v>42744.083333333336</v>
      </c>
      <c r="E4" s="165">
        <v>0.72</v>
      </c>
      <c r="F4" s="165" t="s">
        <v>234</v>
      </c>
      <c r="G4" s="165">
        <v>252.98</v>
      </c>
      <c r="H4" s="165"/>
      <c r="I4" s="165">
        <v>0</v>
      </c>
      <c r="J4" s="165">
        <v>0</v>
      </c>
      <c r="K4" s="165"/>
      <c r="L4" s="165">
        <v>1013.11</v>
      </c>
      <c r="M4" s="165" t="s">
        <v>374</v>
      </c>
      <c r="N4" s="165">
        <v>34.08</v>
      </c>
      <c r="O4" s="165">
        <v>1483952400</v>
      </c>
      <c r="P4" s="165">
        <v>7.06</v>
      </c>
      <c r="Q4" s="165">
        <v>251</v>
      </c>
      <c r="R4" s="165">
        <v>3.25</v>
      </c>
    </row>
    <row r="5" spans="1:18" x14ac:dyDescent="0.25">
      <c r="A5" s="165">
        <v>38.700000000000003</v>
      </c>
      <c r="B5" s="165">
        <v>0.56999999999999995</v>
      </c>
      <c r="C5" s="165">
        <v>31.08</v>
      </c>
      <c r="D5" s="8">
        <v>42744.125</v>
      </c>
      <c r="E5" s="165">
        <v>0.67</v>
      </c>
      <c r="F5" s="165" t="s">
        <v>234</v>
      </c>
      <c r="G5" s="165">
        <v>251.71</v>
      </c>
      <c r="H5" s="165"/>
      <c r="I5" s="165">
        <v>0</v>
      </c>
      <c r="J5" s="165">
        <v>0</v>
      </c>
      <c r="K5" s="165"/>
      <c r="L5" s="165">
        <v>1011.96</v>
      </c>
      <c r="M5" s="165" t="s">
        <v>374</v>
      </c>
      <c r="N5" s="165">
        <v>41.36</v>
      </c>
      <c r="O5" s="165">
        <v>1483956000</v>
      </c>
      <c r="P5" s="165">
        <v>6.74</v>
      </c>
      <c r="Q5" s="165">
        <v>235</v>
      </c>
      <c r="R5" s="165">
        <v>4.22</v>
      </c>
    </row>
    <row r="6" spans="1:18" x14ac:dyDescent="0.25">
      <c r="A6" s="165">
        <v>39.43</v>
      </c>
      <c r="B6" s="165">
        <v>0.56999999999999995</v>
      </c>
      <c r="C6" s="165">
        <v>31.67</v>
      </c>
      <c r="D6" s="8">
        <v>42744.166666666664</v>
      </c>
      <c r="E6" s="165">
        <v>0.63</v>
      </c>
      <c r="F6" s="165" t="s">
        <v>234</v>
      </c>
      <c r="G6" s="165">
        <v>250.25</v>
      </c>
      <c r="H6" s="165"/>
      <c r="I6" s="165">
        <v>0</v>
      </c>
      <c r="J6" s="165">
        <v>0</v>
      </c>
      <c r="K6" s="165"/>
      <c r="L6" s="165">
        <v>1010.48</v>
      </c>
      <c r="M6" s="165" t="s">
        <v>374</v>
      </c>
      <c r="N6" s="165">
        <v>43.41</v>
      </c>
      <c r="O6" s="165">
        <v>1483959600</v>
      </c>
      <c r="P6" s="165">
        <v>6.89</v>
      </c>
      <c r="Q6" s="165">
        <v>244</v>
      </c>
      <c r="R6" s="165">
        <v>6.65</v>
      </c>
    </row>
    <row r="7" spans="1:18" x14ac:dyDescent="0.25">
      <c r="A7" s="165">
        <v>40.020000000000003</v>
      </c>
      <c r="B7" s="165">
        <v>0.53</v>
      </c>
      <c r="C7" s="165">
        <v>27.03</v>
      </c>
      <c r="D7" s="8">
        <v>42744.208333333336</v>
      </c>
      <c r="E7" s="165">
        <v>0.48</v>
      </c>
      <c r="F7" s="165" t="s">
        <v>234</v>
      </c>
      <c r="G7" s="165">
        <v>249.22</v>
      </c>
      <c r="H7" s="165"/>
      <c r="I7" s="165">
        <v>0</v>
      </c>
      <c r="J7" s="165">
        <v>0</v>
      </c>
      <c r="K7" s="165"/>
      <c r="L7" s="165">
        <v>1009.18</v>
      </c>
      <c r="M7" s="165" t="s">
        <v>374</v>
      </c>
      <c r="N7" s="165">
        <v>45.45</v>
      </c>
      <c r="O7" s="165">
        <v>1483963200</v>
      </c>
      <c r="P7" s="165">
        <v>8.0299999999999994</v>
      </c>
      <c r="Q7" s="165">
        <v>252</v>
      </c>
      <c r="R7" s="165">
        <v>11.04</v>
      </c>
    </row>
    <row r="8" spans="1:18" x14ac:dyDescent="0.25">
      <c r="A8" s="165">
        <v>40.67</v>
      </c>
      <c r="B8" s="165">
        <v>0.55000000000000004</v>
      </c>
      <c r="C8" s="165">
        <v>28.03</v>
      </c>
      <c r="D8" s="8">
        <v>42744.25</v>
      </c>
      <c r="E8" s="165">
        <v>0.49</v>
      </c>
      <c r="F8" s="165" t="s">
        <v>234</v>
      </c>
      <c r="G8" s="165">
        <v>248.76</v>
      </c>
      <c r="H8" s="165"/>
      <c r="I8" s="165">
        <v>0</v>
      </c>
      <c r="J8" s="165">
        <v>0</v>
      </c>
      <c r="K8" s="165"/>
      <c r="L8" s="165">
        <v>1008.28</v>
      </c>
      <c r="M8" s="165" t="s">
        <v>374</v>
      </c>
      <c r="N8" s="165">
        <v>46.24</v>
      </c>
      <c r="O8" s="165">
        <v>1483966800</v>
      </c>
      <c r="P8" s="165">
        <v>7.63</v>
      </c>
      <c r="Q8" s="165">
        <v>248</v>
      </c>
      <c r="R8" s="165">
        <v>12.05</v>
      </c>
    </row>
    <row r="9" spans="1:18" x14ac:dyDescent="0.25">
      <c r="A9" s="165">
        <v>39.229999999999997</v>
      </c>
      <c r="B9" s="165">
        <v>0.48</v>
      </c>
      <c r="C9" s="165">
        <v>28.43</v>
      </c>
      <c r="D9" s="8">
        <v>42744.291666666664</v>
      </c>
      <c r="E9" s="165">
        <v>0.52</v>
      </c>
      <c r="F9" s="165" t="s">
        <v>234</v>
      </c>
      <c r="G9" s="165">
        <v>248.72</v>
      </c>
      <c r="H9" s="165"/>
      <c r="I9" s="165">
        <v>0</v>
      </c>
      <c r="J9" s="165">
        <v>0</v>
      </c>
      <c r="K9" s="165"/>
      <c r="L9" s="165">
        <v>1007.58</v>
      </c>
      <c r="M9" s="165" t="s">
        <v>374</v>
      </c>
      <c r="N9" s="165">
        <v>44.93</v>
      </c>
      <c r="O9" s="165">
        <v>1483970400</v>
      </c>
      <c r="P9" s="165">
        <v>6.99</v>
      </c>
      <c r="Q9" s="165">
        <v>241</v>
      </c>
      <c r="R9" s="165">
        <v>11.44</v>
      </c>
    </row>
    <row r="10" spans="1:18" x14ac:dyDescent="0.25">
      <c r="A10" s="165">
        <v>38.65</v>
      </c>
      <c r="B10" s="165">
        <v>0.45</v>
      </c>
      <c r="C10" s="165">
        <v>28.92</v>
      </c>
      <c r="D10" s="8">
        <v>42744.333333333336</v>
      </c>
      <c r="E10" s="165">
        <v>0.54</v>
      </c>
      <c r="F10" s="165" t="s">
        <v>375</v>
      </c>
      <c r="G10" s="165">
        <v>249.26</v>
      </c>
      <c r="H10" s="165"/>
      <c r="I10" s="165">
        <v>0</v>
      </c>
      <c r="J10" s="165">
        <v>0</v>
      </c>
      <c r="K10" s="165"/>
      <c r="L10" s="165">
        <v>1006.91</v>
      </c>
      <c r="M10" s="165" t="s">
        <v>374</v>
      </c>
      <c r="N10" s="165">
        <v>44.72</v>
      </c>
      <c r="O10" s="165">
        <v>1483974000</v>
      </c>
      <c r="P10" s="165">
        <v>6.77</v>
      </c>
      <c r="Q10" s="165">
        <v>241</v>
      </c>
      <c r="R10" s="165">
        <v>12.4</v>
      </c>
    </row>
    <row r="11" spans="1:18" x14ac:dyDescent="0.25">
      <c r="A11" s="165">
        <v>41.93</v>
      </c>
      <c r="B11" s="165">
        <v>0.52</v>
      </c>
      <c r="C11" s="165">
        <v>30.38</v>
      </c>
      <c r="D11" s="8">
        <v>42744.375</v>
      </c>
      <c r="E11" s="165">
        <v>0.51</v>
      </c>
      <c r="F11" s="165" t="s">
        <v>375</v>
      </c>
      <c r="G11" s="165">
        <v>250.37</v>
      </c>
      <c r="H11" s="165"/>
      <c r="I11" s="165">
        <v>8.0000000000000004E-4</v>
      </c>
      <c r="J11" s="165">
        <v>0.01</v>
      </c>
      <c r="K11" s="165" t="s">
        <v>376</v>
      </c>
      <c r="L11" s="165">
        <v>1006.27</v>
      </c>
      <c r="M11" s="165" t="s">
        <v>374</v>
      </c>
      <c r="N11" s="165">
        <v>47.41</v>
      </c>
      <c r="O11" s="165">
        <v>1483977600</v>
      </c>
      <c r="P11" s="165">
        <v>6.62</v>
      </c>
      <c r="Q11" s="165">
        <v>242</v>
      </c>
      <c r="R11" s="165">
        <v>12.77</v>
      </c>
    </row>
    <row r="12" spans="1:18" x14ac:dyDescent="0.25">
      <c r="A12" s="165">
        <v>44.41</v>
      </c>
      <c r="B12" s="165">
        <v>0.66</v>
      </c>
      <c r="C12" s="165">
        <v>31.17</v>
      </c>
      <c r="D12" s="8">
        <v>42744.416666666664</v>
      </c>
      <c r="E12" s="165">
        <v>0.49</v>
      </c>
      <c r="F12" s="165" t="s">
        <v>375</v>
      </c>
      <c r="G12" s="165">
        <v>252.05</v>
      </c>
      <c r="H12" s="165"/>
      <c r="I12" s="165">
        <v>0</v>
      </c>
      <c r="J12" s="165">
        <v>0</v>
      </c>
      <c r="K12" s="165"/>
      <c r="L12" s="165">
        <v>1005.65</v>
      </c>
      <c r="M12" s="165" t="s">
        <v>339</v>
      </c>
      <c r="N12" s="165">
        <v>49.6</v>
      </c>
      <c r="O12" s="165">
        <v>1483981200</v>
      </c>
      <c r="P12" s="165">
        <v>10</v>
      </c>
      <c r="Q12" s="165">
        <v>239</v>
      </c>
      <c r="R12" s="165">
        <v>13.87</v>
      </c>
    </row>
    <row r="13" spans="1:18" x14ac:dyDescent="0.25">
      <c r="A13" s="165">
        <v>51.99</v>
      </c>
      <c r="B13" s="165">
        <v>0.75</v>
      </c>
      <c r="C13" s="165">
        <v>31.56</v>
      </c>
      <c r="D13" s="8">
        <v>42744.458333333336</v>
      </c>
      <c r="E13" s="165">
        <v>0.45</v>
      </c>
      <c r="F13" s="165" t="s">
        <v>375</v>
      </c>
      <c r="G13" s="165">
        <v>254.43</v>
      </c>
      <c r="H13" s="165"/>
      <c r="I13" s="165">
        <v>8.0000000000000004E-4</v>
      </c>
      <c r="J13" s="165">
        <v>0.01</v>
      </c>
      <c r="K13" s="165" t="s">
        <v>376</v>
      </c>
      <c r="L13" s="165">
        <v>1004.86</v>
      </c>
      <c r="M13" s="165" t="s">
        <v>339</v>
      </c>
      <c r="N13" s="165">
        <v>51.99</v>
      </c>
      <c r="O13" s="165">
        <v>1483984800</v>
      </c>
      <c r="P13" s="165">
        <v>6.71</v>
      </c>
      <c r="Q13" s="165">
        <v>239</v>
      </c>
      <c r="R13" s="165">
        <v>13.85</v>
      </c>
    </row>
    <row r="14" spans="1:18" x14ac:dyDescent="0.25">
      <c r="A14" s="165">
        <v>52.94</v>
      </c>
      <c r="B14" s="165">
        <v>0.66</v>
      </c>
      <c r="C14" s="165">
        <v>31.84</v>
      </c>
      <c r="D14" s="8">
        <v>42744.5</v>
      </c>
      <c r="E14" s="165">
        <v>0.44</v>
      </c>
      <c r="F14" s="165" t="s">
        <v>375</v>
      </c>
      <c r="G14" s="165">
        <v>257.57</v>
      </c>
      <c r="H14" s="165"/>
      <c r="I14" s="165">
        <v>8.0000000000000004E-4</v>
      </c>
      <c r="J14" s="165">
        <v>0.01</v>
      </c>
      <c r="K14" s="165" t="s">
        <v>376</v>
      </c>
      <c r="L14" s="165">
        <v>1003.66</v>
      </c>
      <c r="M14" s="165" t="s">
        <v>339</v>
      </c>
      <c r="N14" s="165">
        <v>52.94</v>
      </c>
      <c r="O14" s="165">
        <v>1483988400</v>
      </c>
      <c r="P14" s="165">
        <v>6.79</v>
      </c>
      <c r="Q14" s="165">
        <v>244</v>
      </c>
      <c r="R14" s="165">
        <v>13.77</v>
      </c>
    </row>
    <row r="15" spans="1:18" x14ac:dyDescent="0.25">
      <c r="A15" s="165">
        <v>54</v>
      </c>
      <c r="B15" s="165">
        <v>0.55000000000000004</v>
      </c>
      <c r="C15" s="165">
        <v>32.729999999999997</v>
      </c>
      <c r="D15" s="8">
        <v>42744.541666666664</v>
      </c>
      <c r="E15" s="165">
        <v>0.44</v>
      </c>
      <c r="F15" s="165" t="s">
        <v>375</v>
      </c>
      <c r="G15" s="165">
        <v>261.42</v>
      </c>
      <c r="H15" s="165"/>
      <c r="I15" s="165">
        <v>8.9999999999999998E-4</v>
      </c>
      <c r="J15" s="165">
        <v>0.01</v>
      </c>
      <c r="K15" s="165" t="s">
        <v>376</v>
      </c>
      <c r="L15" s="165">
        <v>1002.36</v>
      </c>
      <c r="M15" s="165" t="s">
        <v>374</v>
      </c>
      <c r="N15" s="165">
        <v>54</v>
      </c>
      <c r="O15" s="165">
        <v>1483992000</v>
      </c>
      <c r="P15" s="165">
        <v>6.86</v>
      </c>
      <c r="Q15" s="165">
        <v>245</v>
      </c>
      <c r="R15" s="165">
        <v>13.13</v>
      </c>
    </row>
    <row r="16" spans="1:18" x14ac:dyDescent="0.25">
      <c r="A16" s="165">
        <v>54.4</v>
      </c>
      <c r="B16" s="165">
        <v>0.49</v>
      </c>
      <c r="C16" s="165">
        <v>32.58</v>
      </c>
      <c r="D16" s="8">
        <v>42744.583333333336</v>
      </c>
      <c r="E16" s="165">
        <v>0.43</v>
      </c>
      <c r="F16" s="165" t="s">
        <v>375</v>
      </c>
      <c r="G16" s="165">
        <v>265.89999999999998</v>
      </c>
      <c r="H16" s="165"/>
      <c r="I16" s="165">
        <v>0</v>
      </c>
      <c r="J16" s="165">
        <v>0</v>
      </c>
      <c r="K16" s="165"/>
      <c r="L16" s="165">
        <v>1001.27</v>
      </c>
      <c r="M16" s="165" t="s">
        <v>374</v>
      </c>
      <c r="N16" s="165">
        <v>54.4</v>
      </c>
      <c r="O16" s="165">
        <v>1483995600</v>
      </c>
      <c r="P16" s="165">
        <v>6.96</v>
      </c>
      <c r="Q16" s="165">
        <v>238</v>
      </c>
      <c r="R16" s="165">
        <v>9.2100000000000009</v>
      </c>
    </row>
    <row r="17" spans="1:18" x14ac:dyDescent="0.25">
      <c r="A17" s="165">
        <v>54.28</v>
      </c>
      <c r="B17" s="165">
        <v>0.54</v>
      </c>
      <c r="C17" s="165">
        <v>31.8</v>
      </c>
      <c r="D17" s="8">
        <v>42744.625</v>
      </c>
      <c r="E17" s="165">
        <v>0.42</v>
      </c>
      <c r="F17" s="165" t="s">
        <v>375</v>
      </c>
      <c r="G17" s="165">
        <v>271.76</v>
      </c>
      <c r="H17" s="165"/>
      <c r="I17" s="165">
        <v>0</v>
      </c>
      <c r="J17" s="165">
        <v>0</v>
      </c>
      <c r="K17" s="165"/>
      <c r="L17" s="165">
        <v>1000.71</v>
      </c>
      <c r="M17" s="165" t="s">
        <v>374</v>
      </c>
      <c r="N17" s="165">
        <v>54.28</v>
      </c>
      <c r="O17" s="165">
        <v>1483999200</v>
      </c>
      <c r="P17" s="165">
        <v>5.9</v>
      </c>
      <c r="Q17" s="165">
        <v>233</v>
      </c>
      <c r="R17" s="165">
        <v>8.4700000000000006</v>
      </c>
    </row>
    <row r="18" spans="1:18" x14ac:dyDescent="0.25">
      <c r="A18" s="165">
        <v>51.95</v>
      </c>
      <c r="B18" s="165">
        <v>0.66</v>
      </c>
      <c r="C18" s="165">
        <v>31</v>
      </c>
      <c r="D18" s="8">
        <v>42744.666666666664</v>
      </c>
      <c r="E18" s="165">
        <v>0.44</v>
      </c>
      <c r="F18" s="165" t="s">
        <v>375</v>
      </c>
      <c r="G18" s="165">
        <v>278.24</v>
      </c>
      <c r="H18" s="165"/>
      <c r="I18" s="165">
        <v>0</v>
      </c>
      <c r="J18" s="165">
        <v>0</v>
      </c>
      <c r="K18" s="165"/>
      <c r="L18" s="165">
        <v>1000.55</v>
      </c>
      <c r="M18" s="165" t="s">
        <v>339</v>
      </c>
      <c r="N18" s="165">
        <v>51.95</v>
      </c>
      <c r="O18" s="165">
        <v>1484002800</v>
      </c>
      <c r="P18" s="165">
        <v>6.19</v>
      </c>
      <c r="Q18" s="165">
        <v>216</v>
      </c>
      <c r="R18" s="165">
        <v>6.96</v>
      </c>
    </row>
    <row r="19" spans="1:18" x14ac:dyDescent="0.25">
      <c r="A19" s="165">
        <v>50.14</v>
      </c>
      <c r="B19" s="165">
        <v>0.56000000000000005</v>
      </c>
      <c r="C19" s="165">
        <v>31.15</v>
      </c>
      <c r="D19" s="8">
        <v>42744.708333333336</v>
      </c>
      <c r="E19" s="165">
        <v>0.48</v>
      </c>
      <c r="F19" s="165" t="s">
        <v>234</v>
      </c>
      <c r="G19" s="165">
        <v>283.11</v>
      </c>
      <c r="H19" s="165"/>
      <c r="I19" s="165">
        <v>0</v>
      </c>
      <c r="J19" s="165">
        <v>0</v>
      </c>
      <c r="K19" s="165"/>
      <c r="L19" s="165">
        <v>1000.49</v>
      </c>
      <c r="M19" s="165" t="s">
        <v>374</v>
      </c>
      <c r="N19" s="165">
        <v>50.14</v>
      </c>
      <c r="O19" s="165">
        <v>1484006400</v>
      </c>
      <c r="P19" s="165">
        <v>6.67</v>
      </c>
      <c r="Q19" s="165">
        <v>240</v>
      </c>
      <c r="R19" s="165">
        <v>3.54</v>
      </c>
    </row>
    <row r="20" spans="1:18" x14ac:dyDescent="0.25">
      <c r="A20" s="165">
        <v>49.07</v>
      </c>
      <c r="B20" s="165">
        <v>0.6</v>
      </c>
      <c r="C20" s="165">
        <v>32.11</v>
      </c>
      <c r="D20" s="8">
        <v>42744.75</v>
      </c>
      <c r="E20" s="165">
        <v>0.52</v>
      </c>
      <c r="F20" s="165" t="s">
        <v>234</v>
      </c>
      <c r="G20" s="165">
        <v>284.87</v>
      </c>
      <c r="H20" s="165"/>
      <c r="I20" s="165">
        <v>0</v>
      </c>
      <c r="J20" s="165">
        <v>0</v>
      </c>
      <c r="K20" s="165"/>
      <c r="L20" s="165">
        <v>999.75</v>
      </c>
      <c r="M20" s="165" t="s">
        <v>339</v>
      </c>
      <c r="N20" s="165">
        <v>49.07</v>
      </c>
      <c r="O20" s="165">
        <v>1484010000</v>
      </c>
      <c r="P20" s="165">
        <v>7.43</v>
      </c>
      <c r="Q20" s="165">
        <v>247</v>
      </c>
      <c r="R20" s="165">
        <v>2.92</v>
      </c>
    </row>
    <row r="21" spans="1:18" x14ac:dyDescent="0.25">
      <c r="A21" s="165">
        <v>44.05</v>
      </c>
      <c r="B21" s="165">
        <v>0.43</v>
      </c>
      <c r="C21" s="165">
        <v>31.63</v>
      </c>
      <c r="D21" s="8">
        <v>42744.791666666664</v>
      </c>
      <c r="E21" s="165">
        <v>0.55000000000000004</v>
      </c>
      <c r="F21" s="165" t="s">
        <v>234</v>
      </c>
      <c r="G21" s="165">
        <v>285.01</v>
      </c>
      <c r="H21" s="165"/>
      <c r="I21" s="165">
        <v>1E-3</v>
      </c>
      <c r="J21" s="165">
        <v>0.01</v>
      </c>
      <c r="K21" s="165" t="s">
        <v>376</v>
      </c>
      <c r="L21" s="165">
        <v>999.29</v>
      </c>
      <c r="M21" s="165" t="s">
        <v>374</v>
      </c>
      <c r="N21" s="165">
        <v>46.9</v>
      </c>
      <c r="O21" s="165">
        <v>1484013600</v>
      </c>
      <c r="P21" s="165">
        <v>8.51</v>
      </c>
      <c r="Q21" s="165">
        <v>242</v>
      </c>
      <c r="R21" s="165">
        <v>5.85</v>
      </c>
    </row>
    <row r="22" spans="1:18" x14ac:dyDescent="0.25">
      <c r="A22" s="165">
        <v>42.72</v>
      </c>
      <c r="B22" s="165">
        <v>0.32</v>
      </c>
      <c r="C22" s="165">
        <v>30.96</v>
      </c>
      <c r="D22" s="8">
        <v>42744.833333333336</v>
      </c>
      <c r="E22" s="165">
        <v>0.55000000000000004</v>
      </c>
      <c r="F22" s="165" t="s">
        <v>234</v>
      </c>
      <c r="G22" s="165">
        <v>285.68</v>
      </c>
      <c r="H22" s="165"/>
      <c r="I22" s="165">
        <v>0</v>
      </c>
      <c r="J22" s="165">
        <v>0</v>
      </c>
      <c r="K22" s="165"/>
      <c r="L22" s="165">
        <v>999.08</v>
      </c>
      <c r="M22" s="165" t="s">
        <v>374</v>
      </c>
      <c r="N22" s="165">
        <v>46.39</v>
      </c>
      <c r="O22" s="165">
        <v>1484017200</v>
      </c>
      <c r="P22" s="165">
        <v>7.66</v>
      </c>
      <c r="Q22" s="165">
        <v>244</v>
      </c>
      <c r="R22" s="165">
        <v>7.25</v>
      </c>
    </row>
    <row r="23" spans="1:18" x14ac:dyDescent="0.25">
      <c r="A23" s="165">
        <v>41.99</v>
      </c>
      <c r="B23" s="165">
        <v>0.35</v>
      </c>
      <c r="C23" s="165">
        <v>29.16</v>
      </c>
      <c r="D23" s="8">
        <v>42744.875</v>
      </c>
      <c r="E23" s="165">
        <v>0.52</v>
      </c>
      <c r="F23" s="165" t="s">
        <v>234</v>
      </c>
      <c r="G23" s="165">
        <v>287.55</v>
      </c>
      <c r="H23" s="165"/>
      <c r="I23" s="165">
        <v>0</v>
      </c>
      <c r="J23" s="165">
        <v>0</v>
      </c>
      <c r="K23" s="165"/>
      <c r="L23" s="165">
        <v>998.99</v>
      </c>
      <c r="M23" s="165" t="s">
        <v>374</v>
      </c>
      <c r="N23" s="165">
        <v>45.78</v>
      </c>
      <c r="O23" s="165">
        <v>1484020800</v>
      </c>
      <c r="P23" s="165">
        <v>6.97</v>
      </c>
      <c r="Q23" s="165">
        <v>232</v>
      </c>
      <c r="R23" s="165">
        <v>7.23</v>
      </c>
    </row>
    <row r="24" spans="1:18" x14ac:dyDescent="0.25">
      <c r="A24" s="165">
        <v>41.2</v>
      </c>
      <c r="B24" s="165">
        <v>0.37</v>
      </c>
      <c r="C24" s="165">
        <v>29.19</v>
      </c>
      <c r="D24" s="8">
        <v>42744.916666666664</v>
      </c>
      <c r="E24" s="165">
        <v>0.55000000000000004</v>
      </c>
      <c r="F24" s="165" t="s">
        <v>234</v>
      </c>
      <c r="G24" s="165">
        <v>289.95</v>
      </c>
      <c r="H24" s="165"/>
      <c r="I24" s="165">
        <v>1.6999999999999999E-3</v>
      </c>
      <c r="J24" s="165">
        <v>0.04</v>
      </c>
      <c r="K24" s="165" t="s">
        <v>376</v>
      </c>
      <c r="L24" s="165">
        <v>999.11</v>
      </c>
      <c r="M24" s="165" t="s">
        <v>374</v>
      </c>
      <c r="N24" s="165">
        <v>44.52</v>
      </c>
      <c r="O24" s="165">
        <v>1484024400</v>
      </c>
      <c r="P24" s="165">
        <v>7.13</v>
      </c>
      <c r="Q24" s="165">
        <v>259</v>
      </c>
      <c r="R24" s="165">
        <v>5.89</v>
      </c>
    </row>
    <row r="25" spans="1:18" x14ac:dyDescent="0.25">
      <c r="A25" s="165">
        <v>39.72</v>
      </c>
      <c r="B25" s="165">
        <v>0.38</v>
      </c>
      <c r="C25" s="165">
        <v>28.48</v>
      </c>
      <c r="D25" s="8">
        <v>42744.958333333336</v>
      </c>
      <c r="E25" s="165">
        <v>0.54</v>
      </c>
      <c r="F25" s="165" t="s">
        <v>234</v>
      </c>
      <c r="G25" s="165">
        <v>293.12</v>
      </c>
      <c r="H25" s="165"/>
      <c r="I25" s="165">
        <v>3.0999999999999999E-3</v>
      </c>
      <c r="J25" s="165">
        <v>0.1</v>
      </c>
      <c r="K25" s="165" t="s">
        <v>376</v>
      </c>
      <c r="L25" s="165">
        <v>999.84</v>
      </c>
      <c r="M25" s="165" t="s">
        <v>374</v>
      </c>
      <c r="N25" s="165">
        <v>44.26</v>
      </c>
      <c r="O25" s="165">
        <v>1484028000</v>
      </c>
      <c r="P25" s="165">
        <v>7.65</v>
      </c>
      <c r="Q25" s="165">
        <v>274</v>
      </c>
      <c r="R25" s="165">
        <v>8.1</v>
      </c>
    </row>
    <row r="26" spans="1:18" x14ac:dyDescent="0.25">
      <c r="A26" s="165">
        <v>36.75</v>
      </c>
      <c r="B26" s="165">
        <v>0.38</v>
      </c>
      <c r="C26" s="165">
        <v>24.45</v>
      </c>
      <c r="D26" s="8">
        <v>42745</v>
      </c>
      <c r="E26" s="165">
        <v>0.5</v>
      </c>
      <c r="F26" s="165" t="s">
        <v>234</v>
      </c>
      <c r="G26" s="165">
        <v>297.92</v>
      </c>
      <c r="H26" s="165"/>
      <c r="I26" s="165">
        <v>3.2000000000000002E-3</v>
      </c>
      <c r="J26" s="165">
        <v>0.1</v>
      </c>
      <c r="K26" s="165" t="s">
        <v>376</v>
      </c>
      <c r="L26" s="165">
        <v>1002.39</v>
      </c>
      <c r="M26" s="165" t="s">
        <v>374</v>
      </c>
      <c r="N26" s="165">
        <v>41.86</v>
      </c>
      <c r="O26" s="165">
        <v>1484031600</v>
      </c>
      <c r="P26" s="165">
        <v>8.1199999999999992</v>
      </c>
      <c r="Q26" s="165">
        <v>281</v>
      </c>
      <c r="R26" s="165">
        <v>8.1999999999999993</v>
      </c>
    </row>
    <row r="27" spans="1:18" x14ac:dyDescent="0.25">
      <c r="A27" s="165">
        <v>35.6</v>
      </c>
      <c r="B27" s="165">
        <v>0.41</v>
      </c>
      <c r="C27" s="165">
        <v>22.23</v>
      </c>
      <c r="D27" s="8">
        <v>42745.041666666664</v>
      </c>
      <c r="E27" s="165">
        <v>0.48</v>
      </c>
      <c r="F27" s="165" t="s">
        <v>234</v>
      </c>
      <c r="G27" s="165">
        <v>302.72000000000003</v>
      </c>
      <c r="H27" s="165"/>
      <c r="I27" s="165">
        <v>3.2000000000000002E-3</v>
      </c>
      <c r="J27" s="165">
        <v>0.1</v>
      </c>
      <c r="K27" s="165" t="s">
        <v>376</v>
      </c>
      <c r="L27" s="165">
        <v>1003.93</v>
      </c>
      <c r="M27" s="165" t="s">
        <v>374</v>
      </c>
      <c r="N27" s="165">
        <v>40.22</v>
      </c>
      <c r="O27" s="165">
        <v>1484035200</v>
      </c>
      <c r="P27" s="165">
        <v>7.81</v>
      </c>
      <c r="Q27" s="165">
        <v>281</v>
      </c>
      <c r="R27" s="165">
        <v>6.67</v>
      </c>
    </row>
    <row r="28" spans="1:18" x14ac:dyDescent="0.25">
      <c r="A28" s="165">
        <v>35.270000000000003</v>
      </c>
      <c r="B28" s="165">
        <v>0.41</v>
      </c>
      <c r="C28" s="165">
        <v>19.940000000000001</v>
      </c>
      <c r="D28" s="8">
        <v>42745.083333333336</v>
      </c>
      <c r="E28" s="165">
        <v>0.47</v>
      </c>
      <c r="F28" s="165" t="s">
        <v>234</v>
      </c>
      <c r="G28" s="165">
        <v>307.51</v>
      </c>
      <c r="H28" s="165"/>
      <c r="I28" s="165">
        <v>2.8E-3</v>
      </c>
      <c r="J28" s="165">
        <v>0.08</v>
      </c>
      <c r="K28" s="165" t="s">
        <v>376</v>
      </c>
      <c r="L28" s="165">
        <v>1005.35</v>
      </c>
      <c r="M28" s="165" t="s">
        <v>374</v>
      </c>
      <c r="N28" s="165">
        <v>38.53</v>
      </c>
      <c r="O28" s="165">
        <v>1484038800</v>
      </c>
      <c r="P28" s="165">
        <v>5.93</v>
      </c>
      <c r="Q28" s="165">
        <v>297</v>
      </c>
      <c r="R28" s="165">
        <v>4.38</v>
      </c>
    </row>
    <row r="29" spans="1:18" x14ac:dyDescent="0.25">
      <c r="A29" s="165">
        <v>29.44</v>
      </c>
      <c r="B29" s="165">
        <v>0.55000000000000004</v>
      </c>
      <c r="C29" s="165">
        <v>17.72</v>
      </c>
      <c r="D29" s="8">
        <v>42745.125</v>
      </c>
      <c r="E29" s="165">
        <v>0.52</v>
      </c>
      <c r="F29" s="165" t="s">
        <v>234</v>
      </c>
      <c r="G29" s="165">
        <v>311.10000000000002</v>
      </c>
      <c r="H29" s="165">
        <v>7.0000000000000001E-3</v>
      </c>
      <c r="I29" s="165">
        <v>8.9999999999999998E-4</v>
      </c>
      <c r="J29" s="165">
        <v>0.01</v>
      </c>
      <c r="K29" s="165" t="s">
        <v>314</v>
      </c>
      <c r="L29" s="165">
        <v>1006.93</v>
      </c>
      <c r="M29" s="165" t="s">
        <v>374</v>
      </c>
      <c r="N29" s="165">
        <v>33.590000000000003</v>
      </c>
      <c r="O29" s="165">
        <v>1484042400</v>
      </c>
      <c r="P29" s="165">
        <v>7.5</v>
      </c>
      <c r="Q29" s="165">
        <v>299</v>
      </c>
      <c r="R29" s="165">
        <v>4.46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C21" sqref="C21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42744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817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818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819</v>
      </c>
      <c r="J20" s="165" t="s">
        <v>87</v>
      </c>
      <c r="M20" s="165" t="s">
        <v>292</v>
      </c>
    </row>
    <row r="21" spans="3:13" x14ac:dyDescent="0.25">
      <c r="C21" t="s">
        <v>820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419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821</v>
      </c>
      <c r="J23" s="188" t="s">
        <v>95</v>
      </c>
      <c r="M23" s="165">
        <v>-7</v>
      </c>
    </row>
    <row r="24" spans="3:13" x14ac:dyDescent="0.25">
      <c r="C24" t="s">
        <v>822</v>
      </c>
      <c r="J24" s="165" t="s">
        <v>108</v>
      </c>
      <c r="M24" s="165" t="s">
        <v>110</v>
      </c>
    </row>
    <row r="25" spans="3:13" x14ac:dyDescent="0.25">
      <c r="C25" t="s">
        <v>823</v>
      </c>
      <c r="J25" s="165" t="s">
        <v>151</v>
      </c>
      <c r="M25" s="165" t="b">
        <v>1</v>
      </c>
    </row>
    <row r="26" spans="3:13" x14ac:dyDescent="0.25">
      <c r="C26" t="s">
        <v>824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C:\Users\stu\Documents\GitHub\eaglep3-reporting\EC\2017-01-09-refined-times.txt</v>
      </c>
    </row>
    <row r="27" spans="3:13" x14ac:dyDescent="0.25">
      <c r="C27" t="s">
        <v>825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C:\Users\stu\Documents\GitHub\eaglep3-reporting\EC\2017-01-09-Enforcements.txt</v>
      </c>
    </row>
    <row r="28" spans="3:13" x14ac:dyDescent="0.25">
      <c r="C28" t="s">
        <v>826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C:\Users\stu\Documents\GitHub\eaglep3-reporting\EC\2017-01-09-Runs-refined.txt</v>
      </c>
    </row>
    <row r="29" spans="3:13" x14ac:dyDescent="0.25">
      <c r="C29" t="s">
        <v>827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C:\Users\stu\Documents\GitHub\eaglep3-reporting\EC\2017-01-09-Trips.txt</v>
      </c>
    </row>
    <row r="30" spans="3:13" x14ac:dyDescent="0.25">
      <c r="C30" t="s">
        <v>828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C:\Users\stu\Documents\GitHub\eaglep3-reporting\EC\2017-01-09-Weather.txt</v>
      </c>
    </row>
    <row r="31" spans="3:13" x14ac:dyDescent="0.25">
      <c r="C31" t="s">
        <v>829</v>
      </c>
      <c r="J31" s="165" t="s">
        <v>290</v>
      </c>
      <c r="M31" s="165" t="s">
        <v>291</v>
      </c>
    </row>
    <row r="32" spans="3:13" x14ac:dyDescent="0.25">
      <c r="C32" t="s">
        <v>830</v>
      </c>
    </row>
    <row r="33" spans="3:3" x14ac:dyDescent="0.25">
      <c r="C33" t="s">
        <v>831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28" workbookViewId="0">
      <selection activeCell="C49" sqref="C4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843</v>
      </c>
      <c r="B1" t="str">
        <f t="shared" ref="B1:B30" si="0">MID(A1,6,23)</f>
        <v>2017/01/09 11:46:50.571</v>
      </c>
      <c r="C1" t="e">
        <f>ABS(B1-#REF!)</f>
        <v>#REF!</v>
      </c>
    </row>
    <row r="2" spans="1:3" x14ac:dyDescent="0.25">
      <c r="A2" t="s">
        <v>844</v>
      </c>
      <c r="B2" s="21" t="str">
        <f t="shared" si="0"/>
        <v>2017/01/09 11:46:51.139</v>
      </c>
      <c r="C2">
        <f>ABS(B2-B1)</f>
        <v>6.5740750869736075E-6</v>
      </c>
    </row>
    <row r="3" spans="1:3" x14ac:dyDescent="0.25">
      <c r="A3" t="s">
        <v>845</v>
      </c>
      <c r="B3" s="21" t="str">
        <f t="shared" si="0"/>
        <v>2017/01/09 11:50:57.673</v>
      </c>
      <c r="C3" s="21">
        <f t="shared" ref="C3:C30" si="1">ABS(B3-B2)</f>
        <v>2.8534027733257972E-3</v>
      </c>
    </row>
    <row r="4" spans="1:3" x14ac:dyDescent="0.25">
      <c r="A4" t="s">
        <v>846</v>
      </c>
      <c r="B4" s="21" t="str">
        <f t="shared" si="0"/>
        <v>2017/01/09 11:50:57.701</v>
      </c>
      <c r="C4" s="21">
        <f t="shared" si="1"/>
        <v>3.2407842809334397E-7</v>
      </c>
    </row>
    <row r="5" spans="1:3" x14ac:dyDescent="0.25">
      <c r="A5" t="s">
        <v>847</v>
      </c>
      <c r="B5" s="21" t="str">
        <f t="shared" si="0"/>
        <v>2017/01/09 11:50:57.926</v>
      </c>
      <c r="C5" s="21">
        <f t="shared" si="1"/>
        <v>2.6041670935228467E-6</v>
      </c>
    </row>
    <row r="6" spans="1:3" x14ac:dyDescent="0.25">
      <c r="A6" t="s">
        <v>848</v>
      </c>
      <c r="B6" s="21" t="str">
        <f t="shared" si="0"/>
        <v>2017/01/09 11:51:28.665</v>
      </c>
      <c r="C6" s="21">
        <f t="shared" si="1"/>
        <v>3.5577546077547595E-4</v>
      </c>
    </row>
    <row r="7" spans="1:3" x14ac:dyDescent="0.25">
      <c r="A7" t="s">
        <v>849</v>
      </c>
      <c r="B7" s="21" t="str">
        <f t="shared" si="0"/>
        <v>2017/01/09 11:51:28.699</v>
      </c>
      <c r="C7" s="21">
        <f t="shared" si="1"/>
        <v>3.9352016756311059E-7</v>
      </c>
    </row>
    <row r="8" spans="1:3" x14ac:dyDescent="0.25">
      <c r="A8" t="s">
        <v>850</v>
      </c>
      <c r="B8" s="21" t="str">
        <f t="shared" si="0"/>
        <v>2017/01/09 11:51:28.931</v>
      </c>
      <c r="C8" s="21">
        <f t="shared" si="1"/>
        <v>2.6851848815567791E-6</v>
      </c>
    </row>
    <row r="9" spans="1:3" x14ac:dyDescent="0.25">
      <c r="A9" t="s">
        <v>851</v>
      </c>
      <c r="B9" s="21" t="str">
        <f t="shared" si="0"/>
        <v>2017/01/09 11:53:50.063</v>
      </c>
      <c r="C9" s="21">
        <f t="shared" si="1"/>
        <v>1.6334722167812288E-3</v>
      </c>
    </row>
    <row r="10" spans="1:3" x14ac:dyDescent="0.25">
      <c r="A10" t="s">
        <v>852</v>
      </c>
      <c r="B10" s="21" t="str">
        <f t="shared" si="0"/>
        <v>2017/01/09 11:53:50.346</v>
      </c>
      <c r="C10" s="21">
        <f t="shared" si="1"/>
        <v>3.2754687708802521E-6</v>
      </c>
    </row>
    <row r="11" spans="1:3" x14ac:dyDescent="0.25">
      <c r="A11" t="s">
        <v>853</v>
      </c>
      <c r="B11" s="21" t="str">
        <f t="shared" si="0"/>
        <v>2017/01/09 11:53:50.672</v>
      </c>
      <c r="C11" s="21">
        <f t="shared" si="1"/>
        <v>3.7731442716903985E-6</v>
      </c>
    </row>
    <row r="12" spans="1:3" x14ac:dyDescent="0.25">
      <c r="A12" t="s">
        <v>854</v>
      </c>
      <c r="B12" s="21" t="str">
        <f t="shared" si="0"/>
        <v>2017/01/09 12:05:52.272</v>
      </c>
      <c r="C12" s="21">
        <f t="shared" si="1"/>
        <v>8.3518518513301387E-3</v>
      </c>
    </row>
    <row r="13" spans="1:3" x14ac:dyDescent="0.25">
      <c r="A13" t="s">
        <v>855</v>
      </c>
      <c r="B13" s="21" t="str">
        <f t="shared" si="0"/>
        <v>2017/01/09 12:05:52.273</v>
      </c>
      <c r="C13" s="21">
        <f t="shared" si="1"/>
        <v>1.1576048564165831E-8</v>
      </c>
    </row>
    <row r="14" spans="1:3" x14ac:dyDescent="0.25">
      <c r="A14" t="s">
        <v>856</v>
      </c>
      <c r="B14" s="21" t="str">
        <f t="shared" si="0"/>
        <v>2017/01/09 12:05:52.542</v>
      </c>
      <c r="C14" s="21">
        <f t="shared" si="1"/>
        <v>3.113425918854773E-6</v>
      </c>
    </row>
    <row r="15" spans="1:3" x14ac:dyDescent="0.25">
      <c r="A15" t="s">
        <v>857</v>
      </c>
      <c r="B15" s="21" t="str">
        <f t="shared" si="0"/>
        <v>2017/01/09 12:06:34.268</v>
      </c>
      <c r="C15" s="21">
        <f t="shared" si="1"/>
        <v>4.8293981672031805E-4</v>
      </c>
    </row>
    <row r="16" spans="1:3" x14ac:dyDescent="0.25">
      <c r="A16" t="s">
        <v>858</v>
      </c>
      <c r="B16" s="21" t="str">
        <f t="shared" si="0"/>
        <v>2017/01/09 12:06:34.272</v>
      </c>
      <c r="C16" s="21">
        <f t="shared" si="1"/>
        <v>4.6296918299049139E-8</v>
      </c>
    </row>
    <row r="17" spans="1:3" x14ac:dyDescent="0.25">
      <c r="A17" t="s">
        <v>859</v>
      </c>
      <c r="B17" s="21" t="str">
        <f t="shared" si="0"/>
        <v>2017/01/09 12:06:34.538</v>
      </c>
      <c r="C17" s="21">
        <f t="shared" si="1"/>
        <v>3.0786977731622756E-6</v>
      </c>
    </row>
    <row r="18" spans="1:3" x14ac:dyDescent="0.25">
      <c r="A18" t="s">
        <v>860</v>
      </c>
      <c r="B18" s="21" t="str">
        <f t="shared" si="0"/>
        <v>2017/01/09 12:24:03.570</v>
      </c>
      <c r="C18" s="21">
        <f t="shared" si="1"/>
        <v>1.2141574079578277E-2</v>
      </c>
    </row>
    <row r="19" spans="1:3" x14ac:dyDescent="0.25">
      <c r="A19" t="s">
        <v>861</v>
      </c>
      <c r="B19" s="21" t="str">
        <f t="shared" si="0"/>
        <v>2017/01/09 12:24:04.138</v>
      </c>
      <c r="C19" s="21">
        <f t="shared" si="1"/>
        <v>6.5740750869736075E-6</v>
      </c>
    </row>
    <row r="20" spans="1:3" x14ac:dyDescent="0.25">
      <c r="A20" t="s">
        <v>862</v>
      </c>
      <c r="B20" s="21" t="str">
        <f t="shared" si="0"/>
        <v>2017/01/09 12:45:04.711</v>
      </c>
      <c r="C20" s="21">
        <f t="shared" si="1"/>
        <v>1.4589965277991723E-2</v>
      </c>
    </row>
    <row r="21" spans="1:3" x14ac:dyDescent="0.25">
      <c r="A21" t="s">
        <v>863</v>
      </c>
      <c r="B21" s="21" t="str">
        <f t="shared" si="0"/>
        <v>2017/01/09 12:45:04.835</v>
      </c>
      <c r="C21" s="21">
        <f t="shared" si="1"/>
        <v>1.4351826393976808E-6</v>
      </c>
    </row>
    <row r="22" spans="1:3" x14ac:dyDescent="0.25">
      <c r="A22" t="s">
        <v>864</v>
      </c>
      <c r="B22" s="21" t="str">
        <f t="shared" si="0"/>
        <v>2017/01/09 13:06:26.273</v>
      </c>
      <c r="C22" s="21">
        <f t="shared" si="1"/>
        <v>1.4831458334811032E-2</v>
      </c>
    </row>
    <row r="23" spans="1:3" x14ac:dyDescent="0.25">
      <c r="A23" t="s">
        <v>865</v>
      </c>
      <c r="B23" s="21" t="str">
        <f t="shared" si="0"/>
        <v>2017/01/09 13:06:26.540</v>
      </c>
      <c r="C23" s="21">
        <f t="shared" si="1"/>
        <v>3.0902738217264414E-6</v>
      </c>
    </row>
    <row r="24" spans="1:3" x14ac:dyDescent="0.25">
      <c r="A24" t="s">
        <v>866</v>
      </c>
      <c r="B24" s="21" t="str">
        <f t="shared" si="0"/>
        <v>2017/01/09 13:07:23.272</v>
      </c>
      <c r="C24" s="21">
        <f t="shared" si="1"/>
        <v>6.5662037377478555E-4</v>
      </c>
    </row>
    <row r="25" spans="1:3" x14ac:dyDescent="0.25">
      <c r="A25" t="s">
        <v>867</v>
      </c>
      <c r="B25" s="21" t="str">
        <f t="shared" si="0"/>
        <v>2017/01/09 13:07:23.281</v>
      </c>
      <c r="C25" s="21">
        <f t="shared" si="1"/>
        <v>1.0416260920464993E-7</v>
      </c>
    </row>
    <row r="26" spans="1:3" x14ac:dyDescent="0.25">
      <c r="A26" t="s">
        <v>868</v>
      </c>
      <c r="B26" s="21" t="str">
        <f t="shared" si="0"/>
        <v>2017/01/09 13:07:23.539</v>
      </c>
      <c r="C26" s="21">
        <f t="shared" si="1"/>
        <v>2.9861112125217915E-6</v>
      </c>
    </row>
    <row r="27" spans="1:3" x14ac:dyDescent="0.25">
      <c r="A27" t="s">
        <v>869</v>
      </c>
      <c r="B27" s="21" t="str">
        <f t="shared" si="0"/>
        <v>2017/01/09 13:27:33.512</v>
      </c>
      <c r="C27" s="21">
        <f t="shared" si="1"/>
        <v>1.400431713409489E-2</v>
      </c>
    </row>
    <row r="28" spans="1:3" x14ac:dyDescent="0.25">
      <c r="A28" t="s">
        <v>870</v>
      </c>
      <c r="B28" s="21" t="str">
        <f t="shared" si="0"/>
        <v>2017/01/09 13:27:33.762</v>
      </c>
      <c r="C28" s="21">
        <f t="shared" si="1"/>
        <v>2.8935173759236932E-6</v>
      </c>
    </row>
    <row r="29" spans="1:3" x14ac:dyDescent="0.25">
      <c r="A29" t="s">
        <v>871</v>
      </c>
      <c r="B29" s="21" t="str">
        <f t="shared" si="0"/>
        <v>2017/01/09 14:06:18.301</v>
      </c>
      <c r="C29" s="21">
        <f t="shared" si="1"/>
        <v>2.6904386570095085E-2</v>
      </c>
    </row>
    <row r="30" spans="1:3" x14ac:dyDescent="0.25">
      <c r="A30" t="s">
        <v>872</v>
      </c>
      <c r="B30" s="21" t="str">
        <f t="shared" si="0"/>
        <v>2017/01/09 14:06:19.280</v>
      </c>
      <c r="C30" s="21">
        <f t="shared" si="1"/>
        <v>1.133102341555059E-5</v>
      </c>
    </row>
    <row r="31" spans="1:3" x14ac:dyDescent="0.25">
      <c r="A31" t="s">
        <v>873</v>
      </c>
      <c r="B31" s="21" t="str">
        <f t="shared" ref="B31:B83" si="2">MID(A31,6,23)</f>
        <v>2017/01/09 14:06:19.542</v>
      </c>
      <c r="C31" s="21">
        <f t="shared" ref="C31:C83" si="3">ABS(B31-B30)</f>
        <v>3.0324081308208406E-6</v>
      </c>
    </row>
    <row r="32" spans="1:3" x14ac:dyDescent="0.25">
      <c r="A32" t="s">
        <v>874</v>
      </c>
      <c r="B32" s="21" t="str">
        <f t="shared" si="2"/>
        <v>2017/01/09 14:20:42.659</v>
      </c>
      <c r="C32" s="21">
        <f t="shared" si="3"/>
        <v>9.9897800901089795E-3</v>
      </c>
    </row>
    <row r="33" spans="1:3" x14ac:dyDescent="0.25">
      <c r="A33" t="s">
        <v>875</v>
      </c>
      <c r="B33" s="21" t="str">
        <f t="shared" si="2"/>
        <v>2017/01/09 14:20:42.739</v>
      </c>
      <c r="C33" s="21">
        <f t="shared" si="3"/>
        <v>9.2592381406575441E-7</v>
      </c>
    </row>
    <row r="34" spans="1:3" x14ac:dyDescent="0.25">
      <c r="A34" t="s">
        <v>876</v>
      </c>
      <c r="B34" s="21" t="str">
        <f t="shared" si="2"/>
        <v>2017/01/09 14:26:41.006</v>
      </c>
      <c r="C34" s="21">
        <f t="shared" si="3"/>
        <v>4.1466088005108759E-3</v>
      </c>
    </row>
    <row r="35" spans="1:3" x14ac:dyDescent="0.25">
      <c r="A35" t="s">
        <v>877</v>
      </c>
      <c r="B35" s="21" t="str">
        <f t="shared" si="2"/>
        <v>2017/01/09 14:26:41.367</v>
      </c>
      <c r="C35" s="21">
        <f t="shared" si="3"/>
        <v>4.1782404878176749E-6</v>
      </c>
    </row>
    <row r="36" spans="1:3" x14ac:dyDescent="0.25">
      <c r="A36" t="s">
        <v>878</v>
      </c>
      <c r="B36" s="21" t="str">
        <f t="shared" si="2"/>
        <v>2017/01/09 14:26:41.481</v>
      </c>
      <c r="C36" s="21">
        <f t="shared" si="3"/>
        <v>1.319443981628865E-6</v>
      </c>
    </row>
    <row r="37" spans="1:3" x14ac:dyDescent="0.25">
      <c r="A37" t="s">
        <v>879</v>
      </c>
      <c r="B37" s="21" t="str">
        <f t="shared" si="2"/>
        <v>2017/01/09 14:28:23.144</v>
      </c>
      <c r="C37" s="21">
        <f t="shared" si="3"/>
        <v>1.1766550887841731E-3</v>
      </c>
    </row>
    <row r="38" spans="1:3" x14ac:dyDescent="0.25">
      <c r="A38" t="s">
        <v>880</v>
      </c>
      <c r="B38" s="21" t="str">
        <f t="shared" si="2"/>
        <v>2017/01/09 14:28:23.520</v>
      </c>
      <c r="C38" s="21">
        <f t="shared" si="3"/>
        <v>4.3518521124497056E-6</v>
      </c>
    </row>
    <row r="39" spans="1:3" x14ac:dyDescent="0.25">
      <c r="A39" t="s">
        <v>881</v>
      </c>
      <c r="B39" s="21" t="str">
        <f t="shared" si="2"/>
        <v>2017/01/09 14:29:04.141</v>
      </c>
      <c r="C39" s="21">
        <f t="shared" si="3"/>
        <v>4.7015046584419906E-4</v>
      </c>
    </row>
    <row r="40" spans="1:3" x14ac:dyDescent="0.25">
      <c r="A40" t="s">
        <v>882</v>
      </c>
      <c r="B40" s="21" t="str">
        <f t="shared" si="2"/>
        <v>2017/01/09 14:29:04.516</v>
      </c>
      <c r="C40" s="21">
        <f t="shared" si="3"/>
        <v>4.3402760638855398E-6</v>
      </c>
    </row>
    <row r="41" spans="1:3" x14ac:dyDescent="0.25">
      <c r="A41" t="s">
        <v>883</v>
      </c>
      <c r="B41" s="21" t="str">
        <f t="shared" si="2"/>
        <v>2017/01/09 14:29:43.145</v>
      </c>
      <c r="C41" s="21">
        <f t="shared" si="3"/>
        <v>4.4709490612149239E-4</v>
      </c>
    </row>
    <row r="42" spans="1:3" x14ac:dyDescent="0.25">
      <c r="A42" t="s">
        <v>884</v>
      </c>
      <c r="B42" s="21" t="str">
        <f t="shared" si="2"/>
        <v>2017/01/09 14:29:43.515</v>
      </c>
      <c r="C42" s="21">
        <f t="shared" si="3"/>
        <v>4.282410372979939E-6</v>
      </c>
    </row>
    <row r="43" spans="1:3" x14ac:dyDescent="0.25">
      <c r="A43" t="s">
        <v>885</v>
      </c>
      <c r="B43" s="21" t="str">
        <f t="shared" si="2"/>
        <v>2017/01/09 14:50:54.082</v>
      </c>
      <c r="C43" s="21">
        <f t="shared" si="3"/>
        <v>1.4705636574944947E-2</v>
      </c>
    </row>
    <row r="44" spans="1:3" x14ac:dyDescent="0.25">
      <c r="A44" t="s">
        <v>886</v>
      </c>
      <c r="B44" s="21" t="str">
        <f t="shared" si="2"/>
        <v>2017/01/09 14:50:54.357</v>
      </c>
      <c r="C44" s="21">
        <f t="shared" si="3"/>
        <v>3.1828676583245397E-6</v>
      </c>
    </row>
    <row r="45" spans="1:3" x14ac:dyDescent="0.25">
      <c r="A45" t="s">
        <v>887</v>
      </c>
      <c r="B45" s="21" t="str">
        <f t="shared" si="2"/>
        <v>2017/01/09 14:50:54.705</v>
      </c>
      <c r="C45" s="21">
        <f t="shared" si="3"/>
        <v>4.0277809603139758E-6</v>
      </c>
    </row>
    <row r="46" spans="1:3" x14ac:dyDescent="0.25">
      <c r="A46" t="s">
        <v>888</v>
      </c>
      <c r="B46" s="21" t="str">
        <f t="shared" si="2"/>
        <v>2017/01/09 14:50:54.954</v>
      </c>
      <c r="C46" s="21">
        <f t="shared" si="3"/>
        <v>2.8819413273595273E-6</v>
      </c>
    </row>
    <row r="47" spans="1:3" x14ac:dyDescent="0.25">
      <c r="A47" t="s">
        <v>889</v>
      </c>
      <c r="B47" s="21" t="str">
        <f t="shared" si="2"/>
        <v>2017/01/09 14:50:55.209</v>
      </c>
      <c r="C47" s="21">
        <f t="shared" si="3"/>
        <v>2.9513903427869081E-6</v>
      </c>
    </row>
    <row r="48" spans="1:3" x14ac:dyDescent="0.25">
      <c r="A48" t="s">
        <v>890</v>
      </c>
      <c r="B48" s="21" t="str">
        <f t="shared" si="2"/>
        <v>2017/01/09 14:50:55.424</v>
      </c>
      <c r="C48" s="21">
        <f t="shared" si="3"/>
        <v>2.4884284357540309E-6</v>
      </c>
    </row>
    <row r="49" spans="1:3" x14ac:dyDescent="0.25">
      <c r="A49" t="s">
        <v>891</v>
      </c>
      <c r="B49" s="21" t="str">
        <f t="shared" si="2"/>
        <v>2017/01/09 15:06:15.540</v>
      </c>
      <c r="C49" s="21">
        <f t="shared" si="3"/>
        <v>1.0649490737705491E-2</v>
      </c>
    </row>
    <row r="50" spans="1:3" x14ac:dyDescent="0.25">
      <c r="A50" t="s">
        <v>892</v>
      </c>
      <c r="B50" s="21" t="str">
        <f t="shared" si="2"/>
        <v>2017/01/09 15:26:34.375</v>
      </c>
      <c r="C50" s="21">
        <f t="shared" si="3"/>
        <v>1.4106886577792466E-2</v>
      </c>
    </row>
    <row r="51" spans="1:3" x14ac:dyDescent="0.25">
      <c r="A51" t="s">
        <v>893</v>
      </c>
      <c r="B51" s="21" t="str">
        <f t="shared" si="2"/>
        <v>2017/01/09 15:26:34.482</v>
      </c>
      <c r="C51" s="21">
        <f t="shared" si="3"/>
        <v>1.2384189176373184E-6</v>
      </c>
    </row>
    <row r="52" spans="1:3" x14ac:dyDescent="0.25">
      <c r="A52" t="s">
        <v>894</v>
      </c>
      <c r="B52" s="21" t="str">
        <f t="shared" si="2"/>
        <v>2017/01/09 15:26:35.008</v>
      </c>
      <c r="C52" s="21">
        <f t="shared" si="3"/>
        <v>6.0879683587700129E-6</v>
      </c>
    </row>
    <row r="53" spans="1:3" x14ac:dyDescent="0.25">
      <c r="A53" t="s">
        <v>895</v>
      </c>
      <c r="B53" s="21" t="str">
        <f t="shared" si="2"/>
        <v>2017/01/09 15:55:52.939</v>
      </c>
      <c r="C53" s="21">
        <f t="shared" si="3"/>
        <v>2.0346423611044884E-2</v>
      </c>
    </row>
    <row r="54" spans="1:3" x14ac:dyDescent="0.25">
      <c r="A54" t="s">
        <v>896</v>
      </c>
      <c r="B54" s="21" t="str">
        <f t="shared" si="2"/>
        <v>2017/01/09 15:55:53.035</v>
      </c>
      <c r="C54" s="21">
        <f t="shared" si="3"/>
        <v>1.111111487261951E-6</v>
      </c>
    </row>
    <row r="55" spans="1:3" x14ac:dyDescent="0.25">
      <c r="A55" t="s">
        <v>897</v>
      </c>
      <c r="B55" s="21" t="str">
        <f t="shared" si="2"/>
        <v>2017/01/09 17:07:25.064</v>
      </c>
      <c r="C55" s="21">
        <f t="shared" si="3"/>
        <v>4.9676261573040392E-2</v>
      </c>
    </row>
    <row r="56" spans="1:3" x14ac:dyDescent="0.25">
      <c r="A56" t="s">
        <v>898</v>
      </c>
      <c r="B56" s="21" t="str">
        <f t="shared" si="2"/>
        <v>2017/01/09 17:07:25.344</v>
      </c>
      <c r="C56" s="21">
        <f t="shared" si="3"/>
        <v>3.2407406251877546E-6</v>
      </c>
    </row>
    <row r="57" spans="1:3" x14ac:dyDescent="0.25">
      <c r="A57" t="s">
        <v>899</v>
      </c>
      <c r="B57" s="21" t="str">
        <f t="shared" si="2"/>
        <v>2017/01/09 17:07:25.666</v>
      </c>
      <c r="C57" s="21">
        <f t="shared" si="3"/>
        <v>3.7268473533913493E-6</v>
      </c>
    </row>
    <row r="58" spans="1:3" x14ac:dyDescent="0.25">
      <c r="A58" t="s">
        <v>900</v>
      </c>
      <c r="B58" s="21" t="str">
        <f t="shared" si="2"/>
        <v>2017/01/09 20:53:07.677</v>
      </c>
      <c r="C58" s="21">
        <f t="shared" si="3"/>
        <v>0.15673623843031237</v>
      </c>
    </row>
    <row r="59" spans="1:3" x14ac:dyDescent="0.25">
      <c r="A59" t="s">
        <v>901</v>
      </c>
      <c r="B59" s="21" t="str">
        <f t="shared" si="2"/>
        <v>2017/01/09 20:53:07.687</v>
      </c>
      <c r="C59" s="21">
        <f t="shared" si="3"/>
        <v>1.1573865776881576E-7</v>
      </c>
    </row>
    <row r="60" spans="1:3" x14ac:dyDescent="0.25">
      <c r="A60" t="s">
        <v>902</v>
      </c>
      <c r="B60" s="21" t="str">
        <f t="shared" si="2"/>
        <v>2017/01/09 20:53:07.926</v>
      </c>
      <c r="C60" s="21">
        <f t="shared" si="3"/>
        <v>2.7662026695907116E-6</v>
      </c>
    </row>
    <row r="61" spans="1:3" x14ac:dyDescent="0.25">
      <c r="A61" t="s">
        <v>903</v>
      </c>
      <c r="B61" s="21" t="str">
        <f t="shared" si="2"/>
        <v>2017/01/09 21:46:42.044</v>
      </c>
      <c r="C61" s="21">
        <f t="shared" si="3"/>
        <v>3.720043981593335E-2</v>
      </c>
    </row>
    <row r="62" spans="1:3" x14ac:dyDescent="0.25">
      <c r="A62" t="s">
        <v>904</v>
      </c>
      <c r="B62" s="21" t="str">
        <f t="shared" si="2"/>
        <v>2017/01/09 21:46:42.241</v>
      </c>
      <c r="C62" s="21">
        <f t="shared" si="3"/>
        <v>2.2800959413871169E-6</v>
      </c>
    </row>
    <row r="63" spans="1:3" x14ac:dyDescent="0.25">
      <c r="A63" t="s">
        <v>905</v>
      </c>
      <c r="B63" s="21" t="str">
        <f t="shared" si="2"/>
        <v>2017/01/09 21:46:42.496</v>
      </c>
      <c r="C63" s="21">
        <f t="shared" si="3"/>
        <v>2.951383066829294E-6</v>
      </c>
    </row>
    <row r="64" spans="1:3" x14ac:dyDescent="0.25">
      <c r="A64" t="s">
        <v>906</v>
      </c>
      <c r="B64" s="21" t="str">
        <f t="shared" si="2"/>
        <v>2017/01/09 22:08:51.075</v>
      </c>
      <c r="C64" s="21">
        <f t="shared" si="3"/>
        <v>1.5377071766124573E-2</v>
      </c>
    </row>
    <row r="65" spans="1:3" x14ac:dyDescent="0.25">
      <c r="A65" t="s">
        <v>907</v>
      </c>
      <c r="B65" s="21" t="str">
        <f t="shared" si="2"/>
        <v>2017/01/09 22:08:51.358</v>
      </c>
      <c r="C65" s="21">
        <f t="shared" si="3"/>
        <v>3.2754614949226379E-6</v>
      </c>
    </row>
    <row r="66" spans="1:3" x14ac:dyDescent="0.25">
      <c r="A66" t="s">
        <v>908</v>
      </c>
      <c r="B66" s="21" t="str">
        <f t="shared" si="2"/>
        <v>2017/01/09 22:08:51.670</v>
      </c>
      <c r="C66" s="21">
        <f t="shared" si="3"/>
        <v>3.6111086956225336E-6</v>
      </c>
    </row>
    <row r="67" spans="1:3" x14ac:dyDescent="0.25">
      <c r="A67" t="s">
        <v>909</v>
      </c>
      <c r="B67" s="21" t="str">
        <f t="shared" si="2"/>
        <v>2017/01/09 22:09:28.059</v>
      </c>
      <c r="C67" s="21">
        <f t="shared" si="3"/>
        <v>4.2116898111999035E-4</v>
      </c>
    </row>
    <row r="68" spans="1:3" x14ac:dyDescent="0.25">
      <c r="A68" t="s">
        <v>910</v>
      </c>
      <c r="B68" s="21" t="str">
        <f t="shared" si="2"/>
        <v>2017/01/09 22:09:28.334</v>
      </c>
      <c r="C68" s="21">
        <f t="shared" si="3"/>
        <v>3.1828676583245397E-6</v>
      </c>
    </row>
    <row r="69" spans="1:3" x14ac:dyDescent="0.25">
      <c r="A69" t="s">
        <v>911</v>
      </c>
      <c r="B69" s="21" t="str">
        <f t="shared" si="2"/>
        <v>2017/01/09 22:09:28.656</v>
      </c>
      <c r="C69" s="21">
        <f t="shared" si="3"/>
        <v>3.7268546293489635E-6</v>
      </c>
    </row>
    <row r="70" spans="1:3" x14ac:dyDescent="0.25">
      <c r="A70" t="s">
        <v>912</v>
      </c>
      <c r="B70" s="21" t="str">
        <f t="shared" si="2"/>
        <v>2017/01/09 22:37:50.665</v>
      </c>
      <c r="C70" s="21">
        <f t="shared" si="3"/>
        <v>1.9699178243172355E-2</v>
      </c>
    </row>
    <row r="71" spans="1:3" x14ac:dyDescent="0.25">
      <c r="A71" t="s">
        <v>913</v>
      </c>
      <c r="B71" s="21" t="str">
        <f t="shared" si="2"/>
        <v>2017/01/09 22:38:40.664</v>
      </c>
      <c r="C71" s="21">
        <f t="shared" si="3"/>
        <v>5.7869212469086051E-4</v>
      </c>
    </row>
    <row r="72" spans="1:3" x14ac:dyDescent="0.25">
      <c r="A72" t="s">
        <v>914</v>
      </c>
      <c r="B72" s="21" t="str">
        <f t="shared" si="2"/>
        <v>2017/01/09 22:50:33.186</v>
      </c>
      <c r="C72" s="21">
        <f t="shared" si="3"/>
        <v>8.2467824104242027E-3</v>
      </c>
    </row>
    <row r="73" spans="1:3" x14ac:dyDescent="0.25">
      <c r="A73" t="s">
        <v>915</v>
      </c>
      <c r="B73" s="21" t="str">
        <f t="shared" si="2"/>
        <v>2017/01/09 22:50:33.751</v>
      </c>
      <c r="C73" s="21">
        <f t="shared" si="3"/>
        <v>6.5393542172387242E-6</v>
      </c>
    </row>
    <row r="74" spans="1:3" x14ac:dyDescent="0.25">
      <c r="A74" t="s">
        <v>916</v>
      </c>
      <c r="B74" s="21" t="str">
        <f t="shared" si="2"/>
        <v>2017/01/09 23:04:59.270</v>
      </c>
      <c r="C74" s="21">
        <f t="shared" si="3"/>
        <v>1.0017581014835741E-2</v>
      </c>
    </row>
    <row r="75" spans="1:3" x14ac:dyDescent="0.25">
      <c r="A75" t="s">
        <v>917</v>
      </c>
      <c r="B75" s="21" t="str">
        <f t="shared" si="2"/>
        <v>2017/01/10 01:35:03.336</v>
      </c>
      <c r="C75" s="21">
        <f t="shared" si="3"/>
        <v>0.104213726852322</v>
      </c>
    </row>
    <row r="76" spans="1:3" x14ac:dyDescent="0.25">
      <c r="A76" t="s">
        <v>918</v>
      </c>
      <c r="B76" s="21" t="str">
        <f t="shared" si="2"/>
        <v>2017/01/10 01:35:03.475</v>
      </c>
      <c r="C76" s="21">
        <f t="shared" si="3"/>
        <v>1.6087942640297115E-6</v>
      </c>
    </row>
    <row r="77" spans="1:3" x14ac:dyDescent="0.25">
      <c r="A77" t="s">
        <v>919</v>
      </c>
      <c r="B77" s="21" t="str">
        <f t="shared" si="2"/>
        <v>2017/01/10 01:35:03.644</v>
      </c>
      <c r="C77" s="21">
        <f t="shared" si="3"/>
        <v>1.9560247892513871E-6</v>
      </c>
    </row>
    <row r="78" spans="1:3" x14ac:dyDescent="0.25">
      <c r="A78" t="s">
        <v>920</v>
      </c>
      <c r="B78" s="21" t="str">
        <f t="shared" si="2"/>
        <v>2017/01/10 01:51:53.528</v>
      </c>
      <c r="C78" s="21">
        <f t="shared" si="3"/>
        <v>1.1688472215610091E-2</v>
      </c>
    </row>
    <row r="79" spans="1:3" x14ac:dyDescent="0.25">
      <c r="A79" t="s">
        <v>921</v>
      </c>
      <c r="B79" s="21" t="str">
        <f t="shared" si="2"/>
        <v>2017/01/10 01:51:54.683</v>
      </c>
      <c r="C79" s="21">
        <f t="shared" si="3"/>
        <v>1.3368058716878295E-5</v>
      </c>
    </row>
    <row r="80" spans="1:3" x14ac:dyDescent="0.25">
      <c r="A80" t="s">
        <v>922</v>
      </c>
      <c r="B80" s="21" t="str">
        <f t="shared" si="2"/>
        <v>2017/01/10 01:51:54.831</v>
      </c>
      <c r="C80" s="21">
        <f t="shared" si="3"/>
        <v>1.7129641491919756E-6</v>
      </c>
    </row>
    <row r="81" spans="1:3" x14ac:dyDescent="0.25">
      <c r="A81" t="s">
        <v>923</v>
      </c>
      <c r="B81" s="21" t="str">
        <f t="shared" si="2"/>
        <v>2017/01/10 05:38:07.366</v>
      </c>
      <c r="C81" s="21">
        <f t="shared" si="3"/>
        <v>0.15708952546265209</v>
      </c>
    </row>
    <row r="82" spans="1:3" x14ac:dyDescent="0.25">
      <c r="A82" t="s">
        <v>924</v>
      </c>
      <c r="B82" s="21" t="str">
        <f t="shared" si="2"/>
        <v>2017/01/10 05:38:07.433</v>
      </c>
      <c r="C82" s="21">
        <f t="shared" si="3"/>
        <v>7.7546428656205535E-7</v>
      </c>
    </row>
    <row r="83" spans="1:3" x14ac:dyDescent="0.25">
      <c r="A83" t="s">
        <v>925</v>
      </c>
      <c r="B83" s="21" t="str">
        <f t="shared" si="2"/>
        <v>2017/01/10 05:38:07.916</v>
      </c>
      <c r="C83" s="21">
        <f t="shared" si="3"/>
        <v>5.5902783060446382E-6</v>
      </c>
    </row>
    <row r="84" spans="1:3" x14ac:dyDescent="0.25">
      <c r="B84" s="21"/>
      <c r="C84" s="21"/>
    </row>
    <row r="85" spans="1:3" x14ac:dyDescent="0.25">
      <c r="B85" s="21"/>
      <c r="C85" s="21"/>
    </row>
    <row r="86" spans="1:3" x14ac:dyDescent="0.25">
      <c r="B86" s="21"/>
      <c r="C86" s="21"/>
    </row>
    <row r="87" spans="1:3" x14ac:dyDescent="0.25">
      <c r="B87" s="21"/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2017-01-11T16:56:03Z</dcterms:modified>
</cp:coreProperties>
</file>